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 activeTab="2"/>
  </bookViews>
  <sheets>
    <sheet name="Sheet1" sheetId="1" r:id="rId1"/>
    <sheet name="Sheet2" sheetId="2" r:id="rId2"/>
    <sheet name="Sheet3" sheetId="3" r:id="rId3"/>
  </sheets>
  <definedNames>
    <definedName name="转换参数">5</definedName>
  </definedNames>
  <calcPr calcId="145621"/>
</workbook>
</file>

<file path=xl/calcChain.xml><?xml version="1.0" encoding="utf-8"?>
<calcChain xmlns="http://schemas.openxmlformats.org/spreadsheetml/2006/main"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2" i="2"/>
  <c r="E121" i="2"/>
  <c r="E124" i="2" s="1"/>
  <c r="E125" i="2" s="1"/>
  <c r="G123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4" i="2" s="1"/>
  <c r="F125" i="2" s="1"/>
  <c r="I123" i="2" l="1"/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4" i="1"/>
</calcChain>
</file>

<file path=xl/sharedStrings.xml><?xml version="1.0" encoding="utf-8"?>
<sst xmlns="http://schemas.openxmlformats.org/spreadsheetml/2006/main" count="158" uniqueCount="128">
  <si>
    <t>RefineLevel</t>
    <phoneticPr fontId="1" type="noConversion"/>
  </si>
  <si>
    <t>BroadCast</t>
    <phoneticPr fontId="1" type="noConversion"/>
  </si>
  <si>
    <t>RequireLevel</t>
    <phoneticPr fontId="1" type="noConversion"/>
  </si>
  <si>
    <t>武器</t>
  </si>
  <si>
    <t>clsWarriorNES_MAIN_HAND</t>
  </si>
  <si>
    <t>clsWarriorNES_HEAD</t>
  </si>
  <si>
    <t>头盔</t>
  </si>
  <si>
    <t>clsWarriorNES_SHOULDER</t>
  </si>
  <si>
    <t>肩膀</t>
  </si>
  <si>
    <t>clsWarriorNES_BODY</t>
  </si>
  <si>
    <t>衣服</t>
  </si>
  <si>
    <t>clsWarriorNES_LEG</t>
  </si>
  <si>
    <t>裤子</t>
  </si>
  <si>
    <t>clsWarriorNES_ARM</t>
  </si>
  <si>
    <t>护腕</t>
  </si>
  <si>
    <t>clsWarriorNES_WAIST</t>
  </si>
  <si>
    <t>腰带</t>
  </si>
  <si>
    <t>clsWarriorNES_FOOT</t>
  </si>
  <si>
    <t>鞋子</t>
  </si>
  <si>
    <t>clsWarriorNES_BACK</t>
  </si>
  <si>
    <t>披风</t>
  </si>
  <si>
    <t>clsWarriorNES_NECK</t>
  </si>
  <si>
    <t>项链</t>
  </si>
  <si>
    <t>clsWarriorNES_FINGER_L</t>
  </si>
  <si>
    <t>戒指1</t>
  </si>
  <si>
    <t>clsWarriorNES_FINGER_R</t>
  </si>
  <si>
    <t>戒指2</t>
  </si>
  <si>
    <t>clsWarriorNES_WRIST_L</t>
  </si>
  <si>
    <t>手镯1</t>
  </si>
  <si>
    <t>clsWarriorNES_WRIST_R</t>
  </si>
  <si>
    <t>手镯2</t>
  </si>
  <si>
    <t>clsMageNES_MAIN_HAND</t>
  </si>
  <si>
    <t>clsMageNES_HEAD</t>
  </si>
  <si>
    <t>clsMageNES_SHOULDER</t>
  </si>
  <si>
    <t>clsMageNES_BODY</t>
  </si>
  <si>
    <t>clsMageNES_LEG</t>
  </si>
  <si>
    <t>clsMageNES_ARM</t>
  </si>
  <si>
    <t>clsMageNES_WAIST</t>
  </si>
  <si>
    <t>clsMageNES_FOOT</t>
  </si>
  <si>
    <t>clsMageNES_BACK</t>
  </si>
  <si>
    <t>clsMageNES_NECK</t>
  </si>
  <si>
    <t>clsMageNES_FINGER_L</t>
  </si>
  <si>
    <t>clsMageNES_FINGER_R</t>
  </si>
  <si>
    <t>clsMageNES_WRIST_L</t>
  </si>
  <si>
    <t>clsMageNES_WRIST_R</t>
  </si>
  <si>
    <t>clsRogueNES_MAIN_HAND</t>
  </si>
  <si>
    <t>clsRogueNES_HEAD</t>
  </si>
  <si>
    <t>clsRogueNES_SHOULDER</t>
  </si>
  <si>
    <t>clsRogueNES_BODY</t>
  </si>
  <si>
    <t>clsRogueNES_LEG</t>
  </si>
  <si>
    <t>clsRogueNES_ARM</t>
  </si>
  <si>
    <t>clsRogueNES_WAIST</t>
  </si>
  <si>
    <t>clsRogueNES_FOOT</t>
  </si>
  <si>
    <t>clsRogueNES_BACK</t>
  </si>
  <si>
    <t>clsRogueNES_NECK</t>
  </si>
  <si>
    <t>clsRogueNES_FINGER_L</t>
  </si>
  <si>
    <t>clsRogueNES_FINGER_R</t>
  </si>
  <si>
    <t>clsRogueNES_WRIST_L</t>
  </si>
  <si>
    <t>clsRogueNES_WRIST_R</t>
  </si>
  <si>
    <t>clsArcherNES_MAIN_HAND</t>
  </si>
  <si>
    <t>clsArcherNES_HEAD</t>
  </si>
  <si>
    <t>clsArcherNES_SHOULDER</t>
  </si>
  <si>
    <t>clsArcherNES_BODY</t>
  </si>
  <si>
    <t>clsArcherNES_LEG</t>
  </si>
  <si>
    <t>clsArcherNES_ARM</t>
  </si>
  <si>
    <t>clsArcherNES_WAIST</t>
  </si>
  <si>
    <t>clsArcherNES_FOOT</t>
  </si>
  <si>
    <t>clsArcherNES_BACK</t>
  </si>
  <si>
    <t>clsArcherNES_NECK</t>
  </si>
  <si>
    <t>clsArcherNES_FINGER_L</t>
  </si>
  <si>
    <t>clsArcherNES_FINGER_R</t>
  </si>
  <si>
    <t>clsArcherNES_WRIST_L</t>
  </si>
  <si>
    <t>clsArcherNES_WRIST_R</t>
  </si>
  <si>
    <t>武器</t>
    <phoneticPr fontId="1" type="noConversion"/>
  </si>
  <si>
    <t>装备</t>
    <phoneticPr fontId="1" type="noConversion"/>
  </si>
  <si>
    <t>首饰</t>
    <phoneticPr fontId="1" type="noConversion"/>
  </si>
  <si>
    <t>最小物理攻击</t>
  </si>
  <si>
    <t>最大物理攻击</t>
  </si>
  <si>
    <t>最小魔法攻击</t>
  </si>
  <si>
    <t>最大魔法攻击</t>
  </si>
  <si>
    <t>属性</t>
    <phoneticPr fontId="1" type="noConversion"/>
  </si>
  <si>
    <t>生命</t>
    <phoneticPr fontId="1" type="noConversion"/>
  </si>
  <si>
    <t>跳变Hp</t>
    <phoneticPr fontId="1" type="noConversion"/>
  </si>
  <si>
    <t>跳变武器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</si>
  <si>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</si>
  <si>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</si>
  <si>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</si>
  <si>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体质</t>
    <phoneticPr fontId="1" type="noConversion"/>
  </si>
  <si>
    <t>精神</t>
    <phoneticPr fontId="1" type="noConversion"/>
  </si>
  <si>
    <t>生命上限</t>
    <phoneticPr fontId="1" type="noConversion"/>
  </si>
  <si>
    <t>物理防御</t>
    <phoneticPr fontId="1" type="noConversion"/>
  </si>
  <si>
    <t>法术防御</t>
    <phoneticPr fontId="1" type="noConversion"/>
  </si>
  <si>
    <t>暴击</t>
    <phoneticPr fontId="1" type="noConversion"/>
  </si>
  <si>
    <t>精准</t>
    <phoneticPr fontId="1" type="noConversion"/>
  </si>
  <si>
    <t>闪避</t>
    <phoneticPr fontId="1" type="noConversion"/>
  </si>
  <si>
    <t>抗暴</t>
    <phoneticPr fontId="1" type="noConversion"/>
  </si>
  <si>
    <t>格挡值</t>
    <phoneticPr fontId="1" type="noConversion"/>
  </si>
  <si>
    <t>移动速度</t>
    <phoneticPr fontId="1" type="noConversion"/>
  </si>
  <si>
    <t>幸运值</t>
    <phoneticPr fontId="1" type="noConversion"/>
  </si>
  <si>
    <t>魔法暴击率</t>
    <phoneticPr fontId="1" type="noConversion"/>
  </si>
  <si>
    <t>物理暴击率</t>
    <phoneticPr fontId="1" type="noConversion"/>
  </si>
  <si>
    <t>暴击伤害倍率</t>
    <phoneticPr fontId="1" type="noConversion"/>
  </si>
  <si>
    <t>物理穿透率</t>
    <phoneticPr fontId="1" type="noConversion"/>
  </si>
  <si>
    <t>法术穿透率</t>
    <phoneticPr fontId="1" type="noConversion"/>
  </si>
  <si>
    <t>格挡率</t>
    <phoneticPr fontId="1" type="noConversion"/>
  </si>
  <si>
    <t>招架率</t>
    <phoneticPr fontId="1" type="noConversion"/>
  </si>
  <si>
    <t>闪避率</t>
    <phoneticPr fontId="1" type="noConversion"/>
  </si>
  <si>
    <t>伤害加成</t>
    <phoneticPr fontId="1" type="noConversion"/>
  </si>
  <si>
    <t>伤害减免</t>
    <phoneticPr fontId="1" type="noConversion"/>
  </si>
  <si>
    <t>攻击速度（作废）</t>
    <phoneticPr fontId="1" type="noConversion"/>
  </si>
  <si>
    <t>SuccessRate</t>
    <phoneticPr fontId="1" type="noConversion"/>
  </si>
  <si>
    <t>Both</t>
    <phoneticPr fontId="1" type="noConversion"/>
  </si>
  <si>
    <t>Cost</t>
    <phoneticPr fontId="1" type="noConversion"/>
  </si>
  <si>
    <t>BasePow</t>
    <phoneticPr fontId="1" type="noConversion"/>
  </si>
  <si>
    <t>Both</t>
    <phoneticPr fontId="1" type="noConversion"/>
  </si>
  <si>
    <t>字段名称</t>
  </si>
  <si>
    <t>描述</t>
  </si>
  <si>
    <t>详细说明</t>
  </si>
  <si>
    <t>备注</t>
  </si>
  <si>
    <t>精炼等级</t>
    <phoneticPr fontId="1" type="noConversion"/>
  </si>
  <si>
    <t>需要人物等级</t>
    <phoneticPr fontId="1" type="noConversion"/>
  </si>
  <si>
    <t>成功率</t>
    <phoneticPr fontId="1" type="noConversion"/>
  </si>
  <si>
    <t>人物等级达到了才可以进行该级的精炼</t>
    <phoneticPr fontId="1" type="noConversion"/>
  </si>
  <si>
    <t>精炼时的成功率</t>
    <phoneticPr fontId="1" type="noConversion"/>
  </si>
  <si>
    <t>基础战斗力</t>
    <phoneticPr fontId="1" type="noConversion"/>
  </si>
  <si>
    <t>精炼费用</t>
    <phoneticPr fontId="1" type="noConversion"/>
  </si>
  <si>
    <t>是否广播</t>
    <phoneticPr fontId="1" type="noConversion"/>
  </si>
  <si>
    <t>填1表示精炼成功时会有电视广播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</si>
</sst>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3" borderId="12" xfId="0" applyFill="1" applyBorder="1">
      <alignment vertical="center"/>
    </xf>
    <xf numFmtId="0" fontId="0" fillId="0" borderId="12" xfId="0" applyBorder="1" applyAlignment="1">
      <alignment horizontal="left" vertical="center"/>
    </xf>
    <xf numFmtId="0" fontId="0" fillId="0" borderId="12" xfId="0" applyBorder="1">
      <alignment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>
      <selection activeCell="D11" sqref="D11"/>
    </sheetView>
  </sheetViews>
  <sheetFormatPr defaultRowHeight="13.5"/>
  <cols>
    <col min="1" max="1" width="12.5" style="1" customWidth="1"/>
    <col min="2" max="4" width="17.25" customWidth="1"/>
    <col min="5" max="5" width="19.375" customWidth="1"/>
    <col min="6" max="6" width="10.5" customWidth="1"/>
  </cols>
  <sheetData>
    <row r="1" spans="1:7">
      <c r="A1" s="1" t="s">
        <v>0</v>
      </c>
      <c r="B1" t="s">
        <v>2</v>
      </c>
      <c r="C1" s="31" t="s">
        <v>110</v>
      </c>
      <c r="D1" s="32" t="s">
        <v>113</v>
      </c>
      <c r="E1" s="32" t="s">
        <v>112</v>
      </c>
      <c r="F1" s="32" t="s">
        <v>1</v>
      </c>
      <c r="G1" s="32"/>
    </row>
    <row r="2" spans="1:7">
      <c r="A2" s="1" t="s">
        <v>111</v>
      </c>
      <c r="B2" s="1" t="s">
        <v>111</v>
      </c>
      <c r="C2" s="1" t="s">
        <v>111</v>
      </c>
      <c r="D2" s="1" t="s">
        <v>114</v>
      </c>
      <c r="E2" s="1" t="s">
        <v>111</v>
      </c>
      <c r="F2" s="1" t="s">
        <v>111</v>
      </c>
    </row>
    <row r="3" spans="1:7">
      <c r="A3" s="1">
        <v>0</v>
      </c>
      <c r="B3">
        <v>0</v>
      </c>
      <c r="C3">
        <v>0</v>
      </c>
      <c r="D3">
        <v>1</v>
      </c>
      <c r="E3">
        <v>0</v>
      </c>
      <c r="F3">
        <v>0</v>
      </c>
    </row>
    <row r="4" spans="1:7">
      <c r="A4" s="1">
        <v>1</v>
      </c>
      <c r="B4">
        <f>MIN(40,A4)</f>
        <v>1</v>
      </c>
      <c r="C4">
        <v>10000</v>
      </c>
      <c r="D4">
        <v>100</v>
      </c>
      <c r="E4" s="26">
        <v>1</v>
      </c>
    </row>
    <row r="5" spans="1:7">
      <c r="A5" s="1">
        <v>2</v>
      </c>
      <c r="B5">
        <f t="shared" ref="B5:B68" si="0">MIN(40,A5)</f>
        <v>2</v>
      </c>
      <c r="C5">
        <v>9900</v>
      </c>
      <c r="D5">
        <v>100</v>
      </c>
      <c r="E5" s="26">
        <v>200</v>
      </c>
    </row>
    <row r="6" spans="1:7">
      <c r="A6" s="1">
        <v>3</v>
      </c>
      <c r="B6">
        <f t="shared" si="0"/>
        <v>3</v>
      </c>
      <c r="C6">
        <v>9800</v>
      </c>
      <c r="D6">
        <v>100</v>
      </c>
      <c r="E6" s="26">
        <v>500</v>
      </c>
    </row>
    <row r="7" spans="1:7">
      <c r="A7" s="1">
        <v>4</v>
      </c>
      <c r="B7">
        <f t="shared" si="0"/>
        <v>4</v>
      </c>
      <c r="C7">
        <v>9700</v>
      </c>
      <c r="D7">
        <v>100</v>
      </c>
      <c r="E7" s="26">
        <v>1000</v>
      </c>
    </row>
    <row r="8" spans="1:7">
      <c r="A8" s="1">
        <v>5</v>
      </c>
      <c r="B8">
        <f t="shared" si="0"/>
        <v>5</v>
      </c>
      <c r="C8">
        <v>9600</v>
      </c>
      <c r="D8">
        <v>100</v>
      </c>
      <c r="E8" s="26">
        <v>2000</v>
      </c>
    </row>
    <row r="9" spans="1:7">
      <c r="A9" s="1">
        <v>6</v>
      </c>
      <c r="B9">
        <f t="shared" si="0"/>
        <v>6</v>
      </c>
      <c r="C9">
        <v>9500</v>
      </c>
      <c r="D9">
        <v>100</v>
      </c>
      <c r="E9" s="26">
        <v>5000</v>
      </c>
    </row>
    <row r="10" spans="1:7">
      <c r="A10" s="1">
        <v>7</v>
      </c>
      <c r="B10">
        <f t="shared" si="0"/>
        <v>7</v>
      </c>
      <c r="C10">
        <v>9400</v>
      </c>
      <c r="D10">
        <v>100</v>
      </c>
      <c r="E10" s="26">
        <v>10000</v>
      </c>
    </row>
    <row r="11" spans="1:7">
      <c r="A11" s="1">
        <v>8</v>
      </c>
      <c r="B11">
        <f t="shared" si="0"/>
        <v>8</v>
      </c>
      <c r="C11">
        <v>9300</v>
      </c>
      <c r="D11">
        <v>100</v>
      </c>
      <c r="E11" s="26">
        <v>20000</v>
      </c>
    </row>
    <row r="12" spans="1:7">
      <c r="A12" s="1">
        <v>9</v>
      </c>
      <c r="B12">
        <f t="shared" si="0"/>
        <v>9</v>
      </c>
      <c r="C12">
        <v>9200</v>
      </c>
      <c r="D12">
        <v>100</v>
      </c>
      <c r="E12" s="26">
        <v>50000</v>
      </c>
    </row>
    <row r="13" spans="1:7">
      <c r="A13" s="1">
        <v>10</v>
      </c>
      <c r="B13">
        <f t="shared" si="0"/>
        <v>10</v>
      </c>
      <c r="C13">
        <v>9100</v>
      </c>
      <c r="D13">
        <v>100</v>
      </c>
      <c r="E13" s="26">
        <v>100000</v>
      </c>
    </row>
    <row r="14" spans="1:7">
      <c r="A14" s="1">
        <v>11</v>
      </c>
      <c r="B14">
        <f t="shared" si="0"/>
        <v>11</v>
      </c>
      <c r="C14">
        <v>9000</v>
      </c>
      <c r="D14">
        <v>100</v>
      </c>
      <c r="E14">
        <v>105010</v>
      </c>
    </row>
    <row r="15" spans="1:7">
      <c r="A15" s="1">
        <v>12</v>
      </c>
      <c r="B15">
        <f t="shared" si="0"/>
        <v>12</v>
      </c>
      <c r="C15">
        <v>8900</v>
      </c>
      <c r="D15">
        <v>100</v>
      </c>
      <c r="E15">
        <v>110260</v>
      </c>
    </row>
    <row r="16" spans="1:7">
      <c r="A16" s="1">
        <v>13</v>
      </c>
      <c r="B16">
        <f t="shared" si="0"/>
        <v>13</v>
      </c>
      <c r="C16">
        <v>8800</v>
      </c>
      <c r="D16">
        <v>100</v>
      </c>
      <c r="E16">
        <v>115770</v>
      </c>
    </row>
    <row r="17" spans="1:5">
      <c r="A17" s="1">
        <v>14</v>
      </c>
      <c r="B17">
        <f t="shared" si="0"/>
        <v>14</v>
      </c>
      <c r="C17">
        <v>8700</v>
      </c>
      <c r="D17">
        <v>100</v>
      </c>
      <c r="E17">
        <v>121560</v>
      </c>
    </row>
    <row r="18" spans="1:5">
      <c r="A18" s="1">
        <v>15</v>
      </c>
      <c r="B18">
        <f t="shared" si="0"/>
        <v>15</v>
      </c>
      <c r="C18">
        <v>8600</v>
      </c>
      <c r="D18">
        <v>100</v>
      </c>
      <c r="E18">
        <v>127630</v>
      </c>
    </row>
    <row r="19" spans="1:5">
      <c r="A19" s="1">
        <v>16</v>
      </c>
      <c r="B19">
        <f t="shared" si="0"/>
        <v>16</v>
      </c>
      <c r="C19">
        <v>8500</v>
      </c>
      <c r="D19">
        <v>100</v>
      </c>
      <c r="E19">
        <v>134010</v>
      </c>
    </row>
    <row r="20" spans="1:5">
      <c r="A20" s="1">
        <v>17</v>
      </c>
      <c r="B20">
        <f t="shared" si="0"/>
        <v>17</v>
      </c>
      <c r="C20">
        <v>8400</v>
      </c>
      <c r="D20">
        <v>100</v>
      </c>
      <c r="E20">
        <v>140720</v>
      </c>
    </row>
    <row r="21" spans="1:5">
      <c r="A21" s="1">
        <v>18</v>
      </c>
      <c r="B21">
        <f t="shared" si="0"/>
        <v>18</v>
      </c>
      <c r="C21">
        <v>8300</v>
      </c>
      <c r="D21">
        <v>100</v>
      </c>
      <c r="E21">
        <v>147750</v>
      </c>
    </row>
    <row r="22" spans="1:5">
      <c r="A22" s="1">
        <v>19</v>
      </c>
      <c r="B22">
        <f t="shared" si="0"/>
        <v>19</v>
      </c>
      <c r="C22">
        <v>8200</v>
      </c>
      <c r="D22">
        <v>100</v>
      </c>
      <c r="E22">
        <v>155140</v>
      </c>
    </row>
    <row r="23" spans="1:5">
      <c r="A23" s="1">
        <v>20</v>
      </c>
      <c r="B23">
        <f t="shared" si="0"/>
        <v>20</v>
      </c>
      <c r="C23">
        <v>8100</v>
      </c>
      <c r="D23">
        <v>100</v>
      </c>
      <c r="E23">
        <v>162890</v>
      </c>
    </row>
    <row r="24" spans="1:5">
      <c r="A24" s="1">
        <v>21</v>
      </c>
      <c r="B24">
        <f t="shared" si="0"/>
        <v>21</v>
      </c>
      <c r="C24">
        <v>8000</v>
      </c>
      <c r="D24">
        <v>100</v>
      </c>
      <c r="E24">
        <v>171040</v>
      </c>
    </row>
    <row r="25" spans="1:5">
      <c r="A25" s="1">
        <v>22</v>
      </c>
      <c r="B25">
        <f t="shared" si="0"/>
        <v>22</v>
      </c>
      <c r="C25">
        <v>7900</v>
      </c>
      <c r="D25">
        <v>100</v>
      </c>
      <c r="E25">
        <v>179590</v>
      </c>
    </row>
    <row r="26" spans="1:5">
      <c r="A26" s="1">
        <v>23</v>
      </c>
      <c r="B26">
        <f t="shared" si="0"/>
        <v>23</v>
      </c>
      <c r="C26">
        <v>7800</v>
      </c>
      <c r="D26">
        <v>100</v>
      </c>
      <c r="E26">
        <v>188570</v>
      </c>
    </row>
    <row r="27" spans="1:5">
      <c r="A27" s="1">
        <v>24</v>
      </c>
      <c r="B27">
        <f t="shared" si="0"/>
        <v>24</v>
      </c>
      <c r="C27">
        <v>7700</v>
      </c>
      <c r="D27">
        <v>100</v>
      </c>
      <c r="E27">
        <v>198000</v>
      </c>
    </row>
    <row r="28" spans="1:5">
      <c r="A28" s="1">
        <v>25</v>
      </c>
      <c r="B28">
        <f t="shared" si="0"/>
        <v>25</v>
      </c>
      <c r="C28">
        <v>7600</v>
      </c>
      <c r="D28">
        <v>100</v>
      </c>
      <c r="E28">
        <v>207900</v>
      </c>
    </row>
    <row r="29" spans="1:5">
      <c r="A29" s="1">
        <v>26</v>
      </c>
      <c r="B29">
        <f t="shared" si="0"/>
        <v>26</v>
      </c>
      <c r="C29">
        <v>7500</v>
      </c>
      <c r="D29">
        <v>100</v>
      </c>
      <c r="E29">
        <v>218290</v>
      </c>
    </row>
    <row r="30" spans="1:5">
      <c r="A30" s="1">
        <v>27</v>
      </c>
      <c r="B30">
        <f t="shared" si="0"/>
        <v>27</v>
      </c>
      <c r="C30">
        <v>7400</v>
      </c>
      <c r="D30">
        <v>100</v>
      </c>
      <c r="E30">
        <v>229210</v>
      </c>
    </row>
    <row r="31" spans="1:5">
      <c r="A31" s="1">
        <v>28</v>
      </c>
      <c r="B31">
        <f t="shared" si="0"/>
        <v>28</v>
      </c>
      <c r="C31">
        <v>7300</v>
      </c>
      <c r="D31">
        <v>100</v>
      </c>
      <c r="E31">
        <v>240670</v>
      </c>
    </row>
    <row r="32" spans="1:5">
      <c r="A32" s="1">
        <v>29</v>
      </c>
      <c r="B32">
        <f t="shared" si="0"/>
        <v>29</v>
      </c>
      <c r="C32">
        <v>7200</v>
      </c>
      <c r="D32">
        <v>100</v>
      </c>
      <c r="E32">
        <v>252700</v>
      </c>
    </row>
    <row r="33" spans="1:6">
      <c r="A33" s="1">
        <v>30</v>
      </c>
      <c r="B33">
        <f t="shared" si="0"/>
        <v>30</v>
      </c>
      <c r="C33">
        <v>7100</v>
      </c>
      <c r="D33">
        <v>100</v>
      </c>
      <c r="E33">
        <v>265330</v>
      </c>
      <c r="F33">
        <v>1</v>
      </c>
    </row>
    <row r="34" spans="1:6">
      <c r="A34" s="1">
        <v>31</v>
      </c>
      <c r="B34">
        <f t="shared" si="0"/>
        <v>31</v>
      </c>
      <c r="C34">
        <v>7000</v>
      </c>
      <c r="D34">
        <v>100</v>
      </c>
      <c r="E34">
        <v>278600</v>
      </c>
    </row>
    <row r="35" spans="1:6">
      <c r="A35" s="1">
        <v>32</v>
      </c>
      <c r="B35">
        <f t="shared" si="0"/>
        <v>32</v>
      </c>
      <c r="C35">
        <v>6900</v>
      </c>
      <c r="D35">
        <v>100</v>
      </c>
      <c r="E35">
        <v>292530</v>
      </c>
    </row>
    <row r="36" spans="1:6">
      <c r="A36" s="1">
        <v>33</v>
      </c>
      <c r="B36">
        <f t="shared" si="0"/>
        <v>33</v>
      </c>
      <c r="C36">
        <v>6800</v>
      </c>
      <c r="D36">
        <v>100</v>
      </c>
      <c r="E36">
        <v>307160</v>
      </c>
    </row>
    <row r="37" spans="1:6">
      <c r="A37" s="1">
        <v>34</v>
      </c>
      <c r="B37">
        <f t="shared" si="0"/>
        <v>34</v>
      </c>
      <c r="C37">
        <v>6700</v>
      </c>
      <c r="D37">
        <v>100</v>
      </c>
      <c r="E37">
        <v>322510</v>
      </c>
    </row>
    <row r="38" spans="1:6">
      <c r="A38" s="1">
        <v>35</v>
      </c>
      <c r="B38">
        <f t="shared" si="0"/>
        <v>35</v>
      </c>
      <c r="C38">
        <v>6600</v>
      </c>
      <c r="D38">
        <v>100</v>
      </c>
      <c r="E38">
        <v>338640</v>
      </c>
      <c r="F38">
        <v>1</v>
      </c>
    </row>
    <row r="39" spans="1:6">
      <c r="A39" s="1">
        <v>36</v>
      </c>
      <c r="B39">
        <f t="shared" si="0"/>
        <v>36</v>
      </c>
      <c r="C39">
        <v>6500</v>
      </c>
      <c r="D39">
        <v>100</v>
      </c>
      <c r="E39">
        <v>355570</v>
      </c>
    </row>
    <row r="40" spans="1:6">
      <c r="A40" s="1">
        <v>37</v>
      </c>
      <c r="B40">
        <f t="shared" si="0"/>
        <v>37</v>
      </c>
      <c r="C40">
        <v>6400</v>
      </c>
      <c r="D40">
        <v>100</v>
      </c>
      <c r="E40">
        <v>373350</v>
      </c>
    </row>
    <row r="41" spans="1:6">
      <c r="A41" s="1">
        <v>38</v>
      </c>
      <c r="B41">
        <f t="shared" si="0"/>
        <v>38</v>
      </c>
      <c r="C41">
        <v>6300</v>
      </c>
      <c r="D41">
        <v>100</v>
      </c>
      <c r="E41">
        <v>392020</v>
      </c>
    </row>
    <row r="42" spans="1:6">
      <c r="A42" s="1">
        <v>39</v>
      </c>
      <c r="B42">
        <f t="shared" si="0"/>
        <v>39</v>
      </c>
      <c r="C42">
        <v>6200</v>
      </c>
      <c r="D42">
        <v>100</v>
      </c>
      <c r="E42">
        <v>411620</v>
      </c>
    </row>
    <row r="43" spans="1:6">
      <c r="A43" s="1">
        <v>40</v>
      </c>
      <c r="B43">
        <f t="shared" si="0"/>
        <v>40</v>
      </c>
      <c r="C43">
        <v>6100</v>
      </c>
      <c r="D43">
        <v>100</v>
      </c>
      <c r="E43">
        <v>432200</v>
      </c>
      <c r="F43">
        <v>1</v>
      </c>
    </row>
    <row r="44" spans="1:6">
      <c r="A44" s="1">
        <v>41</v>
      </c>
      <c r="B44">
        <f t="shared" si="0"/>
        <v>40</v>
      </c>
      <c r="C44">
        <v>6000</v>
      </c>
      <c r="D44">
        <v>100</v>
      </c>
      <c r="E44">
        <v>453810</v>
      </c>
    </row>
    <row r="45" spans="1:6">
      <c r="A45" s="1">
        <v>42</v>
      </c>
      <c r="B45">
        <f t="shared" si="0"/>
        <v>40</v>
      </c>
      <c r="C45">
        <v>5900</v>
      </c>
      <c r="D45">
        <v>100</v>
      </c>
      <c r="E45">
        <v>476500</v>
      </c>
    </row>
    <row r="46" spans="1:6">
      <c r="A46" s="1">
        <v>43</v>
      </c>
      <c r="B46">
        <f t="shared" si="0"/>
        <v>40</v>
      </c>
      <c r="C46">
        <v>5800</v>
      </c>
      <c r="D46">
        <v>100</v>
      </c>
      <c r="E46">
        <v>500320</v>
      </c>
    </row>
    <row r="47" spans="1:6">
      <c r="A47" s="1">
        <v>44</v>
      </c>
      <c r="B47">
        <f t="shared" si="0"/>
        <v>40</v>
      </c>
      <c r="C47">
        <v>5700</v>
      </c>
      <c r="D47">
        <v>100</v>
      </c>
      <c r="E47">
        <v>525340</v>
      </c>
    </row>
    <row r="48" spans="1:6">
      <c r="A48" s="1">
        <v>45</v>
      </c>
      <c r="B48">
        <f t="shared" si="0"/>
        <v>40</v>
      </c>
      <c r="C48">
        <v>5600</v>
      </c>
      <c r="D48">
        <v>100</v>
      </c>
      <c r="E48">
        <v>551610</v>
      </c>
      <c r="F48">
        <v>1</v>
      </c>
    </row>
    <row r="49" spans="1:6">
      <c r="A49" s="1">
        <v>46</v>
      </c>
      <c r="B49">
        <f t="shared" si="0"/>
        <v>40</v>
      </c>
      <c r="C49">
        <v>5500</v>
      </c>
      <c r="D49">
        <v>100</v>
      </c>
      <c r="E49">
        <v>579190</v>
      </c>
    </row>
    <row r="50" spans="1:6">
      <c r="A50" s="1">
        <v>47</v>
      </c>
      <c r="B50">
        <f t="shared" si="0"/>
        <v>40</v>
      </c>
      <c r="C50">
        <v>5400</v>
      </c>
      <c r="D50">
        <v>100</v>
      </c>
      <c r="E50">
        <v>608150</v>
      </c>
    </row>
    <row r="51" spans="1:6">
      <c r="A51" s="1">
        <v>48</v>
      </c>
      <c r="B51">
        <f t="shared" si="0"/>
        <v>40</v>
      </c>
      <c r="C51">
        <v>5300</v>
      </c>
      <c r="D51">
        <v>100</v>
      </c>
      <c r="E51">
        <v>638550</v>
      </c>
    </row>
    <row r="52" spans="1:6">
      <c r="A52" s="1">
        <v>49</v>
      </c>
      <c r="B52">
        <f t="shared" si="0"/>
        <v>40</v>
      </c>
      <c r="C52">
        <v>5200</v>
      </c>
      <c r="D52">
        <v>100</v>
      </c>
      <c r="E52">
        <v>670480</v>
      </c>
    </row>
    <row r="53" spans="1:6">
      <c r="A53" s="1">
        <v>50</v>
      </c>
      <c r="B53">
        <f t="shared" si="0"/>
        <v>40</v>
      </c>
      <c r="C53">
        <v>5100</v>
      </c>
      <c r="D53">
        <v>100</v>
      </c>
      <c r="E53">
        <v>704000</v>
      </c>
      <c r="F53">
        <v>1</v>
      </c>
    </row>
    <row r="54" spans="1:6">
      <c r="A54" s="1">
        <v>51</v>
      </c>
      <c r="B54">
        <f t="shared" si="0"/>
        <v>40</v>
      </c>
      <c r="C54">
        <v>5000</v>
      </c>
      <c r="D54">
        <v>100</v>
      </c>
      <c r="E54">
        <v>739200</v>
      </c>
    </row>
    <row r="55" spans="1:6">
      <c r="A55" s="1">
        <v>52</v>
      </c>
      <c r="B55">
        <f t="shared" si="0"/>
        <v>40</v>
      </c>
      <c r="C55">
        <v>4900</v>
      </c>
      <c r="D55">
        <v>100</v>
      </c>
      <c r="E55">
        <v>776160</v>
      </c>
    </row>
    <row r="56" spans="1:6">
      <c r="A56" s="1">
        <v>53</v>
      </c>
      <c r="B56">
        <f t="shared" si="0"/>
        <v>40</v>
      </c>
      <c r="C56">
        <v>4800</v>
      </c>
      <c r="D56">
        <v>100</v>
      </c>
      <c r="E56">
        <v>814970</v>
      </c>
    </row>
    <row r="57" spans="1:6">
      <c r="A57" s="1">
        <v>54</v>
      </c>
      <c r="B57">
        <f t="shared" si="0"/>
        <v>40</v>
      </c>
      <c r="C57">
        <v>4700</v>
      </c>
      <c r="D57">
        <v>100</v>
      </c>
      <c r="E57">
        <v>855720</v>
      </c>
    </row>
    <row r="58" spans="1:6">
      <c r="A58" s="1">
        <v>55</v>
      </c>
      <c r="B58">
        <f t="shared" si="0"/>
        <v>40</v>
      </c>
      <c r="C58">
        <v>4600</v>
      </c>
      <c r="D58">
        <v>100</v>
      </c>
      <c r="E58">
        <v>898510</v>
      </c>
      <c r="F58">
        <v>1</v>
      </c>
    </row>
    <row r="59" spans="1:6">
      <c r="A59" s="1">
        <v>56</v>
      </c>
      <c r="B59">
        <f t="shared" si="0"/>
        <v>40</v>
      </c>
      <c r="C59">
        <v>4500</v>
      </c>
      <c r="D59">
        <v>100</v>
      </c>
      <c r="E59">
        <v>943430</v>
      </c>
    </row>
    <row r="60" spans="1:6">
      <c r="A60" s="1">
        <v>57</v>
      </c>
      <c r="B60">
        <f t="shared" si="0"/>
        <v>40</v>
      </c>
      <c r="C60">
        <v>4400</v>
      </c>
      <c r="D60">
        <v>100</v>
      </c>
      <c r="E60">
        <v>990600</v>
      </c>
    </row>
    <row r="61" spans="1:6">
      <c r="A61" s="1">
        <v>58</v>
      </c>
      <c r="B61">
        <f t="shared" si="0"/>
        <v>40</v>
      </c>
      <c r="C61">
        <v>4300</v>
      </c>
      <c r="D61">
        <v>100</v>
      </c>
      <c r="E61">
        <v>1040130</v>
      </c>
    </row>
    <row r="62" spans="1:6">
      <c r="A62" s="1">
        <v>59</v>
      </c>
      <c r="B62">
        <f t="shared" si="0"/>
        <v>40</v>
      </c>
      <c r="C62">
        <v>4200</v>
      </c>
      <c r="D62">
        <v>100</v>
      </c>
      <c r="E62">
        <v>1092140</v>
      </c>
    </row>
    <row r="63" spans="1:6">
      <c r="A63" s="1">
        <v>60</v>
      </c>
      <c r="B63">
        <f t="shared" si="0"/>
        <v>40</v>
      </c>
      <c r="C63">
        <v>4100</v>
      </c>
      <c r="D63">
        <v>100</v>
      </c>
      <c r="E63">
        <v>1146740</v>
      </c>
      <c r="F63">
        <v>1</v>
      </c>
    </row>
    <row r="64" spans="1:6">
      <c r="A64" s="1">
        <v>61</v>
      </c>
      <c r="B64">
        <f t="shared" si="0"/>
        <v>40</v>
      </c>
      <c r="C64">
        <v>4000</v>
      </c>
      <c r="D64">
        <v>100</v>
      </c>
      <c r="E64">
        <v>1204080</v>
      </c>
      <c r="F64">
        <v>1</v>
      </c>
    </row>
    <row r="65" spans="1:6">
      <c r="A65" s="1">
        <v>62</v>
      </c>
      <c r="B65">
        <f t="shared" si="0"/>
        <v>40</v>
      </c>
      <c r="C65">
        <v>3900</v>
      </c>
      <c r="D65">
        <v>100</v>
      </c>
      <c r="E65">
        <v>1264290</v>
      </c>
      <c r="F65">
        <v>1</v>
      </c>
    </row>
    <row r="66" spans="1:6">
      <c r="A66" s="1">
        <v>63</v>
      </c>
      <c r="B66">
        <f t="shared" si="0"/>
        <v>40</v>
      </c>
      <c r="C66">
        <v>3800</v>
      </c>
      <c r="D66">
        <v>100</v>
      </c>
      <c r="E66">
        <v>1327500</v>
      </c>
      <c r="F66">
        <v>1</v>
      </c>
    </row>
    <row r="67" spans="1:6">
      <c r="A67" s="1">
        <v>64</v>
      </c>
      <c r="B67">
        <f t="shared" si="0"/>
        <v>40</v>
      </c>
      <c r="C67">
        <v>3700</v>
      </c>
      <c r="D67">
        <v>100</v>
      </c>
      <c r="E67">
        <v>1393870</v>
      </c>
      <c r="F67">
        <v>1</v>
      </c>
    </row>
    <row r="68" spans="1:6">
      <c r="A68" s="1">
        <v>65</v>
      </c>
      <c r="B68">
        <f t="shared" si="0"/>
        <v>40</v>
      </c>
      <c r="C68">
        <v>3600</v>
      </c>
      <c r="D68">
        <v>100</v>
      </c>
      <c r="E68">
        <v>1463570</v>
      </c>
      <c r="F68">
        <v>1</v>
      </c>
    </row>
    <row r="69" spans="1:6">
      <c r="A69" s="1">
        <v>66</v>
      </c>
      <c r="B69">
        <f t="shared" ref="B69:B100" si="1">MIN(40,A69)</f>
        <v>40</v>
      </c>
      <c r="C69">
        <v>3500</v>
      </c>
      <c r="D69">
        <v>100</v>
      </c>
      <c r="E69">
        <v>1536750</v>
      </c>
      <c r="F69">
        <v>1</v>
      </c>
    </row>
    <row r="70" spans="1:6">
      <c r="A70" s="1">
        <v>67</v>
      </c>
      <c r="B70">
        <f t="shared" si="1"/>
        <v>40</v>
      </c>
      <c r="C70">
        <v>3400</v>
      </c>
      <c r="D70">
        <v>100</v>
      </c>
      <c r="E70">
        <v>1613580</v>
      </c>
      <c r="F70">
        <v>1</v>
      </c>
    </row>
    <row r="71" spans="1:6">
      <c r="A71" s="1">
        <v>68</v>
      </c>
      <c r="B71">
        <f t="shared" si="1"/>
        <v>40</v>
      </c>
      <c r="C71">
        <v>3300</v>
      </c>
      <c r="D71">
        <v>100</v>
      </c>
      <c r="E71">
        <v>1694260</v>
      </c>
      <c r="F71">
        <v>1</v>
      </c>
    </row>
    <row r="72" spans="1:6">
      <c r="A72" s="1">
        <v>69</v>
      </c>
      <c r="B72">
        <f t="shared" si="1"/>
        <v>40</v>
      </c>
      <c r="C72">
        <v>3200</v>
      </c>
      <c r="D72">
        <v>100</v>
      </c>
      <c r="E72">
        <v>1778980</v>
      </c>
      <c r="F72">
        <v>1</v>
      </c>
    </row>
    <row r="73" spans="1:6">
      <c r="A73" s="1">
        <v>70</v>
      </c>
      <c r="B73">
        <f t="shared" si="1"/>
        <v>40</v>
      </c>
      <c r="C73">
        <v>3100</v>
      </c>
      <c r="D73">
        <v>100</v>
      </c>
      <c r="E73">
        <v>1867920</v>
      </c>
      <c r="F73">
        <v>1</v>
      </c>
    </row>
    <row r="74" spans="1:6">
      <c r="A74" s="1">
        <v>71</v>
      </c>
      <c r="B74">
        <f t="shared" si="1"/>
        <v>40</v>
      </c>
      <c r="C74">
        <v>3000</v>
      </c>
      <c r="D74">
        <v>100</v>
      </c>
      <c r="E74">
        <v>1961320</v>
      </c>
      <c r="F74">
        <v>1</v>
      </c>
    </row>
    <row r="75" spans="1:6">
      <c r="A75" s="1">
        <v>72</v>
      </c>
      <c r="B75">
        <f t="shared" si="1"/>
        <v>40</v>
      </c>
      <c r="C75">
        <v>2900</v>
      </c>
      <c r="D75">
        <v>100</v>
      </c>
      <c r="E75">
        <v>2059390</v>
      </c>
      <c r="F75">
        <v>1</v>
      </c>
    </row>
    <row r="76" spans="1:6">
      <c r="A76" s="1">
        <v>73</v>
      </c>
      <c r="B76">
        <f t="shared" si="1"/>
        <v>40</v>
      </c>
      <c r="C76">
        <v>2800</v>
      </c>
      <c r="D76">
        <v>100</v>
      </c>
      <c r="E76">
        <v>2162350</v>
      </c>
      <c r="F76">
        <v>1</v>
      </c>
    </row>
    <row r="77" spans="1:6">
      <c r="A77" s="1">
        <v>74</v>
      </c>
      <c r="B77">
        <f t="shared" si="1"/>
        <v>40</v>
      </c>
      <c r="C77">
        <v>2700</v>
      </c>
      <c r="D77">
        <v>100</v>
      </c>
      <c r="E77">
        <v>2270470</v>
      </c>
      <c r="F77">
        <v>1</v>
      </c>
    </row>
    <row r="78" spans="1:6">
      <c r="A78" s="1">
        <v>75</v>
      </c>
      <c r="B78">
        <f t="shared" si="1"/>
        <v>40</v>
      </c>
      <c r="C78">
        <v>2600</v>
      </c>
      <c r="D78">
        <v>100</v>
      </c>
      <c r="E78">
        <v>2384000</v>
      </c>
      <c r="F78">
        <v>1</v>
      </c>
    </row>
    <row r="79" spans="1:6">
      <c r="A79" s="1">
        <v>76</v>
      </c>
      <c r="B79">
        <f t="shared" si="1"/>
        <v>40</v>
      </c>
      <c r="C79">
        <v>2500</v>
      </c>
      <c r="D79">
        <v>100</v>
      </c>
      <c r="E79">
        <v>2503190</v>
      </c>
      <c r="F79">
        <v>1</v>
      </c>
    </row>
    <row r="80" spans="1:6">
      <c r="A80" s="1">
        <v>77</v>
      </c>
      <c r="B80">
        <f t="shared" si="1"/>
        <v>40</v>
      </c>
      <c r="C80">
        <v>2400</v>
      </c>
      <c r="D80">
        <v>100</v>
      </c>
      <c r="E80">
        <v>2628350</v>
      </c>
      <c r="F80">
        <v>1</v>
      </c>
    </row>
    <row r="81" spans="1:6">
      <c r="A81" s="1">
        <v>78</v>
      </c>
      <c r="B81">
        <f t="shared" si="1"/>
        <v>40</v>
      </c>
      <c r="C81">
        <v>2300</v>
      </c>
      <c r="D81">
        <v>100</v>
      </c>
      <c r="E81">
        <v>2759770</v>
      </c>
      <c r="F81">
        <v>1</v>
      </c>
    </row>
    <row r="82" spans="1:6">
      <c r="A82" s="1">
        <v>79</v>
      </c>
      <c r="B82">
        <f t="shared" si="1"/>
        <v>40</v>
      </c>
      <c r="C82">
        <v>2200</v>
      </c>
      <c r="D82">
        <v>100</v>
      </c>
      <c r="E82">
        <v>2897760</v>
      </c>
      <c r="F82">
        <v>1</v>
      </c>
    </row>
    <row r="83" spans="1:6">
      <c r="A83" s="1">
        <v>80</v>
      </c>
      <c r="B83">
        <f t="shared" si="1"/>
        <v>40</v>
      </c>
      <c r="C83">
        <v>2100</v>
      </c>
      <c r="D83">
        <v>100</v>
      </c>
      <c r="E83">
        <v>3042650</v>
      </c>
      <c r="F83">
        <v>1</v>
      </c>
    </row>
    <row r="84" spans="1:6">
      <c r="A84" s="1">
        <v>81</v>
      </c>
      <c r="B84">
        <f t="shared" si="1"/>
        <v>40</v>
      </c>
      <c r="C84">
        <v>2000</v>
      </c>
      <c r="D84">
        <v>100</v>
      </c>
      <c r="E84">
        <v>3194780</v>
      </c>
      <c r="F84">
        <v>1</v>
      </c>
    </row>
    <row r="85" spans="1:6">
      <c r="A85" s="1">
        <v>82</v>
      </c>
      <c r="B85">
        <f t="shared" si="1"/>
        <v>40</v>
      </c>
      <c r="C85">
        <v>1900</v>
      </c>
      <c r="D85">
        <v>100</v>
      </c>
      <c r="E85">
        <v>3354520</v>
      </c>
      <c r="F85">
        <v>1</v>
      </c>
    </row>
    <row r="86" spans="1:6">
      <c r="A86" s="1">
        <v>83</v>
      </c>
      <c r="B86">
        <f t="shared" si="1"/>
        <v>40</v>
      </c>
      <c r="C86">
        <v>1800</v>
      </c>
      <c r="D86">
        <v>100</v>
      </c>
      <c r="E86">
        <v>3522240</v>
      </c>
      <c r="F86">
        <v>1</v>
      </c>
    </row>
    <row r="87" spans="1:6">
      <c r="A87" s="1">
        <v>84</v>
      </c>
      <c r="B87">
        <f t="shared" si="1"/>
        <v>40</v>
      </c>
      <c r="C87">
        <v>1700</v>
      </c>
      <c r="D87">
        <v>100</v>
      </c>
      <c r="E87">
        <v>3698360</v>
      </c>
      <c r="F87">
        <v>1</v>
      </c>
    </row>
    <row r="88" spans="1:6">
      <c r="A88" s="1">
        <v>85</v>
      </c>
      <c r="B88">
        <f t="shared" si="1"/>
        <v>40</v>
      </c>
      <c r="C88">
        <v>1600</v>
      </c>
      <c r="D88">
        <v>100</v>
      </c>
      <c r="E88">
        <v>3883270</v>
      </c>
      <c r="F88">
        <v>1</v>
      </c>
    </row>
    <row r="89" spans="1:6">
      <c r="A89" s="1">
        <v>86</v>
      </c>
      <c r="B89">
        <f t="shared" si="1"/>
        <v>40</v>
      </c>
      <c r="C89">
        <v>1500</v>
      </c>
      <c r="D89">
        <v>100</v>
      </c>
      <c r="E89">
        <v>4077440</v>
      </c>
      <c r="F89">
        <v>1</v>
      </c>
    </row>
    <row r="90" spans="1:6">
      <c r="A90" s="1">
        <v>87</v>
      </c>
      <c r="B90">
        <f t="shared" si="1"/>
        <v>40</v>
      </c>
      <c r="C90">
        <v>1400</v>
      </c>
      <c r="D90">
        <v>100</v>
      </c>
      <c r="E90">
        <v>4281310</v>
      </c>
      <c r="F90">
        <v>1</v>
      </c>
    </row>
    <row r="91" spans="1:6">
      <c r="A91" s="1">
        <v>88</v>
      </c>
      <c r="B91">
        <f t="shared" si="1"/>
        <v>40</v>
      </c>
      <c r="C91">
        <v>1300</v>
      </c>
      <c r="D91">
        <v>100</v>
      </c>
      <c r="E91">
        <v>4495370</v>
      </c>
      <c r="F91">
        <v>1</v>
      </c>
    </row>
    <row r="92" spans="1:6">
      <c r="A92" s="1">
        <v>89</v>
      </c>
      <c r="B92">
        <f t="shared" si="1"/>
        <v>40</v>
      </c>
      <c r="C92">
        <v>1200</v>
      </c>
      <c r="D92">
        <v>100</v>
      </c>
      <c r="E92">
        <v>4720140</v>
      </c>
      <c r="F92">
        <v>1</v>
      </c>
    </row>
    <row r="93" spans="1:6">
      <c r="A93" s="1">
        <v>90</v>
      </c>
      <c r="B93">
        <f t="shared" si="1"/>
        <v>40</v>
      </c>
      <c r="C93">
        <v>1100</v>
      </c>
      <c r="D93">
        <v>100</v>
      </c>
      <c r="E93">
        <v>4956150</v>
      </c>
      <c r="F93">
        <v>1</v>
      </c>
    </row>
    <row r="94" spans="1:6">
      <c r="A94" s="1">
        <v>91</v>
      </c>
      <c r="B94">
        <f t="shared" si="1"/>
        <v>40</v>
      </c>
      <c r="C94">
        <v>1000</v>
      </c>
      <c r="D94">
        <v>100</v>
      </c>
      <c r="E94">
        <v>5203960</v>
      </c>
      <c r="F94">
        <v>1</v>
      </c>
    </row>
    <row r="95" spans="1:6">
      <c r="A95" s="1">
        <v>92</v>
      </c>
      <c r="B95">
        <f t="shared" si="1"/>
        <v>40</v>
      </c>
      <c r="C95">
        <v>900</v>
      </c>
      <c r="D95">
        <v>100</v>
      </c>
      <c r="E95">
        <v>5464150</v>
      </c>
      <c r="F95">
        <v>1</v>
      </c>
    </row>
    <row r="96" spans="1:6">
      <c r="A96" s="1">
        <v>93</v>
      </c>
      <c r="B96">
        <f t="shared" si="1"/>
        <v>40</v>
      </c>
      <c r="C96">
        <v>800</v>
      </c>
      <c r="D96">
        <v>100</v>
      </c>
      <c r="E96">
        <v>5737360</v>
      </c>
      <c r="F96">
        <v>1</v>
      </c>
    </row>
    <row r="97" spans="1:6">
      <c r="A97" s="1">
        <v>94</v>
      </c>
      <c r="B97">
        <f t="shared" si="1"/>
        <v>40</v>
      </c>
      <c r="C97">
        <v>700</v>
      </c>
      <c r="D97">
        <v>100</v>
      </c>
      <c r="E97">
        <v>6024230</v>
      </c>
      <c r="F97">
        <v>1</v>
      </c>
    </row>
    <row r="98" spans="1:6">
      <c r="A98" s="1">
        <v>95</v>
      </c>
      <c r="B98">
        <f t="shared" si="1"/>
        <v>40</v>
      </c>
      <c r="C98">
        <v>600</v>
      </c>
      <c r="D98">
        <v>100</v>
      </c>
      <c r="E98">
        <v>6325440</v>
      </c>
      <c r="F98">
        <v>1</v>
      </c>
    </row>
    <row r="99" spans="1:6">
      <c r="A99" s="1">
        <v>96</v>
      </c>
      <c r="B99">
        <f t="shared" si="1"/>
        <v>40</v>
      </c>
      <c r="C99">
        <v>500</v>
      </c>
      <c r="D99">
        <v>100</v>
      </c>
      <c r="E99">
        <v>6641710</v>
      </c>
      <c r="F99">
        <v>1</v>
      </c>
    </row>
    <row r="100" spans="1:6">
      <c r="A100" s="1">
        <v>97</v>
      </c>
      <c r="B100">
        <f t="shared" si="1"/>
        <v>40</v>
      </c>
      <c r="C100">
        <v>400</v>
      </c>
      <c r="D100">
        <v>100</v>
      </c>
      <c r="E100">
        <v>6973800</v>
      </c>
      <c r="F100">
        <v>1</v>
      </c>
    </row>
    <row r="101" spans="1:6">
      <c r="A101" s="1">
        <v>98</v>
      </c>
      <c r="B101">
        <f t="shared" ref="B101:B123" si="2">MIN(40,A101)</f>
        <v>40</v>
      </c>
      <c r="C101">
        <v>300</v>
      </c>
      <c r="D101">
        <v>100</v>
      </c>
      <c r="E101">
        <v>7322490</v>
      </c>
      <c r="F101">
        <v>1</v>
      </c>
    </row>
    <row r="102" spans="1:6">
      <c r="A102" s="1">
        <v>99</v>
      </c>
      <c r="B102">
        <f t="shared" si="2"/>
        <v>40</v>
      </c>
      <c r="C102">
        <v>200</v>
      </c>
      <c r="D102">
        <v>100</v>
      </c>
      <c r="E102">
        <v>7688610</v>
      </c>
      <c r="F102">
        <v>1</v>
      </c>
    </row>
    <row r="103" spans="1:6">
      <c r="A103" s="1">
        <v>100</v>
      </c>
      <c r="B103">
        <f t="shared" si="2"/>
        <v>40</v>
      </c>
      <c r="C103">
        <v>100</v>
      </c>
      <c r="D103">
        <v>100</v>
      </c>
      <c r="E103">
        <v>8073040</v>
      </c>
      <c r="F103">
        <v>1</v>
      </c>
    </row>
    <row r="104" spans="1:6">
      <c r="A104" s="1">
        <v>101</v>
      </c>
      <c r="B104">
        <f t="shared" si="2"/>
        <v>40</v>
      </c>
      <c r="C104">
        <v>100</v>
      </c>
      <c r="D104">
        <v>100</v>
      </c>
      <c r="E104">
        <v>8476690</v>
      </c>
      <c r="F104">
        <v>1</v>
      </c>
    </row>
    <row r="105" spans="1:6">
      <c r="A105" s="1">
        <v>102</v>
      </c>
      <c r="B105">
        <f t="shared" si="2"/>
        <v>40</v>
      </c>
      <c r="C105">
        <v>100</v>
      </c>
      <c r="D105">
        <v>100</v>
      </c>
      <c r="E105">
        <v>8900530</v>
      </c>
      <c r="F105">
        <v>1</v>
      </c>
    </row>
    <row r="106" spans="1:6">
      <c r="A106" s="1">
        <v>103</v>
      </c>
      <c r="B106">
        <f t="shared" si="2"/>
        <v>40</v>
      </c>
      <c r="C106">
        <v>100</v>
      </c>
      <c r="D106">
        <v>100</v>
      </c>
      <c r="E106">
        <v>9345550</v>
      </c>
      <c r="F106">
        <v>1</v>
      </c>
    </row>
    <row r="107" spans="1:6">
      <c r="A107" s="1">
        <v>104</v>
      </c>
      <c r="B107">
        <f t="shared" si="2"/>
        <v>40</v>
      </c>
      <c r="C107">
        <v>100</v>
      </c>
      <c r="D107">
        <v>100</v>
      </c>
      <c r="E107">
        <v>9812830</v>
      </c>
      <c r="F107">
        <v>1</v>
      </c>
    </row>
    <row r="108" spans="1:6">
      <c r="A108" s="1">
        <v>105</v>
      </c>
      <c r="B108">
        <f t="shared" si="2"/>
        <v>40</v>
      </c>
      <c r="C108">
        <v>100</v>
      </c>
      <c r="D108">
        <v>100</v>
      </c>
      <c r="E108">
        <v>10303470</v>
      </c>
      <c r="F108">
        <v>1</v>
      </c>
    </row>
    <row r="109" spans="1:6">
      <c r="A109" s="1">
        <v>106</v>
      </c>
      <c r="B109">
        <f t="shared" si="2"/>
        <v>40</v>
      </c>
      <c r="C109">
        <v>100</v>
      </c>
      <c r="D109">
        <v>100</v>
      </c>
      <c r="E109">
        <v>10818650</v>
      </c>
      <c r="F109">
        <v>1</v>
      </c>
    </row>
    <row r="110" spans="1:6">
      <c r="A110" s="1">
        <v>107</v>
      </c>
      <c r="B110">
        <f t="shared" si="2"/>
        <v>40</v>
      </c>
      <c r="C110">
        <v>100</v>
      </c>
      <c r="D110">
        <v>100</v>
      </c>
      <c r="E110">
        <v>11359580</v>
      </c>
      <c r="F110">
        <v>1</v>
      </c>
    </row>
    <row r="111" spans="1:6">
      <c r="A111" s="1">
        <v>108</v>
      </c>
      <c r="B111">
        <f t="shared" si="2"/>
        <v>40</v>
      </c>
      <c r="C111">
        <v>100</v>
      </c>
      <c r="D111">
        <v>100</v>
      </c>
      <c r="E111">
        <v>11927560</v>
      </c>
      <c r="F111">
        <v>1</v>
      </c>
    </row>
    <row r="112" spans="1:6">
      <c r="A112" s="1">
        <v>109</v>
      </c>
      <c r="B112">
        <f t="shared" si="2"/>
        <v>40</v>
      </c>
      <c r="C112">
        <v>100</v>
      </c>
      <c r="D112">
        <v>100</v>
      </c>
      <c r="E112">
        <v>12523930</v>
      </c>
      <c r="F112">
        <v>1</v>
      </c>
    </row>
    <row r="113" spans="1:6">
      <c r="A113" s="1">
        <v>110</v>
      </c>
      <c r="B113">
        <f t="shared" si="2"/>
        <v>40</v>
      </c>
      <c r="C113">
        <v>100</v>
      </c>
      <c r="D113">
        <v>100</v>
      </c>
      <c r="E113">
        <v>13150130</v>
      </c>
      <c r="F113">
        <v>1</v>
      </c>
    </row>
    <row r="114" spans="1:6">
      <c r="A114" s="1">
        <v>111</v>
      </c>
      <c r="B114">
        <f t="shared" si="2"/>
        <v>40</v>
      </c>
      <c r="C114">
        <v>100</v>
      </c>
      <c r="D114">
        <v>100</v>
      </c>
      <c r="E114">
        <v>13807640</v>
      </c>
      <c r="F114">
        <v>1</v>
      </c>
    </row>
    <row r="115" spans="1:6">
      <c r="A115" s="1">
        <v>112</v>
      </c>
      <c r="B115">
        <f t="shared" si="2"/>
        <v>40</v>
      </c>
      <c r="C115">
        <v>100</v>
      </c>
      <c r="D115">
        <v>100</v>
      </c>
      <c r="E115">
        <v>14498020</v>
      </c>
      <c r="F115">
        <v>1</v>
      </c>
    </row>
    <row r="116" spans="1:6">
      <c r="A116" s="1">
        <v>113</v>
      </c>
      <c r="B116">
        <f t="shared" si="2"/>
        <v>40</v>
      </c>
      <c r="C116">
        <v>100</v>
      </c>
      <c r="D116">
        <v>100</v>
      </c>
      <c r="E116">
        <v>15222920</v>
      </c>
      <c r="F116">
        <v>1</v>
      </c>
    </row>
    <row r="117" spans="1:6">
      <c r="A117" s="1">
        <v>114</v>
      </c>
      <c r="B117">
        <f t="shared" si="2"/>
        <v>40</v>
      </c>
      <c r="C117">
        <v>100</v>
      </c>
      <c r="D117">
        <v>100</v>
      </c>
      <c r="E117">
        <v>15984070</v>
      </c>
      <c r="F117">
        <v>1</v>
      </c>
    </row>
    <row r="118" spans="1:6">
      <c r="A118" s="1">
        <v>115</v>
      </c>
      <c r="B118">
        <f t="shared" si="2"/>
        <v>40</v>
      </c>
      <c r="C118">
        <v>100</v>
      </c>
      <c r="D118">
        <v>100</v>
      </c>
      <c r="E118">
        <v>16783270</v>
      </c>
      <c r="F118">
        <v>1</v>
      </c>
    </row>
    <row r="119" spans="1:6">
      <c r="A119" s="1">
        <v>116</v>
      </c>
      <c r="B119">
        <f t="shared" si="2"/>
        <v>40</v>
      </c>
      <c r="C119">
        <v>100</v>
      </c>
      <c r="D119">
        <v>100</v>
      </c>
      <c r="E119">
        <v>17622430</v>
      </c>
      <c r="F119">
        <v>1</v>
      </c>
    </row>
    <row r="120" spans="1:6">
      <c r="A120" s="1">
        <v>117</v>
      </c>
      <c r="B120">
        <f t="shared" si="2"/>
        <v>40</v>
      </c>
      <c r="C120">
        <v>100</v>
      </c>
      <c r="D120">
        <v>100</v>
      </c>
      <c r="E120">
        <v>18503550</v>
      </c>
      <c r="F120">
        <v>1</v>
      </c>
    </row>
    <row r="121" spans="1:6">
      <c r="A121" s="1">
        <v>118</v>
      </c>
      <c r="B121">
        <f t="shared" si="2"/>
        <v>40</v>
      </c>
      <c r="C121">
        <v>100</v>
      </c>
      <c r="D121">
        <v>100</v>
      </c>
      <c r="E121">
        <v>19428730</v>
      </c>
      <c r="F121">
        <v>1</v>
      </c>
    </row>
    <row r="122" spans="1:6">
      <c r="A122" s="1">
        <v>119</v>
      </c>
      <c r="B122">
        <f t="shared" si="2"/>
        <v>40</v>
      </c>
      <c r="C122">
        <v>100</v>
      </c>
      <c r="D122">
        <v>100</v>
      </c>
      <c r="E122">
        <v>20400170</v>
      </c>
      <c r="F122">
        <v>1</v>
      </c>
    </row>
    <row r="123" spans="1:6">
      <c r="A123" s="1">
        <v>120</v>
      </c>
      <c r="B123">
        <f t="shared" si="2"/>
        <v>40</v>
      </c>
      <c r="C123">
        <v>100</v>
      </c>
      <c r="D123">
        <v>100</v>
      </c>
      <c r="E123">
        <v>21420170</v>
      </c>
      <c r="F123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5"/>
  <sheetViews>
    <sheetView topLeftCell="C37" workbookViewId="0">
      <selection activeCell="K45" sqref="K45:K52"/>
    </sheetView>
  </sheetViews>
  <sheetFormatPr defaultRowHeight="13.5"/>
  <cols>
    <col min="2" max="2" width="15.5" customWidth="1"/>
    <col min="3" max="3" width="9" style="1"/>
    <col min="4" max="4" width="7.375" style="1" customWidth="1"/>
    <col min="5" max="5" width="8.625" style="1" customWidth="1"/>
    <col min="6" max="6" width="10.875" style="1" customWidth="1"/>
    <col min="7" max="7" width="9.625" customWidth="1"/>
    <col min="8" max="8" width="9.5" customWidth="1"/>
    <col min="9" max="9" width="10.375" style="1" customWidth="1"/>
    <col min="10" max="10" width="24" customWidth="1"/>
    <col min="11" max="11" width="11.375" customWidth="1"/>
    <col min="12" max="13" width="10.5" customWidth="1"/>
    <col min="14" max="14" width="8.75" customWidth="1"/>
    <col min="15" max="15" width="9" style="2"/>
    <col min="16" max="16" width="9.625" customWidth="1"/>
    <col min="17" max="17" width="9.75" customWidth="1"/>
    <col min="18" max="18" width="10.875" customWidth="1"/>
    <col min="19" max="19" width="10.125" customWidth="1"/>
    <col min="20" max="20" width="10.375" customWidth="1"/>
    <col min="21" max="21" width="10.125" customWidth="1"/>
    <col min="22" max="22" width="9.875" customWidth="1"/>
  </cols>
  <sheetData>
    <row r="1" spans="1:25">
      <c r="D1" s="1" t="s">
        <v>73</v>
      </c>
      <c r="E1" s="2" t="s">
        <v>80</v>
      </c>
      <c r="F1" s="2" t="s">
        <v>81</v>
      </c>
      <c r="G1" s="2" t="s">
        <v>83</v>
      </c>
      <c r="H1" s="2" t="s">
        <v>80</v>
      </c>
      <c r="I1" s="2" t="s">
        <v>82</v>
      </c>
      <c r="K1" s="2"/>
      <c r="L1" s="2"/>
      <c r="M1" s="2"/>
      <c r="N1" s="2"/>
      <c r="P1" s="2" t="s">
        <v>73</v>
      </c>
      <c r="Q1" s="2" t="s">
        <v>74</v>
      </c>
      <c r="R1" s="2" t="s">
        <v>75</v>
      </c>
      <c r="S1" s="1"/>
      <c r="T1" s="1"/>
      <c r="U1" s="1"/>
      <c r="V1" s="2"/>
      <c r="W1" s="2"/>
      <c r="X1" s="2"/>
      <c r="Y1" s="2"/>
    </row>
    <row r="2" spans="1:25">
      <c r="A2" s="2">
        <v>1</v>
      </c>
      <c r="B2" s="19" t="s">
        <v>84</v>
      </c>
      <c r="C2" s="1">
        <v>1</v>
      </c>
      <c r="D2" s="1">
        <v>1</v>
      </c>
      <c r="E2" s="2">
        <v>1</v>
      </c>
      <c r="F2" s="2">
        <f t="shared" ref="F2:F65" si="0">INT(C2*1.67)</f>
        <v>1</v>
      </c>
      <c r="G2" s="25">
        <f>INT(C2/10 )*0.05 +5%</f>
        <v>0.05</v>
      </c>
      <c r="H2" s="25">
        <f>INT(C2/10 )*0.02 +2%</f>
        <v>0.02</v>
      </c>
      <c r="I2" s="23">
        <f t="shared" ref="I2:I33" si="1">INT(C2/10 )*0.02 +2%</f>
        <v>0.02</v>
      </c>
      <c r="J2" t="s">
        <v>4</v>
      </c>
      <c r="K2" s="2">
        <v>15</v>
      </c>
      <c r="L2" s="2">
        <v>25.1</v>
      </c>
      <c r="M2" s="2">
        <v>2</v>
      </c>
      <c r="N2" s="2" t="s">
        <v>3</v>
      </c>
      <c r="P2" s="2">
        <v>0.5</v>
      </c>
      <c r="Q2" s="2">
        <v>0.5</v>
      </c>
      <c r="R2" s="2">
        <v>1</v>
      </c>
      <c r="S2" s="1"/>
      <c r="T2" s="1"/>
      <c r="U2" s="1"/>
      <c r="V2" s="2"/>
      <c r="W2" s="2"/>
      <c r="X2" s="2"/>
      <c r="Y2" s="2"/>
    </row>
    <row r="3" spans="1:25">
      <c r="A3" s="2">
        <v>2</v>
      </c>
      <c r="B3" s="20" t="s">
        <v>85</v>
      </c>
      <c r="C3" s="1">
        <v>2</v>
      </c>
      <c r="D3" s="1">
        <v>2</v>
      </c>
      <c r="E3" s="2">
        <v>3</v>
      </c>
      <c r="F3" s="2">
        <f t="shared" si="0"/>
        <v>3</v>
      </c>
      <c r="G3" s="25">
        <f t="shared" ref="G3:G66" si="2">INT(C3/10 )*0.05 +5%</f>
        <v>0.05</v>
      </c>
      <c r="H3" s="25">
        <f t="shared" ref="H3:H66" si="3">INT(C3/10 )*0.02 +2%</f>
        <v>0.02</v>
      </c>
      <c r="I3" s="23">
        <f t="shared" si="1"/>
        <v>0.02</v>
      </c>
      <c r="J3" t="s">
        <v>5</v>
      </c>
      <c r="K3" s="2">
        <v>1</v>
      </c>
      <c r="L3" s="2">
        <v>22.3</v>
      </c>
      <c r="M3" s="2">
        <v>3</v>
      </c>
      <c r="N3" s="2" t="s">
        <v>6</v>
      </c>
      <c r="O3" s="2">
        <v>1</v>
      </c>
      <c r="P3" s="3"/>
      <c r="Q3" s="4"/>
      <c r="R3" s="5"/>
      <c r="S3" s="5"/>
      <c r="T3" s="4"/>
      <c r="U3" s="5"/>
      <c r="X3" s="2"/>
      <c r="Y3" s="2"/>
    </row>
    <row r="4" spans="1:25">
      <c r="A4" s="2">
        <v>3</v>
      </c>
      <c r="B4" s="20" t="s">
        <v>86</v>
      </c>
      <c r="C4" s="1">
        <v>3</v>
      </c>
      <c r="D4" s="1">
        <v>3</v>
      </c>
      <c r="E4" s="2">
        <v>4</v>
      </c>
      <c r="F4" s="2">
        <f t="shared" si="0"/>
        <v>5</v>
      </c>
      <c r="G4" s="25">
        <f t="shared" si="2"/>
        <v>0.05</v>
      </c>
      <c r="H4" s="25">
        <f t="shared" si="3"/>
        <v>0.02</v>
      </c>
      <c r="I4" s="23">
        <f t="shared" si="1"/>
        <v>0.02</v>
      </c>
      <c r="J4" t="s">
        <v>7</v>
      </c>
      <c r="K4" s="2">
        <v>1</v>
      </c>
      <c r="L4" s="2">
        <v>22.3</v>
      </c>
      <c r="M4" s="2">
        <v>3</v>
      </c>
      <c r="N4" s="2" t="s">
        <v>8</v>
      </c>
      <c r="O4" s="2">
        <v>2</v>
      </c>
      <c r="P4" s="6"/>
      <c r="Q4" s="7"/>
      <c r="R4" s="7"/>
      <c r="S4" s="7"/>
      <c r="T4" s="7"/>
      <c r="U4" s="8"/>
      <c r="X4" s="2"/>
      <c r="Y4" s="2"/>
    </row>
    <row r="5" spans="1:25">
      <c r="A5" s="2">
        <v>4</v>
      </c>
      <c r="B5" s="20" t="s">
        <v>87</v>
      </c>
      <c r="C5" s="1">
        <v>4</v>
      </c>
      <c r="D5" s="1">
        <v>4</v>
      </c>
      <c r="E5" s="2">
        <v>6</v>
      </c>
      <c r="F5" s="2">
        <f t="shared" si="0"/>
        <v>6</v>
      </c>
      <c r="G5" s="25">
        <f t="shared" si="2"/>
        <v>0.05</v>
      </c>
      <c r="H5" s="25">
        <f t="shared" si="3"/>
        <v>0.02</v>
      </c>
      <c r="I5" s="23">
        <f t="shared" si="1"/>
        <v>0.02</v>
      </c>
      <c r="J5" t="s">
        <v>9</v>
      </c>
      <c r="K5" s="2">
        <v>1</v>
      </c>
      <c r="L5" s="2">
        <v>22.3</v>
      </c>
      <c r="M5" s="2">
        <v>3</v>
      </c>
      <c r="N5" s="2" t="s">
        <v>10</v>
      </c>
      <c r="O5" s="2">
        <v>3</v>
      </c>
      <c r="P5" s="6"/>
      <c r="Q5" s="7"/>
      <c r="R5" s="7"/>
      <c r="S5" s="7"/>
      <c r="T5" s="7"/>
      <c r="U5" s="8"/>
      <c r="X5" s="2"/>
      <c r="Y5" s="2"/>
    </row>
    <row r="6" spans="1:25">
      <c r="A6" s="2">
        <v>5</v>
      </c>
      <c r="B6" s="21" t="s">
        <v>88</v>
      </c>
      <c r="C6" s="1">
        <v>5</v>
      </c>
      <c r="D6" s="1">
        <v>5</v>
      </c>
      <c r="E6" s="2">
        <v>7</v>
      </c>
      <c r="F6" s="2">
        <f t="shared" si="0"/>
        <v>8</v>
      </c>
      <c r="G6" s="25">
        <f t="shared" si="2"/>
        <v>0.05</v>
      </c>
      <c r="H6" s="25">
        <f t="shared" si="3"/>
        <v>0.02</v>
      </c>
      <c r="I6" s="23">
        <f t="shared" si="1"/>
        <v>0.02</v>
      </c>
      <c r="J6" t="s">
        <v>11</v>
      </c>
      <c r="K6" s="2">
        <v>1</v>
      </c>
      <c r="L6" s="2">
        <v>22.3</v>
      </c>
      <c r="M6" s="2">
        <v>3</v>
      </c>
      <c r="N6" s="2" t="s">
        <v>12</v>
      </c>
      <c r="O6" s="2">
        <v>4</v>
      </c>
      <c r="P6" s="6"/>
      <c r="Q6" s="7"/>
      <c r="R6" s="7"/>
      <c r="S6" s="7"/>
      <c r="T6" s="7"/>
      <c r="U6" s="8"/>
      <c r="X6" s="2"/>
      <c r="Y6" s="2"/>
    </row>
    <row r="7" spans="1:25">
      <c r="A7" s="2">
        <v>6</v>
      </c>
      <c r="B7" s="19" t="s">
        <v>89</v>
      </c>
      <c r="C7" s="1">
        <v>6</v>
      </c>
      <c r="D7" s="1">
        <v>6</v>
      </c>
      <c r="E7" s="2">
        <v>9</v>
      </c>
      <c r="F7" s="2">
        <f t="shared" si="0"/>
        <v>10</v>
      </c>
      <c r="G7" s="25">
        <f t="shared" si="2"/>
        <v>0.05</v>
      </c>
      <c r="H7" s="25">
        <f t="shared" si="3"/>
        <v>0.02</v>
      </c>
      <c r="I7" s="23">
        <f t="shared" si="1"/>
        <v>0.02</v>
      </c>
      <c r="J7" t="s">
        <v>13</v>
      </c>
      <c r="K7" s="2">
        <v>1</v>
      </c>
      <c r="L7" s="2">
        <v>22.3</v>
      </c>
      <c r="M7" s="2">
        <v>3</v>
      </c>
      <c r="N7" s="2" t="s">
        <v>14</v>
      </c>
      <c r="O7" s="2">
        <v>5</v>
      </c>
      <c r="P7" s="6"/>
      <c r="Q7" s="7"/>
      <c r="R7" s="7"/>
      <c r="S7" s="7"/>
      <c r="T7" s="7"/>
      <c r="U7" s="8"/>
      <c r="X7" s="2"/>
      <c r="Y7" s="2"/>
    </row>
    <row r="8" spans="1:25">
      <c r="A8" s="2">
        <v>7</v>
      </c>
      <c r="B8" s="20" t="s">
        <v>90</v>
      </c>
      <c r="C8" s="1">
        <v>7</v>
      </c>
      <c r="D8" s="1">
        <v>7</v>
      </c>
      <c r="E8" s="2">
        <v>10</v>
      </c>
      <c r="F8" s="2">
        <f t="shared" si="0"/>
        <v>11</v>
      </c>
      <c r="G8" s="25">
        <f t="shared" si="2"/>
        <v>0.05</v>
      </c>
      <c r="H8" s="25">
        <f t="shared" si="3"/>
        <v>0.02</v>
      </c>
      <c r="I8" s="23">
        <f t="shared" si="1"/>
        <v>0.02</v>
      </c>
      <c r="J8" t="s">
        <v>15</v>
      </c>
      <c r="K8" s="2">
        <v>1</v>
      </c>
      <c r="L8" s="2">
        <v>22.3</v>
      </c>
      <c r="M8" s="2">
        <v>3</v>
      </c>
      <c r="N8" s="2" t="s">
        <v>16</v>
      </c>
      <c r="O8" s="2">
        <v>6</v>
      </c>
      <c r="P8" s="6"/>
      <c r="Q8" s="7"/>
      <c r="R8" s="7"/>
      <c r="S8" s="7"/>
      <c r="T8" s="7"/>
      <c r="U8" s="8"/>
      <c r="X8" s="2"/>
      <c r="Y8" s="2"/>
    </row>
    <row r="9" spans="1:25">
      <c r="A9" s="2">
        <v>8</v>
      </c>
      <c r="B9" s="21" t="s">
        <v>91</v>
      </c>
      <c r="C9" s="1">
        <v>8</v>
      </c>
      <c r="D9" s="1">
        <v>8</v>
      </c>
      <c r="E9" s="2">
        <v>12</v>
      </c>
      <c r="F9" s="2">
        <f t="shared" si="0"/>
        <v>13</v>
      </c>
      <c r="G9" s="25">
        <f t="shared" si="2"/>
        <v>0.05</v>
      </c>
      <c r="H9" s="25">
        <f t="shared" si="3"/>
        <v>0.02</v>
      </c>
      <c r="I9" s="23">
        <f t="shared" si="1"/>
        <v>0.02</v>
      </c>
      <c r="J9" t="s">
        <v>17</v>
      </c>
      <c r="K9" s="2">
        <v>1</v>
      </c>
      <c r="L9" s="2">
        <v>22.3</v>
      </c>
      <c r="M9" s="2">
        <v>3</v>
      </c>
      <c r="N9" s="2" t="s">
        <v>18</v>
      </c>
      <c r="O9" s="2">
        <v>7</v>
      </c>
      <c r="P9" s="6"/>
      <c r="Q9" s="7"/>
      <c r="R9" s="7"/>
      <c r="S9" s="7"/>
      <c r="T9" s="7"/>
      <c r="U9" s="8"/>
      <c r="X9" s="2"/>
      <c r="Y9" s="2"/>
    </row>
    <row r="10" spans="1:25">
      <c r="A10" s="2">
        <v>9</v>
      </c>
      <c r="B10" s="19" t="s">
        <v>92</v>
      </c>
      <c r="C10" s="1">
        <v>9</v>
      </c>
      <c r="D10" s="1">
        <v>9</v>
      </c>
      <c r="E10" s="2">
        <v>13</v>
      </c>
      <c r="F10" s="2">
        <f t="shared" si="0"/>
        <v>15</v>
      </c>
      <c r="G10" s="25">
        <f t="shared" si="2"/>
        <v>0.05</v>
      </c>
      <c r="H10" s="25">
        <f t="shared" si="3"/>
        <v>0.02</v>
      </c>
      <c r="I10" s="23">
        <f t="shared" si="1"/>
        <v>0.02</v>
      </c>
      <c r="J10" t="s">
        <v>19</v>
      </c>
      <c r="K10" s="2">
        <v>1</v>
      </c>
      <c r="L10" s="2">
        <v>22.3</v>
      </c>
      <c r="M10" s="2">
        <v>3</v>
      </c>
      <c r="N10" s="2" t="s">
        <v>20</v>
      </c>
      <c r="O10" s="2">
        <v>8</v>
      </c>
      <c r="P10" s="6"/>
      <c r="Q10" s="7"/>
      <c r="R10" s="7"/>
      <c r="S10" s="7"/>
      <c r="T10" s="7"/>
      <c r="U10" s="8"/>
      <c r="X10" s="2"/>
      <c r="Y10" s="2"/>
    </row>
    <row r="11" spans="1:25">
      <c r="A11" s="2">
        <v>10</v>
      </c>
      <c r="B11" s="20" t="s">
        <v>93</v>
      </c>
      <c r="C11" s="1">
        <v>10</v>
      </c>
      <c r="D11" s="1">
        <v>10</v>
      </c>
      <c r="E11" s="2">
        <v>15</v>
      </c>
      <c r="F11" s="2">
        <f t="shared" si="0"/>
        <v>16</v>
      </c>
      <c r="G11" s="25">
        <f t="shared" si="2"/>
        <v>0.1</v>
      </c>
      <c r="H11" s="25">
        <f t="shared" si="3"/>
        <v>0.04</v>
      </c>
      <c r="I11" s="23">
        <f t="shared" si="1"/>
        <v>0.04</v>
      </c>
      <c r="J11" t="s">
        <v>21</v>
      </c>
      <c r="K11" s="2">
        <v>6</v>
      </c>
      <c r="L11" s="2">
        <v>23.3</v>
      </c>
      <c r="M11" s="2">
        <v>4</v>
      </c>
      <c r="N11" s="2" t="s">
        <v>22</v>
      </c>
      <c r="O11" s="2">
        <v>9</v>
      </c>
      <c r="P11" s="6"/>
      <c r="Q11" s="7"/>
      <c r="R11" s="7"/>
      <c r="S11" s="7"/>
      <c r="T11" s="7"/>
      <c r="U11" s="8"/>
      <c r="X11" s="2"/>
      <c r="Y11" s="2"/>
    </row>
    <row r="12" spans="1:25">
      <c r="A12" s="2">
        <v>11</v>
      </c>
      <c r="B12" s="20" t="s">
        <v>94</v>
      </c>
      <c r="C12" s="1">
        <v>11</v>
      </c>
      <c r="D12" s="1">
        <v>11</v>
      </c>
      <c r="E12" s="2">
        <v>16</v>
      </c>
      <c r="F12" s="2">
        <f t="shared" si="0"/>
        <v>18</v>
      </c>
      <c r="G12" s="25">
        <f t="shared" si="2"/>
        <v>0.1</v>
      </c>
      <c r="H12" s="25">
        <f t="shared" si="3"/>
        <v>0.04</v>
      </c>
      <c r="I12" s="23">
        <f t="shared" si="1"/>
        <v>0.04</v>
      </c>
      <c r="J12" t="s">
        <v>23</v>
      </c>
      <c r="K12" s="2">
        <v>6</v>
      </c>
      <c r="L12" s="2">
        <v>23.3</v>
      </c>
      <c r="M12" s="2">
        <v>4</v>
      </c>
      <c r="N12" s="2" t="s">
        <v>24</v>
      </c>
      <c r="O12" s="2">
        <v>10</v>
      </c>
      <c r="P12" s="9"/>
      <c r="Q12" s="10"/>
      <c r="R12" s="10"/>
      <c r="S12" s="10"/>
      <c r="T12" s="10"/>
      <c r="U12" s="11"/>
      <c r="V12" s="12"/>
      <c r="W12" s="12"/>
      <c r="X12" s="13"/>
      <c r="Y12" s="2"/>
    </row>
    <row r="13" spans="1:25">
      <c r="A13" s="2">
        <v>12</v>
      </c>
      <c r="B13" s="21" t="s">
        <v>95</v>
      </c>
      <c r="C13" s="1">
        <v>12</v>
      </c>
      <c r="D13" s="1">
        <v>12</v>
      </c>
      <c r="E13" s="2">
        <v>18</v>
      </c>
      <c r="F13" s="2">
        <f t="shared" si="0"/>
        <v>20</v>
      </c>
      <c r="G13" s="25">
        <f t="shared" si="2"/>
        <v>0.1</v>
      </c>
      <c r="H13" s="25">
        <f t="shared" si="3"/>
        <v>0.04</v>
      </c>
      <c r="I13" s="23">
        <f t="shared" si="1"/>
        <v>0.04</v>
      </c>
      <c r="J13" t="s">
        <v>25</v>
      </c>
      <c r="K13" s="2">
        <v>6</v>
      </c>
      <c r="L13" s="2">
        <v>23.3</v>
      </c>
      <c r="M13" s="2">
        <v>4</v>
      </c>
      <c r="N13" s="2" t="s">
        <v>26</v>
      </c>
      <c r="O13" s="2">
        <v>11</v>
      </c>
      <c r="P13" s="6"/>
      <c r="Q13" s="7"/>
      <c r="R13" s="7"/>
      <c r="S13" s="7"/>
      <c r="T13" s="7"/>
      <c r="U13" s="8"/>
      <c r="X13" s="2"/>
      <c r="Y13" s="2"/>
    </row>
    <row r="14" spans="1:25">
      <c r="A14" s="2">
        <v>13</v>
      </c>
      <c r="B14" t="s">
        <v>96</v>
      </c>
      <c r="C14" s="1">
        <v>13</v>
      </c>
      <c r="D14" s="1">
        <v>13</v>
      </c>
      <c r="E14" s="2">
        <v>19</v>
      </c>
      <c r="F14" s="2">
        <f t="shared" si="0"/>
        <v>21</v>
      </c>
      <c r="G14" s="25">
        <f t="shared" si="2"/>
        <v>0.1</v>
      </c>
      <c r="H14" s="25">
        <f t="shared" si="3"/>
        <v>0.04</v>
      </c>
      <c r="I14" s="23">
        <f t="shared" si="1"/>
        <v>0.04</v>
      </c>
      <c r="J14" t="s">
        <v>27</v>
      </c>
      <c r="K14" s="2">
        <v>6</v>
      </c>
      <c r="L14" s="2">
        <v>23.3</v>
      </c>
      <c r="M14" s="2">
        <v>4</v>
      </c>
      <c r="N14" s="2" t="s">
        <v>28</v>
      </c>
      <c r="O14" s="2">
        <v>12</v>
      </c>
      <c r="P14" s="6"/>
      <c r="Q14" s="7"/>
      <c r="R14" s="7"/>
      <c r="S14" s="7"/>
      <c r="T14" s="7"/>
      <c r="U14" s="8"/>
      <c r="X14" s="2"/>
      <c r="Y14" s="2"/>
    </row>
    <row r="15" spans="1:25">
      <c r="A15" s="2">
        <v>14</v>
      </c>
      <c r="B15" t="s">
        <v>76</v>
      </c>
      <c r="C15" s="1">
        <v>14</v>
      </c>
      <c r="D15" s="1">
        <v>14</v>
      </c>
      <c r="E15" s="2">
        <v>21</v>
      </c>
      <c r="F15" s="2">
        <f t="shared" si="0"/>
        <v>23</v>
      </c>
      <c r="G15" s="25">
        <f t="shared" si="2"/>
        <v>0.1</v>
      </c>
      <c r="H15" s="25">
        <f t="shared" si="3"/>
        <v>0.04</v>
      </c>
      <c r="I15" s="23">
        <f t="shared" si="1"/>
        <v>0.04</v>
      </c>
      <c r="J15" t="s">
        <v>29</v>
      </c>
      <c r="K15" s="2">
        <v>6</v>
      </c>
      <c r="L15" s="2">
        <v>23.3</v>
      </c>
      <c r="M15" s="2">
        <v>4</v>
      </c>
      <c r="N15" s="2" t="s">
        <v>30</v>
      </c>
      <c r="O15" s="2">
        <v>13</v>
      </c>
      <c r="P15" s="6"/>
      <c r="Q15" s="7"/>
      <c r="R15" s="7"/>
      <c r="S15" s="7"/>
      <c r="T15" s="7"/>
      <c r="U15" s="8"/>
      <c r="X15" s="2"/>
      <c r="Y15" s="2"/>
    </row>
    <row r="16" spans="1:25">
      <c r="A16" s="2">
        <v>15</v>
      </c>
      <c r="B16" t="s">
        <v>77</v>
      </c>
      <c r="C16" s="1">
        <v>15</v>
      </c>
      <c r="D16" s="1">
        <v>15</v>
      </c>
      <c r="E16" s="2">
        <v>22</v>
      </c>
      <c r="F16" s="2">
        <f t="shared" si="0"/>
        <v>25</v>
      </c>
      <c r="G16" s="25">
        <f t="shared" si="2"/>
        <v>0.1</v>
      </c>
      <c r="H16" s="25">
        <f t="shared" si="3"/>
        <v>0.04</v>
      </c>
      <c r="I16" s="23">
        <f t="shared" si="1"/>
        <v>0.04</v>
      </c>
      <c r="J16" t="s">
        <v>45</v>
      </c>
      <c r="K16" s="2">
        <v>15</v>
      </c>
      <c r="L16" s="2">
        <v>25.1</v>
      </c>
      <c r="M16" s="2">
        <v>2</v>
      </c>
      <c r="O16" s="2">
        <v>14</v>
      </c>
      <c r="P16" s="6"/>
      <c r="Q16" s="7"/>
      <c r="R16" s="7"/>
      <c r="S16" s="7"/>
      <c r="T16" s="7"/>
      <c r="U16" s="8"/>
      <c r="X16" s="2"/>
      <c r="Y16" s="2"/>
    </row>
    <row r="17" spans="1:25">
      <c r="A17" s="2">
        <v>16</v>
      </c>
      <c r="B17" t="s">
        <v>78</v>
      </c>
      <c r="C17" s="1">
        <v>16</v>
      </c>
      <c r="D17" s="1">
        <v>16</v>
      </c>
      <c r="E17" s="2">
        <v>24</v>
      </c>
      <c r="F17" s="2">
        <f t="shared" si="0"/>
        <v>26</v>
      </c>
      <c r="G17" s="25">
        <f t="shared" si="2"/>
        <v>0.1</v>
      </c>
      <c r="H17" s="25">
        <f t="shared" si="3"/>
        <v>0.04</v>
      </c>
      <c r="I17" s="23">
        <f t="shared" si="1"/>
        <v>0.04</v>
      </c>
      <c r="J17" t="s">
        <v>46</v>
      </c>
      <c r="K17" s="2">
        <v>2</v>
      </c>
      <c r="L17" s="2">
        <v>22.5</v>
      </c>
      <c r="M17" s="2">
        <v>3</v>
      </c>
      <c r="N17" s="1"/>
      <c r="O17" s="2">
        <v>15</v>
      </c>
      <c r="P17" s="6"/>
      <c r="Q17" s="7"/>
      <c r="R17" s="7"/>
      <c r="S17" s="7"/>
      <c r="T17" s="7"/>
      <c r="U17" s="8"/>
      <c r="X17" s="2"/>
      <c r="Y17" s="2"/>
    </row>
    <row r="18" spans="1:25" ht="12.75" customHeight="1">
      <c r="A18" s="2">
        <v>17</v>
      </c>
      <c r="B18" t="s">
        <v>79</v>
      </c>
      <c r="C18" s="1">
        <v>17</v>
      </c>
      <c r="D18" s="1">
        <v>17</v>
      </c>
      <c r="E18" s="2">
        <v>25</v>
      </c>
      <c r="F18" s="2">
        <f t="shared" si="0"/>
        <v>28</v>
      </c>
      <c r="G18" s="25">
        <f t="shared" si="2"/>
        <v>0.1</v>
      </c>
      <c r="H18" s="25">
        <f t="shared" si="3"/>
        <v>0.04</v>
      </c>
      <c r="I18" s="23">
        <f t="shared" si="1"/>
        <v>0.04</v>
      </c>
      <c r="J18" t="s">
        <v>47</v>
      </c>
      <c r="K18" s="2">
        <v>2</v>
      </c>
      <c r="L18" s="2">
        <v>22.5</v>
      </c>
      <c r="M18" s="2">
        <v>3</v>
      </c>
      <c r="N18" s="1"/>
      <c r="O18" s="2">
        <v>16</v>
      </c>
      <c r="P18" s="6"/>
      <c r="Q18" s="7"/>
      <c r="R18" s="7"/>
      <c r="S18" s="7"/>
      <c r="T18" s="7"/>
      <c r="U18" s="8"/>
      <c r="X18" s="2"/>
      <c r="Y18" s="2"/>
    </row>
    <row r="19" spans="1:25" ht="13.5" customHeight="1">
      <c r="A19" s="2">
        <v>18</v>
      </c>
      <c r="B19" t="s">
        <v>97</v>
      </c>
      <c r="C19" s="1">
        <v>18</v>
      </c>
      <c r="D19" s="1">
        <v>18</v>
      </c>
      <c r="E19" s="2">
        <v>27</v>
      </c>
      <c r="F19" s="2">
        <f t="shared" si="0"/>
        <v>30</v>
      </c>
      <c r="G19" s="25">
        <f t="shared" si="2"/>
        <v>0.1</v>
      </c>
      <c r="H19" s="25">
        <f t="shared" si="3"/>
        <v>0.04</v>
      </c>
      <c r="I19" s="23">
        <f t="shared" si="1"/>
        <v>0.04</v>
      </c>
      <c r="J19" t="s">
        <v>48</v>
      </c>
      <c r="K19" s="2">
        <v>2</v>
      </c>
      <c r="L19" s="2">
        <v>22.5</v>
      </c>
      <c r="M19" s="2">
        <v>3</v>
      </c>
      <c r="N19" s="1"/>
      <c r="O19" s="2">
        <v>17</v>
      </c>
      <c r="P19" s="6"/>
      <c r="Q19" s="7"/>
      <c r="R19" s="7"/>
      <c r="S19" s="7"/>
      <c r="T19" s="7"/>
      <c r="U19" s="8"/>
      <c r="X19" s="2"/>
      <c r="Y19" s="2"/>
    </row>
    <row r="20" spans="1:25">
      <c r="A20" s="2">
        <v>19</v>
      </c>
      <c r="B20" t="s">
        <v>98</v>
      </c>
      <c r="C20" s="1">
        <v>19</v>
      </c>
      <c r="D20" s="1">
        <v>19</v>
      </c>
      <c r="E20" s="2">
        <v>28</v>
      </c>
      <c r="F20" s="2">
        <f t="shared" si="0"/>
        <v>31</v>
      </c>
      <c r="G20" s="25">
        <f t="shared" si="2"/>
        <v>0.1</v>
      </c>
      <c r="H20" s="25">
        <f t="shared" si="3"/>
        <v>0.04</v>
      </c>
      <c r="I20" s="23">
        <f t="shared" si="1"/>
        <v>0.04</v>
      </c>
      <c r="J20" t="s">
        <v>49</v>
      </c>
      <c r="K20" s="2">
        <v>2</v>
      </c>
      <c r="L20" s="2">
        <v>22.5</v>
      </c>
      <c r="M20" s="2">
        <v>3</v>
      </c>
      <c r="N20" s="1"/>
      <c r="O20" s="2">
        <v>18</v>
      </c>
      <c r="P20" s="6"/>
      <c r="Q20" s="7"/>
      <c r="R20" s="7"/>
      <c r="S20" s="7"/>
      <c r="T20" s="7"/>
      <c r="U20" s="8"/>
      <c r="X20" s="2"/>
      <c r="Y20" s="2"/>
    </row>
    <row r="21" spans="1:25">
      <c r="A21" s="2">
        <v>20.100000000000001</v>
      </c>
      <c r="B21" t="s">
        <v>99</v>
      </c>
      <c r="C21" s="1">
        <v>20</v>
      </c>
      <c r="D21" s="1">
        <v>20</v>
      </c>
      <c r="E21" s="2">
        <v>30</v>
      </c>
      <c r="F21" s="2">
        <f t="shared" si="0"/>
        <v>33</v>
      </c>
      <c r="G21" s="25">
        <f t="shared" si="2"/>
        <v>0.15000000000000002</v>
      </c>
      <c r="H21" s="25">
        <f t="shared" si="3"/>
        <v>0.06</v>
      </c>
      <c r="I21" s="23">
        <f t="shared" si="1"/>
        <v>0.06</v>
      </c>
      <c r="J21" t="s">
        <v>50</v>
      </c>
      <c r="K21" s="2">
        <v>2</v>
      </c>
      <c r="L21" s="2">
        <v>22.5</v>
      </c>
      <c r="M21" s="2">
        <v>3</v>
      </c>
      <c r="O21" s="2">
        <v>19</v>
      </c>
      <c r="P21" s="6"/>
      <c r="Q21" s="7"/>
      <c r="R21" s="7"/>
      <c r="S21" s="7"/>
      <c r="T21" s="7"/>
      <c r="U21" s="8"/>
      <c r="X21" s="2"/>
      <c r="Y21" s="2"/>
    </row>
    <row r="22" spans="1:25">
      <c r="A22" s="2">
        <f>A21+0.2</f>
        <v>20.3</v>
      </c>
      <c r="B22" t="s">
        <v>100</v>
      </c>
      <c r="C22" s="1">
        <v>21</v>
      </c>
      <c r="D22" s="1">
        <v>21</v>
      </c>
      <c r="E22" s="2">
        <v>31</v>
      </c>
      <c r="F22" s="2">
        <f t="shared" si="0"/>
        <v>35</v>
      </c>
      <c r="G22" s="25">
        <f t="shared" si="2"/>
        <v>0.15000000000000002</v>
      </c>
      <c r="H22" s="25">
        <f t="shared" si="3"/>
        <v>0.06</v>
      </c>
      <c r="I22" s="23">
        <f t="shared" si="1"/>
        <v>0.06</v>
      </c>
      <c r="J22" t="s">
        <v>51</v>
      </c>
      <c r="K22" s="2">
        <v>2</v>
      </c>
      <c r="L22" s="2">
        <v>22.5</v>
      </c>
      <c r="M22" s="2">
        <v>3</v>
      </c>
      <c r="O22" s="2">
        <v>20</v>
      </c>
      <c r="P22" s="9"/>
      <c r="Q22" s="10"/>
      <c r="R22" s="10"/>
      <c r="S22" s="10"/>
      <c r="T22" s="10"/>
      <c r="U22" s="11"/>
      <c r="V22" s="12"/>
      <c r="W22" s="12"/>
      <c r="X22" s="13"/>
      <c r="Y22" s="2"/>
    </row>
    <row r="23" spans="1:25">
      <c r="A23" s="2">
        <f t="shared" ref="A23:A49" si="4">A22+0.2</f>
        <v>20.5</v>
      </c>
      <c r="B23" t="s">
        <v>101</v>
      </c>
      <c r="C23" s="1">
        <v>22</v>
      </c>
      <c r="D23" s="1">
        <v>22</v>
      </c>
      <c r="E23" s="2">
        <v>33</v>
      </c>
      <c r="F23" s="2">
        <f t="shared" si="0"/>
        <v>36</v>
      </c>
      <c r="G23" s="25">
        <f t="shared" si="2"/>
        <v>0.15000000000000002</v>
      </c>
      <c r="H23" s="25">
        <f t="shared" si="3"/>
        <v>0.06</v>
      </c>
      <c r="I23" s="23">
        <f t="shared" si="1"/>
        <v>0.06</v>
      </c>
      <c r="J23" t="s">
        <v>52</v>
      </c>
      <c r="K23" s="2">
        <v>2</v>
      </c>
      <c r="L23" s="2">
        <v>22.5</v>
      </c>
      <c r="M23" s="2">
        <v>3</v>
      </c>
      <c r="O23" s="2">
        <v>21</v>
      </c>
      <c r="P23" s="6"/>
      <c r="Q23" s="7"/>
      <c r="R23" s="7"/>
      <c r="S23" s="7"/>
      <c r="T23" s="7"/>
      <c r="U23" s="8"/>
      <c r="X23" s="2"/>
      <c r="Y23" s="2"/>
    </row>
    <row r="24" spans="1:25">
      <c r="A24" s="2">
        <f t="shared" si="4"/>
        <v>20.7</v>
      </c>
      <c r="B24" t="s">
        <v>102</v>
      </c>
      <c r="C24" s="1">
        <v>23</v>
      </c>
      <c r="D24" s="1">
        <v>23</v>
      </c>
      <c r="E24" s="2">
        <v>34</v>
      </c>
      <c r="F24" s="2">
        <f t="shared" si="0"/>
        <v>38</v>
      </c>
      <c r="G24" s="25">
        <f t="shared" si="2"/>
        <v>0.15000000000000002</v>
      </c>
      <c r="H24" s="25">
        <f t="shared" si="3"/>
        <v>0.06</v>
      </c>
      <c r="I24" s="23">
        <f t="shared" si="1"/>
        <v>0.06</v>
      </c>
      <c r="J24" t="s">
        <v>53</v>
      </c>
      <c r="K24" s="2">
        <v>2</v>
      </c>
      <c r="L24" s="2">
        <v>22.5</v>
      </c>
      <c r="M24" s="2">
        <v>3</v>
      </c>
      <c r="O24" s="2">
        <v>22</v>
      </c>
      <c r="P24" s="6"/>
      <c r="Q24" s="7"/>
      <c r="R24" s="7"/>
      <c r="S24" s="7"/>
      <c r="T24" s="7"/>
      <c r="U24" s="8"/>
      <c r="X24" s="2"/>
      <c r="Y24" s="2"/>
    </row>
    <row r="25" spans="1:25">
      <c r="A25" s="2">
        <f t="shared" si="4"/>
        <v>20.9</v>
      </c>
      <c r="B25" t="s">
        <v>103</v>
      </c>
      <c r="C25" s="1">
        <v>24</v>
      </c>
      <c r="D25" s="1">
        <v>24</v>
      </c>
      <c r="E25" s="2">
        <v>36</v>
      </c>
      <c r="F25" s="2">
        <f t="shared" si="0"/>
        <v>40</v>
      </c>
      <c r="G25" s="25">
        <f t="shared" si="2"/>
        <v>0.15000000000000002</v>
      </c>
      <c r="H25" s="25">
        <f t="shared" si="3"/>
        <v>0.06</v>
      </c>
      <c r="I25" s="23">
        <f t="shared" si="1"/>
        <v>0.06</v>
      </c>
      <c r="J25" t="s">
        <v>54</v>
      </c>
      <c r="K25" s="2">
        <v>6</v>
      </c>
      <c r="L25" s="2">
        <v>23.3</v>
      </c>
      <c r="M25" s="2">
        <v>4</v>
      </c>
      <c r="O25" s="2">
        <v>23</v>
      </c>
      <c r="P25" s="6"/>
      <c r="Q25" s="7"/>
      <c r="R25" s="7"/>
      <c r="S25" s="7"/>
      <c r="T25" s="7"/>
      <c r="U25" s="8"/>
      <c r="X25" s="2"/>
      <c r="Y25" s="2"/>
    </row>
    <row r="26" spans="1:25">
      <c r="A26" s="2">
        <f t="shared" si="4"/>
        <v>21.099999999999998</v>
      </c>
      <c r="B26" t="s">
        <v>104</v>
      </c>
      <c r="C26" s="1">
        <v>25</v>
      </c>
      <c r="D26" s="1">
        <v>25</v>
      </c>
      <c r="E26" s="2">
        <v>37</v>
      </c>
      <c r="F26" s="2">
        <f t="shared" si="0"/>
        <v>41</v>
      </c>
      <c r="G26" s="25">
        <f t="shared" si="2"/>
        <v>0.15000000000000002</v>
      </c>
      <c r="H26" s="25">
        <f t="shared" si="3"/>
        <v>0.06</v>
      </c>
      <c r="I26" s="23">
        <f t="shared" si="1"/>
        <v>0.06</v>
      </c>
      <c r="J26" t="s">
        <v>55</v>
      </c>
      <c r="K26" s="2">
        <v>6</v>
      </c>
      <c r="L26" s="2">
        <v>23.3</v>
      </c>
      <c r="M26" s="2">
        <v>4</v>
      </c>
      <c r="O26" s="2">
        <v>24</v>
      </c>
      <c r="P26" s="6"/>
      <c r="Q26" s="7"/>
      <c r="R26" s="7"/>
      <c r="S26" s="7"/>
      <c r="T26" s="7"/>
      <c r="U26" s="8"/>
      <c r="X26" s="2"/>
      <c r="Y26" s="2"/>
    </row>
    <row r="27" spans="1:25">
      <c r="A27" s="2">
        <f t="shared" si="4"/>
        <v>21.299999999999997</v>
      </c>
      <c r="B27" t="s">
        <v>105</v>
      </c>
      <c r="C27" s="1">
        <v>26</v>
      </c>
      <c r="D27" s="1">
        <v>26</v>
      </c>
      <c r="E27" s="2">
        <v>39</v>
      </c>
      <c r="F27" s="2">
        <f t="shared" si="0"/>
        <v>43</v>
      </c>
      <c r="G27" s="25">
        <f t="shared" si="2"/>
        <v>0.15000000000000002</v>
      </c>
      <c r="H27" s="25">
        <f t="shared" si="3"/>
        <v>0.06</v>
      </c>
      <c r="I27" s="23">
        <f t="shared" si="1"/>
        <v>0.06</v>
      </c>
      <c r="J27" t="s">
        <v>56</v>
      </c>
      <c r="K27" s="2">
        <v>6</v>
      </c>
      <c r="L27" s="2">
        <v>23.3</v>
      </c>
      <c r="M27" s="2">
        <v>4</v>
      </c>
      <c r="O27" s="2">
        <v>25</v>
      </c>
      <c r="P27" s="6"/>
      <c r="Q27" s="7"/>
      <c r="R27" s="7"/>
      <c r="S27" s="7"/>
      <c r="T27" s="7"/>
      <c r="U27" s="8"/>
      <c r="X27" s="2"/>
      <c r="Y27" s="2"/>
    </row>
    <row r="28" spans="1:25">
      <c r="A28" s="2">
        <f t="shared" si="4"/>
        <v>21.499999999999996</v>
      </c>
      <c r="B28" t="s">
        <v>106</v>
      </c>
      <c r="C28" s="1">
        <v>27</v>
      </c>
      <c r="D28" s="1">
        <v>27</v>
      </c>
      <c r="E28" s="2">
        <v>40</v>
      </c>
      <c r="F28" s="2">
        <f t="shared" si="0"/>
        <v>45</v>
      </c>
      <c r="G28" s="25">
        <f t="shared" si="2"/>
        <v>0.15000000000000002</v>
      </c>
      <c r="H28" s="25">
        <f t="shared" si="3"/>
        <v>0.06</v>
      </c>
      <c r="I28" s="23">
        <f t="shared" si="1"/>
        <v>0.06</v>
      </c>
      <c r="J28" t="s">
        <v>57</v>
      </c>
      <c r="K28" s="2">
        <v>6</v>
      </c>
      <c r="L28" s="2">
        <v>23.3</v>
      </c>
      <c r="M28" s="2">
        <v>4</v>
      </c>
      <c r="O28" s="2">
        <v>26</v>
      </c>
      <c r="P28" s="6"/>
      <c r="Q28" s="7"/>
      <c r="R28" s="7"/>
      <c r="S28" s="7"/>
      <c r="T28" s="7"/>
      <c r="U28" s="8"/>
      <c r="X28" s="2"/>
      <c r="Y28" s="2"/>
    </row>
    <row r="29" spans="1:25">
      <c r="A29" s="2">
        <f t="shared" si="4"/>
        <v>21.699999999999996</v>
      </c>
      <c r="B29" t="s">
        <v>107</v>
      </c>
      <c r="C29" s="1">
        <v>28</v>
      </c>
      <c r="D29" s="1">
        <v>28</v>
      </c>
      <c r="E29" s="2">
        <v>42</v>
      </c>
      <c r="F29" s="2">
        <f t="shared" si="0"/>
        <v>46</v>
      </c>
      <c r="G29" s="25">
        <f t="shared" si="2"/>
        <v>0.15000000000000002</v>
      </c>
      <c r="H29" s="25">
        <f t="shared" si="3"/>
        <v>0.06</v>
      </c>
      <c r="I29" s="23">
        <f t="shared" si="1"/>
        <v>0.06</v>
      </c>
      <c r="J29" t="s">
        <v>58</v>
      </c>
      <c r="K29" s="2">
        <v>6</v>
      </c>
      <c r="L29" s="2">
        <v>23.3</v>
      </c>
      <c r="M29" s="2">
        <v>4</v>
      </c>
      <c r="O29" s="2">
        <v>27</v>
      </c>
      <c r="P29" s="6"/>
      <c r="Q29" s="7"/>
      <c r="R29" s="7"/>
      <c r="S29" s="7"/>
      <c r="T29" s="7"/>
      <c r="U29" s="8"/>
      <c r="X29" s="2"/>
      <c r="Y29" s="2"/>
    </row>
    <row r="30" spans="1:25">
      <c r="A30" s="2">
        <f t="shared" si="4"/>
        <v>21.899999999999995</v>
      </c>
      <c r="B30" t="s">
        <v>108</v>
      </c>
      <c r="C30" s="1">
        <v>29</v>
      </c>
      <c r="D30" s="1">
        <v>29</v>
      </c>
      <c r="E30" s="2">
        <v>43</v>
      </c>
      <c r="F30" s="2">
        <f t="shared" si="0"/>
        <v>48</v>
      </c>
      <c r="G30" s="25">
        <f t="shared" si="2"/>
        <v>0.15000000000000002</v>
      </c>
      <c r="H30" s="25">
        <f t="shared" si="3"/>
        <v>0.06</v>
      </c>
      <c r="I30" s="23">
        <f t="shared" si="1"/>
        <v>0.06</v>
      </c>
      <c r="J30" t="s">
        <v>59</v>
      </c>
      <c r="K30" s="2">
        <v>15</v>
      </c>
      <c r="L30" s="2">
        <v>25.1</v>
      </c>
      <c r="M30" s="2">
        <v>2</v>
      </c>
      <c r="O30" s="2">
        <v>28</v>
      </c>
      <c r="P30" s="6"/>
      <c r="Q30" s="7"/>
      <c r="R30" s="7"/>
      <c r="S30" s="7"/>
      <c r="T30" s="7"/>
      <c r="U30" s="8"/>
      <c r="X30" s="2"/>
      <c r="Y30" s="2"/>
    </row>
    <row r="31" spans="1:25">
      <c r="A31" s="2">
        <f t="shared" si="4"/>
        <v>22.099999999999994</v>
      </c>
      <c r="B31" t="s">
        <v>109</v>
      </c>
      <c r="C31" s="1">
        <v>30</v>
      </c>
      <c r="D31" s="1">
        <v>30</v>
      </c>
      <c r="E31" s="2">
        <v>45</v>
      </c>
      <c r="F31" s="2">
        <f t="shared" si="0"/>
        <v>50</v>
      </c>
      <c r="G31" s="25">
        <f t="shared" si="2"/>
        <v>0.2</v>
      </c>
      <c r="H31" s="25">
        <f t="shared" si="3"/>
        <v>0.08</v>
      </c>
      <c r="I31" s="23">
        <f t="shared" si="1"/>
        <v>0.08</v>
      </c>
      <c r="J31" t="s">
        <v>60</v>
      </c>
      <c r="K31" s="2">
        <v>2</v>
      </c>
      <c r="L31" s="2">
        <v>22.5</v>
      </c>
      <c r="M31" s="2">
        <v>3</v>
      </c>
      <c r="O31" s="2">
        <v>29</v>
      </c>
      <c r="P31" s="6"/>
      <c r="Q31" s="7"/>
      <c r="R31" s="7"/>
      <c r="S31" s="7"/>
      <c r="T31" s="7"/>
      <c r="U31" s="8"/>
      <c r="X31" s="2"/>
      <c r="Y31" s="2"/>
    </row>
    <row r="32" spans="1:25">
      <c r="A32" s="2">
        <f t="shared" si="4"/>
        <v>22.299999999999994</v>
      </c>
      <c r="B32" s="19" t="s">
        <v>84</v>
      </c>
      <c r="C32" s="1">
        <v>31</v>
      </c>
      <c r="D32" s="1">
        <v>31</v>
      </c>
      <c r="E32" s="2">
        <v>46</v>
      </c>
      <c r="F32" s="2">
        <f t="shared" si="0"/>
        <v>51</v>
      </c>
      <c r="G32" s="25">
        <f t="shared" si="2"/>
        <v>0.2</v>
      </c>
      <c r="H32" s="25">
        <f t="shared" si="3"/>
        <v>0.08</v>
      </c>
      <c r="I32" s="23">
        <f t="shared" si="1"/>
        <v>0.08</v>
      </c>
      <c r="J32" t="s">
        <v>61</v>
      </c>
      <c r="K32" s="2">
        <v>2</v>
      </c>
      <c r="L32" s="2">
        <v>22.5</v>
      </c>
      <c r="M32" s="2">
        <v>3</v>
      </c>
      <c r="O32" s="2">
        <v>30</v>
      </c>
      <c r="P32" s="9"/>
      <c r="Q32" s="10"/>
      <c r="R32" s="10"/>
      <c r="S32" s="10"/>
      <c r="T32" s="10"/>
      <c r="U32" s="11"/>
      <c r="V32" s="12"/>
      <c r="W32" s="12"/>
      <c r="X32" s="13"/>
      <c r="Y32" s="2"/>
    </row>
    <row r="33" spans="1:25">
      <c r="A33" s="2">
        <f t="shared" si="4"/>
        <v>22.499999999999993</v>
      </c>
      <c r="B33" s="20" t="s">
        <v>85</v>
      </c>
      <c r="C33" s="1">
        <v>32</v>
      </c>
      <c r="D33" s="1">
        <v>32</v>
      </c>
      <c r="E33" s="2">
        <v>48</v>
      </c>
      <c r="F33" s="2">
        <f t="shared" si="0"/>
        <v>53</v>
      </c>
      <c r="G33" s="25">
        <f t="shared" si="2"/>
        <v>0.2</v>
      </c>
      <c r="H33" s="25">
        <f t="shared" si="3"/>
        <v>0.08</v>
      </c>
      <c r="I33" s="23">
        <f t="shared" si="1"/>
        <v>0.08</v>
      </c>
      <c r="J33" t="s">
        <v>62</v>
      </c>
      <c r="K33" s="2">
        <v>2</v>
      </c>
      <c r="L33" s="2">
        <v>22.5</v>
      </c>
      <c r="M33" s="2">
        <v>3</v>
      </c>
      <c r="O33" s="2">
        <v>31</v>
      </c>
      <c r="P33" s="6"/>
      <c r="Q33" s="7"/>
      <c r="R33" s="7"/>
      <c r="S33" s="7"/>
      <c r="T33" s="7"/>
      <c r="U33" s="8"/>
      <c r="X33" s="2"/>
      <c r="Y33" s="2"/>
    </row>
    <row r="34" spans="1:25">
      <c r="A34" s="2">
        <f t="shared" si="4"/>
        <v>22.699999999999992</v>
      </c>
      <c r="B34" s="20" t="s">
        <v>86</v>
      </c>
      <c r="C34" s="1">
        <v>33</v>
      </c>
      <c r="D34" s="1">
        <v>33</v>
      </c>
      <c r="E34" s="2">
        <v>49</v>
      </c>
      <c r="F34" s="2">
        <f t="shared" si="0"/>
        <v>55</v>
      </c>
      <c r="G34" s="25">
        <f t="shared" si="2"/>
        <v>0.2</v>
      </c>
      <c r="H34" s="25">
        <f t="shared" si="3"/>
        <v>0.08</v>
      </c>
      <c r="I34" s="23">
        <f t="shared" ref="I34:I65" si="5">INT(C34/10 )*0.02 +2%</f>
        <v>0.08</v>
      </c>
      <c r="J34" t="s">
        <v>63</v>
      </c>
      <c r="K34" s="2">
        <v>2</v>
      </c>
      <c r="L34" s="2">
        <v>22.5</v>
      </c>
      <c r="M34" s="2">
        <v>3</v>
      </c>
      <c r="O34" s="2">
        <v>32</v>
      </c>
      <c r="P34" s="6"/>
      <c r="Q34" s="7"/>
      <c r="R34" s="7"/>
      <c r="S34" s="7"/>
      <c r="T34" s="7"/>
      <c r="U34" s="8"/>
      <c r="X34" s="2"/>
      <c r="Y34" s="2"/>
    </row>
    <row r="35" spans="1:25">
      <c r="A35" s="2">
        <f t="shared" si="4"/>
        <v>22.899999999999991</v>
      </c>
      <c r="B35" s="20" t="s">
        <v>87</v>
      </c>
      <c r="C35" s="1">
        <v>34</v>
      </c>
      <c r="D35" s="1">
        <v>34</v>
      </c>
      <c r="E35" s="2">
        <v>51</v>
      </c>
      <c r="F35" s="2">
        <f t="shared" si="0"/>
        <v>56</v>
      </c>
      <c r="G35" s="25">
        <f t="shared" si="2"/>
        <v>0.2</v>
      </c>
      <c r="H35" s="25">
        <f t="shared" si="3"/>
        <v>0.08</v>
      </c>
      <c r="I35" s="23">
        <f t="shared" si="5"/>
        <v>0.08</v>
      </c>
      <c r="J35" t="s">
        <v>64</v>
      </c>
      <c r="K35" s="2">
        <v>2</v>
      </c>
      <c r="L35" s="2">
        <v>22.5</v>
      </c>
      <c r="M35" s="2">
        <v>3</v>
      </c>
      <c r="O35" s="2">
        <v>33</v>
      </c>
      <c r="P35" s="6"/>
      <c r="Q35" s="7"/>
      <c r="R35" s="7"/>
      <c r="S35" s="7"/>
      <c r="T35" s="7"/>
      <c r="U35" s="8"/>
      <c r="X35" s="2"/>
      <c r="Y35" s="2"/>
    </row>
    <row r="36" spans="1:25">
      <c r="A36" s="2">
        <f t="shared" si="4"/>
        <v>23.099999999999991</v>
      </c>
      <c r="B36" s="21" t="s">
        <v>88</v>
      </c>
      <c r="C36" s="1">
        <v>35</v>
      </c>
      <c r="D36" s="1">
        <v>35</v>
      </c>
      <c r="E36" s="2">
        <v>52</v>
      </c>
      <c r="F36" s="2">
        <f t="shared" si="0"/>
        <v>58</v>
      </c>
      <c r="G36" s="25">
        <f t="shared" si="2"/>
        <v>0.2</v>
      </c>
      <c r="H36" s="25">
        <f t="shared" si="3"/>
        <v>0.08</v>
      </c>
      <c r="I36" s="23">
        <f t="shared" si="5"/>
        <v>0.08</v>
      </c>
      <c r="J36" t="s">
        <v>65</v>
      </c>
      <c r="K36" s="2">
        <v>2</v>
      </c>
      <c r="L36" s="2">
        <v>22.5</v>
      </c>
      <c r="M36" s="2">
        <v>3</v>
      </c>
      <c r="O36" s="2">
        <v>34</v>
      </c>
      <c r="P36" s="6"/>
      <c r="Q36" s="7"/>
      <c r="R36" s="7"/>
      <c r="S36" s="7"/>
      <c r="T36" s="7"/>
      <c r="U36" s="8"/>
      <c r="X36" s="2"/>
      <c r="Y36" s="2"/>
    </row>
    <row r="37" spans="1:25">
      <c r="A37" s="2">
        <f t="shared" si="4"/>
        <v>23.29999999999999</v>
      </c>
      <c r="B37" s="19" t="s">
        <v>89</v>
      </c>
      <c r="C37" s="1">
        <v>36</v>
      </c>
      <c r="D37" s="1">
        <v>36</v>
      </c>
      <c r="E37" s="2">
        <v>54</v>
      </c>
      <c r="F37" s="2">
        <f t="shared" si="0"/>
        <v>60</v>
      </c>
      <c r="G37" s="25">
        <f t="shared" si="2"/>
        <v>0.2</v>
      </c>
      <c r="H37" s="25">
        <f t="shared" si="3"/>
        <v>0.08</v>
      </c>
      <c r="I37" s="23">
        <f t="shared" si="5"/>
        <v>0.08</v>
      </c>
      <c r="J37" t="s">
        <v>66</v>
      </c>
      <c r="K37" s="2">
        <v>2</v>
      </c>
      <c r="L37" s="2">
        <v>22.5</v>
      </c>
      <c r="M37" s="2">
        <v>3</v>
      </c>
      <c r="O37" s="2">
        <v>35</v>
      </c>
      <c r="P37" s="6"/>
      <c r="Q37" s="7"/>
      <c r="R37" s="7"/>
      <c r="S37" s="7"/>
      <c r="T37" s="7"/>
      <c r="U37" s="8"/>
      <c r="X37" s="2"/>
      <c r="Y37" s="2"/>
    </row>
    <row r="38" spans="1:25">
      <c r="A38" s="2">
        <f t="shared" si="4"/>
        <v>23.499999999999989</v>
      </c>
      <c r="B38" s="20" t="s">
        <v>90</v>
      </c>
      <c r="C38" s="1">
        <v>37</v>
      </c>
      <c r="D38" s="1">
        <v>37</v>
      </c>
      <c r="E38" s="2">
        <v>55</v>
      </c>
      <c r="F38" s="2">
        <f t="shared" si="0"/>
        <v>61</v>
      </c>
      <c r="G38" s="25">
        <f t="shared" si="2"/>
        <v>0.2</v>
      </c>
      <c r="H38" s="25">
        <f t="shared" si="3"/>
        <v>0.08</v>
      </c>
      <c r="I38" s="23">
        <f t="shared" si="5"/>
        <v>0.08</v>
      </c>
      <c r="J38" t="s">
        <v>67</v>
      </c>
      <c r="K38" s="2">
        <v>2</v>
      </c>
      <c r="L38" s="2">
        <v>22.5</v>
      </c>
      <c r="M38" s="2">
        <v>3</v>
      </c>
      <c r="O38" s="2">
        <v>36</v>
      </c>
      <c r="P38" s="6"/>
      <c r="Q38" s="7"/>
      <c r="R38" s="7"/>
      <c r="S38" s="7"/>
      <c r="T38" s="7"/>
      <c r="U38" s="8"/>
      <c r="X38" s="2"/>
      <c r="Y38" s="2"/>
    </row>
    <row r="39" spans="1:25">
      <c r="A39" s="2">
        <f t="shared" si="4"/>
        <v>23.699999999999989</v>
      </c>
      <c r="B39" s="21" t="s">
        <v>91</v>
      </c>
      <c r="C39" s="1">
        <v>38</v>
      </c>
      <c r="D39" s="1">
        <v>38</v>
      </c>
      <c r="E39" s="2">
        <v>57</v>
      </c>
      <c r="F39" s="2">
        <f t="shared" si="0"/>
        <v>63</v>
      </c>
      <c r="G39" s="25">
        <f t="shared" si="2"/>
        <v>0.2</v>
      </c>
      <c r="H39" s="25">
        <f t="shared" si="3"/>
        <v>0.08</v>
      </c>
      <c r="I39" s="23">
        <f t="shared" si="5"/>
        <v>0.08</v>
      </c>
      <c r="J39" t="s">
        <v>68</v>
      </c>
      <c r="K39" s="2">
        <v>6</v>
      </c>
      <c r="L39" s="2">
        <v>23.3</v>
      </c>
      <c r="M39" s="2">
        <v>4</v>
      </c>
      <c r="O39" s="2">
        <v>37</v>
      </c>
      <c r="P39" s="6"/>
      <c r="Q39" s="7"/>
      <c r="R39" s="7"/>
      <c r="S39" s="7"/>
      <c r="T39" s="7"/>
      <c r="U39" s="8"/>
      <c r="X39" s="2"/>
      <c r="Y39" s="2"/>
    </row>
    <row r="40" spans="1:25">
      <c r="A40" s="2">
        <f t="shared" si="4"/>
        <v>23.899999999999988</v>
      </c>
      <c r="B40" s="19" t="s">
        <v>92</v>
      </c>
      <c r="C40" s="1">
        <v>39</v>
      </c>
      <c r="D40" s="1">
        <v>39</v>
      </c>
      <c r="E40" s="2">
        <v>58</v>
      </c>
      <c r="F40" s="2">
        <f t="shared" si="0"/>
        <v>65</v>
      </c>
      <c r="G40" s="25">
        <f t="shared" si="2"/>
        <v>0.2</v>
      </c>
      <c r="H40" s="25">
        <f t="shared" si="3"/>
        <v>0.08</v>
      </c>
      <c r="I40" s="23">
        <f t="shared" si="5"/>
        <v>0.08</v>
      </c>
      <c r="J40" t="s">
        <v>69</v>
      </c>
      <c r="K40" s="2">
        <v>6</v>
      </c>
      <c r="L40" s="2">
        <v>23.3</v>
      </c>
      <c r="M40" s="2">
        <v>4</v>
      </c>
      <c r="O40" s="2">
        <v>38</v>
      </c>
      <c r="P40" s="6"/>
      <c r="Q40" s="7"/>
      <c r="R40" s="7"/>
      <c r="S40" s="7"/>
      <c r="T40" s="7"/>
      <c r="U40" s="8"/>
      <c r="X40" s="2"/>
      <c r="Y40" s="2"/>
    </row>
    <row r="41" spans="1:25">
      <c r="A41" s="2">
        <f t="shared" si="4"/>
        <v>24.099999999999987</v>
      </c>
      <c r="B41" s="20" t="s">
        <v>93</v>
      </c>
      <c r="C41" s="1">
        <v>40</v>
      </c>
      <c r="D41" s="1">
        <v>40</v>
      </c>
      <c r="E41" s="2">
        <v>60</v>
      </c>
      <c r="F41" s="2">
        <f t="shared" si="0"/>
        <v>66</v>
      </c>
      <c r="G41" s="25">
        <f t="shared" si="2"/>
        <v>0.25</v>
      </c>
      <c r="H41" s="25">
        <f t="shared" si="3"/>
        <v>0.1</v>
      </c>
      <c r="I41" s="23">
        <f t="shared" si="5"/>
        <v>0.1</v>
      </c>
      <c r="J41" t="s">
        <v>70</v>
      </c>
      <c r="K41" s="2">
        <v>6</v>
      </c>
      <c r="L41" s="2">
        <v>23.3</v>
      </c>
      <c r="M41" s="2">
        <v>4</v>
      </c>
      <c r="O41" s="2">
        <v>39</v>
      </c>
      <c r="P41" s="6"/>
      <c r="Q41" s="7"/>
      <c r="R41" s="7"/>
      <c r="S41" s="7"/>
      <c r="T41" s="7"/>
      <c r="U41" s="8"/>
      <c r="X41" s="2"/>
      <c r="Y41" s="2"/>
    </row>
    <row r="42" spans="1:25">
      <c r="A42" s="2">
        <f t="shared" si="4"/>
        <v>24.299999999999986</v>
      </c>
      <c r="B42" s="20" t="s">
        <v>94</v>
      </c>
      <c r="C42" s="1">
        <v>41</v>
      </c>
      <c r="D42" s="1">
        <v>41</v>
      </c>
      <c r="E42" s="2">
        <v>61</v>
      </c>
      <c r="F42" s="2">
        <f t="shared" si="0"/>
        <v>68</v>
      </c>
      <c r="G42" s="25">
        <f t="shared" si="2"/>
        <v>0.25</v>
      </c>
      <c r="H42" s="25">
        <f t="shared" si="3"/>
        <v>0.1</v>
      </c>
      <c r="I42" s="23">
        <f t="shared" si="5"/>
        <v>0.1</v>
      </c>
      <c r="J42" t="s">
        <v>71</v>
      </c>
      <c r="K42" s="2">
        <v>6</v>
      </c>
      <c r="L42" s="2">
        <v>23.3</v>
      </c>
      <c r="M42" s="2">
        <v>4</v>
      </c>
      <c r="O42" s="2">
        <v>40</v>
      </c>
      <c r="P42" s="14"/>
      <c r="Q42" s="15"/>
      <c r="R42" s="15"/>
      <c r="S42" s="15"/>
      <c r="T42" s="10"/>
      <c r="U42" s="16">
        <v>12.5</v>
      </c>
      <c r="V42" s="12"/>
      <c r="W42" s="12"/>
      <c r="X42" s="13"/>
      <c r="Y42" s="2"/>
    </row>
    <row r="43" spans="1:25">
      <c r="A43" s="2">
        <f t="shared" si="4"/>
        <v>24.499999999999986</v>
      </c>
      <c r="B43" s="21" t="s">
        <v>95</v>
      </c>
      <c r="C43" s="1">
        <v>42</v>
      </c>
      <c r="D43" s="1">
        <v>42</v>
      </c>
      <c r="E43" s="2">
        <v>63</v>
      </c>
      <c r="F43" s="2">
        <f t="shared" si="0"/>
        <v>70</v>
      </c>
      <c r="G43" s="25">
        <f t="shared" si="2"/>
        <v>0.25</v>
      </c>
      <c r="H43" s="25">
        <f t="shared" si="3"/>
        <v>0.1</v>
      </c>
      <c r="I43" s="23">
        <f t="shared" si="5"/>
        <v>0.1</v>
      </c>
      <c r="J43" t="s">
        <v>72</v>
      </c>
      <c r="K43" s="2">
        <v>6</v>
      </c>
      <c r="L43" s="2">
        <v>23.3</v>
      </c>
      <c r="M43" s="2">
        <v>4</v>
      </c>
      <c r="O43" s="2">
        <v>41</v>
      </c>
      <c r="P43" s="6"/>
      <c r="Q43" s="7"/>
      <c r="R43" s="7"/>
      <c r="S43" s="7"/>
      <c r="T43" s="7"/>
      <c r="U43" s="8"/>
      <c r="X43" s="2"/>
      <c r="Y43" s="2"/>
    </row>
    <row r="44" spans="1:25">
      <c r="A44" s="2">
        <f t="shared" si="4"/>
        <v>24.699999999999985</v>
      </c>
      <c r="B44" t="s">
        <v>96</v>
      </c>
      <c r="C44" s="1">
        <v>43</v>
      </c>
      <c r="D44" s="1">
        <v>43</v>
      </c>
      <c r="E44" s="2">
        <v>64</v>
      </c>
      <c r="F44" s="2">
        <f t="shared" si="0"/>
        <v>71</v>
      </c>
      <c r="G44" s="25">
        <f t="shared" si="2"/>
        <v>0.25</v>
      </c>
      <c r="H44" s="25">
        <f t="shared" si="3"/>
        <v>0.1</v>
      </c>
      <c r="I44" s="23">
        <f t="shared" si="5"/>
        <v>0.1</v>
      </c>
      <c r="J44" t="s">
        <v>31</v>
      </c>
      <c r="K44" s="2">
        <v>17</v>
      </c>
      <c r="L44" s="2">
        <v>25.5</v>
      </c>
      <c r="M44" s="2">
        <v>2</v>
      </c>
      <c r="O44" s="2">
        <v>42</v>
      </c>
      <c r="P44" s="6"/>
      <c r="Q44" s="7"/>
      <c r="R44" s="7"/>
      <c r="S44" s="7"/>
      <c r="T44" s="7"/>
      <c r="U44" s="8"/>
      <c r="X44" s="2"/>
      <c r="Y44" s="2"/>
    </row>
    <row r="45" spans="1:25">
      <c r="A45" s="2">
        <f t="shared" si="4"/>
        <v>24.899999999999984</v>
      </c>
      <c r="B45" t="s">
        <v>76</v>
      </c>
      <c r="C45" s="1">
        <v>44</v>
      </c>
      <c r="D45" s="1">
        <v>44</v>
      </c>
      <c r="E45" s="2">
        <v>66</v>
      </c>
      <c r="F45" s="2">
        <f t="shared" si="0"/>
        <v>73</v>
      </c>
      <c r="G45" s="25">
        <f t="shared" si="2"/>
        <v>0.25</v>
      </c>
      <c r="H45" s="25">
        <f t="shared" si="3"/>
        <v>0.1</v>
      </c>
      <c r="I45" s="23">
        <f t="shared" si="5"/>
        <v>0.1</v>
      </c>
      <c r="J45" t="s">
        <v>32</v>
      </c>
      <c r="K45" s="2">
        <v>3</v>
      </c>
      <c r="L45" s="2">
        <v>22.7</v>
      </c>
      <c r="M45" s="2">
        <v>3</v>
      </c>
      <c r="O45" s="2">
        <v>43</v>
      </c>
      <c r="P45" s="6"/>
      <c r="Q45" s="7"/>
      <c r="R45" s="7"/>
      <c r="S45" s="7"/>
      <c r="T45" s="7"/>
      <c r="U45" s="8"/>
      <c r="X45" s="2"/>
      <c r="Y45" s="2"/>
    </row>
    <row r="46" spans="1:25">
      <c r="A46" s="2">
        <f t="shared" si="4"/>
        <v>25.099999999999984</v>
      </c>
      <c r="B46" t="s">
        <v>77</v>
      </c>
      <c r="C46" s="1">
        <v>45</v>
      </c>
      <c r="D46" s="1">
        <v>45</v>
      </c>
      <c r="E46" s="2">
        <v>67</v>
      </c>
      <c r="F46" s="2">
        <f t="shared" si="0"/>
        <v>75</v>
      </c>
      <c r="G46" s="25">
        <f t="shared" si="2"/>
        <v>0.25</v>
      </c>
      <c r="H46" s="25">
        <f t="shared" si="3"/>
        <v>0.1</v>
      </c>
      <c r="I46" s="23">
        <f t="shared" si="5"/>
        <v>0.1</v>
      </c>
      <c r="J46" t="s">
        <v>33</v>
      </c>
      <c r="K46" s="2">
        <v>3</v>
      </c>
      <c r="L46" s="2">
        <v>22.7</v>
      </c>
      <c r="M46" s="2">
        <v>3</v>
      </c>
      <c r="O46" s="2">
        <v>44</v>
      </c>
      <c r="P46" s="6"/>
      <c r="Q46" s="7"/>
      <c r="R46" s="7"/>
      <c r="S46" s="7"/>
      <c r="T46" s="7"/>
      <c r="U46" s="8"/>
      <c r="X46" s="2"/>
      <c r="Y46" s="2"/>
    </row>
    <row r="47" spans="1:25">
      <c r="A47" s="2">
        <f t="shared" si="4"/>
        <v>25.299999999999983</v>
      </c>
      <c r="B47" t="s">
        <v>78</v>
      </c>
      <c r="C47" s="1">
        <v>46</v>
      </c>
      <c r="D47" s="1">
        <v>46</v>
      </c>
      <c r="E47" s="2">
        <v>69</v>
      </c>
      <c r="F47" s="2">
        <f t="shared" si="0"/>
        <v>76</v>
      </c>
      <c r="G47" s="25">
        <f t="shared" si="2"/>
        <v>0.25</v>
      </c>
      <c r="H47" s="25">
        <f t="shared" si="3"/>
        <v>0.1</v>
      </c>
      <c r="I47" s="23">
        <f t="shared" si="5"/>
        <v>0.1</v>
      </c>
      <c r="J47" t="s">
        <v>34</v>
      </c>
      <c r="K47" s="2">
        <v>3</v>
      </c>
      <c r="L47" s="2">
        <v>22.7</v>
      </c>
      <c r="M47" s="2">
        <v>3</v>
      </c>
      <c r="O47" s="2">
        <v>45</v>
      </c>
      <c r="P47" s="6"/>
      <c r="Q47" s="7"/>
      <c r="R47" s="7"/>
      <c r="S47" s="7"/>
      <c r="T47" s="7"/>
      <c r="U47" s="8"/>
      <c r="X47" s="2"/>
      <c r="Y47" s="2"/>
    </row>
    <row r="48" spans="1:25">
      <c r="A48" s="2">
        <f t="shared" si="4"/>
        <v>25.499999999999982</v>
      </c>
      <c r="B48" t="s">
        <v>79</v>
      </c>
      <c r="C48" s="1">
        <v>47</v>
      </c>
      <c r="D48" s="1">
        <v>47</v>
      </c>
      <c r="E48" s="2">
        <v>70</v>
      </c>
      <c r="F48" s="2">
        <f t="shared" si="0"/>
        <v>78</v>
      </c>
      <c r="G48" s="25">
        <f t="shared" si="2"/>
        <v>0.25</v>
      </c>
      <c r="H48" s="25">
        <f t="shared" si="3"/>
        <v>0.1</v>
      </c>
      <c r="I48" s="23">
        <f t="shared" si="5"/>
        <v>0.1</v>
      </c>
      <c r="J48" t="s">
        <v>35</v>
      </c>
      <c r="K48" s="2">
        <v>3</v>
      </c>
      <c r="L48" s="2">
        <v>22.7</v>
      </c>
      <c r="M48" s="2">
        <v>3</v>
      </c>
      <c r="O48" s="2">
        <v>46</v>
      </c>
      <c r="P48" s="6"/>
      <c r="Q48" s="7"/>
      <c r="R48" s="7"/>
      <c r="S48" s="7"/>
      <c r="T48" s="7"/>
      <c r="U48" s="8"/>
      <c r="X48" s="2"/>
      <c r="Y48" s="2"/>
    </row>
    <row r="49" spans="1:25">
      <c r="A49" s="2">
        <f t="shared" si="4"/>
        <v>25.699999999999982</v>
      </c>
      <c r="B49" t="s">
        <v>97</v>
      </c>
      <c r="C49" s="1">
        <v>48</v>
      </c>
      <c r="D49" s="1">
        <v>48</v>
      </c>
      <c r="E49" s="2">
        <v>72</v>
      </c>
      <c r="F49" s="2">
        <f t="shared" si="0"/>
        <v>80</v>
      </c>
      <c r="G49" s="25">
        <f t="shared" si="2"/>
        <v>0.25</v>
      </c>
      <c r="H49" s="25">
        <f t="shared" si="3"/>
        <v>0.1</v>
      </c>
      <c r="I49" s="23">
        <f t="shared" si="5"/>
        <v>0.1</v>
      </c>
      <c r="J49" t="s">
        <v>36</v>
      </c>
      <c r="K49" s="2">
        <v>3</v>
      </c>
      <c r="L49" s="2">
        <v>22.7</v>
      </c>
      <c r="M49" s="2">
        <v>3</v>
      </c>
      <c r="O49" s="2">
        <v>47</v>
      </c>
      <c r="P49" s="6"/>
      <c r="Q49" s="7"/>
      <c r="R49" s="7"/>
      <c r="S49" s="7"/>
      <c r="T49" s="7"/>
      <c r="U49" s="8"/>
      <c r="X49" s="2"/>
      <c r="Y49" s="2"/>
    </row>
    <row r="50" spans="1:25">
      <c r="C50" s="1">
        <v>49</v>
      </c>
      <c r="D50" s="1">
        <v>49</v>
      </c>
      <c r="E50" s="2">
        <v>73</v>
      </c>
      <c r="F50" s="2">
        <f t="shared" si="0"/>
        <v>81</v>
      </c>
      <c r="G50" s="25">
        <f t="shared" si="2"/>
        <v>0.25</v>
      </c>
      <c r="H50" s="25">
        <f t="shared" si="3"/>
        <v>0.1</v>
      </c>
      <c r="I50" s="23">
        <f t="shared" si="5"/>
        <v>0.1</v>
      </c>
      <c r="J50" t="s">
        <v>37</v>
      </c>
      <c r="K50" s="2">
        <v>3</v>
      </c>
      <c r="L50" s="2">
        <v>22.7</v>
      </c>
      <c r="M50" s="2">
        <v>3</v>
      </c>
      <c r="O50" s="2">
        <v>48</v>
      </c>
      <c r="P50" s="6"/>
      <c r="Q50" s="7"/>
      <c r="R50" s="7"/>
      <c r="S50" s="7"/>
      <c r="T50" s="7"/>
      <c r="U50" s="8"/>
      <c r="X50" s="2"/>
      <c r="Y50" s="2"/>
    </row>
    <row r="51" spans="1:25">
      <c r="C51" s="1">
        <v>50</v>
      </c>
      <c r="D51" s="1">
        <v>50</v>
      </c>
      <c r="E51" s="2">
        <v>75</v>
      </c>
      <c r="F51" s="2">
        <f t="shared" si="0"/>
        <v>83</v>
      </c>
      <c r="G51" s="25">
        <f t="shared" si="2"/>
        <v>0.3</v>
      </c>
      <c r="H51" s="25">
        <f t="shared" si="3"/>
        <v>0.12000000000000001</v>
      </c>
      <c r="I51" s="23">
        <f t="shared" si="5"/>
        <v>0.12000000000000001</v>
      </c>
      <c r="J51" t="s">
        <v>38</v>
      </c>
      <c r="K51" s="2">
        <v>3</v>
      </c>
      <c r="L51" s="2">
        <v>22.7</v>
      </c>
      <c r="M51" s="2">
        <v>3</v>
      </c>
      <c r="O51" s="2">
        <v>49</v>
      </c>
      <c r="P51" s="6"/>
      <c r="Q51" s="7"/>
      <c r="R51" s="7"/>
      <c r="S51" s="7"/>
      <c r="T51" s="7"/>
      <c r="U51" s="8"/>
      <c r="X51" s="2"/>
      <c r="Y51" s="2"/>
    </row>
    <row r="52" spans="1:25">
      <c r="C52" s="1">
        <v>51</v>
      </c>
      <c r="D52" s="1">
        <v>51</v>
      </c>
      <c r="E52" s="2">
        <v>76</v>
      </c>
      <c r="F52" s="2">
        <f t="shared" si="0"/>
        <v>85</v>
      </c>
      <c r="G52" s="25">
        <f t="shared" si="2"/>
        <v>0.3</v>
      </c>
      <c r="H52" s="25">
        <f t="shared" si="3"/>
        <v>0.12000000000000001</v>
      </c>
      <c r="I52" s="23">
        <f t="shared" si="5"/>
        <v>0.12000000000000001</v>
      </c>
      <c r="J52" t="s">
        <v>39</v>
      </c>
      <c r="K52" s="2">
        <v>3</v>
      </c>
      <c r="L52" s="2">
        <v>22.7</v>
      </c>
      <c r="M52" s="2">
        <v>3</v>
      </c>
      <c r="O52" s="2">
        <v>50</v>
      </c>
      <c r="P52" s="14"/>
      <c r="Q52" s="15"/>
      <c r="R52" s="15"/>
      <c r="S52" s="15"/>
      <c r="T52" s="10"/>
      <c r="U52" s="16">
        <v>17.5</v>
      </c>
      <c r="V52" s="12"/>
      <c r="W52" s="12"/>
      <c r="X52" s="13"/>
      <c r="Y52" s="2"/>
    </row>
    <row r="53" spans="1:25">
      <c r="C53" s="1">
        <v>52</v>
      </c>
      <c r="D53" s="1">
        <v>52</v>
      </c>
      <c r="E53" s="2">
        <v>78</v>
      </c>
      <c r="F53" s="2">
        <f t="shared" si="0"/>
        <v>86</v>
      </c>
      <c r="G53" s="25">
        <f t="shared" si="2"/>
        <v>0.3</v>
      </c>
      <c r="H53" s="25">
        <f t="shared" si="3"/>
        <v>0.12000000000000001</v>
      </c>
      <c r="I53" s="23">
        <f t="shared" si="5"/>
        <v>0.12000000000000001</v>
      </c>
      <c r="J53" t="s">
        <v>40</v>
      </c>
      <c r="K53" s="2">
        <v>6</v>
      </c>
      <c r="L53" s="2">
        <v>23.3</v>
      </c>
      <c r="M53" s="2">
        <v>4</v>
      </c>
      <c r="O53" s="2">
        <v>51</v>
      </c>
      <c r="P53" s="1"/>
      <c r="Q53" s="1"/>
      <c r="R53" s="1"/>
      <c r="S53" s="1"/>
      <c r="T53" s="7"/>
      <c r="U53" s="1"/>
      <c r="X53" s="2"/>
      <c r="Y53" s="2"/>
    </row>
    <row r="54" spans="1:25">
      <c r="C54" s="1">
        <v>53</v>
      </c>
      <c r="D54" s="1">
        <v>53</v>
      </c>
      <c r="E54" s="2">
        <v>79</v>
      </c>
      <c r="F54" s="2">
        <f t="shared" si="0"/>
        <v>88</v>
      </c>
      <c r="G54" s="25">
        <f t="shared" si="2"/>
        <v>0.3</v>
      </c>
      <c r="H54" s="25">
        <f t="shared" si="3"/>
        <v>0.12000000000000001</v>
      </c>
      <c r="I54" s="23">
        <f t="shared" si="5"/>
        <v>0.12000000000000001</v>
      </c>
      <c r="J54" t="s">
        <v>41</v>
      </c>
      <c r="K54" s="2">
        <v>6</v>
      </c>
      <c r="L54" s="2">
        <v>23.3</v>
      </c>
      <c r="M54" s="2">
        <v>4</v>
      </c>
      <c r="O54" s="2">
        <v>52</v>
      </c>
      <c r="P54" s="1"/>
      <c r="Q54" s="1"/>
      <c r="R54" s="1"/>
      <c r="S54" s="1"/>
      <c r="T54" s="7"/>
      <c r="U54" s="1"/>
      <c r="X54" s="2"/>
      <c r="Y54" s="2"/>
    </row>
    <row r="55" spans="1:25">
      <c r="C55" s="1">
        <v>54</v>
      </c>
      <c r="D55" s="1">
        <v>54</v>
      </c>
      <c r="E55" s="2">
        <v>81</v>
      </c>
      <c r="F55" s="2">
        <f t="shared" si="0"/>
        <v>90</v>
      </c>
      <c r="G55" s="25">
        <f t="shared" si="2"/>
        <v>0.3</v>
      </c>
      <c r="H55" s="25">
        <f t="shared" si="3"/>
        <v>0.12000000000000001</v>
      </c>
      <c r="I55" s="23">
        <f t="shared" si="5"/>
        <v>0.12000000000000001</v>
      </c>
      <c r="J55" t="s">
        <v>42</v>
      </c>
      <c r="K55" s="2">
        <v>6</v>
      </c>
      <c r="L55" s="2">
        <v>23.3</v>
      </c>
      <c r="M55" s="2">
        <v>4</v>
      </c>
      <c r="O55" s="2">
        <v>53</v>
      </c>
      <c r="P55" s="1"/>
      <c r="Q55" s="1"/>
      <c r="R55" s="1"/>
      <c r="S55" s="1"/>
      <c r="T55" s="7"/>
      <c r="U55" s="1"/>
      <c r="X55" s="2"/>
      <c r="Y55" s="2"/>
    </row>
    <row r="56" spans="1:25">
      <c r="C56" s="1">
        <v>55</v>
      </c>
      <c r="D56" s="1">
        <v>55</v>
      </c>
      <c r="E56" s="2">
        <v>82</v>
      </c>
      <c r="F56" s="2">
        <f t="shared" si="0"/>
        <v>91</v>
      </c>
      <c r="G56" s="25">
        <f t="shared" si="2"/>
        <v>0.3</v>
      </c>
      <c r="H56" s="25">
        <f t="shared" si="3"/>
        <v>0.12000000000000001</v>
      </c>
      <c r="I56" s="23">
        <f t="shared" si="5"/>
        <v>0.12000000000000001</v>
      </c>
      <c r="J56" t="s">
        <v>43</v>
      </c>
      <c r="K56" s="2">
        <v>6</v>
      </c>
      <c r="L56" s="2">
        <v>23.3</v>
      </c>
      <c r="M56" s="2">
        <v>4</v>
      </c>
      <c r="O56" s="2">
        <v>54</v>
      </c>
      <c r="P56" s="1"/>
      <c r="Q56" s="1"/>
      <c r="R56" s="1"/>
      <c r="S56" s="1"/>
      <c r="T56" s="7"/>
      <c r="U56" s="1"/>
      <c r="X56" s="2"/>
      <c r="Y56" s="2"/>
    </row>
    <row r="57" spans="1:25">
      <c r="C57" s="1">
        <v>56</v>
      </c>
      <c r="D57" s="1">
        <v>56</v>
      </c>
      <c r="E57" s="2">
        <v>84</v>
      </c>
      <c r="F57" s="2">
        <f t="shared" si="0"/>
        <v>93</v>
      </c>
      <c r="G57" s="25">
        <f t="shared" si="2"/>
        <v>0.3</v>
      </c>
      <c r="H57" s="25">
        <f t="shared" si="3"/>
        <v>0.12000000000000001</v>
      </c>
      <c r="I57" s="23">
        <f t="shared" si="5"/>
        <v>0.12000000000000001</v>
      </c>
      <c r="J57" t="s">
        <v>44</v>
      </c>
      <c r="K57" s="2">
        <v>6</v>
      </c>
      <c r="L57" s="2">
        <v>23.3</v>
      </c>
      <c r="M57" s="2">
        <v>4</v>
      </c>
      <c r="O57" s="2">
        <v>55</v>
      </c>
      <c r="P57" s="1"/>
      <c r="Q57" s="1"/>
      <c r="R57" s="1"/>
      <c r="S57" s="1"/>
      <c r="T57" s="7"/>
      <c r="U57" s="1"/>
      <c r="X57" s="2"/>
      <c r="Y57" s="2"/>
    </row>
    <row r="58" spans="1:25">
      <c r="C58" s="1">
        <v>57</v>
      </c>
      <c r="D58" s="1">
        <v>57</v>
      </c>
      <c r="E58" s="2">
        <v>85</v>
      </c>
      <c r="F58" s="2">
        <f t="shared" si="0"/>
        <v>95</v>
      </c>
      <c r="G58" s="25">
        <f t="shared" si="2"/>
        <v>0.3</v>
      </c>
      <c r="H58" s="25">
        <f t="shared" si="3"/>
        <v>0.12000000000000001</v>
      </c>
      <c r="I58" s="23">
        <f t="shared" si="5"/>
        <v>0.12000000000000001</v>
      </c>
      <c r="K58" s="2"/>
      <c r="L58" s="2"/>
      <c r="M58" s="2"/>
      <c r="O58" s="2">
        <v>56</v>
      </c>
      <c r="P58" s="1"/>
      <c r="Q58" s="1"/>
      <c r="R58" s="1"/>
      <c r="S58" s="1"/>
      <c r="T58" s="7"/>
      <c r="U58" s="1"/>
      <c r="X58" s="2"/>
      <c r="Y58" s="2"/>
    </row>
    <row r="59" spans="1:25">
      <c r="C59" s="1">
        <v>58</v>
      </c>
      <c r="D59" s="1">
        <v>58</v>
      </c>
      <c r="E59" s="2">
        <v>87</v>
      </c>
      <c r="F59" s="2">
        <f t="shared" si="0"/>
        <v>96</v>
      </c>
      <c r="G59" s="25">
        <f t="shared" si="2"/>
        <v>0.3</v>
      </c>
      <c r="H59" s="25">
        <f t="shared" si="3"/>
        <v>0.12000000000000001</v>
      </c>
      <c r="I59" s="23">
        <f t="shared" si="5"/>
        <v>0.12000000000000001</v>
      </c>
      <c r="K59" s="2"/>
      <c r="L59" s="2"/>
      <c r="M59" s="2"/>
      <c r="O59" s="2">
        <v>57</v>
      </c>
      <c r="P59" s="1"/>
      <c r="Q59" s="1"/>
      <c r="R59" s="1"/>
      <c r="S59" s="1"/>
      <c r="T59" s="7"/>
      <c r="U59" s="1"/>
      <c r="X59" s="2"/>
      <c r="Y59" s="2"/>
    </row>
    <row r="60" spans="1:25">
      <c r="C60" s="1">
        <v>59</v>
      </c>
      <c r="D60" s="1">
        <v>59</v>
      </c>
      <c r="E60" s="2">
        <v>88</v>
      </c>
      <c r="F60" s="2">
        <f t="shared" si="0"/>
        <v>98</v>
      </c>
      <c r="G60" s="25">
        <f t="shared" si="2"/>
        <v>0.3</v>
      </c>
      <c r="H60" s="25">
        <f t="shared" si="3"/>
        <v>0.12000000000000001</v>
      </c>
      <c r="I60" s="23">
        <f t="shared" si="5"/>
        <v>0.12000000000000001</v>
      </c>
      <c r="K60" s="2"/>
      <c r="L60" s="2"/>
      <c r="M60" s="2"/>
      <c r="O60" s="2">
        <v>58</v>
      </c>
      <c r="P60" s="1"/>
      <c r="Q60" s="1"/>
      <c r="R60" s="1"/>
      <c r="S60" s="1"/>
      <c r="T60" s="7"/>
      <c r="U60" s="1"/>
      <c r="X60" s="2"/>
      <c r="Y60" s="2"/>
    </row>
    <row r="61" spans="1:25">
      <c r="C61" s="1">
        <v>60</v>
      </c>
      <c r="D61" s="1">
        <v>60</v>
      </c>
      <c r="E61" s="2">
        <v>90</v>
      </c>
      <c r="F61" s="2">
        <f t="shared" si="0"/>
        <v>100</v>
      </c>
      <c r="G61" s="25">
        <f t="shared" si="2"/>
        <v>0.35000000000000003</v>
      </c>
      <c r="H61" s="25">
        <f t="shared" si="3"/>
        <v>0.13999999999999999</v>
      </c>
      <c r="I61" s="23">
        <f t="shared" si="5"/>
        <v>0.13999999999999999</v>
      </c>
      <c r="K61" s="2"/>
      <c r="L61" s="2"/>
      <c r="M61" s="2"/>
      <c r="O61" s="2">
        <v>59</v>
      </c>
      <c r="P61" s="1"/>
      <c r="Q61" s="1"/>
      <c r="R61" s="1"/>
      <c r="S61" s="1"/>
      <c r="T61" s="7"/>
      <c r="U61" s="1"/>
      <c r="X61" s="2"/>
      <c r="Y61" s="2"/>
    </row>
    <row r="62" spans="1:25">
      <c r="C62" s="1">
        <v>61</v>
      </c>
      <c r="D62" s="1">
        <v>61</v>
      </c>
      <c r="E62" s="2">
        <v>91</v>
      </c>
      <c r="F62" s="2">
        <f t="shared" si="0"/>
        <v>101</v>
      </c>
      <c r="G62" s="25">
        <f t="shared" si="2"/>
        <v>0.35000000000000003</v>
      </c>
      <c r="H62" s="25">
        <f t="shared" si="3"/>
        <v>0.13999999999999999</v>
      </c>
      <c r="I62" s="23">
        <f t="shared" si="5"/>
        <v>0.13999999999999999</v>
      </c>
      <c r="K62" s="2"/>
      <c r="L62" s="2"/>
      <c r="M62" s="2"/>
      <c r="O62" s="2">
        <v>60</v>
      </c>
      <c r="P62" s="17"/>
      <c r="Q62" s="17"/>
      <c r="R62" s="17"/>
      <c r="S62" s="17"/>
      <c r="T62" s="18"/>
      <c r="U62" s="17"/>
      <c r="X62" s="2"/>
      <c r="Y62" s="2"/>
    </row>
    <row r="63" spans="1:25">
      <c r="C63" s="1">
        <v>62</v>
      </c>
      <c r="D63" s="1">
        <v>62</v>
      </c>
      <c r="E63" s="2">
        <v>93</v>
      </c>
      <c r="F63" s="2">
        <f t="shared" si="0"/>
        <v>103</v>
      </c>
      <c r="G63" s="25">
        <f t="shared" si="2"/>
        <v>0.35000000000000003</v>
      </c>
      <c r="H63" s="25">
        <f t="shared" si="3"/>
        <v>0.13999999999999999</v>
      </c>
      <c r="I63" s="23">
        <f t="shared" si="5"/>
        <v>0.13999999999999999</v>
      </c>
      <c r="K63" s="2"/>
      <c r="L63" s="2"/>
      <c r="M63" s="2"/>
      <c r="O63" s="2">
        <v>61</v>
      </c>
      <c r="P63" s="1"/>
      <c r="Q63" s="1"/>
      <c r="R63" s="1"/>
      <c r="S63" s="1"/>
      <c r="T63" s="7"/>
      <c r="U63" s="1"/>
      <c r="X63" s="2"/>
      <c r="Y63" s="2"/>
    </row>
    <row r="64" spans="1:25">
      <c r="C64" s="1">
        <v>63</v>
      </c>
      <c r="D64" s="1">
        <v>63</v>
      </c>
      <c r="E64" s="2">
        <v>94</v>
      </c>
      <c r="F64" s="2">
        <f t="shared" si="0"/>
        <v>105</v>
      </c>
      <c r="G64" s="25">
        <f t="shared" si="2"/>
        <v>0.35000000000000003</v>
      </c>
      <c r="H64" s="25">
        <f t="shared" si="3"/>
        <v>0.13999999999999999</v>
      </c>
      <c r="I64" s="23">
        <f t="shared" si="5"/>
        <v>0.13999999999999999</v>
      </c>
      <c r="K64" s="2"/>
      <c r="L64" s="2"/>
      <c r="M64" s="2"/>
      <c r="O64" s="2">
        <v>62</v>
      </c>
      <c r="P64" s="1"/>
      <c r="Q64" s="1"/>
      <c r="R64" s="1"/>
      <c r="S64" s="1"/>
      <c r="T64" s="7"/>
      <c r="U64" s="1"/>
      <c r="X64" s="2"/>
      <c r="Y64" s="2"/>
    </row>
    <row r="65" spans="3:25">
      <c r="C65" s="1">
        <v>64</v>
      </c>
      <c r="D65" s="1">
        <v>64</v>
      </c>
      <c r="E65" s="2">
        <v>96</v>
      </c>
      <c r="F65" s="2">
        <f t="shared" si="0"/>
        <v>106</v>
      </c>
      <c r="G65" s="25">
        <f t="shared" si="2"/>
        <v>0.35000000000000003</v>
      </c>
      <c r="H65" s="25">
        <f t="shared" si="3"/>
        <v>0.13999999999999999</v>
      </c>
      <c r="I65" s="23">
        <f t="shared" si="5"/>
        <v>0.13999999999999999</v>
      </c>
      <c r="K65" s="2"/>
      <c r="L65" s="2"/>
      <c r="M65" s="2"/>
      <c r="O65" s="2">
        <v>63</v>
      </c>
      <c r="P65" s="1"/>
      <c r="Q65" s="1"/>
      <c r="R65" s="1"/>
      <c r="S65" s="1"/>
      <c r="T65" s="7"/>
      <c r="U65" s="1"/>
      <c r="X65" s="2"/>
      <c r="Y65" s="2"/>
    </row>
    <row r="66" spans="3:25">
      <c r="C66" s="1">
        <v>65</v>
      </c>
      <c r="D66" s="1">
        <v>65</v>
      </c>
      <c r="E66" s="2">
        <v>97</v>
      </c>
      <c r="F66" s="2">
        <f t="shared" ref="F66:F119" si="6">INT(C66*1.67)</f>
        <v>108</v>
      </c>
      <c r="G66" s="25">
        <f t="shared" si="2"/>
        <v>0.35000000000000003</v>
      </c>
      <c r="H66" s="25">
        <f t="shared" si="3"/>
        <v>0.13999999999999999</v>
      </c>
      <c r="I66" s="23">
        <f t="shared" ref="I66:I97" si="7">INT(C66/10 )*0.02 +2%</f>
        <v>0.13999999999999999</v>
      </c>
      <c r="K66" s="2"/>
      <c r="L66" s="2"/>
      <c r="M66" s="2"/>
      <c r="O66" s="2">
        <v>64</v>
      </c>
      <c r="P66" s="1"/>
      <c r="Q66" s="1"/>
      <c r="R66" s="1"/>
      <c r="S66" s="1"/>
      <c r="T66" s="7"/>
      <c r="U66" s="1"/>
      <c r="X66" s="2"/>
      <c r="Y66" s="2"/>
    </row>
    <row r="67" spans="3:25">
      <c r="C67" s="1">
        <v>66</v>
      </c>
      <c r="D67" s="1">
        <v>66</v>
      </c>
      <c r="E67" s="2">
        <v>99</v>
      </c>
      <c r="F67" s="2">
        <f t="shared" si="6"/>
        <v>110</v>
      </c>
      <c r="G67" s="25">
        <f t="shared" ref="G67:G121" si="8">INT(C67/10 )*0.05 +5%</f>
        <v>0.35000000000000003</v>
      </c>
      <c r="H67" s="25">
        <f t="shared" ref="H67:H98" si="9">INT(C67/10 )*0.02 +2%</f>
        <v>0.13999999999999999</v>
      </c>
      <c r="I67" s="23">
        <f t="shared" si="7"/>
        <v>0.13999999999999999</v>
      </c>
      <c r="K67" s="2"/>
      <c r="L67" s="2"/>
      <c r="M67" s="2"/>
      <c r="O67" s="2">
        <v>65</v>
      </c>
      <c r="P67" s="1"/>
      <c r="Q67" s="1"/>
      <c r="R67" s="1"/>
      <c r="S67" s="1"/>
      <c r="T67" s="7"/>
      <c r="U67" s="1"/>
      <c r="X67" s="2"/>
      <c r="Y67" s="2"/>
    </row>
    <row r="68" spans="3:25">
      <c r="C68" s="1">
        <v>67</v>
      </c>
      <c r="D68" s="1">
        <v>67</v>
      </c>
      <c r="E68" s="2">
        <v>100</v>
      </c>
      <c r="F68" s="2">
        <f t="shared" si="6"/>
        <v>111</v>
      </c>
      <c r="G68" s="25">
        <f t="shared" si="8"/>
        <v>0.35000000000000003</v>
      </c>
      <c r="H68" s="25">
        <f t="shared" si="9"/>
        <v>0.13999999999999999</v>
      </c>
      <c r="I68" s="23">
        <f t="shared" si="7"/>
        <v>0.13999999999999999</v>
      </c>
      <c r="K68" s="2"/>
      <c r="L68" s="2"/>
      <c r="M68" s="2"/>
      <c r="O68" s="2">
        <v>66</v>
      </c>
      <c r="P68" s="1"/>
      <c r="Q68" s="1"/>
      <c r="R68" s="1"/>
      <c r="S68" s="1"/>
      <c r="T68" s="7"/>
      <c r="U68" s="1"/>
      <c r="X68" s="2"/>
      <c r="Y68" s="2"/>
    </row>
    <row r="69" spans="3:25">
      <c r="C69" s="1">
        <v>68</v>
      </c>
      <c r="D69" s="1">
        <v>68</v>
      </c>
      <c r="E69" s="2">
        <v>102</v>
      </c>
      <c r="F69" s="2">
        <f t="shared" si="6"/>
        <v>113</v>
      </c>
      <c r="G69" s="25">
        <f t="shared" si="8"/>
        <v>0.35000000000000003</v>
      </c>
      <c r="H69" s="25">
        <f t="shared" si="9"/>
        <v>0.13999999999999999</v>
      </c>
      <c r="I69" s="23">
        <f t="shared" si="7"/>
        <v>0.13999999999999999</v>
      </c>
      <c r="K69" s="2"/>
      <c r="L69" s="2"/>
      <c r="M69" s="2"/>
      <c r="O69" s="2">
        <v>67</v>
      </c>
      <c r="P69" s="1"/>
      <c r="Q69" s="1"/>
      <c r="R69" s="1"/>
      <c r="S69" s="1"/>
      <c r="T69" s="7"/>
      <c r="U69" s="1"/>
      <c r="X69" s="2"/>
      <c r="Y69" s="2"/>
    </row>
    <row r="70" spans="3:25">
      <c r="C70" s="1">
        <v>69</v>
      </c>
      <c r="D70" s="1">
        <v>69</v>
      </c>
      <c r="E70" s="2">
        <v>103</v>
      </c>
      <c r="F70" s="2">
        <f t="shared" si="6"/>
        <v>115</v>
      </c>
      <c r="G70" s="25">
        <f t="shared" si="8"/>
        <v>0.35000000000000003</v>
      </c>
      <c r="H70" s="25">
        <f t="shared" si="9"/>
        <v>0.13999999999999999</v>
      </c>
      <c r="I70" s="23">
        <f t="shared" si="7"/>
        <v>0.13999999999999999</v>
      </c>
      <c r="K70" s="2"/>
      <c r="L70" s="2"/>
      <c r="M70" s="2"/>
      <c r="O70" s="2">
        <v>68</v>
      </c>
      <c r="P70" s="1"/>
      <c r="Q70" s="1"/>
      <c r="R70" s="1"/>
      <c r="S70" s="1"/>
      <c r="T70" s="7"/>
      <c r="U70" s="1"/>
      <c r="X70" s="2"/>
      <c r="Y70" s="2"/>
    </row>
    <row r="71" spans="3:25">
      <c r="C71" s="1">
        <v>70</v>
      </c>
      <c r="D71" s="1">
        <v>70</v>
      </c>
      <c r="E71" s="2">
        <v>105</v>
      </c>
      <c r="F71" s="2">
        <f t="shared" si="6"/>
        <v>116</v>
      </c>
      <c r="G71" s="25">
        <f t="shared" si="8"/>
        <v>0.4</v>
      </c>
      <c r="H71" s="25">
        <f t="shared" si="9"/>
        <v>0.16</v>
      </c>
      <c r="I71" s="23">
        <f t="shared" si="7"/>
        <v>0.16</v>
      </c>
      <c r="K71" s="2"/>
      <c r="L71" s="2"/>
      <c r="M71" s="2"/>
      <c r="O71" s="2">
        <v>69</v>
      </c>
      <c r="P71" s="1"/>
      <c r="Q71" s="1"/>
      <c r="R71" s="1"/>
      <c r="S71" s="1"/>
      <c r="T71" s="7"/>
      <c r="U71" s="1"/>
      <c r="X71" s="2"/>
      <c r="Y71" s="2"/>
    </row>
    <row r="72" spans="3:25">
      <c r="C72" s="1">
        <v>71</v>
      </c>
      <c r="D72" s="1">
        <v>71</v>
      </c>
      <c r="E72" s="2">
        <v>106</v>
      </c>
      <c r="F72" s="2">
        <f t="shared" si="6"/>
        <v>118</v>
      </c>
      <c r="G72" s="25">
        <f t="shared" si="8"/>
        <v>0.4</v>
      </c>
      <c r="H72" s="25">
        <f t="shared" si="9"/>
        <v>0.16</v>
      </c>
      <c r="I72" s="23">
        <f t="shared" si="7"/>
        <v>0.16</v>
      </c>
      <c r="O72" s="2">
        <v>70</v>
      </c>
      <c r="P72" s="1"/>
      <c r="Q72" s="1"/>
      <c r="R72" s="1"/>
      <c r="S72" s="1"/>
      <c r="T72" s="7"/>
      <c r="U72" s="1"/>
      <c r="X72" s="2"/>
      <c r="Y72" s="2"/>
    </row>
    <row r="73" spans="3:25">
      <c r="C73" s="1">
        <v>72</v>
      </c>
      <c r="D73" s="1">
        <v>72</v>
      </c>
      <c r="E73" s="2">
        <v>108</v>
      </c>
      <c r="F73" s="2">
        <f t="shared" si="6"/>
        <v>120</v>
      </c>
      <c r="G73" s="25">
        <f t="shared" si="8"/>
        <v>0.4</v>
      </c>
      <c r="H73" s="25">
        <f t="shared" si="9"/>
        <v>0.16</v>
      </c>
      <c r="I73" s="23">
        <f t="shared" si="7"/>
        <v>0.16</v>
      </c>
      <c r="O73" s="2">
        <v>71</v>
      </c>
      <c r="P73" s="1"/>
      <c r="Q73" s="1"/>
      <c r="R73" s="1"/>
      <c r="S73" s="1"/>
      <c r="T73" s="7"/>
      <c r="U73" s="1"/>
      <c r="X73" s="2"/>
      <c r="Y73" s="2"/>
    </row>
    <row r="74" spans="3:25">
      <c r="C74" s="1">
        <v>73</v>
      </c>
      <c r="D74" s="1">
        <v>73</v>
      </c>
      <c r="E74" s="2">
        <v>109</v>
      </c>
      <c r="F74" s="2">
        <f t="shared" si="6"/>
        <v>121</v>
      </c>
      <c r="G74" s="25">
        <f t="shared" si="8"/>
        <v>0.4</v>
      </c>
      <c r="H74" s="25">
        <f t="shared" si="9"/>
        <v>0.16</v>
      </c>
      <c r="I74" s="23">
        <f t="shared" si="7"/>
        <v>0.16</v>
      </c>
      <c r="O74" s="2">
        <v>72</v>
      </c>
      <c r="P74" s="1"/>
      <c r="Q74" s="1"/>
      <c r="R74" s="1"/>
      <c r="S74" s="1"/>
      <c r="T74" s="7"/>
      <c r="U74" s="1"/>
      <c r="X74" s="2"/>
      <c r="Y74" s="2"/>
    </row>
    <row r="75" spans="3:25">
      <c r="C75" s="1">
        <v>74</v>
      </c>
      <c r="D75" s="1">
        <v>74</v>
      </c>
      <c r="E75" s="2">
        <v>111</v>
      </c>
      <c r="F75" s="2">
        <f t="shared" si="6"/>
        <v>123</v>
      </c>
      <c r="G75" s="25">
        <f t="shared" si="8"/>
        <v>0.4</v>
      </c>
      <c r="H75" s="25">
        <f t="shared" si="9"/>
        <v>0.16</v>
      </c>
      <c r="I75" s="23">
        <f t="shared" si="7"/>
        <v>0.16</v>
      </c>
      <c r="O75" s="2">
        <v>73</v>
      </c>
      <c r="P75" s="1"/>
      <c r="Q75" s="1"/>
      <c r="R75" s="1"/>
      <c r="S75" s="1"/>
      <c r="T75" s="7"/>
      <c r="U75" s="1"/>
      <c r="X75" s="2"/>
      <c r="Y75" s="2"/>
    </row>
    <row r="76" spans="3:25">
      <c r="C76" s="1">
        <v>75</v>
      </c>
      <c r="D76" s="1">
        <v>75</v>
      </c>
      <c r="E76" s="2">
        <v>112</v>
      </c>
      <c r="F76" s="2">
        <f t="shared" si="6"/>
        <v>125</v>
      </c>
      <c r="G76" s="25">
        <f t="shared" si="8"/>
        <v>0.4</v>
      </c>
      <c r="H76" s="25">
        <f t="shared" si="9"/>
        <v>0.16</v>
      </c>
      <c r="I76" s="23">
        <f t="shared" si="7"/>
        <v>0.16</v>
      </c>
      <c r="O76" s="2">
        <v>74</v>
      </c>
      <c r="P76" s="1"/>
      <c r="Q76" s="1"/>
      <c r="R76" s="1"/>
      <c r="S76" s="1"/>
      <c r="T76" s="7"/>
      <c r="U76" s="1"/>
      <c r="X76" s="2"/>
      <c r="Y76" s="2"/>
    </row>
    <row r="77" spans="3:25">
      <c r="C77" s="1">
        <v>76</v>
      </c>
      <c r="D77" s="1">
        <v>76</v>
      </c>
      <c r="E77" s="2">
        <v>114</v>
      </c>
      <c r="F77" s="2">
        <f t="shared" si="6"/>
        <v>126</v>
      </c>
      <c r="G77" s="25">
        <f t="shared" si="8"/>
        <v>0.4</v>
      </c>
      <c r="H77" s="25">
        <f t="shared" si="9"/>
        <v>0.16</v>
      </c>
      <c r="I77" s="23">
        <f t="shared" si="7"/>
        <v>0.16</v>
      </c>
      <c r="O77" s="2">
        <v>75</v>
      </c>
      <c r="P77" s="1"/>
      <c r="Q77" s="1"/>
      <c r="R77" s="1"/>
      <c r="S77" s="1"/>
      <c r="T77" s="7"/>
      <c r="U77" s="1"/>
      <c r="X77" s="2"/>
      <c r="Y77" s="2"/>
    </row>
    <row r="78" spans="3:25">
      <c r="C78" s="1">
        <v>77</v>
      </c>
      <c r="D78" s="1">
        <v>77</v>
      </c>
      <c r="E78" s="2">
        <v>115</v>
      </c>
      <c r="F78" s="2">
        <f t="shared" si="6"/>
        <v>128</v>
      </c>
      <c r="G78" s="25">
        <f t="shared" si="8"/>
        <v>0.4</v>
      </c>
      <c r="H78" s="25">
        <f t="shared" si="9"/>
        <v>0.16</v>
      </c>
      <c r="I78" s="23">
        <f t="shared" si="7"/>
        <v>0.16</v>
      </c>
      <c r="O78" s="2">
        <v>76</v>
      </c>
      <c r="P78" s="1"/>
      <c r="Q78" s="1"/>
      <c r="R78" s="1"/>
      <c r="S78" s="1"/>
      <c r="T78" s="7"/>
      <c r="U78" s="1"/>
      <c r="X78" s="2"/>
      <c r="Y78" s="2"/>
    </row>
    <row r="79" spans="3:25">
      <c r="C79" s="1">
        <v>78</v>
      </c>
      <c r="D79" s="1">
        <v>78</v>
      </c>
      <c r="E79" s="2">
        <v>117</v>
      </c>
      <c r="F79" s="2">
        <f t="shared" si="6"/>
        <v>130</v>
      </c>
      <c r="G79" s="25">
        <f t="shared" si="8"/>
        <v>0.4</v>
      </c>
      <c r="H79" s="25">
        <f t="shared" si="9"/>
        <v>0.16</v>
      </c>
      <c r="I79" s="23">
        <f t="shared" si="7"/>
        <v>0.16</v>
      </c>
      <c r="O79" s="2">
        <v>77</v>
      </c>
      <c r="P79" s="1"/>
      <c r="Q79" s="1"/>
      <c r="R79" s="1"/>
      <c r="S79" s="1"/>
      <c r="T79" s="7"/>
      <c r="U79" s="1"/>
      <c r="X79" s="2"/>
      <c r="Y79" s="2"/>
    </row>
    <row r="80" spans="3:25">
      <c r="C80" s="1">
        <v>79</v>
      </c>
      <c r="D80" s="1">
        <v>79</v>
      </c>
      <c r="E80" s="2">
        <v>118</v>
      </c>
      <c r="F80" s="2">
        <f t="shared" si="6"/>
        <v>131</v>
      </c>
      <c r="G80" s="25">
        <f t="shared" si="8"/>
        <v>0.4</v>
      </c>
      <c r="H80" s="25">
        <f t="shared" si="9"/>
        <v>0.16</v>
      </c>
      <c r="I80" s="23">
        <f t="shared" si="7"/>
        <v>0.16</v>
      </c>
      <c r="O80" s="2">
        <v>78</v>
      </c>
      <c r="P80" s="1"/>
      <c r="Q80" s="1"/>
      <c r="R80" s="1"/>
      <c r="S80" s="1"/>
      <c r="T80" s="7"/>
      <c r="U80" s="1"/>
      <c r="X80" s="2"/>
      <c r="Y80" s="2"/>
    </row>
    <row r="81" spans="3:25">
      <c r="C81" s="1">
        <v>80</v>
      </c>
      <c r="D81" s="1">
        <v>80</v>
      </c>
      <c r="E81" s="2">
        <v>120</v>
      </c>
      <c r="F81" s="2">
        <f t="shared" si="6"/>
        <v>133</v>
      </c>
      <c r="G81" s="25">
        <f t="shared" si="8"/>
        <v>0.45</v>
      </c>
      <c r="H81" s="25">
        <f t="shared" si="9"/>
        <v>0.18</v>
      </c>
      <c r="I81" s="23">
        <f t="shared" si="7"/>
        <v>0.18</v>
      </c>
      <c r="O81" s="2">
        <v>79</v>
      </c>
      <c r="P81" s="1"/>
      <c r="Q81" s="1"/>
      <c r="R81" s="1"/>
      <c r="S81" s="1"/>
      <c r="T81" s="7"/>
      <c r="U81" s="1"/>
      <c r="X81" s="2"/>
      <c r="Y81" s="2"/>
    </row>
    <row r="82" spans="3:25">
      <c r="C82" s="1">
        <v>81</v>
      </c>
      <c r="D82" s="1">
        <v>81</v>
      </c>
      <c r="E82" s="2">
        <v>121</v>
      </c>
      <c r="F82" s="2">
        <f t="shared" si="6"/>
        <v>135</v>
      </c>
      <c r="G82" s="25">
        <f t="shared" si="8"/>
        <v>0.45</v>
      </c>
      <c r="H82" s="25">
        <f t="shared" si="9"/>
        <v>0.18</v>
      </c>
      <c r="I82" s="23">
        <f t="shared" si="7"/>
        <v>0.18</v>
      </c>
      <c r="O82" s="2">
        <v>80</v>
      </c>
      <c r="P82" s="1"/>
      <c r="Q82" s="1"/>
      <c r="R82" s="1"/>
      <c r="S82" s="1"/>
      <c r="T82" s="7"/>
      <c r="U82" s="1"/>
      <c r="X82" s="2"/>
      <c r="Y82" s="2"/>
    </row>
    <row r="83" spans="3:25">
      <c r="C83" s="1">
        <v>82</v>
      </c>
      <c r="D83" s="1">
        <v>82</v>
      </c>
      <c r="E83" s="2">
        <v>123</v>
      </c>
      <c r="F83" s="2">
        <f t="shared" si="6"/>
        <v>136</v>
      </c>
      <c r="G83" s="25">
        <f t="shared" si="8"/>
        <v>0.45</v>
      </c>
      <c r="H83" s="25">
        <f t="shared" si="9"/>
        <v>0.18</v>
      </c>
      <c r="I83" s="23">
        <f t="shared" si="7"/>
        <v>0.18</v>
      </c>
      <c r="O83" s="2">
        <v>81</v>
      </c>
      <c r="P83" s="1"/>
      <c r="Q83" s="1"/>
      <c r="R83" s="1"/>
      <c r="S83" s="1"/>
      <c r="T83" s="7"/>
      <c r="U83" s="1"/>
      <c r="X83" s="2"/>
      <c r="Y83" s="2"/>
    </row>
    <row r="84" spans="3:25">
      <c r="C84" s="1">
        <v>83</v>
      </c>
      <c r="D84" s="1">
        <v>83</v>
      </c>
      <c r="E84" s="2">
        <v>124</v>
      </c>
      <c r="F84" s="2">
        <f t="shared" si="6"/>
        <v>138</v>
      </c>
      <c r="G84" s="25">
        <f t="shared" si="8"/>
        <v>0.45</v>
      </c>
      <c r="H84" s="25">
        <f t="shared" si="9"/>
        <v>0.18</v>
      </c>
      <c r="I84" s="23">
        <f t="shared" si="7"/>
        <v>0.18</v>
      </c>
      <c r="O84" s="2">
        <v>82</v>
      </c>
      <c r="P84" s="1"/>
      <c r="Q84" s="1"/>
      <c r="R84" s="1"/>
      <c r="S84" s="1"/>
      <c r="T84" s="7"/>
      <c r="U84" s="1"/>
      <c r="X84" s="2"/>
      <c r="Y84" s="2"/>
    </row>
    <row r="85" spans="3:25">
      <c r="C85" s="1">
        <v>84</v>
      </c>
      <c r="D85" s="1">
        <v>84</v>
      </c>
      <c r="E85" s="2">
        <v>126</v>
      </c>
      <c r="F85" s="2">
        <f t="shared" si="6"/>
        <v>140</v>
      </c>
      <c r="G85" s="25">
        <f t="shared" si="8"/>
        <v>0.45</v>
      </c>
      <c r="H85" s="25">
        <f t="shared" si="9"/>
        <v>0.18</v>
      </c>
      <c r="I85" s="23">
        <f t="shared" si="7"/>
        <v>0.18</v>
      </c>
      <c r="O85" s="2">
        <v>83</v>
      </c>
      <c r="P85" s="1"/>
      <c r="Q85" s="1"/>
      <c r="R85" s="1"/>
      <c r="S85" s="1"/>
      <c r="T85" s="7"/>
      <c r="U85" s="1"/>
      <c r="X85" s="2"/>
      <c r="Y85" s="2"/>
    </row>
    <row r="86" spans="3:25">
      <c r="C86" s="1">
        <v>85</v>
      </c>
      <c r="D86" s="1">
        <v>85</v>
      </c>
      <c r="E86" s="2">
        <v>127</v>
      </c>
      <c r="F86" s="2">
        <f t="shared" si="6"/>
        <v>141</v>
      </c>
      <c r="G86" s="25">
        <f t="shared" si="8"/>
        <v>0.45</v>
      </c>
      <c r="H86" s="25">
        <f t="shared" si="9"/>
        <v>0.18</v>
      </c>
      <c r="I86" s="23">
        <f t="shared" si="7"/>
        <v>0.18</v>
      </c>
      <c r="O86" s="2">
        <v>84</v>
      </c>
      <c r="P86" s="1"/>
      <c r="Q86" s="1"/>
      <c r="R86" s="1"/>
      <c r="S86" s="1"/>
      <c r="T86" s="7"/>
      <c r="U86" s="1"/>
      <c r="X86" s="2"/>
      <c r="Y86" s="2"/>
    </row>
    <row r="87" spans="3:25">
      <c r="C87" s="1">
        <v>86</v>
      </c>
      <c r="D87" s="1">
        <v>86</v>
      </c>
      <c r="E87" s="2">
        <v>129</v>
      </c>
      <c r="F87" s="2">
        <f t="shared" si="6"/>
        <v>143</v>
      </c>
      <c r="G87" s="25">
        <f t="shared" si="8"/>
        <v>0.45</v>
      </c>
      <c r="H87" s="25">
        <f t="shared" si="9"/>
        <v>0.18</v>
      </c>
      <c r="I87" s="23">
        <f t="shared" si="7"/>
        <v>0.18</v>
      </c>
      <c r="O87" s="2">
        <v>85</v>
      </c>
      <c r="P87" s="1"/>
      <c r="Q87" s="1"/>
      <c r="R87" s="1"/>
      <c r="S87" s="1"/>
      <c r="T87" s="7"/>
      <c r="U87" s="1"/>
      <c r="X87" s="2"/>
      <c r="Y87" s="2"/>
    </row>
    <row r="88" spans="3:25">
      <c r="C88" s="1">
        <v>87</v>
      </c>
      <c r="D88" s="1">
        <v>87</v>
      </c>
      <c r="E88" s="2">
        <v>130</v>
      </c>
      <c r="F88" s="2">
        <f t="shared" si="6"/>
        <v>145</v>
      </c>
      <c r="G88" s="25">
        <f t="shared" si="8"/>
        <v>0.45</v>
      </c>
      <c r="H88" s="25">
        <f t="shared" si="9"/>
        <v>0.18</v>
      </c>
      <c r="I88" s="23">
        <f t="shared" si="7"/>
        <v>0.18</v>
      </c>
      <c r="O88" s="2">
        <v>86</v>
      </c>
      <c r="P88" s="1"/>
      <c r="Q88" s="1"/>
      <c r="R88" s="1"/>
      <c r="S88" s="1"/>
      <c r="T88" s="7"/>
      <c r="U88" s="1"/>
      <c r="X88" s="2"/>
      <c r="Y88" s="2"/>
    </row>
    <row r="89" spans="3:25">
      <c r="C89" s="1">
        <v>88</v>
      </c>
      <c r="D89" s="1">
        <v>88</v>
      </c>
      <c r="E89" s="2">
        <v>132</v>
      </c>
      <c r="F89" s="2">
        <f t="shared" si="6"/>
        <v>146</v>
      </c>
      <c r="G89" s="25">
        <f t="shared" si="8"/>
        <v>0.45</v>
      </c>
      <c r="H89" s="25">
        <f t="shared" si="9"/>
        <v>0.18</v>
      </c>
      <c r="I89" s="23">
        <f t="shared" si="7"/>
        <v>0.18</v>
      </c>
      <c r="O89" s="2">
        <v>87</v>
      </c>
      <c r="P89" s="1"/>
      <c r="Q89" s="1"/>
      <c r="R89" s="1"/>
      <c r="S89" s="1"/>
      <c r="T89" s="7"/>
      <c r="U89" s="1"/>
      <c r="X89" s="2"/>
      <c r="Y89" s="2"/>
    </row>
    <row r="90" spans="3:25">
      <c r="C90" s="1">
        <v>89</v>
      </c>
      <c r="D90" s="1">
        <v>89</v>
      </c>
      <c r="E90" s="2">
        <v>133</v>
      </c>
      <c r="F90" s="2">
        <f t="shared" si="6"/>
        <v>148</v>
      </c>
      <c r="G90" s="25">
        <f t="shared" si="8"/>
        <v>0.45</v>
      </c>
      <c r="H90" s="25">
        <f t="shared" si="9"/>
        <v>0.18</v>
      </c>
      <c r="I90" s="23">
        <f t="shared" si="7"/>
        <v>0.18</v>
      </c>
      <c r="O90" s="2">
        <v>88</v>
      </c>
      <c r="P90" s="1"/>
      <c r="Q90" s="1"/>
      <c r="R90" s="1"/>
      <c r="S90" s="1"/>
      <c r="T90" s="7"/>
      <c r="U90" s="1"/>
      <c r="X90" s="2"/>
      <c r="Y90" s="2"/>
    </row>
    <row r="91" spans="3:25">
      <c r="C91" s="1">
        <v>90</v>
      </c>
      <c r="D91" s="1">
        <v>90</v>
      </c>
      <c r="E91" s="2">
        <v>135</v>
      </c>
      <c r="F91" s="2">
        <f t="shared" si="6"/>
        <v>150</v>
      </c>
      <c r="G91" s="25">
        <f t="shared" si="8"/>
        <v>0.5</v>
      </c>
      <c r="H91" s="25">
        <f t="shared" si="9"/>
        <v>0.19999999999999998</v>
      </c>
      <c r="I91" s="23">
        <f t="shared" si="7"/>
        <v>0.19999999999999998</v>
      </c>
      <c r="O91" s="2">
        <v>89</v>
      </c>
      <c r="P91" s="1"/>
      <c r="Q91" s="1"/>
      <c r="R91" s="1"/>
      <c r="S91" s="1"/>
      <c r="T91" s="7"/>
      <c r="U91" s="1"/>
      <c r="X91" s="2"/>
      <c r="Y91" s="2"/>
    </row>
    <row r="92" spans="3:25">
      <c r="C92" s="1">
        <v>91</v>
      </c>
      <c r="D92" s="1">
        <v>91</v>
      </c>
      <c r="E92" s="2">
        <v>136</v>
      </c>
      <c r="F92" s="2">
        <f t="shared" si="6"/>
        <v>151</v>
      </c>
      <c r="G92" s="25">
        <f t="shared" si="8"/>
        <v>0.5</v>
      </c>
      <c r="H92" s="25">
        <f t="shared" si="9"/>
        <v>0.19999999999999998</v>
      </c>
      <c r="I92" s="23">
        <f t="shared" si="7"/>
        <v>0.19999999999999998</v>
      </c>
      <c r="O92" s="2">
        <v>90</v>
      </c>
      <c r="P92" s="1"/>
      <c r="Q92" s="1"/>
      <c r="R92" s="1"/>
      <c r="S92" s="1"/>
      <c r="T92" s="7"/>
      <c r="U92" s="1"/>
      <c r="X92" s="2"/>
      <c r="Y92" s="2"/>
    </row>
    <row r="93" spans="3:25">
      <c r="C93" s="1">
        <v>92</v>
      </c>
      <c r="D93" s="1">
        <v>92</v>
      </c>
      <c r="E93" s="2">
        <v>138</v>
      </c>
      <c r="F93" s="2">
        <f t="shared" si="6"/>
        <v>153</v>
      </c>
      <c r="G93" s="25">
        <f t="shared" si="8"/>
        <v>0.5</v>
      </c>
      <c r="H93" s="25">
        <f t="shared" si="9"/>
        <v>0.19999999999999998</v>
      </c>
      <c r="I93" s="23">
        <f t="shared" si="7"/>
        <v>0.19999999999999998</v>
      </c>
      <c r="O93" s="2">
        <v>91</v>
      </c>
      <c r="P93" s="1"/>
      <c r="Q93" s="1"/>
      <c r="R93" s="1"/>
      <c r="S93" s="1"/>
      <c r="T93" s="7"/>
      <c r="U93" s="1"/>
      <c r="X93" s="2"/>
      <c r="Y93" s="2"/>
    </row>
    <row r="94" spans="3:25">
      <c r="C94" s="1">
        <v>93</v>
      </c>
      <c r="D94" s="1">
        <v>93</v>
      </c>
      <c r="E94" s="2">
        <v>139</v>
      </c>
      <c r="F94" s="2">
        <f t="shared" si="6"/>
        <v>155</v>
      </c>
      <c r="G94" s="25">
        <f t="shared" si="8"/>
        <v>0.5</v>
      </c>
      <c r="H94" s="25">
        <f t="shared" si="9"/>
        <v>0.19999999999999998</v>
      </c>
      <c r="I94" s="23">
        <f t="shared" si="7"/>
        <v>0.19999999999999998</v>
      </c>
      <c r="O94" s="2">
        <v>92</v>
      </c>
      <c r="P94" s="1"/>
      <c r="Q94" s="1"/>
      <c r="R94" s="1"/>
      <c r="S94" s="1"/>
      <c r="T94" s="7"/>
      <c r="U94" s="1"/>
      <c r="X94" s="2"/>
      <c r="Y94" s="2"/>
    </row>
    <row r="95" spans="3:25">
      <c r="C95" s="1">
        <v>94</v>
      </c>
      <c r="D95" s="1">
        <v>94</v>
      </c>
      <c r="E95" s="2">
        <v>141</v>
      </c>
      <c r="F95" s="2">
        <f t="shared" si="6"/>
        <v>156</v>
      </c>
      <c r="G95" s="25">
        <f t="shared" si="8"/>
        <v>0.5</v>
      </c>
      <c r="H95" s="25">
        <f t="shared" si="9"/>
        <v>0.19999999999999998</v>
      </c>
      <c r="I95" s="23">
        <f t="shared" si="7"/>
        <v>0.19999999999999998</v>
      </c>
      <c r="O95" s="2">
        <v>93</v>
      </c>
      <c r="P95" s="1"/>
      <c r="Q95" s="1"/>
      <c r="R95" s="1"/>
      <c r="S95" s="1"/>
      <c r="T95" s="7"/>
      <c r="U95" s="1"/>
      <c r="X95" s="2"/>
      <c r="Y95" s="2"/>
    </row>
    <row r="96" spans="3:25">
      <c r="C96" s="1">
        <v>95</v>
      </c>
      <c r="D96" s="1">
        <v>95</v>
      </c>
      <c r="E96" s="2">
        <v>142</v>
      </c>
      <c r="F96" s="2">
        <f t="shared" si="6"/>
        <v>158</v>
      </c>
      <c r="G96" s="25">
        <f t="shared" si="8"/>
        <v>0.5</v>
      </c>
      <c r="H96" s="25">
        <f t="shared" si="9"/>
        <v>0.19999999999999998</v>
      </c>
      <c r="I96" s="23">
        <f t="shared" si="7"/>
        <v>0.19999999999999998</v>
      </c>
      <c r="O96" s="2">
        <v>94</v>
      </c>
      <c r="P96" s="1"/>
      <c r="Q96" s="1"/>
      <c r="R96" s="1"/>
      <c r="S96" s="1"/>
      <c r="T96" s="7"/>
      <c r="U96" s="1"/>
      <c r="X96" s="2"/>
      <c r="Y96" s="2"/>
    </row>
    <row r="97" spans="3:25">
      <c r="C97" s="1">
        <v>96</v>
      </c>
      <c r="D97" s="1">
        <v>96</v>
      </c>
      <c r="E97" s="2">
        <v>144</v>
      </c>
      <c r="F97" s="2">
        <f t="shared" si="6"/>
        <v>160</v>
      </c>
      <c r="G97" s="25">
        <f t="shared" si="8"/>
        <v>0.5</v>
      </c>
      <c r="H97" s="25">
        <f t="shared" si="9"/>
        <v>0.19999999999999998</v>
      </c>
      <c r="I97" s="23">
        <f t="shared" si="7"/>
        <v>0.19999999999999998</v>
      </c>
      <c r="O97" s="2">
        <v>95</v>
      </c>
      <c r="P97" s="1"/>
      <c r="Q97" s="1"/>
      <c r="R97" s="1"/>
      <c r="S97" s="1"/>
      <c r="T97" s="7"/>
      <c r="U97" s="1"/>
      <c r="X97" s="2"/>
      <c r="Y97" s="2"/>
    </row>
    <row r="98" spans="3:25">
      <c r="C98" s="1">
        <v>97</v>
      </c>
      <c r="D98" s="1">
        <v>97</v>
      </c>
      <c r="E98" s="2">
        <v>145</v>
      </c>
      <c r="F98" s="2">
        <f t="shared" si="6"/>
        <v>161</v>
      </c>
      <c r="G98" s="25">
        <f t="shared" si="8"/>
        <v>0.5</v>
      </c>
      <c r="H98" s="25">
        <f t="shared" si="9"/>
        <v>0.19999999999999998</v>
      </c>
      <c r="I98" s="23">
        <f t="shared" ref="I98:I121" si="10">INT(C98/10 )*0.02 +2%</f>
        <v>0.19999999999999998</v>
      </c>
      <c r="O98" s="2">
        <v>96</v>
      </c>
      <c r="P98" s="1"/>
      <c r="Q98" s="1"/>
      <c r="R98" s="1"/>
      <c r="S98" s="1"/>
      <c r="T98" s="7"/>
      <c r="U98" s="1"/>
      <c r="X98" s="2"/>
      <c r="Y98" s="2"/>
    </row>
    <row r="99" spans="3:25">
      <c r="C99" s="1">
        <v>98</v>
      </c>
      <c r="D99" s="1">
        <v>98</v>
      </c>
      <c r="E99" s="2">
        <v>147</v>
      </c>
      <c r="F99" s="2">
        <f t="shared" si="6"/>
        <v>163</v>
      </c>
      <c r="G99" s="25">
        <f t="shared" si="8"/>
        <v>0.5</v>
      </c>
      <c r="H99" s="25">
        <f t="shared" ref="H99:H121" si="11">INT(C99/10 )*0.02 +2%</f>
        <v>0.19999999999999998</v>
      </c>
      <c r="I99" s="23">
        <f t="shared" si="10"/>
        <v>0.19999999999999998</v>
      </c>
      <c r="O99" s="2">
        <v>97</v>
      </c>
      <c r="P99" s="1"/>
      <c r="Q99" s="1"/>
      <c r="R99" s="1"/>
      <c r="S99" s="1"/>
      <c r="T99" s="7"/>
      <c r="U99" s="1"/>
      <c r="X99" s="2"/>
      <c r="Y99" s="2"/>
    </row>
    <row r="100" spans="3:25">
      <c r="C100" s="1">
        <v>99</v>
      </c>
      <c r="D100" s="1">
        <v>99</v>
      </c>
      <c r="E100" s="2">
        <v>148</v>
      </c>
      <c r="F100" s="2">
        <f t="shared" si="6"/>
        <v>165</v>
      </c>
      <c r="G100" s="25">
        <f t="shared" si="8"/>
        <v>0.5</v>
      </c>
      <c r="H100" s="25">
        <f t="shared" si="11"/>
        <v>0.19999999999999998</v>
      </c>
      <c r="I100" s="23">
        <f t="shared" si="10"/>
        <v>0.19999999999999998</v>
      </c>
      <c r="O100" s="2">
        <v>98</v>
      </c>
      <c r="P100" s="1"/>
      <c r="Q100" s="1"/>
      <c r="R100" s="1"/>
      <c r="S100" s="1"/>
      <c r="T100" s="7"/>
      <c r="U100" s="1"/>
      <c r="X100" s="2"/>
      <c r="Y100" s="2"/>
    </row>
    <row r="101" spans="3:25">
      <c r="C101" s="1">
        <v>100</v>
      </c>
      <c r="D101" s="1">
        <v>100</v>
      </c>
      <c r="E101" s="2">
        <v>150</v>
      </c>
      <c r="F101" s="2">
        <f t="shared" si="6"/>
        <v>167</v>
      </c>
      <c r="G101" s="25">
        <f t="shared" si="8"/>
        <v>0.55000000000000004</v>
      </c>
      <c r="H101" s="25">
        <f t="shared" si="11"/>
        <v>0.22</v>
      </c>
      <c r="I101" s="23">
        <f t="shared" si="10"/>
        <v>0.22</v>
      </c>
      <c r="O101" s="2">
        <v>99</v>
      </c>
      <c r="P101" s="1"/>
      <c r="Q101" s="1"/>
      <c r="R101" s="1"/>
      <c r="S101" s="1"/>
      <c r="T101" s="7"/>
      <c r="U101" s="1"/>
      <c r="X101" s="2"/>
      <c r="Y101" s="2"/>
    </row>
    <row r="102" spans="3:25">
      <c r="C102" s="1">
        <v>101</v>
      </c>
      <c r="D102" s="1">
        <v>101</v>
      </c>
      <c r="E102" s="2">
        <v>151</v>
      </c>
      <c r="F102" s="2">
        <f t="shared" si="6"/>
        <v>168</v>
      </c>
      <c r="G102" s="25">
        <f t="shared" si="8"/>
        <v>0.55000000000000004</v>
      </c>
      <c r="H102" s="25">
        <f t="shared" si="11"/>
        <v>0.22</v>
      </c>
      <c r="I102" s="23">
        <f t="shared" si="10"/>
        <v>0.22</v>
      </c>
      <c r="O102" s="2">
        <v>100</v>
      </c>
      <c r="P102" s="1"/>
      <c r="Q102" s="1"/>
      <c r="R102" s="1"/>
      <c r="S102" s="1"/>
      <c r="T102" s="7"/>
      <c r="U102" s="1"/>
      <c r="X102" s="2"/>
      <c r="Y102" s="2"/>
    </row>
    <row r="103" spans="3:25">
      <c r="C103" s="1">
        <v>102</v>
      </c>
      <c r="D103" s="1">
        <v>102</v>
      </c>
      <c r="E103" s="2">
        <v>153</v>
      </c>
      <c r="F103" s="2">
        <f t="shared" si="6"/>
        <v>170</v>
      </c>
      <c r="G103" s="25">
        <f t="shared" si="8"/>
        <v>0.55000000000000004</v>
      </c>
      <c r="H103" s="25">
        <f t="shared" si="11"/>
        <v>0.22</v>
      </c>
      <c r="I103" s="23">
        <f t="shared" si="10"/>
        <v>0.22</v>
      </c>
      <c r="O103" s="2">
        <v>101</v>
      </c>
    </row>
    <row r="104" spans="3:25">
      <c r="C104" s="1">
        <v>103</v>
      </c>
      <c r="D104" s="1">
        <v>103</v>
      </c>
      <c r="E104" s="2">
        <v>154</v>
      </c>
      <c r="F104" s="2">
        <f t="shared" si="6"/>
        <v>172</v>
      </c>
      <c r="G104" s="25">
        <f t="shared" si="8"/>
        <v>0.55000000000000004</v>
      </c>
      <c r="H104" s="25">
        <f t="shared" si="11"/>
        <v>0.22</v>
      </c>
      <c r="I104" s="23">
        <f t="shared" si="10"/>
        <v>0.22</v>
      </c>
      <c r="O104" s="2">
        <v>102</v>
      </c>
    </row>
    <row r="105" spans="3:25">
      <c r="C105" s="1">
        <v>104</v>
      </c>
      <c r="D105" s="1">
        <v>104</v>
      </c>
      <c r="E105" s="2">
        <v>156</v>
      </c>
      <c r="F105" s="2">
        <f t="shared" si="6"/>
        <v>173</v>
      </c>
      <c r="G105" s="25">
        <f t="shared" si="8"/>
        <v>0.55000000000000004</v>
      </c>
      <c r="H105" s="25">
        <f t="shared" si="11"/>
        <v>0.22</v>
      </c>
      <c r="I105" s="23">
        <f t="shared" si="10"/>
        <v>0.22</v>
      </c>
      <c r="O105" s="2">
        <v>103</v>
      </c>
    </row>
    <row r="106" spans="3:25">
      <c r="C106" s="1">
        <v>105</v>
      </c>
      <c r="D106" s="1">
        <v>105</v>
      </c>
      <c r="E106" s="2">
        <v>157</v>
      </c>
      <c r="F106" s="2">
        <f t="shared" si="6"/>
        <v>175</v>
      </c>
      <c r="G106" s="25">
        <f t="shared" si="8"/>
        <v>0.55000000000000004</v>
      </c>
      <c r="H106" s="25">
        <f t="shared" si="11"/>
        <v>0.22</v>
      </c>
      <c r="I106" s="23">
        <f t="shared" si="10"/>
        <v>0.22</v>
      </c>
      <c r="O106" s="2">
        <v>104</v>
      </c>
    </row>
    <row r="107" spans="3:25">
      <c r="C107" s="1">
        <v>106</v>
      </c>
      <c r="D107" s="1">
        <v>106</v>
      </c>
      <c r="E107" s="2">
        <v>159</v>
      </c>
      <c r="F107" s="2">
        <f t="shared" si="6"/>
        <v>177</v>
      </c>
      <c r="G107" s="25">
        <f t="shared" si="8"/>
        <v>0.55000000000000004</v>
      </c>
      <c r="H107" s="25">
        <f t="shared" si="11"/>
        <v>0.22</v>
      </c>
      <c r="I107" s="23">
        <f t="shared" si="10"/>
        <v>0.22</v>
      </c>
      <c r="O107" s="2">
        <v>105</v>
      </c>
    </row>
    <row r="108" spans="3:25">
      <c r="C108" s="1">
        <v>107</v>
      </c>
      <c r="D108" s="1">
        <v>107</v>
      </c>
      <c r="E108" s="2">
        <v>160</v>
      </c>
      <c r="F108" s="2">
        <f t="shared" si="6"/>
        <v>178</v>
      </c>
      <c r="G108" s="25">
        <f t="shared" si="8"/>
        <v>0.55000000000000004</v>
      </c>
      <c r="H108" s="25">
        <f t="shared" si="11"/>
        <v>0.22</v>
      </c>
      <c r="I108" s="23">
        <f t="shared" si="10"/>
        <v>0.22</v>
      </c>
      <c r="O108" s="2">
        <v>106</v>
      </c>
    </row>
    <row r="109" spans="3:25">
      <c r="C109" s="1">
        <v>108</v>
      </c>
      <c r="D109" s="1">
        <v>108</v>
      </c>
      <c r="E109" s="2">
        <v>162</v>
      </c>
      <c r="F109" s="2">
        <f t="shared" si="6"/>
        <v>180</v>
      </c>
      <c r="G109" s="25">
        <f t="shared" si="8"/>
        <v>0.55000000000000004</v>
      </c>
      <c r="H109" s="25">
        <f t="shared" si="11"/>
        <v>0.22</v>
      </c>
      <c r="I109" s="23">
        <f t="shared" si="10"/>
        <v>0.22</v>
      </c>
      <c r="O109" s="2">
        <v>107</v>
      </c>
    </row>
    <row r="110" spans="3:25">
      <c r="C110" s="1">
        <v>109</v>
      </c>
      <c r="D110" s="1">
        <v>109</v>
      </c>
      <c r="E110" s="2">
        <v>163</v>
      </c>
      <c r="F110" s="2">
        <f t="shared" si="6"/>
        <v>182</v>
      </c>
      <c r="G110" s="25">
        <f t="shared" si="8"/>
        <v>0.55000000000000004</v>
      </c>
      <c r="H110" s="25">
        <f t="shared" si="11"/>
        <v>0.22</v>
      </c>
      <c r="I110" s="23">
        <f t="shared" si="10"/>
        <v>0.22</v>
      </c>
      <c r="O110" s="2">
        <v>108</v>
      </c>
    </row>
    <row r="111" spans="3:25">
      <c r="C111" s="1">
        <v>110</v>
      </c>
      <c r="D111" s="1">
        <v>110</v>
      </c>
      <c r="E111" s="2">
        <v>165</v>
      </c>
      <c r="F111" s="2">
        <f t="shared" si="6"/>
        <v>183</v>
      </c>
      <c r="G111" s="25">
        <f t="shared" si="8"/>
        <v>0.60000000000000009</v>
      </c>
      <c r="H111" s="25">
        <f t="shared" si="11"/>
        <v>0.24</v>
      </c>
      <c r="I111" s="23">
        <f t="shared" si="10"/>
        <v>0.24</v>
      </c>
      <c r="O111" s="2">
        <v>109</v>
      </c>
    </row>
    <row r="112" spans="3:25">
      <c r="C112" s="1">
        <v>111</v>
      </c>
      <c r="D112" s="1">
        <v>111</v>
      </c>
      <c r="E112" s="2">
        <v>166</v>
      </c>
      <c r="F112" s="2">
        <f t="shared" si="6"/>
        <v>185</v>
      </c>
      <c r="G112" s="25">
        <f t="shared" si="8"/>
        <v>0.60000000000000009</v>
      </c>
      <c r="H112" s="25">
        <f t="shared" si="11"/>
        <v>0.24</v>
      </c>
      <c r="I112" s="23">
        <f t="shared" si="10"/>
        <v>0.24</v>
      </c>
      <c r="O112" s="2">
        <v>110</v>
      </c>
    </row>
    <row r="113" spans="1:15">
      <c r="C113" s="1">
        <v>112</v>
      </c>
      <c r="D113" s="1">
        <v>112</v>
      </c>
      <c r="E113" s="2">
        <v>168</v>
      </c>
      <c r="F113" s="2">
        <f t="shared" si="6"/>
        <v>187</v>
      </c>
      <c r="G113" s="25">
        <f t="shared" si="8"/>
        <v>0.60000000000000009</v>
      </c>
      <c r="H113" s="25">
        <f t="shared" si="11"/>
        <v>0.24</v>
      </c>
      <c r="I113" s="23">
        <f t="shared" si="10"/>
        <v>0.24</v>
      </c>
      <c r="O113" s="2">
        <v>111</v>
      </c>
    </row>
    <row r="114" spans="1:15">
      <c r="C114" s="1">
        <v>113</v>
      </c>
      <c r="D114" s="1">
        <v>113</v>
      </c>
      <c r="E114" s="2">
        <v>169</v>
      </c>
      <c r="F114" s="2">
        <f t="shared" si="6"/>
        <v>188</v>
      </c>
      <c r="G114" s="25">
        <f t="shared" si="8"/>
        <v>0.60000000000000009</v>
      </c>
      <c r="H114" s="25">
        <f t="shared" si="11"/>
        <v>0.24</v>
      </c>
      <c r="I114" s="23">
        <f t="shared" si="10"/>
        <v>0.24</v>
      </c>
      <c r="O114" s="2">
        <v>112</v>
      </c>
    </row>
    <row r="115" spans="1:15">
      <c r="C115" s="1">
        <v>114</v>
      </c>
      <c r="D115" s="1">
        <v>114</v>
      </c>
      <c r="E115" s="2">
        <v>171</v>
      </c>
      <c r="F115" s="2">
        <f t="shared" si="6"/>
        <v>190</v>
      </c>
      <c r="G115" s="25">
        <f t="shared" si="8"/>
        <v>0.60000000000000009</v>
      </c>
      <c r="H115" s="25">
        <f t="shared" si="11"/>
        <v>0.24</v>
      </c>
      <c r="I115" s="23">
        <f t="shared" si="10"/>
        <v>0.24</v>
      </c>
      <c r="O115" s="2">
        <v>113</v>
      </c>
    </row>
    <row r="116" spans="1:15">
      <c r="C116" s="1">
        <v>115</v>
      </c>
      <c r="D116" s="1">
        <v>115</v>
      </c>
      <c r="E116" s="2">
        <v>172</v>
      </c>
      <c r="F116" s="2">
        <f t="shared" si="6"/>
        <v>192</v>
      </c>
      <c r="G116" s="25">
        <f t="shared" si="8"/>
        <v>0.60000000000000009</v>
      </c>
      <c r="H116" s="25">
        <f t="shared" si="11"/>
        <v>0.24</v>
      </c>
      <c r="I116" s="23">
        <f t="shared" si="10"/>
        <v>0.24</v>
      </c>
      <c r="O116" s="2">
        <v>114</v>
      </c>
    </row>
    <row r="117" spans="1:15">
      <c r="C117" s="1">
        <v>116</v>
      </c>
      <c r="D117" s="1">
        <v>116</v>
      </c>
      <c r="E117" s="2">
        <v>174</v>
      </c>
      <c r="F117" s="2">
        <f t="shared" si="6"/>
        <v>193</v>
      </c>
      <c r="G117" s="25">
        <f t="shared" si="8"/>
        <v>0.60000000000000009</v>
      </c>
      <c r="H117" s="25">
        <f t="shared" si="11"/>
        <v>0.24</v>
      </c>
      <c r="I117" s="23">
        <f t="shared" si="10"/>
        <v>0.24</v>
      </c>
      <c r="O117" s="2">
        <v>115</v>
      </c>
    </row>
    <row r="118" spans="1:15">
      <c r="C118" s="1">
        <v>117</v>
      </c>
      <c r="D118" s="1">
        <v>117</v>
      </c>
      <c r="E118" s="2">
        <v>175</v>
      </c>
      <c r="F118" s="2">
        <f t="shared" si="6"/>
        <v>195</v>
      </c>
      <c r="G118" s="25">
        <f t="shared" si="8"/>
        <v>0.60000000000000009</v>
      </c>
      <c r="H118" s="25">
        <f t="shared" si="11"/>
        <v>0.24</v>
      </c>
      <c r="I118" s="23">
        <f t="shared" si="10"/>
        <v>0.24</v>
      </c>
      <c r="O118" s="2">
        <v>116</v>
      </c>
    </row>
    <row r="119" spans="1:15">
      <c r="C119" s="1">
        <v>118</v>
      </c>
      <c r="D119" s="1">
        <v>118</v>
      </c>
      <c r="E119" s="2">
        <v>177</v>
      </c>
      <c r="F119" s="2">
        <f t="shared" si="6"/>
        <v>197</v>
      </c>
      <c r="G119" s="25">
        <f t="shared" si="8"/>
        <v>0.60000000000000009</v>
      </c>
      <c r="H119" s="25">
        <f t="shared" si="11"/>
        <v>0.24</v>
      </c>
      <c r="I119" s="23">
        <f t="shared" si="10"/>
        <v>0.24</v>
      </c>
      <c r="O119" s="2">
        <v>117</v>
      </c>
    </row>
    <row r="120" spans="1:15">
      <c r="C120" s="1">
        <v>119</v>
      </c>
      <c r="D120" s="1">
        <v>119</v>
      </c>
      <c r="E120" s="2">
        <v>178</v>
      </c>
      <c r="F120" s="2">
        <f>INT(C120*1.67)</f>
        <v>198</v>
      </c>
      <c r="G120" s="25">
        <f t="shared" si="8"/>
        <v>0.60000000000000009</v>
      </c>
      <c r="H120" s="25">
        <f t="shared" si="11"/>
        <v>0.24</v>
      </c>
      <c r="I120" s="23">
        <f t="shared" si="10"/>
        <v>0.24</v>
      </c>
      <c r="O120" s="2">
        <v>118</v>
      </c>
    </row>
    <row r="121" spans="1:15">
      <c r="C121" s="1">
        <v>120</v>
      </c>
      <c r="D121" s="1">
        <v>120</v>
      </c>
      <c r="E121" s="2">
        <f>D121*1.5</f>
        <v>180</v>
      </c>
      <c r="F121" s="2">
        <f>INT(C121*1.67)</f>
        <v>200</v>
      </c>
      <c r="G121" s="25">
        <f t="shared" si="8"/>
        <v>0.65000000000000013</v>
      </c>
      <c r="H121" s="25">
        <f t="shared" si="11"/>
        <v>0.26</v>
      </c>
      <c r="I121" s="23">
        <f t="shared" si="10"/>
        <v>0.26</v>
      </c>
      <c r="O121" s="2">
        <v>119</v>
      </c>
    </row>
    <row r="122" spans="1:15">
      <c r="A122" s="1">
        <v>506</v>
      </c>
      <c r="E122" s="2"/>
      <c r="F122" s="2"/>
      <c r="H122" s="25"/>
      <c r="I122" s="23"/>
      <c r="O122" s="2">
        <v>120</v>
      </c>
    </row>
    <row r="123" spans="1:15">
      <c r="G123" s="30">
        <f>(1 +E125) * (1 + G120*0.5 + H120*8/3.5)</f>
        <v>2.9445623941276122</v>
      </c>
      <c r="H123" s="30"/>
      <c r="I123" s="22">
        <f>(1+F125)*(1+I120*5)</f>
        <v>2.9260869565217398</v>
      </c>
    </row>
    <row r="124" spans="1:15">
      <c r="C124" s="1">
        <v>506</v>
      </c>
      <c r="E124" s="1">
        <f>D121*0.5+E121*8/6</f>
        <v>300</v>
      </c>
      <c r="F124" s="2">
        <f>ROUND(F121*5/6,0)</f>
        <v>167</v>
      </c>
      <c r="H124" s="25"/>
      <c r="I124" s="2"/>
    </row>
    <row r="125" spans="1:15">
      <c r="E125" s="24">
        <f>E124/C124</f>
        <v>0.59288537549407117</v>
      </c>
      <c r="F125" s="22">
        <f>F124/C124</f>
        <v>0.33003952569169959</v>
      </c>
      <c r="H125" s="25"/>
      <c r="I125" s="22"/>
    </row>
  </sheetData>
  <mergeCells count="1">
    <mergeCell ref="G123:H12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1" sqref="B11"/>
    </sheetView>
  </sheetViews>
  <sheetFormatPr defaultRowHeight="20.100000000000001" customHeight="1"/>
  <cols>
    <col min="1" max="2" width="15.375" customWidth="1"/>
    <col min="3" max="3" width="34.875" customWidth="1"/>
  </cols>
  <sheetData>
    <row r="1" spans="1:4" ht="20.100000000000001" customHeight="1">
      <c r="A1" s="27" t="s">
        <v>115</v>
      </c>
      <c r="B1" s="27" t="s">
        <v>116</v>
      </c>
      <c r="C1" s="27" t="s">
        <v>117</v>
      </c>
      <c r="D1" s="27" t="s">
        <v>118</v>
      </c>
    </row>
    <row r="2" spans="1:4" ht="20.100000000000001" customHeight="1">
      <c r="A2" s="28" t="s">
        <v>0</v>
      </c>
      <c r="B2" s="29" t="s">
        <v>119</v>
      </c>
      <c r="C2" s="29"/>
      <c r="D2" s="29"/>
    </row>
    <row r="3" spans="1:4" ht="20.100000000000001" customHeight="1">
      <c r="A3" s="29" t="s">
        <v>2</v>
      </c>
      <c r="B3" s="29" t="s">
        <v>120</v>
      </c>
      <c r="C3" s="29" t="s">
        <v>122</v>
      </c>
      <c r="D3" s="29"/>
    </row>
    <row r="4" spans="1:4" ht="20.100000000000001" customHeight="1">
      <c r="A4" s="29" t="s">
        <v>110</v>
      </c>
      <c r="B4" s="29" t="s">
        <v>121</v>
      </c>
      <c r="C4" s="29" t="s">
        <v>123</v>
      </c>
      <c r="D4" s="29"/>
    </row>
    <row r="5" spans="1:4" ht="20.100000000000001" customHeight="1">
      <c r="A5" s="29" t="s">
        <v>113</v>
      </c>
      <c r="B5" s="29" t="s">
        <v>124</v>
      </c>
      <c r="C5" s="29"/>
      <c r="D5" s="29"/>
    </row>
    <row r="6" spans="1:4" ht="20.100000000000001" customHeight="1">
      <c r="A6" s="29" t="s">
        <v>112</v>
      </c>
      <c r="B6" s="29" t="s">
        <v>125</v>
      </c>
      <c r="C6" s="29"/>
      <c r="D6" s="29"/>
    </row>
    <row r="7" spans="1:4" ht="20.100000000000001" customHeight="1">
      <c r="A7" s="29" t="s">
        <v>1</v>
      </c>
      <c r="B7" s="29" t="s">
        <v>126</v>
      </c>
      <c r="C7" s="29" t="s">
        <v>127</v>
      </c>
      <c r="D7" s="29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2014-10-10T10:15:21Z</dcterms:modified>
</cp:coreProperties>
</file>