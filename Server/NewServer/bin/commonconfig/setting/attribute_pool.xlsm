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315" windowWidth="14805" windowHeight="7800"/>
  </bookViews>
  <sheets>
    <sheet name="正表" sheetId="6" r:id="rId1"/>
    <sheet name="数据库" sheetId="4" r:id="rId2"/>
    <sheet name="特殊数据" sheetId="7" r:id="rId3"/>
    <sheet name="参考表" sheetId="5" r:id="rId4"/>
    <sheet name="备注" sheetId="8" r:id="rId5"/>
    <sheet name="备份表" sheetId="9" r:id="rId6"/>
  </sheets>
  <calcPr calcId="145621"/>
</workbook>
</file>

<file path=xl/calcChain.xml><?xml version="1.0" encoding="utf-8"?>
<calcChain xmlns="http://schemas.openxmlformats.org/spreadsheetml/2006/main">
  <c r="D200" i="6" l="1"/>
  <c r="D199" i="6"/>
  <c r="D127" i="6"/>
  <c r="D126" i="6"/>
  <c r="D125" i="6"/>
  <c r="D124" i="6"/>
  <c r="D122" i="6"/>
  <c r="D121" i="6"/>
  <c r="D132" i="6"/>
  <c r="D131" i="6"/>
  <c r="D130" i="6"/>
  <c r="G5" i="9" l="1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4" i="9"/>
  <c r="D5" i="6" l="1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3" i="6"/>
  <c r="D128" i="6"/>
  <c r="D129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4" i="6"/>
  <c r="J6" i="4" l="1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5" i="4"/>
  <c r="U165" i="4"/>
  <c r="P165" i="4"/>
  <c r="O165" i="4"/>
  <c r="M165" i="4"/>
  <c r="L165" i="4"/>
  <c r="I165" i="4"/>
  <c r="G165" i="4"/>
  <c r="F165" i="4"/>
  <c r="U158" i="4"/>
  <c r="P158" i="4"/>
  <c r="O158" i="4"/>
  <c r="M158" i="4"/>
  <c r="L158" i="4"/>
  <c r="I158" i="4"/>
  <c r="G158" i="4"/>
  <c r="F158" i="4"/>
  <c r="U151" i="4"/>
  <c r="P151" i="4"/>
  <c r="O151" i="4"/>
  <c r="M151" i="4"/>
  <c r="L151" i="4"/>
  <c r="I151" i="4"/>
  <c r="G151" i="4"/>
  <c r="F151" i="4"/>
  <c r="U144" i="4"/>
  <c r="P144" i="4"/>
  <c r="O144" i="4"/>
  <c r="M144" i="4"/>
  <c r="L144" i="4"/>
  <c r="I144" i="4"/>
  <c r="G144" i="4"/>
  <c r="F144" i="4"/>
  <c r="U137" i="4"/>
  <c r="P137" i="4"/>
  <c r="O137" i="4"/>
  <c r="M137" i="4"/>
  <c r="L137" i="4"/>
  <c r="I137" i="4"/>
  <c r="G137" i="4"/>
  <c r="F137" i="4"/>
  <c r="U132" i="4"/>
  <c r="P132" i="4"/>
  <c r="O132" i="4"/>
  <c r="M132" i="4"/>
  <c r="L132" i="4"/>
  <c r="I132" i="4"/>
  <c r="G132" i="4"/>
  <c r="U163" i="4"/>
  <c r="P163" i="4"/>
  <c r="O163" i="4"/>
  <c r="M163" i="4"/>
  <c r="L163" i="4"/>
  <c r="I163" i="4"/>
  <c r="G163" i="4"/>
  <c r="F163" i="4"/>
  <c r="U164" i="4"/>
  <c r="P164" i="4"/>
  <c r="O164" i="4"/>
  <c r="M164" i="4"/>
  <c r="L164" i="4"/>
  <c r="I164" i="4"/>
  <c r="G164" i="4"/>
  <c r="F164" i="4"/>
  <c r="U166" i="4"/>
  <c r="P166" i="4"/>
  <c r="O166" i="4"/>
  <c r="M166" i="4"/>
  <c r="L166" i="4"/>
  <c r="I166" i="4"/>
  <c r="G166" i="4"/>
  <c r="F166" i="4"/>
  <c r="U156" i="4"/>
  <c r="P156" i="4"/>
  <c r="O156" i="4"/>
  <c r="M156" i="4"/>
  <c r="L156" i="4"/>
  <c r="I156" i="4"/>
  <c r="G156" i="4"/>
  <c r="F156" i="4"/>
  <c r="U157" i="4"/>
  <c r="P157" i="4"/>
  <c r="O157" i="4"/>
  <c r="M157" i="4"/>
  <c r="L157" i="4"/>
  <c r="I157" i="4"/>
  <c r="G157" i="4"/>
  <c r="F157" i="4"/>
  <c r="U159" i="4"/>
  <c r="P159" i="4"/>
  <c r="O159" i="4"/>
  <c r="M159" i="4"/>
  <c r="L159" i="4"/>
  <c r="I159" i="4"/>
  <c r="G159" i="4"/>
  <c r="F159" i="4"/>
  <c r="U150" i="4"/>
  <c r="P150" i="4"/>
  <c r="O150" i="4"/>
  <c r="M150" i="4"/>
  <c r="L150" i="4"/>
  <c r="I150" i="4"/>
  <c r="G150" i="4"/>
  <c r="F150" i="4"/>
  <c r="U152" i="4"/>
  <c r="P152" i="4"/>
  <c r="O152" i="4"/>
  <c r="M152" i="4"/>
  <c r="L152" i="4"/>
  <c r="I152" i="4"/>
  <c r="G152" i="4"/>
  <c r="F152" i="4"/>
  <c r="U153" i="4"/>
  <c r="P153" i="4"/>
  <c r="O153" i="4"/>
  <c r="M153" i="4"/>
  <c r="L153" i="4"/>
  <c r="I153" i="4"/>
  <c r="G153" i="4"/>
  <c r="F153" i="4"/>
  <c r="U142" i="4"/>
  <c r="P142" i="4"/>
  <c r="O142" i="4"/>
  <c r="M142" i="4"/>
  <c r="L142" i="4"/>
  <c r="I142" i="4"/>
  <c r="G142" i="4"/>
  <c r="F142" i="4"/>
  <c r="U143" i="4"/>
  <c r="P143" i="4"/>
  <c r="O143" i="4"/>
  <c r="M143" i="4"/>
  <c r="L143" i="4"/>
  <c r="I143" i="4"/>
  <c r="G143" i="4"/>
  <c r="F143" i="4"/>
  <c r="U145" i="4"/>
  <c r="P145" i="4"/>
  <c r="O145" i="4"/>
  <c r="M145" i="4"/>
  <c r="L145" i="4"/>
  <c r="I145" i="4"/>
  <c r="G145" i="4"/>
  <c r="F145" i="4"/>
  <c r="U135" i="4"/>
  <c r="P135" i="4"/>
  <c r="O135" i="4"/>
  <c r="M135" i="4"/>
  <c r="L135" i="4"/>
  <c r="I135" i="4"/>
  <c r="G135" i="4"/>
  <c r="F135" i="4"/>
  <c r="U136" i="4"/>
  <c r="P136" i="4"/>
  <c r="O136" i="4"/>
  <c r="M136" i="4"/>
  <c r="L136" i="4"/>
  <c r="I136" i="4"/>
  <c r="G136" i="4"/>
  <c r="F136" i="4"/>
  <c r="U138" i="4"/>
  <c r="P138" i="4"/>
  <c r="O138" i="4"/>
  <c r="M138" i="4"/>
  <c r="L138" i="4"/>
  <c r="I138" i="4"/>
  <c r="G138" i="4"/>
  <c r="F138" i="4"/>
  <c r="U129" i="4"/>
  <c r="P129" i="4"/>
  <c r="O129" i="4"/>
  <c r="M129" i="4"/>
  <c r="L129" i="4"/>
  <c r="I129" i="4"/>
  <c r="G129" i="4"/>
  <c r="U130" i="4"/>
  <c r="P130" i="4"/>
  <c r="O130" i="4"/>
  <c r="M130" i="4"/>
  <c r="L130" i="4"/>
  <c r="I130" i="4"/>
  <c r="G130" i="4"/>
  <c r="U131" i="4"/>
  <c r="P131" i="4"/>
  <c r="O131" i="4"/>
  <c r="M131" i="4"/>
  <c r="L131" i="4"/>
  <c r="I131" i="4"/>
  <c r="G131" i="4"/>
  <c r="A23" i="7" l="1"/>
  <c r="A22" i="7"/>
  <c r="A20" i="7"/>
  <c r="A19" i="7"/>
  <c r="A17" i="7"/>
  <c r="A16" i="7"/>
  <c r="A5" i="7"/>
  <c r="A6" i="7"/>
  <c r="A9" i="7" s="1"/>
  <c r="A12" i="7" s="1"/>
  <c r="A15" i="7" s="1"/>
  <c r="A7" i="7"/>
  <c r="A8" i="7"/>
  <c r="A10" i="7"/>
  <c r="A11" i="7"/>
  <c r="A13" i="7"/>
  <c r="A14" i="7"/>
  <c r="A4" i="7"/>
  <c r="A21" i="7" l="1"/>
  <c r="A24" i="7" s="1"/>
  <c r="A18" i="7"/>
  <c r="U11" i="4"/>
  <c r="P11" i="4"/>
  <c r="O11" i="4"/>
  <c r="M11" i="4"/>
  <c r="L11" i="4"/>
  <c r="I11" i="4"/>
  <c r="G11" i="4"/>
  <c r="F11" i="4"/>
  <c r="U3" i="4"/>
  <c r="U4" i="4"/>
  <c r="U5" i="4"/>
  <c r="U6" i="4"/>
  <c r="U7" i="4"/>
  <c r="U8" i="4"/>
  <c r="U9" i="4"/>
  <c r="U10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U118" i="4"/>
  <c r="U119" i="4"/>
  <c r="U120" i="4"/>
  <c r="U121" i="4"/>
  <c r="U122" i="4"/>
  <c r="U123" i="4"/>
  <c r="U124" i="4"/>
  <c r="U125" i="4"/>
  <c r="U126" i="4"/>
  <c r="U127" i="4"/>
  <c r="U128" i="4"/>
  <c r="U133" i="4"/>
  <c r="U134" i="4"/>
  <c r="U139" i="4"/>
  <c r="U140" i="4"/>
  <c r="U141" i="4"/>
  <c r="U146" i="4"/>
  <c r="U147" i="4"/>
  <c r="U148" i="4"/>
  <c r="U149" i="4"/>
  <c r="U154" i="4"/>
  <c r="U155" i="4"/>
  <c r="U160" i="4"/>
  <c r="U161" i="4"/>
  <c r="U162" i="4"/>
  <c r="U167" i="4"/>
  <c r="U2" i="4"/>
  <c r="U1" i="4" l="1"/>
  <c r="F167" i="4"/>
  <c r="F162" i="4"/>
  <c r="F161" i="4"/>
  <c r="F160" i="4"/>
  <c r="F155" i="4"/>
  <c r="F154" i="4"/>
  <c r="F149" i="4"/>
  <c r="F148" i="4"/>
  <c r="F147" i="4"/>
  <c r="F146" i="4"/>
  <c r="F141" i="4"/>
  <c r="F140" i="4"/>
  <c r="F139" i="4"/>
  <c r="F134" i="4"/>
  <c r="F133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F108" i="4"/>
  <c r="F107" i="4"/>
  <c r="F106" i="4"/>
  <c r="F105" i="4"/>
  <c r="F104" i="4"/>
  <c r="F103" i="4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0" i="4"/>
  <c r="F9" i="4"/>
  <c r="F8" i="4"/>
  <c r="F7" i="4"/>
  <c r="F6" i="4"/>
  <c r="F5" i="4"/>
  <c r="F4" i="4"/>
  <c r="F3" i="4"/>
  <c r="F2" i="4"/>
  <c r="I167" i="4"/>
  <c r="I162" i="4"/>
  <c r="I161" i="4"/>
  <c r="I160" i="4"/>
  <c r="I155" i="4"/>
  <c r="I154" i="4"/>
  <c r="I149" i="4"/>
  <c r="I148" i="4"/>
  <c r="I147" i="4"/>
  <c r="I146" i="4"/>
  <c r="I141" i="4"/>
  <c r="I140" i="4"/>
  <c r="I139" i="4"/>
  <c r="I134" i="4"/>
  <c r="I133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0" i="4"/>
  <c r="I9" i="4"/>
  <c r="I8" i="4"/>
  <c r="I7" i="4"/>
  <c r="I6" i="4"/>
  <c r="I5" i="4"/>
  <c r="I4" i="4"/>
  <c r="I3" i="4"/>
  <c r="I2" i="4"/>
  <c r="P10" i="4" l="1"/>
  <c r="O10" i="4"/>
  <c r="M10" i="4"/>
  <c r="L10" i="4"/>
  <c r="G10" i="4"/>
  <c r="G2" i="4"/>
  <c r="J2" i="4"/>
  <c r="L2" i="4"/>
  <c r="M2" i="4"/>
  <c r="O2" i="4"/>
  <c r="P2" i="4"/>
  <c r="G3" i="4"/>
  <c r="J3" i="4"/>
  <c r="L3" i="4"/>
  <c r="M3" i="4"/>
  <c r="O3" i="4"/>
  <c r="P3" i="4"/>
  <c r="G4" i="4"/>
  <c r="J4" i="4"/>
  <c r="L4" i="4"/>
  <c r="M4" i="4"/>
  <c r="O4" i="4"/>
  <c r="P4" i="4"/>
  <c r="G5" i="4"/>
  <c r="L5" i="4"/>
  <c r="M5" i="4"/>
  <c r="O5" i="4"/>
  <c r="P5" i="4"/>
  <c r="G6" i="4"/>
  <c r="L6" i="4"/>
  <c r="M6" i="4"/>
  <c r="O6" i="4"/>
  <c r="P6" i="4"/>
  <c r="G7" i="4"/>
  <c r="L7" i="4"/>
  <c r="M7" i="4"/>
  <c r="O7" i="4"/>
  <c r="P7" i="4"/>
  <c r="G8" i="4"/>
  <c r="L8" i="4"/>
  <c r="M8" i="4"/>
  <c r="O8" i="4"/>
  <c r="P8" i="4"/>
  <c r="G9" i="4"/>
  <c r="L9" i="4"/>
  <c r="M9" i="4"/>
  <c r="O9" i="4"/>
  <c r="P9" i="4"/>
  <c r="G12" i="4"/>
  <c r="L12" i="4"/>
  <c r="M12" i="4"/>
  <c r="O12" i="4"/>
  <c r="P12" i="4"/>
  <c r="G13" i="4"/>
  <c r="L13" i="4"/>
  <c r="M13" i="4"/>
  <c r="O13" i="4"/>
  <c r="P13" i="4"/>
  <c r="G14" i="4"/>
  <c r="L14" i="4"/>
  <c r="M14" i="4"/>
  <c r="O14" i="4"/>
  <c r="P14" i="4"/>
  <c r="G15" i="4"/>
  <c r="L15" i="4"/>
  <c r="M15" i="4"/>
  <c r="O15" i="4"/>
  <c r="P15" i="4"/>
  <c r="G16" i="4"/>
  <c r="L16" i="4"/>
  <c r="M16" i="4"/>
  <c r="O16" i="4"/>
  <c r="P16" i="4"/>
  <c r="G17" i="4"/>
  <c r="L17" i="4"/>
  <c r="M17" i="4"/>
  <c r="O17" i="4"/>
  <c r="P17" i="4"/>
  <c r="G18" i="4"/>
  <c r="L18" i="4"/>
  <c r="M18" i="4"/>
  <c r="O18" i="4"/>
  <c r="P18" i="4"/>
  <c r="G19" i="4"/>
  <c r="L19" i="4"/>
  <c r="M19" i="4"/>
  <c r="O19" i="4"/>
  <c r="P19" i="4"/>
  <c r="G20" i="4"/>
  <c r="L20" i="4"/>
  <c r="M20" i="4"/>
  <c r="O20" i="4"/>
  <c r="P20" i="4"/>
  <c r="G21" i="4"/>
  <c r="L21" i="4"/>
  <c r="M21" i="4"/>
  <c r="O21" i="4"/>
  <c r="P21" i="4"/>
  <c r="G22" i="4"/>
  <c r="L22" i="4"/>
  <c r="M22" i="4"/>
  <c r="O22" i="4"/>
  <c r="P22" i="4"/>
  <c r="G23" i="4"/>
  <c r="L23" i="4"/>
  <c r="M23" i="4"/>
  <c r="O23" i="4"/>
  <c r="P23" i="4"/>
  <c r="G24" i="4"/>
  <c r="L24" i="4"/>
  <c r="M24" i="4"/>
  <c r="O24" i="4"/>
  <c r="P24" i="4"/>
  <c r="G25" i="4"/>
  <c r="L25" i="4"/>
  <c r="M25" i="4"/>
  <c r="O25" i="4"/>
  <c r="P25" i="4"/>
  <c r="G26" i="4"/>
  <c r="L26" i="4"/>
  <c r="M26" i="4"/>
  <c r="O26" i="4"/>
  <c r="P26" i="4"/>
  <c r="G27" i="4"/>
  <c r="L27" i="4"/>
  <c r="M27" i="4"/>
  <c r="O27" i="4"/>
  <c r="P27" i="4"/>
  <c r="G28" i="4"/>
  <c r="L28" i="4"/>
  <c r="M28" i="4"/>
  <c r="O28" i="4"/>
  <c r="P28" i="4"/>
  <c r="G29" i="4"/>
  <c r="L29" i="4"/>
  <c r="M29" i="4"/>
  <c r="O29" i="4"/>
  <c r="P29" i="4"/>
  <c r="G30" i="4"/>
  <c r="L30" i="4"/>
  <c r="M30" i="4"/>
  <c r="O30" i="4"/>
  <c r="P30" i="4"/>
  <c r="G31" i="4"/>
  <c r="L31" i="4"/>
  <c r="M31" i="4"/>
  <c r="O31" i="4"/>
  <c r="P31" i="4"/>
  <c r="G32" i="4"/>
  <c r="L32" i="4"/>
  <c r="M32" i="4"/>
  <c r="O32" i="4"/>
  <c r="P32" i="4"/>
  <c r="G33" i="4"/>
  <c r="L33" i="4"/>
  <c r="M33" i="4"/>
  <c r="O33" i="4"/>
  <c r="P33" i="4"/>
  <c r="G34" i="4"/>
  <c r="L34" i="4"/>
  <c r="M34" i="4"/>
  <c r="O34" i="4"/>
  <c r="P34" i="4"/>
  <c r="G35" i="4"/>
  <c r="L35" i="4"/>
  <c r="M35" i="4"/>
  <c r="O35" i="4"/>
  <c r="P35" i="4"/>
  <c r="G36" i="4"/>
  <c r="L36" i="4"/>
  <c r="M36" i="4"/>
  <c r="O36" i="4"/>
  <c r="P36" i="4"/>
  <c r="G37" i="4"/>
  <c r="L37" i="4"/>
  <c r="M37" i="4"/>
  <c r="O37" i="4"/>
  <c r="P37" i="4"/>
  <c r="G38" i="4"/>
  <c r="L38" i="4"/>
  <c r="M38" i="4"/>
  <c r="O38" i="4"/>
  <c r="P38" i="4"/>
  <c r="G39" i="4"/>
  <c r="L39" i="4"/>
  <c r="M39" i="4"/>
  <c r="O39" i="4"/>
  <c r="P39" i="4"/>
  <c r="G40" i="4"/>
  <c r="L40" i="4"/>
  <c r="M40" i="4"/>
  <c r="O40" i="4"/>
  <c r="P40" i="4"/>
  <c r="G41" i="4"/>
  <c r="L41" i="4"/>
  <c r="M41" i="4"/>
  <c r="O41" i="4"/>
  <c r="P41" i="4"/>
  <c r="G42" i="4"/>
  <c r="L42" i="4"/>
  <c r="M42" i="4"/>
  <c r="O42" i="4"/>
  <c r="P42" i="4"/>
  <c r="G43" i="4"/>
  <c r="L43" i="4"/>
  <c r="M43" i="4"/>
  <c r="O43" i="4"/>
  <c r="P43" i="4"/>
  <c r="G44" i="4"/>
  <c r="L44" i="4"/>
  <c r="M44" i="4"/>
  <c r="O44" i="4"/>
  <c r="P44" i="4"/>
  <c r="G45" i="4"/>
  <c r="L45" i="4"/>
  <c r="M45" i="4"/>
  <c r="O45" i="4"/>
  <c r="P45" i="4"/>
  <c r="G46" i="4"/>
  <c r="L46" i="4"/>
  <c r="M46" i="4"/>
  <c r="O46" i="4"/>
  <c r="P46" i="4"/>
  <c r="G47" i="4"/>
  <c r="L47" i="4"/>
  <c r="M47" i="4"/>
  <c r="O47" i="4"/>
  <c r="P47" i="4"/>
  <c r="G48" i="4"/>
  <c r="L48" i="4"/>
  <c r="M48" i="4"/>
  <c r="O48" i="4"/>
  <c r="P48" i="4"/>
  <c r="G49" i="4"/>
  <c r="L49" i="4"/>
  <c r="M49" i="4"/>
  <c r="O49" i="4"/>
  <c r="P49" i="4"/>
  <c r="G50" i="4"/>
  <c r="L50" i="4"/>
  <c r="M50" i="4"/>
  <c r="O50" i="4"/>
  <c r="P50" i="4"/>
  <c r="G51" i="4"/>
  <c r="L51" i="4"/>
  <c r="M51" i="4"/>
  <c r="O51" i="4"/>
  <c r="P51" i="4"/>
  <c r="G52" i="4"/>
  <c r="L52" i="4"/>
  <c r="M52" i="4"/>
  <c r="O52" i="4"/>
  <c r="P52" i="4"/>
  <c r="G53" i="4"/>
  <c r="L53" i="4"/>
  <c r="M53" i="4"/>
  <c r="O53" i="4"/>
  <c r="P53" i="4"/>
  <c r="G54" i="4"/>
  <c r="L54" i="4"/>
  <c r="M54" i="4"/>
  <c r="O54" i="4"/>
  <c r="P54" i="4"/>
  <c r="G55" i="4"/>
  <c r="L55" i="4"/>
  <c r="M55" i="4"/>
  <c r="O55" i="4"/>
  <c r="P55" i="4"/>
  <c r="G56" i="4"/>
  <c r="L56" i="4"/>
  <c r="M56" i="4"/>
  <c r="O56" i="4"/>
  <c r="P56" i="4"/>
  <c r="G57" i="4"/>
  <c r="L57" i="4"/>
  <c r="M57" i="4"/>
  <c r="O57" i="4"/>
  <c r="P57" i="4"/>
  <c r="G58" i="4"/>
  <c r="L58" i="4"/>
  <c r="M58" i="4"/>
  <c r="O58" i="4"/>
  <c r="P58" i="4"/>
  <c r="G59" i="4"/>
  <c r="L59" i="4"/>
  <c r="M59" i="4"/>
  <c r="O59" i="4"/>
  <c r="P59" i="4"/>
  <c r="G60" i="4"/>
  <c r="L60" i="4"/>
  <c r="M60" i="4"/>
  <c r="O60" i="4"/>
  <c r="P60" i="4"/>
  <c r="G61" i="4"/>
  <c r="L61" i="4"/>
  <c r="M61" i="4"/>
  <c r="O61" i="4"/>
  <c r="P61" i="4"/>
  <c r="G62" i="4"/>
  <c r="L62" i="4"/>
  <c r="M62" i="4"/>
  <c r="O62" i="4"/>
  <c r="P62" i="4"/>
  <c r="G63" i="4"/>
  <c r="L63" i="4"/>
  <c r="M63" i="4"/>
  <c r="O63" i="4"/>
  <c r="P63" i="4"/>
  <c r="G64" i="4"/>
  <c r="L64" i="4"/>
  <c r="M64" i="4"/>
  <c r="O64" i="4"/>
  <c r="P64" i="4"/>
  <c r="G65" i="4"/>
  <c r="L65" i="4"/>
  <c r="M65" i="4"/>
  <c r="O65" i="4"/>
  <c r="P65" i="4"/>
  <c r="G66" i="4"/>
  <c r="L66" i="4"/>
  <c r="M66" i="4"/>
  <c r="O66" i="4"/>
  <c r="P66" i="4"/>
  <c r="G67" i="4"/>
  <c r="L67" i="4"/>
  <c r="M67" i="4"/>
  <c r="O67" i="4"/>
  <c r="P67" i="4"/>
  <c r="G68" i="4"/>
  <c r="L68" i="4"/>
  <c r="M68" i="4"/>
  <c r="O68" i="4"/>
  <c r="P68" i="4"/>
  <c r="G69" i="4"/>
  <c r="L69" i="4"/>
  <c r="M69" i="4"/>
  <c r="O69" i="4"/>
  <c r="P69" i="4"/>
  <c r="G70" i="4"/>
  <c r="L70" i="4"/>
  <c r="M70" i="4"/>
  <c r="O70" i="4"/>
  <c r="P70" i="4"/>
  <c r="G71" i="4"/>
  <c r="L71" i="4"/>
  <c r="M71" i="4"/>
  <c r="O71" i="4"/>
  <c r="P71" i="4"/>
  <c r="G72" i="4"/>
  <c r="L72" i="4"/>
  <c r="M72" i="4"/>
  <c r="O72" i="4"/>
  <c r="P72" i="4"/>
  <c r="G73" i="4"/>
  <c r="L73" i="4"/>
  <c r="M73" i="4"/>
  <c r="O73" i="4"/>
  <c r="P73" i="4"/>
  <c r="G74" i="4"/>
  <c r="L74" i="4"/>
  <c r="M74" i="4"/>
  <c r="O74" i="4"/>
  <c r="P74" i="4"/>
  <c r="G75" i="4"/>
  <c r="L75" i="4"/>
  <c r="M75" i="4"/>
  <c r="O75" i="4"/>
  <c r="P75" i="4"/>
  <c r="G76" i="4"/>
  <c r="L76" i="4"/>
  <c r="M76" i="4"/>
  <c r="O76" i="4"/>
  <c r="P76" i="4"/>
  <c r="G77" i="4"/>
  <c r="L77" i="4"/>
  <c r="M77" i="4"/>
  <c r="O77" i="4"/>
  <c r="P77" i="4"/>
  <c r="G78" i="4"/>
  <c r="L78" i="4"/>
  <c r="M78" i="4"/>
  <c r="O78" i="4"/>
  <c r="P78" i="4"/>
  <c r="G79" i="4"/>
  <c r="L79" i="4"/>
  <c r="M79" i="4"/>
  <c r="O79" i="4"/>
  <c r="P79" i="4"/>
  <c r="G80" i="4"/>
  <c r="L80" i="4"/>
  <c r="M80" i="4"/>
  <c r="O80" i="4"/>
  <c r="P80" i="4"/>
  <c r="G81" i="4"/>
  <c r="L81" i="4"/>
  <c r="M81" i="4"/>
  <c r="O81" i="4"/>
  <c r="P81" i="4"/>
  <c r="G82" i="4"/>
  <c r="L82" i="4"/>
  <c r="M82" i="4"/>
  <c r="O82" i="4"/>
  <c r="P82" i="4"/>
  <c r="G83" i="4"/>
  <c r="L83" i="4"/>
  <c r="M83" i="4"/>
  <c r="O83" i="4"/>
  <c r="P83" i="4"/>
  <c r="G84" i="4"/>
  <c r="L84" i="4"/>
  <c r="M84" i="4"/>
  <c r="O84" i="4"/>
  <c r="P84" i="4"/>
  <c r="G85" i="4"/>
  <c r="L85" i="4"/>
  <c r="M85" i="4"/>
  <c r="O85" i="4"/>
  <c r="P85" i="4"/>
  <c r="G86" i="4"/>
  <c r="L86" i="4"/>
  <c r="M86" i="4"/>
  <c r="O86" i="4"/>
  <c r="P86" i="4"/>
  <c r="G87" i="4"/>
  <c r="L87" i="4"/>
  <c r="M87" i="4"/>
  <c r="O87" i="4"/>
  <c r="P87" i="4"/>
  <c r="G88" i="4"/>
  <c r="L88" i="4"/>
  <c r="M88" i="4"/>
  <c r="O88" i="4"/>
  <c r="P88" i="4"/>
  <c r="G89" i="4"/>
  <c r="L89" i="4"/>
  <c r="M89" i="4"/>
  <c r="O89" i="4"/>
  <c r="P89" i="4"/>
  <c r="G90" i="4"/>
  <c r="L90" i="4"/>
  <c r="M90" i="4"/>
  <c r="O90" i="4"/>
  <c r="P90" i="4"/>
  <c r="G91" i="4"/>
  <c r="L91" i="4"/>
  <c r="M91" i="4"/>
  <c r="O91" i="4"/>
  <c r="P91" i="4"/>
  <c r="G92" i="4"/>
  <c r="L92" i="4"/>
  <c r="M92" i="4"/>
  <c r="O92" i="4"/>
  <c r="P92" i="4"/>
  <c r="G93" i="4"/>
  <c r="L93" i="4"/>
  <c r="M93" i="4"/>
  <c r="O93" i="4"/>
  <c r="P93" i="4"/>
  <c r="G94" i="4"/>
  <c r="L94" i="4"/>
  <c r="M94" i="4"/>
  <c r="O94" i="4"/>
  <c r="P94" i="4"/>
  <c r="G95" i="4"/>
  <c r="L95" i="4"/>
  <c r="M95" i="4"/>
  <c r="O95" i="4"/>
  <c r="P95" i="4"/>
  <c r="G96" i="4"/>
  <c r="L96" i="4"/>
  <c r="M96" i="4"/>
  <c r="O96" i="4"/>
  <c r="P96" i="4"/>
  <c r="G97" i="4"/>
  <c r="L97" i="4"/>
  <c r="M97" i="4"/>
  <c r="O97" i="4"/>
  <c r="P97" i="4"/>
  <c r="G98" i="4"/>
  <c r="L98" i="4"/>
  <c r="M98" i="4"/>
  <c r="O98" i="4"/>
  <c r="P98" i="4"/>
  <c r="G99" i="4"/>
  <c r="L99" i="4"/>
  <c r="M99" i="4"/>
  <c r="O99" i="4"/>
  <c r="P99" i="4"/>
  <c r="G100" i="4"/>
  <c r="L100" i="4"/>
  <c r="M100" i="4"/>
  <c r="O100" i="4"/>
  <c r="P100" i="4"/>
  <c r="G101" i="4"/>
  <c r="L101" i="4"/>
  <c r="M101" i="4"/>
  <c r="O101" i="4"/>
  <c r="P101" i="4"/>
  <c r="G102" i="4"/>
  <c r="L102" i="4"/>
  <c r="M102" i="4"/>
  <c r="O102" i="4"/>
  <c r="P102" i="4"/>
  <c r="G103" i="4"/>
  <c r="L103" i="4"/>
  <c r="M103" i="4"/>
  <c r="O103" i="4"/>
  <c r="P103" i="4"/>
  <c r="G104" i="4"/>
  <c r="L104" i="4"/>
  <c r="M104" i="4"/>
  <c r="O104" i="4"/>
  <c r="P104" i="4"/>
  <c r="G105" i="4"/>
  <c r="L105" i="4"/>
  <c r="M105" i="4"/>
  <c r="O105" i="4"/>
  <c r="P105" i="4"/>
  <c r="G106" i="4"/>
  <c r="L106" i="4"/>
  <c r="M106" i="4"/>
  <c r="O106" i="4"/>
  <c r="P106" i="4"/>
  <c r="G107" i="4"/>
  <c r="L107" i="4"/>
  <c r="M107" i="4"/>
  <c r="O107" i="4"/>
  <c r="P107" i="4"/>
  <c r="G108" i="4"/>
  <c r="L108" i="4"/>
  <c r="M108" i="4"/>
  <c r="O108" i="4"/>
  <c r="P108" i="4"/>
  <c r="G109" i="4"/>
  <c r="L109" i="4"/>
  <c r="M109" i="4"/>
  <c r="O109" i="4"/>
  <c r="P109" i="4"/>
  <c r="G110" i="4"/>
  <c r="L110" i="4"/>
  <c r="M110" i="4"/>
  <c r="O110" i="4"/>
  <c r="P110" i="4"/>
  <c r="G111" i="4"/>
  <c r="L111" i="4"/>
  <c r="M111" i="4"/>
  <c r="O111" i="4"/>
  <c r="P111" i="4"/>
  <c r="G112" i="4"/>
  <c r="L112" i="4"/>
  <c r="M112" i="4"/>
  <c r="O112" i="4"/>
  <c r="P112" i="4"/>
  <c r="G113" i="4"/>
  <c r="L113" i="4"/>
  <c r="M113" i="4"/>
  <c r="O113" i="4"/>
  <c r="P113" i="4"/>
  <c r="G114" i="4"/>
  <c r="L114" i="4"/>
  <c r="M114" i="4"/>
  <c r="O114" i="4"/>
  <c r="P114" i="4"/>
  <c r="G115" i="4"/>
  <c r="L115" i="4"/>
  <c r="M115" i="4"/>
  <c r="O115" i="4"/>
  <c r="P115" i="4"/>
  <c r="G116" i="4"/>
  <c r="L116" i="4"/>
  <c r="M116" i="4"/>
  <c r="O116" i="4"/>
  <c r="P116" i="4"/>
  <c r="G117" i="4"/>
  <c r="L117" i="4"/>
  <c r="M117" i="4"/>
  <c r="O117" i="4"/>
  <c r="P117" i="4"/>
  <c r="G118" i="4"/>
  <c r="L118" i="4"/>
  <c r="M118" i="4"/>
  <c r="O118" i="4"/>
  <c r="P118" i="4"/>
  <c r="G119" i="4"/>
  <c r="L119" i="4"/>
  <c r="M119" i="4"/>
  <c r="O119" i="4"/>
  <c r="P119" i="4"/>
  <c r="G120" i="4"/>
  <c r="L120" i="4"/>
  <c r="M120" i="4"/>
  <c r="O120" i="4"/>
  <c r="P120" i="4"/>
  <c r="G121" i="4"/>
  <c r="L121" i="4"/>
  <c r="M121" i="4"/>
  <c r="O121" i="4"/>
  <c r="P121" i="4"/>
  <c r="G122" i="4"/>
  <c r="L122" i="4"/>
  <c r="M122" i="4"/>
  <c r="O122" i="4"/>
  <c r="P122" i="4"/>
  <c r="G123" i="4"/>
  <c r="L123" i="4"/>
  <c r="M123" i="4"/>
  <c r="O123" i="4"/>
  <c r="P123" i="4"/>
  <c r="G124" i="4"/>
  <c r="L124" i="4"/>
  <c r="M124" i="4"/>
  <c r="O124" i="4"/>
  <c r="P124" i="4"/>
  <c r="G125" i="4"/>
  <c r="L125" i="4"/>
  <c r="M125" i="4"/>
  <c r="O125" i="4"/>
  <c r="P125" i="4"/>
  <c r="G126" i="4"/>
  <c r="L126" i="4"/>
  <c r="M126" i="4"/>
  <c r="O126" i="4"/>
  <c r="P126" i="4"/>
  <c r="G127" i="4"/>
  <c r="L127" i="4"/>
  <c r="M127" i="4"/>
  <c r="O127" i="4"/>
  <c r="P127" i="4"/>
  <c r="G128" i="4"/>
  <c r="L128" i="4"/>
  <c r="M128" i="4"/>
  <c r="O128" i="4"/>
  <c r="P128" i="4"/>
  <c r="G133" i="4"/>
  <c r="L133" i="4"/>
  <c r="M133" i="4"/>
  <c r="O133" i="4"/>
  <c r="P133" i="4"/>
  <c r="G134" i="4"/>
  <c r="L134" i="4"/>
  <c r="M134" i="4"/>
  <c r="O134" i="4"/>
  <c r="P134" i="4"/>
  <c r="G139" i="4"/>
  <c r="L139" i="4"/>
  <c r="M139" i="4"/>
  <c r="O139" i="4"/>
  <c r="P139" i="4"/>
  <c r="G140" i="4"/>
  <c r="L140" i="4"/>
  <c r="M140" i="4"/>
  <c r="O140" i="4"/>
  <c r="P140" i="4"/>
  <c r="G141" i="4"/>
  <c r="L141" i="4"/>
  <c r="M141" i="4"/>
  <c r="O141" i="4"/>
  <c r="P141" i="4"/>
  <c r="G146" i="4"/>
  <c r="L146" i="4"/>
  <c r="M146" i="4"/>
  <c r="O146" i="4"/>
  <c r="P146" i="4"/>
  <c r="G147" i="4"/>
  <c r="L147" i="4"/>
  <c r="M147" i="4"/>
  <c r="O147" i="4"/>
  <c r="P147" i="4"/>
  <c r="G148" i="4"/>
  <c r="L148" i="4"/>
  <c r="M148" i="4"/>
  <c r="O148" i="4"/>
  <c r="P148" i="4"/>
  <c r="G149" i="4"/>
  <c r="L149" i="4"/>
  <c r="M149" i="4"/>
  <c r="O149" i="4"/>
  <c r="P149" i="4"/>
  <c r="G154" i="4"/>
  <c r="L154" i="4"/>
  <c r="M154" i="4"/>
  <c r="O154" i="4"/>
  <c r="P154" i="4"/>
  <c r="G155" i="4"/>
  <c r="L155" i="4"/>
  <c r="M155" i="4"/>
  <c r="O155" i="4"/>
  <c r="P155" i="4"/>
  <c r="G160" i="4"/>
  <c r="L160" i="4"/>
  <c r="M160" i="4"/>
  <c r="O160" i="4"/>
  <c r="P160" i="4"/>
  <c r="G161" i="4"/>
  <c r="L161" i="4"/>
  <c r="M161" i="4"/>
  <c r="O161" i="4"/>
  <c r="P161" i="4"/>
  <c r="G162" i="4"/>
  <c r="L162" i="4"/>
  <c r="M162" i="4"/>
  <c r="O162" i="4"/>
  <c r="P162" i="4"/>
  <c r="G167" i="4"/>
  <c r="L167" i="4"/>
  <c r="M167" i="4"/>
  <c r="O167" i="4"/>
  <c r="P167" i="4"/>
</calcChain>
</file>

<file path=xl/sharedStrings.xml><?xml version="1.0" encoding="utf-8"?>
<sst xmlns="http://schemas.openxmlformats.org/spreadsheetml/2006/main" count="1042" uniqueCount="437">
  <si>
    <t>魔攻戒指</t>
    <phoneticPr fontId="20" type="noConversion"/>
  </si>
  <si>
    <t>暴击</t>
    <phoneticPr fontId="20" type="noConversion"/>
  </si>
  <si>
    <t>魔攻项链</t>
    <phoneticPr fontId="20" type="noConversion"/>
  </si>
  <si>
    <t>魔攻手镯</t>
    <phoneticPr fontId="20" type="noConversion"/>
  </si>
  <si>
    <t>物攻戒指</t>
    <phoneticPr fontId="20" type="noConversion"/>
  </si>
  <si>
    <t>物攻项链</t>
    <phoneticPr fontId="20" type="noConversion"/>
  </si>
  <si>
    <t>物攻手镯</t>
    <phoneticPr fontId="20" type="noConversion"/>
  </si>
  <si>
    <t>法师鞋子</t>
    <phoneticPr fontId="20" type="noConversion"/>
  </si>
  <si>
    <t>法师衣服</t>
    <phoneticPr fontId="20" type="noConversion"/>
  </si>
  <si>
    <t>法师肩膀</t>
    <phoneticPr fontId="20" type="noConversion"/>
  </si>
  <si>
    <t>法师头盔</t>
    <phoneticPr fontId="20" type="noConversion"/>
  </si>
  <si>
    <t>法术穿透率</t>
    <phoneticPr fontId="20" type="noConversion"/>
  </si>
  <si>
    <t>法杖</t>
    <phoneticPr fontId="20" type="noConversion"/>
  </si>
  <si>
    <t>生命上限%</t>
    <phoneticPr fontId="20" type="noConversion"/>
  </si>
  <si>
    <t>法锤</t>
    <phoneticPr fontId="20" type="noConversion"/>
  </si>
  <si>
    <t>魔法暴击率</t>
    <phoneticPr fontId="20" type="noConversion"/>
  </si>
  <si>
    <t>法刃</t>
    <phoneticPr fontId="20" type="noConversion"/>
  </si>
  <si>
    <t>弓手鞋子</t>
    <phoneticPr fontId="20" type="noConversion"/>
  </si>
  <si>
    <t>弓手裤子</t>
    <phoneticPr fontId="20" type="noConversion"/>
  </si>
  <si>
    <t>弓手衣服</t>
    <phoneticPr fontId="20" type="noConversion"/>
  </si>
  <si>
    <t>弓手肩膀</t>
    <phoneticPr fontId="20" type="noConversion"/>
  </si>
  <si>
    <t>弓手头盔</t>
    <phoneticPr fontId="20" type="noConversion"/>
  </si>
  <si>
    <t>闪避率</t>
    <phoneticPr fontId="20" type="noConversion"/>
  </si>
  <si>
    <t>长弓</t>
    <phoneticPr fontId="20" type="noConversion"/>
  </si>
  <si>
    <t>物理穿透率</t>
    <phoneticPr fontId="20" type="noConversion"/>
  </si>
  <si>
    <t>重弩</t>
    <phoneticPr fontId="20" type="noConversion"/>
  </si>
  <si>
    <t>物理暴击率</t>
    <phoneticPr fontId="20" type="noConversion"/>
  </si>
  <si>
    <t>轻弩</t>
    <phoneticPr fontId="20" type="noConversion"/>
  </si>
  <si>
    <t>刺客鞋子</t>
    <phoneticPr fontId="20" type="noConversion"/>
  </si>
  <si>
    <t>刺客裤子</t>
    <phoneticPr fontId="20" type="noConversion"/>
  </si>
  <si>
    <t>刺客衣服</t>
    <phoneticPr fontId="20" type="noConversion"/>
  </si>
  <si>
    <t>刺客肩膀</t>
    <phoneticPr fontId="20" type="noConversion"/>
  </si>
  <si>
    <t>刺客头盔</t>
    <phoneticPr fontId="20" type="noConversion"/>
  </si>
  <si>
    <t>生命上限%</t>
    <phoneticPr fontId="20" type="noConversion"/>
  </si>
  <si>
    <t>链刃</t>
    <phoneticPr fontId="20" type="noConversion"/>
  </si>
  <si>
    <t>匕首</t>
    <phoneticPr fontId="20" type="noConversion"/>
  </si>
  <si>
    <t>长枪</t>
    <phoneticPr fontId="20" type="noConversion"/>
  </si>
  <si>
    <t>战士鞋子</t>
    <phoneticPr fontId="20" type="noConversion"/>
  </si>
  <si>
    <t>战士裤子</t>
    <phoneticPr fontId="20" type="noConversion"/>
  </si>
  <si>
    <t>战士衣服</t>
    <phoneticPr fontId="20" type="noConversion"/>
  </si>
  <si>
    <t>战士肩膀</t>
    <phoneticPr fontId="20" type="noConversion"/>
  </si>
  <si>
    <t>战士头盔</t>
    <phoneticPr fontId="20" type="noConversion"/>
  </si>
  <si>
    <t>双斧</t>
    <phoneticPr fontId="20" type="noConversion"/>
  </si>
  <si>
    <t>巨剑</t>
    <phoneticPr fontId="20" type="noConversion"/>
  </si>
  <si>
    <t>生命上限%</t>
    <phoneticPr fontId="20" type="noConversion"/>
  </si>
  <si>
    <t>剑盾</t>
    <phoneticPr fontId="20" type="noConversion"/>
  </si>
  <si>
    <t>属性ID4</t>
    <phoneticPr fontId="20" type="noConversion"/>
  </si>
  <si>
    <t>权值</t>
    <phoneticPr fontId="20" type="noConversion"/>
  </si>
  <si>
    <t>属性4</t>
    <phoneticPr fontId="20" type="noConversion"/>
  </si>
  <si>
    <t>属性ID3</t>
    <phoneticPr fontId="20" type="noConversion"/>
  </si>
  <si>
    <t>属性3</t>
    <phoneticPr fontId="20" type="noConversion"/>
  </si>
  <si>
    <t>属性ID2</t>
    <phoneticPr fontId="20" type="noConversion"/>
  </si>
  <si>
    <t>属性2</t>
    <phoneticPr fontId="20" type="noConversion"/>
  </si>
  <si>
    <t>属性ID1</t>
    <phoneticPr fontId="20" type="noConversion"/>
  </si>
  <si>
    <t>属性1</t>
    <phoneticPr fontId="20" type="noConversion"/>
  </si>
  <si>
    <t>品质</t>
    <phoneticPr fontId="20" type="noConversion"/>
  </si>
  <si>
    <t>等级</t>
    <phoneticPr fontId="20" type="noConversion"/>
  </si>
  <si>
    <t>Name</t>
    <phoneticPr fontId="20" type="noConversion"/>
  </si>
  <si>
    <t>ID</t>
    <phoneticPr fontId="20" type="noConversion"/>
  </si>
  <si>
    <t>cmi_B</t>
  </si>
  <si>
    <t>catMoveSpeed</t>
  </si>
  <si>
    <t>移动速度%</t>
  </si>
  <si>
    <t>catMagAtkHi</t>
  </si>
  <si>
    <t>最大魔法攻击%</t>
  </si>
  <si>
    <t>catMagAtkLo</t>
  </si>
  <si>
    <t>最小魔法攻击%</t>
  </si>
  <si>
    <t>catPhyAtkHi</t>
  </si>
  <si>
    <t>最大物理攻击%</t>
  </si>
  <si>
    <t>catPhyAtkLo</t>
  </si>
  <si>
    <t>最小物理攻击%</t>
  </si>
  <si>
    <t>catBlockValue</t>
  </si>
  <si>
    <t>格挡值%</t>
  </si>
  <si>
    <t>catCritResistance</t>
  </si>
  <si>
    <t>抗暴%</t>
  </si>
  <si>
    <t>catDodge</t>
  </si>
  <si>
    <t>catAccurate</t>
  </si>
  <si>
    <t>catCrit</t>
  </si>
  <si>
    <t>暴击%</t>
  </si>
  <si>
    <t>catMagDef</t>
  </si>
  <si>
    <t>catPhyDef</t>
  </si>
  <si>
    <t>catMaxHp</t>
  </si>
  <si>
    <t>生命上限%</t>
  </si>
  <si>
    <t>catSpirit</t>
  </si>
  <si>
    <t>精神%</t>
  </si>
  <si>
    <t>catStamina</t>
  </si>
  <si>
    <t>体质%</t>
  </si>
  <si>
    <t>catIntellect</t>
  </si>
  <si>
    <t>智力%</t>
  </si>
  <si>
    <t>catAgility</t>
  </si>
  <si>
    <t>敏捷%</t>
  </si>
  <si>
    <t>catStrength</t>
  </si>
  <si>
    <t>力量%</t>
  </si>
  <si>
    <t>cmi_A</t>
  </si>
  <si>
    <t>catAttSpeedRate</t>
  </si>
  <si>
    <t>攻击速度</t>
    <phoneticPr fontId="20" type="noConversion"/>
  </si>
  <si>
    <t>catHurtEnhanceRate</t>
  </si>
  <si>
    <t>伤害减免</t>
  </si>
  <si>
    <t>catDamageEnhanceRate</t>
  </si>
  <si>
    <t>伤害加成</t>
  </si>
  <si>
    <t>catDodgeRate</t>
  </si>
  <si>
    <t>闪避率</t>
  </si>
  <si>
    <t>catParryRate</t>
  </si>
  <si>
    <t>招架率</t>
  </si>
  <si>
    <t>catBlockRate</t>
  </si>
  <si>
    <t>格挡率</t>
  </si>
  <si>
    <t>catMagPenetrationRate</t>
  </si>
  <si>
    <t>法术穿透率</t>
  </si>
  <si>
    <t>catPhyPenetrationRate</t>
  </si>
  <si>
    <t>物理穿透率</t>
  </si>
  <si>
    <t>catCritDamageModificationRate</t>
  </si>
  <si>
    <t>暴击伤害倍率</t>
  </si>
  <si>
    <t>catMagCritRate</t>
  </si>
  <si>
    <t>物理暴击率</t>
  </si>
  <si>
    <t>魔法暴击率</t>
  </si>
  <si>
    <t>catLuck</t>
  </si>
  <si>
    <t>幸运值</t>
  </si>
  <si>
    <t>移动速度</t>
  </si>
  <si>
    <t>最大魔法攻击</t>
  </si>
  <si>
    <t>最小魔法攻击</t>
  </si>
  <si>
    <t>最大物理攻击</t>
  </si>
  <si>
    <t>最小物理攻击</t>
  </si>
  <si>
    <t>格挡值</t>
  </si>
  <si>
    <t>抗暴</t>
  </si>
  <si>
    <t>暴击</t>
  </si>
  <si>
    <t>生命上限</t>
  </si>
  <si>
    <t>精神</t>
  </si>
  <si>
    <t>体质</t>
  </si>
  <si>
    <t>智力</t>
  </si>
  <si>
    <t>敏捷</t>
  </si>
  <si>
    <t>力量</t>
  </si>
  <si>
    <t>方式</t>
  </si>
  <si>
    <t>变量</t>
  </si>
  <si>
    <t>属性</t>
  </si>
  <si>
    <t>编号</t>
  </si>
  <si>
    <t>橙</t>
    <phoneticPr fontId="20" type="noConversion"/>
  </si>
  <si>
    <t>紫</t>
    <phoneticPr fontId="20" type="noConversion"/>
  </si>
  <si>
    <t>蓝</t>
    <phoneticPr fontId="20" type="noConversion"/>
  </si>
  <si>
    <t>绿</t>
    <phoneticPr fontId="20" type="noConversion"/>
  </si>
  <si>
    <r>
      <t xml:space="preserve">     </t>
    </r>
    <r>
      <rPr>
        <sz val="11"/>
        <color theme="1"/>
        <rFont val="宋体"/>
        <family val="2"/>
        <charset val="134"/>
        <scheme val="minor"/>
      </rPr>
      <t>生命上限%</t>
    </r>
    <phoneticPr fontId="14" type="noConversion"/>
  </si>
  <si>
    <t xml:space="preserve">     幸运值</t>
    <phoneticPr fontId="14" type="noConversion"/>
  </si>
  <si>
    <t xml:space="preserve">     伤害加成</t>
    <phoneticPr fontId="14" type="noConversion"/>
  </si>
  <si>
    <t xml:space="preserve">     闪避率</t>
    <phoneticPr fontId="14" type="noConversion"/>
  </si>
  <si>
    <t xml:space="preserve">     攻击速度</t>
    <phoneticPr fontId="14" type="noConversion"/>
  </si>
  <si>
    <t xml:space="preserve">         物理穿透率</t>
    <phoneticPr fontId="14" type="noConversion"/>
  </si>
  <si>
    <t xml:space="preserve">         魔法穿透率</t>
    <phoneticPr fontId="14" type="noConversion"/>
  </si>
  <si>
    <t xml:space="preserve">         魔法穿透率</t>
    <phoneticPr fontId="14" type="noConversion"/>
  </si>
  <si>
    <t xml:space="preserve">     移动速度</t>
    <phoneticPr fontId="14" type="noConversion"/>
  </si>
  <si>
    <t xml:space="preserve">     移动速度</t>
    <phoneticPr fontId="14" type="noConversion"/>
  </si>
  <si>
    <t>鞋子_移动速度%</t>
    <phoneticPr fontId="14" type="noConversion"/>
  </si>
  <si>
    <t>物理腰带_物理穿透率</t>
    <phoneticPr fontId="14" type="noConversion"/>
  </si>
  <si>
    <t>魔法腰带_魔法穿透率</t>
    <phoneticPr fontId="14" type="noConversion"/>
  </si>
  <si>
    <t>护腕_攻击速度</t>
    <phoneticPr fontId="14" type="noConversion"/>
  </si>
  <si>
    <t>裤子_闪避率</t>
    <phoneticPr fontId="14" type="noConversion"/>
  </si>
  <si>
    <t>肩膀_伤害加成</t>
    <phoneticPr fontId="14" type="noConversion"/>
  </si>
  <si>
    <t>衣服_幸运值</t>
    <phoneticPr fontId="14" type="noConversion"/>
  </si>
  <si>
    <t>战士腰带</t>
    <phoneticPr fontId="20" type="noConversion"/>
  </si>
  <si>
    <t>战士护腕</t>
    <phoneticPr fontId="20" type="noConversion"/>
  </si>
  <si>
    <t>刺客护腕</t>
    <phoneticPr fontId="20" type="noConversion"/>
  </si>
  <si>
    <t>刺客腰带</t>
    <phoneticPr fontId="20" type="noConversion"/>
  </si>
  <si>
    <t>弓手护腕</t>
    <phoneticPr fontId="20" type="noConversion"/>
  </si>
  <si>
    <t>弓手腰带</t>
    <phoneticPr fontId="20" type="noConversion"/>
  </si>
  <si>
    <t>法师裤子</t>
    <phoneticPr fontId="20" type="noConversion"/>
  </si>
  <si>
    <t>法师护腕</t>
    <phoneticPr fontId="20" type="noConversion"/>
  </si>
  <si>
    <t>法师腰带</t>
    <phoneticPr fontId="20" type="noConversion"/>
  </si>
  <si>
    <t>AttributePoolID</t>
    <phoneticPr fontId="14" type="noConversion"/>
  </si>
  <si>
    <t>Name</t>
    <phoneticPr fontId="14" type="noConversion"/>
  </si>
  <si>
    <t>AttributeIDMin</t>
    <phoneticPr fontId="14" type="noConversion"/>
  </si>
  <si>
    <t>AttributeIDMax</t>
    <phoneticPr fontId="14" type="noConversion"/>
  </si>
  <si>
    <t>Weight</t>
    <phoneticPr fontId="14" type="noConversion"/>
  </si>
  <si>
    <t>随机属性池ID</t>
    <phoneticPr fontId="14" type="noConversion"/>
  </si>
  <si>
    <t>护甲</t>
    <phoneticPr fontId="14" type="noConversion"/>
  </si>
  <si>
    <t>魔抗</t>
    <phoneticPr fontId="14" type="noConversion"/>
  </si>
  <si>
    <t>护甲穿透</t>
    <phoneticPr fontId="14" type="noConversion"/>
  </si>
  <si>
    <t>魔法穿透</t>
    <phoneticPr fontId="14" type="noConversion"/>
  </si>
  <si>
    <t>护甲穿透%</t>
    <phoneticPr fontId="14" type="noConversion"/>
  </si>
  <si>
    <t>魔法穿透%</t>
    <phoneticPr fontId="14" type="noConversion"/>
  </si>
  <si>
    <t>护甲%</t>
    <phoneticPr fontId="14" type="noConversion"/>
  </si>
  <si>
    <t>魔抗%</t>
    <phoneticPr fontId="14" type="noConversion"/>
  </si>
  <si>
    <t>头盔_生命上限%</t>
    <phoneticPr fontId="14" type="noConversion"/>
  </si>
  <si>
    <t>暴击</t>
    <phoneticPr fontId="20" type="noConversion"/>
  </si>
  <si>
    <t>物理穿透率</t>
    <phoneticPr fontId="20" type="noConversion"/>
  </si>
  <si>
    <t>护甲穿透</t>
    <phoneticPr fontId="20" type="noConversion"/>
  </si>
  <si>
    <t>抗暴</t>
    <phoneticPr fontId="20" type="noConversion"/>
  </si>
  <si>
    <t>魔法穿透</t>
    <phoneticPr fontId="14" type="noConversion"/>
  </si>
  <si>
    <t>最大物理攻击</t>
    <phoneticPr fontId="20" type="noConversion"/>
  </si>
  <si>
    <t>最大魔法攻击</t>
    <phoneticPr fontId="20" type="noConversion"/>
  </si>
  <si>
    <t>魔抗</t>
    <phoneticPr fontId="20" type="noConversion"/>
  </si>
  <si>
    <t>护甲</t>
    <phoneticPr fontId="20" type="noConversion"/>
  </si>
  <si>
    <t>攻击速度</t>
    <phoneticPr fontId="20" type="noConversion"/>
  </si>
  <si>
    <t>魔法穿透</t>
    <phoneticPr fontId="20" type="noConversion"/>
  </si>
  <si>
    <t>生命上限%</t>
    <phoneticPr fontId="20" type="noConversion"/>
  </si>
  <si>
    <t>生命上限</t>
    <phoneticPr fontId="20" type="noConversion"/>
  </si>
  <si>
    <t>暴击</t>
    <phoneticPr fontId="14" type="noConversion"/>
  </si>
  <si>
    <t>最大物理攻击</t>
    <phoneticPr fontId="14" type="noConversion"/>
  </si>
  <si>
    <t>最大魔法攻击</t>
    <phoneticPr fontId="14" type="noConversion"/>
  </si>
  <si>
    <t>护甲%</t>
    <phoneticPr fontId="20" type="noConversion"/>
  </si>
  <si>
    <t>魔抗%</t>
    <phoneticPr fontId="20" type="noConversion"/>
  </si>
  <si>
    <t>物理暴击率</t>
    <phoneticPr fontId="20" type="noConversion"/>
  </si>
  <si>
    <t>移动速度</t>
    <phoneticPr fontId="20" type="noConversion"/>
  </si>
  <si>
    <t>魔法暴击率</t>
    <phoneticPr fontId="20" type="noConversion"/>
  </si>
  <si>
    <t>最大物理攻击%</t>
    <phoneticPr fontId="20" type="noConversion"/>
  </si>
  <si>
    <t>最大魔法攻击%</t>
    <phoneticPr fontId="20" type="noConversion"/>
  </si>
  <si>
    <t>闪避率</t>
    <phoneticPr fontId="14" type="noConversion"/>
  </si>
  <si>
    <t>幸运值</t>
    <phoneticPr fontId="14" type="noConversion"/>
  </si>
  <si>
    <t>伤害加成</t>
    <phoneticPr fontId="14" type="noConversion"/>
  </si>
  <si>
    <t>字段名称</t>
    <phoneticPr fontId="14" type="noConversion"/>
  </si>
  <si>
    <t>描述</t>
    <phoneticPr fontId="14" type="noConversion"/>
  </si>
  <si>
    <t>详细说明</t>
    <phoneticPr fontId="14" type="noConversion"/>
  </si>
  <si>
    <t>备注</t>
    <phoneticPr fontId="14" type="noConversion"/>
  </si>
  <si>
    <t>属性池名称</t>
    <phoneticPr fontId="14" type="noConversion"/>
  </si>
  <si>
    <t>条目的权重</t>
    <phoneticPr fontId="14" type="noConversion"/>
  </si>
  <si>
    <t>最小属性ID</t>
    <phoneticPr fontId="14" type="noConversion"/>
  </si>
  <si>
    <t>最大属性ID</t>
    <phoneticPr fontId="14" type="noConversion"/>
  </si>
  <si>
    <t>为attribute里的属性ID</t>
    <phoneticPr fontId="14" type="noConversion"/>
  </si>
  <si>
    <t>在最小和最大的ID序列之间抽取一条</t>
    <phoneticPr fontId="14" type="noConversion"/>
  </si>
  <si>
    <t>根据权重算法，先决定在哪一行的属性ID随机生成最终的装备属性</t>
    <phoneticPr fontId="14" type="noConversion"/>
  </si>
  <si>
    <t>AttributePoolID</t>
  </si>
  <si>
    <t>Name</t>
  </si>
  <si>
    <t>AttributeIDMin</t>
  </si>
  <si>
    <t>AttributeIDMax</t>
  </si>
  <si>
    <t>Weight</t>
  </si>
  <si>
    <t>server</t>
  </si>
  <si>
    <t>武器 最大攻击+1</t>
    <phoneticPr fontId="14" type="noConversion"/>
  </si>
  <si>
    <t>武器 最大攻击+2</t>
    <phoneticPr fontId="14" type="noConversion"/>
  </si>
  <si>
    <t>武器 最大攻击+3</t>
  </si>
  <si>
    <t>武器 最大攻击+4</t>
  </si>
  <si>
    <t>武器 最大攻击+5</t>
  </si>
  <si>
    <t>武器 最大攻击+6</t>
  </si>
  <si>
    <t>武器 最大魔法+1</t>
  </si>
  <si>
    <t>武器 最大魔法+2</t>
  </si>
  <si>
    <t>武器 最大魔法+3</t>
  </si>
  <si>
    <t>武器 最大魔法+4</t>
  </si>
  <si>
    <t>武器 最大魔法+5</t>
  </si>
  <si>
    <t>武器 最大魔法+6</t>
  </si>
  <si>
    <t>武器 最大道术+1</t>
  </si>
  <si>
    <t>武器 最大道术+2</t>
  </si>
  <si>
    <t>武器 最大道术+3</t>
  </si>
  <si>
    <t>武器 最大道术+4</t>
  </si>
  <si>
    <t>武器 最大道术+5</t>
  </si>
  <si>
    <t>武器 最大道术+6</t>
  </si>
  <si>
    <t>武器 准确度+1</t>
  </si>
  <si>
    <t>武器 准确度+2</t>
  </si>
  <si>
    <t>武器 准确度+3</t>
  </si>
  <si>
    <t>武器 准确度+4</t>
  </si>
  <si>
    <t>武器 准确度+5</t>
  </si>
  <si>
    <t>武器 准确度+6</t>
  </si>
  <si>
    <t>上衣 最大攻击+1</t>
  </si>
  <si>
    <t>上衣 最大攻击+2</t>
  </si>
  <si>
    <t>上衣 最大攻击+3</t>
  </si>
  <si>
    <t>上衣 最大攻击+4</t>
  </si>
  <si>
    <t>上衣 最大攻击+5</t>
  </si>
  <si>
    <t>上衣 最大攻击+6</t>
  </si>
  <si>
    <t>上衣 最大魔法+1</t>
  </si>
  <si>
    <t>上衣 最大魔法+2</t>
  </si>
  <si>
    <t>上衣 最大魔法+3</t>
  </si>
  <si>
    <t>上衣 最大魔法+4</t>
  </si>
  <si>
    <t>上衣 最大魔法+5</t>
  </si>
  <si>
    <t>上衣 最大魔法+6</t>
  </si>
  <si>
    <t>上衣 最大道术+1</t>
  </si>
  <si>
    <t>上衣 最大道术+2</t>
  </si>
  <si>
    <t>上衣 最大道术+3</t>
  </si>
  <si>
    <t>上衣 最大道术+4</t>
  </si>
  <si>
    <t>上衣 最大道术+5</t>
  </si>
  <si>
    <t>上衣 最大道术+6</t>
  </si>
  <si>
    <t>上衣 防御+4</t>
  </si>
  <si>
    <t>上衣 防御+6</t>
  </si>
  <si>
    <r>
      <t>上衣 防御</t>
    </r>
    <r>
      <rPr>
        <sz val="11"/>
        <color theme="1"/>
        <rFont val="宋体"/>
        <family val="2"/>
        <charset val="134"/>
        <scheme val="minor"/>
      </rPr>
      <t>+1</t>
    </r>
    <phoneticPr fontId="14" type="noConversion"/>
  </si>
  <si>
    <t>上衣 防御+2</t>
    <phoneticPr fontId="14" type="noConversion"/>
  </si>
  <si>
    <r>
      <t>上衣 防御</t>
    </r>
    <r>
      <rPr>
        <sz val="11"/>
        <color theme="1"/>
        <rFont val="宋体"/>
        <family val="2"/>
        <charset val="134"/>
        <scheme val="minor"/>
      </rPr>
      <t>+3</t>
    </r>
  </si>
  <si>
    <r>
      <t>上衣 防御</t>
    </r>
    <r>
      <rPr>
        <sz val="11"/>
        <color theme="1"/>
        <rFont val="宋体"/>
        <family val="2"/>
        <charset val="134"/>
        <scheme val="minor"/>
      </rPr>
      <t>+5</t>
    </r>
  </si>
  <si>
    <r>
      <t>上衣 魔防</t>
    </r>
    <r>
      <rPr>
        <sz val="11"/>
        <color theme="1"/>
        <rFont val="宋体"/>
        <family val="2"/>
        <charset val="134"/>
        <scheme val="minor"/>
      </rPr>
      <t>+1</t>
    </r>
    <phoneticPr fontId="14" type="noConversion"/>
  </si>
  <si>
    <t>上衣 魔防+2</t>
    <phoneticPr fontId="14" type="noConversion"/>
  </si>
  <si>
    <r>
      <t>上衣 魔防</t>
    </r>
    <r>
      <rPr>
        <sz val="11"/>
        <color theme="1"/>
        <rFont val="宋体"/>
        <family val="2"/>
        <charset val="134"/>
        <scheme val="minor"/>
      </rPr>
      <t>+3</t>
    </r>
  </si>
  <si>
    <t>上衣 魔防+4</t>
  </si>
  <si>
    <r>
      <t>上衣 魔防</t>
    </r>
    <r>
      <rPr>
        <sz val="11"/>
        <color theme="1"/>
        <rFont val="宋体"/>
        <family val="2"/>
        <charset val="134"/>
        <scheme val="minor"/>
      </rPr>
      <t>+5</t>
    </r>
  </si>
  <si>
    <t>上衣 魔防+6</t>
  </si>
  <si>
    <t>头盔 防御+1</t>
  </si>
  <si>
    <t>头盔 防御+2</t>
  </si>
  <si>
    <t>头盔 防御+3</t>
  </si>
  <si>
    <t>头盔 防御+4</t>
  </si>
  <si>
    <t>头盔 防御+5</t>
  </si>
  <si>
    <t>头盔 防御+6</t>
  </si>
  <si>
    <t>头盔 魔防+1</t>
  </si>
  <si>
    <t>头盔 魔防+2</t>
  </si>
  <si>
    <t>头盔 魔防+3</t>
  </si>
  <si>
    <t>头盔 魔防+4</t>
  </si>
  <si>
    <t>头盔 魔防+5</t>
  </si>
  <si>
    <t>头盔 魔防+6</t>
  </si>
  <si>
    <t>头盔 最大攻击+1</t>
  </si>
  <si>
    <t>头盔 最大攻击+2</t>
  </si>
  <si>
    <t>头盔 最大攻击+3</t>
  </si>
  <si>
    <t>头盔 最大攻击+4</t>
  </si>
  <si>
    <t>头盔 最大攻击+5</t>
  </si>
  <si>
    <t>头盔 最大攻击+6</t>
  </si>
  <si>
    <t>头盔 最大魔法+1</t>
  </si>
  <si>
    <t>头盔 最大魔法+2</t>
  </si>
  <si>
    <t>头盔 最大魔法+3</t>
  </si>
  <si>
    <t>头盔 最大魔法+4</t>
  </si>
  <si>
    <t>头盔 最大魔法+5</t>
  </si>
  <si>
    <t>头盔 最大魔法+6</t>
  </si>
  <si>
    <t>头盔 最大道术+1</t>
  </si>
  <si>
    <t>头盔 最大道术+2</t>
  </si>
  <si>
    <t>头盔 最大道术+3</t>
  </si>
  <si>
    <t>头盔 最大道术+4</t>
  </si>
  <si>
    <t>头盔 最大道术+5</t>
  </si>
  <si>
    <t>头盔 最大道术+6</t>
  </si>
  <si>
    <t>项链 防御+1</t>
  </si>
  <si>
    <t>项链 防御+2</t>
  </si>
  <si>
    <t>项链 防御+3</t>
  </si>
  <si>
    <t>项链 防御+4</t>
  </si>
  <si>
    <t>项链 防御+5</t>
  </si>
  <si>
    <t>项链 魔防+1</t>
  </si>
  <si>
    <t>项链 魔防+2</t>
  </si>
  <si>
    <t>项链 魔防+3</t>
  </si>
  <si>
    <t>项链 魔防+4</t>
  </si>
  <si>
    <t>项链 魔防+5</t>
  </si>
  <si>
    <t>项链 最大攻击+1</t>
  </si>
  <si>
    <t>项链 最大攻击+2</t>
  </si>
  <si>
    <t>项链 最大攻击+3</t>
  </si>
  <si>
    <t>项链 最大攻击+4</t>
  </si>
  <si>
    <t>项链 最大攻击+5</t>
  </si>
  <si>
    <t>项链 最大攻击+6</t>
  </si>
  <si>
    <t>项链 最大魔法+1</t>
  </si>
  <si>
    <t>项链 最大魔法+2</t>
  </si>
  <si>
    <t>项链 最大魔法+3</t>
  </si>
  <si>
    <t>项链 最大魔法+4</t>
  </si>
  <si>
    <t>项链 最大魔法+5</t>
  </si>
  <si>
    <t>项链 最大魔法+6</t>
  </si>
  <si>
    <t>项链 最大道术+1</t>
  </si>
  <si>
    <t>项链 最大道术+2</t>
  </si>
  <si>
    <t>项链 最大道术+3</t>
  </si>
  <si>
    <t>项链 最大道术+4</t>
  </si>
  <si>
    <t>项链 最大道术+5</t>
  </si>
  <si>
    <t>项链 最大道术+6</t>
  </si>
  <si>
    <t>戒指 最大攻击+1</t>
  </si>
  <si>
    <t>戒指 最大攻击+2</t>
  </si>
  <si>
    <t>戒指 最大攻击+3</t>
  </si>
  <si>
    <t>戒指 最大攻击+4</t>
  </si>
  <si>
    <t>戒指 最大攻击+5</t>
  </si>
  <si>
    <t>戒指 最大攻击+6</t>
  </si>
  <si>
    <t>戒指 最大魔法+1</t>
  </si>
  <si>
    <t>戒指 最大魔法+2</t>
  </si>
  <si>
    <t>戒指 最大魔法+3</t>
  </si>
  <si>
    <t>戒指 最大魔法+4</t>
  </si>
  <si>
    <t>戒指 最大魔法+5</t>
  </si>
  <si>
    <t>戒指 最大魔法+6</t>
  </si>
  <si>
    <t>戒指 最大道术+1</t>
  </si>
  <si>
    <t>戒指 最大道术+2</t>
  </si>
  <si>
    <t>戒指 最大道术+3</t>
  </si>
  <si>
    <t>戒指 最大道术+4</t>
  </si>
  <si>
    <t>戒指 最大道术+5</t>
  </si>
  <si>
    <t>戒指 最大道术+6</t>
  </si>
  <si>
    <t>手镯 防御+1</t>
  </si>
  <si>
    <t>手镯 防御+2</t>
  </si>
  <si>
    <t>手镯 防御+3</t>
  </si>
  <si>
    <t>手镯 防御+4</t>
  </si>
  <si>
    <t>手镯 防御+5</t>
  </si>
  <si>
    <t>手镯 防御+6</t>
  </si>
  <si>
    <t>手镯 魔防+1</t>
  </si>
  <si>
    <t>手镯 魔防+2</t>
  </si>
  <si>
    <t>手镯 魔防+3</t>
  </si>
  <si>
    <t>手镯 魔防+4</t>
  </si>
  <si>
    <t>手镯 魔防+5</t>
  </si>
  <si>
    <t>手镯 魔防+6</t>
  </si>
  <si>
    <t>手镯 最大攻击+1</t>
  </si>
  <si>
    <t>手镯 最大攻击+2</t>
  </si>
  <si>
    <t>手镯 最大攻击+3</t>
  </si>
  <si>
    <t>手镯 最大攻击+4</t>
  </si>
  <si>
    <t>手镯 最大攻击+5</t>
  </si>
  <si>
    <t>手镯 最大攻击+6</t>
  </si>
  <si>
    <t>手镯 最大魔法+1</t>
  </si>
  <si>
    <t>手镯 最大魔法+2</t>
  </si>
  <si>
    <t>手镯 最大魔法+3</t>
  </si>
  <si>
    <t>手镯 最大魔法+4</t>
  </si>
  <si>
    <t>手镯 最大魔法+5</t>
  </si>
  <si>
    <t>手镯 最大魔法+6</t>
  </si>
  <si>
    <t>手镯 最大道术+1</t>
  </si>
  <si>
    <t>手镯 最大道术+2</t>
  </si>
  <si>
    <t>手镯 最大道术+3</t>
  </si>
  <si>
    <t>手镯 最大道术+4</t>
  </si>
  <si>
    <t>手镯 最大道术+5</t>
  </si>
  <si>
    <t>手镯 最大道术+6</t>
  </si>
  <si>
    <t>项链 幸运+1</t>
  </si>
  <si>
    <t>项链 幸运+2</t>
  </si>
  <si>
    <t>项链 幸运+3</t>
  </si>
  <si>
    <t>项链 幸运+4</t>
  </si>
  <si>
    <t>项链 幸运+5</t>
  </si>
  <si>
    <t>项链 幸运+6</t>
  </si>
  <si>
    <r>
      <t>项链 魔法躲避+1</t>
    </r>
    <r>
      <rPr>
        <sz val="11"/>
        <color theme="1"/>
        <rFont val="宋体"/>
        <family val="2"/>
        <charset val="134"/>
        <scheme val="minor"/>
      </rPr>
      <t>0%</t>
    </r>
    <phoneticPr fontId="14" type="noConversion"/>
  </si>
  <si>
    <r>
      <t>项链 魔法躲避+2</t>
    </r>
    <r>
      <rPr>
        <sz val="11"/>
        <color theme="1"/>
        <rFont val="宋体"/>
        <family val="2"/>
        <charset val="134"/>
        <scheme val="minor"/>
      </rPr>
      <t>0%</t>
    </r>
    <phoneticPr fontId="14" type="noConversion"/>
  </si>
  <si>
    <r>
      <t>项链 魔法躲避+3</t>
    </r>
    <r>
      <rPr>
        <sz val="11"/>
        <color theme="1"/>
        <rFont val="宋体"/>
        <family val="2"/>
        <charset val="134"/>
        <scheme val="minor"/>
      </rPr>
      <t>0%</t>
    </r>
    <phoneticPr fontId="14" type="noConversion"/>
  </si>
  <si>
    <r>
      <t>项链 魔法躲避+4</t>
    </r>
    <r>
      <rPr>
        <sz val="11"/>
        <color theme="1"/>
        <rFont val="宋体"/>
        <family val="2"/>
        <charset val="134"/>
        <scheme val="minor"/>
      </rPr>
      <t>0%</t>
    </r>
    <phoneticPr fontId="14" type="noConversion"/>
  </si>
  <si>
    <r>
      <t>项链 魔法躲避+5</t>
    </r>
    <r>
      <rPr>
        <sz val="11"/>
        <color theme="1"/>
        <rFont val="宋体"/>
        <family val="2"/>
        <charset val="134"/>
        <scheme val="minor"/>
      </rPr>
      <t>0%</t>
    </r>
    <phoneticPr fontId="14" type="noConversion"/>
  </si>
  <si>
    <t>手镯 准确+1</t>
  </si>
  <si>
    <t>手镯 准确+2</t>
  </si>
  <si>
    <t>手镯 准确+3</t>
  </si>
  <si>
    <t>手镯 准确+4</t>
  </si>
  <si>
    <t>手镯 准确+5</t>
  </si>
  <si>
    <t>手镯 敏捷+1</t>
  </si>
  <si>
    <t>手镯 敏捷+2</t>
  </si>
  <si>
    <t>手镯 敏捷+3</t>
  </si>
  <si>
    <t>手镯 敏捷+4</t>
  </si>
  <si>
    <t>手镯 敏捷+5</t>
  </si>
  <si>
    <t>武器 幸运+1</t>
    <phoneticPr fontId="14" type="noConversion"/>
  </si>
  <si>
    <r>
      <t>戒指 中毒躲避+1</t>
    </r>
    <r>
      <rPr>
        <sz val="11"/>
        <color theme="1"/>
        <rFont val="宋体"/>
        <family val="2"/>
        <charset val="134"/>
        <scheme val="minor"/>
      </rPr>
      <t>0%</t>
    </r>
    <phoneticPr fontId="14" type="noConversion"/>
  </si>
  <si>
    <r>
      <t>戒指 中毒躲避+2</t>
    </r>
    <r>
      <rPr>
        <sz val="11"/>
        <color theme="1"/>
        <rFont val="宋体"/>
        <family val="2"/>
        <charset val="134"/>
        <scheme val="minor"/>
      </rPr>
      <t>0%</t>
    </r>
    <phoneticPr fontId="14" type="noConversion"/>
  </si>
  <si>
    <t>戒指 中毒躲避+30%</t>
  </si>
  <si>
    <t>戒指 中毒躲避+40%</t>
  </si>
  <si>
    <t>戒指 中毒躲避+50%</t>
  </si>
  <si>
    <t>戒指 中毒躲避+60%</t>
  </si>
  <si>
    <r>
      <t>戒指 中毒恢复+1</t>
    </r>
    <r>
      <rPr>
        <sz val="11"/>
        <color theme="1"/>
        <rFont val="宋体"/>
        <family val="2"/>
        <charset val="134"/>
        <scheme val="minor"/>
      </rPr>
      <t>0%</t>
    </r>
    <phoneticPr fontId="14" type="noConversion"/>
  </si>
  <si>
    <r>
      <t>戒指 中毒恢复+2</t>
    </r>
    <r>
      <rPr>
        <sz val="11"/>
        <color theme="1"/>
        <rFont val="宋体"/>
        <family val="2"/>
        <charset val="134"/>
        <scheme val="minor"/>
      </rPr>
      <t>0%</t>
    </r>
    <phoneticPr fontId="14" type="noConversion"/>
  </si>
  <si>
    <t>戒指 中毒恢复+30%</t>
  </si>
  <si>
    <t>戒指 中毒恢复+40%</t>
  </si>
  <si>
    <t>戒指 中毒恢复+50%</t>
  </si>
  <si>
    <t>戒指 中毒恢复+60%</t>
  </si>
  <si>
    <t>武器 最大攻击+1</t>
  </si>
  <si>
    <t>武器 最大攻击+2</t>
  </si>
  <si>
    <t>武器 幸运+1</t>
  </si>
  <si>
    <t>上衣 防御+1</t>
  </si>
  <si>
    <t>上衣 防御+2</t>
  </si>
  <si>
    <t>上衣 防御+3</t>
  </si>
  <si>
    <t>上衣 防御+5</t>
  </si>
  <si>
    <t>上衣 魔防+1</t>
  </si>
  <si>
    <t>上衣 魔防+2</t>
  </si>
  <si>
    <t>上衣 魔防+3</t>
  </si>
  <si>
    <t>上衣 魔防+5</t>
  </si>
  <si>
    <t>项链 魔法躲避+10%</t>
  </si>
  <si>
    <t>项链 魔法躲避+20%</t>
  </si>
  <si>
    <t>项链 魔法躲避+30%</t>
  </si>
  <si>
    <t>项链 魔法躲避+40%</t>
  </si>
  <si>
    <t>项链 魔法躲避+50%</t>
  </si>
  <si>
    <t>项链 魔法躲避+60%</t>
  </si>
  <si>
    <t>戒指 中毒躲避+10%</t>
  </si>
  <si>
    <t>戒指 中毒躲避+20%</t>
  </si>
  <si>
    <t>戒指 中毒恢复+10%</t>
  </si>
  <si>
    <t>戒指 中毒恢复+20%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</si>
</sst>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9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0" tint="-0.14999847407452621"/>
      <name val="宋体"/>
      <family val="2"/>
      <charset val="134"/>
      <scheme val="minor"/>
    </font>
    <font>
      <sz val="11"/>
      <color theme="3" tint="0.3999755851924192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3" tint="0.39997558519241921"/>
      <name val="宋体"/>
      <family val="2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59999389629810485"/>
        <bgColor indexed="64"/>
      </patternFill>
    </fill>
  </fills>
  <borders count="2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4">
    <xf numFmtId="0" fontId="0" fillId="0" borderId="0"/>
    <xf numFmtId="0" fontId="1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26" fillId="0" borderId="13" applyNumberFormat="0" applyFill="0" applyAlignment="0" applyProtection="0">
      <alignment vertical="center"/>
    </xf>
    <xf numFmtId="0" fontId="27" fillId="0" borderId="14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4" borderId="0" applyNumberFormat="0" applyBorder="0" applyAlignment="0" applyProtection="0">
      <alignment vertical="center"/>
    </xf>
    <xf numFmtId="0" fontId="29" fillId="5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31" fillId="7" borderId="15" applyNumberFormat="0" applyAlignment="0" applyProtection="0">
      <alignment vertical="center"/>
    </xf>
    <xf numFmtId="0" fontId="32" fillId="8" borderId="16" applyNumberFormat="0" applyAlignment="0" applyProtection="0">
      <alignment vertical="center"/>
    </xf>
    <xf numFmtId="0" fontId="33" fillId="8" borderId="15" applyNumberFormat="0" applyAlignment="0" applyProtection="0">
      <alignment vertical="center"/>
    </xf>
    <xf numFmtId="0" fontId="34" fillId="0" borderId="17" applyNumberFormat="0" applyFill="0" applyAlignment="0" applyProtection="0">
      <alignment vertical="center"/>
    </xf>
    <xf numFmtId="0" fontId="35" fillId="9" borderId="18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20" applyNumberFormat="0" applyFill="0" applyAlignment="0" applyProtection="0">
      <alignment vertical="center"/>
    </xf>
    <xf numFmtId="0" fontId="38" fillId="11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38" fillId="14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38" fillId="18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38" fillId="26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38" fillId="30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38" fillId="34" borderId="0" applyNumberFormat="0" applyBorder="0" applyAlignment="0" applyProtection="0">
      <alignment vertical="center"/>
    </xf>
    <xf numFmtId="0" fontId="11" fillId="0" borderId="0">
      <alignment vertical="center"/>
    </xf>
    <xf numFmtId="0" fontId="11" fillId="10" borderId="19" applyNumberFormat="0" applyFont="0" applyAlignment="0" applyProtection="0">
      <alignment vertical="center"/>
    </xf>
  </cellStyleXfs>
  <cellXfs count="81">
    <xf numFmtId="0" fontId="0" fillId="0" borderId="0" xfId="0"/>
    <xf numFmtId="0" fontId="12" fillId="0" borderId="0" xfId="1">
      <alignment vertical="center"/>
    </xf>
    <xf numFmtId="0" fontId="16" fillId="2" borderId="1" xfId="1" applyFont="1" applyFill="1" applyBorder="1" applyAlignment="1">
      <alignment horizontal="left" vertical="center"/>
    </xf>
    <xf numFmtId="0" fontId="12" fillId="0" borderId="0" xfId="1" applyBorder="1" applyAlignment="1">
      <alignment horizontal="center" vertical="center"/>
    </xf>
    <xf numFmtId="0" fontId="17" fillId="0" borderId="2" xfId="1" applyFont="1" applyBorder="1" applyAlignment="1">
      <alignment horizontal="left" vertical="center"/>
    </xf>
    <xf numFmtId="0" fontId="18" fillId="2" borderId="1" xfId="1" applyFont="1" applyFill="1" applyBorder="1" applyAlignment="1">
      <alignment horizontal="left" vertical="center"/>
    </xf>
    <xf numFmtId="0" fontId="12" fillId="0" borderId="2" xfId="1" applyBorder="1" applyAlignment="1">
      <alignment horizontal="left" vertical="center"/>
    </xf>
    <xf numFmtId="0" fontId="12" fillId="0" borderId="0" xfId="1" applyAlignment="1">
      <alignment horizontal="center" vertical="center"/>
    </xf>
    <xf numFmtId="0" fontId="12" fillId="0" borderId="0" xfId="1" applyAlignment="1">
      <alignment horizontal="left" vertical="center"/>
    </xf>
    <xf numFmtId="0" fontId="19" fillId="0" borderId="0" xfId="1" applyFont="1" applyAlignment="1">
      <alignment horizontal="left" vertical="center"/>
    </xf>
    <xf numFmtId="0" fontId="15" fillId="0" borderId="0" xfId="1" applyFont="1" applyAlignment="1">
      <alignment horizontal="center" vertical="center"/>
    </xf>
    <xf numFmtId="0" fontId="21" fillId="0" borderId="2" xfId="1" applyFont="1" applyBorder="1" applyAlignment="1">
      <alignment horizontal="left" vertical="center"/>
    </xf>
    <xf numFmtId="0" fontId="12" fillId="0" borderId="1" xfId="1" applyBorder="1" applyAlignment="1">
      <alignment horizontal="left" vertical="center"/>
    </xf>
    <xf numFmtId="0" fontId="12" fillId="0" borderId="0" xfId="1" applyBorder="1" applyAlignment="1">
      <alignment horizontal="left" vertical="center"/>
    </xf>
    <xf numFmtId="0" fontId="22" fillId="0" borderId="3" xfId="1" applyFont="1" applyBorder="1" applyAlignment="1">
      <alignment horizontal="left" vertical="center"/>
    </xf>
    <xf numFmtId="0" fontId="21" fillId="0" borderId="4" xfId="1" applyFont="1" applyBorder="1" applyAlignment="1">
      <alignment horizontal="left" vertical="center"/>
    </xf>
    <xf numFmtId="0" fontId="21" fillId="0" borderId="3" xfId="1" applyFont="1" applyBorder="1" applyAlignment="1">
      <alignment horizontal="left" vertical="center"/>
    </xf>
    <xf numFmtId="0" fontId="21" fillId="0" borderId="5" xfId="1" applyFont="1" applyBorder="1" applyAlignment="1">
      <alignment horizontal="left" vertical="center"/>
    </xf>
    <xf numFmtId="0" fontId="22" fillId="0" borderId="0" xfId="1" applyFont="1">
      <alignment vertical="center"/>
    </xf>
    <xf numFmtId="0" fontId="22" fillId="2" borderId="1" xfId="1" applyFont="1" applyFill="1" applyBorder="1" applyAlignment="1">
      <alignment horizontal="left" vertical="center"/>
    </xf>
    <xf numFmtId="0" fontId="22" fillId="0" borderId="0" xfId="1" applyFont="1" applyBorder="1" applyAlignment="1">
      <alignment horizontal="center" vertical="center"/>
    </xf>
    <xf numFmtId="0" fontId="22" fillId="0" borderId="2" xfId="1" applyFont="1" applyBorder="1" applyAlignment="1">
      <alignment horizontal="left" vertical="center"/>
    </xf>
    <xf numFmtId="0" fontId="22" fillId="0" borderId="1" xfId="1" applyFont="1" applyBorder="1" applyAlignment="1">
      <alignment horizontal="left" vertical="center"/>
    </xf>
    <xf numFmtId="0" fontId="22" fillId="0" borderId="0" xfId="1" applyFont="1" applyBorder="1" applyAlignment="1">
      <alignment horizontal="left" vertical="center"/>
    </xf>
    <xf numFmtId="0" fontId="12" fillId="0" borderId="3" xfId="1" applyBorder="1" applyAlignment="1">
      <alignment horizontal="left" vertical="center"/>
    </xf>
    <xf numFmtId="0" fontId="18" fillId="2" borderId="6" xfId="1" applyFont="1" applyFill="1" applyBorder="1" applyAlignment="1">
      <alignment horizontal="left" vertical="center"/>
    </xf>
    <xf numFmtId="0" fontId="12" fillId="0" borderId="7" xfId="1" applyBorder="1" applyAlignment="1">
      <alignment horizontal="center" vertical="center"/>
    </xf>
    <xf numFmtId="0" fontId="17" fillId="0" borderId="8" xfId="1" applyFont="1" applyBorder="1" applyAlignment="1">
      <alignment horizontal="left" vertical="center"/>
    </xf>
    <xf numFmtId="0" fontId="12" fillId="0" borderId="5" xfId="1" applyBorder="1" applyAlignment="1">
      <alignment horizontal="left" vertical="center"/>
    </xf>
    <xf numFmtId="0" fontId="12" fillId="0" borderId="6" xfId="1" applyBorder="1" applyAlignment="1">
      <alignment horizontal="left" vertical="center"/>
    </xf>
    <xf numFmtId="0" fontId="12" fillId="0" borderId="7" xfId="1" applyBorder="1" applyAlignment="1">
      <alignment horizontal="left" vertical="center"/>
    </xf>
    <xf numFmtId="0" fontId="22" fillId="0" borderId="5" xfId="1" applyFont="1" applyBorder="1" applyAlignment="1">
      <alignment horizontal="left" vertical="center"/>
    </xf>
    <xf numFmtId="0" fontId="16" fillId="3" borderId="9" xfId="1" applyFont="1" applyFill="1" applyBorder="1" applyAlignment="1">
      <alignment horizontal="left" vertical="center"/>
    </xf>
    <xf numFmtId="0" fontId="12" fillId="3" borderId="10" xfId="1" applyFill="1" applyBorder="1" applyAlignment="1">
      <alignment horizontal="center" vertical="center"/>
    </xf>
    <xf numFmtId="0" fontId="17" fillId="3" borderId="11" xfId="1" applyFont="1" applyFill="1" applyBorder="1" applyAlignment="1">
      <alignment horizontal="left" vertical="center"/>
    </xf>
    <xf numFmtId="0" fontId="18" fillId="3" borderId="9" xfId="1" applyFont="1" applyFill="1" applyBorder="1" applyAlignment="1">
      <alignment horizontal="left" vertical="center"/>
    </xf>
    <xf numFmtId="0" fontId="12" fillId="3" borderId="11" xfId="1" applyFill="1" applyBorder="1" applyAlignment="1">
      <alignment horizontal="left" vertical="center"/>
    </xf>
    <xf numFmtId="0" fontId="12" fillId="3" borderId="9" xfId="1" applyFill="1" applyBorder="1" applyAlignment="1">
      <alignment horizontal="left" vertical="center"/>
    </xf>
    <xf numFmtId="0" fontId="12" fillId="3" borderId="10" xfId="1" applyFill="1" applyBorder="1" applyAlignment="1">
      <alignment horizontal="left" vertical="center"/>
    </xf>
    <xf numFmtId="0" fontId="21" fillId="3" borderId="11" xfId="1" applyFont="1" applyFill="1" applyBorder="1" applyAlignment="1">
      <alignment horizontal="left" vertical="center"/>
    </xf>
    <xf numFmtId="0" fontId="12" fillId="2" borderId="0" xfId="1" applyFill="1">
      <alignment vertical="center"/>
    </xf>
    <xf numFmtId="0" fontId="11" fillId="0" borderId="0" xfId="42">
      <alignment vertical="center"/>
    </xf>
    <xf numFmtId="0" fontId="11" fillId="0" borderId="0" xfId="42">
      <alignment vertical="center"/>
    </xf>
    <xf numFmtId="0" fontId="10" fillId="0" borderId="0" xfId="42" applyFont="1">
      <alignment vertical="center"/>
    </xf>
    <xf numFmtId="0" fontId="9" fillId="0" borderId="0" xfId="1" applyFont="1">
      <alignment vertical="center"/>
    </xf>
    <xf numFmtId="0" fontId="9" fillId="0" borderId="0" xfId="42" applyFont="1">
      <alignment vertical="center"/>
    </xf>
    <xf numFmtId="0" fontId="21" fillId="0" borderId="8" xfId="1" applyFont="1" applyBorder="1" applyAlignment="1">
      <alignment horizontal="left" vertical="center"/>
    </xf>
    <xf numFmtId="0" fontId="22" fillId="0" borderId="4" xfId="1" applyFont="1" applyBorder="1" applyAlignment="1">
      <alignment horizontal="left" vertical="center"/>
    </xf>
    <xf numFmtId="0" fontId="12" fillId="0" borderId="21" xfId="1" applyBorder="1" applyAlignment="1">
      <alignment horizontal="left" vertical="center"/>
    </xf>
    <xf numFmtId="0" fontId="12" fillId="0" borderId="22" xfId="1" applyBorder="1" applyAlignment="1">
      <alignment horizontal="left" vertical="center"/>
    </xf>
    <xf numFmtId="0" fontId="12" fillId="0" borderId="21" xfId="1" applyBorder="1" applyAlignment="1">
      <alignment horizontal="center" vertical="center"/>
    </xf>
    <xf numFmtId="0" fontId="18" fillId="2" borderId="22" xfId="1" applyFont="1" applyFill="1" applyBorder="1" applyAlignment="1">
      <alignment horizontal="left" vertical="center"/>
    </xf>
    <xf numFmtId="0" fontId="8" fillId="0" borderId="3" xfId="1" applyFont="1" applyBorder="1" applyAlignment="1">
      <alignment horizontal="left" vertical="center"/>
    </xf>
    <xf numFmtId="0" fontId="8" fillId="0" borderId="5" xfId="1" applyFont="1" applyBorder="1" applyAlignment="1">
      <alignment horizontal="left" vertical="center"/>
    </xf>
    <xf numFmtId="0" fontId="9" fillId="0" borderId="3" xfId="1" applyFont="1" applyBorder="1" applyAlignment="1">
      <alignment horizontal="left" vertical="center"/>
    </xf>
    <xf numFmtId="0" fontId="8" fillId="0" borderId="4" xfId="1" applyFont="1" applyBorder="1" applyAlignment="1">
      <alignment horizontal="left" vertical="center"/>
    </xf>
    <xf numFmtId="0" fontId="12" fillId="0" borderId="2" xfId="1" applyBorder="1" applyAlignment="1">
      <alignment horizontal="center" vertical="center"/>
    </xf>
    <xf numFmtId="0" fontId="12" fillId="2" borderId="0" xfId="1" applyFill="1" applyBorder="1" applyAlignment="1">
      <alignment horizontal="center" vertical="center"/>
    </xf>
    <xf numFmtId="0" fontId="12" fillId="2" borderId="1" xfId="1" applyFill="1" applyBorder="1" applyAlignment="1">
      <alignment horizontal="center" vertical="center"/>
    </xf>
    <xf numFmtId="0" fontId="12" fillId="0" borderId="23" xfId="1" applyBorder="1" applyAlignment="1">
      <alignment horizontal="center" vertical="center"/>
    </xf>
    <xf numFmtId="0" fontId="12" fillId="2" borderId="21" xfId="1" applyFill="1" applyBorder="1" applyAlignment="1">
      <alignment horizontal="center" vertical="center"/>
    </xf>
    <xf numFmtId="0" fontId="12" fillId="2" borderId="22" xfId="1" applyFill="1" applyBorder="1" applyAlignment="1">
      <alignment horizontal="center" vertical="center"/>
    </xf>
    <xf numFmtId="0" fontId="12" fillId="0" borderId="11" xfId="1" applyBorder="1" applyAlignment="1">
      <alignment horizontal="center" vertical="center"/>
    </xf>
    <xf numFmtId="0" fontId="12" fillId="0" borderId="10" xfId="1" applyBorder="1" applyAlignment="1">
      <alignment horizontal="center" vertical="center"/>
    </xf>
    <xf numFmtId="0" fontId="12" fillId="2" borderId="10" xfId="1" applyFill="1" applyBorder="1" applyAlignment="1">
      <alignment horizontal="center" vertical="center"/>
    </xf>
    <xf numFmtId="0" fontId="12" fillId="2" borderId="9" xfId="1" applyFill="1" applyBorder="1" applyAlignment="1">
      <alignment horizontal="center" vertical="center"/>
    </xf>
    <xf numFmtId="0" fontId="12" fillId="0" borderId="9" xfId="1" applyBorder="1" applyAlignment="1">
      <alignment horizontal="center" vertical="center"/>
    </xf>
    <xf numFmtId="0" fontId="7" fillId="0" borderId="3" xfId="1" applyFont="1" applyBorder="1" applyAlignment="1">
      <alignment horizontal="left" vertical="center"/>
    </xf>
    <xf numFmtId="0" fontId="12" fillId="2" borderId="0" xfId="1" applyFill="1" applyAlignment="1">
      <alignment horizontal="center" vertical="center"/>
    </xf>
    <xf numFmtId="0" fontId="0" fillId="0" borderId="24" xfId="0" applyBorder="1" applyAlignment="1">
      <alignment horizontal="left" vertical="center" wrapText="1"/>
    </xf>
    <xf numFmtId="0" fontId="0" fillId="35" borderId="24" xfId="0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2" fillId="0" borderId="24" xfId="1" applyBorder="1" applyAlignment="1">
      <alignment horizontal="left" vertical="center" wrapText="1"/>
    </xf>
    <xf numFmtId="0" fontId="6" fillId="0" borderId="0" xfId="1" applyFont="1" applyAlignment="1">
      <alignment horizontal="left" vertical="center"/>
    </xf>
    <xf numFmtId="0" fontId="5" fillId="0" borderId="0" xfId="1" applyFont="1" applyAlignment="1">
      <alignment horizontal="left" vertical="center"/>
    </xf>
    <xf numFmtId="0" fontId="4" fillId="0" borderId="0" xfId="1" applyFont="1" applyAlignment="1">
      <alignment horizontal="left" vertical="center"/>
    </xf>
    <xf numFmtId="0" fontId="3" fillId="0" borderId="0" xfId="1" applyFont="1" applyAlignment="1">
      <alignment horizontal="left" vertical="center"/>
    </xf>
    <xf numFmtId="0" fontId="2" fillId="0" borderId="0" xfId="1" applyFont="1" applyAlignment="1">
      <alignment horizontal="left" vertical="center"/>
    </xf>
    <xf numFmtId="0" fontId="0" fillId="0" borderId="24" xfId="0" applyBorder="1" applyAlignment="1">
      <alignment horizontal="left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</cellXfs>
  <cellStyles count="44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2" builtinId="15" customBuiltin="1"/>
    <cellStyle name="标题 1" xfId="3" builtinId="16" customBuiltin="1"/>
    <cellStyle name="标题 2" xfId="4" builtinId="17" customBuiltin="1"/>
    <cellStyle name="标题 3" xfId="5" builtinId="18" customBuiltin="1"/>
    <cellStyle name="标题 4" xfId="6" builtinId="19" customBuiltin="1"/>
    <cellStyle name="差" xfId="8" builtinId="27" customBuiltin="1"/>
    <cellStyle name="常规" xfId="0" builtinId="0"/>
    <cellStyle name="常规 2" xfId="1"/>
    <cellStyle name="常规 3" xfId="42"/>
    <cellStyle name="好" xfId="7" builtinId="26" customBuiltin="1"/>
    <cellStyle name="汇总" xfId="17" builtinId="25" customBuiltin="1"/>
    <cellStyle name="计算" xfId="12" builtinId="22" customBuiltin="1"/>
    <cellStyle name="检查单元格" xfId="14" builtinId="23" customBuiltin="1"/>
    <cellStyle name="解释性文本" xfId="16" builtinId="53" customBuiltin="1"/>
    <cellStyle name="警告文本" xfId="15" builtinId="11" customBuiltin="1"/>
    <cellStyle name="链接单元格" xfId="13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9" builtinId="28" customBuiltin="1"/>
    <cellStyle name="输出" xfId="11" builtinId="21" customBuiltin="1"/>
    <cellStyle name="输入" xfId="10" builtinId="20" customBuiltin="1"/>
    <cellStyle name="注释 2" xfId="43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1</xdr:row>
          <xdr:rowOff>123825</xdr:rowOff>
        </xdr:from>
        <xdr:to>
          <xdr:col>11</xdr:col>
          <xdr:colOff>171450</xdr:colOff>
          <xdr:row>4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生成数据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5</xdr:row>
          <xdr:rowOff>123825</xdr:rowOff>
        </xdr:from>
        <xdr:to>
          <xdr:col>11</xdr:col>
          <xdr:colOff>190500</xdr:colOff>
          <xdr:row>8</xdr:row>
          <xdr:rowOff>114300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排序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0</xdr:row>
          <xdr:rowOff>47625</xdr:rowOff>
        </xdr:from>
        <xdr:to>
          <xdr:col>18</xdr:col>
          <xdr:colOff>9525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76200</xdr:colOff>
          <xdr:row>0</xdr:row>
          <xdr:rowOff>47625</xdr:rowOff>
        </xdr:from>
        <xdr:to>
          <xdr:col>19</xdr:col>
          <xdr:colOff>428625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200"/>
  <sheetViews>
    <sheetView tabSelected="1" topLeftCell="A43" workbookViewId="0">
      <selection activeCell="C167" sqref="C167"/>
    </sheetView>
  </sheetViews>
  <sheetFormatPr defaultRowHeight="13.5"/>
  <cols>
    <col min="1" max="1" width="18" style="8" customWidth="1"/>
    <col min="2" max="2" width="29.75" style="8" customWidth="1"/>
    <col min="3" max="3" width="16.625" style="8" customWidth="1"/>
    <col min="4" max="4" width="15.25" style="8" customWidth="1"/>
    <col min="5" max="5" width="12.75" style="8" customWidth="1"/>
    <col min="6" max="6" width="12" style="1" customWidth="1"/>
    <col min="7" max="16384" width="9" style="1"/>
  </cols>
  <sheetData>
    <row r="1" spans="1:5">
      <c r="A1" s="8" t="s">
        <v>216</v>
      </c>
      <c r="B1" s="8" t="s">
        <v>217</v>
      </c>
      <c r="C1" s="8" t="s">
        <v>218</v>
      </c>
      <c r="D1" s="8" t="s">
        <v>219</v>
      </c>
      <c r="E1" s="8" t="s">
        <v>220</v>
      </c>
    </row>
    <row r="2" spans="1:5">
      <c r="A2" s="8" t="s">
        <v>221</v>
      </c>
      <c r="B2" s="8" t="s">
        <v>221</v>
      </c>
      <c r="C2" s="8" t="s">
        <v>221</v>
      </c>
      <c r="D2" s="8" t="s">
        <v>221</v>
      </c>
      <c r="E2" s="8" t="s">
        <v>221</v>
      </c>
    </row>
    <row r="3" spans="1:5">
      <c r="A3" s="8">
        <v>0</v>
      </c>
      <c r="B3" s="8">
        <v>0</v>
      </c>
      <c r="C3" s="8">
        <v>0</v>
      </c>
      <c r="D3" s="8">
        <v>0</v>
      </c>
      <c r="E3" s="8">
        <v>0</v>
      </c>
    </row>
    <row r="4" spans="1:5">
      <c r="A4" s="8">
        <v>1001</v>
      </c>
      <c r="B4" s="73" t="s">
        <v>222</v>
      </c>
      <c r="C4" s="8">
        <v>2010</v>
      </c>
      <c r="D4" s="8">
        <f>C4</f>
        <v>2010</v>
      </c>
      <c r="E4" s="8">
        <v>50742242</v>
      </c>
    </row>
    <row r="5" spans="1:5">
      <c r="A5" s="8">
        <v>1001</v>
      </c>
      <c r="B5" s="73" t="s">
        <v>223</v>
      </c>
      <c r="C5" s="8">
        <v>2020</v>
      </c>
      <c r="D5" s="8">
        <f t="shared" ref="D5:D59" si="0">C5</f>
        <v>2020</v>
      </c>
      <c r="E5" s="8">
        <v>2416291</v>
      </c>
    </row>
    <row r="6" spans="1:5">
      <c r="A6" s="8">
        <v>1001</v>
      </c>
      <c r="B6" s="73" t="s">
        <v>224</v>
      </c>
      <c r="C6" s="8">
        <v>2030</v>
      </c>
      <c r="D6" s="8">
        <f t="shared" si="0"/>
        <v>2030</v>
      </c>
      <c r="E6" s="8">
        <v>118695</v>
      </c>
    </row>
    <row r="7" spans="1:5">
      <c r="A7" s="8">
        <v>1001</v>
      </c>
      <c r="B7" s="73" t="s">
        <v>225</v>
      </c>
      <c r="C7" s="8">
        <v>2040</v>
      </c>
      <c r="D7" s="8">
        <f t="shared" si="0"/>
        <v>2040</v>
      </c>
      <c r="E7" s="8">
        <v>6013</v>
      </c>
    </row>
    <row r="8" spans="1:5">
      <c r="A8" s="8">
        <v>1001</v>
      </c>
      <c r="B8" s="73" t="s">
        <v>226</v>
      </c>
      <c r="C8" s="8">
        <v>2050</v>
      </c>
      <c r="D8" s="8">
        <f t="shared" si="0"/>
        <v>2050</v>
      </c>
      <c r="E8" s="8">
        <v>313</v>
      </c>
    </row>
    <row r="9" spans="1:5">
      <c r="A9" s="8">
        <v>1001</v>
      </c>
      <c r="B9" s="73" t="s">
        <v>227</v>
      </c>
      <c r="C9" s="8">
        <v>2060</v>
      </c>
      <c r="D9" s="8">
        <f t="shared" si="0"/>
        <v>2060</v>
      </c>
      <c r="E9" s="8">
        <v>17</v>
      </c>
    </row>
    <row r="10" spans="1:5">
      <c r="A10" s="8">
        <v>1002</v>
      </c>
      <c r="B10" s="73" t="s">
        <v>228</v>
      </c>
      <c r="C10" s="8">
        <v>4010</v>
      </c>
      <c r="D10" s="8">
        <f t="shared" si="0"/>
        <v>4010</v>
      </c>
      <c r="E10" s="8">
        <v>50742242</v>
      </c>
    </row>
    <row r="11" spans="1:5">
      <c r="A11" s="8">
        <v>1002</v>
      </c>
      <c r="B11" s="73" t="s">
        <v>229</v>
      </c>
      <c r="C11" s="8">
        <v>4020</v>
      </c>
      <c r="D11" s="8">
        <f t="shared" si="0"/>
        <v>4020</v>
      </c>
      <c r="E11" s="8">
        <v>2416291</v>
      </c>
    </row>
    <row r="12" spans="1:5">
      <c r="A12" s="8">
        <v>1002</v>
      </c>
      <c r="B12" s="73" t="s">
        <v>230</v>
      </c>
      <c r="C12" s="8">
        <v>4030</v>
      </c>
      <c r="D12" s="8">
        <f t="shared" si="0"/>
        <v>4030</v>
      </c>
      <c r="E12" s="8">
        <v>118695</v>
      </c>
    </row>
    <row r="13" spans="1:5">
      <c r="A13" s="8">
        <v>1002</v>
      </c>
      <c r="B13" s="73" t="s">
        <v>231</v>
      </c>
      <c r="C13" s="8">
        <v>4040</v>
      </c>
      <c r="D13" s="8">
        <f t="shared" si="0"/>
        <v>4040</v>
      </c>
      <c r="E13" s="8">
        <v>6013</v>
      </c>
    </row>
    <row r="14" spans="1:5">
      <c r="A14" s="8">
        <v>1002</v>
      </c>
      <c r="B14" s="73" t="s">
        <v>232</v>
      </c>
      <c r="C14" s="8">
        <v>4050</v>
      </c>
      <c r="D14" s="8">
        <f t="shared" si="0"/>
        <v>4050</v>
      </c>
      <c r="E14" s="8">
        <v>313</v>
      </c>
    </row>
    <row r="15" spans="1:5">
      <c r="A15" s="8">
        <v>1002</v>
      </c>
      <c r="B15" s="73" t="s">
        <v>233</v>
      </c>
      <c r="C15" s="8">
        <v>4060</v>
      </c>
      <c r="D15" s="8">
        <f t="shared" si="0"/>
        <v>4060</v>
      </c>
      <c r="E15" s="8">
        <v>17</v>
      </c>
    </row>
    <row r="16" spans="1:5">
      <c r="A16" s="8">
        <v>1003</v>
      </c>
      <c r="B16" s="73" t="s">
        <v>234</v>
      </c>
      <c r="C16" s="8">
        <v>6010</v>
      </c>
      <c r="D16" s="8">
        <f t="shared" si="0"/>
        <v>6010</v>
      </c>
      <c r="E16" s="8">
        <v>50742242</v>
      </c>
    </row>
    <row r="17" spans="1:5">
      <c r="A17" s="8">
        <v>1003</v>
      </c>
      <c r="B17" s="73" t="s">
        <v>235</v>
      </c>
      <c r="C17" s="8">
        <v>6020</v>
      </c>
      <c r="D17" s="8">
        <f t="shared" si="0"/>
        <v>6020</v>
      </c>
      <c r="E17" s="8">
        <v>2416291</v>
      </c>
    </row>
    <row r="18" spans="1:5">
      <c r="A18" s="8">
        <v>1003</v>
      </c>
      <c r="B18" s="73" t="s">
        <v>236</v>
      </c>
      <c r="C18" s="8">
        <v>6030</v>
      </c>
      <c r="D18" s="8">
        <f t="shared" si="0"/>
        <v>6030</v>
      </c>
      <c r="E18" s="8">
        <v>118695</v>
      </c>
    </row>
    <row r="19" spans="1:5">
      <c r="A19" s="8">
        <v>1003</v>
      </c>
      <c r="B19" s="73" t="s">
        <v>237</v>
      </c>
      <c r="C19" s="8">
        <v>6040</v>
      </c>
      <c r="D19" s="8">
        <f t="shared" si="0"/>
        <v>6040</v>
      </c>
      <c r="E19" s="8">
        <v>6013</v>
      </c>
    </row>
    <row r="20" spans="1:5">
      <c r="A20" s="8">
        <v>1003</v>
      </c>
      <c r="B20" s="73" t="s">
        <v>238</v>
      </c>
      <c r="C20" s="8">
        <v>6050</v>
      </c>
      <c r="D20" s="8">
        <f t="shared" si="0"/>
        <v>6050</v>
      </c>
      <c r="E20" s="8">
        <v>313</v>
      </c>
    </row>
    <row r="21" spans="1:5">
      <c r="A21" s="8">
        <v>1003</v>
      </c>
      <c r="B21" s="73" t="s">
        <v>239</v>
      </c>
      <c r="C21" s="8">
        <v>6060</v>
      </c>
      <c r="D21" s="8">
        <f t="shared" si="0"/>
        <v>6060</v>
      </c>
      <c r="E21" s="8">
        <v>17</v>
      </c>
    </row>
    <row r="22" spans="1:5">
      <c r="A22" s="8">
        <v>1004</v>
      </c>
      <c r="B22" s="73" t="s">
        <v>240</v>
      </c>
      <c r="C22" s="8">
        <v>21001</v>
      </c>
      <c r="D22" s="8">
        <f t="shared" si="0"/>
        <v>21001</v>
      </c>
      <c r="E22" s="8">
        <v>50742242</v>
      </c>
    </row>
    <row r="23" spans="1:5">
      <c r="A23" s="8">
        <v>1004</v>
      </c>
      <c r="B23" s="73" t="s">
        <v>241</v>
      </c>
      <c r="C23" s="8">
        <v>21011</v>
      </c>
      <c r="D23" s="8">
        <f t="shared" si="0"/>
        <v>21011</v>
      </c>
      <c r="E23" s="8">
        <v>2416291</v>
      </c>
    </row>
    <row r="24" spans="1:5">
      <c r="A24" s="8">
        <v>1004</v>
      </c>
      <c r="B24" s="73" t="s">
        <v>242</v>
      </c>
      <c r="C24" s="8">
        <v>21021</v>
      </c>
      <c r="D24" s="8">
        <f t="shared" si="0"/>
        <v>21021</v>
      </c>
      <c r="E24" s="8">
        <v>118695</v>
      </c>
    </row>
    <row r="25" spans="1:5">
      <c r="A25" s="8">
        <v>1004</v>
      </c>
      <c r="B25" s="73" t="s">
        <v>243</v>
      </c>
      <c r="C25" s="8">
        <v>21031</v>
      </c>
      <c r="D25" s="8">
        <f t="shared" si="0"/>
        <v>21031</v>
      </c>
      <c r="E25" s="8">
        <v>6013</v>
      </c>
    </row>
    <row r="26" spans="1:5">
      <c r="A26" s="8">
        <v>1004</v>
      </c>
      <c r="B26" s="73" t="s">
        <v>244</v>
      </c>
      <c r="C26" s="8">
        <v>21041</v>
      </c>
      <c r="D26" s="8">
        <f t="shared" si="0"/>
        <v>21041</v>
      </c>
      <c r="E26" s="8">
        <v>313</v>
      </c>
    </row>
    <row r="27" spans="1:5">
      <c r="A27" s="8">
        <v>1004</v>
      </c>
      <c r="B27" s="73" t="s">
        <v>245</v>
      </c>
      <c r="C27" s="8">
        <v>21051</v>
      </c>
      <c r="D27" s="8">
        <f t="shared" si="0"/>
        <v>21051</v>
      </c>
      <c r="E27" s="8">
        <v>17</v>
      </c>
    </row>
    <row r="28" spans="1:5">
      <c r="A28" s="8">
        <v>1009</v>
      </c>
      <c r="B28" s="76" t="s">
        <v>403</v>
      </c>
      <c r="C28" s="8">
        <v>32001</v>
      </c>
      <c r="D28" s="8">
        <f t="shared" si="0"/>
        <v>32001</v>
      </c>
      <c r="E28" s="8">
        <v>1</v>
      </c>
    </row>
    <row r="29" spans="1:5">
      <c r="A29" s="8">
        <v>1009</v>
      </c>
      <c r="B29" s="76" t="s">
        <v>403</v>
      </c>
      <c r="C29" s="8">
        <v>32001</v>
      </c>
      <c r="D29" s="8">
        <f t="shared" si="0"/>
        <v>32001</v>
      </c>
      <c r="E29" s="8">
        <v>1</v>
      </c>
    </row>
    <row r="30" spans="1:5">
      <c r="A30" s="8">
        <v>2001</v>
      </c>
      <c r="B30" s="74" t="s">
        <v>266</v>
      </c>
      <c r="C30" s="8">
        <v>8010</v>
      </c>
      <c r="D30" s="8">
        <f t="shared" si="0"/>
        <v>8010</v>
      </c>
      <c r="E30" s="8">
        <v>49858671</v>
      </c>
    </row>
    <row r="31" spans="1:5">
      <c r="A31" s="8">
        <v>2001</v>
      </c>
      <c r="B31" s="74" t="s">
        <v>267</v>
      </c>
      <c r="C31" s="8">
        <v>8020</v>
      </c>
      <c r="D31" s="8">
        <f t="shared" si="0"/>
        <v>8020</v>
      </c>
      <c r="E31" s="8">
        <v>2374216</v>
      </c>
    </row>
    <row r="32" spans="1:5">
      <c r="A32" s="8">
        <v>2001</v>
      </c>
      <c r="B32" s="74" t="s">
        <v>268</v>
      </c>
      <c r="C32" s="8">
        <v>8030</v>
      </c>
      <c r="D32" s="8">
        <f t="shared" si="0"/>
        <v>8030</v>
      </c>
      <c r="E32" s="8">
        <v>116628</v>
      </c>
    </row>
    <row r="33" spans="1:5">
      <c r="A33" s="8">
        <v>2001</v>
      </c>
      <c r="B33" s="74" t="s">
        <v>264</v>
      </c>
      <c r="C33" s="8">
        <v>8040</v>
      </c>
      <c r="D33" s="8">
        <f t="shared" si="0"/>
        <v>8040</v>
      </c>
      <c r="E33" s="8">
        <v>5908</v>
      </c>
    </row>
    <row r="34" spans="1:5">
      <c r="A34" s="8">
        <v>2001</v>
      </c>
      <c r="B34" s="74" t="s">
        <v>269</v>
      </c>
      <c r="C34" s="8">
        <v>8050</v>
      </c>
      <c r="D34" s="8">
        <f t="shared" si="0"/>
        <v>8050</v>
      </c>
      <c r="E34" s="8">
        <v>307</v>
      </c>
    </row>
    <row r="35" spans="1:5">
      <c r="A35" s="8">
        <v>2001</v>
      </c>
      <c r="B35" s="74" t="s">
        <v>265</v>
      </c>
      <c r="C35" s="8">
        <v>8060</v>
      </c>
      <c r="D35" s="8">
        <f t="shared" si="0"/>
        <v>8060</v>
      </c>
      <c r="E35" s="8">
        <v>17</v>
      </c>
    </row>
    <row r="36" spans="1:5">
      <c r="A36" s="8">
        <v>2001</v>
      </c>
      <c r="B36" s="74" t="s">
        <v>270</v>
      </c>
      <c r="C36" s="8">
        <v>10010</v>
      </c>
      <c r="D36" s="8">
        <f t="shared" si="0"/>
        <v>10010</v>
      </c>
      <c r="E36" s="8">
        <v>49858671</v>
      </c>
    </row>
    <row r="37" spans="1:5">
      <c r="A37" s="8">
        <v>2001</v>
      </c>
      <c r="B37" s="74" t="s">
        <v>271</v>
      </c>
      <c r="C37" s="8">
        <v>10020</v>
      </c>
      <c r="D37" s="8">
        <f t="shared" si="0"/>
        <v>10020</v>
      </c>
      <c r="E37" s="8">
        <v>2374216</v>
      </c>
    </row>
    <row r="38" spans="1:5">
      <c r="A38" s="8">
        <v>2001</v>
      </c>
      <c r="B38" s="74" t="s">
        <v>272</v>
      </c>
      <c r="C38" s="8">
        <v>10030</v>
      </c>
      <c r="D38" s="8">
        <f t="shared" si="0"/>
        <v>10030</v>
      </c>
      <c r="E38" s="8">
        <v>116628</v>
      </c>
    </row>
    <row r="39" spans="1:5">
      <c r="A39" s="8">
        <v>2001</v>
      </c>
      <c r="B39" s="74" t="s">
        <v>273</v>
      </c>
      <c r="C39" s="8">
        <v>10040</v>
      </c>
      <c r="D39" s="8">
        <f t="shared" si="0"/>
        <v>10040</v>
      </c>
      <c r="E39" s="8">
        <v>5908</v>
      </c>
    </row>
    <row r="40" spans="1:5">
      <c r="A40" s="8">
        <v>2001</v>
      </c>
      <c r="B40" s="74" t="s">
        <v>274</v>
      </c>
      <c r="C40" s="8">
        <v>10050</v>
      </c>
      <c r="D40" s="8">
        <f t="shared" si="0"/>
        <v>10050</v>
      </c>
      <c r="E40" s="8">
        <v>307</v>
      </c>
    </row>
    <row r="41" spans="1:5">
      <c r="A41" s="8">
        <v>2001</v>
      </c>
      <c r="B41" s="74" t="s">
        <v>275</v>
      </c>
      <c r="C41" s="8">
        <v>10060</v>
      </c>
      <c r="D41" s="8">
        <f t="shared" si="0"/>
        <v>10060</v>
      </c>
      <c r="E41" s="8">
        <v>17</v>
      </c>
    </row>
    <row r="42" spans="1:5">
      <c r="A42" s="8">
        <v>2003</v>
      </c>
      <c r="B42" s="73" t="s">
        <v>246</v>
      </c>
      <c r="C42" s="8">
        <v>2010</v>
      </c>
      <c r="D42" s="8">
        <f t="shared" si="0"/>
        <v>2010</v>
      </c>
      <c r="E42" s="8">
        <v>61821528</v>
      </c>
    </row>
    <row r="43" spans="1:5">
      <c r="A43" s="8">
        <v>2003</v>
      </c>
      <c r="B43" s="73" t="s">
        <v>247</v>
      </c>
      <c r="C43" s="8">
        <v>2020</v>
      </c>
      <c r="D43" s="8">
        <f t="shared" si="0"/>
        <v>2020</v>
      </c>
      <c r="E43" s="8">
        <v>2207897</v>
      </c>
    </row>
    <row r="44" spans="1:5">
      <c r="A44" s="8">
        <v>2003</v>
      </c>
      <c r="B44" s="73" t="s">
        <v>248</v>
      </c>
      <c r="C44" s="8">
        <v>2030</v>
      </c>
      <c r="D44" s="8">
        <f t="shared" si="0"/>
        <v>2030</v>
      </c>
      <c r="E44" s="8">
        <v>81339</v>
      </c>
    </row>
    <row r="45" spans="1:5">
      <c r="A45" s="8">
        <v>2003</v>
      </c>
      <c r="B45" s="73" t="s">
        <v>249</v>
      </c>
      <c r="C45" s="8">
        <v>2040</v>
      </c>
      <c r="D45" s="8">
        <f t="shared" si="0"/>
        <v>2040</v>
      </c>
      <c r="E45" s="8">
        <v>3091</v>
      </c>
    </row>
    <row r="46" spans="1:5">
      <c r="A46" s="8">
        <v>2003</v>
      </c>
      <c r="B46" s="73" t="s">
        <v>250</v>
      </c>
      <c r="C46" s="8">
        <v>2050</v>
      </c>
      <c r="D46" s="8">
        <f t="shared" si="0"/>
        <v>2050</v>
      </c>
      <c r="E46" s="8">
        <v>120</v>
      </c>
    </row>
    <row r="47" spans="1:5">
      <c r="A47" s="8">
        <v>2003</v>
      </c>
      <c r="B47" s="73" t="s">
        <v>251</v>
      </c>
      <c r="C47" s="8">
        <v>2060</v>
      </c>
      <c r="D47" s="8">
        <f t="shared" si="0"/>
        <v>2060</v>
      </c>
      <c r="E47" s="8">
        <v>5</v>
      </c>
    </row>
    <row r="48" spans="1:5">
      <c r="A48" s="8">
        <v>2004</v>
      </c>
      <c r="B48" s="73" t="s">
        <v>252</v>
      </c>
      <c r="C48" s="8">
        <v>4010</v>
      </c>
      <c r="D48" s="8">
        <f t="shared" si="0"/>
        <v>4010</v>
      </c>
      <c r="E48" s="8">
        <v>61821528</v>
      </c>
    </row>
    <row r="49" spans="1:5">
      <c r="A49" s="8">
        <v>2004</v>
      </c>
      <c r="B49" s="73" t="s">
        <v>253</v>
      </c>
      <c r="C49" s="8">
        <v>4020</v>
      </c>
      <c r="D49" s="8">
        <f t="shared" si="0"/>
        <v>4020</v>
      </c>
      <c r="E49" s="8">
        <v>2207897</v>
      </c>
    </row>
    <row r="50" spans="1:5">
      <c r="A50" s="8">
        <v>2004</v>
      </c>
      <c r="B50" s="73" t="s">
        <v>254</v>
      </c>
      <c r="C50" s="8">
        <v>4030</v>
      </c>
      <c r="D50" s="8">
        <f t="shared" si="0"/>
        <v>4030</v>
      </c>
      <c r="E50" s="8">
        <v>81339</v>
      </c>
    </row>
    <row r="51" spans="1:5">
      <c r="A51" s="8">
        <v>2004</v>
      </c>
      <c r="B51" s="73" t="s">
        <v>255</v>
      </c>
      <c r="C51" s="8">
        <v>4040</v>
      </c>
      <c r="D51" s="8">
        <f t="shared" si="0"/>
        <v>4040</v>
      </c>
      <c r="E51" s="8">
        <v>3091</v>
      </c>
    </row>
    <row r="52" spans="1:5">
      <c r="A52" s="8">
        <v>2004</v>
      </c>
      <c r="B52" s="73" t="s">
        <v>256</v>
      </c>
      <c r="C52" s="8">
        <v>4050</v>
      </c>
      <c r="D52" s="8">
        <f t="shared" si="0"/>
        <v>4050</v>
      </c>
      <c r="E52" s="8">
        <v>120</v>
      </c>
    </row>
    <row r="53" spans="1:5">
      <c r="A53" s="8">
        <v>2004</v>
      </c>
      <c r="B53" s="73" t="s">
        <v>257</v>
      </c>
      <c r="C53" s="8">
        <v>4060</v>
      </c>
      <c r="D53" s="8">
        <f t="shared" si="0"/>
        <v>4060</v>
      </c>
      <c r="E53" s="8">
        <v>5</v>
      </c>
    </row>
    <row r="54" spans="1:5">
      <c r="A54" s="8">
        <v>2005</v>
      </c>
      <c r="B54" s="73" t="s">
        <v>258</v>
      </c>
      <c r="C54" s="8">
        <v>6010</v>
      </c>
      <c r="D54" s="8">
        <f t="shared" si="0"/>
        <v>6010</v>
      </c>
      <c r="E54" s="8">
        <v>61821528</v>
      </c>
    </row>
    <row r="55" spans="1:5">
      <c r="A55" s="8">
        <v>2005</v>
      </c>
      <c r="B55" s="73" t="s">
        <v>259</v>
      </c>
      <c r="C55" s="8">
        <v>6020</v>
      </c>
      <c r="D55" s="8">
        <f t="shared" si="0"/>
        <v>6020</v>
      </c>
      <c r="E55" s="8">
        <v>2207897</v>
      </c>
    </row>
    <row r="56" spans="1:5">
      <c r="A56" s="8">
        <v>2005</v>
      </c>
      <c r="B56" s="73" t="s">
        <v>260</v>
      </c>
      <c r="C56" s="8">
        <v>6030</v>
      </c>
      <c r="D56" s="8">
        <f t="shared" si="0"/>
        <v>6030</v>
      </c>
      <c r="E56" s="8">
        <v>81339</v>
      </c>
    </row>
    <row r="57" spans="1:5">
      <c r="A57" s="8">
        <v>2005</v>
      </c>
      <c r="B57" s="73" t="s">
        <v>261</v>
      </c>
      <c r="C57" s="8">
        <v>6040</v>
      </c>
      <c r="D57" s="8">
        <f t="shared" si="0"/>
        <v>6040</v>
      </c>
      <c r="E57" s="8">
        <v>3091</v>
      </c>
    </row>
    <row r="58" spans="1:5">
      <c r="A58" s="8">
        <v>2005</v>
      </c>
      <c r="B58" s="73" t="s">
        <v>262</v>
      </c>
      <c r="C58" s="8">
        <v>6050</v>
      </c>
      <c r="D58" s="8">
        <f t="shared" si="0"/>
        <v>6050</v>
      </c>
      <c r="E58" s="8">
        <v>120</v>
      </c>
    </row>
    <row r="59" spans="1:5">
      <c r="A59" s="8">
        <v>2005</v>
      </c>
      <c r="B59" s="73" t="s">
        <v>263</v>
      </c>
      <c r="C59" s="8">
        <v>6060</v>
      </c>
      <c r="D59" s="8">
        <f t="shared" si="0"/>
        <v>6060</v>
      </c>
      <c r="E59" s="8">
        <v>5</v>
      </c>
    </row>
    <row r="60" spans="1:5">
      <c r="A60" s="8">
        <v>3001</v>
      </c>
      <c r="B60" s="74" t="s">
        <v>276</v>
      </c>
      <c r="C60" s="8">
        <v>8010</v>
      </c>
      <c r="D60" s="8">
        <f t="shared" ref="D60:D114" si="1">C60</f>
        <v>8010</v>
      </c>
      <c r="E60" s="8">
        <v>61821528</v>
      </c>
    </row>
    <row r="61" spans="1:5">
      <c r="A61" s="8">
        <v>3001</v>
      </c>
      <c r="B61" s="74" t="s">
        <v>277</v>
      </c>
      <c r="C61" s="8">
        <v>8020</v>
      </c>
      <c r="D61" s="8">
        <f t="shared" si="1"/>
        <v>8020</v>
      </c>
      <c r="E61" s="8">
        <v>2207897</v>
      </c>
    </row>
    <row r="62" spans="1:5">
      <c r="A62" s="8">
        <v>3001</v>
      </c>
      <c r="B62" s="74" t="s">
        <v>278</v>
      </c>
      <c r="C62" s="8">
        <v>8030</v>
      </c>
      <c r="D62" s="8">
        <f t="shared" si="1"/>
        <v>8030</v>
      </c>
      <c r="E62" s="8">
        <v>81339</v>
      </c>
    </row>
    <row r="63" spans="1:5">
      <c r="A63" s="8">
        <v>3001</v>
      </c>
      <c r="B63" s="74" t="s">
        <v>279</v>
      </c>
      <c r="C63" s="8">
        <v>8040</v>
      </c>
      <c r="D63" s="8">
        <f t="shared" si="1"/>
        <v>8040</v>
      </c>
      <c r="E63" s="8">
        <v>3091</v>
      </c>
    </row>
    <row r="64" spans="1:5">
      <c r="A64" s="8">
        <v>3001</v>
      </c>
      <c r="B64" s="74" t="s">
        <v>280</v>
      </c>
      <c r="C64" s="8">
        <v>8050</v>
      </c>
      <c r="D64" s="8">
        <f t="shared" si="1"/>
        <v>8050</v>
      </c>
      <c r="E64" s="8">
        <v>120</v>
      </c>
    </row>
    <row r="65" spans="1:5">
      <c r="A65" s="8">
        <v>3001</v>
      </c>
      <c r="B65" s="74" t="s">
        <v>281</v>
      </c>
      <c r="C65" s="8">
        <v>8060</v>
      </c>
      <c r="D65" s="8">
        <f t="shared" si="1"/>
        <v>8060</v>
      </c>
      <c r="E65" s="8">
        <v>5</v>
      </c>
    </row>
    <row r="66" spans="1:5">
      <c r="A66" s="8">
        <v>3001</v>
      </c>
      <c r="B66" s="74" t="s">
        <v>282</v>
      </c>
      <c r="C66" s="8">
        <v>10010</v>
      </c>
      <c r="D66" s="8">
        <f t="shared" si="1"/>
        <v>10010</v>
      </c>
      <c r="E66" s="8">
        <v>61821528</v>
      </c>
    </row>
    <row r="67" spans="1:5">
      <c r="A67" s="8">
        <v>3001</v>
      </c>
      <c r="B67" s="74" t="s">
        <v>283</v>
      </c>
      <c r="C67" s="8">
        <v>10020</v>
      </c>
      <c r="D67" s="8">
        <f t="shared" si="1"/>
        <v>10020</v>
      </c>
      <c r="E67" s="8">
        <v>2207897</v>
      </c>
    </row>
    <row r="68" spans="1:5">
      <c r="A68" s="8">
        <v>3001</v>
      </c>
      <c r="B68" s="74" t="s">
        <v>284</v>
      </c>
      <c r="C68" s="8">
        <v>10030</v>
      </c>
      <c r="D68" s="8">
        <f t="shared" si="1"/>
        <v>10030</v>
      </c>
      <c r="E68" s="8">
        <v>81339</v>
      </c>
    </row>
    <row r="69" spans="1:5">
      <c r="A69" s="8">
        <v>3001</v>
      </c>
      <c r="B69" s="74" t="s">
        <v>285</v>
      </c>
      <c r="C69" s="8">
        <v>10040</v>
      </c>
      <c r="D69" s="8">
        <f t="shared" si="1"/>
        <v>10040</v>
      </c>
      <c r="E69" s="8">
        <v>3091</v>
      </c>
    </row>
    <row r="70" spans="1:5">
      <c r="A70" s="8">
        <v>3001</v>
      </c>
      <c r="B70" s="74" t="s">
        <v>286</v>
      </c>
      <c r="C70" s="8">
        <v>10050</v>
      </c>
      <c r="D70" s="8">
        <f t="shared" si="1"/>
        <v>10050</v>
      </c>
      <c r="E70" s="8">
        <v>120</v>
      </c>
    </row>
    <row r="71" spans="1:5">
      <c r="A71" s="8">
        <v>3001</v>
      </c>
      <c r="B71" s="74" t="s">
        <v>287</v>
      </c>
      <c r="C71" s="8">
        <v>10060</v>
      </c>
      <c r="D71" s="8">
        <f t="shared" si="1"/>
        <v>10060</v>
      </c>
      <c r="E71" s="8">
        <v>5</v>
      </c>
    </row>
    <row r="72" spans="1:5">
      <c r="A72" s="8">
        <v>3003</v>
      </c>
      <c r="B72" s="73" t="s">
        <v>288</v>
      </c>
      <c r="C72" s="8">
        <v>2010</v>
      </c>
      <c r="D72" s="8">
        <f t="shared" si="1"/>
        <v>2010</v>
      </c>
      <c r="E72" s="8">
        <v>61821528</v>
      </c>
    </row>
    <row r="73" spans="1:5">
      <c r="A73" s="8">
        <v>3003</v>
      </c>
      <c r="B73" s="73" t="s">
        <v>289</v>
      </c>
      <c r="C73" s="8">
        <v>2020</v>
      </c>
      <c r="D73" s="8">
        <f t="shared" si="1"/>
        <v>2020</v>
      </c>
      <c r="E73" s="8">
        <v>2207897</v>
      </c>
    </row>
    <row r="74" spans="1:5">
      <c r="A74" s="8">
        <v>3003</v>
      </c>
      <c r="B74" s="73" t="s">
        <v>290</v>
      </c>
      <c r="C74" s="8">
        <v>2030</v>
      </c>
      <c r="D74" s="8">
        <f t="shared" si="1"/>
        <v>2030</v>
      </c>
      <c r="E74" s="8">
        <v>81339</v>
      </c>
    </row>
    <row r="75" spans="1:5">
      <c r="A75" s="8">
        <v>3003</v>
      </c>
      <c r="B75" s="73" t="s">
        <v>291</v>
      </c>
      <c r="C75" s="8">
        <v>2040</v>
      </c>
      <c r="D75" s="8">
        <f t="shared" si="1"/>
        <v>2040</v>
      </c>
      <c r="E75" s="8">
        <v>3091</v>
      </c>
    </row>
    <row r="76" spans="1:5">
      <c r="A76" s="8">
        <v>3003</v>
      </c>
      <c r="B76" s="73" t="s">
        <v>292</v>
      </c>
      <c r="C76" s="8">
        <v>2050</v>
      </c>
      <c r="D76" s="8">
        <f t="shared" si="1"/>
        <v>2050</v>
      </c>
      <c r="E76" s="8">
        <v>120</v>
      </c>
    </row>
    <row r="77" spans="1:5">
      <c r="A77" s="8">
        <v>3003</v>
      </c>
      <c r="B77" s="73" t="s">
        <v>293</v>
      </c>
      <c r="C77" s="8">
        <v>2060</v>
      </c>
      <c r="D77" s="8">
        <f t="shared" si="1"/>
        <v>2060</v>
      </c>
      <c r="E77" s="8">
        <v>5</v>
      </c>
    </row>
    <row r="78" spans="1:5">
      <c r="A78" s="8">
        <v>3004</v>
      </c>
      <c r="B78" s="73" t="s">
        <v>294</v>
      </c>
      <c r="C78" s="8">
        <v>4010</v>
      </c>
      <c r="D78" s="8">
        <f t="shared" si="1"/>
        <v>4010</v>
      </c>
      <c r="E78" s="8">
        <v>61821528</v>
      </c>
    </row>
    <row r="79" spans="1:5">
      <c r="A79" s="8">
        <v>3004</v>
      </c>
      <c r="B79" s="73" t="s">
        <v>295</v>
      </c>
      <c r="C79" s="8">
        <v>4020</v>
      </c>
      <c r="D79" s="8">
        <f t="shared" si="1"/>
        <v>4020</v>
      </c>
      <c r="E79" s="8">
        <v>2207897</v>
      </c>
    </row>
    <row r="80" spans="1:5">
      <c r="A80" s="8">
        <v>3004</v>
      </c>
      <c r="B80" s="73" t="s">
        <v>296</v>
      </c>
      <c r="C80" s="8">
        <v>4030</v>
      </c>
      <c r="D80" s="8">
        <f t="shared" si="1"/>
        <v>4030</v>
      </c>
      <c r="E80" s="8">
        <v>81339</v>
      </c>
    </row>
    <row r="81" spans="1:5">
      <c r="A81" s="8">
        <v>3004</v>
      </c>
      <c r="B81" s="73" t="s">
        <v>297</v>
      </c>
      <c r="C81" s="8">
        <v>4040</v>
      </c>
      <c r="D81" s="8">
        <f t="shared" si="1"/>
        <v>4040</v>
      </c>
      <c r="E81" s="8">
        <v>3091</v>
      </c>
    </row>
    <row r="82" spans="1:5">
      <c r="A82" s="8">
        <v>3004</v>
      </c>
      <c r="B82" s="73" t="s">
        <v>298</v>
      </c>
      <c r="C82" s="8">
        <v>4050</v>
      </c>
      <c r="D82" s="8">
        <f t="shared" si="1"/>
        <v>4050</v>
      </c>
      <c r="E82" s="8">
        <v>120</v>
      </c>
    </row>
    <row r="83" spans="1:5">
      <c r="A83" s="8">
        <v>3004</v>
      </c>
      <c r="B83" s="73" t="s">
        <v>299</v>
      </c>
      <c r="C83" s="8">
        <v>4060</v>
      </c>
      <c r="D83" s="8">
        <f t="shared" si="1"/>
        <v>4060</v>
      </c>
      <c r="E83" s="8">
        <v>5</v>
      </c>
    </row>
    <row r="84" spans="1:5">
      <c r="A84" s="8">
        <v>3005</v>
      </c>
      <c r="B84" s="73" t="s">
        <v>300</v>
      </c>
      <c r="C84" s="8">
        <v>6010</v>
      </c>
      <c r="D84" s="8">
        <f t="shared" si="1"/>
        <v>6010</v>
      </c>
      <c r="E84" s="8">
        <v>61821528</v>
      </c>
    </row>
    <row r="85" spans="1:5">
      <c r="A85" s="8">
        <v>3005</v>
      </c>
      <c r="B85" s="73" t="s">
        <v>301</v>
      </c>
      <c r="C85" s="8">
        <v>6020</v>
      </c>
      <c r="D85" s="8">
        <f t="shared" si="1"/>
        <v>6020</v>
      </c>
      <c r="E85" s="8">
        <v>2207897</v>
      </c>
    </row>
    <row r="86" spans="1:5">
      <c r="A86" s="8">
        <v>3005</v>
      </c>
      <c r="B86" s="73" t="s">
        <v>302</v>
      </c>
      <c r="C86" s="8">
        <v>6030</v>
      </c>
      <c r="D86" s="8">
        <f t="shared" si="1"/>
        <v>6030</v>
      </c>
      <c r="E86" s="8">
        <v>81339</v>
      </c>
    </row>
    <row r="87" spans="1:5">
      <c r="A87" s="8">
        <v>3005</v>
      </c>
      <c r="B87" s="73" t="s">
        <v>303</v>
      </c>
      <c r="C87" s="8">
        <v>6040</v>
      </c>
      <c r="D87" s="8">
        <f t="shared" si="1"/>
        <v>6040</v>
      </c>
      <c r="E87" s="8">
        <v>3091</v>
      </c>
    </row>
    <row r="88" spans="1:5">
      <c r="A88" s="8">
        <v>3005</v>
      </c>
      <c r="B88" s="73" t="s">
        <v>304</v>
      </c>
      <c r="C88" s="8">
        <v>6050</v>
      </c>
      <c r="D88" s="8">
        <f t="shared" si="1"/>
        <v>6050</v>
      </c>
      <c r="E88" s="8">
        <v>120</v>
      </c>
    </row>
    <row r="89" spans="1:5">
      <c r="A89" s="8">
        <v>3005</v>
      </c>
      <c r="B89" s="73" t="s">
        <v>305</v>
      </c>
      <c r="C89" s="8">
        <v>6060</v>
      </c>
      <c r="D89" s="8">
        <f t="shared" si="1"/>
        <v>6060</v>
      </c>
      <c r="E89" s="8">
        <v>5</v>
      </c>
    </row>
    <row r="90" spans="1:5">
      <c r="A90" s="8">
        <v>4001</v>
      </c>
      <c r="B90" s="73" t="s">
        <v>306</v>
      </c>
      <c r="C90" s="8">
        <v>8010</v>
      </c>
      <c r="D90" s="8">
        <f t="shared" si="1"/>
        <v>8010</v>
      </c>
      <c r="E90" s="8">
        <v>115972192</v>
      </c>
    </row>
    <row r="91" spans="1:5">
      <c r="A91" s="8">
        <v>4001</v>
      </c>
      <c r="B91" s="73" t="s">
        <v>307</v>
      </c>
      <c r="C91" s="8">
        <v>8020</v>
      </c>
      <c r="D91" s="8">
        <f t="shared" si="1"/>
        <v>8020</v>
      </c>
      <c r="E91" s="8">
        <v>2761186</v>
      </c>
    </row>
    <row r="92" spans="1:5">
      <c r="A92" s="8">
        <v>4001</v>
      </c>
      <c r="B92" s="73" t="s">
        <v>308</v>
      </c>
      <c r="C92" s="8">
        <v>8030</v>
      </c>
      <c r="D92" s="8">
        <f t="shared" si="1"/>
        <v>8030</v>
      </c>
      <c r="E92" s="8">
        <v>67819</v>
      </c>
    </row>
    <row r="93" spans="1:5">
      <c r="A93" s="8">
        <v>4001</v>
      </c>
      <c r="B93" s="73" t="s">
        <v>309</v>
      </c>
      <c r="C93" s="8">
        <v>8040</v>
      </c>
      <c r="D93" s="8">
        <f t="shared" si="1"/>
        <v>8040</v>
      </c>
      <c r="E93" s="8">
        <v>1719</v>
      </c>
    </row>
    <row r="94" spans="1:5">
      <c r="A94" s="8">
        <v>4001</v>
      </c>
      <c r="B94" s="73" t="s">
        <v>310</v>
      </c>
      <c r="C94" s="8">
        <v>8050</v>
      </c>
      <c r="D94" s="8">
        <f t="shared" si="1"/>
        <v>8050</v>
      </c>
      <c r="E94" s="8">
        <v>45</v>
      </c>
    </row>
    <row r="95" spans="1:5">
      <c r="A95" s="8">
        <v>4001</v>
      </c>
      <c r="B95" s="73" t="s">
        <v>311</v>
      </c>
      <c r="C95" s="8">
        <v>10010</v>
      </c>
      <c r="D95" s="8">
        <f t="shared" si="1"/>
        <v>10010</v>
      </c>
      <c r="E95" s="8">
        <v>115972192</v>
      </c>
    </row>
    <row r="96" spans="1:5">
      <c r="A96" s="8">
        <v>4001</v>
      </c>
      <c r="B96" s="73" t="s">
        <v>312</v>
      </c>
      <c r="C96" s="8">
        <v>10020</v>
      </c>
      <c r="D96" s="8">
        <f t="shared" si="1"/>
        <v>10020</v>
      </c>
      <c r="E96" s="8">
        <v>2761186</v>
      </c>
    </row>
    <row r="97" spans="1:5">
      <c r="A97" s="8">
        <v>4001</v>
      </c>
      <c r="B97" s="8" t="s">
        <v>313</v>
      </c>
      <c r="C97" s="8">
        <v>10030</v>
      </c>
      <c r="D97" s="8">
        <f t="shared" si="1"/>
        <v>10030</v>
      </c>
      <c r="E97" s="8">
        <v>67819</v>
      </c>
    </row>
    <row r="98" spans="1:5">
      <c r="A98" s="8">
        <v>4001</v>
      </c>
      <c r="B98" s="8" t="s">
        <v>314</v>
      </c>
      <c r="C98" s="8">
        <v>10040</v>
      </c>
      <c r="D98" s="8">
        <f t="shared" si="1"/>
        <v>10040</v>
      </c>
      <c r="E98" s="8">
        <v>1719</v>
      </c>
    </row>
    <row r="99" spans="1:5">
      <c r="A99" s="8">
        <v>4001</v>
      </c>
      <c r="B99" s="8" t="s">
        <v>315</v>
      </c>
      <c r="C99" s="8">
        <v>10050</v>
      </c>
      <c r="D99" s="8">
        <f t="shared" si="1"/>
        <v>10050</v>
      </c>
      <c r="E99" s="8">
        <v>45</v>
      </c>
    </row>
    <row r="100" spans="1:5">
      <c r="A100" s="8">
        <v>4003</v>
      </c>
      <c r="B100" s="8" t="s">
        <v>316</v>
      </c>
      <c r="C100" s="8">
        <v>2010</v>
      </c>
      <c r="D100" s="8">
        <f t="shared" si="1"/>
        <v>2010</v>
      </c>
      <c r="E100" s="8">
        <v>61821528</v>
      </c>
    </row>
    <row r="101" spans="1:5">
      <c r="A101" s="8">
        <v>4003</v>
      </c>
      <c r="B101" s="8" t="s">
        <v>317</v>
      </c>
      <c r="C101" s="8">
        <v>2020</v>
      </c>
      <c r="D101" s="8">
        <f t="shared" si="1"/>
        <v>2020</v>
      </c>
      <c r="E101" s="8">
        <v>2207897</v>
      </c>
    </row>
    <row r="102" spans="1:5">
      <c r="A102" s="8">
        <v>4003</v>
      </c>
      <c r="B102" s="8" t="s">
        <v>318</v>
      </c>
      <c r="C102" s="8">
        <v>2030</v>
      </c>
      <c r="D102" s="8">
        <f t="shared" si="1"/>
        <v>2030</v>
      </c>
      <c r="E102" s="8">
        <v>81339</v>
      </c>
    </row>
    <row r="103" spans="1:5">
      <c r="A103" s="8">
        <v>4003</v>
      </c>
      <c r="B103" s="8" t="s">
        <v>319</v>
      </c>
      <c r="C103" s="8">
        <v>2040</v>
      </c>
      <c r="D103" s="8">
        <f t="shared" si="1"/>
        <v>2040</v>
      </c>
      <c r="E103" s="8">
        <v>3091</v>
      </c>
    </row>
    <row r="104" spans="1:5">
      <c r="A104" s="8">
        <v>4003</v>
      </c>
      <c r="B104" s="8" t="s">
        <v>320</v>
      </c>
      <c r="C104" s="8">
        <v>2050</v>
      </c>
      <c r="D104" s="8">
        <f t="shared" si="1"/>
        <v>2050</v>
      </c>
      <c r="E104" s="8">
        <v>120</v>
      </c>
    </row>
    <row r="105" spans="1:5">
      <c r="A105" s="8">
        <v>4003</v>
      </c>
      <c r="B105" s="8" t="s">
        <v>321</v>
      </c>
      <c r="C105" s="8">
        <v>2060</v>
      </c>
      <c r="D105" s="8">
        <f t="shared" si="1"/>
        <v>2060</v>
      </c>
      <c r="E105" s="8">
        <v>5</v>
      </c>
    </row>
    <row r="106" spans="1:5">
      <c r="A106" s="8">
        <v>4004</v>
      </c>
      <c r="B106" s="8" t="s">
        <v>322</v>
      </c>
      <c r="C106" s="8">
        <v>4010</v>
      </c>
      <c r="D106" s="8">
        <f t="shared" si="1"/>
        <v>4010</v>
      </c>
      <c r="E106" s="8">
        <v>61821528</v>
      </c>
    </row>
    <row r="107" spans="1:5">
      <c r="A107" s="8">
        <v>4004</v>
      </c>
      <c r="B107" s="8" t="s">
        <v>323</v>
      </c>
      <c r="C107" s="8">
        <v>4020</v>
      </c>
      <c r="D107" s="8">
        <f t="shared" si="1"/>
        <v>4020</v>
      </c>
      <c r="E107" s="8">
        <v>2207897</v>
      </c>
    </row>
    <row r="108" spans="1:5">
      <c r="A108" s="8">
        <v>4004</v>
      </c>
      <c r="B108" s="8" t="s">
        <v>324</v>
      </c>
      <c r="C108" s="8">
        <v>4030</v>
      </c>
      <c r="D108" s="8">
        <f t="shared" si="1"/>
        <v>4030</v>
      </c>
      <c r="E108" s="8">
        <v>81339</v>
      </c>
    </row>
    <row r="109" spans="1:5">
      <c r="A109" s="8">
        <v>4004</v>
      </c>
      <c r="B109" s="8" t="s">
        <v>325</v>
      </c>
      <c r="C109" s="8">
        <v>4040</v>
      </c>
      <c r="D109" s="8">
        <f t="shared" si="1"/>
        <v>4040</v>
      </c>
      <c r="E109" s="8">
        <v>3091</v>
      </c>
    </row>
    <row r="110" spans="1:5">
      <c r="A110" s="8">
        <v>4004</v>
      </c>
      <c r="B110" s="8" t="s">
        <v>326</v>
      </c>
      <c r="C110" s="8">
        <v>4050</v>
      </c>
      <c r="D110" s="8">
        <f t="shared" si="1"/>
        <v>4050</v>
      </c>
      <c r="E110" s="8">
        <v>120</v>
      </c>
    </row>
    <row r="111" spans="1:5">
      <c r="A111" s="8">
        <v>4004</v>
      </c>
      <c r="B111" s="8" t="s">
        <v>327</v>
      </c>
      <c r="C111" s="8">
        <v>4060</v>
      </c>
      <c r="D111" s="8">
        <f t="shared" si="1"/>
        <v>4060</v>
      </c>
      <c r="E111" s="8">
        <v>5</v>
      </c>
    </row>
    <row r="112" spans="1:5">
      <c r="A112" s="8">
        <v>4005</v>
      </c>
      <c r="B112" s="8" t="s">
        <v>328</v>
      </c>
      <c r="C112" s="8">
        <v>6010</v>
      </c>
      <c r="D112" s="8">
        <f t="shared" si="1"/>
        <v>6010</v>
      </c>
      <c r="E112" s="8">
        <v>61821528</v>
      </c>
    </row>
    <row r="113" spans="1:5">
      <c r="A113" s="8">
        <v>4005</v>
      </c>
      <c r="B113" s="8" t="s">
        <v>329</v>
      </c>
      <c r="C113" s="8">
        <v>6020</v>
      </c>
      <c r="D113" s="8">
        <f t="shared" si="1"/>
        <v>6020</v>
      </c>
      <c r="E113" s="8">
        <v>2207897</v>
      </c>
    </row>
    <row r="114" spans="1:5">
      <c r="A114" s="8">
        <v>4005</v>
      </c>
      <c r="B114" s="8" t="s">
        <v>330</v>
      </c>
      <c r="C114" s="8">
        <v>6030</v>
      </c>
      <c r="D114" s="8">
        <f t="shared" si="1"/>
        <v>6030</v>
      </c>
      <c r="E114" s="8">
        <v>81339</v>
      </c>
    </row>
    <row r="115" spans="1:5">
      <c r="A115" s="8">
        <v>4005</v>
      </c>
      <c r="B115" s="8" t="s">
        <v>331</v>
      </c>
      <c r="C115" s="8">
        <v>6040</v>
      </c>
      <c r="D115" s="8">
        <f t="shared" ref="D115:D164" si="2">C115</f>
        <v>6040</v>
      </c>
      <c r="E115" s="8">
        <v>3091</v>
      </c>
    </row>
    <row r="116" spans="1:5">
      <c r="A116" s="8">
        <v>4005</v>
      </c>
      <c r="B116" s="8" t="s">
        <v>332</v>
      </c>
      <c r="C116" s="8">
        <v>6050</v>
      </c>
      <c r="D116" s="8">
        <f t="shared" si="2"/>
        <v>6050</v>
      </c>
      <c r="E116" s="8">
        <v>120</v>
      </c>
    </row>
    <row r="117" spans="1:5">
      <c r="A117" s="8">
        <v>4005</v>
      </c>
      <c r="B117" s="8" t="s">
        <v>333</v>
      </c>
      <c r="C117" s="8">
        <v>6060</v>
      </c>
      <c r="D117" s="8">
        <f t="shared" si="2"/>
        <v>6060</v>
      </c>
      <c r="E117" s="8">
        <v>5</v>
      </c>
    </row>
    <row r="118" spans="1:5">
      <c r="A118" s="8">
        <v>4006</v>
      </c>
      <c r="B118" s="8" t="s">
        <v>382</v>
      </c>
      <c r="C118" s="8">
        <v>32040</v>
      </c>
      <c r="D118" s="8">
        <f t="shared" si="2"/>
        <v>32040</v>
      </c>
      <c r="E118" s="8">
        <v>61821528</v>
      </c>
    </row>
    <row r="119" spans="1:5">
      <c r="A119" s="8">
        <v>4006</v>
      </c>
      <c r="B119" s="8" t="s">
        <v>383</v>
      </c>
      <c r="C119" s="8">
        <v>32080</v>
      </c>
      <c r="D119" s="8">
        <f t="shared" si="2"/>
        <v>32080</v>
      </c>
      <c r="E119" s="8">
        <v>1545528</v>
      </c>
    </row>
    <row r="120" spans="1:5">
      <c r="A120" s="8">
        <v>4006</v>
      </c>
      <c r="B120" s="8" t="s">
        <v>384</v>
      </c>
      <c r="C120" s="8">
        <v>32120</v>
      </c>
      <c r="D120" s="8">
        <f t="shared" si="2"/>
        <v>32120</v>
      </c>
      <c r="E120" s="8">
        <v>46832</v>
      </c>
    </row>
    <row r="121" spans="1:5">
      <c r="A121" s="8">
        <v>4006</v>
      </c>
      <c r="B121" s="8" t="s">
        <v>385</v>
      </c>
      <c r="C121" s="8">
        <v>32120</v>
      </c>
      <c r="D121" s="8">
        <f t="shared" ref="D121:D122" si="3">C121</f>
        <v>32120</v>
      </c>
      <c r="E121" s="8">
        <v>1545</v>
      </c>
    </row>
    <row r="122" spans="1:5">
      <c r="A122" s="8">
        <v>4006</v>
      </c>
      <c r="B122" s="8" t="s">
        <v>386</v>
      </c>
      <c r="C122" s="8">
        <v>32120</v>
      </c>
      <c r="D122" s="8">
        <f t="shared" si="3"/>
        <v>32120</v>
      </c>
      <c r="E122" s="8">
        <v>55</v>
      </c>
    </row>
    <row r="123" spans="1:5">
      <c r="A123" s="8">
        <v>4006</v>
      </c>
      <c r="B123" s="75" t="s">
        <v>388</v>
      </c>
      <c r="C123" s="8">
        <v>23030</v>
      </c>
      <c r="D123" s="8">
        <f t="shared" si="2"/>
        <v>23030</v>
      </c>
      <c r="E123" s="8">
        <v>61821528</v>
      </c>
    </row>
    <row r="124" spans="1:5">
      <c r="A124" s="8">
        <v>4006</v>
      </c>
      <c r="B124" s="75" t="s">
        <v>389</v>
      </c>
      <c r="C124" s="8">
        <v>23030</v>
      </c>
      <c r="D124" s="8">
        <f t="shared" ref="D124:D127" si="4">C124</f>
        <v>23030</v>
      </c>
      <c r="E124" s="8">
        <v>1545528</v>
      </c>
    </row>
    <row r="125" spans="1:5">
      <c r="A125" s="8">
        <v>4006</v>
      </c>
      <c r="B125" s="75" t="s">
        <v>390</v>
      </c>
      <c r="C125" s="8">
        <v>23030</v>
      </c>
      <c r="D125" s="8">
        <f t="shared" si="4"/>
        <v>23030</v>
      </c>
      <c r="E125" s="8">
        <v>46832</v>
      </c>
    </row>
    <row r="126" spans="1:5">
      <c r="A126" s="8">
        <v>4006</v>
      </c>
      <c r="B126" s="75" t="s">
        <v>391</v>
      </c>
      <c r="C126" s="8">
        <v>23030</v>
      </c>
      <c r="D126" s="8">
        <f t="shared" si="4"/>
        <v>23030</v>
      </c>
      <c r="E126" s="8">
        <v>1545</v>
      </c>
    </row>
    <row r="127" spans="1:5">
      <c r="A127" s="8">
        <v>4006</v>
      </c>
      <c r="B127" s="75" t="s">
        <v>392</v>
      </c>
      <c r="C127" s="8">
        <v>23030</v>
      </c>
      <c r="D127" s="8">
        <f t="shared" si="4"/>
        <v>23030</v>
      </c>
      <c r="E127" s="8">
        <v>55</v>
      </c>
    </row>
    <row r="128" spans="1:5">
      <c r="A128" s="8">
        <v>4007</v>
      </c>
      <c r="B128" s="8" t="s">
        <v>382</v>
      </c>
      <c r="C128" s="8">
        <v>32040</v>
      </c>
      <c r="D128" s="8">
        <f t="shared" si="2"/>
        <v>32040</v>
      </c>
      <c r="E128" s="8">
        <v>61821528</v>
      </c>
    </row>
    <row r="129" spans="1:5">
      <c r="A129" s="8">
        <v>4007</v>
      </c>
      <c r="B129" s="8" t="s">
        <v>383</v>
      </c>
      <c r="C129" s="8">
        <v>32080</v>
      </c>
      <c r="D129" s="8">
        <f t="shared" si="2"/>
        <v>32080</v>
      </c>
      <c r="E129" s="8">
        <v>1545528</v>
      </c>
    </row>
    <row r="130" spans="1:5">
      <c r="A130" s="8">
        <v>4007</v>
      </c>
      <c r="B130" s="8" t="s">
        <v>384</v>
      </c>
      <c r="C130" s="8">
        <v>32080</v>
      </c>
      <c r="D130" s="8">
        <f t="shared" ref="D130:D132" si="5">C130</f>
        <v>32080</v>
      </c>
      <c r="E130" s="8">
        <v>46832</v>
      </c>
    </row>
    <row r="131" spans="1:5">
      <c r="A131" s="8">
        <v>4007</v>
      </c>
      <c r="B131" s="8" t="s">
        <v>385</v>
      </c>
      <c r="C131" s="8">
        <v>32080</v>
      </c>
      <c r="D131" s="8">
        <f t="shared" si="5"/>
        <v>32080</v>
      </c>
      <c r="E131" s="8">
        <v>1545</v>
      </c>
    </row>
    <row r="132" spans="1:5">
      <c r="A132" s="8">
        <v>4007</v>
      </c>
      <c r="B132" s="8" t="s">
        <v>386</v>
      </c>
      <c r="C132" s="8">
        <v>32080</v>
      </c>
      <c r="D132" s="8">
        <f t="shared" si="5"/>
        <v>32080</v>
      </c>
      <c r="E132" s="8">
        <v>55</v>
      </c>
    </row>
    <row r="133" spans="1:5">
      <c r="A133" s="8">
        <v>5003</v>
      </c>
      <c r="B133" s="8" t="s">
        <v>334</v>
      </c>
      <c r="C133" s="8">
        <v>2010</v>
      </c>
      <c r="D133" s="8">
        <f t="shared" si="2"/>
        <v>2010</v>
      </c>
      <c r="E133" s="8">
        <v>61821528</v>
      </c>
    </row>
    <row r="134" spans="1:5">
      <c r="A134" s="8">
        <v>5003</v>
      </c>
      <c r="B134" s="8" t="s">
        <v>335</v>
      </c>
      <c r="C134" s="8">
        <v>2020</v>
      </c>
      <c r="D134" s="8">
        <f t="shared" si="2"/>
        <v>2020</v>
      </c>
      <c r="E134" s="8">
        <v>2207897</v>
      </c>
    </row>
    <row r="135" spans="1:5">
      <c r="A135" s="8">
        <v>5003</v>
      </c>
      <c r="B135" s="8" t="s">
        <v>336</v>
      </c>
      <c r="C135" s="8">
        <v>2030</v>
      </c>
      <c r="D135" s="8">
        <f t="shared" si="2"/>
        <v>2030</v>
      </c>
      <c r="E135" s="8">
        <v>81339</v>
      </c>
    </row>
    <row r="136" spans="1:5">
      <c r="A136" s="8">
        <v>5003</v>
      </c>
      <c r="B136" s="8" t="s">
        <v>337</v>
      </c>
      <c r="C136" s="8">
        <v>2040</v>
      </c>
      <c r="D136" s="8">
        <f t="shared" si="2"/>
        <v>2040</v>
      </c>
      <c r="E136" s="8">
        <v>3091</v>
      </c>
    </row>
    <row r="137" spans="1:5">
      <c r="A137" s="8">
        <v>5003</v>
      </c>
      <c r="B137" s="8" t="s">
        <v>338</v>
      </c>
      <c r="C137" s="8">
        <v>2050</v>
      </c>
      <c r="D137" s="8">
        <f t="shared" si="2"/>
        <v>2050</v>
      </c>
      <c r="E137" s="8">
        <v>120</v>
      </c>
    </row>
    <row r="138" spans="1:5">
      <c r="A138" s="8">
        <v>5003</v>
      </c>
      <c r="B138" s="8" t="s">
        <v>339</v>
      </c>
      <c r="C138" s="8">
        <v>2060</v>
      </c>
      <c r="D138" s="8">
        <f t="shared" si="2"/>
        <v>2060</v>
      </c>
      <c r="E138" s="8">
        <v>5</v>
      </c>
    </row>
    <row r="139" spans="1:5">
      <c r="A139" s="8">
        <v>5004</v>
      </c>
      <c r="B139" s="8" t="s">
        <v>340</v>
      </c>
      <c r="C139" s="8">
        <v>4010</v>
      </c>
      <c r="D139" s="8">
        <f t="shared" si="2"/>
        <v>4010</v>
      </c>
      <c r="E139" s="8">
        <v>61821528</v>
      </c>
    </row>
    <row r="140" spans="1:5">
      <c r="A140" s="8">
        <v>5004</v>
      </c>
      <c r="B140" s="8" t="s">
        <v>341</v>
      </c>
      <c r="C140" s="8">
        <v>4020</v>
      </c>
      <c r="D140" s="8">
        <f t="shared" si="2"/>
        <v>4020</v>
      </c>
      <c r="E140" s="8">
        <v>2207897</v>
      </c>
    </row>
    <row r="141" spans="1:5">
      <c r="A141" s="8">
        <v>5004</v>
      </c>
      <c r="B141" s="8" t="s">
        <v>342</v>
      </c>
      <c r="C141" s="8">
        <v>4030</v>
      </c>
      <c r="D141" s="8">
        <f t="shared" si="2"/>
        <v>4030</v>
      </c>
      <c r="E141" s="8">
        <v>81339</v>
      </c>
    </row>
    <row r="142" spans="1:5">
      <c r="A142" s="8">
        <v>5004</v>
      </c>
      <c r="B142" s="8" t="s">
        <v>343</v>
      </c>
      <c r="C142" s="8">
        <v>4040</v>
      </c>
      <c r="D142" s="8">
        <f t="shared" si="2"/>
        <v>4040</v>
      </c>
      <c r="E142" s="8">
        <v>3091</v>
      </c>
    </row>
    <row r="143" spans="1:5">
      <c r="A143" s="8">
        <v>5004</v>
      </c>
      <c r="B143" s="8" t="s">
        <v>344</v>
      </c>
      <c r="C143" s="8">
        <v>4050</v>
      </c>
      <c r="D143" s="8">
        <f t="shared" si="2"/>
        <v>4050</v>
      </c>
      <c r="E143" s="8">
        <v>120</v>
      </c>
    </row>
    <row r="144" spans="1:5">
      <c r="A144" s="8">
        <v>5004</v>
      </c>
      <c r="B144" s="8" t="s">
        <v>345</v>
      </c>
      <c r="C144" s="8">
        <v>4060</v>
      </c>
      <c r="D144" s="8">
        <f t="shared" si="2"/>
        <v>4060</v>
      </c>
      <c r="E144" s="8">
        <v>5</v>
      </c>
    </row>
    <row r="145" spans="1:5">
      <c r="A145" s="8">
        <v>5005</v>
      </c>
      <c r="B145" s="8" t="s">
        <v>346</v>
      </c>
      <c r="C145" s="8">
        <v>6010</v>
      </c>
      <c r="D145" s="8">
        <f t="shared" si="2"/>
        <v>6010</v>
      </c>
      <c r="E145" s="8">
        <v>61821528</v>
      </c>
    </row>
    <row r="146" spans="1:5">
      <c r="A146" s="8">
        <v>5005</v>
      </c>
      <c r="B146" s="8" t="s">
        <v>347</v>
      </c>
      <c r="C146" s="8">
        <v>6020</v>
      </c>
      <c r="D146" s="8">
        <f t="shared" si="2"/>
        <v>6020</v>
      </c>
      <c r="E146" s="8">
        <v>2207897</v>
      </c>
    </row>
    <row r="147" spans="1:5">
      <c r="A147" s="8">
        <v>5005</v>
      </c>
      <c r="B147" s="8" t="s">
        <v>348</v>
      </c>
      <c r="C147" s="8">
        <v>6030</v>
      </c>
      <c r="D147" s="8">
        <f t="shared" si="2"/>
        <v>6030</v>
      </c>
      <c r="E147" s="8">
        <v>81339</v>
      </c>
    </row>
    <row r="148" spans="1:5">
      <c r="A148" s="8">
        <v>5005</v>
      </c>
      <c r="B148" s="8" t="s">
        <v>349</v>
      </c>
      <c r="C148" s="8">
        <v>6040</v>
      </c>
      <c r="D148" s="8">
        <f t="shared" si="2"/>
        <v>6040</v>
      </c>
      <c r="E148" s="8">
        <v>3091</v>
      </c>
    </row>
    <row r="149" spans="1:5">
      <c r="A149" s="8">
        <v>5005</v>
      </c>
      <c r="B149" s="8" t="s">
        <v>350</v>
      </c>
      <c r="C149" s="8">
        <v>6050</v>
      </c>
      <c r="D149" s="8">
        <f t="shared" si="2"/>
        <v>6050</v>
      </c>
      <c r="E149" s="8">
        <v>120</v>
      </c>
    </row>
    <row r="150" spans="1:5">
      <c r="A150" s="8">
        <v>5005</v>
      </c>
      <c r="B150" s="8" t="s">
        <v>351</v>
      </c>
      <c r="C150" s="8">
        <v>6060</v>
      </c>
      <c r="D150" s="8">
        <f t="shared" si="2"/>
        <v>6060</v>
      </c>
      <c r="E150" s="8">
        <v>5</v>
      </c>
    </row>
    <row r="151" spans="1:5">
      <c r="A151" s="8">
        <v>5006</v>
      </c>
      <c r="B151" s="77" t="s">
        <v>404</v>
      </c>
      <c r="C151" s="8">
        <v>34020</v>
      </c>
      <c r="D151" s="8">
        <f t="shared" si="2"/>
        <v>34020</v>
      </c>
      <c r="E151" s="8">
        <v>61821528</v>
      </c>
    </row>
    <row r="152" spans="1:5">
      <c r="A152" s="8">
        <v>5006</v>
      </c>
      <c r="B152" s="77" t="s">
        <v>405</v>
      </c>
      <c r="C152" s="8">
        <v>34040</v>
      </c>
      <c r="D152" s="8">
        <f t="shared" si="2"/>
        <v>34040</v>
      </c>
      <c r="E152" s="8">
        <v>2207897</v>
      </c>
    </row>
    <row r="153" spans="1:5">
      <c r="A153" s="8">
        <v>5006</v>
      </c>
      <c r="B153" s="77" t="s">
        <v>406</v>
      </c>
      <c r="C153" s="8">
        <v>34060</v>
      </c>
      <c r="D153" s="8">
        <f t="shared" si="2"/>
        <v>34060</v>
      </c>
      <c r="E153" s="8">
        <v>81339</v>
      </c>
    </row>
    <row r="154" spans="1:5">
      <c r="A154" s="8">
        <v>5006</v>
      </c>
      <c r="B154" s="77" t="s">
        <v>407</v>
      </c>
      <c r="C154" s="8">
        <v>34080</v>
      </c>
      <c r="D154" s="8">
        <f t="shared" si="2"/>
        <v>34080</v>
      </c>
      <c r="E154" s="8">
        <v>3091</v>
      </c>
    </row>
    <row r="155" spans="1:5">
      <c r="A155" s="8">
        <v>5006</v>
      </c>
      <c r="B155" s="77" t="s">
        <v>408</v>
      </c>
      <c r="C155" s="8">
        <v>34100</v>
      </c>
      <c r="D155" s="8">
        <f t="shared" si="2"/>
        <v>34100</v>
      </c>
      <c r="E155" s="8">
        <v>120</v>
      </c>
    </row>
    <row r="156" spans="1:5">
      <c r="A156" s="8">
        <v>5006</v>
      </c>
      <c r="B156" s="77" t="s">
        <v>410</v>
      </c>
      <c r="C156" s="8">
        <v>35020</v>
      </c>
      <c r="D156" s="8">
        <f t="shared" si="2"/>
        <v>35020</v>
      </c>
      <c r="E156" s="8">
        <v>61821528</v>
      </c>
    </row>
    <row r="157" spans="1:5">
      <c r="A157" s="8">
        <v>5006</v>
      </c>
      <c r="B157" s="77" t="s">
        <v>411</v>
      </c>
      <c r="C157" s="8">
        <v>35040</v>
      </c>
      <c r="D157" s="8">
        <f t="shared" si="2"/>
        <v>35040</v>
      </c>
      <c r="E157" s="8">
        <v>2207897</v>
      </c>
    </row>
    <row r="158" spans="1:5">
      <c r="A158" s="8">
        <v>5006</v>
      </c>
      <c r="B158" s="77" t="s">
        <v>412</v>
      </c>
      <c r="C158" s="8">
        <v>35060</v>
      </c>
      <c r="D158" s="8">
        <f t="shared" si="2"/>
        <v>35060</v>
      </c>
      <c r="E158" s="8">
        <v>81339</v>
      </c>
    </row>
    <row r="159" spans="1:5">
      <c r="A159" s="8">
        <v>5006</v>
      </c>
      <c r="B159" s="77" t="s">
        <v>413</v>
      </c>
      <c r="C159" s="8">
        <v>35080</v>
      </c>
      <c r="D159" s="8">
        <f t="shared" si="2"/>
        <v>35080</v>
      </c>
      <c r="E159" s="8">
        <v>3091</v>
      </c>
    </row>
    <row r="160" spans="1:5">
      <c r="A160" s="8">
        <v>5006</v>
      </c>
      <c r="B160" s="77" t="s">
        <v>414</v>
      </c>
      <c r="C160" s="8">
        <v>35100</v>
      </c>
      <c r="D160" s="8">
        <f t="shared" si="2"/>
        <v>35100</v>
      </c>
      <c r="E160" s="8">
        <v>120</v>
      </c>
    </row>
    <row r="161" spans="1:5">
      <c r="A161" s="8">
        <v>6001</v>
      </c>
      <c r="B161" s="73" t="s">
        <v>352</v>
      </c>
      <c r="C161" s="8">
        <v>8010</v>
      </c>
      <c r="D161" s="8">
        <f t="shared" si="2"/>
        <v>8010</v>
      </c>
      <c r="E161" s="8">
        <v>61821528</v>
      </c>
    </row>
    <row r="162" spans="1:5">
      <c r="A162" s="8">
        <v>6001</v>
      </c>
      <c r="B162" s="73" t="s">
        <v>353</v>
      </c>
      <c r="C162" s="8">
        <v>8020</v>
      </c>
      <c r="D162" s="8">
        <f t="shared" si="2"/>
        <v>8020</v>
      </c>
      <c r="E162" s="8">
        <v>1545528</v>
      </c>
    </row>
    <row r="163" spans="1:5">
      <c r="A163" s="8">
        <v>6001</v>
      </c>
      <c r="B163" s="73" t="s">
        <v>354</v>
      </c>
      <c r="C163" s="8">
        <v>8030</v>
      </c>
      <c r="D163" s="8">
        <f t="shared" si="2"/>
        <v>8030</v>
      </c>
      <c r="E163" s="8">
        <v>46832</v>
      </c>
    </row>
    <row r="164" spans="1:5">
      <c r="A164" s="8">
        <v>6001</v>
      </c>
      <c r="B164" s="73" t="s">
        <v>355</v>
      </c>
      <c r="C164" s="8">
        <v>8040</v>
      </c>
      <c r="D164" s="8">
        <f t="shared" si="2"/>
        <v>8040</v>
      </c>
      <c r="E164" s="8">
        <v>1545</v>
      </c>
    </row>
    <row r="165" spans="1:5">
      <c r="A165" s="8">
        <v>6001</v>
      </c>
      <c r="B165" s="73" t="s">
        <v>356</v>
      </c>
      <c r="C165" s="8">
        <v>8050</v>
      </c>
      <c r="D165" s="8">
        <f t="shared" ref="D165:D198" si="6">C165</f>
        <v>8050</v>
      </c>
      <c r="E165" s="8">
        <v>55</v>
      </c>
    </row>
    <row r="166" spans="1:5">
      <c r="A166" s="8">
        <v>6001</v>
      </c>
      <c r="B166" s="73" t="s">
        <v>357</v>
      </c>
      <c r="C166" s="8">
        <v>8060</v>
      </c>
      <c r="D166" s="8">
        <f t="shared" si="6"/>
        <v>8060</v>
      </c>
      <c r="E166" s="8">
        <v>2</v>
      </c>
    </row>
    <row r="167" spans="1:5">
      <c r="A167" s="8">
        <v>6001</v>
      </c>
      <c r="B167" s="73" t="s">
        <v>358</v>
      </c>
      <c r="C167" s="8">
        <v>10010</v>
      </c>
      <c r="D167" s="8">
        <f t="shared" si="6"/>
        <v>10010</v>
      </c>
      <c r="E167" s="8">
        <v>61821528</v>
      </c>
    </row>
    <row r="168" spans="1:5">
      <c r="A168" s="8">
        <v>6001</v>
      </c>
      <c r="B168" s="73" t="s">
        <v>359</v>
      </c>
      <c r="C168" s="8">
        <v>10020</v>
      </c>
      <c r="D168" s="8">
        <f t="shared" si="6"/>
        <v>10020</v>
      </c>
      <c r="E168" s="8">
        <v>1545528</v>
      </c>
    </row>
    <row r="169" spans="1:5">
      <c r="A169" s="8">
        <v>6001</v>
      </c>
      <c r="B169" s="8" t="s">
        <v>360</v>
      </c>
      <c r="C169" s="8">
        <v>10030</v>
      </c>
      <c r="D169" s="8">
        <f t="shared" si="6"/>
        <v>10030</v>
      </c>
      <c r="E169" s="8">
        <v>46832</v>
      </c>
    </row>
    <row r="170" spans="1:5">
      <c r="A170" s="8">
        <v>6001</v>
      </c>
      <c r="B170" s="8" t="s">
        <v>361</v>
      </c>
      <c r="C170" s="8">
        <v>10040</v>
      </c>
      <c r="D170" s="8">
        <f t="shared" si="6"/>
        <v>10040</v>
      </c>
      <c r="E170" s="8">
        <v>1545</v>
      </c>
    </row>
    <row r="171" spans="1:5">
      <c r="A171" s="8">
        <v>6001</v>
      </c>
      <c r="B171" s="8" t="s">
        <v>362</v>
      </c>
      <c r="C171" s="8">
        <v>10050</v>
      </c>
      <c r="D171" s="8">
        <f t="shared" si="6"/>
        <v>10050</v>
      </c>
      <c r="E171" s="8">
        <v>55</v>
      </c>
    </row>
    <row r="172" spans="1:5">
      <c r="A172" s="8">
        <v>6001</v>
      </c>
      <c r="B172" s="8" t="s">
        <v>363</v>
      </c>
      <c r="C172" s="8">
        <v>10060</v>
      </c>
      <c r="D172" s="8">
        <f t="shared" si="6"/>
        <v>10060</v>
      </c>
      <c r="E172" s="8">
        <v>2</v>
      </c>
    </row>
    <row r="173" spans="1:5">
      <c r="A173" s="8">
        <v>6003</v>
      </c>
      <c r="B173" s="8" t="s">
        <v>364</v>
      </c>
      <c r="C173" s="8">
        <v>2010</v>
      </c>
      <c r="D173" s="8">
        <f t="shared" si="6"/>
        <v>2010</v>
      </c>
      <c r="E173" s="8">
        <v>61821528</v>
      </c>
    </row>
    <row r="174" spans="1:5">
      <c r="A174" s="8">
        <v>6003</v>
      </c>
      <c r="B174" s="8" t="s">
        <v>365</v>
      </c>
      <c r="C174" s="8">
        <v>2020</v>
      </c>
      <c r="D174" s="8">
        <f t="shared" si="6"/>
        <v>2020</v>
      </c>
      <c r="E174" s="8">
        <v>1545528</v>
      </c>
    </row>
    <row r="175" spans="1:5">
      <c r="A175" s="8">
        <v>6003</v>
      </c>
      <c r="B175" s="8" t="s">
        <v>366</v>
      </c>
      <c r="C175" s="8">
        <v>2030</v>
      </c>
      <c r="D175" s="8">
        <f t="shared" si="6"/>
        <v>2030</v>
      </c>
      <c r="E175" s="8">
        <v>46832</v>
      </c>
    </row>
    <row r="176" spans="1:5">
      <c r="A176" s="8">
        <v>6003</v>
      </c>
      <c r="B176" s="8" t="s">
        <v>367</v>
      </c>
      <c r="C176" s="8">
        <v>2040</v>
      </c>
      <c r="D176" s="8">
        <f t="shared" si="6"/>
        <v>2040</v>
      </c>
      <c r="E176" s="8">
        <v>1545</v>
      </c>
    </row>
    <row r="177" spans="1:5">
      <c r="A177" s="8">
        <v>6003</v>
      </c>
      <c r="B177" s="8" t="s">
        <v>368</v>
      </c>
      <c r="C177" s="8">
        <v>2050</v>
      </c>
      <c r="D177" s="8">
        <f t="shared" si="6"/>
        <v>2050</v>
      </c>
      <c r="E177" s="8">
        <v>55</v>
      </c>
    </row>
    <row r="178" spans="1:5">
      <c r="A178" s="8">
        <v>6003</v>
      </c>
      <c r="B178" s="8" t="s">
        <v>369</v>
      </c>
      <c r="C178" s="8">
        <v>2060</v>
      </c>
      <c r="D178" s="8">
        <f t="shared" si="6"/>
        <v>2060</v>
      </c>
      <c r="E178" s="8">
        <v>2</v>
      </c>
    </row>
    <row r="179" spans="1:5">
      <c r="A179" s="8">
        <v>6004</v>
      </c>
      <c r="B179" s="8" t="s">
        <v>370</v>
      </c>
      <c r="C179" s="8">
        <v>4010</v>
      </c>
      <c r="D179" s="8">
        <f t="shared" si="6"/>
        <v>4010</v>
      </c>
      <c r="E179" s="8">
        <v>61821528</v>
      </c>
    </row>
    <row r="180" spans="1:5">
      <c r="A180" s="8">
        <v>6004</v>
      </c>
      <c r="B180" s="8" t="s">
        <v>371</v>
      </c>
      <c r="C180" s="8">
        <v>4020</v>
      </c>
      <c r="D180" s="8">
        <f t="shared" si="6"/>
        <v>4020</v>
      </c>
      <c r="E180" s="8">
        <v>1545528</v>
      </c>
    </row>
    <row r="181" spans="1:5">
      <c r="A181" s="8">
        <v>6004</v>
      </c>
      <c r="B181" s="8" t="s">
        <v>372</v>
      </c>
      <c r="C181" s="8">
        <v>4030</v>
      </c>
      <c r="D181" s="8">
        <f t="shared" si="6"/>
        <v>4030</v>
      </c>
      <c r="E181" s="8">
        <v>46832</v>
      </c>
    </row>
    <row r="182" spans="1:5">
      <c r="A182" s="8">
        <v>6004</v>
      </c>
      <c r="B182" s="8" t="s">
        <v>373</v>
      </c>
      <c r="C182" s="8">
        <v>4040</v>
      </c>
      <c r="D182" s="8">
        <f t="shared" si="6"/>
        <v>4040</v>
      </c>
      <c r="E182" s="8">
        <v>1545</v>
      </c>
    </row>
    <row r="183" spans="1:5">
      <c r="A183" s="8">
        <v>6004</v>
      </c>
      <c r="B183" s="8" t="s">
        <v>374</v>
      </c>
      <c r="C183" s="8">
        <v>4050</v>
      </c>
      <c r="D183" s="8">
        <f t="shared" si="6"/>
        <v>4050</v>
      </c>
      <c r="E183" s="8">
        <v>55</v>
      </c>
    </row>
    <row r="184" spans="1:5">
      <c r="A184" s="8">
        <v>6004</v>
      </c>
      <c r="B184" s="8" t="s">
        <v>375</v>
      </c>
      <c r="C184" s="8">
        <v>4060</v>
      </c>
      <c r="D184" s="8">
        <f t="shared" si="6"/>
        <v>4060</v>
      </c>
      <c r="E184" s="8">
        <v>2</v>
      </c>
    </row>
    <row r="185" spans="1:5">
      <c r="A185" s="8">
        <v>6005</v>
      </c>
      <c r="B185" s="8" t="s">
        <v>376</v>
      </c>
      <c r="C185" s="8">
        <v>6010</v>
      </c>
      <c r="D185" s="8">
        <f t="shared" si="6"/>
        <v>6010</v>
      </c>
      <c r="E185" s="8">
        <v>61821528</v>
      </c>
    </row>
    <row r="186" spans="1:5">
      <c r="A186" s="8">
        <v>6005</v>
      </c>
      <c r="B186" s="8" t="s">
        <v>377</v>
      </c>
      <c r="C186" s="8">
        <v>6020</v>
      </c>
      <c r="D186" s="8">
        <f t="shared" si="6"/>
        <v>6020</v>
      </c>
      <c r="E186" s="8">
        <v>1545528</v>
      </c>
    </row>
    <row r="187" spans="1:5">
      <c r="A187" s="8">
        <v>6005</v>
      </c>
      <c r="B187" s="8" t="s">
        <v>378</v>
      </c>
      <c r="C187" s="8">
        <v>6030</v>
      </c>
      <c r="D187" s="8">
        <f t="shared" si="6"/>
        <v>6030</v>
      </c>
      <c r="E187" s="8">
        <v>46832</v>
      </c>
    </row>
    <row r="188" spans="1:5">
      <c r="A188" s="8">
        <v>6005</v>
      </c>
      <c r="B188" s="8" t="s">
        <v>379</v>
      </c>
      <c r="C188" s="8">
        <v>6040</v>
      </c>
      <c r="D188" s="8">
        <f t="shared" si="6"/>
        <v>6040</v>
      </c>
      <c r="E188" s="8">
        <v>1545</v>
      </c>
    </row>
    <row r="189" spans="1:5">
      <c r="A189" s="8">
        <v>6005</v>
      </c>
      <c r="B189" s="8" t="s">
        <v>380</v>
      </c>
      <c r="C189" s="8">
        <v>6050</v>
      </c>
      <c r="D189" s="8">
        <f t="shared" si="6"/>
        <v>6050</v>
      </c>
      <c r="E189" s="8">
        <v>55</v>
      </c>
    </row>
    <row r="190" spans="1:5">
      <c r="A190" s="8">
        <v>6005</v>
      </c>
      <c r="B190" s="8" t="s">
        <v>381</v>
      </c>
      <c r="C190" s="8">
        <v>6060</v>
      </c>
      <c r="D190" s="8">
        <f t="shared" si="6"/>
        <v>6060</v>
      </c>
      <c r="E190" s="8">
        <v>2</v>
      </c>
    </row>
    <row r="191" spans="1:5">
      <c r="A191" s="8">
        <v>6006</v>
      </c>
      <c r="B191" s="8" t="s">
        <v>393</v>
      </c>
      <c r="C191" s="8">
        <v>21010</v>
      </c>
      <c r="D191" s="8">
        <f t="shared" si="6"/>
        <v>21010</v>
      </c>
      <c r="E191" s="8">
        <v>115972192</v>
      </c>
    </row>
    <row r="192" spans="1:5">
      <c r="A192" s="8">
        <v>6006</v>
      </c>
      <c r="B192" s="8" t="s">
        <v>394</v>
      </c>
      <c r="C192" s="8">
        <v>21020</v>
      </c>
      <c r="D192" s="8">
        <f t="shared" si="6"/>
        <v>21020</v>
      </c>
      <c r="E192" s="8">
        <v>1932831</v>
      </c>
    </row>
    <row r="193" spans="1:5">
      <c r="A193" s="8">
        <v>6006</v>
      </c>
      <c r="B193" s="8" t="s">
        <v>395</v>
      </c>
      <c r="C193" s="8">
        <v>21030</v>
      </c>
      <c r="D193" s="8">
        <f t="shared" si="6"/>
        <v>21030</v>
      </c>
      <c r="E193" s="8">
        <v>39047</v>
      </c>
    </row>
    <row r="194" spans="1:5">
      <c r="A194" s="8">
        <v>6006</v>
      </c>
      <c r="B194" s="8" t="s">
        <v>396</v>
      </c>
      <c r="C194" s="8">
        <v>21040</v>
      </c>
      <c r="D194" s="8">
        <f t="shared" si="6"/>
        <v>21040</v>
      </c>
      <c r="E194" s="8">
        <v>859</v>
      </c>
    </row>
    <row r="195" spans="1:5">
      <c r="A195" s="8">
        <v>6006</v>
      </c>
      <c r="B195" s="8" t="s">
        <v>397</v>
      </c>
      <c r="C195" s="8">
        <v>21050</v>
      </c>
      <c r="D195" s="8">
        <f t="shared" si="6"/>
        <v>21050</v>
      </c>
      <c r="E195" s="8">
        <v>20</v>
      </c>
    </row>
    <row r="196" spans="1:5">
      <c r="A196" s="8">
        <v>6007</v>
      </c>
      <c r="B196" s="8" t="s">
        <v>398</v>
      </c>
      <c r="C196" s="8">
        <v>22010</v>
      </c>
      <c r="D196" s="8">
        <f t="shared" si="6"/>
        <v>22010</v>
      </c>
      <c r="E196" s="8">
        <v>115972192</v>
      </c>
    </row>
    <row r="197" spans="1:5">
      <c r="A197" s="8">
        <v>6007</v>
      </c>
      <c r="B197" s="8" t="s">
        <v>399</v>
      </c>
      <c r="C197" s="8">
        <v>22020</v>
      </c>
      <c r="D197" s="8">
        <f t="shared" si="6"/>
        <v>22020</v>
      </c>
      <c r="E197" s="8">
        <v>1932831</v>
      </c>
    </row>
    <row r="198" spans="1:5">
      <c r="A198" s="8">
        <v>6007</v>
      </c>
      <c r="B198" s="8" t="s">
        <v>400</v>
      </c>
      <c r="C198" s="8">
        <v>22030</v>
      </c>
      <c r="D198" s="8">
        <f t="shared" si="6"/>
        <v>22030</v>
      </c>
      <c r="E198" s="8">
        <v>39047</v>
      </c>
    </row>
    <row r="199" spans="1:5">
      <c r="A199" s="8">
        <v>6007</v>
      </c>
      <c r="B199" s="8" t="s">
        <v>401</v>
      </c>
      <c r="C199" s="8">
        <v>22030</v>
      </c>
      <c r="D199" s="8">
        <f t="shared" ref="D199:D200" si="7">C199</f>
        <v>22030</v>
      </c>
      <c r="E199" s="8">
        <v>859</v>
      </c>
    </row>
    <row r="200" spans="1:5">
      <c r="A200" s="8">
        <v>6007</v>
      </c>
      <c r="B200" s="8" t="s">
        <v>402</v>
      </c>
      <c r="C200" s="8">
        <v>22030</v>
      </c>
      <c r="D200" s="8">
        <f t="shared" si="7"/>
        <v>22030</v>
      </c>
      <c r="E200" s="8">
        <v>20</v>
      </c>
    </row>
  </sheetData>
  <sortState ref="A4:E12827">
    <sortCondition ref="A4:A12827"/>
  </sortState>
  <phoneticPr fontId="1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生成数据">
                <anchor moveWithCells="1" sizeWithCells="1">
                  <from>
                    <xdr:col>9</xdr:col>
                    <xdr:colOff>180975</xdr:colOff>
                    <xdr:row>1</xdr:row>
                    <xdr:rowOff>123825</xdr:rowOff>
                  </from>
                  <to>
                    <xdr:col>11</xdr:col>
                    <xdr:colOff>171450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排序">
                <anchor moveWithCells="1" sizeWithCells="1">
                  <from>
                    <xdr:col>9</xdr:col>
                    <xdr:colOff>190500</xdr:colOff>
                    <xdr:row>5</xdr:row>
                    <xdr:rowOff>123825</xdr:rowOff>
                  </from>
                  <to>
                    <xdr:col>11</xdr:col>
                    <xdr:colOff>190500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167"/>
  <sheetViews>
    <sheetView workbookViewId="0">
      <pane ySplit="1" topLeftCell="A2" activePane="bottomLeft" state="frozen"/>
      <selection pane="bottomLeft" activeCell="H16" sqref="H16"/>
    </sheetView>
  </sheetViews>
  <sheetFormatPr defaultRowHeight="13.5"/>
  <cols>
    <col min="1" max="1" width="10.875" style="9" customWidth="1"/>
    <col min="2" max="2" width="14.125" style="8" customWidth="1"/>
    <col min="3" max="3" width="9.625" style="7" customWidth="1"/>
    <col min="4" max="4" width="9" style="7" customWidth="1"/>
    <col min="5" max="5" width="13.375" style="6" customWidth="1"/>
    <col min="6" max="6" width="5.875" style="3" customWidth="1"/>
    <col min="7" max="7" width="7.25" style="5" customWidth="1"/>
    <col min="8" max="8" width="14.125" style="6" customWidth="1"/>
    <col min="9" max="9" width="5.75" style="3" customWidth="1"/>
    <col min="10" max="10" width="7.25" style="5" customWidth="1"/>
    <col min="11" max="11" width="11" style="4" customWidth="1"/>
    <col min="12" max="12" width="6.5" style="3" customWidth="1"/>
    <col min="13" max="13" width="7.25" style="2" customWidth="1"/>
    <col min="14" max="14" width="11" style="4" customWidth="1"/>
    <col min="15" max="15" width="5.75" style="3" customWidth="1"/>
    <col min="16" max="16" width="7.25" style="2" customWidth="1"/>
    <col min="17" max="17" width="7" style="10" customWidth="1"/>
    <col min="18" max="20" width="9" style="7"/>
    <col min="21" max="21" width="0" style="1" hidden="1" customWidth="1"/>
    <col min="22" max="16384" width="9" style="1"/>
  </cols>
  <sheetData>
    <row r="1" spans="1:21" ht="28.5" customHeight="1">
      <c r="A1" s="39" t="s">
        <v>58</v>
      </c>
      <c r="B1" s="37" t="s">
        <v>57</v>
      </c>
      <c r="C1" s="38" t="s">
        <v>56</v>
      </c>
      <c r="D1" s="37" t="s">
        <v>55</v>
      </c>
      <c r="E1" s="36" t="s">
        <v>54</v>
      </c>
      <c r="F1" s="33" t="s">
        <v>47</v>
      </c>
      <c r="G1" s="35" t="s">
        <v>53</v>
      </c>
      <c r="H1" s="36" t="s">
        <v>52</v>
      </c>
      <c r="I1" s="33" t="s">
        <v>47</v>
      </c>
      <c r="J1" s="35" t="s">
        <v>51</v>
      </c>
      <c r="K1" s="34" t="s">
        <v>50</v>
      </c>
      <c r="L1" s="33" t="s">
        <v>47</v>
      </c>
      <c r="M1" s="32" t="s">
        <v>49</v>
      </c>
      <c r="N1" s="34" t="s">
        <v>48</v>
      </c>
      <c r="O1" s="33" t="s">
        <v>47</v>
      </c>
      <c r="P1" s="32" t="s">
        <v>46</v>
      </c>
      <c r="U1" s="1">
        <f>SUM(U2:U167)</f>
        <v>320</v>
      </c>
    </row>
    <row r="2" spans="1:21" ht="23.25" customHeight="1">
      <c r="A2" s="31">
        <v>101</v>
      </c>
      <c r="B2" s="28" t="s">
        <v>45</v>
      </c>
      <c r="C2" s="30">
        <v>12</v>
      </c>
      <c r="D2" s="29">
        <v>4</v>
      </c>
      <c r="E2" s="28" t="s">
        <v>44</v>
      </c>
      <c r="F2" s="26">
        <f t="shared" ref="F2:F65" si="0">IF(E2="","",1)</f>
        <v>1</v>
      </c>
      <c r="G2" s="25">
        <f>IF(E2="","",VLOOKUP(E2,参考表!$N$2:$O$49,2,0)*1000)</f>
        <v>11000</v>
      </c>
      <c r="H2" s="28"/>
      <c r="I2" s="26" t="str">
        <f t="shared" ref="I2:I65" si="1">IF(H2="","",1)</f>
        <v/>
      </c>
      <c r="J2" s="25" t="str">
        <f>IF(H2="","",VLOOKUP(H2,参考表!$N$2:$O$49,2,0)*1000)</f>
        <v/>
      </c>
      <c r="K2" s="27"/>
      <c r="L2" s="26" t="str">
        <f t="shared" ref="L2:L33" si="2">IF(K2="","",1)</f>
        <v/>
      </c>
      <c r="M2" s="25" t="str">
        <f>IF(K2="","",VLOOKUP(K2,参考表!$N$2:$O$49,2,0)*1000)</f>
        <v/>
      </c>
      <c r="N2" s="27"/>
      <c r="O2" s="26" t="str">
        <f t="shared" ref="O2:O33" si="3">IF(N2="","",1)</f>
        <v/>
      </c>
      <c r="P2" s="25" t="str">
        <f>IF(N2="","",VLOOKUP(N2,参考表!$N$2:$O$49,2,0)*1000)</f>
        <v/>
      </c>
      <c r="Q2" s="10">
        <v>60</v>
      </c>
      <c r="R2" s="10">
        <v>60</v>
      </c>
      <c r="S2" s="7">
        <v>0</v>
      </c>
      <c r="T2" s="7">
        <v>0</v>
      </c>
      <c r="U2" s="1">
        <f>IF(E2&lt;&gt;"",1,0) + IF(H2&lt;&gt;"",1,0) + IF(K2&lt;&gt;"",1,0) + IF(N2&lt;&gt;"",1,0)</f>
        <v>1</v>
      </c>
    </row>
    <row r="3" spans="1:21" ht="23.25" customHeight="1">
      <c r="A3" s="14">
        <v>102</v>
      </c>
      <c r="B3" s="14" t="s">
        <v>43</v>
      </c>
      <c r="C3" s="13">
        <v>12</v>
      </c>
      <c r="D3" s="12">
        <v>4</v>
      </c>
      <c r="E3" s="24" t="s">
        <v>24</v>
      </c>
      <c r="F3" s="3">
        <f t="shared" si="0"/>
        <v>1</v>
      </c>
      <c r="G3" s="5">
        <f>IF(E3="","",VLOOKUP(E3,参考表!$N$2:$O$49,2,0)*1000)</f>
        <v>11000</v>
      </c>
      <c r="H3" s="24"/>
      <c r="I3" s="3" t="str">
        <f t="shared" si="1"/>
        <v/>
      </c>
      <c r="J3" s="5" t="str">
        <f>IF(H3="","",VLOOKUP(H3,参考表!$N$2:$O$49,2,0)*1000)</f>
        <v/>
      </c>
      <c r="L3" s="3" t="str">
        <f t="shared" si="2"/>
        <v/>
      </c>
      <c r="M3" s="5" t="str">
        <f>IF(K3="","",VLOOKUP(K3,参考表!$N$2:$O$49,2,0)*1000)</f>
        <v/>
      </c>
      <c r="O3" s="3" t="str">
        <f t="shared" si="3"/>
        <v/>
      </c>
      <c r="P3" s="5" t="str">
        <f>IF(N3="","",VLOOKUP(N3,参考表!$N$2:$O$49,2,0)*1000)</f>
        <v/>
      </c>
      <c r="Q3" s="10">
        <v>60</v>
      </c>
      <c r="R3" s="10">
        <v>60</v>
      </c>
      <c r="S3" s="7">
        <v>0</v>
      </c>
      <c r="T3" s="7">
        <v>0</v>
      </c>
      <c r="U3" s="1">
        <f t="shared" ref="U3:U66" si="4">IF(E3&lt;&gt;"",1,0) + IF(H3&lt;&gt;"",1,0) + IF(K3&lt;&gt;"",1,0) + IF(N3&lt;&gt;"",1,0)</f>
        <v>1</v>
      </c>
    </row>
    <row r="4" spans="1:21" s="18" customFormat="1" ht="24.75" customHeight="1">
      <c r="A4" s="14">
        <v>103</v>
      </c>
      <c r="B4" s="14" t="s">
        <v>42</v>
      </c>
      <c r="C4" s="23">
        <v>12</v>
      </c>
      <c r="D4" s="22">
        <v>4</v>
      </c>
      <c r="E4" s="15" t="s">
        <v>26</v>
      </c>
      <c r="F4" s="20">
        <f t="shared" si="0"/>
        <v>1</v>
      </c>
      <c r="G4" s="5">
        <f>IF(E4="","",VLOOKUP(E4,参考表!$N$2:$O$49,2,0)*1000)</f>
        <v>11000</v>
      </c>
      <c r="H4" s="16"/>
      <c r="I4" s="20" t="str">
        <f t="shared" si="1"/>
        <v/>
      </c>
      <c r="J4" s="19" t="str">
        <f>IF(H4="","",VLOOKUP(H4,参考表!$N$2:$O$49,2,0)*1000)</f>
        <v/>
      </c>
      <c r="K4" s="21"/>
      <c r="L4" s="20" t="str">
        <f t="shared" si="2"/>
        <v/>
      </c>
      <c r="M4" s="19" t="str">
        <f>IF(K4="","",VLOOKUP(K4,参考表!$N$2:$O$49,2,0)*1000)</f>
        <v/>
      </c>
      <c r="N4" s="21"/>
      <c r="O4" s="20" t="str">
        <f t="shared" si="3"/>
        <v/>
      </c>
      <c r="P4" s="19" t="str">
        <f>IF(N4="","",VLOOKUP(N4,参考表!$N$2:$O$49,2,0)*1000)</f>
        <v/>
      </c>
      <c r="Q4" s="10">
        <v>60</v>
      </c>
      <c r="R4" s="10">
        <v>60</v>
      </c>
      <c r="S4" s="7">
        <v>0</v>
      </c>
      <c r="T4" s="7">
        <v>0</v>
      </c>
      <c r="U4" s="1">
        <f t="shared" si="4"/>
        <v>1</v>
      </c>
    </row>
    <row r="5" spans="1:21" ht="15" customHeight="1">
      <c r="A5" s="14">
        <v>111</v>
      </c>
      <c r="B5" s="14" t="s">
        <v>41</v>
      </c>
      <c r="C5" s="13">
        <v>12</v>
      </c>
      <c r="D5" s="12">
        <v>4</v>
      </c>
      <c r="E5" s="11" t="s">
        <v>191</v>
      </c>
      <c r="F5" s="3">
        <f t="shared" si="0"/>
        <v>1</v>
      </c>
      <c r="G5" s="5">
        <f>IF(E5="","",VLOOKUP(E5,参考表!$N$2:$O$49,2,0)*1000)</f>
        <v>11000</v>
      </c>
      <c r="H5" s="67" t="s">
        <v>204</v>
      </c>
      <c r="I5" s="3">
        <f t="shared" si="1"/>
        <v>1</v>
      </c>
      <c r="J5" s="5">
        <f>IF(H5="","",VLOOKUP(H5,参考表!$N$2:$O$100,2,0)*1000)</f>
        <v>11000</v>
      </c>
      <c r="K5" s="11"/>
      <c r="L5" s="3" t="str">
        <f t="shared" si="2"/>
        <v/>
      </c>
      <c r="M5" s="5" t="str">
        <f>IF(K5="","",VLOOKUP(K5,参考表!$N$2:$O$49,2,0)*1000)</f>
        <v/>
      </c>
      <c r="O5" s="3" t="str">
        <f t="shared" si="3"/>
        <v/>
      </c>
      <c r="P5" s="5" t="str">
        <f>IF(N5="","",VLOOKUP(N5,参考表!$N$2:$O$49,2,0)*1000)</f>
        <v/>
      </c>
      <c r="Q5" s="10">
        <v>60</v>
      </c>
      <c r="R5" s="10">
        <v>60</v>
      </c>
      <c r="S5" s="7">
        <v>0</v>
      </c>
      <c r="T5" s="7">
        <v>0</v>
      </c>
      <c r="U5" s="1">
        <f t="shared" si="4"/>
        <v>2</v>
      </c>
    </row>
    <row r="6" spans="1:21" ht="12.75" customHeight="1">
      <c r="A6" s="14">
        <v>111</v>
      </c>
      <c r="B6" s="14"/>
      <c r="C6" s="13">
        <v>12</v>
      </c>
      <c r="D6" s="12">
        <v>4</v>
      </c>
      <c r="E6" s="11" t="s">
        <v>191</v>
      </c>
      <c r="F6" s="3">
        <f t="shared" si="0"/>
        <v>1</v>
      </c>
      <c r="G6" s="5">
        <f>IF(E6="","",VLOOKUP(E6,参考表!$N$2:$O$49,2,0)*1000)</f>
        <v>11000</v>
      </c>
      <c r="H6" s="67" t="s">
        <v>204</v>
      </c>
      <c r="I6" s="3">
        <f t="shared" si="1"/>
        <v>1</v>
      </c>
      <c r="J6" s="5">
        <f>IF(H6="","",VLOOKUP(H6,参考表!$N$2:$O$100,2,0)*1000)</f>
        <v>11000</v>
      </c>
      <c r="K6" s="11"/>
      <c r="L6" s="3" t="str">
        <f t="shared" si="2"/>
        <v/>
      </c>
      <c r="M6" s="5" t="str">
        <f>IF(K6="","",VLOOKUP(K6,参考表!$N$2:$O$49,2,0)*1000)</f>
        <v/>
      </c>
      <c r="O6" s="3" t="str">
        <f t="shared" si="3"/>
        <v/>
      </c>
      <c r="P6" s="5" t="str">
        <f>IF(N6="","",VLOOKUP(N6,参考表!$N$2:$O$49,2,0)*1000)</f>
        <v/>
      </c>
      <c r="Q6" s="10">
        <v>60</v>
      </c>
      <c r="R6" s="10">
        <v>60</v>
      </c>
      <c r="S6" s="7">
        <v>0</v>
      </c>
      <c r="T6" s="7">
        <v>0</v>
      </c>
      <c r="U6" s="1">
        <f t="shared" si="4"/>
        <v>2</v>
      </c>
    </row>
    <row r="7" spans="1:21" ht="12.75" customHeight="1">
      <c r="A7" s="14">
        <v>111</v>
      </c>
      <c r="B7" s="14"/>
      <c r="C7" s="13">
        <v>12</v>
      </c>
      <c r="D7" s="12">
        <v>4</v>
      </c>
      <c r="E7" s="11" t="s">
        <v>191</v>
      </c>
      <c r="F7" s="3">
        <f t="shared" si="0"/>
        <v>1</v>
      </c>
      <c r="G7" s="5">
        <f>IF(E7="","",VLOOKUP(E7,参考表!$N$2:$O$49,2,0)*1000)</f>
        <v>11000</v>
      </c>
      <c r="H7" s="67" t="s">
        <v>204</v>
      </c>
      <c r="I7" s="3">
        <f t="shared" si="1"/>
        <v>1</v>
      </c>
      <c r="J7" s="5">
        <f>IF(H7="","",VLOOKUP(H7,参考表!$N$2:$O$100,2,0)*1000)</f>
        <v>11000</v>
      </c>
      <c r="K7" s="11"/>
      <c r="L7" s="3" t="str">
        <f t="shared" si="2"/>
        <v/>
      </c>
      <c r="M7" s="5" t="str">
        <f>IF(K7="","",VLOOKUP(K7,参考表!$N$2:$O$49,2,0)*1000)</f>
        <v/>
      </c>
      <c r="O7" s="3" t="str">
        <f t="shared" si="3"/>
        <v/>
      </c>
      <c r="P7" s="5" t="str">
        <f>IF(N7="","",VLOOKUP(N7,参考表!$N$2:$O$49,2,0)*1000)</f>
        <v/>
      </c>
      <c r="Q7" s="10">
        <v>60</v>
      </c>
      <c r="R7" s="10">
        <v>60</v>
      </c>
      <c r="S7" s="7">
        <v>0</v>
      </c>
      <c r="T7" s="7">
        <v>0</v>
      </c>
      <c r="U7" s="1">
        <f t="shared" si="4"/>
        <v>2</v>
      </c>
    </row>
    <row r="8" spans="1:21" ht="12.75" customHeight="1">
      <c r="A8" s="14">
        <v>111</v>
      </c>
      <c r="B8" s="14"/>
      <c r="C8" s="13">
        <v>12</v>
      </c>
      <c r="D8" s="12">
        <v>4</v>
      </c>
      <c r="E8" s="11" t="s">
        <v>191</v>
      </c>
      <c r="F8" s="3">
        <f t="shared" si="0"/>
        <v>1</v>
      </c>
      <c r="G8" s="5">
        <f>IF(E8="","",VLOOKUP(E8,参考表!$N$2:$O$49,2,0)*1000)</f>
        <v>11000</v>
      </c>
      <c r="H8" s="67" t="s">
        <v>204</v>
      </c>
      <c r="I8" s="3">
        <f t="shared" si="1"/>
        <v>1</v>
      </c>
      <c r="J8" s="5">
        <f>IF(H8="","",VLOOKUP(H8,参考表!$N$2:$O$100,2,0)*1000)</f>
        <v>11000</v>
      </c>
      <c r="K8" s="11"/>
      <c r="L8" s="3" t="str">
        <f t="shared" si="2"/>
        <v/>
      </c>
      <c r="M8" s="5" t="str">
        <f>IF(K8="","",VLOOKUP(K8,参考表!$N$2:$O$49,2,0)*1000)</f>
        <v/>
      </c>
      <c r="O8" s="3" t="str">
        <f t="shared" si="3"/>
        <v/>
      </c>
      <c r="P8" s="5" t="str">
        <f>IF(N8="","",VLOOKUP(N8,参考表!$N$2:$O$49,2,0)*1000)</f>
        <v/>
      </c>
      <c r="Q8" s="10">
        <v>60</v>
      </c>
      <c r="R8" s="10">
        <v>60</v>
      </c>
      <c r="S8" s="7">
        <v>0</v>
      </c>
      <c r="T8" s="7">
        <v>0</v>
      </c>
      <c r="U8" s="1">
        <f t="shared" si="4"/>
        <v>2</v>
      </c>
    </row>
    <row r="9" spans="1:21">
      <c r="A9" s="14">
        <v>112</v>
      </c>
      <c r="B9" s="14" t="s">
        <v>40</v>
      </c>
      <c r="C9" s="13">
        <v>12</v>
      </c>
      <c r="D9" s="12">
        <v>4</v>
      </c>
      <c r="E9" s="11" t="s">
        <v>191</v>
      </c>
      <c r="F9" s="3">
        <f t="shared" si="0"/>
        <v>1</v>
      </c>
      <c r="G9" s="5">
        <f>IF(E9="","",VLOOKUP(E9,参考表!$N$2:$O$49,2,0)*1000)</f>
        <v>11000</v>
      </c>
      <c r="H9" s="52" t="s">
        <v>196</v>
      </c>
      <c r="I9" s="3">
        <f t="shared" si="1"/>
        <v>1</v>
      </c>
      <c r="J9" s="5">
        <f>IF(H9="","",VLOOKUP(H9,参考表!$N$2:$O$100,2,0)*1000)</f>
        <v>11000</v>
      </c>
      <c r="L9" s="3" t="str">
        <f t="shared" si="2"/>
        <v/>
      </c>
      <c r="M9" s="5" t="str">
        <f>IF(K9="","",VLOOKUP(K9,参考表!$N$2:$O$49,2,0)*1000)</f>
        <v/>
      </c>
      <c r="O9" s="3" t="str">
        <f t="shared" si="3"/>
        <v/>
      </c>
      <c r="P9" s="5" t="str">
        <f>IF(N9="","",VLOOKUP(N9,参考表!$N$2:$O$49,2,0)*1000)</f>
        <v/>
      </c>
      <c r="Q9" s="10">
        <v>60</v>
      </c>
      <c r="R9" s="10">
        <v>60</v>
      </c>
      <c r="S9" s="7">
        <v>0</v>
      </c>
      <c r="T9" s="7">
        <v>0</v>
      </c>
      <c r="U9" s="1">
        <f t="shared" si="4"/>
        <v>2</v>
      </c>
    </row>
    <row r="10" spans="1:21">
      <c r="A10" s="14">
        <v>112</v>
      </c>
      <c r="B10" s="14"/>
      <c r="C10" s="13">
        <v>12</v>
      </c>
      <c r="D10" s="12">
        <v>4</v>
      </c>
      <c r="E10" s="11" t="s">
        <v>191</v>
      </c>
      <c r="F10" s="3">
        <f t="shared" si="0"/>
        <v>1</v>
      </c>
      <c r="G10" s="5">
        <f>IF(E10="","",VLOOKUP(E10,参考表!$N$2:$O$49,2,0)*1000)</f>
        <v>11000</v>
      </c>
      <c r="H10" s="52" t="s">
        <v>196</v>
      </c>
      <c r="I10" s="3">
        <f t="shared" si="1"/>
        <v>1</v>
      </c>
      <c r="J10" s="5">
        <f>IF(H10="","",VLOOKUP(H10,参考表!$N$2:$O$100,2,0)*1000)</f>
        <v>11000</v>
      </c>
      <c r="L10" s="3" t="str">
        <f t="shared" si="2"/>
        <v/>
      </c>
      <c r="M10" s="5" t="str">
        <f>IF(K10="","",VLOOKUP(K10,参考表!$N$2:$O$49,2,0)*1000)</f>
        <v/>
      </c>
      <c r="O10" s="3" t="str">
        <f t="shared" si="3"/>
        <v/>
      </c>
      <c r="P10" s="5" t="str">
        <f>IF(N10="","",VLOOKUP(N10,参考表!$N$2:$O$49,2,0)*1000)</f>
        <v/>
      </c>
      <c r="Q10" s="10">
        <v>60</v>
      </c>
      <c r="R10" s="10">
        <v>60</v>
      </c>
      <c r="S10" s="7">
        <v>0</v>
      </c>
      <c r="T10" s="7">
        <v>0</v>
      </c>
      <c r="U10" s="1">
        <f t="shared" si="4"/>
        <v>2</v>
      </c>
    </row>
    <row r="11" spans="1:21">
      <c r="A11" s="14">
        <v>112</v>
      </c>
      <c r="B11" s="14"/>
      <c r="C11" s="13">
        <v>12</v>
      </c>
      <c r="D11" s="12">
        <v>4</v>
      </c>
      <c r="E11" s="11" t="s">
        <v>191</v>
      </c>
      <c r="F11" s="3">
        <f t="shared" ref="F11" si="5">IF(E11="","",1)</f>
        <v>1</v>
      </c>
      <c r="G11" s="5">
        <f>IF(E11="","",VLOOKUP(E11,参考表!$N$2:$O$49,2,0)*1000)</f>
        <v>11000</v>
      </c>
      <c r="H11" s="52" t="s">
        <v>196</v>
      </c>
      <c r="I11" s="3">
        <f t="shared" ref="I11" si="6">IF(H11="","",1)</f>
        <v>1</v>
      </c>
      <c r="J11" s="5">
        <f>IF(H11="","",VLOOKUP(H11,参考表!$N$2:$O$100,2,0)*1000)</f>
        <v>11000</v>
      </c>
      <c r="L11" s="3" t="str">
        <f t="shared" ref="L11" si="7">IF(K11="","",1)</f>
        <v/>
      </c>
      <c r="M11" s="5" t="str">
        <f>IF(K11="","",VLOOKUP(K11,参考表!$N$2:$O$49,2,0)*1000)</f>
        <v/>
      </c>
      <c r="O11" s="3" t="str">
        <f t="shared" ref="O11" si="8">IF(N11="","",1)</f>
        <v/>
      </c>
      <c r="P11" s="5" t="str">
        <f>IF(N11="","",VLOOKUP(N11,参考表!$N$2:$O$49,2,0)*1000)</f>
        <v/>
      </c>
      <c r="Q11" s="10">
        <v>60</v>
      </c>
      <c r="R11" s="10">
        <v>60</v>
      </c>
      <c r="S11" s="7">
        <v>0</v>
      </c>
      <c r="T11" s="7">
        <v>0</v>
      </c>
      <c r="U11" s="1">
        <f t="shared" ref="U11" si="9">IF(E11&lt;&gt;"",1,0) + IF(H11&lt;&gt;"",1,0) + IF(K11&lt;&gt;"",1,0) + IF(N11&lt;&gt;"",1,0)</f>
        <v>2</v>
      </c>
    </row>
    <row r="12" spans="1:21">
      <c r="A12" s="14">
        <v>112</v>
      </c>
      <c r="B12" s="14"/>
      <c r="C12" s="13">
        <v>12</v>
      </c>
      <c r="D12" s="12">
        <v>4</v>
      </c>
      <c r="E12" s="11" t="s">
        <v>191</v>
      </c>
      <c r="F12" s="3">
        <f t="shared" si="0"/>
        <v>1</v>
      </c>
      <c r="G12" s="5">
        <f>IF(E12="","",VLOOKUP(E12,参考表!$N$2:$O$49,2,0)*1000)</f>
        <v>11000</v>
      </c>
      <c r="H12" s="52" t="s">
        <v>196</v>
      </c>
      <c r="I12" s="3">
        <f t="shared" si="1"/>
        <v>1</v>
      </c>
      <c r="J12" s="5">
        <f>IF(H12="","",VLOOKUP(H12,参考表!$N$2:$O$100,2,0)*1000)</f>
        <v>11000</v>
      </c>
      <c r="L12" s="3" t="str">
        <f t="shared" si="2"/>
        <v/>
      </c>
      <c r="M12" s="5" t="str">
        <f>IF(K12="","",VLOOKUP(K12,参考表!$N$2:$O$49,2,0)*1000)</f>
        <v/>
      </c>
      <c r="O12" s="3" t="str">
        <f t="shared" si="3"/>
        <v/>
      </c>
      <c r="P12" s="5" t="str">
        <f>IF(N12="","",VLOOKUP(N12,参考表!$N$2:$O$49,2,0)*1000)</f>
        <v/>
      </c>
      <c r="Q12" s="10">
        <v>60</v>
      </c>
      <c r="R12" s="10">
        <v>60</v>
      </c>
      <c r="S12" s="7">
        <v>0</v>
      </c>
      <c r="T12" s="7">
        <v>0</v>
      </c>
      <c r="U12" s="1">
        <f t="shared" si="4"/>
        <v>2</v>
      </c>
    </row>
    <row r="13" spans="1:21">
      <c r="A13" s="14">
        <v>113</v>
      </c>
      <c r="B13" s="14" t="s">
        <v>39</v>
      </c>
      <c r="C13" s="13">
        <v>12</v>
      </c>
      <c r="D13" s="12">
        <v>4</v>
      </c>
      <c r="E13" s="11" t="s">
        <v>191</v>
      </c>
      <c r="F13" s="3">
        <f t="shared" si="0"/>
        <v>1</v>
      </c>
      <c r="G13" s="5">
        <f>IF(E13="","",VLOOKUP(E13,参考表!$N$2:$O$49,2,0)*1000)</f>
        <v>11000</v>
      </c>
      <c r="H13" s="52" t="s">
        <v>190</v>
      </c>
      <c r="I13" s="3">
        <f t="shared" si="1"/>
        <v>1</v>
      </c>
      <c r="J13" s="5">
        <f>IF(H13="","",VLOOKUP(H13,参考表!$N$2:$O$100,2,0)*1000)</f>
        <v>11000</v>
      </c>
      <c r="L13" s="3" t="str">
        <f t="shared" si="2"/>
        <v/>
      </c>
      <c r="M13" s="5" t="str">
        <f>IF(K13="","",VLOOKUP(K13,参考表!$N$2:$O$49,2,0)*1000)</f>
        <v/>
      </c>
      <c r="O13" s="3" t="str">
        <f t="shared" si="3"/>
        <v/>
      </c>
      <c r="P13" s="5" t="str">
        <f>IF(N13="","",VLOOKUP(N13,参考表!$N$2:$O$49,2,0)*1000)</f>
        <v/>
      </c>
      <c r="Q13" s="10">
        <v>60</v>
      </c>
      <c r="R13" s="10">
        <v>60</v>
      </c>
      <c r="S13" s="7">
        <v>0</v>
      </c>
      <c r="T13" s="7">
        <v>0</v>
      </c>
      <c r="U13" s="1">
        <f t="shared" si="4"/>
        <v>2</v>
      </c>
    </row>
    <row r="14" spans="1:21">
      <c r="A14" s="14">
        <v>113</v>
      </c>
      <c r="B14" s="14"/>
      <c r="C14" s="13">
        <v>12</v>
      </c>
      <c r="D14" s="12">
        <v>4</v>
      </c>
      <c r="E14" s="11" t="s">
        <v>191</v>
      </c>
      <c r="F14" s="3">
        <f t="shared" si="0"/>
        <v>1</v>
      </c>
      <c r="G14" s="5">
        <f>IF(E14="","",VLOOKUP(E14,参考表!$N$2:$O$49,2,0)*1000)</f>
        <v>11000</v>
      </c>
      <c r="H14" s="52" t="s">
        <v>190</v>
      </c>
      <c r="I14" s="3">
        <f t="shared" si="1"/>
        <v>1</v>
      </c>
      <c r="J14" s="5">
        <f>IF(H14="","",VLOOKUP(H14,参考表!$N$2:$O$100,2,0)*1000)</f>
        <v>11000</v>
      </c>
      <c r="L14" s="3" t="str">
        <f t="shared" si="2"/>
        <v/>
      </c>
      <c r="M14" s="5" t="str">
        <f>IF(K14="","",VLOOKUP(K14,参考表!$N$2:$O$49,2,0)*1000)</f>
        <v/>
      </c>
      <c r="O14" s="3" t="str">
        <f t="shared" si="3"/>
        <v/>
      </c>
      <c r="P14" s="5" t="str">
        <f>IF(N14="","",VLOOKUP(N14,参考表!$N$2:$O$49,2,0)*1000)</f>
        <v/>
      </c>
      <c r="Q14" s="10">
        <v>60</v>
      </c>
      <c r="R14" s="10">
        <v>60</v>
      </c>
      <c r="S14" s="7">
        <v>0</v>
      </c>
      <c r="T14" s="7">
        <v>0</v>
      </c>
      <c r="U14" s="1">
        <f t="shared" si="4"/>
        <v>2</v>
      </c>
    </row>
    <row r="15" spans="1:21">
      <c r="A15" s="14">
        <v>113</v>
      </c>
      <c r="B15" s="14"/>
      <c r="C15" s="13">
        <v>12</v>
      </c>
      <c r="D15" s="12">
        <v>4</v>
      </c>
      <c r="E15" s="11" t="s">
        <v>191</v>
      </c>
      <c r="F15" s="3">
        <f t="shared" si="0"/>
        <v>1</v>
      </c>
      <c r="G15" s="5">
        <f>IF(E15="","",VLOOKUP(E15,参考表!$N$2:$O$49,2,0)*1000)</f>
        <v>11000</v>
      </c>
      <c r="H15" s="52" t="s">
        <v>190</v>
      </c>
      <c r="I15" s="3">
        <f t="shared" si="1"/>
        <v>1</v>
      </c>
      <c r="J15" s="5">
        <f>IF(H15="","",VLOOKUP(H15,参考表!$N$2:$O$100,2,0)*1000)</f>
        <v>11000</v>
      </c>
      <c r="L15" s="3" t="str">
        <f t="shared" si="2"/>
        <v/>
      </c>
      <c r="M15" s="5" t="str">
        <f>IF(K15="","",VLOOKUP(K15,参考表!$N$2:$O$49,2,0)*1000)</f>
        <v/>
      </c>
      <c r="O15" s="3" t="str">
        <f t="shared" si="3"/>
        <v/>
      </c>
      <c r="P15" s="5" t="str">
        <f>IF(N15="","",VLOOKUP(N15,参考表!$N$2:$O$49,2,0)*1000)</f>
        <v/>
      </c>
      <c r="Q15" s="10">
        <v>60</v>
      </c>
      <c r="R15" s="10">
        <v>60</v>
      </c>
      <c r="S15" s="7">
        <v>0</v>
      </c>
      <c r="T15" s="7">
        <v>0</v>
      </c>
      <c r="U15" s="1">
        <f t="shared" si="4"/>
        <v>2</v>
      </c>
    </row>
    <row r="16" spans="1:21">
      <c r="A16" s="14">
        <v>113</v>
      </c>
      <c r="B16" s="14"/>
      <c r="C16" s="13">
        <v>12</v>
      </c>
      <c r="D16" s="12">
        <v>4</v>
      </c>
      <c r="E16" s="11" t="s">
        <v>191</v>
      </c>
      <c r="F16" s="3">
        <f t="shared" si="0"/>
        <v>1</v>
      </c>
      <c r="G16" s="5">
        <f>IF(E16="","",VLOOKUP(E16,参考表!$N$2:$O$49,2,0)*1000)</f>
        <v>11000</v>
      </c>
      <c r="H16" s="52" t="s">
        <v>190</v>
      </c>
      <c r="I16" s="3">
        <f t="shared" si="1"/>
        <v>1</v>
      </c>
      <c r="J16" s="5">
        <f>IF(H16="","",VLOOKUP(H16,参考表!$N$2:$O$100,2,0)*1000)</f>
        <v>11000</v>
      </c>
      <c r="L16" s="3" t="str">
        <f t="shared" si="2"/>
        <v/>
      </c>
      <c r="M16" s="5" t="str">
        <f>IF(K16="","",VLOOKUP(K16,参考表!$N$2:$O$49,2,0)*1000)</f>
        <v/>
      </c>
      <c r="O16" s="3" t="str">
        <f t="shared" si="3"/>
        <v/>
      </c>
      <c r="P16" s="5" t="str">
        <f>IF(N16="","",VLOOKUP(N16,参考表!$N$2:$O$49,2,0)*1000)</f>
        <v/>
      </c>
      <c r="Q16" s="10">
        <v>60</v>
      </c>
      <c r="R16" s="10">
        <v>60</v>
      </c>
      <c r="S16" s="7">
        <v>0</v>
      </c>
      <c r="T16" s="7">
        <v>0</v>
      </c>
      <c r="U16" s="1">
        <f t="shared" si="4"/>
        <v>2</v>
      </c>
    </row>
    <row r="17" spans="1:21">
      <c r="A17" s="14">
        <v>114</v>
      </c>
      <c r="B17" s="14" t="s">
        <v>38</v>
      </c>
      <c r="C17" s="13">
        <v>12</v>
      </c>
      <c r="D17" s="12">
        <v>4</v>
      </c>
      <c r="E17" s="11" t="s">
        <v>191</v>
      </c>
      <c r="F17" s="3">
        <f t="shared" si="0"/>
        <v>1</v>
      </c>
      <c r="G17" s="5">
        <f>IF(E17="","",VLOOKUP(E17,参考表!$N$2:$O$49,2,0)*1000)</f>
        <v>11000</v>
      </c>
      <c r="H17" s="52" t="s">
        <v>195</v>
      </c>
      <c r="I17" s="3">
        <f t="shared" si="1"/>
        <v>1</v>
      </c>
      <c r="J17" s="5">
        <f>IF(H17="","",VLOOKUP(H17,参考表!$N$2:$O$100,2,0)*1000)</f>
        <v>11000</v>
      </c>
      <c r="L17" s="3" t="str">
        <f t="shared" si="2"/>
        <v/>
      </c>
      <c r="M17" s="5" t="str">
        <f>IF(K17="","",VLOOKUP(K17,参考表!$N$2:$O$49,2,0)*1000)</f>
        <v/>
      </c>
      <c r="O17" s="3" t="str">
        <f t="shared" si="3"/>
        <v/>
      </c>
      <c r="P17" s="5" t="str">
        <f>IF(N17="","",VLOOKUP(N17,参考表!$N$2:$O$49,2,0)*1000)</f>
        <v/>
      </c>
      <c r="Q17" s="10">
        <v>60</v>
      </c>
      <c r="R17" s="10">
        <v>60</v>
      </c>
      <c r="S17" s="7">
        <v>0</v>
      </c>
      <c r="T17" s="7">
        <v>0</v>
      </c>
      <c r="U17" s="1">
        <f t="shared" si="4"/>
        <v>2</v>
      </c>
    </row>
    <row r="18" spans="1:21">
      <c r="A18" s="14">
        <v>114</v>
      </c>
      <c r="B18" s="14"/>
      <c r="C18" s="13">
        <v>12</v>
      </c>
      <c r="D18" s="12">
        <v>4</v>
      </c>
      <c r="E18" s="11" t="s">
        <v>191</v>
      </c>
      <c r="F18" s="3">
        <f t="shared" si="0"/>
        <v>1</v>
      </c>
      <c r="G18" s="5">
        <f>IF(E18="","",VLOOKUP(E18,参考表!$N$2:$O$49,2,0)*1000)</f>
        <v>11000</v>
      </c>
      <c r="H18" s="52" t="s">
        <v>195</v>
      </c>
      <c r="I18" s="3">
        <f t="shared" si="1"/>
        <v>1</v>
      </c>
      <c r="J18" s="5">
        <f>IF(H18="","",VLOOKUP(H18,参考表!$N$2:$O$100,2,0)*1000)</f>
        <v>11000</v>
      </c>
      <c r="L18" s="3" t="str">
        <f t="shared" si="2"/>
        <v/>
      </c>
      <c r="M18" s="5" t="str">
        <f>IF(K18="","",VLOOKUP(K18,参考表!$N$2:$O$49,2,0)*1000)</f>
        <v/>
      </c>
      <c r="O18" s="3" t="str">
        <f t="shared" si="3"/>
        <v/>
      </c>
      <c r="P18" s="5" t="str">
        <f>IF(N18="","",VLOOKUP(N18,参考表!$N$2:$O$49,2,0)*1000)</f>
        <v/>
      </c>
      <c r="Q18" s="10">
        <v>60</v>
      </c>
      <c r="R18" s="10">
        <v>60</v>
      </c>
      <c r="S18" s="7">
        <v>0</v>
      </c>
      <c r="T18" s="7">
        <v>0</v>
      </c>
      <c r="U18" s="1">
        <f t="shared" si="4"/>
        <v>2</v>
      </c>
    </row>
    <row r="19" spans="1:21">
      <c r="A19" s="14">
        <v>114</v>
      </c>
      <c r="B19" s="14"/>
      <c r="C19" s="13">
        <v>12</v>
      </c>
      <c r="D19" s="12">
        <v>4</v>
      </c>
      <c r="E19" s="11" t="s">
        <v>191</v>
      </c>
      <c r="F19" s="3">
        <f t="shared" si="0"/>
        <v>1</v>
      </c>
      <c r="G19" s="5">
        <f>IF(E19="","",VLOOKUP(E19,参考表!$N$2:$O$49,2,0)*1000)</f>
        <v>11000</v>
      </c>
      <c r="H19" s="52" t="s">
        <v>195</v>
      </c>
      <c r="I19" s="3">
        <f t="shared" si="1"/>
        <v>1</v>
      </c>
      <c r="J19" s="5">
        <f>IF(H19="","",VLOOKUP(H19,参考表!$N$2:$O$100,2,0)*1000)</f>
        <v>11000</v>
      </c>
      <c r="L19" s="3" t="str">
        <f t="shared" si="2"/>
        <v/>
      </c>
      <c r="M19" s="5" t="str">
        <f>IF(K19="","",VLOOKUP(K19,参考表!$N$2:$O$49,2,0)*1000)</f>
        <v/>
      </c>
      <c r="O19" s="3" t="str">
        <f t="shared" si="3"/>
        <v/>
      </c>
      <c r="P19" s="5" t="str">
        <f>IF(N19="","",VLOOKUP(N19,参考表!$N$2:$O$49,2,0)*1000)</f>
        <v/>
      </c>
      <c r="Q19" s="10">
        <v>60</v>
      </c>
      <c r="R19" s="10">
        <v>60</v>
      </c>
      <c r="S19" s="7">
        <v>0</v>
      </c>
      <c r="T19" s="7">
        <v>0</v>
      </c>
      <c r="U19" s="1">
        <f t="shared" si="4"/>
        <v>2</v>
      </c>
    </row>
    <row r="20" spans="1:21">
      <c r="A20" s="14">
        <v>114</v>
      </c>
      <c r="B20" s="14"/>
      <c r="C20" s="13">
        <v>12</v>
      </c>
      <c r="D20" s="12">
        <v>4</v>
      </c>
      <c r="E20" s="11" t="s">
        <v>191</v>
      </c>
      <c r="F20" s="3">
        <f t="shared" si="0"/>
        <v>1</v>
      </c>
      <c r="G20" s="5">
        <f>IF(E20="","",VLOOKUP(E20,参考表!$N$2:$O$49,2,0)*1000)</f>
        <v>11000</v>
      </c>
      <c r="H20" s="52" t="s">
        <v>195</v>
      </c>
      <c r="I20" s="3">
        <f t="shared" si="1"/>
        <v>1</v>
      </c>
      <c r="J20" s="5">
        <f>IF(H20="","",VLOOKUP(H20,参考表!$N$2:$O$100,2,0)*1000)</f>
        <v>11000</v>
      </c>
      <c r="L20" s="3" t="str">
        <f t="shared" si="2"/>
        <v/>
      </c>
      <c r="M20" s="5" t="str">
        <f>IF(K20="","",VLOOKUP(K20,参考表!$N$2:$O$49,2,0)*1000)</f>
        <v/>
      </c>
      <c r="O20" s="3" t="str">
        <f t="shared" si="3"/>
        <v/>
      </c>
      <c r="P20" s="5" t="str">
        <f>IF(N20="","",VLOOKUP(N20,参考表!$N$2:$O$49,2,0)*1000)</f>
        <v/>
      </c>
      <c r="Q20" s="10">
        <v>60</v>
      </c>
      <c r="R20" s="10">
        <v>60</v>
      </c>
      <c r="S20" s="7">
        <v>0</v>
      </c>
      <c r="T20" s="7">
        <v>0</v>
      </c>
      <c r="U20" s="1">
        <f t="shared" si="4"/>
        <v>2</v>
      </c>
    </row>
    <row r="21" spans="1:21">
      <c r="A21" s="14">
        <v>115</v>
      </c>
      <c r="B21" s="14" t="s">
        <v>155</v>
      </c>
      <c r="C21" s="13">
        <v>12</v>
      </c>
      <c r="D21" s="12">
        <v>4</v>
      </c>
      <c r="E21" s="11" t="s">
        <v>187</v>
      </c>
      <c r="F21" s="3">
        <f t="shared" si="0"/>
        <v>1</v>
      </c>
      <c r="G21" s="5">
        <f>IF(E21="","",VLOOKUP(E21,参考表!$N$2:$O$49,2,0)*1000)</f>
        <v>11000</v>
      </c>
      <c r="H21" s="52" t="s">
        <v>202</v>
      </c>
      <c r="I21" s="3">
        <f t="shared" si="1"/>
        <v>1</v>
      </c>
      <c r="J21" s="5">
        <f>IF(H21="","",VLOOKUP(H21,参考表!$N$2:$O$100,2,0)*1000)</f>
        <v>11000</v>
      </c>
      <c r="L21" s="3" t="str">
        <f t="shared" si="2"/>
        <v/>
      </c>
      <c r="M21" s="5" t="str">
        <f>IF(K21="","",VLOOKUP(K21,参考表!$N$2:$O$49,2,0)*1000)</f>
        <v/>
      </c>
      <c r="O21" s="3" t="str">
        <f t="shared" si="3"/>
        <v/>
      </c>
      <c r="P21" s="5" t="str">
        <f>IF(N21="","",VLOOKUP(N21,参考表!$N$2:$O$49,2,0)*1000)</f>
        <v/>
      </c>
      <c r="Q21" s="10">
        <v>60</v>
      </c>
      <c r="R21" s="10">
        <v>60</v>
      </c>
      <c r="S21" s="7">
        <v>0</v>
      </c>
      <c r="T21" s="7">
        <v>0</v>
      </c>
      <c r="U21" s="1">
        <f t="shared" si="4"/>
        <v>2</v>
      </c>
    </row>
    <row r="22" spans="1:21">
      <c r="A22" s="14">
        <v>115</v>
      </c>
      <c r="B22" s="14"/>
      <c r="C22" s="13">
        <v>12</v>
      </c>
      <c r="D22" s="12">
        <v>4</v>
      </c>
      <c r="E22" s="11" t="s">
        <v>187</v>
      </c>
      <c r="F22" s="3">
        <f t="shared" si="0"/>
        <v>1</v>
      </c>
      <c r="G22" s="5">
        <f>IF(E22="","",VLOOKUP(E22,参考表!$N$2:$O$49,2,0)*1000)</f>
        <v>11000</v>
      </c>
      <c r="H22" s="52" t="s">
        <v>202</v>
      </c>
      <c r="I22" s="3">
        <f t="shared" si="1"/>
        <v>1</v>
      </c>
      <c r="J22" s="5">
        <f>IF(H22="","",VLOOKUP(H22,参考表!$N$2:$O$100,2,0)*1000)</f>
        <v>11000</v>
      </c>
      <c r="L22" s="3" t="str">
        <f t="shared" si="2"/>
        <v/>
      </c>
      <c r="M22" s="5" t="str">
        <f>IF(K22="","",VLOOKUP(K22,参考表!$N$2:$O$49,2,0)*1000)</f>
        <v/>
      </c>
      <c r="O22" s="3" t="str">
        <f t="shared" si="3"/>
        <v/>
      </c>
      <c r="P22" s="5" t="str">
        <f>IF(N22="","",VLOOKUP(N22,参考表!$N$2:$O$49,2,0)*1000)</f>
        <v/>
      </c>
      <c r="Q22" s="10">
        <v>60</v>
      </c>
      <c r="R22" s="10">
        <v>60</v>
      </c>
      <c r="S22" s="7">
        <v>0</v>
      </c>
      <c r="T22" s="7">
        <v>0</v>
      </c>
      <c r="U22" s="1">
        <f t="shared" si="4"/>
        <v>2</v>
      </c>
    </row>
    <row r="23" spans="1:21">
      <c r="A23" s="14">
        <v>115</v>
      </c>
      <c r="B23" s="14"/>
      <c r="C23" s="13">
        <v>12</v>
      </c>
      <c r="D23" s="12">
        <v>4</v>
      </c>
      <c r="E23" s="11" t="s">
        <v>187</v>
      </c>
      <c r="F23" s="3">
        <f t="shared" si="0"/>
        <v>1</v>
      </c>
      <c r="G23" s="5">
        <f>IF(E23="","",VLOOKUP(E23,参考表!$N$2:$O$49,2,0)*1000)</f>
        <v>11000</v>
      </c>
      <c r="H23" s="52" t="s">
        <v>202</v>
      </c>
      <c r="I23" s="3">
        <f t="shared" si="1"/>
        <v>1</v>
      </c>
      <c r="J23" s="5">
        <f>IF(H23="","",VLOOKUP(H23,参考表!$N$2:$O$100,2,0)*1000)</f>
        <v>11000</v>
      </c>
      <c r="L23" s="3" t="str">
        <f t="shared" si="2"/>
        <v/>
      </c>
      <c r="M23" s="5" t="str">
        <f>IF(K23="","",VLOOKUP(K23,参考表!$N$2:$O$49,2,0)*1000)</f>
        <v/>
      </c>
      <c r="O23" s="3" t="str">
        <f t="shared" si="3"/>
        <v/>
      </c>
      <c r="P23" s="5" t="str">
        <f>IF(N23="","",VLOOKUP(N23,参考表!$N$2:$O$49,2,0)*1000)</f>
        <v/>
      </c>
      <c r="Q23" s="10">
        <v>60</v>
      </c>
      <c r="R23" s="10">
        <v>60</v>
      </c>
      <c r="S23" s="7">
        <v>0</v>
      </c>
      <c r="T23" s="7">
        <v>0</v>
      </c>
      <c r="U23" s="1">
        <f t="shared" si="4"/>
        <v>2</v>
      </c>
    </row>
    <row r="24" spans="1:21">
      <c r="A24" s="14">
        <v>115</v>
      </c>
      <c r="B24" s="14"/>
      <c r="C24" s="13">
        <v>12</v>
      </c>
      <c r="D24" s="12">
        <v>4</v>
      </c>
      <c r="E24" s="11" t="s">
        <v>187</v>
      </c>
      <c r="F24" s="3">
        <f t="shared" si="0"/>
        <v>1</v>
      </c>
      <c r="G24" s="5">
        <f>IF(E24="","",VLOOKUP(E24,参考表!$N$2:$O$49,2,0)*1000)</f>
        <v>11000</v>
      </c>
      <c r="H24" s="52" t="s">
        <v>202</v>
      </c>
      <c r="I24" s="3">
        <f t="shared" si="1"/>
        <v>1</v>
      </c>
      <c r="J24" s="5">
        <f>IF(H24="","",VLOOKUP(H24,参考表!$N$2:$O$100,2,0)*1000)</f>
        <v>11000</v>
      </c>
      <c r="L24" s="3" t="str">
        <f t="shared" si="2"/>
        <v/>
      </c>
      <c r="M24" s="5" t="str">
        <f>IF(K24="","",VLOOKUP(K24,参考表!$N$2:$O$49,2,0)*1000)</f>
        <v/>
      </c>
      <c r="O24" s="3" t="str">
        <f t="shared" si="3"/>
        <v/>
      </c>
      <c r="P24" s="5" t="str">
        <f>IF(N24="","",VLOOKUP(N24,参考表!$N$2:$O$49,2,0)*1000)</f>
        <v/>
      </c>
      <c r="Q24" s="10">
        <v>60</v>
      </c>
      <c r="R24" s="10">
        <v>60</v>
      </c>
      <c r="S24" s="7">
        <v>0</v>
      </c>
      <c r="T24" s="7">
        <v>0</v>
      </c>
      <c r="U24" s="1">
        <f t="shared" si="4"/>
        <v>2</v>
      </c>
    </row>
    <row r="25" spans="1:21">
      <c r="A25" s="14">
        <v>116</v>
      </c>
      <c r="B25" s="14" t="s">
        <v>156</v>
      </c>
      <c r="C25" s="13">
        <v>12</v>
      </c>
      <c r="D25" s="12">
        <v>4</v>
      </c>
      <c r="E25" s="11" t="s">
        <v>186</v>
      </c>
      <c r="F25" s="3">
        <f t="shared" si="0"/>
        <v>1</v>
      </c>
      <c r="G25" s="5">
        <f>IF(E25="","",VLOOKUP(E25,参考表!$N$2:$O$49,2,0)*1000)</f>
        <v>11000</v>
      </c>
      <c r="H25" s="52" t="s">
        <v>188</v>
      </c>
      <c r="I25" s="3">
        <f t="shared" si="1"/>
        <v>1</v>
      </c>
      <c r="J25" s="5">
        <f>IF(H25="","",VLOOKUP(H25,参考表!$N$2:$O$100,2,0)*1000)</f>
        <v>11000</v>
      </c>
      <c r="L25" s="3" t="str">
        <f t="shared" si="2"/>
        <v/>
      </c>
      <c r="M25" s="5" t="str">
        <f>IF(K25="","",VLOOKUP(K25,参考表!$N$2:$O$49,2,0)*1000)</f>
        <v/>
      </c>
      <c r="O25" s="3" t="str">
        <f t="shared" si="3"/>
        <v/>
      </c>
      <c r="P25" s="5" t="str">
        <f>IF(N25="","",VLOOKUP(N25,参考表!$N$2:$O$49,2,0)*1000)</f>
        <v/>
      </c>
      <c r="Q25" s="10">
        <v>60</v>
      </c>
      <c r="R25" s="10">
        <v>60</v>
      </c>
      <c r="S25" s="7">
        <v>0</v>
      </c>
      <c r="T25" s="7">
        <v>0</v>
      </c>
      <c r="U25" s="1">
        <f t="shared" si="4"/>
        <v>2</v>
      </c>
    </row>
    <row r="26" spans="1:21">
      <c r="A26" s="14">
        <v>116</v>
      </c>
      <c r="B26" s="14"/>
      <c r="C26" s="13">
        <v>12</v>
      </c>
      <c r="D26" s="12">
        <v>4</v>
      </c>
      <c r="E26" s="11" t="s">
        <v>186</v>
      </c>
      <c r="F26" s="3">
        <f t="shared" si="0"/>
        <v>1</v>
      </c>
      <c r="G26" s="5">
        <f>IF(E26="","",VLOOKUP(E26,参考表!$N$2:$O$49,2,0)*1000)</f>
        <v>11000</v>
      </c>
      <c r="H26" s="52" t="s">
        <v>188</v>
      </c>
      <c r="I26" s="3">
        <f t="shared" si="1"/>
        <v>1</v>
      </c>
      <c r="J26" s="5">
        <f>IF(H26="","",VLOOKUP(H26,参考表!$N$2:$O$100,2,0)*1000)</f>
        <v>11000</v>
      </c>
      <c r="L26" s="3" t="str">
        <f t="shared" si="2"/>
        <v/>
      </c>
      <c r="M26" s="5" t="str">
        <f>IF(K26="","",VLOOKUP(K26,参考表!$N$2:$O$49,2,0)*1000)</f>
        <v/>
      </c>
      <c r="O26" s="3" t="str">
        <f t="shared" si="3"/>
        <v/>
      </c>
      <c r="P26" s="5" t="str">
        <f>IF(N26="","",VLOOKUP(N26,参考表!$N$2:$O$49,2,0)*1000)</f>
        <v/>
      </c>
      <c r="Q26" s="10">
        <v>60</v>
      </c>
      <c r="R26" s="10">
        <v>60</v>
      </c>
      <c r="S26" s="7">
        <v>0</v>
      </c>
      <c r="T26" s="7">
        <v>0</v>
      </c>
      <c r="U26" s="1">
        <f t="shared" si="4"/>
        <v>2</v>
      </c>
    </row>
    <row r="27" spans="1:21">
      <c r="A27" s="14">
        <v>116</v>
      </c>
      <c r="B27" s="14"/>
      <c r="C27" s="13">
        <v>12</v>
      </c>
      <c r="D27" s="12">
        <v>4</v>
      </c>
      <c r="E27" s="11" t="s">
        <v>186</v>
      </c>
      <c r="F27" s="3">
        <f t="shared" si="0"/>
        <v>1</v>
      </c>
      <c r="G27" s="5">
        <f>IF(E27="","",VLOOKUP(E27,参考表!$N$2:$O$49,2,0)*1000)</f>
        <v>11000</v>
      </c>
      <c r="H27" s="52" t="s">
        <v>188</v>
      </c>
      <c r="I27" s="3">
        <f t="shared" si="1"/>
        <v>1</v>
      </c>
      <c r="J27" s="5">
        <f>IF(H27="","",VLOOKUP(H27,参考表!$N$2:$O$100,2,0)*1000)</f>
        <v>11000</v>
      </c>
      <c r="L27" s="3" t="str">
        <f t="shared" si="2"/>
        <v/>
      </c>
      <c r="M27" s="5" t="str">
        <f>IF(K27="","",VLOOKUP(K27,参考表!$N$2:$O$49,2,0)*1000)</f>
        <v/>
      </c>
      <c r="O27" s="3" t="str">
        <f t="shared" si="3"/>
        <v/>
      </c>
      <c r="P27" s="5" t="str">
        <f>IF(N27="","",VLOOKUP(N27,参考表!$N$2:$O$49,2,0)*1000)</f>
        <v/>
      </c>
      <c r="Q27" s="10">
        <v>60</v>
      </c>
      <c r="R27" s="10">
        <v>60</v>
      </c>
      <c r="S27" s="7">
        <v>0</v>
      </c>
      <c r="T27" s="7">
        <v>0</v>
      </c>
      <c r="U27" s="1">
        <f t="shared" si="4"/>
        <v>2</v>
      </c>
    </row>
    <row r="28" spans="1:21">
      <c r="A28" s="14">
        <v>116</v>
      </c>
      <c r="B28" s="14"/>
      <c r="C28" s="13">
        <v>12</v>
      </c>
      <c r="D28" s="12">
        <v>4</v>
      </c>
      <c r="E28" s="11" t="s">
        <v>186</v>
      </c>
      <c r="F28" s="3">
        <f t="shared" si="0"/>
        <v>1</v>
      </c>
      <c r="G28" s="5">
        <f>IF(E28="","",VLOOKUP(E28,参考表!$N$2:$O$49,2,0)*1000)</f>
        <v>11000</v>
      </c>
      <c r="H28" s="52" t="s">
        <v>188</v>
      </c>
      <c r="I28" s="3">
        <f t="shared" si="1"/>
        <v>1</v>
      </c>
      <c r="J28" s="5">
        <f>IF(H28="","",VLOOKUP(H28,参考表!$N$2:$O$100,2,0)*1000)</f>
        <v>11000</v>
      </c>
      <c r="L28" s="3" t="str">
        <f t="shared" si="2"/>
        <v/>
      </c>
      <c r="M28" s="5" t="str">
        <f>IF(K28="","",VLOOKUP(K28,参考表!$N$2:$O$49,2,0)*1000)</f>
        <v/>
      </c>
      <c r="O28" s="3" t="str">
        <f t="shared" si="3"/>
        <v/>
      </c>
      <c r="P28" s="5" t="str">
        <f>IF(N28="","",VLOOKUP(N28,参考表!$N$2:$O$49,2,0)*1000)</f>
        <v/>
      </c>
      <c r="Q28" s="10">
        <v>60</v>
      </c>
      <c r="R28" s="10">
        <v>60</v>
      </c>
      <c r="S28" s="7">
        <v>0</v>
      </c>
      <c r="T28" s="7">
        <v>0</v>
      </c>
      <c r="U28" s="1">
        <f t="shared" si="4"/>
        <v>2</v>
      </c>
    </row>
    <row r="29" spans="1:21">
      <c r="A29" s="14">
        <v>117</v>
      </c>
      <c r="B29" s="14" t="s">
        <v>37</v>
      </c>
      <c r="C29" s="13">
        <v>12</v>
      </c>
      <c r="D29" s="12">
        <v>4</v>
      </c>
      <c r="E29" s="11" t="s">
        <v>191</v>
      </c>
      <c r="F29" s="3">
        <f t="shared" si="0"/>
        <v>1</v>
      </c>
      <c r="G29" s="5">
        <f>IF(E29="","",VLOOKUP(E29,参考表!$N$2:$O$49,2,0)*1000)</f>
        <v>11000</v>
      </c>
      <c r="H29" s="52" t="s">
        <v>198</v>
      </c>
      <c r="I29" s="3">
        <f t="shared" si="1"/>
        <v>1</v>
      </c>
      <c r="J29" s="5">
        <f>IF(H29="","",VLOOKUP(H29,参考表!$N$2:$O$100,2,0)*1000)</f>
        <v>11000</v>
      </c>
      <c r="L29" s="3" t="str">
        <f t="shared" si="2"/>
        <v/>
      </c>
      <c r="M29" s="5" t="str">
        <f>IF(K29="","",VLOOKUP(K29,参考表!$N$2:$O$49,2,0)*1000)</f>
        <v/>
      </c>
      <c r="O29" s="3" t="str">
        <f t="shared" si="3"/>
        <v/>
      </c>
      <c r="P29" s="5" t="str">
        <f>IF(N29="","",VLOOKUP(N29,参考表!$N$2:$O$49,2,0)*1000)</f>
        <v/>
      </c>
      <c r="Q29" s="10">
        <v>60</v>
      </c>
      <c r="R29" s="10">
        <v>60</v>
      </c>
      <c r="S29" s="7">
        <v>0</v>
      </c>
      <c r="T29" s="7">
        <v>0</v>
      </c>
      <c r="U29" s="1">
        <f t="shared" si="4"/>
        <v>2</v>
      </c>
    </row>
    <row r="30" spans="1:21">
      <c r="A30" s="14">
        <v>117</v>
      </c>
      <c r="B30" s="14"/>
      <c r="C30" s="13">
        <v>12</v>
      </c>
      <c r="D30" s="12">
        <v>4</v>
      </c>
      <c r="E30" s="11" t="s">
        <v>191</v>
      </c>
      <c r="F30" s="3">
        <f t="shared" si="0"/>
        <v>1</v>
      </c>
      <c r="G30" s="5">
        <f>IF(E30="","",VLOOKUP(E30,参考表!$N$2:$O$49,2,0)*1000)</f>
        <v>11000</v>
      </c>
      <c r="H30" s="52" t="s">
        <v>198</v>
      </c>
      <c r="I30" s="3">
        <f t="shared" si="1"/>
        <v>1</v>
      </c>
      <c r="J30" s="5">
        <f>IF(H30="","",VLOOKUP(H30,参考表!$N$2:$O$100,2,0)*1000)</f>
        <v>11000</v>
      </c>
      <c r="L30" s="3" t="str">
        <f t="shared" si="2"/>
        <v/>
      </c>
      <c r="M30" s="5" t="str">
        <f>IF(K30="","",VLOOKUP(K30,参考表!$N$2:$O$49,2,0)*1000)</f>
        <v/>
      </c>
      <c r="O30" s="3" t="str">
        <f t="shared" si="3"/>
        <v/>
      </c>
      <c r="P30" s="5" t="str">
        <f>IF(N30="","",VLOOKUP(N30,参考表!$N$2:$O$49,2,0)*1000)</f>
        <v/>
      </c>
      <c r="Q30" s="10">
        <v>60</v>
      </c>
      <c r="R30" s="10">
        <v>60</v>
      </c>
      <c r="S30" s="7">
        <v>0</v>
      </c>
      <c r="T30" s="7">
        <v>0</v>
      </c>
      <c r="U30" s="1">
        <f t="shared" si="4"/>
        <v>2</v>
      </c>
    </row>
    <row r="31" spans="1:21">
      <c r="A31" s="14">
        <v>117</v>
      </c>
      <c r="B31" s="14"/>
      <c r="C31" s="13">
        <v>12</v>
      </c>
      <c r="D31" s="12">
        <v>4</v>
      </c>
      <c r="E31" s="11" t="s">
        <v>191</v>
      </c>
      <c r="F31" s="3">
        <f t="shared" si="0"/>
        <v>1</v>
      </c>
      <c r="G31" s="5">
        <f>IF(E31="","",VLOOKUP(E31,参考表!$N$2:$O$49,2,0)*1000)</f>
        <v>11000</v>
      </c>
      <c r="H31" s="52" t="s">
        <v>198</v>
      </c>
      <c r="I31" s="3">
        <f t="shared" si="1"/>
        <v>1</v>
      </c>
      <c r="J31" s="5">
        <f>IF(H31="","",VLOOKUP(H31,参考表!$N$2:$O$100,2,0)*1000)</f>
        <v>11000</v>
      </c>
      <c r="L31" s="3" t="str">
        <f t="shared" si="2"/>
        <v/>
      </c>
      <c r="M31" s="5" t="str">
        <f>IF(K31="","",VLOOKUP(K31,参考表!$N$2:$O$49,2,0)*1000)</f>
        <v/>
      </c>
      <c r="O31" s="3" t="str">
        <f t="shared" si="3"/>
        <v/>
      </c>
      <c r="P31" s="5" t="str">
        <f>IF(N31="","",VLOOKUP(N31,参考表!$N$2:$O$49,2,0)*1000)</f>
        <v/>
      </c>
      <c r="Q31" s="10">
        <v>60</v>
      </c>
      <c r="R31" s="10">
        <v>60</v>
      </c>
      <c r="S31" s="7">
        <v>0</v>
      </c>
      <c r="T31" s="7">
        <v>0</v>
      </c>
      <c r="U31" s="1">
        <f t="shared" si="4"/>
        <v>2</v>
      </c>
    </row>
    <row r="32" spans="1:21">
      <c r="A32" s="14">
        <v>117</v>
      </c>
      <c r="B32" s="14"/>
      <c r="C32" s="13">
        <v>12</v>
      </c>
      <c r="D32" s="12">
        <v>4</v>
      </c>
      <c r="E32" s="11" t="s">
        <v>191</v>
      </c>
      <c r="F32" s="3">
        <f t="shared" si="0"/>
        <v>1</v>
      </c>
      <c r="G32" s="5">
        <f>IF(E32="","",VLOOKUP(E32,参考表!$N$2:$O$49,2,0)*1000)</f>
        <v>11000</v>
      </c>
      <c r="H32" s="52" t="s">
        <v>198</v>
      </c>
      <c r="I32" s="3">
        <f t="shared" si="1"/>
        <v>1</v>
      </c>
      <c r="J32" s="5">
        <f>IF(H32="","",VLOOKUP(H32,参考表!$N$2:$O$100,2,0)*1000)</f>
        <v>11000</v>
      </c>
      <c r="L32" s="3" t="str">
        <f t="shared" si="2"/>
        <v/>
      </c>
      <c r="M32" s="5" t="str">
        <f>IF(K32="","",VLOOKUP(K32,参考表!$N$2:$O$49,2,0)*1000)</f>
        <v/>
      </c>
      <c r="O32" s="3" t="str">
        <f t="shared" si="3"/>
        <v/>
      </c>
      <c r="P32" s="5" t="str">
        <f>IF(N32="","",VLOOKUP(N32,参考表!$N$2:$O$49,2,0)*1000)</f>
        <v/>
      </c>
      <c r="Q32" s="10">
        <v>60</v>
      </c>
      <c r="R32" s="10">
        <v>60</v>
      </c>
      <c r="S32" s="7">
        <v>0</v>
      </c>
      <c r="T32" s="7">
        <v>0</v>
      </c>
      <c r="U32" s="1">
        <f t="shared" si="4"/>
        <v>2</v>
      </c>
    </row>
    <row r="33" spans="1:21" ht="15.75" customHeight="1">
      <c r="A33" s="14">
        <v>201</v>
      </c>
      <c r="B33" s="14" t="s">
        <v>36</v>
      </c>
      <c r="C33" s="13">
        <v>12</v>
      </c>
      <c r="D33" s="12">
        <v>4</v>
      </c>
      <c r="E33" s="17" t="s">
        <v>24</v>
      </c>
      <c r="F33" s="3">
        <f t="shared" si="0"/>
        <v>1</v>
      </c>
      <c r="G33" s="5">
        <f>IF(E33="","",VLOOKUP(E33,参考表!$N$2:$O$49,2,0)*1000)</f>
        <v>11000</v>
      </c>
      <c r="H33" s="24"/>
      <c r="I33" s="3" t="str">
        <f t="shared" si="1"/>
        <v/>
      </c>
      <c r="J33" s="5" t="str">
        <f>IF(H33="","",VLOOKUP(H33,参考表!$N$2:$O$100,2,0)*1000)</f>
        <v/>
      </c>
      <c r="L33" s="3" t="str">
        <f t="shared" si="2"/>
        <v/>
      </c>
      <c r="M33" s="5" t="str">
        <f>IF(K33="","",VLOOKUP(K33,参考表!$N$2:$O$49,2,0)*1000)</f>
        <v/>
      </c>
      <c r="O33" s="3" t="str">
        <f t="shared" si="3"/>
        <v/>
      </c>
      <c r="P33" s="5" t="str">
        <f>IF(N33="","",VLOOKUP(N33,参考表!$N$2:$O$49,2,0)*1000)</f>
        <v/>
      </c>
      <c r="Q33" s="10">
        <v>60</v>
      </c>
      <c r="R33" s="10">
        <v>60</v>
      </c>
      <c r="S33" s="7">
        <v>0</v>
      </c>
      <c r="T33" s="7">
        <v>0</v>
      </c>
      <c r="U33" s="1">
        <f t="shared" si="4"/>
        <v>1</v>
      </c>
    </row>
    <row r="34" spans="1:21" ht="12.75" customHeight="1">
      <c r="A34" s="14">
        <v>202</v>
      </c>
      <c r="B34" s="14" t="s">
        <v>35</v>
      </c>
      <c r="C34" s="13">
        <v>12</v>
      </c>
      <c r="D34" s="12">
        <v>4</v>
      </c>
      <c r="E34" s="16" t="s">
        <v>26</v>
      </c>
      <c r="F34" s="3">
        <f t="shared" si="0"/>
        <v>1</v>
      </c>
      <c r="G34" s="5">
        <f>IF(E34="","",VLOOKUP(E34,参考表!$N$2:$O$49,2,0)*1000)</f>
        <v>11000</v>
      </c>
      <c r="H34" s="24"/>
      <c r="I34" s="3" t="str">
        <f t="shared" si="1"/>
        <v/>
      </c>
      <c r="J34" s="5" t="str">
        <f>IF(H34="","",VLOOKUP(H34,参考表!$N$2:$O$100,2,0)*1000)</f>
        <v/>
      </c>
      <c r="L34" s="3" t="str">
        <f t="shared" ref="L34:L65" si="10">IF(K34="","",1)</f>
        <v/>
      </c>
      <c r="M34" s="5" t="str">
        <f>IF(K34="","",VLOOKUP(K34,参考表!$N$2:$O$49,2,0)*1000)</f>
        <v/>
      </c>
      <c r="O34" s="3" t="str">
        <f t="shared" ref="O34:O65" si="11">IF(N34="","",1)</f>
        <v/>
      </c>
      <c r="P34" s="5" t="str">
        <f>IF(N34="","",VLOOKUP(N34,参考表!$N$2:$O$49,2,0)*1000)</f>
        <v/>
      </c>
      <c r="Q34" s="10">
        <v>60</v>
      </c>
      <c r="R34" s="10">
        <v>60</v>
      </c>
      <c r="S34" s="7">
        <v>0</v>
      </c>
      <c r="T34" s="7">
        <v>0</v>
      </c>
      <c r="U34" s="1">
        <f t="shared" si="4"/>
        <v>1</v>
      </c>
    </row>
    <row r="35" spans="1:21" ht="15.75" customHeight="1">
      <c r="A35" s="14">
        <v>203</v>
      </c>
      <c r="B35" s="14" t="s">
        <v>34</v>
      </c>
      <c r="C35" s="13">
        <v>12</v>
      </c>
      <c r="D35" s="12">
        <v>4</v>
      </c>
      <c r="E35" s="15" t="s">
        <v>33</v>
      </c>
      <c r="F35" s="3">
        <f t="shared" si="0"/>
        <v>1</v>
      </c>
      <c r="G35" s="5">
        <f>IF(E35="","",VLOOKUP(E35,参考表!$N$2:$O$49,2,0)*1000)</f>
        <v>11000</v>
      </c>
      <c r="H35" s="24"/>
      <c r="I35" s="3" t="str">
        <f t="shared" si="1"/>
        <v/>
      </c>
      <c r="J35" s="5" t="str">
        <f>IF(H35="","",VLOOKUP(H35,参考表!$N$2:$O$100,2,0)*1000)</f>
        <v/>
      </c>
      <c r="L35" s="3" t="str">
        <f t="shared" si="10"/>
        <v/>
      </c>
      <c r="M35" s="5" t="str">
        <f>IF(K35="","",VLOOKUP(K35,参考表!$N$2:$O$49,2,0)*1000)</f>
        <v/>
      </c>
      <c r="O35" s="3" t="str">
        <f t="shared" si="11"/>
        <v/>
      </c>
      <c r="P35" s="5" t="str">
        <f>IF(N35="","",VLOOKUP(N35,参考表!$N$2:$O$49,2,0)*1000)</f>
        <v/>
      </c>
      <c r="Q35" s="10">
        <v>60</v>
      </c>
      <c r="R35" s="10">
        <v>60</v>
      </c>
      <c r="S35" s="7">
        <v>0</v>
      </c>
      <c r="T35" s="7">
        <v>0</v>
      </c>
      <c r="U35" s="1">
        <f t="shared" si="4"/>
        <v>1</v>
      </c>
    </row>
    <row r="36" spans="1:21">
      <c r="A36" s="14">
        <v>211</v>
      </c>
      <c r="B36" s="14" t="s">
        <v>32</v>
      </c>
      <c r="C36" s="13">
        <v>12</v>
      </c>
      <c r="D36" s="12">
        <v>4</v>
      </c>
      <c r="E36" s="11" t="s">
        <v>191</v>
      </c>
      <c r="F36" s="3">
        <f t="shared" si="0"/>
        <v>1</v>
      </c>
      <c r="G36" s="5">
        <f>IF(E36="","",VLOOKUP(E36,参考表!$N$2:$O$49,2,0)*1000)</f>
        <v>11000</v>
      </c>
      <c r="H36" s="52" t="s">
        <v>203</v>
      </c>
      <c r="I36" s="3">
        <f t="shared" si="1"/>
        <v>1</v>
      </c>
      <c r="J36" s="5">
        <f>IF(H36="","",VLOOKUP(H36,参考表!$N$2:$O$100,2,0)*1000)</f>
        <v>11000</v>
      </c>
      <c r="L36" s="3" t="str">
        <f t="shared" si="10"/>
        <v/>
      </c>
      <c r="M36" s="5" t="str">
        <f>IF(K36="","",VLOOKUP(K36,参考表!$N$2:$O$49,2,0)*1000)</f>
        <v/>
      </c>
      <c r="O36" s="3" t="str">
        <f t="shared" si="11"/>
        <v/>
      </c>
      <c r="P36" s="5" t="str">
        <f>IF(N36="","",VLOOKUP(N36,参考表!$N$2:$O$49,2,0)*1000)</f>
        <v/>
      </c>
      <c r="Q36" s="10">
        <v>60</v>
      </c>
      <c r="R36" s="10">
        <v>60</v>
      </c>
      <c r="S36" s="7">
        <v>0</v>
      </c>
      <c r="T36" s="7">
        <v>0</v>
      </c>
      <c r="U36" s="1">
        <f t="shared" si="4"/>
        <v>2</v>
      </c>
    </row>
    <row r="37" spans="1:21">
      <c r="A37" s="14">
        <v>211</v>
      </c>
      <c r="B37" s="14"/>
      <c r="C37" s="13">
        <v>12</v>
      </c>
      <c r="D37" s="12">
        <v>4</v>
      </c>
      <c r="E37" s="11" t="s">
        <v>191</v>
      </c>
      <c r="F37" s="3">
        <f t="shared" si="0"/>
        <v>1</v>
      </c>
      <c r="G37" s="5">
        <f>IF(E37="","",VLOOKUP(E37,参考表!$N$2:$O$49,2,0)*1000)</f>
        <v>11000</v>
      </c>
      <c r="H37" s="52" t="s">
        <v>203</v>
      </c>
      <c r="I37" s="3">
        <f t="shared" si="1"/>
        <v>1</v>
      </c>
      <c r="J37" s="5">
        <f>IF(H37="","",VLOOKUP(H37,参考表!$N$2:$O$100,2,0)*1000)</f>
        <v>11000</v>
      </c>
      <c r="L37" s="3" t="str">
        <f t="shared" si="10"/>
        <v/>
      </c>
      <c r="M37" s="5" t="str">
        <f>IF(K37="","",VLOOKUP(K37,参考表!$N$2:$O$49,2,0)*1000)</f>
        <v/>
      </c>
      <c r="O37" s="3" t="str">
        <f t="shared" si="11"/>
        <v/>
      </c>
      <c r="P37" s="5" t="str">
        <f>IF(N37="","",VLOOKUP(N37,参考表!$N$2:$O$49,2,0)*1000)</f>
        <v/>
      </c>
      <c r="Q37" s="10">
        <v>60</v>
      </c>
      <c r="R37" s="10">
        <v>60</v>
      </c>
      <c r="S37" s="7">
        <v>0</v>
      </c>
      <c r="T37" s="7">
        <v>0</v>
      </c>
      <c r="U37" s="1">
        <f t="shared" si="4"/>
        <v>2</v>
      </c>
    </row>
    <row r="38" spans="1:21">
      <c r="A38" s="14">
        <v>211</v>
      </c>
      <c r="B38" s="14"/>
      <c r="C38" s="13">
        <v>12</v>
      </c>
      <c r="D38" s="12">
        <v>4</v>
      </c>
      <c r="E38" s="11" t="s">
        <v>191</v>
      </c>
      <c r="F38" s="3">
        <f t="shared" si="0"/>
        <v>1</v>
      </c>
      <c r="G38" s="5">
        <f>IF(E38="","",VLOOKUP(E38,参考表!$N$2:$O$49,2,0)*1000)</f>
        <v>11000</v>
      </c>
      <c r="H38" s="52" t="s">
        <v>203</v>
      </c>
      <c r="I38" s="3">
        <f t="shared" si="1"/>
        <v>1</v>
      </c>
      <c r="J38" s="5">
        <f>IF(H38="","",VLOOKUP(H38,参考表!$N$2:$O$100,2,0)*1000)</f>
        <v>11000</v>
      </c>
      <c r="L38" s="3" t="str">
        <f t="shared" si="10"/>
        <v/>
      </c>
      <c r="M38" s="5" t="str">
        <f>IF(K38="","",VLOOKUP(K38,参考表!$N$2:$O$49,2,0)*1000)</f>
        <v/>
      </c>
      <c r="O38" s="3" t="str">
        <f t="shared" si="11"/>
        <v/>
      </c>
      <c r="P38" s="5" t="str">
        <f>IF(N38="","",VLOOKUP(N38,参考表!$N$2:$O$49,2,0)*1000)</f>
        <v/>
      </c>
      <c r="Q38" s="10">
        <v>60</v>
      </c>
      <c r="R38" s="10">
        <v>60</v>
      </c>
      <c r="S38" s="7">
        <v>0</v>
      </c>
      <c r="T38" s="7">
        <v>0</v>
      </c>
      <c r="U38" s="1">
        <f t="shared" si="4"/>
        <v>2</v>
      </c>
    </row>
    <row r="39" spans="1:21">
      <c r="A39" s="14">
        <v>211</v>
      </c>
      <c r="B39" s="14"/>
      <c r="C39" s="13">
        <v>12</v>
      </c>
      <c r="D39" s="12">
        <v>4</v>
      </c>
      <c r="E39" s="11" t="s">
        <v>191</v>
      </c>
      <c r="F39" s="3">
        <f t="shared" si="0"/>
        <v>1</v>
      </c>
      <c r="G39" s="5">
        <f>IF(E39="","",VLOOKUP(E39,参考表!$N$2:$O$49,2,0)*1000)</f>
        <v>11000</v>
      </c>
      <c r="H39" s="52" t="s">
        <v>203</v>
      </c>
      <c r="I39" s="3">
        <f t="shared" si="1"/>
        <v>1</v>
      </c>
      <c r="J39" s="5">
        <f>IF(H39="","",VLOOKUP(H39,参考表!$N$2:$O$100,2,0)*1000)</f>
        <v>11000</v>
      </c>
      <c r="L39" s="3" t="str">
        <f t="shared" si="10"/>
        <v/>
      </c>
      <c r="M39" s="5" t="str">
        <f>IF(K39="","",VLOOKUP(K39,参考表!$N$2:$O$49,2,0)*1000)</f>
        <v/>
      </c>
      <c r="O39" s="3" t="str">
        <f t="shared" si="11"/>
        <v/>
      </c>
      <c r="P39" s="5" t="str">
        <f>IF(N39="","",VLOOKUP(N39,参考表!$N$2:$O$49,2,0)*1000)</f>
        <v/>
      </c>
      <c r="Q39" s="10">
        <v>60</v>
      </c>
      <c r="R39" s="10">
        <v>60</v>
      </c>
      <c r="S39" s="7">
        <v>0</v>
      </c>
      <c r="T39" s="7">
        <v>0</v>
      </c>
      <c r="U39" s="1">
        <f t="shared" si="4"/>
        <v>2</v>
      </c>
    </row>
    <row r="40" spans="1:21">
      <c r="A40" s="14">
        <v>212</v>
      </c>
      <c r="B40" s="14" t="s">
        <v>31</v>
      </c>
      <c r="C40" s="13">
        <v>12</v>
      </c>
      <c r="D40" s="12">
        <v>4</v>
      </c>
      <c r="E40" s="11" t="s">
        <v>123</v>
      </c>
      <c r="F40" s="3">
        <f t="shared" si="0"/>
        <v>1</v>
      </c>
      <c r="G40" s="5">
        <f>IF(E40="","",VLOOKUP(E40,参考表!$N$2:$O$49,2,0)*1000)</f>
        <v>11000</v>
      </c>
      <c r="H40" s="52" t="s">
        <v>196</v>
      </c>
      <c r="I40" s="3">
        <f t="shared" si="1"/>
        <v>1</v>
      </c>
      <c r="J40" s="5">
        <f>IF(H40="","",VLOOKUP(H40,参考表!$N$2:$O$100,2,0)*1000)</f>
        <v>11000</v>
      </c>
      <c r="L40" s="3" t="str">
        <f t="shared" si="10"/>
        <v/>
      </c>
      <c r="M40" s="5" t="str">
        <f>IF(K40="","",VLOOKUP(K40,参考表!$N$2:$O$49,2,0)*1000)</f>
        <v/>
      </c>
      <c r="O40" s="3" t="str">
        <f t="shared" si="11"/>
        <v/>
      </c>
      <c r="P40" s="5" t="str">
        <f>IF(N40="","",VLOOKUP(N40,参考表!$N$2:$O$49,2,0)*1000)</f>
        <v/>
      </c>
      <c r="Q40" s="10">
        <v>60</v>
      </c>
      <c r="R40" s="10">
        <v>60</v>
      </c>
      <c r="S40" s="7">
        <v>0</v>
      </c>
      <c r="T40" s="7">
        <v>0</v>
      </c>
      <c r="U40" s="1">
        <f t="shared" si="4"/>
        <v>2</v>
      </c>
    </row>
    <row r="41" spans="1:21">
      <c r="A41" s="14">
        <v>212</v>
      </c>
      <c r="B41" s="14"/>
      <c r="C41" s="13">
        <v>12</v>
      </c>
      <c r="D41" s="12">
        <v>4</v>
      </c>
      <c r="E41" s="11" t="s">
        <v>123</v>
      </c>
      <c r="F41" s="3">
        <f t="shared" si="0"/>
        <v>1</v>
      </c>
      <c r="G41" s="5">
        <f>IF(E41="","",VLOOKUP(E41,参考表!$N$2:$O$49,2,0)*1000)</f>
        <v>11000</v>
      </c>
      <c r="H41" s="52" t="s">
        <v>196</v>
      </c>
      <c r="I41" s="3">
        <f t="shared" si="1"/>
        <v>1</v>
      </c>
      <c r="J41" s="5">
        <f>IF(H41="","",VLOOKUP(H41,参考表!$N$2:$O$100,2,0)*1000)</f>
        <v>11000</v>
      </c>
      <c r="L41" s="3" t="str">
        <f t="shared" si="10"/>
        <v/>
      </c>
      <c r="M41" s="5" t="str">
        <f>IF(K41="","",VLOOKUP(K41,参考表!$N$2:$O$49,2,0)*1000)</f>
        <v/>
      </c>
      <c r="O41" s="3" t="str">
        <f t="shared" si="11"/>
        <v/>
      </c>
      <c r="P41" s="5" t="str">
        <f>IF(N41="","",VLOOKUP(N41,参考表!$N$2:$O$49,2,0)*1000)</f>
        <v/>
      </c>
      <c r="Q41" s="10">
        <v>60</v>
      </c>
      <c r="R41" s="10">
        <v>60</v>
      </c>
      <c r="S41" s="7">
        <v>0</v>
      </c>
      <c r="T41" s="7">
        <v>0</v>
      </c>
      <c r="U41" s="1">
        <f t="shared" si="4"/>
        <v>2</v>
      </c>
    </row>
    <row r="42" spans="1:21">
      <c r="A42" s="14">
        <v>212</v>
      </c>
      <c r="B42" s="14"/>
      <c r="C42" s="13">
        <v>12</v>
      </c>
      <c r="D42" s="12">
        <v>4</v>
      </c>
      <c r="E42" s="11" t="s">
        <v>123</v>
      </c>
      <c r="F42" s="3">
        <f t="shared" si="0"/>
        <v>1</v>
      </c>
      <c r="G42" s="5">
        <f>IF(E42="","",VLOOKUP(E42,参考表!$N$2:$O$49,2,0)*1000)</f>
        <v>11000</v>
      </c>
      <c r="H42" s="52" t="s">
        <v>196</v>
      </c>
      <c r="I42" s="3">
        <f t="shared" si="1"/>
        <v>1</v>
      </c>
      <c r="J42" s="5">
        <f>IF(H42="","",VLOOKUP(H42,参考表!$N$2:$O$100,2,0)*1000)</f>
        <v>11000</v>
      </c>
      <c r="L42" s="3" t="str">
        <f t="shared" si="10"/>
        <v/>
      </c>
      <c r="M42" s="5" t="str">
        <f>IF(K42="","",VLOOKUP(K42,参考表!$N$2:$O$49,2,0)*1000)</f>
        <v/>
      </c>
      <c r="O42" s="3" t="str">
        <f t="shared" si="11"/>
        <v/>
      </c>
      <c r="P42" s="5" t="str">
        <f>IF(N42="","",VLOOKUP(N42,参考表!$N$2:$O$49,2,0)*1000)</f>
        <v/>
      </c>
      <c r="Q42" s="10">
        <v>60</v>
      </c>
      <c r="R42" s="10">
        <v>60</v>
      </c>
      <c r="S42" s="7">
        <v>0</v>
      </c>
      <c r="T42" s="7">
        <v>0</v>
      </c>
      <c r="U42" s="1">
        <f t="shared" si="4"/>
        <v>2</v>
      </c>
    </row>
    <row r="43" spans="1:21">
      <c r="A43" s="14">
        <v>212</v>
      </c>
      <c r="B43" s="14"/>
      <c r="C43" s="13">
        <v>12</v>
      </c>
      <c r="D43" s="12">
        <v>4</v>
      </c>
      <c r="E43" s="11" t="s">
        <v>123</v>
      </c>
      <c r="F43" s="3">
        <f t="shared" si="0"/>
        <v>1</v>
      </c>
      <c r="G43" s="5">
        <f>IF(E43="","",VLOOKUP(E43,参考表!$N$2:$O$49,2,0)*1000)</f>
        <v>11000</v>
      </c>
      <c r="H43" s="52" t="s">
        <v>196</v>
      </c>
      <c r="I43" s="3">
        <f t="shared" si="1"/>
        <v>1</v>
      </c>
      <c r="J43" s="5">
        <f>IF(H43="","",VLOOKUP(H43,参考表!$N$2:$O$100,2,0)*1000)</f>
        <v>11000</v>
      </c>
      <c r="L43" s="3" t="str">
        <f t="shared" si="10"/>
        <v/>
      </c>
      <c r="M43" s="5" t="str">
        <f>IF(K43="","",VLOOKUP(K43,参考表!$N$2:$O$49,2,0)*1000)</f>
        <v/>
      </c>
      <c r="O43" s="3" t="str">
        <f t="shared" si="11"/>
        <v/>
      </c>
      <c r="P43" s="5" t="str">
        <f>IF(N43="","",VLOOKUP(N43,参考表!$N$2:$O$49,2,0)*1000)</f>
        <v/>
      </c>
      <c r="Q43" s="10">
        <v>60</v>
      </c>
      <c r="R43" s="10">
        <v>60</v>
      </c>
      <c r="S43" s="7">
        <v>0</v>
      </c>
      <c r="T43" s="7">
        <v>0</v>
      </c>
      <c r="U43" s="1">
        <f t="shared" si="4"/>
        <v>2</v>
      </c>
    </row>
    <row r="44" spans="1:21">
      <c r="A44" s="14">
        <v>213</v>
      </c>
      <c r="B44" s="14" t="s">
        <v>30</v>
      </c>
      <c r="C44" s="13">
        <v>12</v>
      </c>
      <c r="D44" s="12">
        <v>4</v>
      </c>
      <c r="E44" s="11" t="s">
        <v>191</v>
      </c>
      <c r="F44" s="3">
        <f t="shared" si="0"/>
        <v>1</v>
      </c>
      <c r="G44" s="5">
        <f>IF(E44="","",VLOOKUP(E44,参考表!$N$2:$O$49,2,0)*1000)</f>
        <v>11000</v>
      </c>
      <c r="H44" s="52" t="s">
        <v>190</v>
      </c>
      <c r="I44" s="3">
        <f t="shared" si="1"/>
        <v>1</v>
      </c>
      <c r="J44" s="5">
        <f>IF(H44="","",VLOOKUP(H44,参考表!$N$2:$O$100,2,0)*1000)</f>
        <v>11000</v>
      </c>
      <c r="L44" s="3" t="str">
        <f t="shared" si="10"/>
        <v/>
      </c>
      <c r="M44" s="5" t="str">
        <f>IF(K44="","",VLOOKUP(K44,参考表!$N$2:$O$49,2,0)*1000)</f>
        <v/>
      </c>
      <c r="O44" s="3" t="str">
        <f t="shared" si="11"/>
        <v/>
      </c>
      <c r="P44" s="5" t="str">
        <f>IF(N44="","",VLOOKUP(N44,参考表!$N$2:$O$49,2,0)*1000)</f>
        <v/>
      </c>
      <c r="Q44" s="10">
        <v>60</v>
      </c>
      <c r="R44" s="10">
        <v>60</v>
      </c>
      <c r="S44" s="7">
        <v>0</v>
      </c>
      <c r="T44" s="7">
        <v>0</v>
      </c>
      <c r="U44" s="1">
        <f t="shared" si="4"/>
        <v>2</v>
      </c>
    </row>
    <row r="45" spans="1:21">
      <c r="A45" s="14">
        <v>213</v>
      </c>
      <c r="B45" s="14"/>
      <c r="C45" s="13">
        <v>12</v>
      </c>
      <c r="D45" s="12">
        <v>4</v>
      </c>
      <c r="E45" s="11" t="s">
        <v>191</v>
      </c>
      <c r="F45" s="3">
        <f t="shared" si="0"/>
        <v>1</v>
      </c>
      <c r="G45" s="5">
        <f>IF(E45="","",VLOOKUP(E45,参考表!$N$2:$O$49,2,0)*1000)</f>
        <v>11000</v>
      </c>
      <c r="H45" s="52" t="s">
        <v>190</v>
      </c>
      <c r="I45" s="3">
        <f t="shared" si="1"/>
        <v>1</v>
      </c>
      <c r="J45" s="5">
        <f>IF(H45="","",VLOOKUP(H45,参考表!$N$2:$O$100,2,0)*1000)</f>
        <v>11000</v>
      </c>
      <c r="L45" s="3" t="str">
        <f t="shared" si="10"/>
        <v/>
      </c>
      <c r="M45" s="5" t="str">
        <f>IF(K45="","",VLOOKUP(K45,参考表!$N$2:$O$49,2,0)*1000)</f>
        <v/>
      </c>
      <c r="O45" s="3" t="str">
        <f t="shared" si="11"/>
        <v/>
      </c>
      <c r="P45" s="5" t="str">
        <f>IF(N45="","",VLOOKUP(N45,参考表!$N$2:$O$49,2,0)*1000)</f>
        <v/>
      </c>
      <c r="Q45" s="10">
        <v>60</v>
      </c>
      <c r="R45" s="10">
        <v>60</v>
      </c>
      <c r="S45" s="7">
        <v>0</v>
      </c>
      <c r="T45" s="7">
        <v>0</v>
      </c>
      <c r="U45" s="1">
        <f t="shared" si="4"/>
        <v>2</v>
      </c>
    </row>
    <row r="46" spans="1:21">
      <c r="A46" s="14">
        <v>213</v>
      </c>
      <c r="B46" s="14"/>
      <c r="C46" s="13">
        <v>12</v>
      </c>
      <c r="D46" s="12">
        <v>4</v>
      </c>
      <c r="E46" s="11" t="s">
        <v>191</v>
      </c>
      <c r="F46" s="3">
        <f t="shared" si="0"/>
        <v>1</v>
      </c>
      <c r="G46" s="5">
        <f>IF(E46="","",VLOOKUP(E46,参考表!$N$2:$O$49,2,0)*1000)</f>
        <v>11000</v>
      </c>
      <c r="H46" s="52" t="s">
        <v>190</v>
      </c>
      <c r="I46" s="3">
        <f t="shared" si="1"/>
        <v>1</v>
      </c>
      <c r="J46" s="5">
        <f>IF(H46="","",VLOOKUP(H46,参考表!$N$2:$O$100,2,0)*1000)</f>
        <v>11000</v>
      </c>
      <c r="L46" s="3" t="str">
        <f t="shared" si="10"/>
        <v/>
      </c>
      <c r="M46" s="5" t="str">
        <f>IF(K46="","",VLOOKUP(K46,参考表!$N$2:$O$49,2,0)*1000)</f>
        <v/>
      </c>
      <c r="O46" s="3" t="str">
        <f t="shared" si="11"/>
        <v/>
      </c>
      <c r="P46" s="5" t="str">
        <f>IF(N46="","",VLOOKUP(N46,参考表!$N$2:$O$49,2,0)*1000)</f>
        <v/>
      </c>
      <c r="Q46" s="10">
        <v>60</v>
      </c>
      <c r="R46" s="10">
        <v>60</v>
      </c>
      <c r="S46" s="7">
        <v>0</v>
      </c>
      <c r="T46" s="7">
        <v>0</v>
      </c>
      <c r="U46" s="1">
        <f t="shared" si="4"/>
        <v>2</v>
      </c>
    </row>
    <row r="47" spans="1:21">
      <c r="A47" s="14">
        <v>213</v>
      </c>
      <c r="B47" s="14"/>
      <c r="C47" s="13">
        <v>12</v>
      </c>
      <c r="D47" s="12">
        <v>4</v>
      </c>
      <c r="E47" s="11" t="s">
        <v>191</v>
      </c>
      <c r="F47" s="3">
        <f t="shared" si="0"/>
        <v>1</v>
      </c>
      <c r="G47" s="5">
        <f>IF(E47="","",VLOOKUP(E47,参考表!$N$2:$O$49,2,0)*1000)</f>
        <v>11000</v>
      </c>
      <c r="H47" s="52" t="s">
        <v>190</v>
      </c>
      <c r="I47" s="3">
        <f t="shared" si="1"/>
        <v>1</v>
      </c>
      <c r="J47" s="5">
        <f>IF(H47="","",VLOOKUP(H47,参考表!$N$2:$O$100,2,0)*1000)</f>
        <v>11000</v>
      </c>
      <c r="L47" s="3" t="str">
        <f t="shared" si="10"/>
        <v/>
      </c>
      <c r="M47" s="5" t="str">
        <f>IF(K47="","",VLOOKUP(K47,参考表!$N$2:$O$49,2,0)*1000)</f>
        <v/>
      </c>
      <c r="O47" s="3" t="str">
        <f t="shared" si="11"/>
        <v/>
      </c>
      <c r="P47" s="5" t="str">
        <f>IF(N47="","",VLOOKUP(N47,参考表!$N$2:$O$49,2,0)*1000)</f>
        <v/>
      </c>
      <c r="Q47" s="10">
        <v>60</v>
      </c>
      <c r="R47" s="10">
        <v>60</v>
      </c>
      <c r="S47" s="7">
        <v>0</v>
      </c>
      <c r="T47" s="7">
        <v>0</v>
      </c>
      <c r="U47" s="1">
        <f t="shared" si="4"/>
        <v>2</v>
      </c>
    </row>
    <row r="48" spans="1:21">
      <c r="A48" s="14">
        <v>214</v>
      </c>
      <c r="B48" s="14" t="s">
        <v>29</v>
      </c>
      <c r="C48" s="13">
        <v>12</v>
      </c>
      <c r="D48" s="12">
        <v>4</v>
      </c>
      <c r="E48" s="11" t="s">
        <v>1</v>
      </c>
      <c r="F48" s="3">
        <f t="shared" si="0"/>
        <v>1</v>
      </c>
      <c r="G48" s="5">
        <f>IF(E48="","",VLOOKUP(E48,参考表!$N$2:$O$49,2,0)*1000)</f>
        <v>11000</v>
      </c>
      <c r="H48" s="52" t="s">
        <v>195</v>
      </c>
      <c r="I48" s="3">
        <f t="shared" si="1"/>
        <v>1</v>
      </c>
      <c r="J48" s="5">
        <f>IF(H48="","",VLOOKUP(H48,参考表!$N$2:$O$100,2,0)*1000)</f>
        <v>11000</v>
      </c>
      <c r="L48" s="3" t="str">
        <f t="shared" si="10"/>
        <v/>
      </c>
      <c r="M48" s="5" t="str">
        <f>IF(K48="","",VLOOKUP(K48,参考表!$N$2:$O$49,2,0)*1000)</f>
        <v/>
      </c>
      <c r="O48" s="3" t="str">
        <f t="shared" si="11"/>
        <v/>
      </c>
      <c r="P48" s="5" t="str">
        <f>IF(N48="","",VLOOKUP(N48,参考表!$N$2:$O$49,2,0)*1000)</f>
        <v/>
      </c>
      <c r="Q48" s="10">
        <v>60</v>
      </c>
      <c r="R48" s="10">
        <v>60</v>
      </c>
      <c r="S48" s="7">
        <v>0</v>
      </c>
      <c r="T48" s="7">
        <v>0</v>
      </c>
      <c r="U48" s="1">
        <f t="shared" si="4"/>
        <v>2</v>
      </c>
    </row>
    <row r="49" spans="1:21">
      <c r="A49" s="14">
        <v>214</v>
      </c>
      <c r="B49" s="14"/>
      <c r="C49" s="13">
        <v>12</v>
      </c>
      <c r="D49" s="12">
        <v>4</v>
      </c>
      <c r="E49" s="11" t="s">
        <v>179</v>
      </c>
      <c r="F49" s="3">
        <f t="shared" si="0"/>
        <v>1</v>
      </c>
      <c r="G49" s="5">
        <f>IF(E49="","",VLOOKUP(E49,参考表!$N$2:$O$49,2,0)*1000)</f>
        <v>11000</v>
      </c>
      <c r="H49" s="52" t="s">
        <v>195</v>
      </c>
      <c r="I49" s="3">
        <f t="shared" si="1"/>
        <v>1</v>
      </c>
      <c r="J49" s="5">
        <f>IF(H49="","",VLOOKUP(H49,参考表!$N$2:$O$100,2,0)*1000)</f>
        <v>11000</v>
      </c>
      <c r="L49" s="3" t="str">
        <f t="shared" si="10"/>
        <v/>
      </c>
      <c r="M49" s="5" t="str">
        <f>IF(K49="","",VLOOKUP(K49,参考表!$N$2:$O$49,2,0)*1000)</f>
        <v/>
      </c>
      <c r="O49" s="3" t="str">
        <f t="shared" si="11"/>
        <v/>
      </c>
      <c r="P49" s="5" t="str">
        <f>IF(N49="","",VLOOKUP(N49,参考表!$N$2:$O$49,2,0)*1000)</f>
        <v/>
      </c>
      <c r="Q49" s="10">
        <v>60</v>
      </c>
      <c r="R49" s="10">
        <v>60</v>
      </c>
      <c r="S49" s="7">
        <v>0</v>
      </c>
      <c r="T49" s="7">
        <v>0</v>
      </c>
      <c r="U49" s="1">
        <f t="shared" si="4"/>
        <v>2</v>
      </c>
    </row>
    <row r="50" spans="1:21">
      <c r="A50" s="14">
        <v>214</v>
      </c>
      <c r="B50" s="14"/>
      <c r="C50" s="13">
        <v>12</v>
      </c>
      <c r="D50" s="12">
        <v>4</v>
      </c>
      <c r="E50" s="11" t="s">
        <v>179</v>
      </c>
      <c r="F50" s="3">
        <f t="shared" si="0"/>
        <v>1</v>
      </c>
      <c r="G50" s="5">
        <f>IF(E50="","",VLOOKUP(E50,参考表!$N$2:$O$49,2,0)*1000)</f>
        <v>11000</v>
      </c>
      <c r="H50" s="52" t="s">
        <v>195</v>
      </c>
      <c r="I50" s="3">
        <f t="shared" si="1"/>
        <v>1</v>
      </c>
      <c r="J50" s="5">
        <f>IF(H50="","",VLOOKUP(H50,参考表!$N$2:$O$100,2,0)*1000)</f>
        <v>11000</v>
      </c>
      <c r="L50" s="3" t="str">
        <f t="shared" si="10"/>
        <v/>
      </c>
      <c r="M50" s="5" t="str">
        <f>IF(K50="","",VLOOKUP(K50,参考表!$N$2:$O$49,2,0)*1000)</f>
        <v/>
      </c>
      <c r="O50" s="3" t="str">
        <f t="shared" si="11"/>
        <v/>
      </c>
      <c r="P50" s="5" t="str">
        <f>IF(N50="","",VLOOKUP(N50,参考表!$N$2:$O$49,2,0)*1000)</f>
        <v/>
      </c>
      <c r="Q50" s="10">
        <v>60</v>
      </c>
      <c r="R50" s="10">
        <v>60</v>
      </c>
      <c r="S50" s="7">
        <v>0</v>
      </c>
      <c r="T50" s="7">
        <v>0</v>
      </c>
      <c r="U50" s="1">
        <f t="shared" si="4"/>
        <v>2</v>
      </c>
    </row>
    <row r="51" spans="1:21">
      <c r="A51" s="14">
        <v>214</v>
      </c>
      <c r="B51" s="14"/>
      <c r="C51" s="13">
        <v>12</v>
      </c>
      <c r="D51" s="12">
        <v>4</v>
      </c>
      <c r="E51" s="11" t="s">
        <v>179</v>
      </c>
      <c r="F51" s="3">
        <f t="shared" si="0"/>
        <v>1</v>
      </c>
      <c r="G51" s="5">
        <f>IF(E51="","",VLOOKUP(E51,参考表!$N$2:$O$49,2,0)*1000)</f>
        <v>11000</v>
      </c>
      <c r="H51" s="52" t="s">
        <v>195</v>
      </c>
      <c r="I51" s="3">
        <f t="shared" si="1"/>
        <v>1</v>
      </c>
      <c r="J51" s="5">
        <f>IF(H51="","",VLOOKUP(H51,参考表!$N$2:$O$100,2,0)*1000)</f>
        <v>11000</v>
      </c>
      <c r="L51" s="3" t="str">
        <f t="shared" si="10"/>
        <v/>
      </c>
      <c r="M51" s="5" t="str">
        <f>IF(K51="","",VLOOKUP(K51,参考表!$N$2:$O$49,2,0)*1000)</f>
        <v/>
      </c>
      <c r="O51" s="3" t="str">
        <f t="shared" si="11"/>
        <v/>
      </c>
      <c r="P51" s="5" t="str">
        <f>IF(N51="","",VLOOKUP(N51,参考表!$N$2:$O$49,2,0)*1000)</f>
        <v/>
      </c>
      <c r="Q51" s="10">
        <v>60</v>
      </c>
      <c r="R51" s="10">
        <v>60</v>
      </c>
      <c r="S51" s="7">
        <v>0</v>
      </c>
      <c r="T51" s="7">
        <v>0</v>
      </c>
      <c r="U51" s="1">
        <f t="shared" si="4"/>
        <v>2</v>
      </c>
    </row>
    <row r="52" spans="1:21">
      <c r="A52" s="14">
        <v>215</v>
      </c>
      <c r="B52" s="14" t="s">
        <v>158</v>
      </c>
      <c r="C52" s="13">
        <v>12</v>
      </c>
      <c r="D52" s="12">
        <v>4</v>
      </c>
      <c r="E52" s="11" t="s">
        <v>187</v>
      </c>
      <c r="F52" s="3">
        <f t="shared" si="0"/>
        <v>1</v>
      </c>
      <c r="G52" s="5">
        <f>IF(E52="","",VLOOKUP(E52,参考表!$N$2:$O$49,2,0)*1000)</f>
        <v>11000</v>
      </c>
      <c r="H52" s="52" t="s">
        <v>202</v>
      </c>
      <c r="I52" s="3">
        <f t="shared" si="1"/>
        <v>1</v>
      </c>
      <c r="J52" s="5">
        <f>IF(H52="","",VLOOKUP(H52,参考表!$N$2:$O$100,2,0)*1000)</f>
        <v>11000</v>
      </c>
      <c r="L52" s="3" t="str">
        <f t="shared" si="10"/>
        <v/>
      </c>
      <c r="M52" s="5" t="str">
        <f>IF(K52="","",VLOOKUP(K52,参考表!$N$2:$O$49,2,0)*1000)</f>
        <v/>
      </c>
      <c r="O52" s="3" t="str">
        <f t="shared" si="11"/>
        <v/>
      </c>
      <c r="P52" s="5" t="str">
        <f>IF(N52="","",VLOOKUP(N52,参考表!$N$2:$O$49,2,0)*1000)</f>
        <v/>
      </c>
      <c r="Q52" s="10">
        <v>60</v>
      </c>
      <c r="R52" s="10">
        <v>60</v>
      </c>
      <c r="S52" s="7">
        <v>0</v>
      </c>
      <c r="T52" s="7">
        <v>0</v>
      </c>
      <c r="U52" s="1">
        <f t="shared" si="4"/>
        <v>2</v>
      </c>
    </row>
    <row r="53" spans="1:21">
      <c r="A53" s="14">
        <v>215</v>
      </c>
      <c r="B53" s="14"/>
      <c r="C53" s="13">
        <v>12</v>
      </c>
      <c r="D53" s="12">
        <v>4</v>
      </c>
      <c r="E53" s="11" t="s">
        <v>187</v>
      </c>
      <c r="F53" s="3">
        <f t="shared" si="0"/>
        <v>1</v>
      </c>
      <c r="G53" s="5">
        <f>IF(E53="","",VLOOKUP(E53,参考表!$N$2:$O$49,2,0)*1000)</f>
        <v>11000</v>
      </c>
      <c r="H53" s="52" t="s">
        <v>202</v>
      </c>
      <c r="I53" s="3">
        <f t="shared" si="1"/>
        <v>1</v>
      </c>
      <c r="J53" s="5">
        <f>IF(H53="","",VLOOKUP(H53,参考表!$N$2:$O$100,2,0)*1000)</f>
        <v>11000</v>
      </c>
      <c r="L53" s="3" t="str">
        <f t="shared" si="10"/>
        <v/>
      </c>
      <c r="M53" s="5" t="str">
        <f>IF(K53="","",VLOOKUP(K53,参考表!$N$2:$O$49,2,0)*1000)</f>
        <v/>
      </c>
      <c r="O53" s="3" t="str">
        <f t="shared" si="11"/>
        <v/>
      </c>
      <c r="P53" s="5" t="str">
        <f>IF(N53="","",VLOOKUP(N53,参考表!$N$2:$O$49,2,0)*1000)</f>
        <v/>
      </c>
      <c r="Q53" s="10">
        <v>60</v>
      </c>
      <c r="R53" s="10">
        <v>60</v>
      </c>
      <c r="S53" s="7">
        <v>0</v>
      </c>
      <c r="T53" s="7">
        <v>0</v>
      </c>
      <c r="U53" s="1">
        <f t="shared" si="4"/>
        <v>2</v>
      </c>
    </row>
    <row r="54" spans="1:21">
      <c r="A54" s="14">
        <v>215</v>
      </c>
      <c r="B54" s="14"/>
      <c r="C54" s="13">
        <v>12</v>
      </c>
      <c r="D54" s="12">
        <v>4</v>
      </c>
      <c r="E54" s="11" t="s">
        <v>187</v>
      </c>
      <c r="F54" s="3">
        <f t="shared" si="0"/>
        <v>1</v>
      </c>
      <c r="G54" s="5">
        <f>IF(E54="","",VLOOKUP(E54,参考表!$N$2:$O$49,2,0)*1000)</f>
        <v>11000</v>
      </c>
      <c r="H54" s="52" t="s">
        <v>202</v>
      </c>
      <c r="I54" s="3">
        <f t="shared" si="1"/>
        <v>1</v>
      </c>
      <c r="J54" s="5">
        <f>IF(H54="","",VLOOKUP(H54,参考表!$N$2:$O$100,2,0)*1000)</f>
        <v>11000</v>
      </c>
      <c r="L54" s="3" t="str">
        <f t="shared" si="10"/>
        <v/>
      </c>
      <c r="M54" s="5" t="str">
        <f>IF(K54="","",VLOOKUP(K54,参考表!$N$2:$O$49,2,0)*1000)</f>
        <v/>
      </c>
      <c r="O54" s="3" t="str">
        <f t="shared" si="11"/>
        <v/>
      </c>
      <c r="P54" s="5" t="str">
        <f>IF(N54="","",VLOOKUP(N54,参考表!$N$2:$O$49,2,0)*1000)</f>
        <v/>
      </c>
      <c r="Q54" s="10">
        <v>60</v>
      </c>
      <c r="R54" s="10">
        <v>60</v>
      </c>
      <c r="S54" s="7">
        <v>0</v>
      </c>
      <c r="T54" s="7">
        <v>0</v>
      </c>
      <c r="U54" s="1">
        <f t="shared" si="4"/>
        <v>2</v>
      </c>
    </row>
    <row r="55" spans="1:21">
      <c r="A55" s="14">
        <v>215</v>
      </c>
      <c r="B55" s="14"/>
      <c r="C55" s="13">
        <v>12</v>
      </c>
      <c r="D55" s="12">
        <v>4</v>
      </c>
      <c r="E55" s="11" t="s">
        <v>187</v>
      </c>
      <c r="F55" s="3">
        <f t="shared" si="0"/>
        <v>1</v>
      </c>
      <c r="G55" s="5">
        <f>IF(E55="","",VLOOKUP(E55,参考表!$N$2:$O$49,2,0)*1000)</f>
        <v>11000</v>
      </c>
      <c r="H55" s="52" t="s">
        <v>202</v>
      </c>
      <c r="I55" s="3">
        <f t="shared" si="1"/>
        <v>1</v>
      </c>
      <c r="J55" s="5">
        <f>IF(H55="","",VLOOKUP(H55,参考表!$N$2:$O$100,2,0)*1000)</f>
        <v>11000</v>
      </c>
      <c r="L55" s="3" t="str">
        <f t="shared" si="10"/>
        <v/>
      </c>
      <c r="M55" s="5" t="str">
        <f>IF(K55="","",VLOOKUP(K55,参考表!$N$2:$O$49,2,0)*1000)</f>
        <v/>
      </c>
      <c r="O55" s="3" t="str">
        <f t="shared" si="11"/>
        <v/>
      </c>
      <c r="P55" s="5" t="str">
        <f>IF(N55="","",VLOOKUP(N55,参考表!$N$2:$O$49,2,0)*1000)</f>
        <v/>
      </c>
      <c r="Q55" s="10">
        <v>60</v>
      </c>
      <c r="R55" s="10">
        <v>60</v>
      </c>
      <c r="S55" s="7">
        <v>0</v>
      </c>
      <c r="T55" s="7">
        <v>0</v>
      </c>
      <c r="U55" s="1">
        <f t="shared" si="4"/>
        <v>2</v>
      </c>
    </row>
    <row r="56" spans="1:21">
      <c r="A56" s="14">
        <v>216</v>
      </c>
      <c r="B56" s="14" t="s">
        <v>157</v>
      </c>
      <c r="C56" s="13">
        <v>12</v>
      </c>
      <c r="D56" s="12">
        <v>4</v>
      </c>
      <c r="E56" s="11" t="s">
        <v>186</v>
      </c>
      <c r="F56" s="3">
        <f t="shared" si="0"/>
        <v>1</v>
      </c>
      <c r="G56" s="5">
        <f>IF(E56="","",VLOOKUP(E56,参考表!$N$2:$O$49,2,0)*1000)</f>
        <v>11000</v>
      </c>
      <c r="H56" s="52" t="s">
        <v>188</v>
      </c>
      <c r="I56" s="3">
        <f t="shared" si="1"/>
        <v>1</v>
      </c>
      <c r="J56" s="5">
        <f>IF(H56="","",VLOOKUP(H56,参考表!$N$2:$O$100,2,0)*1000)</f>
        <v>11000</v>
      </c>
      <c r="L56" s="3" t="str">
        <f t="shared" si="10"/>
        <v/>
      </c>
      <c r="M56" s="5" t="str">
        <f>IF(K56="","",VLOOKUP(K56,参考表!$N$2:$O$49,2,0)*1000)</f>
        <v/>
      </c>
      <c r="O56" s="3" t="str">
        <f t="shared" si="11"/>
        <v/>
      </c>
      <c r="P56" s="5" t="str">
        <f>IF(N56="","",VLOOKUP(N56,参考表!$N$2:$O$49,2,0)*1000)</f>
        <v/>
      </c>
      <c r="Q56" s="10">
        <v>60</v>
      </c>
      <c r="R56" s="10">
        <v>60</v>
      </c>
      <c r="S56" s="7">
        <v>0</v>
      </c>
      <c r="T56" s="7">
        <v>0</v>
      </c>
      <c r="U56" s="1">
        <f t="shared" si="4"/>
        <v>2</v>
      </c>
    </row>
    <row r="57" spans="1:21">
      <c r="A57" s="14">
        <v>216</v>
      </c>
      <c r="B57" s="14"/>
      <c r="C57" s="13">
        <v>12</v>
      </c>
      <c r="D57" s="12">
        <v>4</v>
      </c>
      <c r="E57" s="11" t="s">
        <v>186</v>
      </c>
      <c r="F57" s="3">
        <f t="shared" si="0"/>
        <v>1</v>
      </c>
      <c r="G57" s="5">
        <f>IF(E57="","",VLOOKUP(E57,参考表!$N$2:$O$49,2,0)*1000)</f>
        <v>11000</v>
      </c>
      <c r="H57" s="52" t="s">
        <v>188</v>
      </c>
      <c r="I57" s="3">
        <f t="shared" si="1"/>
        <v>1</v>
      </c>
      <c r="J57" s="5">
        <f>IF(H57="","",VLOOKUP(H57,参考表!$N$2:$O$100,2,0)*1000)</f>
        <v>11000</v>
      </c>
      <c r="L57" s="3" t="str">
        <f t="shared" si="10"/>
        <v/>
      </c>
      <c r="M57" s="5" t="str">
        <f>IF(K57="","",VLOOKUP(K57,参考表!$N$2:$O$49,2,0)*1000)</f>
        <v/>
      </c>
      <c r="O57" s="3" t="str">
        <f t="shared" si="11"/>
        <v/>
      </c>
      <c r="P57" s="5" t="str">
        <f>IF(N57="","",VLOOKUP(N57,参考表!$N$2:$O$49,2,0)*1000)</f>
        <v/>
      </c>
      <c r="Q57" s="10">
        <v>60</v>
      </c>
      <c r="R57" s="10">
        <v>60</v>
      </c>
      <c r="S57" s="7">
        <v>0</v>
      </c>
      <c r="T57" s="7">
        <v>0</v>
      </c>
      <c r="U57" s="1">
        <f t="shared" si="4"/>
        <v>2</v>
      </c>
    </row>
    <row r="58" spans="1:21">
      <c r="A58" s="14">
        <v>216</v>
      </c>
      <c r="B58" s="14"/>
      <c r="C58" s="13">
        <v>12</v>
      </c>
      <c r="D58" s="12">
        <v>4</v>
      </c>
      <c r="E58" s="11" t="s">
        <v>186</v>
      </c>
      <c r="F58" s="3">
        <f t="shared" si="0"/>
        <v>1</v>
      </c>
      <c r="G58" s="5">
        <f>IF(E58="","",VLOOKUP(E58,参考表!$N$2:$O$49,2,0)*1000)</f>
        <v>11000</v>
      </c>
      <c r="H58" s="52" t="s">
        <v>188</v>
      </c>
      <c r="I58" s="3">
        <f t="shared" si="1"/>
        <v>1</v>
      </c>
      <c r="J58" s="5">
        <f>IF(H58="","",VLOOKUP(H58,参考表!$N$2:$O$100,2,0)*1000)</f>
        <v>11000</v>
      </c>
      <c r="L58" s="3" t="str">
        <f t="shared" si="10"/>
        <v/>
      </c>
      <c r="M58" s="5" t="str">
        <f>IF(K58="","",VLOOKUP(K58,参考表!$N$2:$O$49,2,0)*1000)</f>
        <v/>
      </c>
      <c r="O58" s="3" t="str">
        <f t="shared" si="11"/>
        <v/>
      </c>
      <c r="P58" s="5" t="str">
        <f>IF(N58="","",VLOOKUP(N58,参考表!$N$2:$O$49,2,0)*1000)</f>
        <v/>
      </c>
      <c r="Q58" s="10">
        <v>60</v>
      </c>
      <c r="R58" s="10">
        <v>60</v>
      </c>
      <c r="S58" s="7">
        <v>0</v>
      </c>
      <c r="T58" s="7">
        <v>0</v>
      </c>
      <c r="U58" s="1">
        <f t="shared" si="4"/>
        <v>2</v>
      </c>
    </row>
    <row r="59" spans="1:21">
      <c r="A59" s="14">
        <v>216</v>
      </c>
      <c r="B59" s="14"/>
      <c r="C59" s="13">
        <v>12</v>
      </c>
      <c r="D59" s="12">
        <v>4</v>
      </c>
      <c r="E59" s="11" t="s">
        <v>186</v>
      </c>
      <c r="F59" s="3">
        <f t="shared" si="0"/>
        <v>1</v>
      </c>
      <c r="G59" s="5">
        <f>IF(E59="","",VLOOKUP(E59,参考表!$N$2:$O$49,2,0)*1000)</f>
        <v>11000</v>
      </c>
      <c r="H59" s="52" t="s">
        <v>188</v>
      </c>
      <c r="I59" s="3">
        <f t="shared" si="1"/>
        <v>1</v>
      </c>
      <c r="J59" s="5">
        <f>IF(H59="","",VLOOKUP(H59,参考表!$N$2:$O$100,2,0)*1000)</f>
        <v>11000</v>
      </c>
      <c r="L59" s="3" t="str">
        <f t="shared" si="10"/>
        <v/>
      </c>
      <c r="M59" s="5" t="str">
        <f>IF(K59="","",VLOOKUP(K59,参考表!$N$2:$O$49,2,0)*1000)</f>
        <v/>
      </c>
      <c r="O59" s="3" t="str">
        <f t="shared" si="11"/>
        <v/>
      </c>
      <c r="P59" s="5" t="str">
        <f>IF(N59="","",VLOOKUP(N59,参考表!$N$2:$O$49,2,0)*1000)</f>
        <v/>
      </c>
      <c r="Q59" s="10">
        <v>60</v>
      </c>
      <c r="R59" s="10">
        <v>60</v>
      </c>
      <c r="S59" s="7">
        <v>0</v>
      </c>
      <c r="T59" s="7">
        <v>0</v>
      </c>
      <c r="U59" s="1">
        <f t="shared" si="4"/>
        <v>2</v>
      </c>
    </row>
    <row r="60" spans="1:21">
      <c r="A60" s="14">
        <v>217</v>
      </c>
      <c r="B60" s="14" t="s">
        <v>28</v>
      </c>
      <c r="C60" s="13">
        <v>12</v>
      </c>
      <c r="D60" s="12">
        <v>4</v>
      </c>
      <c r="E60" s="11" t="s">
        <v>179</v>
      </c>
      <c r="F60" s="3">
        <f t="shared" si="0"/>
        <v>1</v>
      </c>
      <c r="G60" s="5">
        <f>IF(E60="","",VLOOKUP(E60,参考表!$N$2:$O$49,2,0)*1000)</f>
        <v>11000</v>
      </c>
      <c r="H60" s="52" t="s">
        <v>198</v>
      </c>
      <c r="I60" s="3">
        <f t="shared" si="1"/>
        <v>1</v>
      </c>
      <c r="J60" s="5">
        <f>IF(H60="","",VLOOKUP(H60,参考表!$N$2:$O$100,2,0)*1000)</f>
        <v>11000</v>
      </c>
      <c r="L60" s="3" t="str">
        <f t="shared" si="10"/>
        <v/>
      </c>
      <c r="M60" s="5" t="str">
        <f>IF(K60="","",VLOOKUP(K60,参考表!$N$2:$O$49,2,0)*1000)</f>
        <v/>
      </c>
      <c r="O60" s="3" t="str">
        <f t="shared" si="11"/>
        <v/>
      </c>
      <c r="P60" s="5" t="str">
        <f>IF(N60="","",VLOOKUP(N60,参考表!$N$2:$O$49,2,0)*1000)</f>
        <v/>
      </c>
      <c r="Q60" s="10">
        <v>60</v>
      </c>
      <c r="R60" s="10">
        <v>60</v>
      </c>
      <c r="S60" s="7">
        <v>0</v>
      </c>
      <c r="T60" s="7">
        <v>0</v>
      </c>
      <c r="U60" s="1">
        <f t="shared" si="4"/>
        <v>2</v>
      </c>
    </row>
    <row r="61" spans="1:21">
      <c r="A61" s="14">
        <v>217</v>
      </c>
      <c r="B61" s="14"/>
      <c r="C61" s="13">
        <v>12</v>
      </c>
      <c r="D61" s="12">
        <v>4</v>
      </c>
      <c r="E61" s="11" t="s">
        <v>179</v>
      </c>
      <c r="F61" s="3">
        <f t="shared" si="0"/>
        <v>1</v>
      </c>
      <c r="G61" s="5">
        <f>IF(E61="","",VLOOKUP(E61,参考表!$N$2:$O$49,2,0)*1000)</f>
        <v>11000</v>
      </c>
      <c r="H61" s="52" t="s">
        <v>198</v>
      </c>
      <c r="I61" s="3">
        <f t="shared" si="1"/>
        <v>1</v>
      </c>
      <c r="J61" s="5">
        <f>IF(H61="","",VLOOKUP(H61,参考表!$N$2:$O$100,2,0)*1000)</f>
        <v>11000</v>
      </c>
      <c r="L61" s="3" t="str">
        <f t="shared" si="10"/>
        <v/>
      </c>
      <c r="M61" s="5" t="str">
        <f>IF(K61="","",VLOOKUP(K61,参考表!$N$2:$O$49,2,0)*1000)</f>
        <v/>
      </c>
      <c r="O61" s="3" t="str">
        <f t="shared" si="11"/>
        <v/>
      </c>
      <c r="P61" s="5" t="str">
        <f>IF(N61="","",VLOOKUP(N61,参考表!$N$2:$O$49,2,0)*1000)</f>
        <v/>
      </c>
      <c r="Q61" s="10">
        <v>60</v>
      </c>
      <c r="R61" s="10">
        <v>60</v>
      </c>
      <c r="S61" s="7">
        <v>0</v>
      </c>
      <c r="T61" s="7">
        <v>0</v>
      </c>
      <c r="U61" s="1">
        <f t="shared" si="4"/>
        <v>2</v>
      </c>
    </row>
    <row r="62" spans="1:21">
      <c r="A62" s="14">
        <v>217</v>
      </c>
      <c r="B62" s="14"/>
      <c r="C62" s="13">
        <v>12</v>
      </c>
      <c r="D62" s="12">
        <v>4</v>
      </c>
      <c r="E62" s="11" t="s">
        <v>179</v>
      </c>
      <c r="F62" s="3">
        <f t="shared" si="0"/>
        <v>1</v>
      </c>
      <c r="G62" s="5">
        <f>IF(E62="","",VLOOKUP(E62,参考表!$N$2:$O$49,2,0)*1000)</f>
        <v>11000</v>
      </c>
      <c r="H62" s="52" t="s">
        <v>198</v>
      </c>
      <c r="I62" s="3">
        <f t="shared" si="1"/>
        <v>1</v>
      </c>
      <c r="J62" s="5">
        <f>IF(H62="","",VLOOKUP(H62,参考表!$N$2:$O$100,2,0)*1000)</f>
        <v>11000</v>
      </c>
      <c r="L62" s="3" t="str">
        <f t="shared" si="10"/>
        <v/>
      </c>
      <c r="M62" s="5" t="str">
        <f>IF(K62="","",VLOOKUP(K62,参考表!$N$2:$O$49,2,0)*1000)</f>
        <v/>
      </c>
      <c r="O62" s="3" t="str">
        <f t="shared" si="11"/>
        <v/>
      </c>
      <c r="P62" s="5" t="str">
        <f>IF(N62="","",VLOOKUP(N62,参考表!$N$2:$O$49,2,0)*1000)</f>
        <v/>
      </c>
      <c r="Q62" s="10">
        <v>60</v>
      </c>
      <c r="R62" s="10">
        <v>60</v>
      </c>
      <c r="S62" s="7">
        <v>0</v>
      </c>
      <c r="T62" s="7">
        <v>0</v>
      </c>
      <c r="U62" s="1">
        <f t="shared" si="4"/>
        <v>2</v>
      </c>
    </row>
    <row r="63" spans="1:21">
      <c r="A63" s="14">
        <v>217</v>
      </c>
      <c r="B63" s="14"/>
      <c r="C63" s="13">
        <v>12</v>
      </c>
      <c r="D63" s="12">
        <v>4</v>
      </c>
      <c r="E63" s="11" t="s">
        <v>179</v>
      </c>
      <c r="F63" s="3">
        <f t="shared" si="0"/>
        <v>1</v>
      </c>
      <c r="G63" s="5">
        <f>IF(E63="","",VLOOKUP(E63,参考表!$N$2:$O$49,2,0)*1000)</f>
        <v>11000</v>
      </c>
      <c r="H63" s="52" t="s">
        <v>198</v>
      </c>
      <c r="I63" s="3">
        <f t="shared" si="1"/>
        <v>1</v>
      </c>
      <c r="J63" s="5">
        <f>IF(H63="","",VLOOKUP(H63,参考表!$N$2:$O$100,2,0)*1000)</f>
        <v>11000</v>
      </c>
      <c r="L63" s="3" t="str">
        <f t="shared" si="10"/>
        <v/>
      </c>
      <c r="M63" s="5" t="str">
        <f>IF(K63="","",VLOOKUP(K63,参考表!$N$2:$O$49,2,0)*1000)</f>
        <v/>
      </c>
      <c r="O63" s="3" t="str">
        <f t="shared" si="11"/>
        <v/>
      </c>
      <c r="P63" s="5" t="str">
        <f>IF(N63="","",VLOOKUP(N63,参考表!$N$2:$O$49,2,0)*1000)</f>
        <v/>
      </c>
      <c r="Q63" s="10">
        <v>60</v>
      </c>
      <c r="R63" s="10">
        <v>60</v>
      </c>
      <c r="S63" s="7">
        <v>0</v>
      </c>
      <c r="T63" s="7">
        <v>0</v>
      </c>
      <c r="U63" s="1">
        <f t="shared" si="4"/>
        <v>2</v>
      </c>
    </row>
    <row r="64" spans="1:21" ht="20.25" customHeight="1">
      <c r="A64" s="14">
        <v>301</v>
      </c>
      <c r="B64" s="14" t="s">
        <v>27</v>
      </c>
      <c r="C64" s="13">
        <v>12</v>
      </c>
      <c r="D64" s="12">
        <v>4</v>
      </c>
      <c r="E64" s="17" t="s">
        <v>26</v>
      </c>
      <c r="F64" s="3">
        <f t="shared" si="0"/>
        <v>1</v>
      </c>
      <c r="G64" s="5">
        <f>IF(E64="","",VLOOKUP(E64,参考表!$N$2:$O$49,2,0)*1000)</f>
        <v>11000</v>
      </c>
      <c r="H64" s="24"/>
      <c r="I64" s="3" t="str">
        <f t="shared" si="1"/>
        <v/>
      </c>
      <c r="J64" s="5" t="str">
        <f>IF(H64="","",VLOOKUP(H64,参考表!$N$2:$O$100,2,0)*1000)</f>
        <v/>
      </c>
      <c r="L64" s="3" t="str">
        <f t="shared" si="10"/>
        <v/>
      </c>
      <c r="M64" s="5" t="str">
        <f>IF(K64="","",VLOOKUP(K64,参考表!$N$2:$O$49,2,0)*1000)</f>
        <v/>
      </c>
      <c r="O64" s="3" t="str">
        <f t="shared" si="11"/>
        <v/>
      </c>
      <c r="P64" s="5" t="str">
        <f>IF(N64="","",VLOOKUP(N64,参考表!$N$2:$O$49,2,0)*1000)</f>
        <v/>
      </c>
      <c r="Q64" s="10">
        <v>60</v>
      </c>
      <c r="R64" s="10">
        <v>60</v>
      </c>
      <c r="S64" s="7">
        <v>0</v>
      </c>
      <c r="T64" s="7">
        <v>0</v>
      </c>
      <c r="U64" s="1">
        <f t="shared" si="4"/>
        <v>1</v>
      </c>
    </row>
    <row r="65" spans="1:21" ht="21" customHeight="1">
      <c r="A65" s="14">
        <v>302</v>
      </c>
      <c r="B65" s="14" t="s">
        <v>25</v>
      </c>
      <c r="C65" s="13">
        <v>12</v>
      </c>
      <c r="D65" s="12">
        <v>4</v>
      </c>
      <c r="E65" s="16" t="s">
        <v>24</v>
      </c>
      <c r="F65" s="3">
        <f t="shared" si="0"/>
        <v>1</v>
      </c>
      <c r="G65" s="5">
        <f>IF(E65="","",VLOOKUP(E65,参考表!$N$2:$O$49,2,0)*1000)</f>
        <v>11000</v>
      </c>
      <c r="H65" s="24"/>
      <c r="I65" s="3" t="str">
        <f t="shared" si="1"/>
        <v/>
      </c>
      <c r="J65" s="5" t="str">
        <f>IF(H65="","",VLOOKUP(H65,参考表!$N$2:$O$100,2,0)*1000)</f>
        <v/>
      </c>
      <c r="L65" s="3" t="str">
        <f t="shared" si="10"/>
        <v/>
      </c>
      <c r="M65" s="5" t="str">
        <f>IF(K65="","",VLOOKUP(K65,参考表!$N$2:$O$49,2,0)*1000)</f>
        <v/>
      </c>
      <c r="O65" s="3" t="str">
        <f t="shared" si="11"/>
        <v/>
      </c>
      <c r="P65" s="5" t="str">
        <f>IF(N65="","",VLOOKUP(N65,参考表!$N$2:$O$49,2,0)*1000)</f>
        <v/>
      </c>
      <c r="Q65" s="10">
        <v>60</v>
      </c>
      <c r="R65" s="10">
        <v>60</v>
      </c>
      <c r="S65" s="7">
        <v>0</v>
      </c>
      <c r="T65" s="7">
        <v>0</v>
      </c>
      <c r="U65" s="1">
        <f t="shared" si="4"/>
        <v>1</v>
      </c>
    </row>
    <row r="66" spans="1:21" ht="20.25" customHeight="1">
      <c r="A66" s="14">
        <v>303</v>
      </c>
      <c r="B66" s="14" t="s">
        <v>23</v>
      </c>
      <c r="C66" s="13">
        <v>12</v>
      </c>
      <c r="D66" s="12">
        <v>4</v>
      </c>
      <c r="E66" s="15" t="s">
        <v>22</v>
      </c>
      <c r="F66" s="3">
        <f t="shared" ref="F66:F133" si="12">IF(E66="","",1)</f>
        <v>1</v>
      </c>
      <c r="G66" s="5">
        <f>IF(E66="","",VLOOKUP(E66,参考表!$N$2:$O$49,2,0)*1000)</f>
        <v>11000</v>
      </c>
      <c r="H66" s="24"/>
      <c r="I66" s="3" t="str">
        <f t="shared" ref="I66:I133" si="13">IF(H66="","",1)</f>
        <v/>
      </c>
      <c r="J66" s="5" t="str">
        <f>IF(H66="","",VLOOKUP(H66,参考表!$N$2:$O$100,2,0)*1000)</f>
        <v/>
      </c>
      <c r="L66" s="3" t="str">
        <f t="shared" ref="L66:L97" si="14">IF(K66="","",1)</f>
        <v/>
      </c>
      <c r="M66" s="5" t="str">
        <f>IF(K66="","",VLOOKUP(K66,参考表!$N$2:$O$49,2,0)*1000)</f>
        <v/>
      </c>
      <c r="O66" s="3" t="str">
        <f t="shared" ref="O66:O97" si="15">IF(N66="","",1)</f>
        <v/>
      </c>
      <c r="P66" s="5" t="str">
        <f>IF(N66="","",VLOOKUP(N66,参考表!$N$2:$O$49,2,0)*1000)</f>
        <v/>
      </c>
      <c r="Q66" s="10">
        <v>60</v>
      </c>
      <c r="R66" s="10">
        <v>60</v>
      </c>
      <c r="S66" s="7">
        <v>0</v>
      </c>
      <c r="T66" s="7">
        <v>0</v>
      </c>
      <c r="U66" s="1">
        <f t="shared" si="4"/>
        <v>1</v>
      </c>
    </row>
    <row r="67" spans="1:21">
      <c r="A67" s="14">
        <v>311</v>
      </c>
      <c r="B67" s="14" t="s">
        <v>21</v>
      </c>
      <c r="C67" s="13">
        <v>12</v>
      </c>
      <c r="D67" s="12">
        <v>4</v>
      </c>
      <c r="E67" s="11" t="s">
        <v>184</v>
      </c>
      <c r="F67" s="3">
        <f t="shared" si="12"/>
        <v>1</v>
      </c>
      <c r="G67" s="5">
        <f>IF(E67="","",VLOOKUP(E67,参考表!$N$2:$O$49,2,0)*1000)</f>
        <v>11000</v>
      </c>
      <c r="H67" s="52" t="s">
        <v>203</v>
      </c>
      <c r="I67" s="3">
        <f t="shared" si="13"/>
        <v>1</v>
      </c>
      <c r="J67" s="5">
        <f>IF(H67="","",VLOOKUP(H67,参考表!$N$2:$O$100,2,0)*1000)</f>
        <v>11000</v>
      </c>
      <c r="L67" s="3" t="str">
        <f t="shared" si="14"/>
        <v/>
      </c>
      <c r="M67" s="5" t="str">
        <f>IF(K67="","",VLOOKUP(K67,参考表!$N$2:$O$49,2,0)*1000)</f>
        <v/>
      </c>
      <c r="O67" s="3" t="str">
        <f t="shared" si="15"/>
        <v/>
      </c>
      <c r="P67" s="5" t="str">
        <f>IF(N67="","",VLOOKUP(N67,参考表!$N$2:$O$49,2,0)*1000)</f>
        <v/>
      </c>
      <c r="Q67" s="10">
        <v>60</v>
      </c>
      <c r="R67" s="10">
        <v>60</v>
      </c>
      <c r="S67" s="7">
        <v>0</v>
      </c>
      <c r="T67" s="7">
        <v>0</v>
      </c>
      <c r="U67" s="1">
        <f t="shared" ref="U67:U134" si="16">IF(E67&lt;&gt;"",1,0) + IF(H67&lt;&gt;"",1,0) + IF(K67&lt;&gt;"",1,0) + IF(N67&lt;&gt;"",1,0)</f>
        <v>2</v>
      </c>
    </row>
    <row r="68" spans="1:21">
      <c r="A68" s="14">
        <v>311</v>
      </c>
      <c r="B68" s="14"/>
      <c r="C68" s="13">
        <v>12</v>
      </c>
      <c r="D68" s="12">
        <v>4</v>
      </c>
      <c r="E68" s="11" t="s">
        <v>184</v>
      </c>
      <c r="F68" s="3">
        <f t="shared" si="12"/>
        <v>1</v>
      </c>
      <c r="G68" s="5">
        <f>IF(E68="","",VLOOKUP(E68,参考表!$N$2:$O$49,2,0)*1000)</f>
        <v>11000</v>
      </c>
      <c r="H68" s="52" t="s">
        <v>203</v>
      </c>
      <c r="I68" s="3">
        <f t="shared" si="13"/>
        <v>1</v>
      </c>
      <c r="J68" s="5">
        <f>IF(H68="","",VLOOKUP(H68,参考表!$N$2:$O$100,2,0)*1000)</f>
        <v>11000</v>
      </c>
      <c r="L68" s="3" t="str">
        <f t="shared" si="14"/>
        <v/>
      </c>
      <c r="M68" s="5" t="str">
        <f>IF(K68="","",VLOOKUP(K68,参考表!$N$2:$O$49,2,0)*1000)</f>
        <v/>
      </c>
      <c r="O68" s="3" t="str">
        <f t="shared" si="15"/>
        <v/>
      </c>
      <c r="P68" s="5" t="str">
        <f>IF(N68="","",VLOOKUP(N68,参考表!$N$2:$O$49,2,0)*1000)</f>
        <v/>
      </c>
      <c r="Q68" s="10">
        <v>60</v>
      </c>
      <c r="R68" s="10">
        <v>60</v>
      </c>
      <c r="S68" s="7">
        <v>0</v>
      </c>
      <c r="T68" s="7">
        <v>0</v>
      </c>
      <c r="U68" s="1">
        <f t="shared" si="16"/>
        <v>2</v>
      </c>
    </row>
    <row r="69" spans="1:21">
      <c r="A69" s="14">
        <v>311</v>
      </c>
      <c r="B69" s="14"/>
      <c r="C69" s="13">
        <v>12</v>
      </c>
      <c r="D69" s="12">
        <v>4</v>
      </c>
      <c r="E69" s="11" t="s">
        <v>184</v>
      </c>
      <c r="F69" s="3">
        <f t="shared" si="12"/>
        <v>1</v>
      </c>
      <c r="G69" s="5">
        <f>IF(E69="","",VLOOKUP(E69,参考表!$N$2:$O$49,2,0)*1000)</f>
        <v>11000</v>
      </c>
      <c r="H69" s="52" t="s">
        <v>203</v>
      </c>
      <c r="I69" s="3">
        <f t="shared" si="13"/>
        <v>1</v>
      </c>
      <c r="J69" s="5">
        <f>IF(H69="","",VLOOKUP(H69,参考表!$N$2:$O$100,2,0)*1000)</f>
        <v>11000</v>
      </c>
      <c r="L69" s="3" t="str">
        <f t="shared" si="14"/>
        <v/>
      </c>
      <c r="M69" s="5" t="str">
        <f>IF(K69="","",VLOOKUP(K69,参考表!$N$2:$O$49,2,0)*1000)</f>
        <v/>
      </c>
      <c r="O69" s="3" t="str">
        <f t="shared" si="15"/>
        <v/>
      </c>
      <c r="P69" s="5" t="str">
        <f>IF(N69="","",VLOOKUP(N69,参考表!$N$2:$O$49,2,0)*1000)</f>
        <v/>
      </c>
      <c r="Q69" s="10">
        <v>60</v>
      </c>
      <c r="R69" s="10">
        <v>60</v>
      </c>
      <c r="S69" s="7">
        <v>0</v>
      </c>
      <c r="T69" s="7">
        <v>0</v>
      </c>
      <c r="U69" s="1">
        <f t="shared" si="16"/>
        <v>2</v>
      </c>
    </row>
    <row r="70" spans="1:21">
      <c r="A70" s="14">
        <v>311</v>
      </c>
      <c r="B70" s="14"/>
      <c r="C70" s="13">
        <v>12</v>
      </c>
      <c r="D70" s="12">
        <v>4</v>
      </c>
      <c r="E70" s="11" t="s">
        <v>184</v>
      </c>
      <c r="F70" s="3">
        <f t="shared" si="12"/>
        <v>1</v>
      </c>
      <c r="G70" s="5">
        <f>IF(E70="","",VLOOKUP(E70,参考表!$N$2:$O$49,2,0)*1000)</f>
        <v>11000</v>
      </c>
      <c r="H70" s="52" t="s">
        <v>203</v>
      </c>
      <c r="I70" s="3">
        <f t="shared" si="13"/>
        <v>1</v>
      </c>
      <c r="J70" s="5">
        <f>IF(H70="","",VLOOKUP(H70,参考表!$N$2:$O$100,2,0)*1000)</f>
        <v>11000</v>
      </c>
      <c r="L70" s="3" t="str">
        <f t="shared" si="14"/>
        <v/>
      </c>
      <c r="M70" s="5" t="str">
        <f>IF(K70="","",VLOOKUP(K70,参考表!$N$2:$O$49,2,0)*1000)</f>
        <v/>
      </c>
      <c r="O70" s="3" t="str">
        <f t="shared" si="15"/>
        <v/>
      </c>
      <c r="P70" s="5" t="str">
        <f>IF(N70="","",VLOOKUP(N70,参考表!$N$2:$O$49,2,0)*1000)</f>
        <v/>
      </c>
      <c r="Q70" s="10">
        <v>60</v>
      </c>
      <c r="R70" s="10">
        <v>60</v>
      </c>
      <c r="S70" s="7">
        <v>0</v>
      </c>
      <c r="T70" s="7">
        <v>0</v>
      </c>
      <c r="U70" s="1">
        <f t="shared" si="16"/>
        <v>2</v>
      </c>
    </row>
    <row r="71" spans="1:21">
      <c r="A71" s="14">
        <v>312</v>
      </c>
      <c r="B71" s="14" t="s">
        <v>20</v>
      </c>
      <c r="C71" s="13">
        <v>12</v>
      </c>
      <c r="D71" s="12">
        <v>4</v>
      </c>
      <c r="E71" s="11" t="s">
        <v>184</v>
      </c>
      <c r="F71" s="3">
        <f t="shared" si="12"/>
        <v>1</v>
      </c>
      <c r="G71" s="5">
        <f>IF(E71="","",VLOOKUP(E71,参考表!$N$2:$O$49,2,0)*1000)</f>
        <v>11000</v>
      </c>
      <c r="H71" s="52" t="s">
        <v>196</v>
      </c>
      <c r="I71" s="3">
        <f t="shared" si="13"/>
        <v>1</v>
      </c>
      <c r="J71" s="5">
        <f>IF(H71="","",VLOOKUP(H71,参考表!$N$2:$O$100,2,0)*1000)</f>
        <v>11000</v>
      </c>
      <c r="L71" s="3" t="str">
        <f t="shared" si="14"/>
        <v/>
      </c>
      <c r="M71" s="5" t="str">
        <f>IF(K71="","",VLOOKUP(K71,参考表!$N$2:$O$49,2,0)*1000)</f>
        <v/>
      </c>
      <c r="O71" s="3" t="str">
        <f t="shared" si="15"/>
        <v/>
      </c>
      <c r="P71" s="5" t="str">
        <f>IF(N71="","",VLOOKUP(N71,参考表!$N$2:$O$49,2,0)*1000)</f>
        <v/>
      </c>
      <c r="Q71" s="10">
        <v>60</v>
      </c>
      <c r="R71" s="10">
        <v>60</v>
      </c>
      <c r="S71" s="7">
        <v>0</v>
      </c>
      <c r="T71" s="7">
        <v>0</v>
      </c>
      <c r="U71" s="1">
        <f t="shared" si="16"/>
        <v>2</v>
      </c>
    </row>
    <row r="72" spans="1:21">
      <c r="A72" s="14">
        <v>312</v>
      </c>
      <c r="B72" s="14"/>
      <c r="C72" s="13">
        <v>12</v>
      </c>
      <c r="D72" s="12">
        <v>4</v>
      </c>
      <c r="E72" s="11" t="s">
        <v>184</v>
      </c>
      <c r="F72" s="3">
        <f t="shared" si="12"/>
        <v>1</v>
      </c>
      <c r="G72" s="5">
        <f>IF(E72="","",VLOOKUP(E72,参考表!$N$2:$O$49,2,0)*1000)</f>
        <v>11000</v>
      </c>
      <c r="H72" s="52" t="s">
        <v>196</v>
      </c>
      <c r="I72" s="3">
        <f t="shared" si="13"/>
        <v>1</v>
      </c>
      <c r="J72" s="5">
        <f>IF(H72="","",VLOOKUP(H72,参考表!$N$2:$O$100,2,0)*1000)</f>
        <v>11000</v>
      </c>
      <c r="L72" s="3" t="str">
        <f t="shared" si="14"/>
        <v/>
      </c>
      <c r="M72" s="5" t="str">
        <f>IF(K72="","",VLOOKUP(K72,参考表!$N$2:$O$49,2,0)*1000)</f>
        <v/>
      </c>
      <c r="O72" s="3" t="str">
        <f t="shared" si="15"/>
        <v/>
      </c>
      <c r="P72" s="5" t="str">
        <f>IF(N72="","",VLOOKUP(N72,参考表!$N$2:$O$49,2,0)*1000)</f>
        <v/>
      </c>
      <c r="Q72" s="10">
        <v>60</v>
      </c>
      <c r="R72" s="10">
        <v>60</v>
      </c>
      <c r="S72" s="7">
        <v>0</v>
      </c>
      <c r="T72" s="7">
        <v>0</v>
      </c>
      <c r="U72" s="1">
        <f t="shared" si="16"/>
        <v>2</v>
      </c>
    </row>
    <row r="73" spans="1:21">
      <c r="A73" s="14">
        <v>312</v>
      </c>
      <c r="B73" s="14"/>
      <c r="C73" s="13">
        <v>12</v>
      </c>
      <c r="D73" s="12">
        <v>4</v>
      </c>
      <c r="E73" s="11" t="s">
        <v>184</v>
      </c>
      <c r="F73" s="3">
        <f t="shared" si="12"/>
        <v>1</v>
      </c>
      <c r="G73" s="5">
        <f>IF(E73="","",VLOOKUP(E73,参考表!$N$2:$O$49,2,0)*1000)</f>
        <v>11000</v>
      </c>
      <c r="H73" s="52" t="s">
        <v>196</v>
      </c>
      <c r="I73" s="3">
        <f t="shared" si="13"/>
        <v>1</v>
      </c>
      <c r="J73" s="5">
        <f>IF(H73="","",VLOOKUP(H73,参考表!$N$2:$O$100,2,0)*1000)</f>
        <v>11000</v>
      </c>
      <c r="L73" s="3" t="str">
        <f t="shared" si="14"/>
        <v/>
      </c>
      <c r="M73" s="5" t="str">
        <f>IF(K73="","",VLOOKUP(K73,参考表!$N$2:$O$49,2,0)*1000)</f>
        <v/>
      </c>
      <c r="O73" s="3" t="str">
        <f t="shared" si="15"/>
        <v/>
      </c>
      <c r="P73" s="5" t="str">
        <f>IF(N73="","",VLOOKUP(N73,参考表!$N$2:$O$49,2,0)*1000)</f>
        <v/>
      </c>
      <c r="Q73" s="10">
        <v>60</v>
      </c>
      <c r="R73" s="10">
        <v>60</v>
      </c>
      <c r="S73" s="7">
        <v>0</v>
      </c>
      <c r="T73" s="7">
        <v>0</v>
      </c>
      <c r="U73" s="1">
        <f t="shared" si="16"/>
        <v>2</v>
      </c>
    </row>
    <row r="74" spans="1:21">
      <c r="A74" s="14">
        <v>312</v>
      </c>
      <c r="B74" s="14"/>
      <c r="C74" s="13">
        <v>12</v>
      </c>
      <c r="D74" s="12">
        <v>4</v>
      </c>
      <c r="E74" s="11" t="s">
        <v>184</v>
      </c>
      <c r="F74" s="3">
        <f t="shared" si="12"/>
        <v>1</v>
      </c>
      <c r="G74" s="5">
        <f>IF(E74="","",VLOOKUP(E74,参考表!$N$2:$O$49,2,0)*1000)</f>
        <v>11000</v>
      </c>
      <c r="H74" s="52" t="s">
        <v>196</v>
      </c>
      <c r="I74" s="3">
        <f t="shared" si="13"/>
        <v>1</v>
      </c>
      <c r="J74" s="5">
        <f>IF(H74="","",VLOOKUP(H74,参考表!$N$2:$O$100,2,0)*1000)</f>
        <v>11000</v>
      </c>
      <c r="L74" s="3" t="str">
        <f t="shared" si="14"/>
        <v/>
      </c>
      <c r="M74" s="5" t="str">
        <f>IF(K74="","",VLOOKUP(K74,参考表!$N$2:$O$49,2,0)*1000)</f>
        <v/>
      </c>
      <c r="O74" s="3" t="str">
        <f t="shared" si="15"/>
        <v/>
      </c>
      <c r="P74" s="5" t="str">
        <f>IF(N74="","",VLOOKUP(N74,参考表!$N$2:$O$49,2,0)*1000)</f>
        <v/>
      </c>
      <c r="Q74" s="10">
        <v>60</v>
      </c>
      <c r="R74" s="10">
        <v>60</v>
      </c>
      <c r="S74" s="7">
        <v>0</v>
      </c>
      <c r="T74" s="7">
        <v>0</v>
      </c>
      <c r="U74" s="1">
        <f t="shared" si="16"/>
        <v>2</v>
      </c>
    </row>
    <row r="75" spans="1:21">
      <c r="A75" s="14">
        <v>313</v>
      </c>
      <c r="B75" s="14" t="s">
        <v>19</v>
      </c>
      <c r="C75" s="13">
        <v>12</v>
      </c>
      <c r="D75" s="12">
        <v>4</v>
      </c>
      <c r="E75" s="11" t="s">
        <v>191</v>
      </c>
      <c r="F75" s="3">
        <f t="shared" si="12"/>
        <v>1</v>
      </c>
      <c r="G75" s="5">
        <f>IF(E75="","",VLOOKUP(E75,参考表!$N$2:$O$49,2,0)*1000)</f>
        <v>11000</v>
      </c>
      <c r="H75" s="52" t="s">
        <v>190</v>
      </c>
      <c r="I75" s="3">
        <f t="shared" si="13"/>
        <v>1</v>
      </c>
      <c r="J75" s="5">
        <f>IF(H75="","",VLOOKUP(H75,参考表!$N$2:$O$100,2,0)*1000)</f>
        <v>11000</v>
      </c>
      <c r="L75" s="3" t="str">
        <f t="shared" si="14"/>
        <v/>
      </c>
      <c r="M75" s="5" t="str">
        <f>IF(K75="","",VLOOKUP(K75,参考表!$N$2:$O$49,2,0)*1000)</f>
        <v/>
      </c>
      <c r="O75" s="3" t="str">
        <f t="shared" si="15"/>
        <v/>
      </c>
      <c r="P75" s="5" t="str">
        <f>IF(N75="","",VLOOKUP(N75,参考表!$N$2:$O$49,2,0)*1000)</f>
        <v/>
      </c>
      <c r="Q75" s="10">
        <v>60</v>
      </c>
      <c r="R75" s="10">
        <v>60</v>
      </c>
      <c r="S75" s="7">
        <v>0</v>
      </c>
      <c r="T75" s="7">
        <v>0</v>
      </c>
      <c r="U75" s="1">
        <f t="shared" si="16"/>
        <v>2</v>
      </c>
    </row>
    <row r="76" spans="1:21">
      <c r="A76" s="14">
        <v>313</v>
      </c>
      <c r="B76" s="14"/>
      <c r="C76" s="13">
        <v>12</v>
      </c>
      <c r="D76" s="12">
        <v>4</v>
      </c>
      <c r="E76" s="11" t="s">
        <v>191</v>
      </c>
      <c r="F76" s="3">
        <f t="shared" si="12"/>
        <v>1</v>
      </c>
      <c r="G76" s="5">
        <f>IF(E76="","",VLOOKUP(E76,参考表!$N$2:$O$49,2,0)*1000)</f>
        <v>11000</v>
      </c>
      <c r="H76" s="52" t="s">
        <v>190</v>
      </c>
      <c r="I76" s="3">
        <f t="shared" si="13"/>
        <v>1</v>
      </c>
      <c r="J76" s="5">
        <f>IF(H76="","",VLOOKUP(H76,参考表!$N$2:$O$100,2,0)*1000)</f>
        <v>11000</v>
      </c>
      <c r="L76" s="3" t="str">
        <f t="shared" si="14"/>
        <v/>
      </c>
      <c r="M76" s="5" t="str">
        <f>IF(K76="","",VLOOKUP(K76,参考表!$N$2:$O$49,2,0)*1000)</f>
        <v/>
      </c>
      <c r="O76" s="3" t="str">
        <f t="shared" si="15"/>
        <v/>
      </c>
      <c r="P76" s="5" t="str">
        <f>IF(N76="","",VLOOKUP(N76,参考表!$N$2:$O$49,2,0)*1000)</f>
        <v/>
      </c>
      <c r="Q76" s="10">
        <v>60</v>
      </c>
      <c r="R76" s="10">
        <v>60</v>
      </c>
      <c r="S76" s="7">
        <v>0</v>
      </c>
      <c r="T76" s="7">
        <v>0</v>
      </c>
      <c r="U76" s="1">
        <f t="shared" si="16"/>
        <v>2</v>
      </c>
    </row>
    <row r="77" spans="1:21">
      <c r="A77" s="14">
        <v>313</v>
      </c>
      <c r="B77" s="14"/>
      <c r="C77" s="13">
        <v>12</v>
      </c>
      <c r="D77" s="12">
        <v>4</v>
      </c>
      <c r="E77" s="11" t="s">
        <v>191</v>
      </c>
      <c r="F77" s="3">
        <f t="shared" si="12"/>
        <v>1</v>
      </c>
      <c r="G77" s="5">
        <f>IF(E77="","",VLOOKUP(E77,参考表!$N$2:$O$49,2,0)*1000)</f>
        <v>11000</v>
      </c>
      <c r="H77" s="52" t="s">
        <v>190</v>
      </c>
      <c r="I77" s="3">
        <f t="shared" si="13"/>
        <v>1</v>
      </c>
      <c r="J77" s="5">
        <f>IF(H77="","",VLOOKUP(H77,参考表!$N$2:$O$100,2,0)*1000)</f>
        <v>11000</v>
      </c>
      <c r="L77" s="3" t="str">
        <f t="shared" si="14"/>
        <v/>
      </c>
      <c r="M77" s="5" t="str">
        <f>IF(K77="","",VLOOKUP(K77,参考表!$N$2:$O$49,2,0)*1000)</f>
        <v/>
      </c>
      <c r="O77" s="3" t="str">
        <f t="shared" si="15"/>
        <v/>
      </c>
      <c r="P77" s="5" t="str">
        <f>IF(N77="","",VLOOKUP(N77,参考表!$N$2:$O$49,2,0)*1000)</f>
        <v/>
      </c>
      <c r="Q77" s="10">
        <v>60</v>
      </c>
      <c r="R77" s="10">
        <v>60</v>
      </c>
      <c r="S77" s="7">
        <v>0</v>
      </c>
      <c r="T77" s="7">
        <v>0</v>
      </c>
      <c r="U77" s="1">
        <f t="shared" si="16"/>
        <v>2</v>
      </c>
    </row>
    <row r="78" spans="1:21">
      <c r="A78" s="14">
        <v>313</v>
      </c>
      <c r="B78" s="14"/>
      <c r="C78" s="13">
        <v>12</v>
      </c>
      <c r="D78" s="12">
        <v>4</v>
      </c>
      <c r="E78" s="11" t="s">
        <v>191</v>
      </c>
      <c r="F78" s="3">
        <f t="shared" si="12"/>
        <v>1</v>
      </c>
      <c r="G78" s="5">
        <f>IF(E78="","",VLOOKUP(E78,参考表!$N$2:$O$49,2,0)*1000)</f>
        <v>11000</v>
      </c>
      <c r="H78" s="52" t="s">
        <v>190</v>
      </c>
      <c r="I78" s="3">
        <f t="shared" si="13"/>
        <v>1</v>
      </c>
      <c r="J78" s="5">
        <f>IF(H78="","",VLOOKUP(H78,参考表!$N$2:$O$100,2,0)*1000)</f>
        <v>11000</v>
      </c>
      <c r="L78" s="3" t="str">
        <f t="shared" si="14"/>
        <v/>
      </c>
      <c r="M78" s="5" t="str">
        <f>IF(K78="","",VLOOKUP(K78,参考表!$N$2:$O$49,2,0)*1000)</f>
        <v/>
      </c>
      <c r="O78" s="3" t="str">
        <f t="shared" si="15"/>
        <v/>
      </c>
      <c r="P78" s="5" t="str">
        <f>IF(N78="","",VLOOKUP(N78,参考表!$N$2:$O$49,2,0)*1000)</f>
        <v/>
      </c>
      <c r="Q78" s="10">
        <v>60</v>
      </c>
      <c r="R78" s="10">
        <v>60</v>
      </c>
      <c r="S78" s="7">
        <v>0</v>
      </c>
      <c r="T78" s="7">
        <v>0</v>
      </c>
      <c r="U78" s="1">
        <f t="shared" si="16"/>
        <v>2</v>
      </c>
    </row>
    <row r="79" spans="1:21">
      <c r="A79" s="14">
        <v>314</v>
      </c>
      <c r="B79" s="14" t="s">
        <v>18</v>
      </c>
      <c r="C79" s="13">
        <v>12</v>
      </c>
      <c r="D79" s="12">
        <v>4</v>
      </c>
      <c r="E79" s="11" t="s">
        <v>179</v>
      </c>
      <c r="F79" s="3">
        <f t="shared" si="12"/>
        <v>1</v>
      </c>
      <c r="G79" s="5">
        <f>IF(E79="","",VLOOKUP(E79,参考表!$N$2:$O$49,2,0)*1000)</f>
        <v>11000</v>
      </c>
      <c r="H79" s="52" t="s">
        <v>195</v>
      </c>
      <c r="I79" s="3">
        <f t="shared" si="13"/>
        <v>1</v>
      </c>
      <c r="J79" s="5">
        <f>IF(H79="","",VLOOKUP(H79,参考表!$N$2:$O$100,2,0)*1000)</f>
        <v>11000</v>
      </c>
      <c r="L79" s="3" t="str">
        <f t="shared" si="14"/>
        <v/>
      </c>
      <c r="M79" s="5" t="str">
        <f>IF(K79="","",VLOOKUP(K79,参考表!$N$2:$O$49,2,0)*1000)</f>
        <v/>
      </c>
      <c r="O79" s="3" t="str">
        <f t="shared" si="15"/>
        <v/>
      </c>
      <c r="P79" s="5" t="str">
        <f>IF(N79="","",VLOOKUP(N79,参考表!$N$2:$O$49,2,0)*1000)</f>
        <v/>
      </c>
      <c r="Q79" s="10">
        <v>60</v>
      </c>
      <c r="R79" s="10">
        <v>60</v>
      </c>
      <c r="S79" s="7">
        <v>0</v>
      </c>
      <c r="T79" s="7">
        <v>0</v>
      </c>
      <c r="U79" s="1">
        <f t="shared" si="16"/>
        <v>2</v>
      </c>
    </row>
    <row r="80" spans="1:21">
      <c r="A80" s="14">
        <v>314</v>
      </c>
      <c r="B80" s="14"/>
      <c r="C80" s="13">
        <v>12</v>
      </c>
      <c r="D80" s="12">
        <v>4</v>
      </c>
      <c r="E80" s="11" t="s">
        <v>179</v>
      </c>
      <c r="F80" s="3">
        <f t="shared" si="12"/>
        <v>1</v>
      </c>
      <c r="G80" s="5">
        <f>IF(E80="","",VLOOKUP(E80,参考表!$N$2:$O$49,2,0)*1000)</f>
        <v>11000</v>
      </c>
      <c r="H80" s="52" t="s">
        <v>195</v>
      </c>
      <c r="I80" s="3">
        <f t="shared" si="13"/>
        <v>1</v>
      </c>
      <c r="J80" s="5">
        <f>IF(H80="","",VLOOKUP(H80,参考表!$N$2:$O$100,2,0)*1000)</f>
        <v>11000</v>
      </c>
      <c r="L80" s="3" t="str">
        <f t="shared" si="14"/>
        <v/>
      </c>
      <c r="M80" s="5" t="str">
        <f>IF(K80="","",VLOOKUP(K80,参考表!$N$2:$O$49,2,0)*1000)</f>
        <v/>
      </c>
      <c r="O80" s="3" t="str">
        <f t="shared" si="15"/>
        <v/>
      </c>
      <c r="P80" s="5" t="str">
        <f>IF(N80="","",VLOOKUP(N80,参考表!$N$2:$O$49,2,0)*1000)</f>
        <v/>
      </c>
      <c r="Q80" s="10">
        <v>60</v>
      </c>
      <c r="R80" s="10">
        <v>60</v>
      </c>
      <c r="S80" s="7">
        <v>0</v>
      </c>
      <c r="T80" s="7">
        <v>0</v>
      </c>
      <c r="U80" s="1">
        <f t="shared" si="16"/>
        <v>2</v>
      </c>
    </row>
    <row r="81" spans="1:21">
      <c r="A81" s="14">
        <v>314</v>
      </c>
      <c r="B81" s="14"/>
      <c r="C81" s="13">
        <v>12</v>
      </c>
      <c r="D81" s="12">
        <v>4</v>
      </c>
      <c r="E81" s="11" t="s">
        <v>179</v>
      </c>
      <c r="F81" s="3">
        <f t="shared" si="12"/>
        <v>1</v>
      </c>
      <c r="G81" s="5">
        <f>IF(E81="","",VLOOKUP(E81,参考表!$N$2:$O$49,2,0)*1000)</f>
        <v>11000</v>
      </c>
      <c r="H81" s="52" t="s">
        <v>195</v>
      </c>
      <c r="I81" s="3">
        <f t="shared" si="13"/>
        <v>1</v>
      </c>
      <c r="J81" s="5">
        <f>IF(H81="","",VLOOKUP(H81,参考表!$N$2:$O$100,2,0)*1000)</f>
        <v>11000</v>
      </c>
      <c r="L81" s="3" t="str">
        <f t="shared" si="14"/>
        <v/>
      </c>
      <c r="M81" s="5" t="str">
        <f>IF(K81="","",VLOOKUP(K81,参考表!$N$2:$O$49,2,0)*1000)</f>
        <v/>
      </c>
      <c r="O81" s="3" t="str">
        <f t="shared" si="15"/>
        <v/>
      </c>
      <c r="P81" s="5" t="str">
        <f>IF(N81="","",VLOOKUP(N81,参考表!$N$2:$O$49,2,0)*1000)</f>
        <v/>
      </c>
      <c r="Q81" s="10">
        <v>60</v>
      </c>
      <c r="R81" s="10">
        <v>60</v>
      </c>
      <c r="S81" s="7">
        <v>0</v>
      </c>
      <c r="T81" s="7">
        <v>0</v>
      </c>
      <c r="U81" s="1">
        <f t="shared" si="16"/>
        <v>2</v>
      </c>
    </row>
    <row r="82" spans="1:21">
      <c r="A82" s="14">
        <v>314</v>
      </c>
      <c r="B82" s="14"/>
      <c r="C82" s="13">
        <v>12</v>
      </c>
      <c r="D82" s="12">
        <v>4</v>
      </c>
      <c r="E82" s="11" t="s">
        <v>179</v>
      </c>
      <c r="F82" s="3">
        <f t="shared" si="12"/>
        <v>1</v>
      </c>
      <c r="G82" s="5">
        <f>IF(E82="","",VLOOKUP(E82,参考表!$N$2:$O$49,2,0)*1000)</f>
        <v>11000</v>
      </c>
      <c r="H82" s="52" t="s">
        <v>195</v>
      </c>
      <c r="I82" s="3">
        <f t="shared" si="13"/>
        <v>1</v>
      </c>
      <c r="J82" s="5">
        <f>IF(H82="","",VLOOKUP(H82,参考表!$N$2:$O$100,2,0)*1000)</f>
        <v>11000</v>
      </c>
      <c r="L82" s="3" t="str">
        <f t="shared" si="14"/>
        <v/>
      </c>
      <c r="M82" s="5" t="str">
        <f>IF(K82="","",VLOOKUP(K82,参考表!$N$2:$O$49,2,0)*1000)</f>
        <v/>
      </c>
      <c r="O82" s="3" t="str">
        <f t="shared" si="15"/>
        <v/>
      </c>
      <c r="P82" s="5" t="str">
        <f>IF(N82="","",VLOOKUP(N82,参考表!$N$2:$O$49,2,0)*1000)</f>
        <v/>
      </c>
      <c r="Q82" s="10">
        <v>60</v>
      </c>
      <c r="R82" s="10">
        <v>60</v>
      </c>
      <c r="S82" s="7">
        <v>0</v>
      </c>
      <c r="T82" s="7">
        <v>0</v>
      </c>
      <c r="U82" s="1">
        <f t="shared" si="16"/>
        <v>2</v>
      </c>
    </row>
    <row r="83" spans="1:21">
      <c r="A83" s="14">
        <v>315</v>
      </c>
      <c r="B83" s="14" t="s">
        <v>160</v>
      </c>
      <c r="C83" s="13">
        <v>12</v>
      </c>
      <c r="D83" s="12">
        <v>4</v>
      </c>
      <c r="E83" s="11" t="s">
        <v>187</v>
      </c>
      <c r="F83" s="3">
        <f t="shared" si="12"/>
        <v>1</v>
      </c>
      <c r="G83" s="5">
        <f>IF(E83="","",VLOOKUP(E83,参考表!$N$2:$O$49,2,0)*1000)</f>
        <v>11000</v>
      </c>
      <c r="H83" s="52" t="s">
        <v>202</v>
      </c>
      <c r="I83" s="3">
        <f t="shared" si="13"/>
        <v>1</v>
      </c>
      <c r="J83" s="5">
        <f>IF(H83="","",VLOOKUP(H83,参考表!$N$2:$O$100,2,0)*1000)</f>
        <v>11000</v>
      </c>
      <c r="L83" s="3" t="str">
        <f t="shared" si="14"/>
        <v/>
      </c>
      <c r="M83" s="5" t="str">
        <f>IF(K83="","",VLOOKUP(K83,参考表!$N$2:$O$49,2,0)*1000)</f>
        <v/>
      </c>
      <c r="O83" s="3" t="str">
        <f t="shared" si="15"/>
        <v/>
      </c>
      <c r="P83" s="5" t="str">
        <f>IF(N83="","",VLOOKUP(N83,参考表!$N$2:$O$49,2,0)*1000)</f>
        <v/>
      </c>
      <c r="Q83" s="10">
        <v>60</v>
      </c>
      <c r="R83" s="10">
        <v>60</v>
      </c>
      <c r="S83" s="7">
        <v>0</v>
      </c>
      <c r="T83" s="7">
        <v>0</v>
      </c>
      <c r="U83" s="1">
        <f t="shared" si="16"/>
        <v>2</v>
      </c>
    </row>
    <row r="84" spans="1:21">
      <c r="A84" s="14">
        <v>315</v>
      </c>
      <c r="B84" s="14"/>
      <c r="C84" s="13">
        <v>12</v>
      </c>
      <c r="D84" s="12">
        <v>4</v>
      </c>
      <c r="E84" s="11" t="s">
        <v>187</v>
      </c>
      <c r="F84" s="3">
        <f t="shared" si="12"/>
        <v>1</v>
      </c>
      <c r="G84" s="5">
        <f>IF(E84="","",VLOOKUP(E84,参考表!$N$2:$O$49,2,0)*1000)</f>
        <v>11000</v>
      </c>
      <c r="H84" s="52" t="s">
        <v>202</v>
      </c>
      <c r="I84" s="3">
        <f t="shared" si="13"/>
        <v>1</v>
      </c>
      <c r="J84" s="5">
        <f>IF(H84="","",VLOOKUP(H84,参考表!$N$2:$O$100,2,0)*1000)</f>
        <v>11000</v>
      </c>
      <c r="L84" s="3" t="str">
        <f t="shared" si="14"/>
        <v/>
      </c>
      <c r="M84" s="5" t="str">
        <f>IF(K84="","",VLOOKUP(K84,参考表!$N$2:$O$49,2,0)*1000)</f>
        <v/>
      </c>
      <c r="O84" s="3" t="str">
        <f t="shared" si="15"/>
        <v/>
      </c>
      <c r="P84" s="5" t="str">
        <f>IF(N84="","",VLOOKUP(N84,参考表!$N$2:$O$49,2,0)*1000)</f>
        <v/>
      </c>
      <c r="Q84" s="10">
        <v>60</v>
      </c>
      <c r="R84" s="10">
        <v>60</v>
      </c>
      <c r="S84" s="7">
        <v>0</v>
      </c>
      <c r="T84" s="7">
        <v>0</v>
      </c>
      <c r="U84" s="1">
        <f t="shared" si="16"/>
        <v>2</v>
      </c>
    </row>
    <row r="85" spans="1:21">
      <c r="A85" s="14">
        <v>315</v>
      </c>
      <c r="B85" s="14"/>
      <c r="C85" s="13">
        <v>12</v>
      </c>
      <c r="D85" s="12">
        <v>4</v>
      </c>
      <c r="E85" s="11" t="s">
        <v>187</v>
      </c>
      <c r="F85" s="3">
        <f t="shared" si="12"/>
        <v>1</v>
      </c>
      <c r="G85" s="5">
        <f>IF(E85="","",VLOOKUP(E85,参考表!$N$2:$O$49,2,0)*1000)</f>
        <v>11000</v>
      </c>
      <c r="H85" s="52" t="s">
        <v>202</v>
      </c>
      <c r="I85" s="3">
        <f t="shared" si="13"/>
        <v>1</v>
      </c>
      <c r="J85" s="5">
        <f>IF(H85="","",VLOOKUP(H85,参考表!$N$2:$O$100,2,0)*1000)</f>
        <v>11000</v>
      </c>
      <c r="L85" s="3" t="str">
        <f t="shared" si="14"/>
        <v/>
      </c>
      <c r="M85" s="5" t="str">
        <f>IF(K85="","",VLOOKUP(K85,参考表!$N$2:$O$49,2,0)*1000)</f>
        <v/>
      </c>
      <c r="O85" s="3" t="str">
        <f t="shared" si="15"/>
        <v/>
      </c>
      <c r="P85" s="5" t="str">
        <f>IF(N85="","",VLOOKUP(N85,参考表!$N$2:$O$49,2,0)*1000)</f>
        <v/>
      </c>
      <c r="Q85" s="10">
        <v>60</v>
      </c>
      <c r="R85" s="10">
        <v>60</v>
      </c>
      <c r="S85" s="7">
        <v>0</v>
      </c>
      <c r="T85" s="7">
        <v>0</v>
      </c>
      <c r="U85" s="1">
        <f t="shared" si="16"/>
        <v>2</v>
      </c>
    </row>
    <row r="86" spans="1:21">
      <c r="A86" s="14">
        <v>315</v>
      </c>
      <c r="B86" s="14"/>
      <c r="C86" s="13">
        <v>12</v>
      </c>
      <c r="D86" s="12">
        <v>4</v>
      </c>
      <c r="E86" s="11" t="s">
        <v>187</v>
      </c>
      <c r="F86" s="3">
        <f t="shared" si="12"/>
        <v>1</v>
      </c>
      <c r="G86" s="5">
        <f>IF(E86="","",VLOOKUP(E86,参考表!$N$2:$O$49,2,0)*1000)</f>
        <v>11000</v>
      </c>
      <c r="H86" s="52" t="s">
        <v>202</v>
      </c>
      <c r="I86" s="3">
        <f t="shared" si="13"/>
        <v>1</v>
      </c>
      <c r="J86" s="5">
        <f>IF(H86="","",VLOOKUP(H86,参考表!$N$2:$O$100,2,0)*1000)</f>
        <v>11000</v>
      </c>
      <c r="L86" s="3" t="str">
        <f t="shared" si="14"/>
        <v/>
      </c>
      <c r="M86" s="5" t="str">
        <f>IF(K86="","",VLOOKUP(K86,参考表!$N$2:$O$49,2,0)*1000)</f>
        <v/>
      </c>
      <c r="O86" s="3" t="str">
        <f t="shared" si="15"/>
        <v/>
      </c>
      <c r="P86" s="5" t="str">
        <f>IF(N86="","",VLOOKUP(N86,参考表!$N$2:$O$49,2,0)*1000)</f>
        <v/>
      </c>
      <c r="Q86" s="10">
        <v>60</v>
      </c>
      <c r="R86" s="10">
        <v>60</v>
      </c>
      <c r="S86" s="7">
        <v>0</v>
      </c>
      <c r="T86" s="7">
        <v>0</v>
      </c>
      <c r="U86" s="1">
        <f t="shared" si="16"/>
        <v>2</v>
      </c>
    </row>
    <row r="87" spans="1:21">
      <c r="A87" s="14">
        <v>316</v>
      </c>
      <c r="B87" s="14" t="s">
        <v>159</v>
      </c>
      <c r="C87" s="13">
        <v>12</v>
      </c>
      <c r="D87" s="12">
        <v>4</v>
      </c>
      <c r="E87" s="11" t="s">
        <v>186</v>
      </c>
      <c r="F87" s="3">
        <f t="shared" si="12"/>
        <v>1</v>
      </c>
      <c r="G87" s="5">
        <f>IF(E87="","",VLOOKUP(E87,参考表!$N$2:$O$49,2,0)*1000)</f>
        <v>11000</v>
      </c>
      <c r="H87" s="52" t="s">
        <v>188</v>
      </c>
      <c r="I87" s="3">
        <f t="shared" si="13"/>
        <v>1</v>
      </c>
      <c r="J87" s="5">
        <f>IF(H87="","",VLOOKUP(H87,参考表!$N$2:$O$100,2,0)*1000)</f>
        <v>11000</v>
      </c>
      <c r="L87" s="3" t="str">
        <f t="shared" si="14"/>
        <v/>
      </c>
      <c r="M87" s="5" t="str">
        <f>IF(K87="","",VLOOKUP(K87,参考表!$N$2:$O$49,2,0)*1000)</f>
        <v/>
      </c>
      <c r="O87" s="3" t="str">
        <f t="shared" si="15"/>
        <v/>
      </c>
      <c r="P87" s="5" t="str">
        <f>IF(N87="","",VLOOKUP(N87,参考表!$N$2:$O$49,2,0)*1000)</f>
        <v/>
      </c>
      <c r="Q87" s="10">
        <v>60</v>
      </c>
      <c r="R87" s="10">
        <v>60</v>
      </c>
      <c r="S87" s="7">
        <v>0</v>
      </c>
      <c r="T87" s="7">
        <v>0</v>
      </c>
      <c r="U87" s="1">
        <f t="shared" si="16"/>
        <v>2</v>
      </c>
    </row>
    <row r="88" spans="1:21">
      <c r="A88" s="14">
        <v>316</v>
      </c>
      <c r="B88" s="14"/>
      <c r="C88" s="13">
        <v>12</v>
      </c>
      <c r="D88" s="12">
        <v>4</v>
      </c>
      <c r="E88" s="11" t="s">
        <v>186</v>
      </c>
      <c r="F88" s="3">
        <f t="shared" si="12"/>
        <v>1</v>
      </c>
      <c r="G88" s="5">
        <f>IF(E88="","",VLOOKUP(E88,参考表!$N$2:$O$49,2,0)*1000)</f>
        <v>11000</v>
      </c>
      <c r="H88" s="52" t="s">
        <v>188</v>
      </c>
      <c r="I88" s="3">
        <f t="shared" si="13"/>
        <v>1</v>
      </c>
      <c r="J88" s="5">
        <f>IF(H88="","",VLOOKUP(H88,参考表!$N$2:$O$100,2,0)*1000)</f>
        <v>11000</v>
      </c>
      <c r="L88" s="3" t="str">
        <f t="shared" si="14"/>
        <v/>
      </c>
      <c r="M88" s="5" t="str">
        <f>IF(K88="","",VLOOKUP(K88,参考表!$N$2:$O$49,2,0)*1000)</f>
        <v/>
      </c>
      <c r="O88" s="3" t="str">
        <f t="shared" si="15"/>
        <v/>
      </c>
      <c r="P88" s="5" t="str">
        <f>IF(N88="","",VLOOKUP(N88,参考表!$N$2:$O$49,2,0)*1000)</f>
        <v/>
      </c>
      <c r="Q88" s="10">
        <v>60</v>
      </c>
      <c r="R88" s="10">
        <v>60</v>
      </c>
      <c r="S88" s="7">
        <v>0</v>
      </c>
      <c r="T88" s="7">
        <v>0</v>
      </c>
      <c r="U88" s="1">
        <f t="shared" si="16"/>
        <v>2</v>
      </c>
    </row>
    <row r="89" spans="1:21">
      <c r="A89" s="14">
        <v>316</v>
      </c>
      <c r="B89" s="14"/>
      <c r="C89" s="13">
        <v>12</v>
      </c>
      <c r="D89" s="12">
        <v>4</v>
      </c>
      <c r="E89" s="11" t="s">
        <v>186</v>
      </c>
      <c r="F89" s="3">
        <f t="shared" si="12"/>
        <v>1</v>
      </c>
      <c r="G89" s="5">
        <f>IF(E89="","",VLOOKUP(E89,参考表!$N$2:$O$49,2,0)*1000)</f>
        <v>11000</v>
      </c>
      <c r="H89" s="52" t="s">
        <v>188</v>
      </c>
      <c r="I89" s="3">
        <f t="shared" si="13"/>
        <v>1</v>
      </c>
      <c r="J89" s="5">
        <f>IF(H89="","",VLOOKUP(H89,参考表!$N$2:$O$100,2,0)*1000)</f>
        <v>11000</v>
      </c>
      <c r="L89" s="3" t="str">
        <f t="shared" si="14"/>
        <v/>
      </c>
      <c r="M89" s="5" t="str">
        <f>IF(K89="","",VLOOKUP(K89,参考表!$N$2:$O$49,2,0)*1000)</f>
        <v/>
      </c>
      <c r="O89" s="3" t="str">
        <f t="shared" si="15"/>
        <v/>
      </c>
      <c r="P89" s="5" t="str">
        <f>IF(N89="","",VLOOKUP(N89,参考表!$N$2:$O$49,2,0)*1000)</f>
        <v/>
      </c>
      <c r="Q89" s="10">
        <v>60</v>
      </c>
      <c r="R89" s="10">
        <v>60</v>
      </c>
      <c r="S89" s="7">
        <v>0</v>
      </c>
      <c r="T89" s="7">
        <v>0</v>
      </c>
      <c r="U89" s="1">
        <f t="shared" si="16"/>
        <v>2</v>
      </c>
    </row>
    <row r="90" spans="1:21">
      <c r="A90" s="14">
        <v>316</v>
      </c>
      <c r="B90" s="14"/>
      <c r="C90" s="13">
        <v>12</v>
      </c>
      <c r="D90" s="12">
        <v>4</v>
      </c>
      <c r="E90" s="11" t="s">
        <v>186</v>
      </c>
      <c r="F90" s="3">
        <f t="shared" si="12"/>
        <v>1</v>
      </c>
      <c r="G90" s="5">
        <f>IF(E90="","",VLOOKUP(E90,参考表!$N$2:$O$49,2,0)*1000)</f>
        <v>11000</v>
      </c>
      <c r="H90" s="52" t="s">
        <v>188</v>
      </c>
      <c r="I90" s="3">
        <f t="shared" si="13"/>
        <v>1</v>
      </c>
      <c r="J90" s="5">
        <f>IF(H90="","",VLOOKUP(H90,参考表!$N$2:$O$100,2,0)*1000)</f>
        <v>11000</v>
      </c>
      <c r="L90" s="3" t="str">
        <f t="shared" si="14"/>
        <v/>
      </c>
      <c r="M90" s="5" t="str">
        <f>IF(K90="","",VLOOKUP(K90,参考表!$N$2:$O$49,2,0)*1000)</f>
        <v/>
      </c>
      <c r="O90" s="3" t="str">
        <f t="shared" si="15"/>
        <v/>
      </c>
      <c r="P90" s="5" t="str">
        <f>IF(N90="","",VLOOKUP(N90,参考表!$N$2:$O$49,2,0)*1000)</f>
        <v/>
      </c>
      <c r="Q90" s="10">
        <v>60</v>
      </c>
      <c r="R90" s="10">
        <v>60</v>
      </c>
      <c r="S90" s="7">
        <v>0</v>
      </c>
      <c r="T90" s="7">
        <v>0</v>
      </c>
      <c r="U90" s="1">
        <f t="shared" si="16"/>
        <v>2</v>
      </c>
    </row>
    <row r="91" spans="1:21">
      <c r="A91" s="14">
        <v>317</v>
      </c>
      <c r="B91" s="14" t="s">
        <v>17</v>
      </c>
      <c r="C91" s="13">
        <v>12</v>
      </c>
      <c r="D91" s="12">
        <v>4</v>
      </c>
      <c r="E91" s="11" t="s">
        <v>179</v>
      </c>
      <c r="F91" s="3">
        <f t="shared" si="12"/>
        <v>1</v>
      </c>
      <c r="G91" s="5">
        <f>IF(E91="","",VLOOKUP(E91,参考表!$N$2:$O$49,2,0)*1000)</f>
        <v>11000</v>
      </c>
      <c r="H91" s="52" t="s">
        <v>198</v>
      </c>
      <c r="I91" s="3">
        <f t="shared" si="13"/>
        <v>1</v>
      </c>
      <c r="J91" s="5">
        <f>IF(H91="","",VLOOKUP(H91,参考表!$N$2:$O$100,2,0)*1000)</f>
        <v>11000</v>
      </c>
      <c r="L91" s="3" t="str">
        <f t="shared" si="14"/>
        <v/>
      </c>
      <c r="M91" s="5" t="str">
        <f>IF(K91="","",VLOOKUP(K91,参考表!$N$2:$O$49,2,0)*1000)</f>
        <v/>
      </c>
      <c r="O91" s="3" t="str">
        <f t="shared" si="15"/>
        <v/>
      </c>
      <c r="P91" s="5" t="str">
        <f>IF(N91="","",VLOOKUP(N91,参考表!$N$2:$O$49,2,0)*1000)</f>
        <v/>
      </c>
      <c r="Q91" s="10">
        <v>60</v>
      </c>
      <c r="R91" s="10">
        <v>60</v>
      </c>
      <c r="S91" s="7">
        <v>0</v>
      </c>
      <c r="T91" s="7">
        <v>0</v>
      </c>
      <c r="U91" s="1">
        <f t="shared" si="16"/>
        <v>2</v>
      </c>
    </row>
    <row r="92" spans="1:21">
      <c r="A92" s="14">
        <v>317</v>
      </c>
      <c r="B92" s="14"/>
      <c r="C92" s="13">
        <v>12</v>
      </c>
      <c r="D92" s="12">
        <v>4</v>
      </c>
      <c r="E92" s="11" t="s">
        <v>179</v>
      </c>
      <c r="F92" s="3">
        <f t="shared" si="12"/>
        <v>1</v>
      </c>
      <c r="G92" s="5">
        <f>IF(E92="","",VLOOKUP(E92,参考表!$N$2:$O$49,2,0)*1000)</f>
        <v>11000</v>
      </c>
      <c r="H92" s="52" t="s">
        <v>198</v>
      </c>
      <c r="I92" s="3">
        <f t="shared" si="13"/>
        <v>1</v>
      </c>
      <c r="J92" s="5">
        <f>IF(H92="","",VLOOKUP(H92,参考表!$N$2:$O$100,2,0)*1000)</f>
        <v>11000</v>
      </c>
      <c r="L92" s="3" t="str">
        <f t="shared" si="14"/>
        <v/>
      </c>
      <c r="M92" s="5" t="str">
        <f>IF(K92="","",VLOOKUP(K92,参考表!$N$2:$O$49,2,0)*1000)</f>
        <v/>
      </c>
      <c r="O92" s="3" t="str">
        <f t="shared" si="15"/>
        <v/>
      </c>
      <c r="P92" s="5" t="str">
        <f>IF(N92="","",VLOOKUP(N92,参考表!$N$2:$O$49,2,0)*1000)</f>
        <v/>
      </c>
      <c r="Q92" s="10">
        <v>60</v>
      </c>
      <c r="R92" s="10">
        <v>60</v>
      </c>
      <c r="S92" s="7">
        <v>0</v>
      </c>
      <c r="T92" s="7">
        <v>0</v>
      </c>
      <c r="U92" s="1">
        <f t="shared" si="16"/>
        <v>2</v>
      </c>
    </row>
    <row r="93" spans="1:21">
      <c r="A93" s="14">
        <v>317</v>
      </c>
      <c r="B93" s="14"/>
      <c r="C93" s="13">
        <v>12</v>
      </c>
      <c r="D93" s="12">
        <v>4</v>
      </c>
      <c r="E93" s="11" t="s">
        <v>179</v>
      </c>
      <c r="F93" s="3">
        <f t="shared" si="12"/>
        <v>1</v>
      </c>
      <c r="G93" s="5">
        <f>IF(E93="","",VLOOKUP(E93,参考表!$N$2:$O$49,2,0)*1000)</f>
        <v>11000</v>
      </c>
      <c r="H93" s="52" t="s">
        <v>198</v>
      </c>
      <c r="I93" s="3">
        <f t="shared" si="13"/>
        <v>1</v>
      </c>
      <c r="J93" s="5">
        <f>IF(H93="","",VLOOKUP(H93,参考表!$N$2:$O$100,2,0)*1000)</f>
        <v>11000</v>
      </c>
      <c r="L93" s="3" t="str">
        <f t="shared" si="14"/>
        <v/>
      </c>
      <c r="M93" s="5" t="str">
        <f>IF(K93="","",VLOOKUP(K93,参考表!$N$2:$O$49,2,0)*1000)</f>
        <v/>
      </c>
      <c r="O93" s="3" t="str">
        <f t="shared" si="15"/>
        <v/>
      </c>
      <c r="P93" s="5" t="str">
        <f>IF(N93="","",VLOOKUP(N93,参考表!$N$2:$O$49,2,0)*1000)</f>
        <v/>
      </c>
      <c r="Q93" s="10">
        <v>60</v>
      </c>
      <c r="R93" s="10">
        <v>60</v>
      </c>
      <c r="S93" s="7">
        <v>0</v>
      </c>
      <c r="T93" s="7">
        <v>0</v>
      </c>
      <c r="U93" s="1">
        <f t="shared" si="16"/>
        <v>2</v>
      </c>
    </row>
    <row r="94" spans="1:21">
      <c r="A94" s="14">
        <v>317</v>
      </c>
      <c r="B94" s="14"/>
      <c r="C94" s="13">
        <v>12</v>
      </c>
      <c r="D94" s="12">
        <v>4</v>
      </c>
      <c r="E94" s="11" t="s">
        <v>179</v>
      </c>
      <c r="F94" s="3">
        <f t="shared" si="12"/>
        <v>1</v>
      </c>
      <c r="G94" s="5">
        <f>IF(E94="","",VLOOKUP(E94,参考表!$N$2:$O$49,2,0)*1000)</f>
        <v>11000</v>
      </c>
      <c r="H94" s="52" t="s">
        <v>198</v>
      </c>
      <c r="I94" s="3">
        <f t="shared" si="13"/>
        <v>1</v>
      </c>
      <c r="J94" s="5">
        <f>IF(H94="","",VLOOKUP(H94,参考表!$N$2:$O$100,2,0)*1000)</f>
        <v>11000</v>
      </c>
      <c r="L94" s="3" t="str">
        <f t="shared" si="14"/>
        <v/>
      </c>
      <c r="M94" s="5" t="str">
        <f>IF(K94="","",VLOOKUP(K94,参考表!$N$2:$O$49,2,0)*1000)</f>
        <v/>
      </c>
      <c r="O94" s="3" t="str">
        <f t="shared" si="15"/>
        <v/>
      </c>
      <c r="P94" s="5" t="str">
        <f>IF(N94="","",VLOOKUP(N94,参考表!$N$2:$O$49,2,0)*1000)</f>
        <v/>
      </c>
      <c r="Q94" s="10">
        <v>60</v>
      </c>
      <c r="R94" s="10">
        <v>60</v>
      </c>
      <c r="S94" s="7">
        <v>0</v>
      </c>
      <c r="T94" s="7">
        <v>0</v>
      </c>
      <c r="U94" s="1">
        <f t="shared" si="16"/>
        <v>2</v>
      </c>
    </row>
    <row r="95" spans="1:21" ht="15.75" customHeight="1">
      <c r="A95" s="14">
        <v>401</v>
      </c>
      <c r="B95" s="14" t="s">
        <v>16</v>
      </c>
      <c r="C95" s="13">
        <v>12</v>
      </c>
      <c r="D95" s="12">
        <v>4</v>
      </c>
      <c r="E95" s="17" t="s">
        <v>15</v>
      </c>
      <c r="F95" s="3">
        <f t="shared" si="12"/>
        <v>1</v>
      </c>
      <c r="G95" s="5">
        <f>IF(E95="","",VLOOKUP(E95,参考表!$N$2:$O$49,2,0)*1000)</f>
        <v>11000</v>
      </c>
      <c r="H95" s="24"/>
      <c r="I95" s="3" t="str">
        <f t="shared" si="13"/>
        <v/>
      </c>
      <c r="J95" s="5" t="str">
        <f>IF(H95="","",VLOOKUP(H95,参考表!$N$2:$O$100,2,0)*1000)</f>
        <v/>
      </c>
      <c r="L95" s="3" t="str">
        <f t="shared" si="14"/>
        <v/>
      </c>
      <c r="M95" s="5" t="str">
        <f>IF(K95="","",VLOOKUP(K95,参考表!$N$2:$O$49,2,0)*1000)</f>
        <v/>
      </c>
      <c r="O95" s="3" t="str">
        <f t="shared" si="15"/>
        <v/>
      </c>
      <c r="P95" s="5" t="str">
        <f>IF(N95="","",VLOOKUP(N95,参考表!$N$2:$O$49,2,0)*1000)</f>
        <v/>
      </c>
      <c r="Q95" s="10">
        <v>60</v>
      </c>
      <c r="R95" s="10">
        <v>60</v>
      </c>
      <c r="S95" s="7">
        <v>0</v>
      </c>
      <c r="T95" s="7">
        <v>0</v>
      </c>
      <c r="U95" s="1">
        <f t="shared" si="16"/>
        <v>1</v>
      </c>
    </row>
    <row r="96" spans="1:21" ht="15.75" customHeight="1">
      <c r="A96" s="14">
        <v>402</v>
      </c>
      <c r="B96" s="14" t="s">
        <v>14</v>
      </c>
      <c r="C96" s="13">
        <v>12</v>
      </c>
      <c r="D96" s="12">
        <v>4</v>
      </c>
      <c r="E96" s="16" t="s">
        <v>13</v>
      </c>
      <c r="F96" s="3">
        <f t="shared" si="12"/>
        <v>1</v>
      </c>
      <c r="G96" s="5">
        <f>IF(E96="","",VLOOKUP(E96,参考表!$N$2:$O$49,2,0)*1000)</f>
        <v>11000</v>
      </c>
      <c r="H96" s="24"/>
      <c r="I96" s="3" t="str">
        <f t="shared" si="13"/>
        <v/>
      </c>
      <c r="J96" s="5" t="str">
        <f>IF(H96="","",VLOOKUP(H96,参考表!$N$2:$O$100,2,0)*1000)</f>
        <v/>
      </c>
      <c r="L96" s="3" t="str">
        <f t="shared" si="14"/>
        <v/>
      </c>
      <c r="M96" s="5" t="str">
        <f>IF(K96="","",VLOOKUP(K96,参考表!$N$2:$O$49,2,0)*1000)</f>
        <v/>
      </c>
      <c r="O96" s="3" t="str">
        <f t="shared" si="15"/>
        <v/>
      </c>
      <c r="P96" s="5" t="str">
        <f>IF(N96="","",VLOOKUP(N96,参考表!$N$2:$O$49,2,0)*1000)</f>
        <v/>
      </c>
      <c r="Q96" s="10">
        <v>60</v>
      </c>
      <c r="R96" s="10">
        <v>60</v>
      </c>
      <c r="S96" s="7">
        <v>0</v>
      </c>
      <c r="T96" s="7">
        <v>0</v>
      </c>
      <c r="U96" s="1">
        <f t="shared" si="16"/>
        <v>1</v>
      </c>
    </row>
    <row r="97" spans="1:21">
      <c r="A97" s="14">
        <v>403</v>
      </c>
      <c r="B97" s="14" t="s">
        <v>12</v>
      </c>
      <c r="C97" s="13">
        <v>12</v>
      </c>
      <c r="D97" s="12">
        <v>4</v>
      </c>
      <c r="E97" s="15" t="s">
        <v>11</v>
      </c>
      <c r="F97" s="3">
        <f t="shared" si="12"/>
        <v>1</v>
      </c>
      <c r="G97" s="5">
        <f>IF(E97="","",VLOOKUP(E97,参考表!$N$2:$O$49,2,0)*1000)</f>
        <v>11000</v>
      </c>
      <c r="H97" s="24"/>
      <c r="I97" s="3" t="str">
        <f t="shared" si="13"/>
        <v/>
      </c>
      <c r="J97" s="5" t="str">
        <f>IF(H97="","",VLOOKUP(H97,参考表!$N$2:$O$100,2,0)*1000)</f>
        <v/>
      </c>
      <c r="L97" s="3" t="str">
        <f t="shared" si="14"/>
        <v/>
      </c>
      <c r="M97" s="5" t="str">
        <f>IF(K97="","",VLOOKUP(K97,参考表!$N$2:$O$49,2,0)*1000)</f>
        <v/>
      </c>
      <c r="O97" s="3" t="str">
        <f t="shared" si="15"/>
        <v/>
      </c>
      <c r="P97" s="5" t="str">
        <f>IF(N97="","",VLOOKUP(N97,参考表!$N$2:$O$49,2,0)*1000)</f>
        <v/>
      </c>
      <c r="Q97" s="10">
        <v>60</v>
      </c>
      <c r="R97" s="10">
        <v>60</v>
      </c>
      <c r="S97" s="7">
        <v>0</v>
      </c>
      <c r="T97" s="7">
        <v>0</v>
      </c>
      <c r="U97" s="1">
        <f t="shared" si="16"/>
        <v>1</v>
      </c>
    </row>
    <row r="98" spans="1:21">
      <c r="A98" s="14">
        <v>411</v>
      </c>
      <c r="B98" s="14" t="s">
        <v>10</v>
      </c>
      <c r="C98" s="13">
        <v>12</v>
      </c>
      <c r="D98" s="12">
        <v>4</v>
      </c>
      <c r="E98" s="11" t="s">
        <v>185</v>
      </c>
      <c r="F98" s="3">
        <f t="shared" si="12"/>
        <v>1</v>
      </c>
      <c r="G98" s="5">
        <f>IF(E98="","",VLOOKUP(E98,参考表!$N$2:$O$49,2,0)*1000)</f>
        <v>11000</v>
      </c>
      <c r="H98" s="52" t="s">
        <v>203</v>
      </c>
      <c r="I98" s="3">
        <f t="shared" si="13"/>
        <v>1</v>
      </c>
      <c r="J98" s="5">
        <f>IF(H98="","",VLOOKUP(H98,参考表!$N$2:$O$100,2,0)*1000)</f>
        <v>11000</v>
      </c>
      <c r="L98" s="3" t="str">
        <f t="shared" ref="L98:L133" si="17">IF(K98="","",1)</f>
        <v/>
      </c>
      <c r="M98" s="5" t="str">
        <f>IF(K98="","",VLOOKUP(K98,参考表!$N$2:$O$49,2,0)*1000)</f>
        <v/>
      </c>
      <c r="O98" s="3" t="str">
        <f t="shared" ref="O98:O133" si="18">IF(N98="","",1)</f>
        <v/>
      </c>
      <c r="P98" s="5" t="str">
        <f>IF(N98="","",VLOOKUP(N98,参考表!$N$2:$O$49,2,0)*1000)</f>
        <v/>
      </c>
      <c r="Q98" s="10">
        <v>60</v>
      </c>
      <c r="R98" s="10">
        <v>60</v>
      </c>
      <c r="S98" s="7">
        <v>0</v>
      </c>
      <c r="T98" s="7">
        <v>0</v>
      </c>
      <c r="U98" s="1">
        <f t="shared" si="16"/>
        <v>2</v>
      </c>
    </row>
    <row r="99" spans="1:21">
      <c r="A99" s="14">
        <v>411</v>
      </c>
      <c r="B99" s="14"/>
      <c r="C99" s="13">
        <v>12</v>
      </c>
      <c r="D99" s="12">
        <v>4</v>
      </c>
      <c r="E99" s="11" t="s">
        <v>185</v>
      </c>
      <c r="F99" s="3">
        <f t="shared" si="12"/>
        <v>1</v>
      </c>
      <c r="G99" s="5">
        <f>IF(E99="","",VLOOKUP(E99,参考表!$N$2:$O$49,2,0)*1000)</f>
        <v>11000</v>
      </c>
      <c r="H99" s="52" t="s">
        <v>203</v>
      </c>
      <c r="I99" s="3">
        <f t="shared" si="13"/>
        <v>1</v>
      </c>
      <c r="J99" s="5">
        <f>IF(H99="","",VLOOKUP(H99,参考表!$N$2:$O$100,2,0)*1000)</f>
        <v>11000</v>
      </c>
      <c r="L99" s="3" t="str">
        <f t="shared" si="17"/>
        <v/>
      </c>
      <c r="M99" s="5" t="str">
        <f>IF(K99="","",VLOOKUP(K99,参考表!$N$2:$O$49,2,0)*1000)</f>
        <v/>
      </c>
      <c r="O99" s="3" t="str">
        <f t="shared" si="18"/>
        <v/>
      </c>
      <c r="P99" s="5" t="str">
        <f>IF(N99="","",VLOOKUP(N99,参考表!$N$2:$O$49,2,0)*1000)</f>
        <v/>
      </c>
      <c r="Q99" s="10">
        <v>60</v>
      </c>
      <c r="R99" s="10">
        <v>60</v>
      </c>
      <c r="S99" s="7">
        <v>0</v>
      </c>
      <c r="T99" s="7">
        <v>0</v>
      </c>
      <c r="U99" s="1">
        <f t="shared" si="16"/>
        <v>2</v>
      </c>
    </row>
    <row r="100" spans="1:21">
      <c r="A100" s="14">
        <v>411</v>
      </c>
      <c r="B100" s="14"/>
      <c r="C100" s="13">
        <v>12</v>
      </c>
      <c r="D100" s="12">
        <v>4</v>
      </c>
      <c r="E100" s="11" t="s">
        <v>185</v>
      </c>
      <c r="F100" s="3">
        <f t="shared" si="12"/>
        <v>1</v>
      </c>
      <c r="G100" s="5">
        <f>IF(E100="","",VLOOKUP(E100,参考表!$N$2:$O$49,2,0)*1000)</f>
        <v>11000</v>
      </c>
      <c r="H100" s="52" t="s">
        <v>203</v>
      </c>
      <c r="I100" s="3">
        <f t="shared" si="13"/>
        <v>1</v>
      </c>
      <c r="J100" s="5">
        <f>IF(H100="","",VLOOKUP(H100,参考表!$N$2:$O$100,2,0)*1000)</f>
        <v>11000</v>
      </c>
      <c r="L100" s="3" t="str">
        <f t="shared" si="17"/>
        <v/>
      </c>
      <c r="M100" s="5" t="str">
        <f>IF(K100="","",VLOOKUP(K100,参考表!$N$2:$O$49,2,0)*1000)</f>
        <v/>
      </c>
      <c r="O100" s="3" t="str">
        <f t="shared" si="18"/>
        <v/>
      </c>
      <c r="P100" s="5" t="str">
        <f>IF(N100="","",VLOOKUP(N100,参考表!$N$2:$O$49,2,0)*1000)</f>
        <v/>
      </c>
      <c r="Q100" s="10">
        <v>60</v>
      </c>
      <c r="R100" s="10">
        <v>60</v>
      </c>
      <c r="S100" s="7">
        <v>0</v>
      </c>
      <c r="T100" s="7">
        <v>0</v>
      </c>
      <c r="U100" s="1">
        <f t="shared" si="16"/>
        <v>2</v>
      </c>
    </row>
    <row r="101" spans="1:21">
      <c r="A101" s="14">
        <v>411</v>
      </c>
      <c r="B101" s="14"/>
      <c r="C101" s="13">
        <v>12</v>
      </c>
      <c r="D101" s="12">
        <v>4</v>
      </c>
      <c r="E101" s="11" t="s">
        <v>185</v>
      </c>
      <c r="F101" s="3">
        <f t="shared" si="12"/>
        <v>1</v>
      </c>
      <c r="G101" s="5">
        <f>IF(E101="","",VLOOKUP(E101,参考表!$N$2:$O$49,2,0)*1000)</f>
        <v>11000</v>
      </c>
      <c r="H101" s="52" t="s">
        <v>203</v>
      </c>
      <c r="I101" s="3">
        <f t="shared" si="13"/>
        <v>1</v>
      </c>
      <c r="J101" s="5">
        <f>IF(H101="","",VLOOKUP(H101,参考表!$N$2:$O$100,2,0)*1000)</f>
        <v>11000</v>
      </c>
      <c r="L101" s="3" t="str">
        <f t="shared" si="17"/>
        <v/>
      </c>
      <c r="M101" s="5" t="str">
        <f>IF(K101="","",VLOOKUP(K101,参考表!$N$2:$O$49,2,0)*1000)</f>
        <v/>
      </c>
      <c r="O101" s="3" t="str">
        <f t="shared" si="18"/>
        <v/>
      </c>
      <c r="P101" s="5" t="str">
        <f>IF(N101="","",VLOOKUP(N101,参考表!$N$2:$O$49,2,0)*1000)</f>
        <v/>
      </c>
      <c r="Q101" s="10">
        <v>60</v>
      </c>
      <c r="R101" s="10">
        <v>60</v>
      </c>
      <c r="S101" s="7">
        <v>0</v>
      </c>
      <c r="T101" s="7">
        <v>0</v>
      </c>
      <c r="U101" s="1">
        <f t="shared" si="16"/>
        <v>2</v>
      </c>
    </row>
    <row r="102" spans="1:21">
      <c r="A102" s="14">
        <v>412</v>
      </c>
      <c r="B102" s="14" t="s">
        <v>9</v>
      </c>
      <c r="C102" s="13">
        <v>12</v>
      </c>
      <c r="D102" s="12">
        <v>4</v>
      </c>
      <c r="E102" s="11" t="s">
        <v>183</v>
      </c>
      <c r="F102" s="3">
        <f t="shared" si="12"/>
        <v>1</v>
      </c>
      <c r="G102" s="5">
        <f>IF(E102="","",VLOOKUP(E102,参考表!$N$2:$O$49,2,0)*1000)</f>
        <v>11000</v>
      </c>
      <c r="H102" s="52" t="s">
        <v>196</v>
      </c>
      <c r="I102" s="3">
        <f t="shared" si="13"/>
        <v>1</v>
      </c>
      <c r="J102" s="5">
        <f>IF(H102="","",VLOOKUP(H102,参考表!$N$2:$O$100,2,0)*1000)</f>
        <v>11000</v>
      </c>
      <c r="L102" s="3" t="str">
        <f t="shared" si="17"/>
        <v/>
      </c>
      <c r="M102" s="5" t="str">
        <f>IF(K102="","",VLOOKUP(K102,参考表!$N$2:$O$49,2,0)*1000)</f>
        <v/>
      </c>
      <c r="O102" s="3" t="str">
        <f t="shared" si="18"/>
        <v/>
      </c>
      <c r="P102" s="5" t="str">
        <f>IF(N102="","",VLOOKUP(N102,参考表!$N$2:$O$49,2,0)*1000)</f>
        <v/>
      </c>
      <c r="Q102" s="10">
        <v>60</v>
      </c>
      <c r="R102" s="10">
        <v>60</v>
      </c>
      <c r="S102" s="7">
        <v>0</v>
      </c>
      <c r="T102" s="7">
        <v>0</v>
      </c>
      <c r="U102" s="1">
        <f t="shared" si="16"/>
        <v>2</v>
      </c>
    </row>
    <row r="103" spans="1:21">
      <c r="A103" s="14">
        <v>412</v>
      </c>
      <c r="B103" s="14"/>
      <c r="C103" s="13">
        <v>12</v>
      </c>
      <c r="D103" s="12">
        <v>4</v>
      </c>
      <c r="E103" s="11" t="s">
        <v>183</v>
      </c>
      <c r="F103" s="3">
        <f t="shared" si="12"/>
        <v>1</v>
      </c>
      <c r="G103" s="5">
        <f>IF(E103="","",VLOOKUP(E103,参考表!$N$2:$O$49,2,0)*1000)</f>
        <v>11000</v>
      </c>
      <c r="H103" s="52" t="s">
        <v>196</v>
      </c>
      <c r="I103" s="3">
        <f t="shared" si="13"/>
        <v>1</v>
      </c>
      <c r="J103" s="5">
        <f>IF(H103="","",VLOOKUP(H103,参考表!$N$2:$O$100,2,0)*1000)</f>
        <v>11000</v>
      </c>
      <c r="L103" s="3" t="str">
        <f t="shared" si="17"/>
        <v/>
      </c>
      <c r="M103" s="5" t="str">
        <f>IF(K103="","",VLOOKUP(K103,参考表!$N$2:$O$49,2,0)*1000)</f>
        <v/>
      </c>
      <c r="O103" s="3" t="str">
        <f t="shared" si="18"/>
        <v/>
      </c>
      <c r="P103" s="5" t="str">
        <f>IF(N103="","",VLOOKUP(N103,参考表!$N$2:$O$49,2,0)*1000)</f>
        <v/>
      </c>
      <c r="Q103" s="10">
        <v>60</v>
      </c>
      <c r="R103" s="10">
        <v>60</v>
      </c>
      <c r="S103" s="7">
        <v>0</v>
      </c>
      <c r="T103" s="7">
        <v>0</v>
      </c>
      <c r="U103" s="1">
        <f t="shared" si="16"/>
        <v>2</v>
      </c>
    </row>
    <row r="104" spans="1:21">
      <c r="A104" s="14">
        <v>412</v>
      </c>
      <c r="B104" s="14"/>
      <c r="C104" s="13">
        <v>12</v>
      </c>
      <c r="D104" s="12">
        <v>4</v>
      </c>
      <c r="E104" s="11" t="s">
        <v>183</v>
      </c>
      <c r="F104" s="3">
        <f t="shared" si="12"/>
        <v>1</v>
      </c>
      <c r="G104" s="5">
        <f>IF(E104="","",VLOOKUP(E104,参考表!$N$2:$O$49,2,0)*1000)</f>
        <v>11000</v>
      </c>
      <c r="H104" s="52" t="s">
        <v>196</v>
      </c>
      <c r="I104" s="3">
        <f t="shared" si="13"/>
        <v>1</v>
      </c>
      <c r="J104" s="5">
        <f>IF(H104="","",VLOOKUP(H104,参考表!$N$2:$O$100,2,0)*1000)</f>
        <v>11000</v>
      </c>
      <c r="L104" s="3" t="str">
        <f t="shared" si="17"/>
        <v/>
      </c>
      <c r="M104" s="5" t="str">
        <f>IF(K104="","",VLOOKUP(K104,参考表!$N$2:$O$49,2,0)*1000)</f>
        <v/>
      </c>
      <c r="O104" s="3" t="str">
        <f t="shared" si="18"/>
        <v/>
      </c>
      <c r="P104" s="5" t="str">
        <f>IF(N104="","",VLOOKUP(N104,参考表!$N$2:$O$49,2,0)*1000)</f>
        <v/>
      </c>
      <c r="Q104" s="10">
        <v>60</v>
      </c>
      <c r="R104" s="10">
        <v>60</v>
      </c>
      <c r="S104" s="7">
        <v>0</v>
      </c>
      <c r="T104" s="7">
        <v>0</v>
      </c>
      <c r="U104" s="1">
        <f t="shared" si="16"/>
        <v>2</v>
      </c>
    </row>
    <row r="105" spans="1:21">
      <c r="A105" s="14">
        <v>412</v>
      </c>
      <c r="B105" s="14"/>
      <c r="C105" s="13">
        <v>12</v>
      </c>
      <c r="D105" s="12">
        <v>4</v>
      </c>
      <c r="E105" s="11" t="s">
        <v>183</v>
      </c>
      <c r="F105" s="3">
        <f t="shared" si="12"/>
        <v>1</v>
      </c>
      <c r="G105" s="5">
        <f>IF(E105="","",VLOOKUP(E105,参考表!$N$2:$O$49,2,0)*1000)</f>
        <v>11000</v>
      </c>
      <c r="H105" s="52" t="s">
        <v>196</v>
      </c>
      <c r="I105" s="3">
        <f t="shared" si="13"/>
        <v>1</v>
      </c>
      <c r="J105" s="5">
        <f>IF(H105="","",VLOOKUP(H105,参考表!$N$2:$O$100,2,0)*1000)</f>
        <v>11000</v>
      </c>
      <c r="L105" s="3" t="str">
        <f t="shared" si="17"/>
        <v/>
      </c>
      <c r="M105" s="5" t="str">
        <f>IF(K105="","",VLOOKUP(K105,参考表!$N$2:$O$49,2,0)*1000)</f>
        <v/>
      </c>
      <c r="O105" s="3" t="str">
        <f t="shared" si="18"/>
        <v/>
      </c>
      <c r="P105" s="5" t="str">
        <f>IF(N105="","",VLOOKUP(N105,参考表!$N$2:$O$49,2,0)*1000)</f>
        <v/>
      </c>
      <c r="Q105" s="10">
        <v>60</v>
      </c>
      <c r="R105" s="10">
        <v>60</v>
      </c>
      <c r="S105" s="7">
        <v>0</v>
      </c>
      <c r="T105" s="7">
        <v>0</v>
      </c>
      <c r="U105" s="1">
        <f t="shared" si="16"/>
        <v>2</v>
      </c>
    </row>
    <row r="106" spans="1:21">
      <c r="A106" s="14">
        <v>413</v>
      </c>
      <c r="B106" s="14" t="s">
        <v>8</v>
      </c>
      <c r="C106" s="13">
        <v>12</v>
      </c>
      <c r="D106" s="12">
        <v>4</v>
      </c>
      <c r="E106" s="11" t="s">
        <v>183</v>
      </c>
      <c r="F106" s="3">
        <f t="shared" si="12"/>
        <v>1</v>
      </c>
      <c r="G106" s="5">
        <f>IF(E106="","",VLOOKUP(E106,参考表!$N$2:$O$49,2,0)*1000)</f>
        <v>11000</v>
      </c>
      <c r="H106" s="52" t="s">
        <v>190</v>
      </c>
      <c r="I106" s="3">
        <f t="shared" si="13"/>
        <v>1</v>
      </c>
      <c r="J106" s="5">
        <f>IF(H106="","",VLOOKUP(H106,参考表!$N$2:$O$100,2,0)*1000)</f>
        <v>11000</v>
      </c>
      <c r="L106" s="3" t="str">
        <f t="shared" si="17"/>
        <v/>
      </c>
      <c r="M106" s="5" t="str">
        <f>IF(K106="","",VLOOKUP(K106,参考表!$N$2:$O$49,2,0)*1000)</f>
        <v/>
      </c>
      <c r="O106" s="3" t="str">
        <f t="shared" si="18"/>
        <v/>
      </c>
      <c r="P106" s="5" t="str">
        <f>IF(N106="","",VLOOKUP(N106,参考表!$N$2:$O$49,2,0)*1000)</f>
        <v/>
      </c>
      <c r="Q106" s="10">
        <v>60</v>
      </c>
      <c r="R106" s="10">
        <v>60</v>
      </c>
      <c r="S106" s="7">
        <v>0</v>
      </c>
      <c r="T106" s="7">
        <v>0</v>
      </c>
      <c r="U106" s="1">
        <f t="shared" si="16"/>
        <v>2</v>
      </c>
    </row>
    <row r="107" spans="1:21">
      <c r="A107" s="14">
        <v>413</v>
      </c>
      <c r="B107" s="14"/>
      <c r="C107" s="13">
        <v>12</v>
      </c>
      <c r="D107" s="12">
        <v>4</v>
      </c>
      <c r="E107" s="11" t="s">
        <v>183</v>
      </c>
      <c r="F107" s="3">
        <f t="shared" si="12"/>
        <v>1</v>
      </c>
      <c r="G107" s="5">
        <f>IF(E107="","",VLOOKUP(E107,参考表!$N$2:$O$49,2,0)*1000)</f>
        <v>11000</v>
      </c>
      <c r="H107" s="52" t="s">
        <v>190</v>
      </c>
      <c r="I107" s="3">
        <f t="shared" si="13"/>
        <v>1</v>
      </c>
      <c r="J107" s="5">
        <f>IF(H107="","",VLOOKUP(H107,参考表!$N$2:$O$100,2,0)*1000)</f>
        <v>11000</v>
      </c>
      <c r="L107" s="3" t="str">
        <f t="shared" si="17"/>
        <v/>
      </c>
      <c r="M107" s="5" t="str">
        <f>IF(K107="","",VLOOKUP(K107,参考表!$N$2:$O$49,2,0)*1000)</f>
        <v/>
      </c>
      <c r="O107" s="3" t="str">
        <f t="shared" si="18"/>
        <v/>
      </c>
      <c r="P107" s="5" t="str">
        <f>IF(N107="","",VLOOKUP(N107,参考表!$N$2:$O$49,2,0)*1000)</f>
        <v/>
      </c>
      <c r="Q107" s="10">
        <v>60</v>
      </c>
      <c r="R107" s="10">
        <v>60</v>
      </c>
      <c r="S107" s="7">
        <v>0</v>
      </c>
      <c r="T107" s="7">
        <v>0</v>
      </c>
      <c r="U107" s="1">
        <f t="shared" si="16"/>
        <v>2</v>
      </c>
    </row>
    <row r="108" spans="1:21">
      <c r="A108" s="14">
        <v>413</v>
      </c>
      <c r="B108" s="14"/>
      <c r="C108" s="13">
        <v>12</v>
      </c>
      <c r="D108" s="12">
        <v>4</v>
      </c>
      <c r="E108" s="11" t="s">
        <v>183</v>
      </c>
      <c r="F108" s="3">
        <f t="shared" si="12"/>
        <v>1</v>
      </c>
      <c r="G108" s="5">
        <f>IF(E108="","",VLOOKUP(E108,参考表!$N$2:$O$49,2,0)*1000)</f>
        <v>11000</v>
      </c>
      <c r="H108" s="52" t="s">
        <v>190</v>
      </c>
      <c r="I108" s="3">
        <f t="shared" si="13"/>
        <v>1</v>
      </c>
      <c r="J108" s="5">
        <f>IF(H108="","",VLOOKUP(H108,参考表!$N$2:$O$100,2,0)*1000)</f>
        <v>11000</v>
      </c>
      <c r="L108" s="3" t="str">
        <f t="shared" si="17"/>
        <v/>
      </c>
      <c r="M108" s="5" t="str">
        <f>IF(K108="","",VLOOKUP(K108,参考表!$N$2:$O$49,2,0)*1000)</f>
        <v/>
      </c>
      <c r="O108" s="3" t="str">
        <f t="shared" si="18"/>
        <v/>
      </c>
      <c r="P108" s="5" t="str">
        <f>IF(N108="","",VLOOKUP(N108,参考表!$N$2:$O$49,2,0)*1000)</f>
        <v/>
      </c>
      <c r="Q108" s="10">
        <v>60</v>
      </c>
      <c r="R108" s="10">
        <v>60</v>
      </c>
      <c r="S108" s="7">
        <v>0</v>
      </c>
      <c r="T108" s="7">
        <v>0</v>
      </c>
      <c r="U108" s="1">
        <f t="shared" si="16"/>
        <v>2</v>
      </c>
    </row>
    <row r="109" spans="1:21">
      <c r="A109" s="14">
        <v>413</v>
      </c>
      <c r="B109" s="14"/>
      <c r="C109" s="13">
        <v>12</v>
      </c>
      <c r="D109" s="12">
        <v>4</v>
      </c>
      <c r="E109" s="11" t="s">
        <v>183</v>
      </c>
      <c r="F109" s="3">
        <f t="shared" si="12"/>
        <v>1</v>
      </c>
      <c r="G109" s="5">
        <f>IF(E109="","",VLOOKUP(E109,参考表!$N$2:$O$49,2,0)*1000)</f>
        <v>11000</v>
      </c>
      <c r="H109" s="52" t="s">
        <v>190</v>
      </c>
      <c r="I109" s="3">
        <f t="shared" si="13"/>
        <v>1</v>
      </c>
      <c r="J109" s="5">
        <f>IF(H109="","",VLOOKUP(H109,参考表!$N$2:$O$100,2,0)*1000)</f>
        <v>11000</v>
      </c>
      <c r="L109" s="3" t="str">
        <f t="shared" si="17"/>
        <v/>
      </c>
      <c r="M109" s="5" t="str">
        <f>IF(K109="","",VLOOKUP(K109,参考表!$N$2:$O$49,2,0)*1000)</f>
        <v/>
      </c>
      <c r="O109" s="3" t="str">
        <f t="shared" si="18"/>
        <v/>
      </c>
      <c r="P109" s="5" t="str">
        <f>IF(N109="","",VLOOKUP(N109,参考表!$N$2:$O$49,2,0)*1000)</f>
        <v/>
      </c>
      <c r="Q109" s="10">
        <v>60</v>
      </c>
      <c r="R109" s="10">
        <v>60</v>
      </c>
      <c r="S109" s="7">
        <v>0</v>
      </c>
      <c r="T109" s="7">
        <v>0</v>
      </c>
      <c r="U109" s="1">
        <f t="shared" si="16"/>
        <v>2</v>
      </c>
    </row>
    <row r="110" spans="1:21">
      <c r="A110" s="14">
        <v>414</v>
      </c>
      <c r="B110" s="14" t="s">
        <v>161</v>
      </c>
      <c r="C110" s="13">
        <v>12</v>
      </c>
      <c r="D110" s="12">
        <v>4</v>
      </c>
      <c r="E110" s="11" t="s">
        <v>192</v>
      </c>
      <c r="F110" s="3">
        <f t="shared" si="12"/>
        <v>1</v>
      </c>
      <c r="G110" s="5">
        <f>IF(E110="","",VLOOKUP(E110,参考表!$N$2:$O$49,2,0)*1000)</f>
        <v>11000</v>
      </c>
      <c r="H110" s="52" t="s">
        <v>195</v>
      </c>
      <c r="I110" s="3">
        <f t="shared" si="13"/>
        <v>1</v>
      </c>
      <c r="J110" s="5">
        <f>IF(H110="","",VLOOKUP(H110,参考表!$N$2:$O$100,2,0)*1000)</f>
        <v>11000</v>
      </c>
      <c r="L110" s="3" t="str">
        <f t="shared" si="17"/>
        <v/>
      </c>
      <c r="M110" s="5" t="str">
        <f>IF(K110="","",VLOOKUP(K110,参考表!$N$2:$O$49,2,0)*1000)</f>
        <v/>
      </c>
      <c r="O110" s="3" t="str">
        <f t="shared" si="18"/>
        <v/>
      </c>
      <c r="P110" s="5" t="str">
        <f>IF(N110="","",VLOOKUP(N110,参考表!$N$2:$O$49,2,0)*1000)</f>
        <v/>
      </c>
      <c r="Q110" s="10">
        <v>60</v>
      </c>
      <c r="R110" s="10">
        <v>60</v>
      </c>
      <c r="S110" s="7">
        <v>0</v>
      </c>
      <c r="T110" s="7">
        <v>0</v>
      </c>
      <c r="U110" s="1">
        <f t="shared" si="16"/>
        <v>2</v>
      </c>
    </row>
    <row r="111" spans="1:21">
      <c r="A111" s="14">
        <v>414</v>
      </c>
      <c r="B111" s="14"/>
      <c r="C111" s="13">
        <v>12</v>
      </c>
      <c r="D111" s="12">
        <v>4</v>
      </c>
      <c r="E111" s="11" t="s">
        <v>192</v>
      </c>
      <c r="F111" s="3">
        <f t="shared" si="12"/>
        <v>1</v>
      </c>
      <c r="G111" s="5">
        <f>IF(E111="","",VLOOKUP(E111,参考表!$N$2:$O$49,2,0)*1000)</f>
        <v>11000</v>
      </c>
      <c r="H111" s="52" t="s">
        <v>195</v>
      </c>
      <c r="I111" s="3">
        <f t="shared" si="13"/>
        <v>1</v>
      </c>
      <c r="J111" s="5">
        <f>IF(H111="","",VLOOKUP(H111,参考表!$N$2:$O$100,2,0)*1000)</f>
        <v>11000</v>
      </c>
      <c r="L111" s="3" t="str">
        <f t="shared" si="17"/>
        <v/>
      </c>
      <c r="M111" s="5" t="str">
        <f>IF(K111="","",VLOOKUP(K111,参考表!$N$2:$O$49,2,0)*1000)</f>
        <v/>
      </c>
      <c r="O111" s="3" t="str">
        <f t="shared" si="18"/>
        <v/>
      </c>
      <c r="P111" s="5" t="str">
        <f>IF(N111="","",VLOOKUP(N111,参考表!$N$2:$O$49,2,0)*1000)</f>
        <v/>
      </c>
      <c r="Q111" s="10">
        <v>60</v>
      </c>
      <c r="R111" s="10">
        <v>60</v>
      </c>
      <c r="S111" s="7">
        <v>0</v>
      </c>
      <c r="T111" s="7">
        <v>0</v>
      </c>
      <c r="U111" s="1">
        <f t="shared" si="16"/>
        <v>2</v>
      </c>
    </row>
    <row r="112" spans="1:21">
      <c r="A112" s="14">
        <v>414</v>
      </c>
      <c r="B112" s="14"/>
      <c r="C112" s="13">
        <v>12</v>
      </c>
      <c r="D112" s="12">
        <v>4</v>
      </c>
      <c r="E112" s="11" t="s">
        <v>192</v>
      </c>
      <c r="F112" s="3">
        <f t="shared" si="12"/>
        <v>1</v>
      </c>
      <c r="G112" s="5">
        <f>IF(E112="","",VLOOKUP(E112,参考表!$N$2:$O$49,2,0)*1000)</f>
        <v>11000</v>
      </c>
      <c r="H112" s="52" t="s">
        <v>195</v>
      </c>
      <c r="I112" s="3">
        <f t="shared" si="13"/>
        <v>1</v>
      </c>
      <c r="J112" s="5">
        <f>IF(H112="","",VLOOKUP(H112,参考表!$N$2:$O$100,2,0)*1000)</f>
        <v>11000</v>
      </c>
      <c r="L112" s="3" t="str">
        <f t="shared" si="17"/>
        <v/>
      </c>
      <c r="M112" s="5" t="str">
        <f>IF(K112="","",VLOOKUP(K112,参考表!$N$2:$O$49,2,0)*1000)</f>
        <v/>
      </c>
      <c r="O112" s="3" t="str">
        <f t="shared" si="18"/>
        <v/>
      </c>
      <c r="P112" s="5" t="str">
        <f>IF(N112="","",VLOOKUP(N112,参考表!$N$2:$O$49,2,0)*1000)</f>
        <v/>
      </c>
      <c r="Q112" s="10">
        <v>60</v>
      </c>
      <c r="R112" s="10">
        <v>60</v>
      </c>
      <c r="S112" s="7">
        <v>0</v>
      </c>
      <c r="T112" s="7">
        <v>0</v>
      </c>
      <c r="U112" s="1">
        <f t="shared" si="16"/>
        <v>2</v>
      </c>
    </row>
    <row r="113" spans="1:21">
      <c r="A113" s="14">
        <v>414</v>
      </c>
      <c r="B113" s="14"/>
      <c r="C113" s="13">
        <v>12</v>
      </c>
      <c r="D113" s="12">
        <v>4</v>
      </c>
      <c r="E113" s="11" t="s">
        <v>192</v>
      </c>
      <c r="F113" s="3">
        <f t="shared" si="12"/>
        <v>1</v>
      </c>
      <c r="G113" s="5">
        <f>IF(E113="","",VLOOKUP(E113,参考表!$N$2:$O$49,2,0)*1000)</f>
        <v>11000</v>
      </c>
      <c r="H113" s="52" t="s">
        <v>195</v>
      </c>
      <c r="I113" s="3">
        <f t="shared" si="13"/>
        <v>1</v>
      </c>
      <c r="J113" s="5">
        <f>IF(H113="","",VLOOKUP(H113,参考表!$N$2:$O$100,2,0)*1000)</f>
        <v>11000</v>
      </c>
      <c r="L113" s="3" t="str">
        <f t="shared" si="17"/>
        <v/>
      </c>
      <c r="M113" s="5" t="str">
        <f>IF(K113="","",VLOOKUP(K113,参考表!$N$2:$O$49,2,0)*1000)</f>
        <v/>
      </c>
      <c r="O113" s="3" t="str">
        <f t="shared" si="18"/>
        <v/>
      </c>
      <c r="P113" s="5" t="str">
        <f>IF(N113="","",VLOOKUP(N113,参考表!$N$2:$O$49,2,0)*1000)</f>
        <v/>
      </c>
      <c r="Q113" s="10">
        <v>60</v>
      </c>
      <c r="R113" s="10">
        <v>60</v>
      </c>
      <c r="S113" s="7">
        <v>0</v>
      </c>
      <c r="T113" s="7">
        <v>0</v>
      </c>
      <c r="U113" s="1">
        <f t="shared" si="16"/>
        <v>2</v>
      </c>
    </row>
    <row r="114" spans="1:21">
      <c r="A114" s="14">
        <v>415</v>
      </c>
      <c r="B114" s="14" t="s">
        <v>163</v>
      </c>
      <c r="C114" s="13">
        <v>12</v>
      </c>
      <c r="D114" s="12">
        <v>4</v>
      </c>
      <c r="E114" s="11" t="s">
        <v>185</v>
      </c>
      <c r="F114" s="3">
        <f t="shared" si="12"/>
        <v>1</v>
      </c>
      <c r="G114" s="5">
        <f>IF(E114="","",VLOOKUP(E114,参考表!$N$2:$O$49,2,0)*1000)</f>
        <v>11000</v>
      </c>
      <c r="H114" s="52" t="s">
        <v>202</v>
      </c>
      <c r="I114" s="3">
        <f t="shared" si="13"/>
        <v>1</v>
      </c>
      <c r="J114" s="5">
        <f>IF(H114="","",VLOOKUP(H114,参考表!$N$2:$O$100,2,0)*1000)</f>
        <v>11000</v>
      </c>
      <c r="L114" s="3" t="str">
        <f t="shared" si="17"/>
        <v/>
      </c>
      <c r="M114" s="5" t="str">
        <f>IF(K114="","",VLOOKUP(K114,参考表!$N$2:$O$49,2,0)*1000)</f>
        <v/>
      </c>
      <c r="O114" s="3" t="str">
        <f t="shared" si="18"/>
        <v/>
      </c>
      <c r="P114" s="5" t="str">
        <f>IF(N114="","",VLOOKUP(N114,参考表!$N$2:$O$49,2,0)*1000)</f>
        <v/>
      </c>
      <c r="Q114" s="10">
        <v>60</v>
      </c>
      <c r="R114" s="10">
        <v>60</v>
      </c>
      <c r="S114" s="7">
        <v>0</v>
      </c>
      <c r="T114" s="7">
        <v>0</v>
      </c>
      <c r="U114" s="1">
        <f t="shared" si="16"/>
        <v>2</v>
      </c>
    </row>
    <row r="115" spans="1:21">
      <c r="A115" s="14">
        <v>415</v>
      </c>
      <c r="B115" s="14"/>
      <c r="C115" s="13">
        <v>12</v>
      </c>
      <c r="D115" s="12">
        <v>4</v>
      </c>
      <c r="E115" s="11" t="s">
        <v>185</v>
      </c>
      <c r="F115" s="3">
        <f t="shared" si="12"/>
        <v>1</v>
      </c>
      <c r="G115" s="5">
        <f>IF(E115="","",VLOOKUP(E115,参考表!$N$2:$O$49,2,0)*1000)</f>
        <v>11000</v>
      </c>
      <c r="H115" s="52" t="s">
        <v>202</v>
      </c>
      <c r="I115" s="3">
        <f t="shared" si="13"/>
        <v>1</v>
      </c>
      <c r="J115" s="5">
        <f>IF(H115="","",VLOOKUP(H115,参考表!$N$2:$O$100,2,0)*1000)</f>
        <v>11000</v>
      </c>
      <c r="L115" s="3" t="str">
        <f t="shared" si="17"/>
        <v/>
      </c>
      <c r="M115" s="5" t="str">
        <f>IF(K115="","",VLOOKUP(K115,参考表!$N$2:$O$49,2,0)*1000)</f>
        <v/>
      </c>
      <c r="O115" s="3" t="str">
        <f t="shared" si="18"/>
        <v/>
      </c>
      <c r="P115" s="5" t="str">
        <f>IF(N115="","",VLOOKUP(N115,参考表!$N$2:$O$49,2,0)*1000)</f>
        <v/>
      </c>
      <c r="Q115" s="10">
        <v>60</v>
      </c>
      <c r="R115" s="10">
        <v>60</v>
      </c>
      <c r="S115" s="7">
        <v>0</v>
      </c>
      <c r="T115" s="7">
        <v>0</v>
      </c>
      <c r="U115" s="1">
        <f t="shared" si="16"/>
        <v>2</v>
      </c>
    </row>
    <row r="116" spans="1:21">
      <c r="A116" s="14">
        <v>415</v>
      </c>
      <c r="B116" s="14"/>
      <c r="C116" s="13">
        <v>12</v>
      </c>
      <c r="D116" s="12">
        <v>4</v>
      </c>
      <c r="E116" s="11" t="s">
        <v>185</v>
      </c>
      <c r="F116" s="3">
        <f t="shared" si="12"/>
        <v>1</v>
      </c>
      <c r="G116" s="5">
        <f>IF(E116="","",VLOOKUP(E116,参考表!$N$2:$O$49,2,0)*1000)</f>
        <v>11000</v>
      </c>
      <c r="H116" s="52" t="s">
        <v>202</v>
      </c>
      <c r="I116" s="3">
        <f t="shared" si="13"/>
        <v>1</v>
      </c>
      <c r="J116" s="5">
        <f>IF(H116="","",VLOOKUP(H116,参考表!$N$2:$O$100,2,0)*1000)</f>
        <v>11000</v>
      </c>
      <c r="L116" s="3" t="str">
        <f t="shared" si="17"/>
        <v/>
      </c>
      <c r="M116" s="5" t="str">
        <f>IF(K116="","",VLOOKUP(K116,参考表!$N$2:$O$49,2,0)*1000)</f>
        <v/>
      </c>
      <c r="O116" s="3" t="str">
        <f t="shared" si="18"/>
        <v/>
      </c>
      <c r="P116" s="5" t="str">
        <f>IF(N116="","",VLOOKUP(N116,参考表!$N$2:$O$49,2,0)*1000)</f>
        <v/>
      </c>
      <c r="Q116" s="10">
        <v>60</v>
      </c>
      <c r="R116" s="10">
        <v>60</v>
      </c>
      <c r="S116" s="7">
        <v>0</v>
      </c>
      <c r="T116" s="7">
        <v>0</v>
      </c>
      <c r="U116" s="1">
        <f t="shared" si="16"/>
        <v>2</v>
      </c>
    </row>
    <row r="117" spans="1:21">
      <c r="A117" s="14">
        <v>415</v>
      </c>
      <c r="B117" s="14"/>
      <c r="C117" s="13">
        <v>12</v>
      </c>
      <c r="D117" s="12">
        <v>4</v>
      </c>
      <c r="E117" s="11" t="s">
        <v>185</v>
      </c>
      <c r="F117" s="3">
        <f t="shared" si="12"/>
        <v>1</v>
      </c>
      <c r="G117" s="5">
        <f>IF(E117="","",VLOOKUP(E117,参考表!$N$2:$O$49,2,0)*1000)</f>
        <v>11000</v>
      </c>
      <c r="H117" s="52" t="s">
        <v>202</v>
      </c>
      <c r="I117" s="3">
        <f t="shared" si="13"/>
        <v>1</v>
      </c>
      <c r="J117" s="5">
        <f>IF(H117="","",VLOOKUP(H117,参考表!$N$2:$O$100,2,0)*1000)</f>
        <v>11000</v>
      </c>
      <c r="L117" s="3" t="str">
        <f t="shared" si="17"/>
        <v/>
      </c>
      <c r="M117" s="5" t="str">
        <f>IF(K117="","",VLOOKUP(K117,参考表!$N$2:$O$49,2,0)*1000)</f>
        <v/>
      </c>
      <c r="O117" s="3" t="str">
        <f t="shared" si="18"/>
        <v/>
      </c>
      <c r="P117" s="5" t="str">
        <f>IF(N117="","",VLOOKUP(N117,参考表!$N$2:$O$49,2,0)*1000)</f>
        <v/>
      </c>
      <c r="Q117" s="10">
        <v>60</v>
      </c>
      <c r="R117" s="10">
        <v>60</v>
      </c>
      <c r="S117" s="7">
        <v>0</v>
      </c>
      <c r="T117" s="7">
        <v>0</v>
      </c>
      <c r="U117" s="1">
        <f t="shared" si="16"/>
        <v>2</v>
      </c>
    </row>
    <row r="118" spans="1:21">
      <c r="A118" s="14">
        <v>416</v>
      </c>
      <c r="B118" s="14" t="s">
        <v>162</v>
      </c>
      <c r="C118" s="13">
        <v>12</v>
      </c>
      <c r="D118" s="12">
        <v>4</v>
      </c>
      <c r="E118" s="11" t="s">
        <v>185</v>
      </c>
      <c r="F118" s="3">
        <f t="shared" si="12"/>
        <v>1</v>
      </c>
      <c r="G118" s="5">
        <f>IF(E118="","",VLOOKUP(E118,参考表!$N$2:$O$49,2,0)*1000)</f>
        <v>11000</v>
      </c>
      <c r="H118" s="52" t="s">
        <v>188</v>
      </c>
      <c r="I118" s="3">
        <f t="shared" si="13"/>
        <v>1</v>
      </c>
      <c r="J118" s="5">
        <f>IF(H118="","",VLOOKUP(H118,参考表!$N$2:$O$100,2,0)*1000)</f>
        <v>11000</v>
      </c>
      <c r="L118" s="3" t="str">
        <f t="shared" si="17"/>
        <v/>
      </c>
      <c r="M118" s="5" t="str">
        <f>IF(K118="","",VLOOKUP(K118,参考表!$N$2:$O$49,2,0)*1000)</f>
        <v/>
      </c>
      <c r="O118" s="3" t="str">
        <f t="shared" si="18"/>
        <v/>
      </c>
      <c r="P118" s="5" t="str">
        <f>IF(N118="","",VLOOKUP(N118,参考表!$N$2:$O$49,2,0)*1000)</f>
        <v/>
      </c>
      <c r="Q118" s="10">
        <v>60</v>
      </c>
      <c r="R118" s="10">
        <v>60</v>
      </c>
      <c r="S118" s="7">
        <v>0</v>
      </c>
      <c r="T118" s="7">
        <v>0</v>
      </c>
      <c r="U118" s="1">
        <f t="shared" si="16"/>
        <v>2</v>
      </c>
    </row>
    <row r="119" spans="1:21">
      <c r="A119" s="14">
        <v>416</v>
      </c>
      <c r="B119" s="14"/>
      <c r="C119" s="13">
        <v>12</v>
      </c>
      <c r="D119" s="12">
        <v>4</v>
      </c>
      <c r="E119" s="11" t="s">
        <v>185</v>
      </c>
      <c r="F119" s="3">
        <f t="shared" si="12"/>
        <v>1</v>
      </c>
      <c r="G119" s="5">
        <f>IF(E119="","",VLOOKUP(E119,参考表!$N$2:$O$49,2,0)*1000)</f>
        <v>11000</v>
      </c>
      <c r="H119" s="52" t="s">
        <v>188</v>
      </c>
      <c r="I119" s="3">
        <f t="shared" si="13"/>
        <v>1</v>
      </c>
      <c r="J119" s="5">
        <f>IF(H119="","",VLOOKUP(H119,参考表!$N$2:$O$100,2,0)*1000)</f>
        <v>11000</v>
      </c>
      <c r="L119" s="3" t="str">
        <f t="shared" si="17"/>
        <v/>
      </c>
      <c r="M119" s="5" t="str">
        <f>IF(K119="","",VLOOKUP(K119,参考表!$N$2:$O$49,2,0)*1000)</f>
        <v/>
      </c>
      <c r="O119" s="3" t="str">
        <f t="shared" si="18"/>
        <v/>
      </c>
      <c r="P119" s="5" t="str">
        <f>IF(N119="","",VLOOKUP(N119,参考表!$N$2:$O$49,2,0)*1000)</f>
        <v/>
      </c>
      <c r="Q119" s="10">
        <v>60</v>
      </c>
      <c r="R119" s="10">
        <v>60</v>
      </c>
      <c r="S119" s="7">
        <v>0</v>
      </c>
      <c r="T119" s="7">
        <v>0</v>
      </c>
      <c r="U119" s="1">
        <f t="shared" si="16"/>
        <v>2</v>
      </c>
    </row>
    <row r="120" spans="1:21">
      <c r="A120" s="14">
        <v>416</v>
      </c>
      <c r="B120" s="14"/>
      <c r="C120" s="13">
        <v>12</v>
      </c>
      <c r="D120" s="12">
        <v>4</v>
      </c>
      <c r="E120" s="11" t="s">
        <v>185</v>
      </c>
      <c r="F120" s="3">
        <f t="shared" si="12"/>
        <v>1</v>
      </c>
      <c r="G120" s="5">
        <f>IF(E120="","",VLOOKUP(E120,参考表!$N$2:$O$49,2,0)*1000)</f>
        <v>11000</v>
      </c>
      <c r="H120" s="52" t="s">
        <v>188</v>
      </c>
      <c r="I120" s="3">
        <f t="shared" si="13"/>
        <v>1</v>
      </c>
      <c r="J120" s="5">
        <f>IF(H120="","",VLOOKUP(H120,参考表!$N$2:$O$100,2,0)*1000)</f>
        <v>11000</v>
      </c>
      <c r="L120" s="3" t="str">
        <f t="shared" si="17"/>
        <v/>
      </c>
      <c r="M120" s="5" t="str">
        <f>IF(K120="","",VLOOKUP(K120,参考表!$N$2:$O$49,2,0)*1000)</f>
        <v/>
      </c>
      <c r="O120" s="3" t="str">
        <f t="shared" si="18"/>
        <v/>
      </c>
      <c r="P120" s="5" t="str">
        <f>IF(N120="","",VLOOKUP(N120,参考表!$N$2:$O$49,2,0)*1000)</f>
        <v/>
      </c>
      <c r="Q120" s="10">
        <v>60</v>
      </c>
      <c r="R120" s="10">
        <v>60</v>
      </c>
      <c r="S120" s="7">
        <v>0</v>
      </c>
      <c r="T120" s="7">
        <v>0</v>
      </c>
      <c r="U120" s="1">
        <f t="shared" si="16"/>
        <v>2</v>
      </c>
    </row>
    <row r="121" spans="1:21">
      <c r="A121" s="14">
        <v>416</v>
      </c>
      <c r="B121" s="14"/>
      <c r="C121" s="13">
        <v>12</v>
      </c>
      <c r="D121" s="12">
        <v>4</v>
      </c>
      <c r="E121" s="11" t="s">
        <v>185</v>
      </c>
      <c r="F121" s="3">
        <f t="shared" si="12"/>
        <v>1</v>
      </c>
      <c r="G121" s="5">
        <f>IF(E121="","",VLOOKUP(E121,参考表!$N$2:$O$49,2,0)*1000)</f>
        <v>11000</v>
      </c>
      <c r="H121" s="52" t="s">
        <v>188</v>
      </c>
      <c r="I121" s="3">
        <f t="shared" si="13"/>
        <v>1</v>
      </c>
      <c r="J121" s="5">
        <f>IF(H121="","",VLOOKUP(H121,参考表!$N$2:$O$100,2,0)*1000)</f>
        <v>11000</v>
      </c>
      <c r="L121" s="3" t="str">
        <f t="shared" si="17"/>
        <v/>
      </c>
      <c r="M121" s="5" t="str">
        <f>IF(K121="","",VLOOKUP(K121,参考表!$N$2:$O$49,2,0)*1000)</f>
        <v/>
      </c>
      <c r="O121" s="3" t="str">
        <f t="shared" si="18"/>
        <v/>
      </c>
      <c r="P121" s="5" t="str">
        <f>IF(N121="","",VLOOKUP(N121,参考表!$N$2:$O$49,2,0)*1000)</f>
        <v/>
      </c>
      <c r="Q121" s="10">
        <v>60</v>
      </c>
      <c r="R121" s="10">
        <v>60</v>
      </c>
      <c r="S121" s="7">
        <v>0</v>
      </c>
      <c r="T121" s="7">
        <v>0</v>
      </c>
      <c r="U121" s="1">
        <f t="shared" si="16"/>
        <v>2</v>
      </c>
    </row>
    <row r="122" spans="1:21">
      <c r="A122" s="14">
        <v>417</v>
      </c>
      <c r="B122" s="14" t="s">
        <v>7</v>
      </c>
      <c r="C122" s="13">
        <v>12</v>
      </c>
      <c r="D122" s="12">
        <v>4</v>
      </c>
      <c r="E122" s="11" t="s">
        <v>179</v>
      </c>
      <c r="F122" s="3">
        <f t="shared" si="12"/>
        <v>1</v>
      </c>
      <c r="G122" s="5">
        <f>IF(E122="","",VLOOKUP(E122,参考表!$N$2:$O$49,2,0)*1000)</f>
        <v>11000</v>
      </c>
      <c r="H122" s="52" t="s">
        <v>198</v>
      </c>
      <c r="I122" s="3">
        <f t="shared" si="13"/>
        <v>1</v>
      </c>
      <c r="J122" s="5">
        <f>IF(H122="","",VLOOKUP(H122,参考表!$N$2:$O$100,2,0)*1000)</f>
        <v>11000</v>
      </c>
      <c r="L122" s="3" t="str">
        <f t="shared" si="17"/>
        <v/>
      </c>
      <c r="M122" s="5" t="str">
        <f>IF(K122="","",VLOOKUP(K122,参考表!$N$2:$O$49,2,0)*1000)</f>
        <v/>
      </c>
      <c r="O122" s="3" t="str">
        <f t="shared" si="18"/>
        <v/>
      </c>
      <c r="P122" s="5" t="str">
        <f>IF(N122="","",VLOOKUP(N122,参考表!$N$2:$O$49,2,0)*1000)</f>
        <v/>
      </c>
      <c r="Q122" s="10">
        <v>60</v>
      </c>
      <c r="R122" s="10">
        <v>60</v>
      </c>
      <c r="S122" s="7">
        <v>0</v>
      </c>
      <c r="T122" s="7">
        <v>0</v>
      </c>
      <c r="U122" s="1">
        <f t="shared" si="16"/>
        <v>2</v>
      </c>
    </row>
    <row r="123" spans="1:21">
      <c r="A123" s="14">
        <v>417</v>
      </c>
      <c r="B123" s="14"/>
      <c r="C123" s="13">
        <v>12</v>
      </c>
      <c r="D123" s="12">
        <v>4</v>
      </c>
      <c r="E123" s="11" t="s">
        <v>179</v>
      </c>
      <c r="F123" s="3">
        <f t="shared" si="12"/>
        <v>1</v>
      </c>
      <c r="G123" s="5">
        <f>IF(E123="","",VLOOKUP(E123,参考表!$N$2:$O$49,2,0)*1000)</f>
        <v>11000</v>
      </c>
      <c r="H123" s="52" t="s">
        <v>198</v>
      </c>
      <c r="I123" s="3">
        <f t="shared" si="13"/>
        <v>1</v>
      </c>
      <c r="J123" s="5">
        <f>IF(H123="","",VLOOKUP(H123,参考表!$N$2:$O$100,2,0)*1000)</f>
        <v>11000</v>
      </c>
      <c r="L123" s="3" t="str">
        <f t="shared" si="17"/>
        <v/>
      </c>
      <c r="M123" s="5" t="str">
        <f>IF(K123="","",VLOOKUP(K123,参考表!$N$2:$O$49,2,0)*1000)</f>
        <v/>
      </c>
      <c r="O123" s="3" t="str">
        <f t="shared" si="18"/>
        <v/>
      </c>
      <c r="P123" s="5" t="str">
        <f>IF(N123="","",VLOOKUP(N123,参考表!$N$2:$O$49,2,0)*1000)</f>
        <v/>
      </c>
      <c r="Q123" s="10">
        <v>60</v>
      </c>
      <c r="R123" s="10">
        <v>60</v>
      </c>
      <c r="S123" s="7">
        <v>0</v>
      </c>
      <c r="T123" s="7">
        <v>0</v>
      </c>
      <c r="U123" s="1">
        <f t="shared" si="16"/>
        <v>2</v>
      </c>
    </row>
    <row r="124" spans="1:21">
      <c r="A124" s="14">
        <v>417</v>
      </c>
      <c r="B124" s="14"/>
      <c r="C124" s="13">
        <v>12</v>
      </c>
      <c r="D124" s="12">
        <v>4</v>
      </c>
      <c r="E124" s="11" t="s">
        <v>179</v>
      </c>
      <c r="F124" s="3">
        <f t="shared" si="12"/>
        <v>1</v>
      </c>
      <c r="G124" s="5">
        <f>IF(E124="","",VLOOKUP(E124,参考表!$N$2:$O$49,2,0)*1000)</f>
        <v>11000</v>
      </c>
      <c r="H124" s="52" t="s">
        <v>198</v>
      </c>
      <c r="I124" s="3">
        <f t="shared" si="13"/>
        <v>1</v>
      </c>
      <c r="J124" s="5">
        <f>IF(H124="","",VLOOKUP(H124,参考表!$N$2:$O$100,2,0)*1000)</f>
        <v>11000</v>
      </c>
      <c r="L124" s="3" t="str">
        <f t="shared" si="17"/>
        <v/>
      </c>
      <c r="M124" s="5" t="str">
        <f>IF(K124="","",VLOOKUP(K124,参考表!$N$2:$O$49,2,0)*1000)</f>
        <v/>
      </c>
      <c r="O124" s="3" t="str">
        <f t="shared" si="18"/>
        <v/>
      </c>
      <c r="P124" s="5" t="str">
        <f>IF(N124="","",VLOOKUP(N124,参考表!$N$2:$O$49,2,0)*1000)</f>
        <v/>
      </c>
      <c r="Q124" s="10">
        <v>60</v>
      </c>
      <c r="R124" s="10">
        <v>60</v>
      </c>
      <c r="S124" s="7">
        <v>0</v>
      </c>
      <c r="T124" s="7">
        <v>0</v>
      </c>
      <c r="U124" s="1">
        <f t="shared" si="16"/>
        <v>2</v>
      </c>
    </row>
    <row r="125" spans="1:21">
      <c r="A125" s="14">
        <v>417</v>
      </c>
      <c r="B125" s="14"/>
      <c r="C125" s="13">
        <v>12</v>
      </c>
      <c r="D125" s="12">
        <v>4</v>
      </c>
      <c r="E125" s="11" t="s">
        <v>179</v>
      </c>
      <c r="F125" s="3">
        <f t="shared" si="12"/>
        <v>1</v>
      </c>
      <c r="G125" s="5">
        <f>IF(E125="","",VLOOKUP(E125,参考表!$N$2:$O$49,2,0)*1000)</f>
        <v>11000</v>
      </c>
      <c r="H125" s="52" t="s">
        <v>198</v>
      </c>
      <c r="I125" s="3">
        <f t="shared" si="13"/>
        <v>1</v>
      </c>
      <c r="J125" s="5">
        <f>IF(H125="","",VLOOKUP(H125,参考表!$N$2:$O$100,2,0)*1000)</f>
        <v>11000</v>
      </c>
      <c r="L125" s="3" t="str">
        <f t="shared" si="17"/>
        <v/>
      </c>
      <c r="M125" s="5" t="str">
        <f>IF(K125="","",VLOOKUP(K125,参考表!$N$2:$O$49,2,0)*1000)</f>
        <v/>
      </c>
      <c r="O125" s="3" t="str">
        <f t="shared" si="18"/>
        <v/>
      </c>
      <c r="P125" s="5" t="str">
        <f>IF(N125="","",VLOOKUP(N125,参考表!$N$2:$O$49,2,0)*1000)</f>
        <v/>
      </c>
      <c r="Q125" s="10">
        <v>60</v>
      </c>
      <c r="R125" s="10">
        <v>60</v>
      </c>
      <c r="S125" s="7">
        <v>0</v>
      </c>
      <c r="T125" s="7">
        <v>0</v>
      </c>
      <c r="U125" s="1">
        <f t="shared" si="16"/>
        <v>2</v>
      </c>
    </row>
    <row r="126" spans="1:21">
      <c r="A126" s="31">
        <v>521</v>
      </c>
      <c r="B126" s="31" t="s">
        <v>6</v>
      </c>
      <c r="C126" s="30">
        <v>12</v>
      </c>
      <c r="D126" s="29">
        <v>4</v>
      </c>
      <c r="E126" s="46" t="s">
        <v>181</v>
      </c>
      <c r="F126" s="26">
        <v>4</v>
      </c>
      <c r="G126" s="25">
        <f>IF(E126="","",VLOOKUP(E126,参考表!$N$2:$O$49,2,0)*1000)</f>
        <v>11000</v>
      </c>
      <c r="H126" s="53" t="s">
        <v>180</v>
      </c>
      <c r="I126" s="26">
        <f t="shared" si="13"/>
        <v>1</v>
      </c>
      <c r="J126" s="5">
        <f>IF(H126="","",VLOOKUP(H126,参考表!$N$2:$O$100,2,0)*1000)</f>
        <v>11000</v>
      </c>
      <c r="L126" s="3" t="str">
        <f t="shared" si="17"/>
        <v/>
      </c>
      <c r="M126" s="5" t="str">
        <f>IF(K126="","",VLOOKUP(K126,参考表!$N$2:$O$49,2,0)*1000)</f>
        <v/>
      </c>
      <c r="O126" s="3" t="str">
        <f t="shared" si="18"/>
        <v/>
      </c>
      <c r="P126" s="5" t="str">
        <f>IF(N126="","",VLOOKUP(N126,参考表!$N$2:$O$49,2,0)*1000)</f>
        <v/>
      </c>
      <c r="Q126" s="10">
        <v>60</v>
      </c>
      <c r="R126" s="10">
        <v>60</v>
      </c>
      <c r="S126" s="7">
        <v>0</v>
      </c>
      <c r="T126" s="7">
        <v>0</v>
      </c>
      <c r="U126" s="1">
        <f t="shared" si="16"/>
        <v>2</v>
      </c>
    </row>
    <row r="127" spans="1:21">
      <c r="A127" s="14">
        <v>521</v>
      </c>
      <c r="B127" s="14"/>
      <c r="C127" s="13">
        <v>12</v>
      </c>
      <c r="D127" s="12">
        <v>4</v>
      </c>
      <c r="E127" s="11" t="s">
        <v>193</v>
      </c>
      <c r="F127" s="3">
        <v>4</v>
      </c>
      <c r="G127" s="5">
        <f>IF(E127="","",VLOOKUP(E127,参考表!$N$2:$O$49,2,0)*1000)</f>
        <v>11000</v>
      </c>
      <c r="H127" s="54" t="s">
        <v>180</v>
      </c>
      <c r="I127" s="3">
        <f t="shared" si="13"/>
        <v>1</v>
      </c>
      <c r="J127" s="5">
        <f>IF(H127="","",VLOOKUP(H127,参考表!$N$2:$O$100,2,0)*1000)</f>
        <v>11000</v>
      </c>
      <c r="L127" s="3" t="str">
        <f t="shared" si="17"/>
        <v/>
      </c>
      <c r="M127" s="5" t="str">
        <f>IF(K127="","",VLOOKUP(K127,参考表!$N$2:$O$49,2,0)*1000)</f>
        <v/>
      </c>
      <c r="O127" s="3" t="str">
        <f t="shared" si="18"/>
        <v/>
      </c>
      <c r="P127" s="5" t="str">
        <f>IF(N127="","",VLOOKUP(N127,参考表!$N$2:$O$49,2,0)*1000)</f>
        <v/>
      </c>
      <c r="Q127" s="10">
        <v>60</v>
      </c>
      <c r="R127" s="10">
        <v>60</v>
      </c>
      <c r="S127" s="7">
        <v>0</v>
      </c>
      <c r="T127" s="7">
        <v>0</v>
      </c>
      <c r="U127" s="1">
        <f t="shared" si="16"/>
        <v>2</v>
      </c>
    </row>
    <row r="128" spans="1:21">
      <c r="A128" s="14">
        <v>521</v>
      </c>
      <c r="B128" s="14"/>
      <c r="C128" s="13">
        <v>12</v>
      </c>
      <c r="D128" s="12">
        <v>4</v>
      </c>
      <c r="E128" s="11" t="s">
        <v>179</v>
      </c>
      <c r="F128" s="3">
        <v>4</v>
      </c>
      <c r="G128" s="5">
        <f>IF(E128="","",VLOOKUP(E128,参考表!$N$2:$O$49,2,0)*1000)</f>
        <v>11000</v>
      </c>
      <c r="H128" s="54" t="s">
        <v>180</v>
      </c>
      <c r="I128" s="3">
        <f t="shared" si="13"/>
        <v>1</v>
      </c>
      <c r="J128" s="5">
        <f>IF(H128="","",VLOOKUP(H128,参考表!$N$2:$O$100,2,0)*1000)</f>
        <v>11000</v>
      </c>
      <c r="L128" s="3" t="str">
        <f t="shared" si="17"/>
        <v/>
      </c>
      <c r="M128" s="5" t="str">
        <f>IF(K128="","",VLOOKUP(K128,参考表!$N$2:$O$49,2,0)*1000)</f>
        <v/>
      </c>
      <c r="O128" s="3" t="str">
        <f t="shared" si="18"/>
        <v/>
      </c>
      <c r="P128" s="5" t="str">
        <f>IF(N128="","",VLOOKUP(N128,参考表!$N$2:$O$49,2,0)*1000)</f>
        <v/>
      </c>
      <c r="Q128" s="10">
        <v>60</v>
      </c>
      <c r="R128" s="10">
        <v>60</v>
      </c>
      <c r="S128" s="7">
        <v>0</v>
      </c>
      <c r="T128" s="7">
        <v>0</v>
      </c>
      <c r="U128" s="1">
        <f t="shared" si="16"/>
        <v>2</v>
      </c>
    </row>
    <row r="129" spans="1:21">
      <c r="A129" s="14">
        <v>521</v>
      </c>
      <c r="B129" s="14"/>
      <c r="C129" s="13">
        <v>12</v>
      </c>
      <c r="D129" s="12">
        <v>4</v>
      </c>
      <c r="E129" s="11" t="s">
        <v>182</v>
      </c>
      <c r="F129" s="3">
        <v>3</v>
      </c>
      <c r="G129" s="5">
        <f>IF(E129="","",VLOOKUP(E129,参考表!$N$2:$O$49,2,0)*1000)</f>
        <v>11000</v>
      </c>
      <c r="H129" s="54" t="s">
        <v>180</v>
      </c>
      <c r="I129" s="3">
        <f t="shared" ref="I129" si="19">IF(H129="","",1)</f>
        <v>1</v>
      </c>
      <c r="J129" s="5">
        <f>IF(H129="","",VLOOKUP(H129,参考表!$N$2:$O$100,2,0)*1000)</f>
        <v>11000</v>
      </c>
      <c r="L129" s="3" t="str">
        <f t="shared" ref="L129" si="20">IF(K129="","",1)</f>
        <v/>
      </c>
      <c r="M129" s="5" t="str">
        <f>IF(K129="","",VLOOKUP(K129,参考表!$N$2:$O$49,2,0)*1000)</f>
        <v/>
      </c>
      <c r="O129" s="3" t="str">
        <f t="shared" ref="O129" si="21">IF(N129="","",1)</f>
        <v/>
      </c>
      <c r="P129" s="5" t="str">
        <f>IF(N129="","",VLOOKUP(N129,参考表!$N$2:$O$49,2,0)*1000)</f>
        <v/>
      </c>
      <c r="Q129" s="10">
        <v>60</v>
      </c>
      <c r="R129" s="10">
        <v>60</v>
      </c>
      <c r="S129" s="7">
        <v>0</v>
      </c>
      <c r="T129" s="7">
        <v>0</v>
      </c>
      <c r="U129" s="1">
        <f t="shared" ref="U129" si="22">IF(E129&lt;&gt;"",1,0) + IF(H129&lt;&gt;"",1,0) + IF(K129&lt;&gt;"",1,0) + IF(N129&lt;&gt;"",1,0)</f>
        <v>2</v>
      </c>
    </row>
    <row r="130" spans="1:21">
      <c r="A130" s="14">
        <v>521</v>
      </c>
      <c r="B130" s="14"/>
      <c r="C130" s="13">
        <v>12</v>
      </c>
      <c r="D130" s="12">
        <v>4</v>
      </c>
      <c r="E130" s="11" t="s">
        <v>191</v>
      </c>
      <c r="F130" s="3">
        <v>3</v>
      </c>
      <c r="G130" s="5">
        <f>IF(E130="","",VLOOKUP(E130,参考表!$N$2:$O$49,2,0)*1000)</f>
        <v>11000</v>
      </c>
      <c r="H130" s="54" t="s">
        <v>180</v>
      </c>
      <c r="I130" s="3">
        <f t="shared" ref="I130" si="23">IF(H130="","",1)</f>
        <v>1</v>
      </c>
      <c r="J130" s="5">
        <f>IF(H130="","",VLOOKUP(H130,参考表!$N$2:$O$100,2,0)*1000)</f>
        <v>11000</v>
      </c>
      <c r="L130" s="3" t="str">
        <f t="shared" ref="L130" si="24">IF(K130="","",1)</f>
        <v/>
      </c>
      <c r="M130" s="5" t="str">
        <f>IF(K130="","",VLOOKUP(K130,参考表!$N$2:$O$49,2,0)*1000)</f>
        <v/>
      </c>
      <c r="O130" s="3" t="str">
        <f t="shared" ref="O130" si="25">IF(N130="","",1)</f>
        <v/>
      </c>
      <c r="P130" s="5" t="str">
        <f>IF(N130="","",VLOOKUP(N130,参考表!$N$2:$O$49,2,0)*1000)</f>
        <v/>
      </c>
      <c r="Q130" s="10">
        <v>60</v>
      </c>
      <c r="R130" s="10">
        <v>60</v>
      </c>
      <c r="S130" s="7">
        <v>0</v>
      </c>
      <c r="T130" s="7">
        <v>0</v>
      </c>
      <c r="U130" s="1">
        <f t="shared" ref="U130" si="26">IF(E130&lt;&gt;"",1,0) + IF(H130&lt;&gt;"",1,0) + IF(K130&lt;&gt;"",1,0) + IF(N130&lt;&gt;"",1,0)</f>
        <v>2</v>
      </c>
    </row>
    <row r="131" spans="1:21">
      <c r="A131" s="14">
        <v>521</v>
      </c>
      <c r="B131" s="14"/>
      <c r="C131" s="13">
        <v>12</v>
      </c>
      <c r="D131" s="12">
        <v>4</v>
      </c>
      <c r="E131" s="11" t="s">
        <v>187</v>
      </c>
      <c r="F131" s="3">
        <v>3</v>
      </c>
      <c r="G131" s="5">
        <f>IF(E131="","",VLOOKUP(E131,参考表!$N$2:$O$49,2,0)*1000)</f>
        <v>11000</v>
      </c>
      <c r="H131" s="54" t="s">
        <v>180</v>
      </c>
      <c r="I131" s="3">
        <f t="shared" ref="I131" si="27">IF(H131="","",1)</f>
        <v>1</v>
      </c>
      <c r="J131" s="5">
        <f>IF(H131="","",VLOOKUP(H131,参考表!$N$2:$O$100,2,0)*1000)</f>
        <v>11000</v>
      </c>
      <c r="L131" s="3" t="str">
        <f t="shared" ref="L131" si="28">IF(K131="","",1)</f>
        <v/>
      </c>
      <c r="M131" s="5" t="str">
        <f>IF(K131="","",VLOOKUP(K131,参考表!$N$2:$O$49,2,0)*1000)</f>
        <v/>
      </c>
      <c r="O131" s="3" t="str">
        <f t="shared" ref="O131" si="29">IF(N131="","",1)</f>
        <v/>
      </c>
      <c r="P131" s="5" t="str">
        <f>IF(N131="","",VLOOKUP(N131,参考表!$N$2:$O$49,2,0)*1000)</f>
        <v/>
      </c>
      <c r="Q131" s="10">
        <v>60</v>
      </c>
      <c r="R131" s="10">
        <v>60</v>
      </c>
      <c r="S131" s="7">
        <v>0</v>
      </c>
      <c r="T131" s="7">
        <v>0</v>
      </c>
      <c r="U131" s="1">
        <f t="shared" ref="U131" si="30">IF(E131&lt;&gt;"",1,0) + IF(H131&lt;&gt;"",1,0) + IF(K131&lt;&gt;"",1,0) + IF(N131&lt;&gt;"",1,0)</f>
        <v>2</v>
      </c>
    </row>
    <row r="132" spans="1:21">
      <c r="A132" s="14">
        <v>521</v>
      </c>
      <c r="B132" s="14"/>
      <c r="C132" s="13">
        <v>12</v>
      </c>
      <c r="D132" s="12">
        <v>4</v>
      </c>
      <c r="E132" s="11" t="s">
        <v>186</v>
      </c>
      <c r="F132" s="3">
        <v>3</v>
      </c>
      <c r="G132" s="5">
        <f>IF(E132="","",VLOOKUP(E132,参考表!$N$2:$O$49,2,0)*1000)</f>
        <v>11000</v>
      </c>
      <c r="H132" s="54" t="s">
        <v>180</v>
      </c>
      <c r="I132" s="3">
        <f t="shared" ref="I132" si="31">IF(H132="","",1)</f>
        <v>1</v>
      </c>
      <c r="J132" s="5">
        <f>IF(H132="","",VLOOKUP(H132,参考表!$N$2:$O$100,2,0)*1000)</f>
        <v>11000</v>
      </c>
      <c r="L132" s="3" t="str">
        <f t="shared" ref="L132" si="32">IF(K132="","",1)</f>
        <v/>
      </c>
      <c r="M132" s="5" t="str">
        <f>IF(K132="","",VLOOKUP(K132,参考表!$N$2:$O$49,2,0)*1000)</f>
        <v/>
      </c>
      <c r="O132" s="3" t="str">
        <f t="shared" ref="O132" si="33">IF(N132="","",1)</f>
        <v/>
      </c>
      <c r="P132" s="5" t="str">
        <f>IF(N132="","",VLOOKUP(N132,参考表!$N$2:$O$49,2,0)*1000)</f>
        <v/>
      </c>
      <c r="Q132" s="10">
        <v>60</v>
      </c>
      <c r="R132" s="10">
        <v>60</v>
      </c>
      <c r="S132" s="7">
        <v>0</v>
      </c>
      <c r="T132" s="7">
        <v>0</v>
      </c>
      <c r="U132" s="1">
        <f t="shared" ref="U132" si="34">IF(E132&lt;&gt;"",1,0) + IF(H132&lt;&gt;"",1,0) + IF(K132&lt;&gt;"",1,0) + IF(N132&lt;&gt;"",1,0)</f>
        <v>2</v>
      </c>
    </row>
    <row r="133" spans="1:21">
      <c r="A133" s="14">
        <v>522</v>
      </c>
      <c r="B133" s="14" t="s">
        <v>5</v>
      </c>
      <c r="C133" s="13">
        <v>12</v>
      </c>
      <c r="D133" s="12">
        <v>4</v>
      </c>
      <c r="E133" s="46" t="s">
        <v>181</v>
      </c>
      <c r="F133" s="3">
        <f t="shared" si="12"/>
        <v>1</v>
      </c>
      <c r="G133" s="5">
        <f>IF(E133="","",VLOOKUP(E133,参考表!$N$2:$O$49,2,0)*1000)</f>
        <v>11000</v>
      </c>
      <c r="H133" s="52" t="s">
        <v>200</v>
      </c>
      <c r="I133" s="3">
        <f t="shared" si="13"/>
        <v>1</v>
      </c>
      <c r="J133" s="5">
        <f>IF(H133="","",VLOOKUP(H133,参考表!$N$2:$O$100,2,0)*1000)</f>
        <v>11000</v>
      </c>
      <c r="L133" s="3" t="str">
        <f t="shared" si="17"/>
        <v/>
      </c>
      <c r="M133" s="5" t="str">
        <f>IF(K133="","",VLOOKUP(K133,参考表!$N$2:$O$49,2,0)*1000)</f>
        <v/>
      </c>
      <c r="O133" s="3" t="str">
        <f t="shared" si="18"/>
        <v/>
      </c>
      <c r="P133" s="5" t="str">
        <f>IF(N133="","",VLOOKUP(N133,参考表!$N$2:$O$49,2,0)*1000)</f>
        <v/>
      </c>
      <c r="Q133" s="10">
        <v>60</v>
      </c>
      <c r="R133" s="10">
        <v>60</v>
      </c>
      <c r="S133" s="7">
        <v>0</v>
      </c>
      <c r="T133" s="7">
        <v>0</v>
      </c>
      <c r="U133" s="1">
        <f t="shared" si="16"/>
        <v>2</v>
      </c>
    </row>
    <row r="134" spans="1:21">
      <c r="A134" s="14">
        <v>522</v>
      </c>
      <c r="B134" s="14"/>
      <c r="C134" s="13">
        <v>12</v>
      </c>
      <c r="D134" s="12">
        <v>4</v>
      </c>
      <c r="E134" s="11" t="s">
        <v>193</v>
      </c>
      <c r="F134" s="3">
        <f t="shared" ref="F134:F167" si="35">IF(E134="","",1)</f>
        <v>1</v>
      </c>
      <c r="G134" s="5">
        <f>IF(E134="","",VLOOKUP(E134,参考表!$N$2:$O$49,2,0)*1000)</f>
        <v>11000</v>
      </c>
      <c r="H134" s="52" t="s">
        <v>200</v>
      </c>
      <c r="I134" s="3">
        <f t="shared" ref="I134:I167" si="36">IF(H134="","",1)</f>
        <v>1</v>
      </c>
      <c r="J134" s="5">
        <f>IF(H134="","",VLOOKUP(H134,参考表!$N$2:$O$100,2,0)*1000)</f>
        <v>11000</v>
      </c>
      <c r="L134" s="3" t="str">
        <f t="shared" ref="L134:L167" si="37">IF(K134="","",1)</f>
        <v/>
      </c>
      <c r="M134" s="5" t="str">
        <f>IF(K134="","",VLOOKUP(K134,参考表!$N$2:$O$49,2,0)*1000)</f>
        <v/>
      </c>
      <c r="O134" s="3" t="str">
        <f t="shared" ref="O134:O167" si="38">IF(N134="","",1)</f>
        <v/>
      </c>
      <c r="P134" s="5" t="str">
        <f>IF(N134="","",VLOOKUP(N134,参考表!$N$2:$O$49,2,0)*1000)</f>
        <v/>
      </c>
      <c r="Q134" s="10">
        <v>60</v>
      </c>
      <c r="R134" s="10">
        <v>60</v>
      </c>
      <c r="S134" s="7">
        <v>0</v>
      </c>
      <c r="T134" s="7">
        <v>0</v>
      </c>
      <c r="U134" s="1">
        <f t="shared" si="16"/>
        <v>2</v>
      </c>
    </row>
    <row r="135" spans="1:21">
      <c r="A135" s="14">
        <v>522</v>
      </c>
      <c r="B135" s="14"/>
      <c r="C135" s="13">
        <v>12</v>
      </c>
      <c r="D135" s="12">
        <v>4</v>
      </c>
      <c r="E135" s="11" t="s">
        <v>179</v>
      </c>
      <c r="F135" s="3">
        <f t="shared" ref="F135" si="39">IF(E135="","",1)</f>
        <v>1</v>
      </c>
      <c r="G135" s="5">
        <f>IF(E135="","",VLOOKUP(E135,参考表!$N$2:$O$49,2,0)*1000)</f>
        <v>11000</v>
      </c>
      <c r="H135" s="52" t="s">
        <v>200</v>
      </c>
      <c r="I135" s="3">
        <f t="shared" ref="I135" si="40">IF(H135="","",1)</f>
        <v>1</v>
      </c>
      <c r="J135" s="5">
        <f>IF(H135="","",VLOOKUP(H135,参考表!$N$2:$O$100,2,0)*1000)</f>
        <v>11000</v>
      </c>
      <c r="L135" s="3" t="str">
        <f t="shared" ref="L135" si="41">IF(K135="","",1)</f>
        <v/>
      </c>
      <c r="M135" s="5" t="str">
        <f>IF(K135="","",VLOOKUP(K135,参考表!$N$2:$O$49,2,0)*1000)</f>
        <v/>
      </c>
      <c r="O135" s="3" t="str">
        <f t="shared" ref="O135" si="42">IF(N135="","",1)</f>
        <v/>
      </c>
      <c r="P135" s="5" t="str">
        <f>IF(N135="","",VLOOKUP(N135,参考表!$N$2:$O$49,2,0)*1000)</f>
        <v/>
      </c>
      <c r="Q135" s="10">
        <v>60</v>
      </c>
      <c r="R135" s="10">
        <v>60</v>
      </c>
      <c r="S135" s="7">
        <v>0</v>
      </c>
      <c r="T135" s="7">
        <v>0</v>
      </c>
      <c r="U135" s="1">
        <f t="shared" ref="U135" si="43">IF(E135&lt;&gt;"",1,0) + IF(H135&lt;&gt;"",1,0) + IF(K135&lt;&gt;"",1,0) + IF(N135&lt;&gt;"",1,0)</f>
        <v>2</v>
      </c>
    </row>
    <row r="136" spans="1:21">
      <c r="A136" s="14">
        <v>522</v>
      </c>
      <c r="B136" s="14"/>
      <c r="C136" s="13">
        <v>12</v>
      </c>
      <c r="D136" s="12">
        <v>4</v>
      </c>
      <c r="E136" s="11" t="s">
        <v>182</v>
      </c>
      <c r="F136" s="3">
        <f t="shared" ref="F136" si="44">IF(E136="","",1)</f>
        <v>1</v>
      </c>
      <c r="G136" s="5">
        <f>IF(E136="","",VLOOKUP(E136,参考表!$N$2:$O$49,2,0)*1000)</f>
        <v>11000</v>
      </c>
      <c r="H136" s="52" t="s">
        <v>200</v>
      </c>
      <c r="I136" s="3">
        <f t="shared" ref="I136" si="45">IF(H136="","",1)</f>
        <v>1</v>
      </c>
      <c r="J136" s="5">
        <f>IF(H136="","",VLOOKUP(H136,参考表!$N$2:$O$100,2,0)*1000)</f>
        <v>11000</v>
      </c>
      <c r="L136" s="3" t="str">
        <f t="shared" ref="L136" si="46">IF(K136="","",1)</f>
        <v/>
      </c>
      <c r="M136" s="5" t="str">
        <f>IF(K136="","",VLOOKUP(K136,参考表!$N$2:$O$49,2,0)*1000)</f>
        <v/>
      </c>
      <c r="O136" s="3" t="str">
        <f t="shared" ref="O136" si="47">IF(N136="","",1)</f>
        <v/>
      </c>
      <c r="P136" s="5" t="str">
        <f>IF(N136="","",VLOOKUP(N136,参考表!$N$2:$O$49,2,0)*1000)</f>
        <v/>
      </c>
      <c r="Q136" s="10">
        <v>60</v>
      </c>
      <c r="R136" s="10">
        <v>60</v>
      </c>
      <c r="S136" s="7">
        <v>0</v>
      </c>
      <c r="T136" s="7">
        <v>0</v>
      </c>
      <c r="U136" s="1">
        <f t="shared" ref="U136" si="48">IF(E136&lt;&gt;"",1,0) + IF(H136&lt;&gt;"",1,0) + IF(K136&lt;&gt;"",1,0) + IF(N136&lt;&gt;"",1,0)</f>
        <v>2</v>
      </c>
    </row>
    <row r="137" spans="1:21">
      <c r="A137" s="14">
        <v>522</v>
      </c>
      <c r="B137" s="14"/>
      <c r="C137" s="13">
        <v>12</v>
      </c>
      <c r="D137" s="12">
        <v>4</v>
      </c>
      <c r="E137" s="11" t="s">
        <v>191</v>
      </c>
      <c r="F137" s="3">
        <f t="shared" ref="F137" si="49">IF(E137="","",1)</f>
        <v>1</v>
      </c>
      <c r="G137" s="5">
        <f>IF(E137="","",VLOOKUP(E137,参考表!$N$2:$O$49,2,0)*1000)</f>
        <v>11000</v>
      </c>
      <c r="H137" s="52" t="s">
        <v>200</v>
      </c>
      <c r="I137" s="3">
        <f t="shared" ref="I137" si="50">IF(H137="","",1)</f>
        <v>1</v>
      </c>
      <c r="J137" s="5">
        <f>IF(H137="","",VLOOKUP(H137,参考表!$N$2:$O$100,2,0)*1000)</f>
        <v>11000</v>
      </c>
      <c r="L137" s="3" t="str">
        <f t="shared" ref="L137" si="51">IF(K137="","",1)</f>
        <v/>
      </c>
      <c r="M137" s="5" t="str">
        <f>IF(K137="","",VLOOKUP(K137,参考表!$N$2:$O$49,2,0)*1000)</f>
        <v/>
      </c>
      <c r="O137" s="3" t="str">
        <f t="shared" ref="O137" si="52">IF(N137="","",1)</f>
        <v/>
      </c>
      <c r="P137" s="5" t="str">
        <f>IF(N137="","",VLOOKUP(N137,参考表!$N$2:$O$49,2,0)*1000)</f>
        <v/>
      </c>
      <c r="Q137" s="10">
        <v>60</v>
      </c>
      <c r="R137" s="10">
        <v>60</v>
      </c>
      <c r="S137" s="7">
        <v>0</v>
      </c>
      <c r="T137" s="7">
        <v>0</v>
      </c>
      <c r="U137" s="1">
        <f t="shared" ref="U137" si="53">IF(E137&lt;&gt;"",1,0) + IF(H137&lt;&gt;"",1,0) + IF(K137&lt;&gt;"",1,0) + IF(N137&lt;&gt;"",1,0)</f>
        <v>2</v>
      </c>
    </row>
    <row r="138" spans="1:21">
      <c r="A138" s="14">
        <v>522</v>
      </c>
      <c r="B138" s="14"/>
      <c r="C138" s="13">
        <v>12</v>
      </c>
      <c r="D138" s="12">
        <v>4</v>
      </c>
      <c r="E138" s="11" t="s">
        <v>187</v>
      </c>
      <c r="F138" s="3">
        <f t="shared" ref="F138" si="54">IF(E138="","",1)</f>
        <v>1</v>
      </c>
      <c r="G138" s="5">
        <f>IF(E138="","",VLOOKUP(E138,参考表!$N$2:$O$49,2,0)*1000)</f>
        <v>11000</v>
      </c>
      <c r="H138" s="52" t="s">
        <v>200</v>
      </c>
      <c r="I138" s="3">
        <f t="shared" ref="I138" si="55">IF(H138="","",1)</f>
        <v>1</v>
      </c>
      <c r="J138" s="5">
        <f>IF(H138="","",VLOOKUP(H138,参考表!$N$2:$O$100,2,0)*1000)</f>
        <v>11000</v>
      </c>
      <c r="L138" s="3" t="str">
        <f t="shared" ref="L138" si="56">IF(K138="","",1)</f>
        <v/>
      </c>
      <c r="M138" s="5" t="str">
        <f>IF(K138="","",VLOOKUP(K138,参考表!$N$2:$O$49,2,0)*1000)</f>
        <v/>
      </c>
      <c r="O138" s="3" t="str">
        <f t="shared" ref="O138" si="57">IF(N138="","",1)</f>
        <v/>
      </c>
      <c r="P138" s="5" t="str">
        <f>IF(N138="","",VLOOKUP(N138,参考表!$N$2:$O$49,2,0)*1000)</f>
        <v/>
      </c>
      <c r="Q138" s="10">
        <v>60</v>
      </c>
      <c r="R138" s="10">
        <v>60</v>
      </c>
      <c r="S138" s="7">
        <v>0</v>
      </c>
      <c r="T138" s="7">
        <v>0</v>
      </c>
      <c r="U138" s="1">
        <f t="shared" ref="U138" si="58">IF(E138&lt;&gt;"",1,0) + IF(H138&lt;&gt;"",1,0) + IF(K138&lt;&gt;"",1,0) + IF(N138&lt;&gt;"",1,0)</f>
        <v>2</v>
      </c>
    </row>
    <row r="139" spans="1:21">
      <c r="A139" s="14">
        <v>522</v>
      </c>
      <c r="B139" s="14"/>
      <c r="C139" s="13">
        <v>12</v>
      </c>
      <c r="D139" s="12">
        <v>4</v>
      </c>
      <c r="E139" s="11" t="s">
        <v>186</v>
      </c>
      <c r="F139" s="3">
        <f t="shared" si="35"/>
        <v>1</v>
      </c>
      <c r="G139" s="5">
        <f>IF(E139="","",VLOOKUP(E139,参考表!$N$2:$O$49,2,0)*1000)</f>
        <v>11000</v>
      </c>
      <c r="H139" s="52" t="s">
        <v>200</v>
      </c>
      <c r="I139" s="3">
        <f t="shared" si="36"/>
        <v>1</v>
      </c>
      <c r="J139" s="5">
        <f>IF(H139="","",VLOOKUP(H139,参考表!$N$2:$O$100,2,0)*1000)</f>
        <v>11000</v>
      </c>
      <c r="L139" s="3" t="str">
        <f t="shared" si="37"/>
        <v/>
      </c>
      <c r="M139" s="5" t="str">
        <f>IF(K139="","",VLOOKUP(K139,参考表!$N$2:$O$49,2,0)*1000)</f>
        <v/>
      </c>
      <c r="O139" s="3" t="str">
        <f t="shared" si="38"/>
        <v/>
      </c>
      <c r="P139" s="5" t="str">
        <f>IF(N139="","",VLOOKUP(N139,参考表!$N$2:$O$49,2,0)*1000)</f>
        <v/>
      </c>
      <c r="Q139" s="10">
        <v>60</v>
      </c>
      <c r="R139" s="10">
        <v>60</v>
      </c>
      <c r="S139" s="7">
        <v>0</v>
      </c>
      <c r="T139" s="7">
        <v>0</v>
      </c>
      <c r="U139" s="1">
        <f t="shared" ref="U139:U167" si="59">IF(E139&lt;&gt;"",1,0) + IF(H139&lt;&gt;"",1,0) + IF(K139&lt;&gt;"",1,0) + IF(N139&lt;&gt;"",1,0)</f>
        <v>2</v>
      </c>
    </row>
    <row r="140" spans="1:21">
      <c r="A140" s="14">
        <v>523</v>
      </c>
      <c r="B140" s="14" t="s">
        <v>4</v>
      </c>
      <c r="C140" s="13">
        <v>12</v>
      </c>
      <c r="D140" s="12">
        <v>4</v>
      </c>
      <c r="E140" s="46" t="s">
        <v>181</v>
      </c>
      <c r="F140" s="3">
        <f t="shared" si="35"/>
        <v>1</v>
      </c>
      <c r="G140" s="5">
        <f>IF(E140="","",VLOOKUP(E140,参考表!$N$2:$O$49,2,0)*1000)</f>
        <v>11000</v>
      </c>
      <c r="H140" s="52" t="s">
        <v>197</v>
      </c>
      <c r="I140" s="3">
        <f t="shared" si="36"/>
        <v>1</v>
      </c>
      <c r="J140" s="5">
        <f>IF(H140="","",VLOOKUP(H140,参考表!$N$2:$O$100,2,0)*1000)</f>
        <v>11000</v>
      </c>
      <c r="L140" s="3" t="str">
        <f t="shared" si="37"/>
        <v/>
      </c>
      <c r="M140" s="5" t="str">
        <f>IF(K140="","",VLOOKUP(K140,参考表!$N$2:$O$49,2,0)*1000)</f>
        <v/>
      </c>
      <c r="O140" s="3" t="str">
        <f t="shared" si="38"/>
        <v/>
      </c>
      <c r="P140" s="5" t="str">
        <f>IF(N140="","",VLOOKUP(N140,参考表!$N$2:$O$49,2,0)*1000)</f>
        <v/>
      </c>
      <c r="Q140" s="10">
        <v>60</v>
      </c>
      <c r="R140" s="10">
        <v>60</v>
      </c>
      <c r="S140" s="7">
        <v>0</v>
      </c>
      <c r="T140" s="7">
        <v>0</v>
      </c>
      <c r="U140" s="1">
        <f t="shared" si="59"/>
        <v>2</v>
      </c>
    </row>
    <row r="141" spans="1:21">
      <c r="A141" s="14">
        <v>523</v>
      </c>
      <c r="B141" s="14"/>
      <c r="C141" s="13">
        <v>12</v>
      </c>
      <c r="D141" s="12">
        <v>4</v>
      </c>
      <c r="E141" s="11" t="s">
        <v>193</v>
      </c>
      <c r="F141" s="3">
        <f t="shared" si="35"/>
        <v>1</v>
      </c>
      <c r="G141" s="5">
        <f>IF(E141="","",VLOOKUP(E141,参考表!$N$2:$O$49,2,0)*1000)</f>
        <v>11000</v>
      </c>
      <c r="H141" s="52" t="s">
        <v>197</v>
      </c>
      <c r="I141" s="3">
        <f t="shared" si="36"/>
        <v>1</v>
      </c>
      <c r="J141" s="5">
        <f>IF(H141="","",VLOOKUP(H141,参考表!$N$2:$O$100,2,0)*1000)</f>
        <v>11000</v>
      </c>
      <c r="L141" s="3" t="str">
        <f t="shared" si="37"/>
        <v/>
      </c>
      <c r="M141" s="5" t="str">
        <f>IF(K141="","",VLOOKUP(K141,参考表!$N$2:$O$49,2,0)*1000)</f>
        <v/>
      </c>
      <c r="O141" s="3" t="str">
        <f t="shared" si="38"/>
        <v/>
      </c>
      <c r="P141" s="5" t="str">
        <f>IF(N141="","",VLOOKUP(N141,参考表!$N$2:$O$49,2,0)*1000)</f>
        <v/>
      </c>
      <c r="Q141" s="10">
        <v>60</v>
      </c>
      <c r="R141" s="10">
        <v>60</v>
      </c>
      <c r="S141" s="7">
        <v>0</v>
      </c>
      <c r="T141" s="7">
        <v>0</v>
      </c>
      <c r="U141" s="1">
        <f t="shared" si="59"/>
        <v>2</v>
      </c>
    </row>
    <row r="142" spans="1:21">
      <c r="A142" s="14">
        <v>523</v>
      </c>
      <c r="B142" s="14"/>
      <c r="C142" s="13">
        <v>12</v>
      </c>
      <c r="D142" s="12">
        <v>4</v>
      </c>
      <c r="E142" s="11" t="s">
        <v>179</v>
      </c>
      <c r="F142" s="3">
        <f t="shared" ref="F142" si="60">IF(E142="","",1)</f>
        <v>1</v>
      </c>
      <c r="G142" s="5">
        <f>IF(E142="","",VLOOKUP(E142,参考表!$N$2:$O$49,2,0)*1000)</f>
        <v>11000</v>
      </c>
      <c r="H142" s="52" t="s">
        <v>197</v>
      </c>
      <c r="I142" s="3">
        <f t="shared" ref="I142" si="61">IF(H142="","",1)</f>
        <v>1</v>
      </c>
      <c r="J142" s="5">
        <f>IF(H142="","",VLOOKUP(H142,参考表!$N$2:$O$100,2,0)*1000)</f>
        <v>11000</v>
      </c>
      <c r="L142" s="3" t="str">
        <f t="shared" ref="L142" si="62">IF(K142="","",1)</f>
        <v/>
      </c>
      <c r="M142" s="5" t="str">
        <f>IF(K142="","",VLOOKUP(K142,参考表!$N$2:$O$49,2,0)*1000)</f>
        <v/>
      </c>
      <c r="O142" s="3" t="str">
        <f t="shared" ref="O142" si="63">IF(N142="","",1)</f>
        <v/>
      </c>
      <c r="P142" s="5" t="str">
        <f>IF(N142="","",VLOOKUP(N142,参考表!$N$2:$O$49,2,0)*1000)</f>
        <v/>
      </c>
      <c r="Q142" s="10">
        <v>60</v>
      </c>
      <c r="R142" s="10">
        <v>60</v>
      </c>
      <c r="S142" s="7">
        <v>0</v>
      </c>
      <c r="T142" s="7">
        <v>0</v>
      </c>
      <c r="U142" s="1">
        <f t="shared" ref="U142" si="64">IF(E142&lt;&gt;"",1,0) + IF(H142&lt;&gt;"",1,0) + IF(K142&lt;&gt;"",1,0) + IF(N142&lt;&gt;"",1,0)</f>
        <v>2</v>
      </c>
    </row>
    <row r="143" spans="1:21">
      <c r="A143" s="14">
        <v>523</v>
      </c>
      <c r="B143" s="14"/>
      <c r="C143" s="13">
        <v>12</v>
      </c>
      <c r="D143" s="12">
        <v>4</v>
      </c>
      <c r="E143" s="11" t="s">
        <v>182</v>
      </c>
      <c r="F143" s="3">
        <f t="shared" ref="F143" si="65">IF(E143="","",1)</f>
        <v>1</v>
      </c>
      <c r="G143" s="5">
        <f>IF(E143="","",VLOOKUP(E143,参考表!$N$2:$O$49,2,0)*1000)</f>
        <v>11000</v>
      </c>
      <c r="H143" s="52" t="s">
        <v>197</v>
      </c>
      <c r="I143" s="3">
        <f t="shared" ref="I143" si="66">IF(H143="","",1)</f>
        <v>1</v>
      </c>
      <c r="J143" s="5">
        <f>IF(H143="","",VLOOKUP(H143,参考表!$N$2:$O$100,2,0)*1000)</f>
        <v>11000</v>
      </c>
      <c r="L143" s="3" t="str">
        <f t="shared" ref="L143" si="67">IF(K143="","",1)</f>
        <v/>
      </c>
      <c r="M143" s="5" t="str">
        <f>IF(K143="","",VLOOKUP(K143,参考表!$N$2:$O$49,2,0)*1000)</f>
        <v/>
      </c>
      <c r="O143" s="3" t="str">
        <f t="shared" ref="O143" si="68">IF(N143="","",1)</f>
        <v/>
      </c>
      <c r="P143" s="5" t="str">
        <f>IF(N143="","",VLOOKUP(N143,参考表!$N$2:$O$49,2,0)*1000)</f>
        <v/>
      </c>
      <c r="Q143" s="10">
        <v>60</v>
      </c>
      <c r="R143" s="10">
        <v>60</v>
      </c>
      <c r="S143" s="7">
        <v>0</v>
      </c>
      <c r="T143" s="7">
        <v>0</v>
      </c>
      <c r="U143" s="1">
        <f t="shared" ref="U143" si="69">IF(E143&lt;&gt;"",1,0) + IF(H143&lt;&gt;"",1,0) + IF(K143&lt;&gt;"",1,0) + IF(N143&lt;&gt;"",1,0)</f>
        <v>2</v>
      </c>
    </row>
    <row r="144" spans="1:21">
      <c r="A144" s="14">
        <v>523</v>
      </c>
      <c r="B144" s="14"/>
      <c r="C144" s="13">
        <v>12</v>
      </c>
      <c r="D144" s="12">
        <v>4</v>
      </c>
      <c r="E144" s="11" t="s">
        <v>191</v>
      </c>
      <c r="F144" s="3">
        <f t="shared" ref="F144" si="70">IF(E144="","",1)</f>
        <v>1</v>
      </c>
      <c r="G144" s="5">
        <f>IF(E144="","",VLOOKUP(E144,参考表!$N$2:$O$49,2,0)*1000)</f>
        <v>11000</v>
      </c>
      <c r="H144" s="52" t="s">
        <v>197</v>
      </c>
      <c r="I144" s="3">
        <f t="shared" ref="I144" si="71">IF(H144="","",1)</f>
        <v>1</v>
      </c>
      <c r="J144" s="5">
        <f>IF(H144="","",VLOOKUP(H144,参考表!$N$2:$O$100,2,0)*1000)</f>
        <v>11000</v>
      </c>
      <c r="L144" s="3" t="str">
        <f t="shared" ref="L144" si="72">IF(K144="","",1)</f>
        <v/>
      </c>
      <c r="M144" s="5" t="str">
        <f>IF(K144="","",VLOOKUP(K144,参考表!$N$2:$O$49,2,0)*1000)</f>
        <v/>
      </c>
      <c r="O144" s="3" t="str">
        <f t="shared" ref="O144" si="73">IF(N144="","",1)</f>
        <v/>
      </c>
      <c r="P144" s="5" t="str">
        <f>IF(N144="","",VLOOKUP(N144,参考表!$N$2:$O$49,2,0)*1000)</f>
        <v/>
      </c>
      <c r="Q144" s="10">
        <v>60</v>
      </c>
      <c r="R144" s="10">
        <v>60</v>
      </c>
      <c r="S144" s="7">
        <v>0</v>
      </c>
      <c r="T144" s="7">
        <v>0</v>
      </c>
      <c r="U144" s="1">
        <f t="shared" ref="U144" si="74">IF(E144&lt;&gt;"",1,0) + IF(H144&lt;&gt;"",1,0) + IF(K144&lt;&gt;"",1,0) + IF(N144&lt;&gt;"",1,0)</f>
        <v>2</v>
      </c>
    </row>
    <row r="145" spans="1:21">
      <c r="A145" s="14">
        <v>523</v>
      </c>
      <c r="B145" s="14"/>
      <c r="C145" s="13">
        <v>12</v>
      </c>
      <c r="D145" s="12">
        <v>4</v>
      </c>
      <c r="E145" s="11" t="s">
        <v>187</v>
      </c>
      <c r="F145" s="3">
        <f t="shared" ref="F145" si="75">IF(E145="","",1)</f>
        <v>1</v>
      </c>
      <c r="G145" s="5">
        <f>IF(E145="","",VLOOKUP(E145,参考表!$N$2:$O$49,2,0)*1000)</f>
        <v>11000</v>
      </c>
      <c r="H145" s="52" t="s">
        <v>197</v>
      </c>
      <c r="I145" s="3">
        <f t="shared" ref="I145" si="76">IF(H145="","",1)</f>
        <v>1</v>
      </c>
      <c r="J145" s="5">
        <f>IF(H145="","",VLOOKUP(H145,参考表!$N$2:$O$100,2,0)*1000)</f>
        <v>11000</v>
      </c>
      <c r="L145" s="3" t="str">
        <f t="shared" ref="L145" si="77">IF(K145="","",1)</f>
        <v/>
      </c>
      <c r="M145" s="5" t="str">
        <f>IF(K145="","",VLOOKUP(K145,参考表!$N$2:$O$49,2,0)*1000)</f>
        <v/>
      </c>
      <c r="O145" s="3" t="str">
        <f t="shared" ref="O145" si="78">IF(N145="","",1)</f>
        <v/>
      </c>
      <c r="P145" s="5" t="str">
        <f>IF(N145="","",VLOOKUP(N145,参考表!$N$2:$O$49,2,0)*1000)</f>
        <v/>
      </c>
      <c r="Q145" s="10">
        <v>60</v>
      </c>
      <c r="R145" s="10">
        <v>60</v>
      </c>
      <c r="S145" s="7">
        <v>0</v>
      </c>
      <c r="T145" s="7">
        <v>0</v>
      </c>
      <c r="U145" s="1">
        <f t="shared" ref="U145" si="79">IF(E145&lt;&gt;"",1,0) + IF(H145&lt;&gt;"",1,0) + IF(K145&lt;&gt;"",1,0) + IF(N145&lt;&gt;"",1,0)</f>
        <v>2</v>
      </c>
    </row>
    <row r="146" spans="1:21">
      <c r="A146" s="14">
        <v>523</v>
      </c>
      <c r="B146" s="14"/>
      <c r="C146" s="13">
        <v>12</v>
      </c>
      <c r="D146" s="12">
        <v>4</v>
      </c>
      <c r="E146" s="11" t="s">
        <v>186</v>
      </c>
      <c r="F146" s="3">
        <f t="shared" si="35"/>
        <v>1</v>
      </c>
      <c r="G146" s="5">
        <f>IF(E146="","",VLOOKUP(E146,参考表!$N$2:$O$49,2,0)*1000)</f>
        <v>11000</v>
      </c>
      <c r="H146" s="52" t="s">
        <v>197</v>
      </c>
      <c r="I146" s="3">
        <f t="shared" si="36"/>
        <v>1</v>
      </c>
      <c r="J146" s="5">
        <f>IF(H146="","",VLOOKUP(H146,参考表!$N$2:$O$100,2,0)*1000)</f>
        <v>11000</v>
      </c>
      <c r="L146" s="3" t="str">
        <f t="shared" si="37"/>
        <v/>
      </c>
      <c r="M146" s="5" t="str">
        <f>IF(K146="","",VLOOKUP(K146,参考表!$N$2:$O$49,2,0)*1000)</f>
        <v/>
      </c>
      <c r="O146" s="3" t="str">
        <f t="shared" si="38"/>
        <v/>
      </c>
      <c r="P146" s="5" t="str">
        <f>IF(N146="","",VLOOKUP(N146,参考表!$N$2:$O$49,2,0)*1000)</f>
        <v/>
      </c>
      <c r="Q146" s="10">
        <v>60</v>
      </c>
      <c r="R146" s="10">
        <v>60</v>
      </c>
      <c r="S146" s="7">
        <v>0</v>
      </c>
      <c r="T146" s="7">
        <v>0</v>
      </c>
      <c r="U146" s="1">
        <f t="shared" si="59"/>
        <v>2</v>
      </c>
    </row>
    <row r="147" spans="1:21">
      <c r="A147" s="14">
        <v>621</v>
      </c>
      <c r="B147" s="14" t="s">
        <v>3</v>
      </c>
      <c r="C147" s="13">
        <v>12</v>
      </c>
      <c r="D147" s="12">
        <v>4</v>
      </c>
      <c r="E147" s="46" t="s">
        <v>189</v>
      </c>
      <c r="F147" s="3">
        <f t="shared" si="35"/>
        <v>1</v>
      </c>
      <c r="G147" s="5">
        <f>IF(E147="","",VLOOKUP(E147,参考表!$N$2:$O$49,2,0)*1000)</f>
        <v>11000</v>
      </c>
      <c r="H147" s="53" t="s">
        <v>180</v>
      </c>
      <c r="I147" s="3">
        <f t="shared" si="36"/>
        <v>1</v>
      </c>
      <c r="J147" s="5">
        <f>IF(H147="","",VLOOKUP(H147,参考表!$N$2:$O$100,2,0)*1000)</f>
        <v>11000</v>
      </c>
      <c r="L147" s="3" t="str">
        <f t="shared" si="37"/>
        <v/>
      </c>
      <c r="M147" s="5" t="str">
        <f>IF(K147="","",VLOOKUP(K147,参考表!$N$2:$O$49,2,0)*1000)</f>
        <v/>
      </c>
      <c r="O147" s="3" t="str">
        <f t="shared" si="38"/>
        <v/>
      </c>
      <c r="P147" s="5" t="str">
        <f>IF(N147="","",VLOOKUP(N147,参考表!$N$2:$O$49,2,0)*1000)</f>
        <v/>
      </c>
      <c r="Q147" s="10">
        <v>60</v>
      </c>
      <c r="R147" s="10">
        <v>60</v>
      </c>
      <c r="S147" s="7">
        <v>0</v>
      </c>
      <c r="T147" s="7">
        <v>0</v>
      </c>
      <c r="U147" s="1">
        <f t="shared" si="59"/>
        <v>2</v>
      </c>
    </row>
    <row r="148" spans="1:21">
      <c r="A148" s="14">
        <v>621</v>
      </c>
      <c r="B148" s="14"/>
      <c r="C148" s="13">
        <v>12</v>
      </c>
      <c r="D148" s="12">
        <v>4</v>
      </c>
      <c r="E148" s="11" t="s">
        <v>194</v>
      </c>
      <c r="F148" s="3">
        <f t="shared" si="35"/>
        <v>1</v>
      </c>
      <c r="G148" s="5">
        <f>IF(E148="","",VLOOKUP(E148,参考表!$N$2:$O$49,2,0)*1000)</f>
        <v>11000</v>
      </c>
      <c r="H148" s="54" t="s">
        <v>180</v>
      </c>
      <c r="I148" s="3">
        <f t="shared" si="36"/>
        <v>1</v>
      </c>
      <c r="J148" s="5">
        <f>IF(H148="","",VLOOKUP(H148,参考表!$N$2:$O$100,2,0)*1000)</f>
        <v>11000</v>
      </c>
      <c r="L148" s="3" t="str">
        <f t="shared" si="37"/>
        <v/>
      </c>
      <c r="M148" s="5" t="str">
        <f>IF(K148="","",VLOOKUP(K148,参考表!$N$2:$O$49,2,0)*1000)</f>
        <v/>
      </c>
      <c r="O148" s="3" t="str">
        <f t="shared" si="38"/>
        <v/>
      </c>
      <c r="P148" s="5" t="str">
        <f>IF(N148="","",VLOOKUP(N148,参考表!$N$2:$O$49,2,0)*1000)</f>
        <v/>
      </c>
      <c r="Q148" s="10">
        <v>60</v>
      </c>
      <c r="R148" s="10">
        <v>60</v>
      </c>
      <c r="S148" s="7">
        <v>0</v>
      </c>
      <c r="T148" s="7">
        <v>0</v>
      </c>
      <c r="U148" s="1">
        <f t="shared" si="59"/>
        <v>2</v>
      </c>
    </row>
    <row r="149" spans="1:21">
      <c r="A149" s="14">
        <v>621</v>
      </c>
      <c r="B149" s="14"/>
      <c r="C149" s="13">
        <v>12</v>
      </c>
      <c r="D149" s="12">
        <v>4</v>
      </c>
      <c r="E149" s="11" t="s">
        <v>179</v>
      </c>
      <c r="F149" s="3">
        <f t="shared" si="35"/>
        <v>1</v>
      </c>
      <c r="G149" s="5">
        <f>IF(E149="","",VLOOKUP(E149,参考表!$N$2:$O$49,2,0)*1000)</f>
        <v>11000</v>
      </c>
      <c r="H149" s="54" t="s">
        <v>180</v>
      </c>
      <c r="I149" s="3">
        <f t="shared" si="36"/>
        <v>1</v>
      </c>
      <c r="J149" s="5">
        <f>IF(H149="","",VLOOKUP(H149,参考表!$N$2:$O$100,2,0)*1000)</f>
        <v>11000</v>
      </c>
      <c r="L149" s="3" t="str">
        <f t="shared" si="37"/>
        <v/>
      </c>
      <c r="M149" s="5" t="str">
        <f>IF(K149="","",VLOOKUP(K149,参考表!$N$2:$O$49,2,0)*1000)</f>
        <v/>
      </c>
      <c r="O149" s="3" t="str">
        <f t="shared" si="38"/>
        <v/>
      </c>
      <c r="P149" s="5" t="str">
        <f>IF(N149="","",VLOOKUP(N149,参考表!$N$2:$O$49,2,0)*1000)</f>
        <v/>
      </c>
      <c r="Q149" s="10">
        <v>60</v>
      </c>
      <c r="R149" s="10">
        <v>60</v>
      </c>
      <c r="S149" s="7">
        <v>0</v>
      </c>
      <c r="T149" s="7">
        <v>0</v>
      </c>
      <c r="U149" s="1">
        <f t="shared" si="59"/>
        <v>2</v>
      </c>
    </row>
    <row r="150" spans="1:21">
      <c r="A150" s="14">
        <v>621</v>
      </c>
      <c r="B150" s="14"/>
      <c r="C150" s="13">
        <v>12</v>
      </c>
      <c r="D150" s="12">
        <v>4</v>
      </c>
      <c r="E150" s="11" t="s">
        <v>182</v>
      </c>
      <c r="F150" s="3">
        <f t="shared" ref="F150" si="80">IF(E150="","",1)</f>
        <v>1</v>
      </c>
      <c r="G150" s="5">
        <f>IF(E150="","",VLOOKUP(E150,参考表!$N$2:$O$49,2,0)*1000)</f>
        <v>11000</v>
      </c>
      <c r="H150" s="54" t="s">
        <v>180</v>
      </c>
      <c r="I150" s="3">
        <f t="shared" ref="I150" si="81">IF(H150="","",1)</f>
        <v>1</v>
      </c>
      <c r="J150" s="5">
        <f>IF(H150="","",VLOOKUP(H150,参考表!$N$2:$O$100,2,0)*1000)</f>
        <v>11000</v>
      </c>
      <c r="L150" s="3" t="str">
        <f t="shared" ref="L150" si="82">IF(K150="","",1)</f>
        <v/>
      </c>
      <c r="M150" s="5" t="str">
        <f>IF(K150="","",VLOOKUP(K150,参考表!$N$2:$O$49,2,0)*1000)</f>
        <v/>
      </c>
      <c r="O150" s="3" t="str">
        <f t="shared" ref="O150" si="83">IF(N150="","",1)</f>
        <v/>
      </c>
      <c r="P150" s="5" t="str">
        <f>IF(N150="","",VLOOKUP(N150,参考表!$N$2:$O$49,2,0)*1000)</f>
        <v/>
      </c>
      <c r="Q150" s="10">
        <v>60</v>
      </c>
      <c r="R150" s="10">
        <v>60</v>
      </c>
      <c r="S150" s="7">
        <v>0</v>
      </c>
      <c r="T150" s="7">
        <v>0</v>
      </c>
      <c r="U150" s="1">
        <f t="shared" ref="U150" si="84">IF(E150&lt;&gt;"",1,0) + IF(H150&lt;&gt;"",1,0) + IF(K150&lt;&gt;"",1,0) + IF(N150&lt;&gt;"",1,0)</f>
        <v>2</v>
      </c>
    </row>
    <row r="151" spans="1:21">
      <c r="A151" s="14">
        <v>621</v>
      </c>
      <c r="B151" s="14"/>
      <c r="C151" s="13">
        <v>12</v>
      </c>
      <c r="D151" s="12">
        <v>4</v>
      </c>
      <c r="E151" s="11" t="s">
        <v>191</v>
      </c>
      <c r="F151" s="3">
        <f t="shared" ref="F151" si="85">IF(E151="","",1)</f>
        <v>1</v>
      </c>
      <c r="G151" s="5">
        <f>IF(E151="","",VLOOKUP(E151,参考表!$N$2:$O$49,2,0)*1000)</f>
        <v>11000</v>
      </c>
      <c r="H151" s="54" t="s">
        <v>180</v>
      </c>
      <c r="I151" s="3">
        <f t="shared" ref="I151" si="86">IF(H151="","",1)</f>
        <v>1</v>
      </c>
      <c r="J151" s="5">
        <f>IF(H151="","",VLOOKUP(H151,参考表!$N$2:$O$100,2,0)*1000)</f>
        <v>11000</v>
      </c>
      <c r="L151" s="3" t="str">
        <f t="shared" ref="L151" si="87">IF(K151="","",1)</f>
        <v/>
      </c>
      <c r="M151" s="5" t="str">
        <f>IF(K151="","",VLOOKUP(K151,参考表!$N$2:$O$49,2,0)*1000)</f>
        <v/>
      </c>
      <c r="O151" s="3" t="str">
        <f t="shared" ref="O151" si="88">IF(N151="","",1)</f>
        <v/>
      </c>
      <c r="P151" s="5" t="str">
        <f>IF(N151="","",VLOOKUP(N151,参考表!$N$2:$O$49,2,0)*1000)</f>
        <v/>
      </c>
      <c r="Q151" s="10">
        <v>60</v>
      </c>
      <c r="R151" s="10">
        <v>60</v>
      </c>
      <c r="S151" s="7">
        <v>0</v>
      </c>
      <c r="T151" s="7">
        <v>0</v>
      </c>
      <c r="U151" s="1">
        <f t="shared" ref="U151" si="89">IF(E151&lt;&gt;"",1,0) + IF(H151&lt;&gt;"",1,0) + IF(K151&lt;&gt;"",1,0) + IF(N151&lt;&gt;"",1,0)</f>
        <v>2</v>
      </c>
    </row>
    <row r="152" spans="1:21">
      <c r="A152" s="14">
        <v>621</v>
      </c>
      <c r="B152" s="14"/>
      <c r="C152" s="13">
        <v>12</v>
      </c>
      <c r="D152" s="12">
        <v>4</v>
      </c>
      <c r="E152" s="11" t="s">
        <v>187</v>
      </c>
      <c r="F152" s="3">
        <f t="shared" ref="F152" si="90">IF(E152="","",1)</f>
        <v>1</v>
      </c>
      <c r="G152" s="5">
        <f>IF(E152="","",VLOOKUP(E152,参考表!$N$2:$O$49,2,0)*1000)</f>
        <v>11000</v>
      </c>
      <c r="H152" s="54" t="s">
        <v>180</v>
      </c>
      <c r="I152" s="3">
        <f t="shared" ref="I152" si="91">IF(H152="","",1)</f>
        <v>1</v>
      </c>
      <c r="J152" s="5">
        <f>IF(H152="","",VLOOKUP(H152,参考表!$N$2:$O$100,2,0)*1000)</f>
        <v>11000</v>
      </c>
      <c r="L152" s="3" t="str">
        <f t="shared" ref="L152" si="92">IF(K152="","",1)</f>
        <v/>
      </c>
      <c r="M152" s="5" t="str">
        <f>IF(K152="","",VLOOKUP(K152,参考表!$N$2:$O$49,2,0)*1000)</f>
        <v/>
      </c>
      <c r="O152" s="3" t="str">
        <f t="shared" ref="O152" si="93">IF(N152="","",1)</f>
        <v/>
      </c>
      <c r="P152" s="5" t="str">
        <f>IF(N152="","",VLOOKUP(N152,参考表!$N$2:$O$49,2,0)*1000)</f>
        <v/>
      </c>
      <c r="Q152" s="10">
        <v>60</v>
      </c>
      <c r="R152" s="10">
        <v>60</v>
      </c>
      <c r="S152" s="7">
        <v>0</v>
      </c>
      <c r="T152" s="7">
        <v>0</v>
      </c>
      <c r="U152" s="1">
        <f t="shared" ref="U152" si="94">IF(E152&lt;&gt;"",1,0) + IF(H152&lt;&gt;"",1,0) + IF(K152&lt;&gt;"",1,0) + IF(N152&lt;&gt;"",1,0)</f>
        <v>2</v>
      </c>
    </row>
    <row r="153" spans="1:21">
      <c r="A153" s="14">
        <v>621</v>
      </c>
      <c r="B153" s="14"/>
      <c r="C153" s="13">
        <v>12</v>
      </c>
      <c r="D153" s="12">
        <v>4</v>
      </c>
      <c r="E153" s="11" t="s">
        <v>186</v>
      </c>
      <c r="F153" s="3">
        <f t="shared" ref="F153" si="95">IF(E153="","",1)</f>
        <v>1</v>
      </c>
      <c r="G153" s="5">
        <f>IF(E153="","",VLOOKUP(E153,参考表!$N$2:$O$49,2,0)*1000)</f>
        <v>11000</v>
      </c>
      <c r="H153" s="54" t="s">
        <v>180</v>
      </c>
      <c r="I153" s="3">
        <f t="shared" ref="I153" si="96">IF(H153="","",1)</f>
        <v>1</v>
      </c>
      <c r="J153" s="5">
        <f>IF(H153="","",VLOOKUP(H153,参考表!$N$2:$O$100,2,0)*1000)</f>
        <v>11000</v>
      </c>
      <c r="L153" s="3" t="str">
        <f t="shared" ref="L153" si="97">IF(K153="","",1)</f>
        <v/>
      </c>
      <c r="M153" s="5" t="str">
        <f>IF(K153="","",VLOOKUP(K153,参考表!$N$2:$O$49,2,0)*1000)</f>
        <v/>
      </c>
      <c r="O153" s="3" t="str">
        <f t="shared" ref="O153" si="98">IF(N153="","",1)</f>
        <v/>
      </c>
      <c r="P153" s="5" t="str">
        <f>IF(N153="","",VLOOKUP(N153,参考表!$N$2:$O$49,2,0)*1000)</f>
        <v/>
      </c>
      <c r="Q153" s="10">
        <v>60</v>
      </c>
      <c r="R153" s="10">
        <v>60</v>
      </c>
      <c r="S153" s="7">
        <v>0</v>
      </c>
      <c r="T153" s="7">
        <v>0</v>
      </c>
      <c r="U153" s="1">
        <f t="shared" ref="U153" si="99">IF(E153&lt;&gt;"",1,0) + IF(H153&lt;&gt;"",1,0) + IF(K153&lt;&gt;"",1,0) + IF(N153&lt;&gt;"",1,0)</f>
        <v>2</v>
      </c>
    </row>
    <row r="154" spans="1:21">
      <c r="A154" s="14">
        <v>622</v>
      </c>
      <c r="B154" s="14" t="s">
        <v>2</v>
      </c>
      <c r="C154" s="13">
        <v>12</v>
      </c>
      <c r="D154" s="12">
        <v>4</v>
      </c>
      <c r="E154" s="46" t="s">
        <v>189</v>
      </c>
      <c r="F154" s="3">
        <f t="shared" si="35"/>
        <v>1</v>
      </c>
      <c r="G154" s="5">
        <f>IF(E154="","",VLOOKUP(E154,参考表!$N$2:$O$49,2,0)*1000)</f>
        <v>11000</v>
      </c>
      <c r="H154" s="52" t="s">
        <v>201</v>
      </c>
      <c r="I154" s="3">
        <f t="shared" si="36"/>
        <v>1</v>
      </c>
      <c r="J154" s="5">
        <f>IF(H154="","",VLOOKUP(H154,参考表!$N$2:$O$100,2,0)*1000)</f>
        <v>11000</v>
      </c>
      <c r="L154" s="3" t="str">
        <f t="shared" si="37"/>
        <v/>
      </c>
      <c r="M154" s="5" t="str">
        <f>IF(K154="","",VLOOKUP(K154,参考表!$N$2:$O$49,2,0)*1000)</f>
        <v/>
      </c>
      <c r="O154" s="3" t="str">
        <f t="shared" si="38"/>
        <v/>
      </c>
      <c r="P154" s="5" t="str">
        <f>IF(N154="","",VLOOKUP(N154,参考表!$N$2:$O$49,2,0)*1000)</f>
        <v/>
      </c>
      <c r="Q154" s="10">
        <v>60</v>
      </c>
      <c r="R154" s="10">
        <v>60</v>
      </c>
      <c r="S154" s="7">
        <v>0</v>
      </c>
      <c r="T154" s="7">
        <v>0</v>
      </c>
      <c r="U154" s="1">
        <f t="shared" si="59"/>
        <v>2</v>
      </c>
    </row>
    <row r="155" spans="1:21">
      <c r="A155" s="14">
        <v>622</v>
      </c>
      <c r="B155" s="14"/>
      <c r="C155" s="13">
        <v>12</v>
      </c>
      <c r="D155" s="12">
        <v>4</v>
      </c>
      <c r="E155" s="11" t="s">
        <v>194</v>
      </c>
      <c r="F155" s="3">
        <f t="shared" si="35"/>
        <v>1</v>
      </c>
      <c r="G155" s="5">
        <f>IF(E155="","",VLOOKUP(E155,参考表!$N$2:$O$49,2,0)*1000)</f>
        <v>11000</v>
      </c>
      <c r="H155" s="52" t="s">
        <v>201</v>
      </c>
      <c r="I155" s="3">
        <f t="shared" si="36"/>
        <v>1</v>
      </c>
      <c r="J155" s="5">
        <f>IF(H155="","",VLOOKUP(H155,参考表!$N$2:$O$100,2,0)*1000)</f>
        <v>11000</v>
      </c>
      <c r="L155" s="3" t="str">
        <f t="shared" si="37"/>
        <v/>
      </c>
      <c r="M155" s="5" t="str">
        <f>IF(K155="","",VLOOKUP(K155,参考表!$N$2:$O$49,2,0)*1000)</f>
        <v/>
      </c>
      <c r="O155" s="3" t="str">
        <f t="shared" si="38"/>
        <v/>
      </c>
      <c r="P155" s="5" t="str">
        <f>IF(N155="","",VLOOKUP(N155,参考表!$N$2:$O$49,2,0)*1000)</f>
        <v/>
      </c>
      <c r="Q155" s="10">
        <v>60</v>
      </c>
      <c r="R155" s="10">
        <v>60</v>
      </c>
      <c r="S155" s="7">
        <v>0</v>
      </c>
      <c r="T155" s="7">
        <v>0</v>
      </c>
      <c r="U155" s="1">
        <f t="shared" si="59"/>
        <v>2</v>
      </c>
    </row>
    <row r="156" spans="1:21">
      <c r="A156" s="14">
        <v>622</v>
      </c>
      <c r="B156" s="14"/>
      <c r="C156" s="13">
        <v>12</v>
      </c>
      <c r="D156" s="12">
        <v>4</v>
      </c>
      <c r="E156" s="11" t="s">
        <v>179</v>
      </c>
      <c r="F156" s="3">
        <f t="shared" ref="F156" si="100">IF(E156="","",1)</f>
        <v>1</v>
      </c>
      <c r="G156" s="5">
        <f>IF(E156="","",VLOOKUP(E156,参考表!$N$2:$O$49,2,0)*1000)</f>
        <v>11000</v>
      </c>
      <c r="H156" s="52" t="s">
        <v>201</v>
      </c>
      <c r="I156" s="3">
        <f t="shared" ref="I156" si="101">IF(H156="","",1)</f>
        <v>1</v>
      </c>
      <c r="J156" s="5">
        <f>IF(H156="","",VLOOKUP(H156,参考表!$N$2:$O$100,2,0)*1000)</f>
        <v>11000</v>
      </c>
      <c r="L156" s="3" t="str">
        <f t="shared" ref="L156" si="102">IF(K156="","",1)</f>
        <v/>
      </c>
      <c r="M156" s="5" t="str">
        <f>IF(K156="","",VLOOKUP(K156,参考表!$N$2:$O$49,2,0)*1000)</f>
        <v/>
      </c>
      <c r="O156" s="3" t="str">
        <f t="shared" ref="O156" si="103">IF(N156="","",1)</f>
        <v/>
      </c>
      <c r="P156" s="5" t="str">
        <f>IF(N156="","",VLOOKUP(N156,参考表!$N$2:$O$49,2,0)*1000)</f>
        <v/>
      </c>
      <c r="Q156" s="10">
        <v>60</v>
      </c>
      <c r="R156" s="10">
        <v>60</v>
      </c>
      <c r="S156" s="7">
        <v>0</v>
      </c>
      <c r="T156" s="7">
        <v>0</v>
      </c>
      <c r="U156" s="1">
        <f t="shared" ref="U156" si="104">IF(E156&lt;&gt;"",1,0) + IF(H156&lt;&gt;"",1,0) + IF(K156&lt;&gt;"",1,0) + IF(N156&lt;&gt;"",1,0)</f>
        <v>2</v>
      </c>
    </row>
    <row r="157" spans="1:21">
      <c r="A157" s="14">
        <v>622</v>
      </c>
      <c r="B157" s="14"/>
      <c r="C157" s="13">
        <v>12</v>
      </c>
      <c r="D157" s="12">
        <v>4</v>
      </c>
      <c r="E157" s="11" t="s">
        <v>182</v>
      </c>
      <c r="F157" s="3">
        <f t="shared" ref="F157" si="105">IF(E157="","",1)</f>
        <v>1</v>
      </c>
      <c r="G157" s="5">
        <f>IF(E157="","",VLOOKUP(E157,参考表!$N$2:$O$49,2,0)*1000)</f>
        <v>11000</v>
      </c>
      <c r="H157" s="52" t="s">
        <v>201</v>
      </c>
      <c r="I157" s="3">
        <f t="shared" ref="I157" si="106">IF(H157="","",1)</f>
        <v>1</v>
      </c>
      <c r="J157" s="5">
        <f>IF(H157="","",VLOOKUP(H157,参考表!$N$2:$O$100,2,0)*1000)</f>
        <v>11000</v>
      </c>
      <c r="L157" s="3" t="str">
        <f t="shared" ref="L157" si="107">IF(K157="","",1)</f>
        <v/>
      </c>
      <c r="M157" s="5" t="str">
        <f>IF(K157="","",VLOOKUP(K157,参考表!$N$2:$O$49,2,0)*1000)</f>
        <v/>
      </c>
      <c r="O157" s="3" t="str">
        <f t="shared" ref="O157" si="108">IF(N157="","",1)</f>
        <v/>
      </c>
      <c r="P157" s="5" t="str">
        <f>IF(N157="","",VLOOKUP(N157,参考表!$N$2:$O$49,2,0)*1000)</f>
        <v/>
      </c>
      <c r="Q157" s="10">
        <v>60</v>
      </c>
      <c r="R157" s="10">
        <v>60</v>
      </c>
      <c r="S157" s="7">
        <v>0</v>
      </c>
      <c r="T157" s="7">
        <v>0</v>
      </c>
      <c r="U157" s="1">
        <f t="shared" ref="U157" si="109">IF(E157&lt;&gt;"",1,0) + IF(H157&lt;&gt;"",1,0) + IF(K157&lt;&gt;"",1,0) + IF(N157&lt;&gt;"",1,0)</f>
        <v>2</v>
      </c>
    </row>
    <row r="158" spans="1:21">
      <c r="A158" s="14">
        <v>622</v>
      </c>
      <c r="B158" s="14"/>
      <c r="C158" s="13">
        <v>12</v>
      </c>
      <c r="D158" s="12">
        <v>4</v>
      </c>
      <c r="E158" s="11" t="s">
        <v>191</v>
      </c>
      <c r="F158" s="3">
        <f t="shared" ref="F158" si="110">IF(E158="","",1)</f>
        <v>1</v>
      </c>
      <c r="G158" s="5">
        <f>IF(E158="","",VLOOKUP(E158,参考表!$N$2:$O$49,2,0)*1000)</f>
        <v>11000</v>
      </c>
      <c r="H158" s="52" t="s">
        <v>201</v>
      </c>
      <c r="I158" s="3">
        <f t="shared" ref="I158" si="111">IF(H158="","",1)</f>
        <v>1</v>
      </c>
      <c r="J158" s="5">
        <f>IF(H158="","",VLOOKUP(H158,参考表!$N$2:$O$100,2,0)*1000)</f>
        <v>11000</v>
      </c>
      <c r="L158" s="3" t="str">
        <f t="shared" ref="L158" si="112">IF(K158="","",1)</f>
        <v/>
      </c>
      <c r="M158" s="5" t="str">
        <f>IF(K158="","",VLOOKUP(K158,参考表!$N$2:$O$49,2,0)*1000)</f>
        <v/>
      </c>
      <c r="O158" s="3" t="str">
        <f t="shared" ref="O158" si="113">IF(N158="","",1)</f>
        <v/>
      </c>
      <c r="P158" s="5" t="str">
        <f>IF(N158="","",VLOOKUP(N158,参考表!$N$2:$O$49,2,0)*1000)</f>
        <v/>
      </c>
      <c r="Q158" s="10">
        <v>60</v>
      </c>
      <c r="R158" s="10">
        <v>60</v>
      </c>
      <c r="S158" s="7">
        <v>0</v>
      </c>
      <c r="T158" s="7">
        <v>0</v>
      </c>
      <c r="U158" s="1">
        <f t="shared" ref="U158" si="114">IF(E158&lt;&gt;"",1,0) + IF(H158&lt;&gt;"",1,0) + IF(K158&lt;&gt;"",1,0) + IF(N158&lt;&gt;"",1,0)</f>
        <v>2</v>
      </c>
    </row>
    <row r="159" spans="1:21">
      <c r="A159" s="14">
        <v>622</v>
      </c>
      <c r="B159" s="14"/>
      <c r="C159" s="13">
        <v>12</v>
      </c>
      <c r="D159" s="12">
        <v>4</v>
      </c>
      <c r="E159" s="11" t="s">
        <v>187</v>
      </c>
      <c r="F159" s="3">
        <f t="shared" ref="F159" si="115">IF(E159="","",1)</f>
        <v>1</v>
      </c>
      <c r="G159" s="5">
        <f>IF(E159="","",VLOOKUP(E159,参考表!$N$2:$O$49,2,0)*1000)</f>
        <v>11000</v>
      </c>
      <c r="H159" s="52" t="s">
        <v>201</v>
      </c>
      <c r="I159" s="3">
        <f t="shared" ref="I159" si="116">IF(H159="","",1)</f>
        <v>1</v>
      </c>
      <c r="J159" s="5">
        <f>IF(H159="","",VLOOKUP(H159,参考表!$N$2:$O$100,2,0)*1000)</f>
        <v>11000</v>
      </c>
      <c r="L159" s="3" t="str">
        <f t="shared" ref="L159" si="117">IF(K159="","",1)</f>
        <v/>
      </c>
      <c r="M159" s="5" t="str">
        <f>IF(K159="","",VLOOKUP(K159,参考表!$N$2:$O$49,2,0)*1000)</f>
        <v/>
      </c>
      <c r="O159" s="3" t="str">
        <f t="shared" ref="O159" si="118">IF(N159="","",1)</f>
        <v/>
      </c>
      <c r="P159" s="5" t="str">
        <f>IF(N159="","",VLOOKUP(N159,参考表!$N$2:$O$49,2,0)*1000)</f>
        <v/>
      </c>
      <c r="Q159" s="10">
        <v>60</v>
      </c>
      <c r="R159" s="10">
        <v>60</v>
      </c>
      <c r="S159" s="7">
        <v>0</v>
      </c>
      <c r="T159" s="7">
        <v>0</v>
      </c>
      <c r="U159" s="1">
        <f t="shared" ref="U159" si="119">IF(E159&lt;&gt;"",1,0) + IF(H159&lt;&gt;"",1,0) + IF(K159&lt;&gt;"",1,0) + IF(N159&lt;&gt;"",1,0)</f>
        <v>2</v>
      </c>
    </row>
    <row r="160" spans="1:21">
      <c r="A160" s="14">
        <v>622</v>
      </c>
      <c r="B160" s="14"/>
      <c r="C160" s="13">
        <v>12</v>
      </c>
      <c r="D160" s="12">
        <v>4</v>
      </c>
      <c r="E160" s="11" t="s">
        <v>186</v>
      </c>
      <c r="F160" s="3">
        <f t="shared" si="35"/>
        <v>1</v>
      </c>
      <c r="G160" s="5">
        <f>IF(E160="","",VLOOKUP(E160,参考表!$N$2:$O$49,2,0)*1000)</f>
        <v>11000</v>
      </c>
      <c r="H160" s="52" t="s">
        <v>201</v>
      </c>
      <c r="I160" s="3">
        <f t="shared" si="36"/>
        <v>1</v>
      </c>
      <c r="J160" s="5">
        <f>IF(H160="","",VLOOKUP(H160,参考表!$N$2:$O$100,2,0)*1000)</f>
        <v>11000</v>
      </c>
      <c r="L160" s="3" t="str">
        <f t="shared" si="37"/>
        <v/>
      </c>
      <c r="M160" s="5" t="str">
        <f>IF(K160="","",VLOOKUP(K160,参考表!$N$2:$O$49,2,0)*1000)</f>
        <v/>
      </c>
      <c r="O160" s="3" t="str">
        <f t="shared" si="38"/>
        <v/>
      </c>
      <c r="P160" s="5" t="str">
        <f>IF(N160="","",VLOOKUP(N160,参考表!$N$2:$O$49,2,0)*1000)</f>
        <v/>
      </c>
      <c r="Q160" s="10">
        <v>60</v>
      </c>
      <c r="R160" s="10">
        <v>60</v>
      </c>
      <c r="S160" s="7">
        <v>0</v>
      </c>
      <c r="T160" s="7">
        <v>0</v>
      </c>
      <c r="U160" s="1">
        <f t="shared" si="59"/>
        <v>2</v>
      </c>
    </row>
    <row r="161" spans="1:21">
      <c r="A161" s="14">
        <v>623</v>
      </c>
      <c r="B161" s="14" t="s">
        <v>0</v>
      </c>
      <c r="C161" s="13">
        <v>12</v>
      </c>
      <c r="D161" s="12">
        <v>4</v>
      </c>
      <c r="E161" s="17" t="s">
        <v>189</v>
      </c>
      <c r="F161" s="3">
        <f t="shared" si="35"/>
        <v>1</v>
      </c>
      <c r="G161" s="5">
        <f>IF(E161="","",VLOOKUP(E161,参考表!$N$2:$O$49,2,0)*1000)</f>
        <v>11000</v>
      </c>
      <c r="H161" s="52" t="s">
        <v>199</v>
      </c>
      <c r="I161" s="3">
        <f t="shared" si="36"/>
        <v>1</v>
      </c>
      <c r="J161" s="5">
        <f>IF(H161="","",VLOOKUP(H161,参考表!$N$2:$O$100,2,0)*1000)</f>
        <v>11000</v>
      </c>
      <c r="L161" s="3" t="str">
        <f t="shared" si="37"/>
        <v/>
      </c>
      <c r="M161" s="5" t="str">
        <f>IF(K161="","",VLOOKUP(K161,参考表!$N$2:$O$49,2,0)*1000)</f>
        <v/>
      </c>
      <c r="O161" s="3" t="str">
        <f t="shared" si="38"/>
        <v/>
      </c>
      <c r="P161" s="5" t="str">
        <f>IF(N161="","",VLOOKUP(N161,参考表!$N$2:$O$49,2,0)*1000)</f>
        <v/>
      </c>
      <c r="Q161" s="10">
        <v>60</v>
      </c>
      <c r="R161" s="10">
        <v>60</v>
      </c>
      <c r="S161" s="7">
        <v>0</v>
      </c>
      <c r="T161" s="7">
        <v>0</v>
      </c>
      <c r="U161" s="1">
        <f t="shared" si="59"/>
        <v>2</v>
      </c>
    </row>
    <row r="162" spans="1:21">
      <c r="A162" s="14">
        <v>623</v>
      </c>
      <c r="B162" s="14"/>
      <c r="C162" s="13">
        <v>12</v>
      </c>
      <c r="D162" s="12">
        <v>4</v>
      </c>
      <c r="E162" s="16" t="s">
        <v>194</v>
      </c>
      <c r="F162" s="3">
        <f t="shared" si="35"/>
        <v>1</v>
      </c>
      <c r="G162" s="5">
        <f>IF(E162="","",VLOOKUP(E162,参考表!$N$2:$O$49,2,0)*1000)</f>
        <v>11000</v>
      </c>
      <c r="H162" s="52" t="s">
        <v>199</v>
      </c>
      <c r="I162" s="3">
        <f t="shared" si="36"/>
        <v>1</v>
      </c>
      <c r="J162" s="5">
        <f>IF(H162="","",VLOOKUP(H162,参考表!$N$2:$O$100,2,0)*1000)</f>
        <v>11000</v>
      </c>
      <c r="L162" s="3" t="str">
        <f t="shared" si="37"/>
        <v/>
      </c>
      <c r="M162" s="5" t="str">
        <f>IF(K162="","",VLOOKUP(K162,参考表!$N$2:$O$49,2,0)*1000)</f>
        <v/>
      </c>
      <c r="O162" s="3" t="str">
        <f t="shared" si="38"/>
        <v/>
      </c>
      <c r="P162" s="5" t="str">
        <f>IF(N162="","",VLOOKUP(N162,参考表!$N$2:$O$49,2,0)*1000)</f>
        <v/>
      </c>
      <c r="Q162" s="10">
        <v>60</v>
      </c>
      <c r="R162" s="10">
        <v>60</v>
      </c>
      <c r="S162" s="7">
        <v>0</v>
      </c>
      <c r="T162" s="7">
        <v>0</v>
      </c>
      <c r="U162" s="1">
        <f t="shared" si="59"/>
        <v>2</v>
      </c>
    </row>
    <row r="163" spans="1:21">
      <c r="A163" s="14">
        <v>623</v>
      </c>
      <c r="B163" s="14"/>
      <c r="C163" s="13">
        <v>12</v>
      </c>
      <c r="D163" s="12">
        <v>4</v>
      </c>
      <c r="E163" s="16" t="s">
        <v>179</v>
      </c>
      <c r="F163" s="3">
        <f t="shared" ref="F163" si="120">IF(E163="","",1)</f>
        <v>1</v>
      </c>
      <c r="G163" s="5">
        <f>IF(E163="","",VLOOKUP(E163,参考表!$N$2:$O$49,2,0)*1000)</f>
        <v>11000</v>
      </c>
      <c r="H163" s="52" t="s">
        <v>199</v>
      </c>
      <c r="I163" s="3">
        <f t="shared" ref="I163" si="121">IF(H163="","",1)</f>
        <v>1</v>
      </c>
      <c r="J163" s="5">
        <f>IF(H163="","",VLOOKUP(H163,参考表!$N$2:$O$100,2,0)*1000)</f>
        <v>11000</v>
      </c>
      <c r="L163" s="3" t="str">
        <f t="shared" ref="L163" si="122">IF(K163="","",1)</f>
        <v/>
      </c>
      <c r="M163" s="5" t="str">
        <f>IF(K163="","",VLOOKUP(K163,参考表!$N$2:$O$49,2,0)*1000)</f>
        <v/>
      </c>
      <c r="O163" s="3" t="str">
        <f t="shared" ref="O163" si="123">IF(N163="","",1)</f>
        <v/>
      </c>
      <c r="P163" s="5" t="str">
        <f>IF(N163="","",VLOOKUP(N163,参考表!$N$2:$O$49,2,0)*1000)</f>
        <v/>
      </c>
      <c r="Q163" s="10">
        <v>60</v>
      </c>
      <c r="R163" s="10">
        <v>60</v>
      </c>
      <c r="S163" s="7">
        <v>0</v>
      </c>
      <c r="T163" s="7">
        <v>0</v>
      </c>
      <c r="U163" s="1">
        <f t="shared" ref="U163" si="124">IF(E163&lt;&gt;"",1,0) + IF(H163&lt;&gt;"",1,0) + IF(K163&lt;&gt;"",1,0) + IF(N163&lt;&gt;"",1,0)</f>
        <v>2</v>
      </c>
    </row>
    <row r="164" spans="1:21">
      <c r="A164" s="14">
        <v>623</v>
      </c>
      <c r="B164" s="14"/>
      <c r="C164" s="13">
        <v>12</v>
      </c>
      <c r="D164" s="12">
        <v>4</v>
      </c>
      <c r="E164" s="16" t="s">
        <v>182</v>
      </c>
      <c r="F164" s="3">
        <f t="shared" ref="F164" si="125">IF(E164="","",1)</f>
        <v>1</v>
      </c>
      <c r="G164" s="5">
        <f>IF(E164="","",VLOOKUP(E164,参考表!$N$2:$O$49,2,0)*1000)</f>
        <v>11000</v>
      </c>
      <c r="H164" s="52" t="s">
        <v>199</v>
      </c>
      <c r="I164" s="3">
        <f t="shared" ref="I164" si="126">IF(H164="","",1)</f>
        <v>1</v>
      </c>
      <c r="J164" s="5">
        <f>IF(H164="","",VLOOKUP(H164,参考表!$N$2:$O$100,2,0)*1000)</f>
        <v>11000</v>
      </c>
      <c r="L164" s="3" t="str">
        <f t="shared" ref="L164" si="127">IF(K164="","",1)</f>
        <v/>
      </c>
      <c r="M164" s="5" t="str">
        <f>IF(K164="","",VLOOKUP(K164,参考表!$N$2:$O$49,2,0)*1000)</f>
        <v/>
      </c>
      <c r="O164" s="3" t="str">
        <f t="shared" ref="O164" si="128">IF(N164="","",1)</f>
        <v/>
      </c>
      <c r="P164" s="5" t="str">
        <f>IF(N164="","",VLOOKUP(N164,参考表!$N$2:$O$49,2,0)*1000)</f>
        <v/>
      </c>
      <c r="Q164" s="10">
        <v>60</v>
      </c>
      <c r="R164" s="10">
        <v>60</v>
      </c>
      <c r="S164" s="7">
        <v>0</v>
      </c>
      <c r="T164" s="7">
        <v>0</v>
      </c>
      <c r="U164" s="1">
        <f t="shared" ref="U164" si="129">IF(E164&lt;&gt;"",1,0) + IF(H164&lt;&gt;"",1,0) + IF(K164&lt;&gt;"",1,0) + IF(N164&lt;&gt;"",1,0)</f>
        <v>2</v>
      </c>
    </row>
    <row r="165" spans="1:21">
      <c r="A165" s="14">
        <v>623</v>
      </c>
      <c r="B165" s="14"/>
      <c r="C165" s="13">
        <v>12</v>
      </c>
      <c r="D165" s="12">
        <v>4</v>
      </c>
      <c r="E165" s="16" t="s">
        <v>191</v>
      </c>
      <c r="F165" s="3">
        <f t="shared" ref="F165" si="130">IF(E165="","",1)</f>
        <v>1</v>
      </c>
      <c r="G165" s="5">
        <f>IF(E165="","",VLOOKUP(E165,参考表!$N$2:$O$49,2,0)*1000)</f>
        <v>11000</v>
      </c>
      <c r="H165" s="52" t="s">
        <v>199</v>
      </c>
      <c r="I165" s="3">
        <f t="shared" ref="I165" si="131">IF(H165="","",1)</f>
        <v>1</v>
      </c>
      <c r="J165" s="5">
        <f>IF(H165="","",VLOOKUP(H165,参考表!$N$2:$O$100,2,0)*1000)</f>
        <v>11000</v>
      </c>
      <c r="L165" s="3" t="str">
        <f t="shared" ref="L165" si="132">IF(K165="","",1)</f>
        <v/>
      </c>
      <c r="M165" s="5" t="str">
        <f>IF(K165="","",VLOOKUP(K165,参考表!$N$2:$O$49,2,0)*1000)</f>
        <v/>
      </c>
      <c r="O165" s="3" t="str">
        <f t="shared" ref="O165" si="133">IF(N165="","",1)</f>
        <v/>
      </c>
      <c r="P165" s="5" t="str">
        <f>IF(N165="","",VLOOKUP(N165,参考表!$N$2:$O$49,2,0)*1000)</f>
        <v/>
      </c>
      <c r="Q165" s="10">
        <v>60</v>
      </c>
      <c r="R165" s="10">
        <v>60</v>
      </c>
      <c r="S165" s="7">
        <v>0</v>
      </c>
      <c r="T165" s="7">
        <v>0</v>
      </c>
      <c r="U165" s="1">
        <f t="shared" ref="U165" si="134">IF(E165&lt;&gt;"",1,0) + IF(H165&lt;&gt;"",1,0) + IF(K165&lt;&gt;"",1,0) + IF(N165&lt;&gt;"",1,0)</f>
        <v>2</v>
      </c>
    </row>
    <row r="166" spans="1:21">
      <c r="A166" s="14">
        <v>623</v>
      </c>
      <c r="B166" s="14"/>
      <c r="C166" s="13">
        <v>12</v>
      </c>
      <c r="D166" s="12">
        <v>4</v>
      </c>
      <c r="E166" s="16" t="s">
        <v>187</v>
      </c>
      <c r="F166" s="3">
        <f t="shared" ref="F166" si="135">IF(E166="","",1)</f>
        <v>1</v>
      </c>
      <c r="G166" s="5">
        <f>IF(E166="","",VLOOKUP(E166,参考表!$N$2:$O$49,2,0)*1000)</f>
        <v>11000</v>
      </c>
      <c r="H166" s="52" t="s">
        <v>199</v>
      </c>
      <c r="I166" s="3">
        <f t="shared" ref="I166" si="136">IF(H166="","",1)</f>
        <v>1</v>
      </c>
      <c r="J166" s="5">
        <f>IF(H166="","",VLOOKUP(H166,参考表!$N$2:$O$100,2,0)*1000)</f>
        <v>11000</v>
      </c>
      <c r="L166" s="3" t="str">
        <f t="shared" ref="L166" si="137">IF(K166="","",1)</f>
        <v/>
      </c>
      <c r="M166" s="5" t="str">
        <f>IF(K166="","",VLOOKUP(K166,参考表!$N$2:$O$49,2,0)*1000)</f>
        <v/>
      </c>
      <c r="O166" s="3" t="str">
        <f t="shared" ref="O166" si="138">IF(N166="","",1)</f>
        <v/>
      </c>
      <c r="P166" s="5" t="str">
        <f>IF(N166="","",VLOOKUP(N166,参考表!$N$2:$O$49,2,0)*1000)</f>
        <v/>
      </c>
      <c r="Q166" s="10">
        <v>60</v>
      </c>
      <c r="R166" s="10">
        <v>60</v>
      </c>
      <c r="S166" s="7">
        <v>0</v>
      </c>
      <c r="T166" s="7">
        <v>0</v>
      </c>
      <c r="U166" s="1">
        <f t="shared" ref="U166" si="139">IF(E166&lt;&gt;"",1,0) + IF(H166&lt;&gt;"",1,0) + IF(K166&lt;&gt;"",1,0) + IF(N166&lt;&gt;"",1,0)</f>
        <v>2</v>
      </c>
    </row>
    <row r="167" spans="1:21">
      <c r="A167" s="47">
        <v>623</v>
      </c>
      <c r="B167" s="47"/>
      <c r="C167" s="48">
        <v>12</v>
      </c>
      <c r="D167" s="49">
        <v>4</v>
      </c>
      <c r="E167" s="15" t="s">
        <v>186</v>
      </c>
      <c r="F167" s="50">
        <f t="shared" si="35"/>
        <v>1</v>
      </c>
      <c r="G167" s="51">
        <f>IF(E167="","",VLOOKUP(E167,参考表!$N$2:$O$49,2,0)*1000)</f>
        <v>11000</v>
      </c>
      <c r="H167" s="55" t="s">
        <v>199</v>
      </c>
      <c r="I167" s="50">
        <f t="shared" si="36"/>
        <v>1</v>
      </c>
      <c r="J167" s="5">
        <f>IF(H167="","",VLOOKUP(H167,参考表!$N$2:$O$100,2,0)*1000)</f>
        <v>11000</v>
      </c>
      <c r="L167" s="3" t="str">
        <f t="shared" si="37"/>
        <v/>
      </c>
      <c r="M167" s="5" t="str">
        <f>IF(K167="","",VLOOKUP(K167,参考表!$N$2:$O$49,2,0)*1000)</f>
        <v/>
      </c>
      <c r="O167" s="3" t="str">
        <f t="shared" si="38"/>
        <v/>
      </c>
      <c r="P167" s="5" t="str">
        <f>IF(N167="","",VLOOKUP(N167,参考表!$N$2:$O$49,2,0)*1000)</f>
        <v/>
      </c>
      <c r="Q167" s="10">
        <v>60</v>
      </c>
      <c r="R167" s="10">
        <v>60</v>
      </c>
      <c r="S167" s="7">
        <v>0</v>
      </c>
      <c r="T167" s="7">
        <v>0</v>
      </c>
      <c r="U167" s="1">
        <f t="shared" si="59"/>
        <v>2</v>
      </c>
    </row>
  </sheetData>
  <phoneticPr fontId="1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添加">
                <anchor moveWithCells="1" sizeWithCells="1">
                  <from>
                    <xdr:col>16</xdr:col>
                    <xdr:colOff>28575</xdr:colOff>
                    <xdr:row>0</xdr:row>
                    <xdr:rowOff>47625</xdr:rowOff>
                  </from>
                  <to>
                    <xdr:col>18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删除">
                <anchor moveWithCells="1" sizeWithCells="1">
                  <from>
                    <xdr:col>18</xdr:col>
                    <xdr:colOff>76200</xdr:colOff>
                    <xdr:row>0</xdr:row>
                    <xdr:rowOff>47625</xdr:rowOff>
                  </from>
                  <to>
                    <xdr:col>19</xdr:col>
                    <xdr:colOff>428625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4"/>
  <sheetViews>
    <sheetView workbookViewId="0">
      <selection activeCell="I17" sqref="I17"/>
    </sheetView>
  </sheetViews>
  <sheetFormatPr defaultRowHeight="13.5"/>
  <cols>
    <col min="2" max="2" width="25" customWidth="1"/>
    <col min="5" max="5" width="10.75" customWidth="1"/>
  </cols>
  <sheetData>
    <row r="1" spans="1:5">
      <c r="A1" s="42">
        <v>110</v>
      </c>
      <c r="B1" s="45" t="s">
        <v>178</v>
      </c>
      <c r="C1" s="42">
        <v>11001</v>
      </c>
      <c r="D1" s="42">
        <v>11001</v>
      </c>
      <c r="E1" s="42">
        <v>3</v>
      </c>
    </row>
    <row r="2" spans="1:5">
      <c r="A2" s="42">
        <v>110</v>
      </c>
      <c r="B2" s="43" t="s">
        <v>138</v>
      </c>
      <c r="C2" s="42">
        <v>11001</v>
      </c>
      <c r="D2" s="42">
        <v>11001</v>
      </c>
      <c r="E2" s="42">
        <v>2</v>
      </c>
    </row>
    <row r="3" spans="1:5">
      <c r="A3" s="42">
        <v>110</v>
      </c>
      <c r="B3" s="43" t="s">
        <v>138</v>
      </c>
      <c r="C3" s="42">
        <v>11001</v>
      </c>
      <c r="D3" s="42">
        <v>11001</v>
      </c>
      <c r="E3" s="42">
        <v>1</v>
      </c>
    </row>
    <row r="4" spans="1:5">
      <c r="A4" s="42">
        <f>A1+10</f>
        <v>120</v>
      </c>
      <c r="B4" s="43" t="s">
        <v>153</v>
      </c>
      <c r="C4" s="42">
        <v>11001</v>
      </c>
      <c r="D4" s="42">
        <v>11001</v>
      </c>
      <c r="E4" s="42">
        <v>3</v>
      </c>
    </row>
    <row r="5" spans="1:5">
      <c r="A5" s="42">
        <f t="shared" ref="A5:A15" si="0">A2+10</f>
        <v>120</v>
      </c>
      <c r="B5" s="43" t="s">
        <v>140</v>
      </c>
      <c r="C5" s="42">
        <v>11001</v>
      </c>
      <c r="D5" s="42">
        <v>11001</v>
      </c>
      <c r="E5" s="42">
        <v>2</v>
      </c>
    </row>
    <row r="6" spans="1:5">
      <c r="A6" s="42">
        <f t="shared" si="0"/>
        <v>120</v>
      </c>
      <c r="B6" s="43" t="s">
        <v>140</v>
      </c>
      <c r="C6" s="42">
        <v>11001</v>
      </c>
      <c r="D6" s="42">
        <v>11001</v>
      </c>
      <c r="E6" s="42">
        <v>1</v>
      </c>
    </row>
    <row r="7" spans="1:5">
      <c r="A7" s="42">
        <f t="shared" si="0"/>
        <v>130</v>
      </c>
      <c r="B7" s="43" t="s">
        <v>154</v>
      </c>
      <c r="C7" s="42">
        <v>11001</v>
      </c>
      <c r="D7" s="42">
        <v>11001</v>
      </c>
      <c r="E7" s="42">
        <v>3</v>
      </c>
    </row>
    <row r="8" spans="1:5">
      <c r="A8" s="42">
        <f t="shared" si="0"/>
        <v>130</v>
      </c>
      <c r="B8" s="43" t="s">
        <v>139</v>
      </c>
      <c r="C8" s="42">
        <v>11001</v>
      </c>
      <c r="D8" s="42">
        <v>11001</v>
      </c>
      <c r="E8" s="42">
        <v>2</v>
      </c>
    </row>
    <row r="9" spans="1:5">
      <c r="A9" s="42">
        <f t="shared" si="0"/>
        <v>130</v>
      </c>
      <c r="B9" s="43" t="s">
        <v>139</v>
      </c>
      <c r="C9" s="42">
        <v>11001</v>
      </c>
      <c r="D9" s="42">
        <v>11001</v>
      </c>
      <c r="E9" s="42">
        <v>1</v>
      </c>
    </row>
    <row r="10" spans="1:5">
      <c r="A10" s="42">
        <f t="shared" si="0"/>
        <v>140</v>
      </c>
      <c r="B10" s="43" t="s">
        <v>152</v>
      </c>
      <c r="C10" s="42">
        <v>11001</v>
      </c>
      <c r="D10" s="42">
        <v>11001</v>
      </c>
      <c r="E10" s="42">
        <v>3</v>
      </c>
    </row>
    <row r="11" spans="1:5">
      <c r="A11" s="42">
        <f t="shared" si="0"/>
        <v>140</v>
      </c>
      <c r="B11" s="43" t="s">
        <v>141</v>
      </c>
      <c r="C11" s="42">
        <v>11001</v>
      </c>
      <c r="D11" s="42">
        <v>11001</v>
      </c>
      <c r="E11" s="42">
        <v>2</v>
      </c>
    </row>
    <row r="12" spans="1:5">
      <c r="A12" s="42">
        <f t="shared" si="0"/>
        <v>140</v>
      </c>
      <c r="B12" s="43" t="s">
        <v>141</v>
      </c>
      <c r="C12" s="42">
        <v>11001</v>
      </c>
      <c r="D12" s="42">
        <v>11001</v>
      </c>
      <c r="E12" s="42">
        <v>1</v>
      </c>
    </row>
    <row r="13" spans="1:5">
      <c r="A13" s="42">
        <f t="shared" si="0"/>
        <v>150</v>
      </c>
      <c r="B13" s="43" t="s">
        <v>149</v>
      </c>
      <c r="C13" s="42">
        <v>11001</v>
      </c>
      <c r="D13" s="42">
        <v>11001</v>
      </c>
      <c r="E13" s="42">
        <v>3</v>
      </c>
    </row>
    <row r="14" spans="1:5">
      <c r="A14" s="42">
        <f t="shared" si="0"/>
        <v>150</v>
      </c>
      <c r="B14" s="43" t="s">
        <v>143</v>
      </c>
      <c r="C14" s="42">
        <v>11001</v>
      </c>
      <c r="D14" s="42">
        <v>11001</v>
      </c>
      <c r="E14" s="42">
        <v>2</v>
      </c>
    </row>
    <row r="15" spans="1:5">
      <c r="A15" s="42">
        <f t="shared" si="0"/>
        <v>150</v>
      </c>
      <c r="B15" s="43" t="s">
        <v>143</v>
      </c>
      <c r="C15" s="42">
        <v>11001</v>
      </c>
      <c r="D15" s="42">
        <v>11001</v>
      </c>
      <c r="E15" s="42">
        <v>1</v>
      </c>
    </row>
    <row r="16" spans="1:5">
      <c r="A16" s="42">
        <f>A13+1</f>
        <v>151</v>
      </c>
      <c r="B16" s="43" t="s">
        <v>150</v>
      </c>
      <c r="C16" s="42">
        <v>11001</v>
      </c>
      <c r="D16" s="42">
        <v>11001</v>
      </c>
      <c r="E16" s="42">
        <v>3</v>
      </c>
    </row>
    <row r="17" spans="1:5">
      <c r="A17" s="42">
        <f t="shared" ref="A17:A18" si="1">A14+1</f>
        <v>151</v>
      </c>
      <c r="B17" s="43" t="s">
        <v>144</v>
      </c>
      <c r="C17" s="42">
        <v>11001</v>
      </c>
      <c r="D17" s="42">
        <v>11001</v>
      </c>
      <c r="E17" s="42">
        <v>2</v>
      </c>
    </row>
    <row r="18" spans="1:5">
      <c r="A18" s="42">
        <f t="shared" si="1"/>
        <v>151</v>
      </c>
      <c r="B18" s="43" t="s">
        <v>145</v>
      </c>
      <c r="C18" s="42">
        <v>11001</v>
      </c>
      <c r="D18" s="42">
        <v>11001</v>
      </c>
      <c r="E18" s="42">
        <v>1</v>
      </c>
    </row>
    <row r="19" spans="1:5">
      <c r="A19" s="42">
        <f>A13+10</f>
        <v>160</v>
      </c>
      <c r="B19" s="43" t="s">
        <v>151</v>
      </c>
      <c r="C19" s="42">
        <v>11001</v>
      </c>
      <c r="D19" s="42">
        <v>11001</v>
      </c>
      <c r="E19" s="42">
        <v>3</v>
      </c>
    </row>
    <row r="20" spans="1:5">
      <c r="A20" s="42">
        <f t="shared" ref="A20:A21" si="2">A14+10</f>
        <v>160</v>
      </c>
      <c r="B20" s="43" t="s">
        <v>142</v>
      </c>
      <c r="C20" s="42">
        <v>11001</v>
      </c>
      <c r="D20" s="42">
        <v>11001</v>
      </c>
      <c r="E20" s="42">
        <v>2</v>
      </c>
    </row>
    <row r="21" spans="1:5">
      <c r="A21" s="42">
        <f t="shared" si="2"/>
        <v>160</v>
      </c>
      <c r="B21" s="43" t="s">
        <v>142</v>
      </c>
      <c r="C21" s="42">
        <v>11001</v>
      </c>
      <c r="D21" s="42">
        <v>11001</v>
      </c>
      <c r="E21" s="42">
        <v>1</v>
      </c>
    </row>
    <row r="22" spans="1:5">
      <c r="A22" s="42">
        <f>A19+10</f>
        <v>170</v>
      </c>
      <c r="B22" s="43" t="s">
        <v>148</v>
      </c>
      <c r="C22" s="42">
        <v>11001</v>
      </c>
      <c r="D22" s="42">
        <v>11001</v>
      </c>
      <c r="E22" s="42">
        <v>3</v>
      </c>
    </row>
    <row r="23" spans="1:5">
      <c r="A23" s="42">
        <f t="shared" ref="A23:A24" si="3">A20+10</f>
        <v>170</v>
      </c>
      <c r="B23" s="43" t="s">
        <v>146</v>
      </c>
      <c r="C23" s="42">
        <v>11001</v>
      </c>
      <c r="D23" s="42">
        <v>11001</v>
      </c>
      <c r="E23" s="42">
        <v>2</v>
      </c>
    </row>
    <row r="24" spans="1:5">
      <c r="A24" s="42">
        <f t="shared" si="3"/>
        <v>170</v>
      </c>
      <c r="B24" s="43" t="s">
        <v>147</v>
      </c>
      <c r="C24" s="42">
        <v>11001</v>
      </c>
      <c r="D24" s="42">
        <v>11001</v>
      </c>
      <c r="E24" s="42">
        <v>1</v>
      </c>
    </row>
  </sheetData>
  <phoneticPr fontId="1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01"/>
  <sheetViews>
    <sheetView topLeftCell="E2" workbookViewId="0">
      <selection activeCell="E25" sqref="E25"/>
    </sheetView>
  </sheetViews>
  <sheetFormatPr defaultRowHeight="13.5"/>
  <cols>
    <col min="1" max="3" width="9" style="1"/>
    <col min="4" max="5" width="9.5" style="40" customWidth="1"/>
    <col min="6" max="6" width="9.375" style="40" customWidth="1"/>
    <col min="7" max="7" width="26.5" style="1" customWidth="1"/>
    <col min="8" max="8" width="9" style="1"/>
    <col min="9" max="9" width="10.875" style="1" customWidth="1"/>
    <col min="10" max="10" width="9.625" style="1" customWidth="1"/>
    <col min="11" max="13" width="9" style="1"/>
    <col min="14" max="14" width="22.375" style="1" customWidth="1"/>
    <col min="15" max="15" width="9" style="1"/>
    <col min="16" max="16" width="16.875" style="1" customWidth="1"/>
    <col min="17" max="16384" width="9" style="1"/>
  </cols>
  <sheetData>
    <row r="1" spans="1:18" ht="16.5" customHeight="1">
      <c r="A1" s="62"/>
      <c r="B1" s="66"/>
      <c r="C1" s="63" t="s">
        <v>137</v>
      </c>
      <c r="D1" s="64" t="s">
        <v>136</v>
      </c>
      <c r="E1" s="64" t="s">
        <v>135</v>
      </c>
      <c r="F1" s="65" t="s">
        <v>134</v>
      </c>
      <c r="G1" s="41"/>
      <c r="H1" s="41"/>
      <c r="I1" s="41"/>
      <c r="J1" s="41"/>
      <c r="O1" s="1" t="s">
        <v>133</v>
      </c>
      <c r="P1" s="1" t="s">
        <v>132</v>
      </c>
      <c r="Q1" s="1" t="s">
        <v>131</v>
      </c>
      <c r="R1" s="1" t="s">
        <v>130</v>
      </c>
    </row>
    <row r="2" spans="1:18">
      <c r="A2" s="7">
        <v>1</v>
      </c>
      <c r="B2" s="7">
        <v>100</v>
      </c>
      <c r="C2" s="56">
        <v>80</v>
      </c>
      <c r="D2" s="57">
        <v>80</v>
      </c>
      <c r="E2" s="57">
        <v>80</v>
      </c>
      <c r="F2" s="58">
        <v>120</v>
      </c>
      <c r="G2" s="41"/>
      <c r="H2" s="41"/>
      <c r="I2" s="41"/>
      <c r="J2" s="41"/>
      <c r="N2" s="1" t="s">
        <v>129</v>
      </c>
      <c r="O2" s="1">
        <v>11</v>
      </c>
      <c r="P2" s="1" t="s">
        <v>129</v>
      </c>
      <c r="Q2" s="1" t="s">
        <v>90</v>
      </c>
      <c r="R2" s="1" t="s">
        <v>92</v>
      </c>
    </row>
    <row r="3" spans="1:18">
      <c r="A3" s="7">
        <v>2</v>
      </c>
      <c r="B3" s="7">
        <v>104</v>
      </c>
      <c r="C3" s="56">
        <v>84</v>
      </c>
      <c r="D3" s="57">
        <v>84</v>
      </c>
      <c r="E3" s="57">
        <v>84</v>
      </c>
      <c r="F3" s="58">
        <v>126</v>
      </c>
      <c r="G3" s="41"/>
      <c r="H3" s="41"/>
      <c r="I3" s="41"/>
      <c r="J3" s="41"/>
      <c r="N3" s="1" t="s">
        <v>128</v>
      </c>
      <c r="O3" s="1">
        <v>11</v>
      </c>
      <c r="P3" s="1" t="s">
        <v>128</v>
      </c>
      <c r="Q3" s="1" t="s">
        <v>88</v>
      </c>
      <c r="R3" s="1" t="s">
        <v>92</v>
      </c>
    </row>
    <row r="4" spans="1:18">
      <c r="A4" s="7">
        <v>3</v>
      </c>
      <c r="B4" s="7">
        <v>109</v>
      </c>
      <c r="C4" s="56">
        <v>88</v>
      </c>
      <c r="D4" s="57">
        <v>88</v>
      </c>
      <c r="E4" s="57">
        <v>88</v>
      </c>
      <c r="F4" s="58">
        <v>132</v>
      </c>
      <c r="G4" s="41"/>
      <c r="H4" s="41"/>
      <c r="I4" s="41"/>
      <c r="J4" s="41"/>
      <c r="N4" s="1" t="s">
        <v>127</v>
      </c>
      <c r="O4" s="1">
        <v>11</v>
      </c>
      <c r="P4" s="1" t="s">
        <v>127</v>
      </c>
      <c r="Q4" s="1" t="s">
        <v>86</v>
      </c>
      <c r="R4" s="1" t="s">
        <v>92</v>
      </c>
    </row>
    <row r="5" spans="1:18">
      <c r="A5" s="7">
        <v>4</v>
      </c>
      <c r="B5" s="7">
        <v>115</v>
      </c>
      <c r="C5" s="56">
        <v>92</v>
      </c>
      <c r="D5" s="57">
        <v>92</v>
      </c>
      <c r="E5" s="57">
        <v>92</v>
      </c>
      <c r="F5" s="58">
        <v>138</v>
      </c>
      <c r="G5" s="41"/>
      <c r="H5" s="41"/>
      <c r="I5" s="41"/>
      <c r="J5" s="41"/>
      <c r="N5" s="1" t="s">
        <v>126</v>
      </c>
      <c r="O5" s="1">
        <v>11</v>
      </c>
      <c r="P5" s="1" t="s">
        <v>126</v>
      </c>
      <c r="Q5" s="1" t="s">
        <v>84</v>
      </c>
      <c r="R5" s="1" t="s">
        <v>92</v>
      </c>
    </row>
    <row r="6" spans="1:18">
      <c r="A6" s="7">
        <v>5</v>
      </c>
      <c r="B6" s="7">
        <v>121</v>
      </c>
      <c r="C6" s="56">
        <v>96</v>
      </c>
      <c r="D6" s="57">
        <v>96</v>
      </c>
      <c r="E6" s="57">
        <v>96</v>
      </c>
      <c r="F6" s="58">
        <v>144</v>
      </c>
      <c r="G6" s="41"/>
      <c r="H6" s="41"/>
      <c r="I6" s="41"/>
      <c r="J6" s="41"/>
      <c r="N6" s="1" t="s">
        <v>125</v>
      </c>
      <c r="O6" s="1">
        <v>11</v>
      </c>
      <c r="P6" s="1" t="s">
        <v>125</v>
      </c>
      <c r="Q6" s="1" t="s">
        <v>82</v>
      </c>
      <c r="R6" s="1" t="s">
        <v>92</v>
      </c>
    </row>
    <row r="7" spans="1:18">
      <c r="A7" s="7">
        <v>6</v>
      </c>
      <c r="B7" s="7">
        <v>127</v>
      </c>
      <c r="C7" s="56">
        <v>100</v>
      </c>
      <c r="D7" s="57">
        <v>100</v>
      </c>
      <c r="E7" s="57">
        <v>100</v>
      </c>
      <c r="F7" s="58">
        <v>150</v>
      </c>
      <c r="G7" s="41"/>
      <c r="H7" s="41"/>
      <c r="I7" s="41"/>
      <c r="J7" s="41"/>
      <c r="N7" s="1" t="s">
        <v>124</v>
      </c>
      <c r="O7" s="1">
        <v>11</v>
      </c>
      <c r="P7" s="1" t="s">
        <v>124</v>
      </c>
      <c r="Q7" s="1" t="s">
        <v>80</v>
      </c>
      <c r="R7" s="1" t="s">
        <v>92</v>
      </c>
    </row>
    <row r="8" spans="1:18">
      <c r="A8" s="7">
        <v>7</v>
      </c>
      <c r="B8" s="7">
        <v>133</v>
      </c>
      <c r="C8" s="56">
        <v>104</v>
      </c>
      <c r="D8" s="57">
        <v>104</v>
      </c>
      <c r="E8" s="57">
        <v>104</v>
      </c>
      <c r="F8" s="58">
        <v>156</v>
      </c>
      <c r="G8" s="41"/>
      <c r="H8" s="41"/>
      <c r="I8" s="41"/>
      <c r="J8" s="41"/>
      <c r="N8" s="44" t="s">
        <v>170</v>
      </c>
      <c r="O8" s="1">
        <v>11</v>
      </c>
      <c r="P8" s="44" t="s">
        <v>170</v>
      </c>
      <c r="Q8" s="1" t="s">
        <v>79</v>
      </c>
      <c r="R8" s="1" t="s">
        <v>92</v>
      </c>
    </row>
    <row r="9" spans="1:18">
      <c r="A9" s="7">
        <v>8</v>
      </c>
      <c r="B9" s="7">
        <v>140</v>
      </c>
      <c r="C9" s="56">
        <v>108</v>
      </c>
      <c r="D9" s="57">
        <v>108</v>
      </c>
      <c r="E9" s="57">
        <v>108</v>
      </c>
      <c r="F9" s="58">
        <v>162</v>
      </c>
      <c r="G9" s="41"/>
      <c r="H9" s="41"/>
      <c r="I9" s="41"/>
      <c r="J9" s="41"/>
      <c r="N9" s="44" t="s">
        <v>171</v>
      </c>
      <c r="O9" s="1">
        <v>11</v>
      </c>
      <c r="P9" s="44" t="s">
        <v>171</v>
      </c>
      <c r="Q9" s="1" t="s">
        <v>78</v>
      </c>
      <c r="R9" s="1" t="s">
        <v>92</v>
      </c>
    </row>
    <row r="10" spans="1:18">
      <c r="A10" s="7">
        <v>9</v>
      </c>
      <c r="B10" s="7">
        <v>148</v>
      </c>
      <c r="C10" s="56">
        <v>112</v>
      </c>
      <c r="D10" s="57">
        <v>112</v>
      </c>
      <c r="E10" s="57">
        <v>112</v>
      </c>
      <c r="F10" s="58">
        <v>169</v>
      </c>
      <c r="G10" s="41"/>
      <c r="H10" s="41"/>
      <c r="I10" s="41"/>
      <c r="J10" s="41"/>
      <c r="N10" s="1" t="s">
        <v>123</v>
      </c>
      <c r="O10" s="1">
        <v>11</v>
      </c>
      <c r="P10" s="1" t="s">
        <v>123</v>
      </c>
      <c r="Q10" s="1" t="s">
        <v>76</v>
      </c>
      <c r="R10" s="1" t="s">
        <v>92</v>
      </c>
    </row>
    <row r="11" spans="1:18">
      <c r="A11" s="7">
        <v>10</v>
      </c>
      <c r="B11" s="7">
        <v>156</v>
      </c>
      <c r="C11" s="56">
        <v>117</v>
      </c>
      <c r="D11" s="57">
        <v>117</v>
      </c>
      <c r="E11" s="57">
        <v>117</v>
      </c>
      <c r="F11" s="58">
        <v>176</v>
      </c>
      <c r="G11" s="41"/>
      <c r="H11" s="41"/>
      <c r="I11" s="41"/>
      <c r="J11" s="41"/>
      <c r="N11" s="44" t="s">
        <v>172</v>
      </c>
      <c r="O11" s="1">
        <v>11</v>
      </c>
      <c r="P11" s="44" t="s">
        <v>172</v>
      </c>
      <c r="Q11" s="1" t="s">
        <v>75</v>
      </c>
      <c r="R11" s="1" t="s">
        <v>92</v>
      </c>
    </row>
    <row r="12" spans="1:18">
      <c r="A12" s="7">
        <v>11</v>
      </c>
      <c r="B12" s="7">
        <v>164</v>
      </c>
      <c r="C12" s="56">
        <v>132</v>
      </c>
      <c r="D12" s="57">
        <v>132</v>
      </c>
      <c r="E12" s="57">
        <v>132</v>
      </c>
      <c r="F12" s="58">
        <v>198</v>
      </c>
      <c r="G12" s="41"/>
      <c r="H12" s="41"/>
      <c r="I12" s="41"/>
      <c r="J12" s="41"/>
      <c r="N12" s="44" t="s">
        <v>173</v>
      </c>
      <c r="O12" s="1">
        <v>11</v>
      </c>
      <c r="P12" s="44" t="s">
        <v>173</v>
      </c>
      <c r="Q12" s="1" t="s">
        <v>74</v>
      </c>
      <c r="R12" s="1" t="s">
        <v>92</v>
      </c>
    </row>
    <row r="13" spans="1:18">
      <c r="A13" s="7">
        <v>12</v>
      </c>
      <c r="B13" s="7">
        <v>172</v>
      </c>
      <c r="C13" s="56">
        <v>146</v>
      </c>
      <c r="D13" s="57">
        <v>146</v>
      </c>
      <c r="E13" s="57">
        <v>146</v>
      </c>
      <c r="F13" s="58">
        <v>220</v>
      </c>
      <c r="G13" s="41"/>
      <c r="H13" s="41"/>
      <c r="I13" s="41"/>
      <c r="J13" s="41"/>
      <c r="N13" s="1" t="s">
        <v>122</v>
      </c>
      <c r="O13" s="1">
        <v>11</v>
      </c>
      <c r="P13" s="1" t="s">
        <v>122</v>
      </c>
      <c r="Q13" s="1" t="s">
        <v>72</v>
      </c>
      <c r="R13" s="1" t="s">
        <v>92</v>
      </c>
    </row>
    <row r="14" spans="1:18">
      <c r="A14" s="7">
        <v>13</v>
      </c>
      <c r="B14" s="7">
        <v>181</v>
      </c>
      <c r="C14" s="56">
        <v>162</v>
      </c>
      <c r="D14" s="57">
        <v>162</v>
      </c>
      <c r="E14" s="57">
        <v>162</v>
      </c>
      <c r="F14" s="58">
        <v>243</v>
      </c>
      <c r="G14" s="41"/>
      <c r="H14" s="41"/>
      <c r="I14" s="41"/>
      <c r="J14" s="41"/>
      <c r="N14" s="1" t="s">
        <v>121</v>
      </c>
      <c r="O14" s="1">
        <v>11</v>
      </c>
      <c r="P14" s="1" t="s">
        <v>121</v>
      </c>
      <c r="Q14" s="1" t="s">
        <v>70</v>
      </c>
      <c r="R14" s="1" t="s">
        <v>92</v>
      </c>
    </row>
    <row r="15" spans="1:18">
      <c r="A15" s="7">
        <v>14</v>
      </c>
      <c r="B15" s="7">
        <v>191</v>
      </c>
      <c r="C15" s="56">
        <v>177</v>
      </c>
      <c r="D15" s="57">
        <v>177</v>
      </c>
      <c r="E15" s="57">
        <v>177</v>
      </c>
      <c r="F15" s="58">
        <v>265</v>
      </c>
      <c r="G15" s="41"/>
      <c r="H15" s="41"/>
      <c r="I15" s="41"/>
      <c r="J15" s="41"/>
      <c r="N15" s="1" t="s">
        <v>120</v>
      </c>
      <c r="O15" s="1">
        <v>11</v>
      </c>
      <c r="P15" s="1" t="s">
        <v>120</v>
      </c>
      <c r="Q15" s="1" t="s">
        <v>68</v>
      </c>
      <c r="R15" s="1" t="s">
        <v>92</v>
      </c>
    </row>
    <row r="16" spans="1:18">
      <c r="A16" s="7">
        <v>15</v>
      </c>
      <c r="B16" s="7">
        <v>201</v>
      </c>
      <c r="C16" s="56">
        <v>192</v>
      </c>
      <c r="D16" s="57">
        <v>192</v>
      </c>
      <c r="E16" s="57">
        <v>192</v>
      </c>
      <c r="F16" s="58">
        <v>289</v>
      </c>
      <c r="G16" s="41"/>
      <c r="H16" s="41"/>
      <c r="I16" s="41"/>
      <c r="J16" s="41"/>
      <c r="N16" s="1" t="s">
        <v>119</v>
      </c>
      <c r="O16" s="1">
        <v>11</v>
      </c>
      <c r="P16" s="1" t="s">
        <v>119</v>
      </c>
      <c r="Q16" s="1" t="s">
        <v>66</v>
      </c>
      <c r="R16" s="1" t="s">
        <v>92</v>
      </c>
    </row>
    <row r="17" spans="1:18">
      <c r="A17" s="7">
        <v>16</v>
      </c>
      <c r="B17" s="7">
        <v>211</v>
      </c>
      <c r="C17" s="56">
        <v>209</v>
      </c>
      <c r="D17" s="57">
        <v>209</v>
      </c>
      <c r="E17" s="57">
        <v>209</v>
      </c>
      <c r="F17" s="58">
        <v>313</v>
      </c>
      <c r="G17" s="41"/>
      <c r="H17" s="41"/>
      <c r="I17" s="41"/>
      <c r="J17" s="41"/>
      <c r="N17" s="1" t="s">
        <v>118</v>
      </c>
      <c r="O17" s="1">
        <v>11</v>
      </c>
      <c r="P17" s="1" t="s">
        <v>118</v>
      </c>
      <c r="Q17" s="1" t="s">
        <v>64</v>
      </c>
      <c r="R17" s="1" t="s">
        <v>92</v>
      </c>
    </row>
    <row r="18" spans="1:18">
      <c r="A18" s="7">
        <v>17</v>
      </c>
      <c r="B18" s="7">
        <v>221</v>
      </c>
      <c r="C18" s="56">
        <v>226</v>
      </c>
      <c r="D18" s="57">
        <v>226</v>
      </c>
      <c r="E18" s="57">
        <v>226</v>
      </c>
      <c r="F18" s="58">
        <v>339</v>
      </c>
      <c r="G18" s="41"/>
      <c r="H18" s="41"/>
      <c r="I18" s="41"/>
      <c r="J18" s="41"/>
      <c r="N18" s="1" t="s">
        <v>117</v>
      </c>
      <c r="O18" s="1">
        <v>11</v>
      </c>
      <c r="P18" s="1" t="s">
        <v>117</v>
      </c>
      <c r="Q18" s="1" t="s">
        <v>62</v>
      </c>
      <c r="R18" s="1" t="s">
        <v>92</v>
      </c>
    </row>
    <row r="19" spans="1:18">
      <c r="A19" s="7">
        <v>18</v>
      </c>
      <c r="B19" s="7">
        <v>232</v>
      </c>
      <c r="C19" s="56">
        <v>243</v>
      </c>
      <c r="D19" s="57">
        <v>243</v>
      </c>
      <c r="E19" s="57">
        <v>243</v>
      </c>
      <c r="F19" s="58">
        <v>364</v>
      </c>
      <c r="G19" s="41"/>
      <c r="H19" s="41"/>
      <c r="I19" s="41"/>
      <c r="J19" s="41"/>
      <c r="N19" s="1" t="s">
        <v>116</v>
      </c>
      <c r="O19" s="1">
        <v>11</v>
      </c>
      <c r="P19" s="1" t="s">
        <v>116</v>
      </c>
      <c r="Q19" s="1" t="s">
        <v>60</v>
      </c>
      <c r="R19" s="1" t="s">
        <v>92</v>
      </c>
    </row>
    <row r="20" spans="1:18">
      <c r="A20" s="7">
        <v>19</v>
      </c>
      <c r="B20" s="7">
        <v>244</v>
      </c>
      <c r="C20" s="56">
        <v>260</v>
      </c>
      <c r="D20" s="57">
        <v>260</v>
      </c>
      <c r="E20" s="57">
        <v>260</v>
      </c>
      <c r="F20" s="58">
        <v>390</v>
      </c>
      <c r="G20" s="41"/>
      <c r="H20" s="41"/>
      <c r="I20" s="41"/>
      <c r="J20" s="41"/>
      <c r="N20" s="1" t="s">
        <v>115</v>
      </c>
      <c r="O20" s="1">
        <v>11</v>
      </c>
      <c r="P20" s="1" t="s">
        <v>115</v>
      </c>
      <c r="Q20" s="1" t="s">
        <v>114</v>
      </c>
      <c r="R20" s="1" t="s">
        <v>92</v>
      </c>
    </row>
    <row r="21" spans="1:18">
      <c r="A21" s="7">
        <v>20</v>
      </c>
      <c r="B21" s="7">
        <v>256</v>
      </c>
      <c r="C21" s="56">
        <v>277</v>
      </c>
      <c r="D21" s="57">
        <v>277</v>
      </c>
      <c r="E21" s="57">
        <v>277</v>
      </c>
      <c r="F21" s="58">
        <v>416</v>
      </c>
      <c r="G21" s="41"/>
      <c r="H21" s="41"/>
      <c r="I21" s="41"/>
      <c r="J21" s="41"/>
      <c r="N21" s="1" t="s">
        <v>113</v>
      </c>
      <c r="O21" s="1">
        <v>11</v>
      </c>
      <c r="P21" s="1" t="s">
        <v>113</v>
      </c>
      <c r="Q21" s="1" t="s">
        <v>111</v>
      </c>
      <c r="R21" s="1" t="s">
        <v>92</v>
      </c>
    </row>
    <row r="22" spans="1:18">
      <c r="A22" s="7">
        <v>21</v>
      </c>
      <c r="B22" s="7">
        <v>268</v>
      </c>
      <c r="C22" s="56">
        <v>283</v>
      </c>
      <c r="D22" s="57">
        <v>283</v>
      </c>
      <c r="E22" s="57">
        <v>283</v>
      </c>
      <c r="F22" s="58">
        <v>425</v>
      </c>
      <c r="G22" s="41"/>
      <c r="H22" s="41"/>
      <c r="I22" s="41"/>
      <c r="J22" s="41"/>
      <c r="N22" s="1" t="s">
        <v>112</v>
      </c>
      <c r="O22" s="1">
        <v>11</v>
      </c>
      <c r="P22" s="1" t="s">
        <v>112</v>
      </c>
      <c r="Q22" s="1" t="s">
        <v>111</v>
      </c>
      <c r="R22" s="1" t="s">
        <v>92</v>
      </c>
    </row>
    <row r="23" spans="1:18">
      <c r="A23" s="7">
        <v>22</v>
      </c>
      <c r="B23" s="7">
        <v>280</v>
      </c>
      <c r="C23" s="56">
        <v>289</v>
      </c>
      <c r="D23" s="57">
        <v>289</v>
      </c>
      <c r="E23" s="57">
        <v>289</v>
      </c>
      <c r="F23" s="58">
        <v>434</v>
      </c>
      <c r="G23" s="41"/>
      <c r="H23" s="41"/>
      <c r="I23" s="41"/>
      <c r="J23" s="41"/>
      <c r="N23" s="1" t="s">
        <v>110</v>
      </c>
      <c r="O23" s="1">
        <v>11</v>
      </c>
      <c r="P23" s="1" t="s">
        <v>110</v>
      </c>
      <c r="Q23" s="1" t="s">
        <v>109</v>
      </c>
      <c r="R23" s="1" t="s">
        <v>92</v>
      </c>
    </row>
    <row r="24" spans="1:18">
      <c r="A24" s="7">
        <v>23</v>
      </c>
      <c r="B24" s="7">
        <v>293</v>
      </c>
      <c r="C24" s="56">
        <v>295</v>
      </c>
      <c r="D24" s="57">
        <v>295</v>
      </c>
      <c r="E24" s="57">
        <v>295</v>
      </c>
      <c r="F24" s="58">
        <v>442</v>
      </c>
      <c r="G24" s="41"/>
      <c r="H24" s="41"/>
      <c r="I24" s="41"/>
      <c r="J24" s="41"/>
      <c r="N24" s="1" t="s">
        <v>108</v>
      </c>
      <c r="O24" s="1">
        <v>11</v>
      </c>
      <c r="P24" s="1" t="s">
        <v>108</v>
      </c>
      <c r="Q24" s="1" t="s">
        <v>107</v>
      </c>
      <c r="R24" s="1" t="s">
        <v>92</v>
      </c>
    </row>
    <row r="25" spans="1:18">
      <c r="A25" s="7">
        <v>24</v>
      </c>
      <c r="B25" s="7">
        <v>307</v>
      </c>
      <c r="C25" s="56">
        <v>300</v>
      </c>
      <c r="D25" s="57">
        <v>300</v>
      </c>
      <c r="E25" s="57">
        <v>300</v>
      </c>
      <c r="F25" s="58">
        <v>451</v>
      </c>
      <c r="G25" s="41"/>
      <c r="H25" s="41"/>
      <c r="I25" s="41"/>
      <c r="J25" s="41"/>
      <c r="N25" s="1" t="s">
        <v>106</v>
      </c>
      <c r="O25" s="1">
        <v>11</v>
      </c>
      <c r="P25" s="1" t="s">
        <v>106</v>
      </c>
      <c r="Q25" s="1" t="s">
        <v>105</v>
      </c>
      <c r="R25" s="1" t="s">
        <v>92</v>
      </c>
    </row>
    <row r="26" spans="1:18">
      <c r="A26" s="7">
        <v>25</v>
      </c>
      <c r="B26" s="7">
        <v>321</v>
      </c>
      <c r="C26" s="56">
        <v>306</v>
      </c>
      <c r="D26" s="57">
        <v>306</v>
      </c>
      <c r="E26" s="57">
        <v>306</v>
      </c>
      <c r="F26" s="58">
        <v>459</v>
      </c>
      <c r="G26" s="41"/>
      <c r="H26" s="41"/>
      <c r="I26" s="41"/>
      <c r="J26" s="41"/>
      <c r="N26" s="1" t="s">
        <v>104</v>
      </c>
      <c r="O26" s="1">
        <v>11</v>
      </c>
      <c r="P26" s="1" t="s">
        <v>104</v>
      </c>
      <c r="Q26" s="1" t="s">
        <v>103</v>
      </c>
      <c r="R26" s="1" t="s">
        <v>92</v>
      </c>
    </row>
    <row r="27" spans="1:18">
      <c r="A27" s="7">
        <v>26</v>
      </c>
      <c r="B27" s="7">
        <v>335</v>
      </c>
      <c r="C27" s="56">
        <v>323</v>
      </c>
      <c r="D27" s="57">
        <v>323</v>
      </c>
      <c r="E27" s="57">
        <v>323</v>
      </c>
      <c r="F27" s="58">
        <v>485</v>
      </c>
      <c r="G27" s="41"/>
      <c r="H27" s="41"/>
      <c r="I27" s="41"/>
      <c r="J27" s="41"/>
      <c r="N27" s="1" t="s">
        <v>102</v>
      </c>
      <c r="O27" s="1">
        <v>11</v>
      </c>
      <c r="P27" s="1" t="s">
        <v>102</v>
      </c>
      <c r="Q27" s="1" t="s">
        <v>101</v>
      </c>
      <c r="R27" s="1" t="s">
        <v>92</v>
      </c>
    </row>
    <row r="28" spans="1:18">
      <c r="A28" s="7">
        <v>27</v>
      </c>
      <c r="B28" s="7">
        <v>349</v>
      </c>
      <c r="C28" s="56">
        <v>340</v>
      </c>
      <c r="D28" s="57">
        <v>340</v>
      </c>
      <c r="E28" s="57">
        <v>340</v>
      </c>
      <c r="F28" s="58">
        <v>511</v>
      </c>
      <c r="G28" s="41"/>
      <c r="H28" s="41"/>
      <c r="I28" s="41"/>
      <c r="J28" s="41"/>
      <c r="N28" s="1" t="s">
        <v>100</v>
      </c>
      <c r="O28" s="1">
        <v>11</v>
      </c>
      <c r="P28" s="1" t="s">
        <v>100</v>
      </c>
      <c r="Q28" s="1" t="s">
        <v>99</v>
      </c>
      <c r="R28" s="1" t="s">
        <v>92</v>
      </c>
    </row>
    <row r="29" spans="1:18">
      <c r="A29" s="7">
        <v>28</v>
      </c>
      <c r="B29" s="7">
        <v>364</v>
      </c>
      <c r="C29" s="56">
        <v>358</v>
      </c>
      <c r="D29" s="57">
        <v>358</v>
      </c>
      <c r="E29" s="57">
        <v>358</v>
      </c>
      <c r="F29" s="58">
        <v>537</v>
      </c>
      <c r="G29" s="41"/>
      <c r="H29" s="41"/>
      <c r="I29" s="41"/>
      <c r="J29" s="41"/>
      <c r="N29" s="1" t="s">
        <v>98</v>
      </c>
      <c r="O29" s="1">
        <v>11</v>
      </c>
      <c r="P29" s="1" t="s">
        <v>98</v>
      </c>
      <c r="Q29" s="1" t="s">
        <v>97</v>
      </c>
      <c r="R29" s="1" t="s">
        <v>92</v>
      </c>
    </row>
    <row r="30" spans="1:18">
      <c r="A30" s="7">
        <v>29</v>
      </c>
      <c r="B30" s="7">
        <v>380</v>
      </c>
      <c r="C30" s="56">
        <v>375</v>
      </c>
      <c r="D30" s="57">
        <v>375</v>
      </c>
      <c r="E30" s="57">
        <v>375</v>
      </c>
      <c r="F30" s="58">
        <v>562</v>
      </c>
      <c r="G30" s="41"/>
      <c r="H30" s="41"/>
      <c r="I30" s="41"/>
      <c r="J30" s="41"/>
      <c r="N30" s="1" t="s">
        <v>96</v>
      </c>
      <c r="O30" s="1">
        <v>11</v>
      </c>
      <c r="P30" s="1" t="s">
        <v>96</v>
      </c>
      <c r="Q30" s="1" t="s">
        <v>95</v>
      </c>
      <c r="R30" s="1" t="s">
        <v>92</v>
      </c>
    </row>
    <row r="31" spans="1:18">
      <c r="A31" s="7">
        <v>30</v>
      </c>
      <c r="B31" s="7">
        <v>396</v>
      </c>
      <c r="C31" s="56">
        <v>392</v>
      </c>
      <c r="D31" s="57">
        <v>392</v>
      </c>
      <c r="E31" s="57">
        <v>392</v>
      </c>
      <c r="F31" s="58">
        <v>588</v>
      </c>
      <c r="G31" s="41"/>
      <c r="H31" s="41"/>
      <c r="I31" s="41"/>
      <c r="J31" s="41"/>
      <c r="N31" s="1" t="s">
        <v>94</v>
      </c>
      <c r="O31" s="1">
        <v>11</v>
      </c>
      <c r="P31" s="1" t="s">
        <v>94</v>
      </c>
      <c r="Q31" s="1" t="s">
        <v>93</v>
      </c>
      <c r="R31" s="1" t="s">
        <v>92</v>
      </c>
    </row>
    <row r="32" spans="1:18">
      <c r="A32" s="7">
        <v>31</v>
      </c>
      <c r="B32" s="7">
        <v>412</v>
      </c>
      <c r="C32" s="56">
        <v>400</v>
      </c>
      <c r="D32" s="57">
        <v>400</v>
      </c>
      <c r="E32" s="57">
        <v>400</v>
      </c>
      <c r="F32" s="58">
        <v>600</v>
      </c>
      <c r="G32" s="41"/>
      <c r="H32" s="41"/>
      <c r="I32" s="41"/>
      <c r="J32" s="41"/>
      <c r="N32" s="1" t="s">
        <v>91</v>
      </c>
      <c r="O32" s="1">
        <v>11</v>
      </c>
      <c r="P32" s="1" t="s">
        <v>91</v>
      </c>
      <c r="Q32" s="1" t="s">
        <v>90</v>
      </c>
      <c r="R32" s="1" t="s">
        <v>59</v>
      </c>
    </row>
    <row r="33" spans="1:18">
      <c r="A33" s="7">
        <v>32</v>
      </c>
      <c r="B33" s="7">
        <v>428</v>
      </c>
      <c r="C33" s="56">
        <v>408</v>
      </c>
      <c r="D33" s="57">
        <v>408</v>
      </c>
      <c r="E33" s="57">
        <v>408</v>
      </c>
      <c r="F33" s="58">
        <v>612</v>
      </c>
      <c r="N33" s="1" t="s">
        <v>89</v>
      </c>
      <c r="O33" s="1">
        <v>11</v>
      </c>
      <c r="P33" s="1" t="s">
        <v>89</v>
      </c>
      <c r="Q33" s="1" t="s">
        <v>88</v>
      </c>
      <c r="R33" s="1" t="s">
        <v>59</v>
      </c>
    </row>
    <row r="34" spans="1:18">
      <c r="A34" s="7">
        <v>33</v>
      </c>
      <c r="B34" s="7">
        <v>445</v>
      </c>
      <c r="C34" s="56">
        <v>416</v>
      </c>
      <c r="D34" s="57">
        <v>416</v>
      </c>
      <c r="E34" s="57">
        <v>416</v>
      </c>
      <c r="F34" s="58">
        <v>624</v>
      </c>
      <c r="N34" s="1" t="s">
        <v>87</v>
      </c>
      <c r="O34" s="1">
        <v>11</v>
      </c>
      <c r="P34" s="1" t="s">
        <v>87</v>
      </c>
      <c r="Q34" s="1" t="s">
        <v>86</v>
      </c>
      <c r="R34" s="1" t="s">
        <v>59</v>
      </c>
    </row>
    <row r="35" spans="1:18">
      <c r="A35" s="7">
        <v>34</v>
      </c>
      <c r="B35" s="7">
        <v>463</v>
      </c>
      <c r="C35" s="56">
        <v>424</v>
      </c>
      <c r="D35" s="57">
        <v>424</v>
      </c>
      <c r="E35" s="57">
        <v>424</v>
      </c>
      <c r="F35" s="58">
        <v>636</v>
      </c>
      <c r="N35" s="1" t="s">
        <v>85</v>
      </c>
      <c r="O35" s="1">
        <v>11</v>
      </c>
      <c r="P35" s="1" t="s">
        <v>85</v>
      </c>
      <c r="Q35" s="1" t="s">
        <v>84</v>
      </c>
      <c r="R35" s="1" t="s">
        <v>59</v>
      </c>
    </row>
    <row r="36" spans="1:18">
      <c r="A36" s="7">
        <v>35</v>
      </c>
      <c r="B36" s="7">
        <v>481</v>
      </c>
      <c r="C36" s="56">
        <v>432</v>
      </c>
      <c r="D36" s="57">
        <v>432</v>
      </c>
      <c r="E36" s="57">
        <v>432</v>
      </c>
      <c r="F36" s="58">
        <v>648</v>
      </c>
      <c r="N36" s="1" t="s">
        <v>83</v>
      </c>
      <c r="O36" s="1">
        <v>11</v>
      </c>
      <c r="P36" s="1" t="s">
        <v>83</v>
      </c>
      <c r="Q36" s="1" t="s">
        <v>82</v>
      </c>
      <c r="R36" s="1" t="s">
        <v>59</v>
      </c>
    </row>
    <row r="37" spans="1:18">
      <c r="A37" s="7">
        <v>36</v>
      </c>
      <c r="B37" s="7">
        <v>499</v>
      </c>
      <c r="C37" s="56">
        <v>440</v>
      </c>
      <c r="D37" s="57">
        <v>440</v>
      </c>
      <c r="E37" s="57">
        <v>440</v>
      </c>
      <c r="F37" s="58">
        <v>660</v>
      </c>
      <c r="N37" s="1" t="s">
        <v>81</v>
      </c>
      <c r="O37" s="1">
        <v>11</v>
      </c>
      <c r="P37" s="1" t="s">
        <v>81</v>
      </c>
      <c r="Q37" s="1" t="s">
        <v>80</v>
      </c>
      <c r="R37" s="1" t="s">
        <v>59</v>
      </c>
    </row>
    <row r="38" spans="1:18">
      <c r="A38" s="7">
        <v>37</v>
      </c>
      <c r="B38" s="7">
        <v>517</v>
      </c>
      <c r="C38" s="56">
        <v>448</v>
      </c>
      <c r="D38" s="57">
        <v>448</v>
      </c>
      <c r="E38" s="57">
        <v>448</v>
      </c>
      <c r="F38" s="58">
        <v>672</v>
      </c>
      <c r="N38" s="44" t="s">
        <v>176</v>
      </c>
      <c r="O38" s="1">
        <v>11</v>
      </c>
      <c r="P38" s="44" t="s">
        <v>176</v>
      </c>
      <c r="Q38" s="1" t="s">
        <v>79</v>
      </c>
      <c r="R38" s="1" t="s">
        <v>59</v>
      </c>
    </row>
    <row r="39" spans="1:18">
      <c r="A39" s="7">
        <v>38</v>
      </c>
      <c r="B39" s="7">
        <v>536</v>
      </c>
      <c r="C39" s="56">
        <v>456</v>
      </c>
      <c r="D39" s="57">
        <v>456</v>
      </c>
      <c r="E39" s="57">
        <v>456</v>
      </c>
      <c r="F39" s="58">
        <v>684</v>
      </c>
      <c r="N39" s="44" t="s">
        <v>177</v>
      </c>
      <c r="O39" s="1">
        <v>11</v>
      </c>
      <c r="P39" s="44" t="s">
        <v>177</v>
      </c>
      <c r="Q39" s="1" t="s">
        <v>78</v>
      </c>
      <c r="R39" s="1" t="s">
        <v>59</v>
      </c>
    </row>
    <row r="40" spans="1:18">
      <c r="A40" s="7">
        <v>39</v>
      </c>
      <c r="B40" s="7">
        <v>556</v>
      </c>
      <c r="C40" s="56">
        <v>464</v>
      </c>
      <c r="D40" s="57">
        <v>464</v>
      </c>
      <c r="E40" s="57">
        <v>464</v>
      </c>
      <c r="F40" s="58">
        <v>696</v>
      </c>
      <c r="N40" s="1" t="s">
        <v>77</v>
      </c>
      <c r="O40" s="1">
        <v>11</v>
      </c>
      <c r="P40" s="1" t="s">
        <v>77</v>
      </c>
      <c r="Q40" s="1" t="s">
        <v>76</v>
      </c>
      <c r="R40" s="1" t="s">
        <v>59</v>
      </c>
    </row>
    <row r="41" spans="1:18">
      <c r="A41" s="7">
        <v>40</v>
      </c>
      <c r="B41" s="7">
        <v>576</v>
      </c>
      <c r="C41" s="56">
        <v>472</v>
      </c>
      <c r="D41" s="57">
        <v>472</v>
      </c>
      <c r="E41" s="57">
        <v>472</v>
      </c>
      <c r="F41" s="58">
        <v>708</v>
      </c>
      <c r="N41" s="44" t="s">
        <v>174</v>
      </c>
      <c r="O41" s="1">
        <v>11</v>
      </c>
      <c r="P41" s="44" t="s">
        <v>174</v>
      </c>
      <c r="Q41" s="1" t="s">
        <v>75</v>
      </c>
      <c r="R41" s="1" t="s">
        <v>59</v>
      </c>
    </row>
    <row r="42" spans="1:18">
      <c r="A42" s="7">
        <v>41</v>
      </c>
      <c r="B42" s="7">
        <v>596</v>
      </c>
      <c r="C42" s="56">
        <v>480</v>
      </c>
      <c r="D42" s="57">
        <v>480</v>
      </c>
      <c r="E42" s="57">
        <v>480</v>
      </c>
      <c r="F42" s="58">
        <v>720</v>
      </c>
      <c r="N42" s="44" t="s">
        <v>175</v>
      </c>
      <c r="O42" s="1">
        <v>11</v>
      </c>
      <c r="P42" s="44" t="s">
        <v>175</v>
      </c>
      <c r="Q42" s="1" t="s">
        <v>74</v>
      </c>
      <c r="R42" s="1" t="s">
        <v>59</v>
      </c>
    </row>
    <row r="43" spans="1:18">
      <c r="A43" s="7">
        <v>42</v>
      </c>
      <c r="B43" s="7">
        <v>616</v>
      </c>
      <c r="C43" s="56">
        <v>488</v>
      </c>
      <c r="D43" s="57">
        <v>488</v>
      </c>
      <c r="E43" s="57">
        <v>488</v>
      </c>
      <c r="F43" s="58">
        <v>732</v>
      </c>
      <c r="N43" s="1" t="s">
        <v>73</v>
      </c>
      <c r="O43" s="1">
        <v>11</v>
      </c>
      <c r="P43" s="1" t="s">
        <v>73</v>
      </c>
      <c r="Q43" s="1" t="s">
        <v>72</v>
      </c>
      <c r="R43" s="1" t="s">
        <v>59</v>
      </c>
    </row>
    <row r="44" spans="1:18">
      <c r="A44" s="7">
        <v>43</v>
      </c>
      <c r="B44" s="7">
        <v>637</v>
      </c>
      <c r="C44" s="56">
        <v>496</v>
      </c>
      <c r="D44" s="57">
        <v>496</v>
      </c>
      <c r="E44" s="57">
        <v>496</v>
      </c>
      <c r="F44" s="58">
        <v>744</v>
      </c>
      <c r="N44" s="1" t="s">
        <v>71</v>
      </c>
      <c r="O44" s="1">
        <v>11</v>
      </c>
      <c r="P44" s="1" t="s">
        <v>71</v>
      </c>
      <c r="Q44" s="1" t="s">
        <v>70</v>
      </c>
      <c r="R44" s="1" t="s">
        <v>59</v>
      </c>
    </row>
    <row r="45" spans="1:18">
      <c r="A45" s="7">
        <v>44</v>
      </c>
      <c r="B45" s="7">
        <v>659</v>
      </c>
      <c r="C45" s="56">
        <v>504</v>
      </c>
      <c r="D45" s="57">
        <v>504</v>
      </c>
      <c r="E45" s="57">
        <v>504</v>
      </c>
      <c r="F45" s="58">
        <v>756</v>
      </c>
      <c r="N45" s="1" t="s">
        <v>69</v>
      </c>
      <c r="O45" s="1">
        <v>11</v>
      </c>
      <c r="P45" s="1" t="s">
        <v>69</v>
      </c>
      <c r="Q45" s="1" t="s">
        <v>68</v>
      </c>
      <c r="R45" s="1" t="s">
        <v>59</v>
      </c>
    </row>
    <row r="46" spans="1:18">
      <c r="A46" s="7">
        <v>45</v>
      </c>
      <c r="B46" s="7">
        <v>681</v>
      </c>
      <c r="C46" s="56">
        <v>512</v>
      </c>
      <c r="D46" s="57">
        <v>512</v>
      </c>
      <c r="E46" s="57">
        <v>512</v>
      </c>
      <c r="F46" s="58">
        <v>768</v>
      </c>
      <c r="N46" s="1" t="s">
        <v>67</v>
      </c>
      <c r="O46" s="1">
        <v>11</v>
      </c>
      <c r="P46" s="1" t="s">
        <v>67</v>
      </c>
      <c r="Q46" s="1" t="s">
        <v>66</v>
      </c>
      <c r="R46" s="1" t="s">
        <v>59</v>
      </c>
    </row>
    <row r="47" spans="1:18">
      <c r="A47" s="7">
        <v>46</v>
      </c>
      <c r="B47" s="7">
        <v>703</v>
      </c>
      <c r="C47" s="56">
        <v>520</v>
      </c>
      <c r="D47" s="57">
        <v>520</v>
      </c>
      <c r="E47" s="57">
        <v>520</v>
      </c>
      <c r="F47" s="58">
        <v>780</v>
      </c>
      <c r="N47" s="1" t="s">
        <v>65</v>
      </c>
      <c r="O47" s="1">
        <v>11</v>
      </c>
      <c r="P47" s="1" t="s">
        <v>65</v>
      </c>
      <c r="Q47" s="1" t="s">
        <v>64</v>
      </c>
      <c r="R47" s="1" t="s">
        <v>59</v>
      </c>
    </row>
    <row r="48" spans="1:18">
      <c r="A48" s="7">
        <v>47</v>
      </c>
      <c r="B48" s="7">
        <v>725</v>
      </c>
      <c r="C48" s="56">
        <v>528</v>
      </c>
      <c r="D48" s="57">
        <v>528</v>
      </c>
      <c r="E48" s="57">
        <v>528</v>
      </c>
      <c r="F48" s="58">
        <v>792</v>
      </c>
      <c r="N48" s="1" t="s">
        <v>63</v>
      </c>
      <c r="O48" s="1">
        <v>11</v>
      </c>
      <c r="P48" s="1" t="s">
        <v>63</v>
      </c>
      <c r="Q48" s="1" t="s">
        <v>62</v>
      </c>
      <c r="R48" s="1" t="s">
        <v>59</v>
      </c>
    </row>
    <row r="49" spans="1:18">
      <c r="A49" s="7">
        <v>48</v>
      </c>
      <c r="B49" s="7">
        <v>748</v>
      </c>
      <c r="C49" s="56">
        <v>536</v>
      </c>
      <c r="D49" s="57">
        <v>536</v>
      </c>
      <c r="E49" s="57">
        <v>536</v>
      </c>
      <c r="F49" s="58">
        <v>804</v>
      </c>
      <c r="N49" s="1" t="s">
        <v>61</v>
      </c>
      <c r="O49" s="1">
        <v>11</v>
      </c>
      <c r="P49" s="1" t="s">
        <v>61</v>
      </c>
      <c r="Q49" s="1" t="s">
        <v>60</v>
      </c>
      <c r="R49" s="1" t="s">
        <v>59</v>
      </c>
    </row>
    <row r="50" spans="1:18">
      <c r="A50" s="7">
        <v>49</v>
      </c>
      <c r="B50" s="7">
        <v>772</v>
      </c>
      <c r="C50" s="56">
        <v>544</v>
      </c>
      <c r="D50" s="57">
        <v>544</v>
      </c>
      <c r="E50" s="57">
        <v>544</v>
      </c>
      <c r="F50" s="58">
        <v>816</v>
      </c>
    </row>
    <row r="51" spans="1:18">
      <c r="A51" s="7">
        <v>50</v>
      </c>
      <c r="B51" s="7">
        <v>796</v>
      </c>
      <c r="C51" s="56">
        <v>552</v>
      </c>
      <c r="D51" s="57">
        <v>552</v>
      </c>
      <c r="E51" s="57">
        <v>552</v>
      </c>
      <c r="F51" s="58">
        <v>828</v>
      </c>
    </row>
    <row r="52" spans="1:18">
      <c r="A52" s="7">
        <v>51</v>
      </c>
      <c r="B52" s="7">
        <v>820</v>
      </c>
      <c r="C52" s="56">
        <v>560</v>
      </c>
      <c r="D52" s="57">
        <v>560</v>
      </c>
      <c r="E52" s="57">
        <v>560</v>
      </c>
      <c r="F52" s="58">
        <v>840</v>
      </c>
    </row>
    <row r="53" spans="1:18">
      <c r="A53" s="7">
        <v>52</v>
      </c>
      <c r="B53" s="7">
        <v>844</v>
      </c>
      <c r="C53" s="56">
        <v>568</v>
      </c>
      <c r="D53" s="57">
        <v>568</v>
      </c>
      <c r="E53" s="57">
        <v>568</v>
      </c>
      <c r="F53" s="58">
        <v>852</v>
      </c>
    </row>
    <row r="54" spans="1:18">
      <c r="A54" s="7">
        <v>53</v>
      </c>
      <c r="B54" s="7">
        <v>869</v>
      </c>
      <c r="C54" s="56">
        <v>576</v>
      </c>
      <c r="D54" s="57">
        <v>576</v>
      </c>
      <c r="E54" s="57">
        <v>576</v>
      </c>
      <c r="F54" s="58">
        <v>864</v>
      </c>
    </row>
    <row r="55" spans="1:18">
      <c r="A55" s="7">
        <v>54</v>
      </c>
      <c r="B55" s="7">
        <v>895</v>
      </c>
      <c r="C55" s="56">
        <v>584</v>
      </c>
      <c r="D55" s="57">
        <v>584</v>
      </c>
      <c r="E55" s="57">
        <v>584</v>
      </c>
      <c r="F55" s="58">
        <v>876</v>
      </c>
    </row>
    <row r="56" spans="1:18">
      <c r="A56" s="7">
        <v>55</v>
      </c>
      <c r="B56" s="7">
        <v>921</v>
      </c>
      <c r="C56" s="56">
        <v>592</v>
      </c>
      <c r="D56" s="57">
        <v>592</v>
      </c>
      <c r="E56" s="57">
        <v>592</v>
      </c>
      <c r="F56" s="58">
        <v>888</v>
      </c>
    </row>
    <row r="57" spans="1:18">
      <c r="A57" s="7">
        <v>56</v>
      </c>
      <c r="B57" s="7">
        <v>947</v>
      </c>
      <c r="C57" s="56">
        <v>600</v>
      </c>
      <c r="D57" s="57">
        <v>600</v>
      </c>
      <c r="E57" s="57">
        <v>600</v>
      </c>
      <c r="F57" s="58">
        <v>900</v>
      </c>
    </row>
    <row r="58" spans="1:18">
      <c r="A58" s="7">
        <v>57</v>
      </c>
      <c r="B58" s="7">
        <v>973</v>
      </c>
      <c r="C58" s="56">
        <v>608</v>
      </c>
      <c r="D58" s="57">
        <v>608</v>
      </c>
      <c r="E58" s="57">
        <v>608</v>
      </c>
      <c r="F58" s="58">
        <v>912</v>
      </c>
    </row>
    <row r="59" spans="1:18">
      <c r="A59" s="7">
        <v>58</v>
      </c>
      <c r="B59" s="7">
        <v>1000</v>
      </c>
      <c r="C59" s="56">
        <v>616</v>
      </c>
      <c r="D59" s="57">
        <v>616</v>
      </c>
      <c r="E59" s="57">
        <v>616</v>
      </c>
      <c r="F59" s="58">
        <v>924</v>
      </c>
    </row>
    <row r="60" spans="1:18">
      <c r="A60" s="7">
        <v>59</v>
      </c>
      <c r="B60" s="7">
        <v>1028</v>
      </c>
      <c r="C60" s="56">
        <v>624</v>
      </c>
      <c r="D60" s="57">
        <v>624</v>
      </c>
      <c r="E60" s="57">
        <v>624</v>
      </c>
      <c r="F60" s="58">
        <v>936</v>
      </c>
    </row>
    <row r="61" spans="1:18">
      <c r="A61" s="7">
        <v>60</v>
      </c>
      <c r="B61" s="7">
        <v>1056</v>
      </c>
      <c r="C61" s="56">
        <v>632</v>
      </c>
      <c r="D61" s="57">
        <v>632</v>
      </c>
      <c r="E61" s="57">
        <v>632</v>
      </c>
      <c r="F61" s="58">
        <v>948</v>
      </c>
    </row>
    <row r="62" spans="1:18">
      <c r="A62" s="7">
        <v>61</v>
      </c>
      <c r="B62" s="7">
        <v>1075</v>
      </c>
      <c r="C62" s="56">
        <v>640</v>
      </c>
      <c r="D62" s="57">
        <v>640</v>
      </c>
      <c r="E62" s="57">
        <v>640</v>
      </c>
      <c r="F62" s="58">
        <v>960</v>
      </c>
    </row>
    <row r="63" spans="1:18">
      <c r="A63" s="7">
        <v>62</v>
      </c>
      <c r="B63" s="7">
        <v>1100</v>
      </c>
      <c r="C63" s="56">
        <v>648</v>
      </c>
      <c r="D63" s="57">
        <v>648</v>
      </c>
      <c r="E63" s="57">
        <v>648</v>
      </c>
      <c r="F63" s="58">
        <v>972</v>
      </c>
    </row>
    <row r="64" spans="1:18">
      <c r="A64" s="7">
        <v>63</v>
      </c>
      <c r="B64" s="7">
        <v>1125</v>
      </c>
      <c r="C64" s="56">
        <v>656</v>
      </c>
      <c r="D64" s="57">
        <v>656</v>
      </c>
      <c r="E64" s="57">
        <v>656</v>
      </c>
      <c r="F64" s="58">
        <v>984</v>
      </c>
    </row>
    <row r="65" spans="1:6">
      <c r="A65" s="7">
        <v>64</v>
      </c>
      <c r="B65" s="7">
        <v>1150</v>
      </c>
      <c r="C65" s="56">
        <v>664</v>
      </c>
      <c r="D65" s="57">
        <v>664</v>
      </c>
      <c r="E65" s="57">
        <v>664</v>
      </c>
      <c r="F65" s="58">
        <v>996</v>
      </c>
    </row>
    <row r="66" spans="1:6">
      <c r="A66" s="7">
        <v>65</v>
      </c>
      <c r="B66" s="7">
        <v>1175</v>
      </c>
      <c r="C66" s="56">
        <v>672</v>
      </c>
      <c r="D66" s="57">
        <v>672</v>
      </c>
      <c r="E66" s="57">
        <v>672</v>
      </c>
      <c r="F66" s="58">
        <v>1008</v>
      </c>
    </row>
    <row r="67" spans="1:6">
      <c r="A67" s="7">
        <v>66</v>
      </c>
      <c r="B67" s="7">
        <v>1200</v>
      </c>
      <c r="C67" s="56">
        <v>680</v>
      </c>
      <c r="D67" s="57">
        <v>680</v>
      </c>
      <c r="E67" s="57">
        <v>680</v>
      </c>
      <c r="F67" s="58">
        <v>1020</v>
      </c>
    </row>
    <row r="68" spans="1:6">
      <c r="A68" s="7">
        <v>67</v>
      </c>
      <c r="B68" s="7">
        <v>1225</v>
      </c>
      <c r="C68" s="56">
        <v>688</v>
      </c>
      <c r="D68" s="57">
        <v>688</v>
      </c>
      <c r="E68" s="57">
        <v>688</v>
      </c>
      <c r="F68" s="58">
        <v>1032</v>
      </c>
    </row>
    <row r="69" spans="1:6">
      <c r="A69" s="7">
        <v>68</v>
      </c>
      <c r="B69" s="7">
        <v>1250</v>
      </c>
      <c r="C69" s="56">
        <v>696</v>
      </c>
      <c r="D69" s="57">
        <v>696</v>
      </c>
      <c r="E69" s="57">
        <v>696</v>
      </c>
      <c r="F69" s="58">
        <v>1044</v>
      </c>
    </row>
    <row r="70" spans="1:6">
      <c r="A70" s="7">
        <v>69</v>
      </c>
      <c r="B70" s="7">
        <v>1275</v>
      </c>
      <c r="C70" s="56">
        <v>704</v>
      </c>
      <c r="D70" s="57">
        <v>704</v>
      </c>
      <c r="E70" s="57">
        <v>704</v>
      </c>
      <c r="F70" s="58">
        <v>1056</v>
      </c>
    </row>
    <row r="71" spans="1:6">
      <c r="A71" s="7">
        <v>70</v>
      </c>
      <c r="B71" s="7">
        <v>1300</v>
      </c>
      <c r="C71" s="56">
        <v>712</v>
      </c>
      <c r="D71" s="57">
        <v>712</v>
      </c>
      <c r="E71" s="57">
        <v>712</v>
      </c>
      <c r="F71" s="58">
        <v>1068</v>
      </c>
    </row>
    <row r="72" spans="1:6">
      <c r="A72" s="7">
        <v>71</v>
      </c>
      <c r="B72" s="7">
        <v>1325</v>
      </c>
      <c r="C72" s="56">
        <v>720</v>
      </c>
      <c r="D72" s="57">
        <v>720</v>
      </c>
      <c r="E72" s="57">
        <v>720</v>
      </c>
      <c r="F72" s="58">
        <v>1080</v>
      </c>
    </row>
    <row r="73" spans="1:6">
      <c r="A73" s="7">
        <v>72</v>
      </c>
      <c r="B73" s="7">
        <v>1350</v>
      </c>
      <c r="C73" s="56">
        <v>728</v>
      </c>
      <c r="D73" s="57">
        <v>728</v>
      </c>
      <c r="E73" s="57">
        <v>728</v>
      </c>
      <c r="F73" s="58">
        <v>1092</v>
      </c>
    </row>
    <row r="74" spans="1:6">
      <c r="A74" s="7">
        <v>73</v>
      </c>
      <c r="B74" s="7">
        <v>1375</v>
      </c>
      <c r="C74" s="56">
        <v>736</v>
      </c>
      <c r="D74" s="57">
        <v>736</v>
      </c>
      <c r="E74" s="57">
        <v>736</v>
      </c>
      <c r="F74" s="58">
        <v>1104</v>
      </c>
    </row>
    <row r="75" spans="1:6">
      <c r="A75" s="7">
        <v>74</v>
      </c>
      <c r="B75" s="7">
        <v>1400</v>
      </c>
      <c r="C75" s="56">
        <v>744</v>
      </c>
      <c r="D75" s="57">
        <v>744</v>
      </c>
      <c r="E75" s="57">
        <v>744</v>
      </c>
      <c r="F75" s="58">
        <v>1116</v>
      </c>
    </row>
    <row r="76" spans="1:6">
      <c r="A76" s="7">
        <v>75</v>
      </c>
      <c r="B76" s="7">
        <v>1425</v>
      </c>
      <c r="C76" s="56">
        <v>752</v>
      </c>
      <c r="D76" s="57">
        <v>752</v>
      </c>
      <c r="E76" s="57">
        <v>752</v>
      </c>
      <c r="F76" s="58">
        <v>1128</v>
      </c>
    </row>
    <row r="77" spans="1:6">
      <c r="A77" s="7">
        <v>76</v>
      </c>
      <c r="B77" s="7">
        <v>1450</v>
      </c>
      <c r="C77" s="56">
        <v>760</v>
      </c>
      <c r="D77" s="57">
        <v>760</v>
      </c>
      <c r="E77" s="57">
        <v>760</v>
      </c>
      <c r="F77" s="58">
        <v>1140</v>
      </c>
    </row>
    <row r="78" spans="1:6">
      <c r="A78" s="7">
        <v>77</v>
      </c>
      <c r="B78" s="7">
        <v>1475</v>
      </c>
      <c r="C78" s="56">
        <v>768</v>
      </c>
      <c r="D78" s="57">
        <v>768</v>
      </c>
      <c r="E78" s="57">
        <v>768</v>
      </c>
      <c r="F78" s="58">
        <v>1152</v>
      </c>
    </row>
    <row r="79" spans="1:6">
      <c r="A79" s="7">
        <v>78</v>
      </c>
      <c r="B79" s="7">
        <v>1500</v>
      </c>
      <c r="C79" s="56">
        <v>776</v>
      </c>
      <c r="D79" s="57">
        <v>776</v>
      </c>
      <c r="E79" s="57">
        <v>776</v>
      </c>
      <c r="F79" s="58">
        <v>1164</v>
      </c>
    </row>
    <row r="80" spans="1:6">
      <c r="A80" s="7">
        <v>79</v>
      </c>
      <c r="B80" s="7">
        <v>1525</v>
      </c>
      <c r="C80" s="56">
        <v>784</v>
      </c>
      <c r="D80" s="57">
        <v>784</v>
      </c>
      <c r="E80" s="57">
        <v>784</v>
      </c>
      <c r="F80" s="58">
        <v>1176</v>
      </c>
    </row>
    <row r="81" spans="1:6">
      <c r="A81" s="7">
        <v>80</v>
      </c>
      <c r="B81" s="7">
        <v>1550</v>
      </c>
      <c r="C81" s="59">
        <v>792</v>
      </c>
      <c r="D81" s="60">
        <v>792</v>
      </c>
      <c r="E81" s="60">
        <v>792</v>
      </c>
      <c r="F81" s="61">
        <v>1188</v>
      </c>
    </row>
    <row r="82" spans="1:6">
      <c r="A82" s="7">
        <v>81</v>
      </c>
      <c r="B82" s="7">
        <v>1575</v>
      </c>
      <c r="C82" s="7">
        <v>800</v>
      </c>
      <c r="D82" s="68">
        <v>800</v>
      </c>
      <c r="E82" s="68">
        <v>800</v>
      </c>
      <c r="F82" s="68">
        <v>1200</v>
      </c>
    </row>
    <row r="83" spans="1:6">
      <c r="A83" s="7">
        <v>82</v>
      </c>
      <c r="B83" s="7">
        <v>1600</v>
      </c>
      <c r="C83" s="7">
        <v>808</v>
      </c>
      <c r="D83" s="68">
        <v>808</v>
      </c>
      <c r="E83" s="68">
        <v>808</v>
      </c>
      <c r="F83" s="68">
        <v>1212</v>
      </c>
    </row>
    <row r="84" spans="1:6">
      <c r="A84" s="7">
        <v>83</v>
      </c>
      <c r="B84" s="7">
        <v>1625</v>
      </c>
      <c r="C84" s="7">
        <v>816</v>
      </c>
      <c r="D84" s="68">
        <v>816</v>
      </c>
      <c r="E84" s="68">
        <v>816</v>
      </c>
      <c r="F84" s="68">
        <v>1224</v>
      </c>
    </row>
    <row r="85" spans="1:6">
      <c r="A85" s="7">
        <v>84</v>
      </c>
      <c r="B85" s="7">
        <v>1650</v>
      </c>
      <c r="C85" s="7">
        <v>824</v>
      </c>
      <c r="D85" s="68">
        <v>824</v>
      </c>
      <c r="E85" s="68">
        <v>824</v>
      </c>
      <c r="F85" s="68">
        <v>1236</v>
      </c>
    </row>
    <row r="86" spans="1:6">
      <c r="A86" s="7">
        <v>85</v>
      </c>
      <c r="B86" s="7">
        <v>1675</v>
      </c>
      <c r="C86" s="7">
        <v>832</v>
      </c>
      <c r="D86" s="68">
        <v>832</v>
      </c>
      <c r="E86" s="68">
        <v>832</v>
      </c>
      <c r="F86" s="68">
        <v>1248</v>
      </c>
    </row>
    <row r="87" spans="1:6">
      <c r="A87" s="7">
        <v>86</v>
      </c>
      <c r="B87" s="7">
        <v>1700</v>
      </c>
      <c r="C87" s="7">
        <v>840</v>
      </c>
      <c r="D87" s="68">
        <v>840</v>
      </c>
      <c r="E87" s="68">
        <v>840</v>
      </c>
      <c r="F87" s="68">
        <v>1260</v>
      </c>
    </row>
    <row r="88" spans="1:6">
      <c r="A88" s="7">
        <v>87</v>
      </c>
      <c r="B88" s="7">
        <v>1725</v>
      </c>
      <c r="C88" s="7">
        <v>848</v>
      </c>
      <c r="D88" s="68">
        <v>848</v>
      </c>
      <c r="E88" s="68">
        <v>848</v>
      </c>
      <c r="F88" s="68">
        <v>1272</v>
      </c>
    </row>
    <row r="89" spans="1:6">
      <c r="A89" s="7">
        <v>88</v>
      </c>
      <c r="B89" s="7">
        <v>1750</v>
      </c>
      <c r="C89" s="7">
        <v>856</v>
      </c>
      <c r="D89" s="68">
        <v>856</v>
      </c>
      <c r="E89" s="68">
        <v>856</v>
      </c>
      <c r="F89" s="68">
        <v>1284</v>
      </c>
    </row>
    <row r="90" spans="1:6">
      <c r="A90" s="7">
        <v>89</v>
      </c>
      <c r="B90" s="7">
        <v>1775</v>
      </c>
      <c r="C90" s="7">
        <v>864</v>
      </c>
      <c r="D90" s="68">
        <v>864</v>
      </c>
      <c r="E90" s="68">
        <v>864</v>
      </c>
      <c r="F90" s="68">
        <v>1296</v>
      </c>
    </row>
    <row r="91" spans="1:6">
      <c r="A91" s="7">
        <v>90</v>
      </c>
      <c r="B91" s="7">
        <v>1800</v>
      </c>
      <c r="C91" s="7">
        <v>872</v>
      </c>
      <c r="D91" s="68">
        <v>872</v>
      </c>
      <c r="E91" s="68">
        <v>872</v>
      </c>
      <c r="F91" s="68">
        <v>1308</v>
      </c>
    </row>
    <row r="92" spans="1:6">
      <c r="A92" s="7">
        <v>91</v>
      </c>
      <c r="B92" s="7">
        <v>1825</v>
      </c>
      <c r="C92" s="7">
        <v>880</v>
      </c>
      <c r="D92" s="68">
        <v>880</v>
      </c>
      <c r="E92" s="68">
        <v>880</v>
      </c>
      <c r="F92" s="68">
        <v>1320</v>
      </c>
    </row>
    <row r="93" spans="1:6">
      <c r="A93" s="7">
        <v>92</v>
      </c>
      <c r="B93" s="7">
        <v>1850</v>
      </c>
      <c r="C93" s="7">
        <v>888</v>
      </c>
      <c r="D93" s="68">
        <v>888</v>
      </c>
      <c r="E93" s="68">
        <v>888</v>
      </c>
      <c r="F93" s="68">
        <v>1332</v>
      </c>
    </row>
    <row r="94" spans="1:6">
      <c r="A94" s="7">
        <v>93</v>
      </c>
      <c r="B94" s="7">
        <v>1875</v>
      </c>
      <c r="C94" s="7">
        <v>896</v>
      </c>
      <c r="D94" s="68">
        <v>896</v>
      </c>
      <c r="E94" s="68">
        <v>896</v>
      </c>
      <c r="F94" s="68">
        <v>1344</v>
      </c>
    </row>
    <row r="95" spans="1:6">
      <c r="A95" s="7">
        <v>94</v>
      </c>
      <c r="B95" s="7">
        <v>1900</v>
      </c>
      <c r="C95" s="7">
        <v>904</v>
      </c>
      <c r="D95" s="68">
        <v>904</v>
      </c>
      <c r="E95" s="68">
        <v>904</v>
      </c>
      <c r="F95" s="68">
        <v>1356</v>
      </c>
    </row>
    <row r="96" spans="1:6">
      <c r="A96" s="7">
        <v>95</v>
      </c>
      <c r="B96" s="7">
        <v>1925</v>
      </c>
      <c r="C96" s="7">
        <v>912</v>
      </c>
      <c r="D96" s="68">
        <v>912</v>
      </c>
      <c r="E96" s="68">
        <v>912</v>
      </c>
      <c r="F96" s="68">
        <v>1368</v>
      </c>
    </row>
    <row r="97" spans="1:6">
      <c r="A97" s="7">
        <v>96</v>
      </c>
      <c r="B97" s="7">
        <v>1950</v>
      </c>
      <c r="C97" s="7">
        <v>920</v>
      </c>
      <c r="D97" s="68">
        <v>920</v>
      </c>
      <c r="E97" s="68">
        <v>920</v>
      </c>
      <c r="F97" s="68">
        <v>1380</v>
      </c>
    </row>
    <row r="98" spans="1:6">
      <c r="A98" s="7">
        <v>97</v>
      </c>
      <c r="B98" s="7">
        <v>1975</v>
      </c>
      <c r="C98" s="7">
        <v>928</v>
      </c>
      <c r="D98" s="68">
        <v>928</v>
      </c>
      <c r="E98" s="68">
        <v>928</v>
      </c>
      <c r="F98" s="68">
        <v>1392</v>
      </c>
    </row>
    <row r="99" spans="1:6">
      <c r="A99" s="7">
        <v>98</v>
      </c>
      <c r="B99" s="7">
        <v>2000</v>
      </c>
      <c r="C99" s="7">
        <v>936</v>
      </c>
      <c r="D99" s="68">
        <v>936</v>
      </c>
      <c r="E99" s="68">
        <v>936</v>
      </c>
      <c r="F99" s="68">
        <v>1404</v>
      </c>
    </row>
    <row r="100" spans="1:6">
      <c r="A100" s="7">
        <v>99</v>
      </c>
      <c r="B100" s="7">
        <v>2025</v>
      </c>
      <c r="C100" s="7">
        <v>944</v>
      </c>
      <c r="D100" s="68">
        <v>944</v>
      </c>
      <c r="E100" s="68">
        <v>944</v>
      </c>
      <c r="F100" s="68">
        <v>1416</v>
      </c>
    </row>
    <row r="101" spans="1:6">
      <c r="A101" s="7">
        <v>100</v>
      </c>
      <c r="B101" s="7">
        <v>2050</v>
      </c>
      <c r="C101" s="7">
        <v>952</v>
      </c>
      <c r="D101" s="68">
        <v>952</v>
      </c>
      <c r="E101" s="68">
        <v>952</v>
      </c>
      <c r="F101" s="68">
        <v>1428</v>
      </c>
    </row>
  </sheetData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6"/>
  <sheetViews>
    <sheetView workbookViewId="0">
      <selection activeCell="C14" sqref="C14"/>
    </sheetView>
  </sheetViews>
  <sheetFormatPr defaultRowHeight="20.100000000000001" customHeight="1"/>
  <cols>
    <col min="1" max="1" width="20.75" style="71" customWidth="1"/>
    <col min="2" max="2" width="17" style="71" customWidth="1"/>
    <col min="3" max="3" width="33.5" style="71" customWidth="1"/>
    <col min="4" max="4" width="30.375" style="71" customWidth="1"/>
    <col min="5" max="16384" width="9" style="71"/>
  </cols>
  <sheetData>
    <row r="1" spans="1:4" ht="20.100000000000001" customHeight="1">
      <c r="A1" s="70" t="s">
        <v>205</v>
      </c>
      <c r="B1" s="70" t="s">
        <v>206</v>
      </c>
      <c r="C1" s="70" t="s">
        <v>207</v>
      </c>
      <c r="D1" s="70" t="s">
        <v>208</v>
      </c>
    </row>
    <row r="2" spans="1:4" ht="20.100000000000001" customHeight="1">
      <c r="A2" s="72" t="s">
        <v>164</v>
      </c>
      <c r="B2" s="69" t="s">
        <v>169</v>
      </c>
      <c r="C2" s="69"/>
      <c r="D2" s="69"/>
    </row>
    <row r="3" spans="1:4" ht="20.100000000000001" customHeight="1">
      <c r="A3" s="72" t="s">
        <v>165</v>
      </c>
      <c r="B3" s="69" t="s">
        <v>209</v>
      </c>
      <c r="C3" s="69"/>
      <c r="D3" s="69"/>
    </row>
    <row r="4" spans="1:4" ht="20.100000000000001" customHeight="1">
      <c r="A4" s="72" t="s">
        <v>166</v>
      </c>
      <c r="B4" s="69" t="s">
        <v>211</v>
      </c>
      <c r="C4" s="78" t="s">
        <v>214</v>
      </c>
      <c r="D4" s="79" t="s">
        <v>213</v>
      </c>
    </row>
    <row r="5" spans="1:4" ht="20.100000000000001" customHeight="1">
      <c r="A5" s="72" t="s">
        <v>167</v>
      </c>
      <c r="B5" s="69" t="s">
        <v>212</v>
      </c>
      <c r="C5" s="78"/>
      <c r="D5" s="80"/>
    </row>
    <row r="6" spans="1:4" ht="45" customHeight="1">
      <c r="A6" s="72" t="s">
        <v>168</v>
      </c>
      <c r="B6" s="69" t="s">
        <v>210</v>
      </c>
      <c r="C6" s="69" t="s">
        <v>215</v>
      </c>
      <c r="D6" s="69"/>
    </row>
  </sheetData>
  <mergeCells count="2">
    <mergeCell ref="C4:C5"/>
    <mergeCell ref="D4:D5"/>
  </mergeCells>
  <phoneticPr fontId="1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5"/>
  <sheetViews>
    <sheetView topLeftCell="A45" workbookViewId="0">
      <selection activeCell="G4" sqref="G4:G205"/>
    </sheetView>
  </sheetViews>
  <sheetFormatPr defaultRowHeight="13.5"/>
  <cols>
    <col min="2" max="2" width="27.5" customWidth="1"/>
    <col min="5" max="5" width="11.125" customWidth="1"/>
    <col min="7" max="7" width="12" customWidth="1"/>
  </cols>
  <sheetData>
    <row r="1" spans="1:7">
      <c r="A1" t="s">
        <v>216</v>
      </c>
      <c r="B1" t="s">
        <v>217</v>
      </c>
      <c r="C1" t="s">
        <v>218</v>
      </c>
      <c r="D1" t="s">
        <v>219</v>
      </c>
      <c r="E1" t="s">
        <v>220</v>
      </c>
    </row>
    <row r="2" spans="1:7">
      <c r="A2" t="s">
        <v>221</v>
      </c>
      <c r="B2" t="s">
        <v>221</v>
      </c>
      <c r="C2" t="s">
        <v>221</v>
      </c>
      <c r="D2" t="s">
        <v>221</v>
      </c>
      <c r="E2" t="s">
        <v>221</v>
      </c>
    </row>
    <row r="3" spans="1:7">
      <c r="A3">
        <v>0</v>
      </c>
      <c r="B3">
        <v>0</v>
      </c>
      <c r="C3">
        <v>0</v>
      </c>
      <c r="D3">
        <v>0</v>
      </c>
      <c r="E3">
        <v>0</v>
      </c>
    </row>
    <row r="4" spans="1:7">
      <c r="A4">
        <v>1001</v>
      </c>
      <c r="B4" t="s">
        <v>416</v>
      </c>
      <c r="C4">
        <v>2010</v>
      </c>
      <c r="D4">
        <v>2010</v>
      </c>
      <c r="E4">
        <v>50742242</v>
      </c>
      <c r="F4">
        <v>1</v>
      </c>
      <c r="G4">
        <f>ROUND(E4/F4,0)</f>
        <v>50742242</v>
      </c>
    </row>
    <row r="5" spans="1:7">
      <c r="A5">
        <v>1001</v>
      </c>
      <c r="B5" t="s">
        <v>417</v>
      </c>
      <c r="C5">
        <v>2020</v>
      </c>
      <c r="D5">
        <v>2020</v>
      </c>
      <c r="E5">
        <v>3382807</v>
      </c>
      <c r="F5">
        <v>1.4</v>
      </c>
      <c r="G5">
        <f t="shared" ref="G5:G68" si="0">ROUND(E5/F5,0)</f>
        <v>2416291</v>
      </c>
    </row>
    <row r="6" spans="1:7">
      <c r="A6">
        <v>1001</v>
      </c>
      <c r="B6" t="s">
        <v>224</v>
      </c>
      <c r="C6">
        <v>2030</v>
      </c>
      <c r="D6">
        <v>2030</v>
      </c>
      <c r="E6">
        <v>225520</v>
      </c>
      <c r="F6">
        <v>1.9</v>
      </c>
      <c r="G6">
        <f t="shared" si="0"/>
        <v>118695</v>
      </c>
    </row>
    <row r="7" spans="1:7">
      <c r="A7">
        <v>1001</v>
      </c>
      <c r="B7" t="s">
        <v>225</v>
      </c>
      <c r="C7">
        <v>2040</v>
      </c>
      <c r="D7">
        <v>2040</v>
      </c>
      <c r="E7">
        <v>15032</v>
      </c>
      <c r="F7">
        <v>2.5</v>
      </c>
      <c r="G7">
        <f t="shared" si="0"/>
        <v>6013</v>
      </c>
    </row>
    <row r="8" spans="1:7">
      <c r="A8">
        <v>1001</v>
      </c>
      <c r="B8" t="s">
        <v>226</v>
      </c>
      <c r="C8">
        <v>2050</v>
      </c>
      <c r="D8">
        <v>2050</v>
      </c>
      <c r="E8">
        <v>1001</v>
      </c>
      <c r="F8">
        <v>3.2</v>
      </c>
      <c r="G8">
        <f t="shared" si="0"/>
        <v>313</v>
      </c>
    </row>
    <row r="9" spans="1:7">
      <c r="A9">
        <v>1001</v>
      </c>
      <c r="B9" t="s">
        <v>227</v>
      </c>
      <c r="C9">
        <v>2060</v>
      </c>
      <c r="D9">
        <v>2060</v>
      </c>
      <c r="E9">
        <v>67</v>
      </c>
      <c r="F9">
        <v>4</v>
      </c>
      <c r="G9">
        <f t="shared" si="0"/>
        <v>17</v>
      </c>
    </row>
    <row r="10" spans="1:7">
      <c r="A10">
        <v>1002</v>
      </c>
      <c r="B10" t="s">
        <v>228</v>
      </c>
      <c r="C10">
        <v>4010</v>
      </c>
      <c r="D10">
        <v>4010</v>
      </c>
      <c r="E10">
        <v>50742242</v>
      </c>
      <c r="F10">
        <v>1</v>
      </c>
      <c r="G10">
        <f t="shared" si="0"/>
        <v>50742242</v>
      </c>
    </row>
    <row r="11" spans="1:7">
      <c r="A11">
        <v>1002</v>
      </c>
      <c r="B11" t="s">
        <v>229</v>
      </c>
      <c r="C11">
        <v>4020</v>
      </c>
      <c r="D11">
        <v>4020</v>
      </c>
      <c r="E11">
        <v>3382807</v>
      </c>
      <c r="F11">
        <v>1.4</v>
      </c>
      <c r="G11">
        <f t="shared" si="0"/>
        <v>2416291</v>
      </c>
    </row>
    <row r="12" spans="1:7">
      <c r="A12">
        <v>1002</v>
      </c>
      <c r="B12" t="s">
        <v>230</v>
      </c>
      <c r="C12">
        <v>4030</v>
      </c>
      <c r="D12">
        <v>4030</v>
      </c>
      <c r="E12">
        <v>225520</v>
      </c>
      <c r="F12">
        <v>1.9</v>
      </c>
      <c r="G12">
        <f t="shared" si="0"/>
        <v>118695</v>
      </c>
    </row>
    <row r="13" spans="1:7">
      <c r="A13">
        <v>1002</v>
      </c>
      <c r="B13" t="s">
        <v>231</v>
      </c>
      <c r="C13">
        <v>4040</v>
      </c>
      <c r="D13">
        <v>4040</v>
      </c>
      <c r="E13">
        <v>15032</v>
      </c>
      <c r="F13">
        <v>2.5</v>
      </c>
      <c r="G13">
        <f t="shared" si="0"/>
        <v>6013</v>
      </c>
    </row>
    <row r="14" spans="1:7">
      <c r="A14">
        <v>1002</v>
      </c>
      <c r="B14" t="s">
        <v>232</v>
      </c>
      <c r="C14">
        <v>4050</v>
      </c>
      <c r="D14">
        <v>4050</v>
      </c>
      <c r="E14">
        <v>1001</v>
      </c>
      <c r="F14">
        <v>3.2</v>
      </c>
      <c r="G14">
        <f t="shared" si="0"/>
        <v>313</v>
      </c>
    </row>
    <row r="15" spans="1:7">
      <c r="A15">
        <v>1002</v>
      </c>
      <c r="B15" t="s">
        <v>233</v>
      </c>
      <c r="C15">
        <v>4060</v>
      </c>
      <c r="D15">
        <v>4060</v>
      </c>
      <c r="E15">
        <v>67</v>
      </c>
      <c r="F15">
        <v>4</v>
      </c>
      <c r="G15">
        <f t="shared" si="0"/>
        <v>17</v>
      </c>
    </row>
    <row r="16" spans="1:7">
      <c r="A16">
        <v>1003</v>
      </c>
      <c r="B16" t="s">
        <v>234</v>
      </c>
      <c r="C16">
        <v>6010</v>
      </c>
      <c r="D16">
        <v>6010</v>
      </c>
      <c r="E16">
        <v>50742242</v>
      </c>
      <c r="F16">
        <v>1</v>
      </c>
      <c r="G16">
        <f t="shared" si="0"/>
        <v>50742242</v>
      </c>
    </row>
    <row r="17" spans="1:7">
      <c r="A17">
        <v>1003</v>
      </c>
      <c r="B17" t="s">
        <v>235</v>
      </c>
      <c r="C17">
        <v>6020</v>
      </c>
      <c r="D17">
        <v>6020</v>
      </c>
      <c r="E17">
        <v>3382807</v>
      </c>
      <c r="F17">
        <v>1.4</v>
      </c>
      <c r="G17">
        <f t="shared" si="0"/>
        <v>2416291</v>
      </c>
    </row>
    <row r="18" spans="1:7">
      <c r="A18">
        <v>1003</v>
      </c>
      <c r="B18" t="s">
        <v>236</v>
      </c>
      <c r="C18">
        <v>6030</v>
      </c>
      <c r="D18">
        <v>6030</v>
      </c>
      <c r="E18">
        <v>225520</v>
      </c>
      <c r="F18">
        <v>1.9</v>
      </c>
      <c r="G18">
        <f t="shared" si="0"/>
        <v>118695</v>
      </c>
    </row>
    <row r="19" spans="1:7">
      <c r="A19">
        <v>1003</v>
      </c>
      <c r="B19" t="s">
        <v>237</v>
      </c>
      <c r="C19">
        <v>6040</v>
      </c>
      <c r="D19">
        <v>6040</v>
      </c>
      <c r="E19">
        <v>15032</v>
      </c>
      <c r="F19">
        <v>2.5</v>
      </c>
      <c r="G19">
        <f t="shared" si="0"/>
        <v>6013</v>
      </c>
    </row>
    <row r="20" spans="1:7">
      <c r="A20">
        <v>1003</v>
      </c>
      <c r="B20" t="s">
        <v>238</v>
      </c>
      <c r="C20">
        <v>6050</v>
      </c>
      <c r="D20">
        <v>6050</v>
      </c>
      <c r="E20">
        <v>1001</v>
      </c>
      <c r="F20">
        <v>3.2</v>
      </c>
      <c r="G20">
        <f t="shared" si="0"/>
        <v>313</v>
      </c>
    </row>
    <row r="21" spans="1:7">
      <c r="A21">
        <v>1003</v>
      </c>
      <c r="B21" t="s">
        <v>239</v>
      </c>
      <c r="C21">
        <v>6060</v>
      </c>
      <c r="D21">
        <v>6060</v>
      </c>
      <c r="E21">
        <v>67</v>
      </c>
      <c r="F21">
        <v>4</v>
      </c>
      <c r="G21">
        <f t="shared" si="0"/>
        <v>17</v>
      </c>
    </row>
    <row r="22" spans="1:7">
      <c r="A22">
        <v>1004</v>
      </c>
      <c r="B22" t="s">
        <v>240</v>
      </c>
      <c r="C22">
        <v>21001</v>
      </c>
      <c r="D22">
        <v>21001</v>
      </c>
      <c r="E22">
        <v>50742242</v>
      </c>
      <c r="F22">
        <v>1</v>
      </c>
      <c r="G22">
        <f t="shared" si="0"/>
        <v>50742242</v>
      </c>
    </row>
    <row r="23" spans="1:7">
      <c r="A23">
        <v>1004</v>
      </c>
      <c r="B23" t="s">
        <v>241</v>
      </c>
      <c r="C23">
        <v>21011</v>
      </c>
      <c r="D23">
        <v>21011</v>
      </c>
      <c r="E23">
        <v>3382807</v>
      </c>
      <c r="F23">
        <v>1.4</v>
      </c>
      <c r="G23">
        <f t="shared" si="0"/>
        <v>2416291</v>
      </c>
    </row>
    <row r="24" spans="1:7">
      <c r="A24">
        <v>1004</v>
      </c>
      <c r="B24" t="s">
        <v>242</v>
      </c>
      <c r="C24">
        <v>21021</v>
      </c>
      <c r="D24">
        <v>21021</v>
      </c>
      <c r="E24">
        <v>225520</v>
      </c>
      <c r="F24">
        <v>1.9</v>
      </c>
      <c r="G24">
        <f t="shared" si="0"/>
        <v>118695</v>
      </c>
    </row>
    <row r="25" spans="1:7">
      <c r="A25">
        <v>1004</v>
      </c>
      <c r="B25" t="s">
        <v>243</v>
      </c>
      <c r="C25">
        <v>21031</v>
      </c>
      <c r="D25">
        <v>21031</v>
      </c>
      <c r="E25">
        <v>15032</v>
      </c>
      <c r="F25">
        <v>2.5</v>
      </c>
      <c r="G25">
        <f t="shared" si="0"/>
        <v>6013</v>
      </c>
    </row>
    <row r="26" spans="1:7">
      <c r="A26">
        <v>1004</v>
      </c>
      <c r="B26" t="s">
        <v>244</v>
      </c>
      <c r="C26">
        <v>21041</v>
      </c>
      <c r="D26">
        <v>21041</v>
      </c>
      <c r="E26">
        <v>1001</v>
      </c>
      <c r="F26">
        <v>3.2</v>
      </c>
      <c r="G26">
        <f t="shared" si="0"/>
        <v>313</v>
      </c>
    </row>
    <row r="27" spans="1:7">
      <c r="A27">
        <v>1004</v>
      </c>
      <c r="B27" t="s">
        <v>245</v>
      </c>
      <c r="C27">
        <v>21051</v>
      </c>
      <c r="D27">
        <v>21051</v>
      </c>
      <c r="E27">
        <v>67</v>
      </c>
      <c r="F27">
        <v>4</v>
      </c>
      <c r="G27">
        <f t="shared" si="0"/>
        <v>17</v>
      </c>
    </row>
    <row r="28" spans="1:7">
      <c r="A28">
        <v>1009</v>
      </c>
      <c r="B28" t="s">
        <v>418</v>
      </c>
      <c r="C28">
        <v>32001</v>
      </c>
      <c r="D28">
        <v>32001</v>
      </c>
      <c r="E28">
        <v>1</v>
      </c>
      <c r="F28">
        <v>1</v>
      </c>
      <c r="G28">
        <f t="shared" si="0"/>
        <v>1</v>
      </c>
    </row>
    <row r="29" spans="1:7">
      <c r="A29">
        <v>1009</v>
      </c>
      <c r="B29" t="s">
        <v>418</v>
      </c>
      <c r="C29">
        <v>32001</v>
      </c>
      <c r="D29">
        <v>32001</v>
      </c>
      <c r="E29">
        <v>1</v>
      </c>
      <c r="F29">
        <v>1</v>
      </c>
      <c r="G29">
        <f t="shared" si="0"/>
        <v>1</v>
      </c>
    </row>
    <row r="30" spans="1:7">
      <c r="A30">
        <v>2001</v>
      </c>
      <c r="B30" t="s">
        <v>419</v>
      </c>
      <c r="C30">
        <v>8010</v>
      </c>
      <c r="D30">
        <v>8010</v>
      </c>
      <c r="E30">
        <v>49858671</v>
      </c>
      <c r="F30">
        <v>1</v>
      </c>
      <c r="G30">
        <f t="shared" si="0"/>
        <v>49858671</v>
      </c>
    </row>
    <row r="31" spans="1:7">
      <c r="A31">
        <v>2001</v>
      </c>
      <c r="B31" t="s">
        <v>420</v>
      </c>
      <c r="C31">
        <v>8020</v>
      </c>
      <c r="D31">
        <v>8020</v>
      </c>
      <c r="E31">
        <v>3323902</v>
      </c>
      <c r="F31">
        <v>1.4</v>
      </c>
      <c r="G31">
        <f t="shared" si="0"/>
        <v>2374216</v>
      </c>
    </row>
    <row r="32" spans="1:7">
      <c r="A32">
        <v>2001</v>
      </c>
      <c r="B32" t="s">
        <v>421</v>
      </c>
      <c r="C32">
        <v>8030</v>
      </c>
      <c r="D32">
        <v>8030</v>
      </c>
      <c r="E32">
        <v>221593</v>
      </c>
      <c r="F32">
        <v>1.9</v>
      </c>
      <c r="G32">
        <f t="shared" si="0"/>
        <v>116628</v>
      </c>
    </row>
    <row r="33" spans="1:7">
      <c r="A33">
        <v>2001</v>
      </c>
      <c r="B33" t="s">
        <v>264</v>
      </c>
      <c r="C33">
        <v>8040</v>
      </c>
      <c r="D33">
        <v>8040</v>
      </c>
      <c r="E33">
        <v>14771</v>
      </c>
      <c r="F33">
        <v>2.5</v>
      </c>
      <c r="G33">
        <f t="shared" si="0"/>
        <v>5908</v>
      </c>
    </row>
    <row r="34" spans="1:7">
      <c r="A34">
        <v>2001</v>
      </c>
      <c r="B34" t="s">
        <v>422</v>
      </c>
      <c r="C34">
        <v>8050</v>
      </c>
      <c r="D34">
        <v>8050</v>
      </c>
      <c r="E34">
        <v>983</v>
      </c>
      <c r="F34">
        <v>3.2</v>
      </c>
      <c r="G34">
        <f t="shared" si="0"/>
        <v>307</v>
      </c>
    </row>
    <row r="35" spans="1:7">
      <c r="A35">
        <v>2001</v>
      </c>
      <c r="B35" t="s">
        <v>265</v>
      </c>
      <c r="C35">
        <v>8060</v>
      </c>
      <c r="D35">
        <v>8060</v>
      </c>
      <c r="E35">
        <v>66</v>
      </c>
      <c r="F35">
        <v>4</v>
      </c>
      <c r="G35">
        <f t="shared" si="0"/>
        <v>17</v>
      </c>
    </row>
    <row r="36" spans="1:7">
      <c r="A36">
        <v>2001</v>
      </c>
      <c r="B36" t="s">
        <v>423</v>
      </c>
      <c r="C36">
        <v>10010</v>
      </c>
      <c r="D36">
        <v>10010</v>
      </c>
      <c r="E36">
        <v>49858671</v>
      </c>
      <c r="F36">
        <v>1</v>
      </c>
      <c r="G36">
        <f t="shared" si="0"/>
        <v>49858671</v>
      </c>
    </row>
    <row r="37" spans="1:7">
      <c r="A37">
        <v>2001</v>
      </c>
      <c r="B37" t="s">
        <v>424</v>
      </c>
      <c r="C37">
        <v>10020</v>
      </c>
      <c r="D37">
        <v>10020</v>
      </c>
      <c r="E37">
        <v>3323902</v>
      </c>
      <c r="F37">
        <v>1.4</v>
      </c>
      <c r="G37">
        <f t="shared" si="0"/>
        <v>2374216</v>
      </c>
    </row>
    <row r="38" spans="1:7">
      <c r="A38">
        <v>2001</v>
      </c>
      <c r="B38" t="s">
        <v>425</v>
      </c>
      <c r="C38">
        <v>10030</v>
      </c>
      <c r="D38">
        <v>10030</v>
      </c>
      <c r="E38">
        <v>221593</v>
      </c>
      <c r="F38">
        <v>1.9</v>
      </c>
      <c r="G38">
        <f t="shared" si="0"/>
        <v>116628</v>
      </c>
    </row>
    <row r="39" spans="1:7">
      <c r="A39">
        <v>2001</v>
      </c>
      <c r="B39" t="s">
        <v>273</v>
      </c>
      <c r="C39">
        <v>10040</v>
      </c>
      <c r="D39">
        <v>10040</v>
      </c>
      <c r="E39">
        <v>14771</v>
      </c>
      <c r="F39">
        <v>2.5</v>
      </c>
      <c r="G39">
        <f t="shared" si="0"/>
        <v>5908</v>
      </c>
    </row>
    <row r="40" spans="1:7">
      <c r="A40">
        <v>2001</v>
      </c>
      <c r="B40" t="s">
        <v>426</v>
      </c>
      <c r="C40">
        <v>10050</v>
      </c>
      <c r="D40">
        <v>10050</v>
      </c>
      <c r="E40">
        <v>983</v>
      </c>
      <c r="F40">
        <v>3.2</v>
      </c>
      <c r="G40">
        <f t="shared" si="0"/>
        <v>307</v>
      </c>
    </row>
    <row r="41" spans="1:7">
      <c r="A41">
        <v>2001</v>
      </c>
      <c r="B41" t="s">
        <v>275</v>
      </c>
      <c r="C41">
        <v>10060</v>
      </c>
      <c r="D41">
        <v>10060</v>
      </c>
      <c r="E41">
        <v>66</v>
      </c>
      <c r="F41">
        <v>4</v>
      </c>
      <c r="G41">
        <f t="shared" si="0"/>
        <v>17</v>
      </c>
    </row>
    <row r="42" spans="1:7">
      <c r="A42">
        <v>2003</v>
      </c>
      <c r="B42" t="s">
        <v>246</v>
      </c>
      <c r="C42">
        <v>2010</v>
      </c>
      <c r="D42">
        <v>2010</v>
      </c>
      <c r="E42">
        <v>61821528</v>
      </c>
      <c r="F42">
        <v>1</v>
      </c>
      <c r="G42">
        <f t="shared" si="0"/>
        <v>61821528</v>
      </c>
    </row>
    <row r="43" spans="1:7">
      <c r="A43">
        <v>2003</v>
      </c>
      <c r="B43" t="s">
        <v>247</v>
      </c>
      <c r="C43">
        <v>2020</v>
      </c>
      <c r="D43">
        <v>2020</v>
      </c>
      <c r="E43">
        <v>3091056</v>
      </c>
      <c r="F43">
        <v>1.4</v>
      </c>
      <c r="G43">
        <f t="shared" si="0"/>
        <v>2207897</v>
      </c>
    </row>
    <row r="44" spans="1:7">
      <c r="A44">
        <v>2003</v>
      </c>
      <c r="B44" t="s">
        <v>248</v>
      </c>
      <c r="C44">
        <v>2030</v>
      </c>
      <c r="D44">
        <v>2030</v>
      </c>
      <c r="E44">
        <v>154545</v>
      </c>
      <c r="F44">
        <v>1.9</v>
      </c>
      <c r="G44">
        <f t="shared" si="0"/>
        <v>81339</v>
      </c>
    </row>
    <row r="45" spans="1:7">
      <c r="A45">
        <v>2003</v>
      </c>
      <c r="B45" t="s">
        <v>249</v>
      </c>
      <c r="C45">
        <v>2040</v>
      </c>
      <c r="D45">
        <v>2040</v>
      </c>
      <c r="E45">
        <v>7727</v>
      </c>
      <c r="F45">
        <v>2.5</v>
      </c>
      <c r="G45">
        <f t="shared" si="0"/>
        <v>3091</v>
      </c>
    </row>
    <row r="46" spans="1:7">
      <c r="A46">
        <v>2003</v>
      </c>
      <c r="B46" t="s">
        <v>250</v>
      </c>
      <c r="C46">
        <v>2050</v>
      </c>
      <c r="D46">
        <v>2050</v>
      </c>
      <c r="E46">
        <v>385</v>
      </c>
      <c r="F46">
        <v>3.2</v>
      </c>
      <c r="G46">
        <f t="shared" si="0"/>
        <v>120</v>
      </c>
    </row>
    <row r="47" spans="1:7">
      <c r="A47">
        <v>2003</v>
      </c>
      <c r="B47" t="s">
        <v>251</v>
      </c>
      <c r="C47">
        <v>2060</v>
      </c>
      <c r="D47">
        <v>2060</v>
      </c>
      <c r="E47">
        <v>19</v>
      </c>
      <c r="F47">
        <v>4</v>
      </c>
      <c r="G47">
        <f t="shared" si="0"/>
        <v>5</v>
      </c>
    </row>
    <row r="48" spans="1:7">
      <c r="A48">
        <v>2004</v>
      </c>
      <c r="B48" t="s">
        <v>252</v>
      </c>
      <c r="C48">
        <v>4010</v>
      </c>
      <c r="D48">
        <v>4010</v>
      </c>
      <c r="E48">
        <v>61821528</v>
      </c>
      <c r="F48">
        <v>1</v>
      </c>
      <c r="G48">
        <f t="shared" si="0"/>
        <v>61821528</v>
      </c>
    </row>
    <row r="49" spans="1:7">
      <c r="A49">
        <v>2004</v>
      </c>
      <c r="B49" t="s">
        <v>253</v>
      </c>
      <c r="C49">
        <v>4020</v>
      </c>
      <c r="D49">
        <v>4020</v>
      </c>
      <c r="E49">
        <v>3091056</v>
      </c>
      <c r="F49">
        <v>1.4</v>
      </c>
      <c r="G49">
        <f t="shared" si="0"/>
        <v>2207897</v>
      </c>
    </row>
    <row r="50" spans="1:7">
      <c r="A50">
        <v>2004</v>
      </c>
      <c r="B50" t="s">
        <v>254</v>
      </c>
      <c r="C50">
        <v>4030</v>
      </c>
      <c r="D50">
        <v>4030</v>
      </c>
      <c r="E50">
        <v>154545</v>
      </c>
      <c r="F50">
        <v>1.9</v>
      </c>
      <c r="G50">
        <f t="shared" si="0"/>
        <v>81339</v>
      </c>
    </row>
    <row r="51" spans="1:7">
      <c r="A51">
        <v>2004</v>
      </c>
      <c r="B51" t="s">
        <v>255</v>
      </c>
      <c r="C51">
        <v>4040</v>
      </c>
      <c r="D51">
        <v>4040</v>
      </c>
      <c r="E51">
        <v>7727</v>
      </c>
      <c r="F51">
        <v>2.5</v>
      </c>
      <c r="G51">
        <f t="shared" si="0"/>
        <v>3091</v>
      </c>
    </row>
    <row r="52" spans="1:7">
      <c r="A52">
        <v>2004</v>
      </c>
      <c r="B52" t="s">
        <v>256</v>
      </c>
      <c r="C52">
        <v>4050</v>
      </c>
      <c r="D52">
        <v>4050</v>
      </c>
      <c r="E52">
        <v>385</v>
      </c>
      <c r="F52">
        <v>3.2</v>
      </c>
      <c r="G52">
        <f t="shared" si="0"/>
        <v>120</v>
      </c>
    </row>
    <row r="53" spans="1:7">
      <c r="A53">
        <v>2004</v>
      </c>
      <c r="B53" t="s">
        <v>257</v>
      </c>
      <c r="C53">
        <v>4060</v>
      </c>
      <c r="D53">
        <v>4060</v>
      </c>
      <c r="E53">
        <v>19</v>
      </c>
      <c r="F53">
        <v>4</v>
      </c>
      <c r="G53">
        <f t="shared" si="0"/>
        <v>5</v>
      </c>
    </row>
    <row r="54" spans="1:7">
      <c r="A54">
        <v>2005</v>
      </c>
      <c r="B54" t="s">
        <v>258</v>
      </c>
      <c r="C54">
        <v>6010</v>
      </c>
      <c r="D54">
        <v>6010</v>
      </c>
      <c r="E54">
        <v>61821528</v>
      </c>
      <c r="F54">
        <v>1</v>
      </c>
      <c r="G54">
        <f t="shared" si="0"/>
        <v>61821528</v>
      </c>
    </row>
    <row r="55" spans="1:7">
      <c r="A55">
        <v>2005</v>
      </c>
      <c r="B55" t="s">
        <v>259</v>
      </c>
      <c r="C55">
        <v>6020</v>
      </c>
      <c r="D55">
        <v>6020</v>
      </c>
      <c r="E55">
        <v>3091056</v>
      </c>
      <c r="F55">
        <v>1.4</v>
      </c>
      <c r="G55">
        <f t="shared" si="0"/>
        <v>2207897</v>
      </c>
    </row>
    <row r="56" spans="1:7">
      <c r="A56">
        <v>2005</v>
      </c>
      <c r="B56" t="s">
        <v>260</v>
      </c>
      <c r="C56">
        <v>6030</v>
      </c>
      <c r="D56">
        <v>6030</v>
      </c>
      <c r="E56">
        <v>154545</v>
      </c>
      <c r="F56">
        <v>1.9</v>
      </c>
      <c r="G56">
        <f t="shared" si="0"/>
        <v>81339</v>
      </c>
    </row>
    <row r="57" spans="1:7">
      <c r="A57">
        <v>2005</v>
      </c>
      <c r="B57" t="s">
        <v>261</v>
      </c>
      <c r="C57">
        <v>6040</v>
      </c>
      <c r="D57">
        <v>6040</v>
      </c>
      <c r="E57">
        <v>7727</v>
      </c>
      <c r="F57">
        <v>2.5</v>
      </c>
      <c r="G57">
        <f t="shared" si="0"/>
        <v>3091</v>
      </c>
    </row>
    <row r="58" spans="1:7">
      <c r="A58">
        <v>2005</v>
      </c>
      <c r="B58" t="s">
        <v>262</v>
      </c>
      <c r="C58">
        <v>6050</v>
      </c>
      <c r="D58">
        <v>6050</v>
      </c>
      <c r="E58">
        <v>385</v>
      </c>
      <c r="F58">
        <v>3.2</v>
      </c>
      <c r="G58">
        <f t="shared" si="0"/>
        <v>120</v>
      </c>
    </row>
    <row r="59" spans="1:7">
      <c r="A59">
        <v>2005</v>
      </c>
      <c r="B59" t="s">
        <v>263</v>
      </c>
      <c r="C59">
        <v>6060</v>
      </c>
      <c r="D59">
        <v>6060</v>
      </c>
      <c r="E59">
        <v>19</v>
      </c>
      <c r="F59">
        <v>4</v>
      </c>
      <c r="G59">
        <f t="shared" si="0"/>
        <v>5</v>
      </c>
    </row>
    <row r="60" spans="1:7">
      <c r="A60">
        <v>3001</v>
      </c>
      <c r="B60" t="s">
        <v>276</v>
      </c>
      <c r="C60">
        <v>8010</v>
      </c>
      <c r="D60">
        <v>8010</v>
      </c>
      <c r="E60">
        <v>61821528</v>
      </c>
      <c r="F60">
        <v>1</v>
      </c>
      <c r="G60">
        <f t="shared" si="0"/>
        <v>61821528</v>
      </c>
    </row>
    <row r="61" spans="1:7">
      <c r="A61">
        <v>3001</v>
      </c>
      <c r="B61" t="s">
        <v>277</v>
      </c>
      <c r="C61">
        <v>8020</v>
      </c>
      <c r="D61">
        <v>8020</v>
      </c>
      <c r="E61">
        <v>3091056</v>
      </c>
      <c r="F61">
        <v>1.4</v>
      </c>
      <c r="G61">
        <f t="shared" si="0"/>
        <v>2207897</v>
      </c>
    </row>
    <row r="62" spans="1:7">
      <c r="A62">
        <v>3001</v>
      </c>
      <c r="B62" t="s">
        <v>278</v>
      </c>
      <c r="C62">
        <v>8030</v>
      </c>
      <c r="D62">
        <v>8030</v>
      </c>
      <c r="E62">
        <v>154545</v>
      </c>
      <c r="F62">
        <v>1.9</v>
      </c>
      <c r="G62">
        <f t="shared" si="0"/>
        <v>81339</v>
      </c>
    </row>
    <row r="63" spans="1:7">
      <c r="A63">
        <v>3001</v>
      </c>
      <c r="B63" t="s">
        <v>279</v>
      </c>
      <c r="C63">
        <v>8040</v>
      </c>
      <c r="D63">
        <v>8040</v>
      </c>
      <c r="E63">
        <v>7727</v>
      </c>
      <c r="F63">
        <v>2.5</v>
      </c>
      <c r="G63">
        <f t="shared" si="0"/>
        <v>3091</v>
      </c>
    </row>
    <row r="64" spans="1:7">
      <c r="A64">
        <v>3001</v>
      </c>
      <c r="B64" t="s">
        <v>280</v>
      </c>
      <c r="C64">
        <v>8050</v>
      </c>
      <c r="D64">
        <v>8050</v>
      </c>
      <c r="E64">
        <v>385</v>
      </c>
      <c r="F64">
        <v>3.2</v>
      </c>
      <c r="G64">
        <f t="shared" si="0"/>
        <v>120</v>
      </c>
    </row>
    <row r="65" spans="1:7">
      <c r="A65">
        <v>3001</v>
      </c>
      <c r="B65" t="s">
        <v>281</v>
      </c>
      <c r="C65">
        <v>8060</v>
      </c>
      <c r="D65">
        <v>8060</v>
      </c>
      <c r="E65">
        <v>19</v>
      </c>
      <c r="F65">
        <v>4</v>
      </c>
      <c r="G65">
        <f t="shared" si="0"/>
        <v>5</v>
      </c>
    </row>
    <row r="66" spans="1:7">
      <c r="A66">
        <v>3001</v>
      </c>
      <c r="B66" t="s">
        <v>282</v>
      </c>
      <c r="C66">
        <v>10010</v>
      </c>
      <c r="D66">
        <v>10010</v>
      </c>
      <c r="E66">
        <v>61821528</v>
      </c>
      <c r="F66">
        <v>1</v>
      </c>
      <c r="G66">
        <f t="shared" si="0"/>
        <v>61821528</v>
      </c>
    </row>
    <row r="67" spans="1:7">
      <c r="A67">
        <v>3001</v>
      </c>
      <c r="B67" t="s">
        <v>283</v>
      </c>
      <c r="C67">
        <v>10020</v>
      </c>
      <c r="D67">
        <v>10020</v>
      </c>
      <c r="E67">
        <v>3091056</v>
      </c>
      <c r="F67">
        <v>1.4</v>
      </c>
      <c r="G67">
        <f t="shared" si="0"/>
        <v>2207897</v>
      </c>
    </row>
    <row r="68" spans="1:7">
      <c r="A68">
        <v>3001</v>
      </c>
      <c r="B68" t="s">
        <v>284</v>
      </c>
      <c r="C68">
        <v>10030</v>
      </c>
      <c r="D68">
        <v>10030</v>
      </c>
      <c r="E68">
        <v>154545</v>
      </c>
      <c r="F68">
        <v>1.9</v>
      </c>
      <c r="G68">
        <f t="shared" si="0"/>
        <v>81339</v>
      </c>
    </row>
    <row r="69" spans="1:7">
      <c r="A69">
        <v>3001</v>
      </c>
      <c r="B69" t="s">
        <v>285</v>
      </c>
      <c r="C69">
        <v>10040</v>
      </c>
      <c r="D69">
        <v>10040</v>
      </c>
      <c r="E69">
        <v>7727</v>
      </c>
      <c r="F69">
        <v>2.5</v>
      </c>
      <c r="G69">
        <f t="shared" ref="G69:G132" si="1">ROUND(E69/F69,0)</f>
        <v>3091</v>
      </c>
    </row>
    <row r="70" spans="1:7">
      <c r="A70">
        <v>3001</v>
      </c>
      <c r="B70" t="s">
        <v>286</v>
      </c>
      <c r="C70">
        <v>10050</v>
      </c>
      <c r="D70">
        <v>10050</v>
      </c>
      <c r="E70">
        <v>385</v>
      </c>
      <c r="F70">
        <v>3.2</v>
      </c>
      <c r="G70">
        <f t="shared" si="1"/>
        <v>120</v>
      </c>
    </row>
    <row r="71" spans="1:7">
      <c r="A71">
        <v>3001</v>
      </c>
      <c r="B71" t="s">
        <v>287</v>
      </c>
      <c r="C71">
        <v>10060</v>
      </c>
      <c r="D71">
        <v>10060</v>
      </c>
      <c r="E71">
        <v>19</v>
      </c>
      <c r="F71">
        <v>4</v>
      </c>
      <c r="G71">
        <f t="shared" si="1"/>
        <v>5</v>
      </c>
    </row>
    <row r="72" spans="1:7">
      <c r="A72">
        <v>3003</v>
      </c>
      <c r="B72" t="s">
        <v>288</v>
      </c>
      <c r="C72">
        <v>2010</v>
      </c>
      <c r="D72">
        <v>2010</v>
      </c>
      <c r="E72">
        <v>61821528</v>
      </c>
      <c r="F72">
        <v>1</v>
      </c>
      <c r="G72">
        <f t="shared" si="1"/>
        <v>61821528</v>
      </c>
    </row>
    <row r="73" spans="1:7">
      <c r="A73">
        <v>3003</v>
      </c>
      <c r="B73" t="s">
        <v>289</v>
      </c>
      <c r="C73">
        <v>2020</v>
      </c>
      <c r="D73">
        <v>2020</v>
      </c>
      <c r="E73">
        <v>3091056</v>
      </c>
      <c r="F73">
        <v>1.4</v>
      </c>
      <c r="G73">
        <f t="shared" si="1"/>
        <v>2207897</v>
      </c>
    </row>
    <row r="74" spans="1:7">
      <c r="A74">
        <v>3003</v>
      </c>
      <c r="B74" t="s">
        <v>290</v>
      </c>
      <c r="C74">
        <v>2030</v>
      </c>
      <c r="D74">
        <v>2030</v>
      </c>
      <c r="E74">
        <v>154545</v>
      </c>
      <c r="F74">
        <v>1.9</v>
      </c>
      <c r="G74">
        <f t="shared" si="1"/>
        <v>81339</v>
      </c>
    </row>
    <row r="75" spans="1:7">
      <c r="A75">
        <v>3003</v>
      </c>
      <c r="B75" t="s">
        <v>291</v>
      </c>
      <c r="C75">
        <v>2040</v>
      </c>
      <c r="D75">
        <v>2040</v>
      </c>
      <c r="E75">
        <v>7727</v>
      </c>
      <c r="F75">
        <v>2.5</v>
      </c>
      <c r="G75">
        <f t="shared" si="1"/>
        <v>3091</v>
      </c>
    </row>
    <row r="76" spans="1:7">
      <c r="A76">
        <v>3003</v>
      </c>
      <c r="B76" t="s">
        <v>292</v>
      </c>
      <c r="C76">
        <v>2050</v>
      </c>
      <c r="D76">
        <v>2050</v>
      </c>
      <c r="E76">
        <v>385</v>
      </c>
      <c r="F76">
        <v>3.2</v>
      </c>
      <c r="G76">
        <f t="shared" si="1"/>
        <v>120</v>
      </c>
    </row>
    <row r="77" spans="1:7">
      <c r="A77">
        <v>3003</v>
      </c>
      <c r="B77" t="s">
        <v>293</v>
      </c>
      <c r="C77">
        <v>2060</v>
      </c>
      <c r="D77">
        <v>2060</v>
      </c>
      <c r="E77">
        <v>19</v>
      </c>
      <c r="F77">
        <v>4</v>
      </c>
      <c r="G77">
        <f t="shared" si="1"/>
        <v>5</v>
      </c>
    </row>
    <row r="78" spans="1:7">
      <c r="A78">
        <v>3004</v>
      </c>
      <c r="B78" t="s">
        <v>294</v>
      </c>
      <c r="C78">
        <v>4010</v>
      </c>
      <c r="D78">
        <v>4010</v>
      </c>
      <c r="E78">
        <v>61821528</v>
      </c>
      <c r="F78">
        <v>1</v>
      </c>
      <c r="G78">
        <f t="shared" si="1"/>
        <v>61821528</v>
      </c>
    </row>
    <row r="79" spans="1:7">
      <c r="A79">
        <v>3004</v>
      </c>
      <c r="B79" t="s">
        <v>295</v>
      </c>
      <c r="C79">
        <v>4020</v>
      </c>
      <c r="D79">
        <v>4020</v>
      </c>
      <c r="E79">
        <v>3091056</v>
      </c>
      <c r="F79">
        <v>1.4</v>
      </c>
      <c r="G79">
        <f t="shared" si="1"/>
        <v>2207897</v>
      </c>
    </row>
    <row r="80" spans="1:7">
      <c r="A80">
        <v>3004</v>
      </c>
      <c r="B80" t="s">
        <v>296</v>
      </c>
      <c r="C80">
        <v>4030</v>
      </c>
      <c r="D80">
        <v>4030</v>
      </c>
      <c r="E80">
        <v>154545</v>
      </c>
      <c r="F80">
        <v>1.9</v>
      </c>
      <c r="G80">
        <f t="shared" si="1"/>
        <v>81339</v>
      </c>
    </row>
    <row r="81" spans="1:7">
      <c r="A81">
        <v>3004</v>
      </c>
      <c r="B81" t="s">
        <v>297</v>
      </c>
      <c r="C81">
        <v>4040</v>
      </c>
      <c r="D81">
        <v>4040</v>
      </c>
      <c r="E81">
        <v>7727</v>
      </c>
      <c r="F81">
        <v>2.5</v>
      </c>
      <c r="G81">
        <f t="shared" si="1"/>
        <v>3091</v>
      </c>
    </row>
    <row r="82" spans="1:7">
      <c r="A82">
        <v>3004</v>
      </c>
      <c r="B82" t="s">
        <v>298</v>
      </c>
      <c r="C82">
        <v>4050</v>
      </c>
      <c r="D82">
        <v>4050</v>
      </c>
      <c r="E82">
        <v>385</v>
      </c>
      <c r="F82">
        <v>3.2</v>
      </c>
      <c r="G82">
        <f t="shared" si="1"/>
        <v>120</v>
      </c>
    </row>
    <row r="83" spans="1:7">
      <c r="A83">
        <v>3004</v>
      </c>
      <c r="B83" t="s">
        <v>299</v>
      </c>
      <c r="C83">
        <v>4060</v>
      </c>
      <c r="D83">
        <v>4060</v>
      </c>
      <c r="E83">
        <v>19</v>
      </c>
      <c r="F83">
        <v>4</v>
      </c>
      <c r="G83">
        <f t="shared" si="1"/>
        <v>5</v>
      </c>
    </row>
    <row r="84" spans="1:7">
      <c r="A84">
        <v>3005</v>
      </c>
      <c r="B84" t="s">
        <v>300</v>
      </c>
      <c r="C84">
        <v>6010</v>
      </c>
      <c r="D84">
        <v>6010</v>
      </c>
      <c r="E84">
        <v>61821528</v>
      </c>
      <c r="F84">
        <v>1</v>
      </c>
      <c r="G84">
        <f t="shared" si="1"/>
        <v>61821528</v>
      </c>
    </row>
    <row r="85" spans="1:7">
      <c r="A85">
        <v>3005</v>
      </c>
      <c r="B85" t="s">
        <v>301</v>
      </c>
      <c r="C85">
        <v>6020</v>
      </c>
      <c r="D85">
        <v>6020</v>
      </c>
      <c r="E85">
        <v>3091056</v>
      </c>
      <c r="F85">
        <v>1.4</v>
      </c>
      <c r="G85">
        <f t="shared" si="1"/>
        <v>2207897</v>
      </c>
    </row>
    <row r="86" spans="1:7">
      <c r="A86">
        <v>3005</v>
      </c>
      <c r="B86" t="s">
        <v>302</v>
      </c>
      <c r="C86">
        <v>6030</v>
      </c>
      <c r="D86">
        <v>6030</v>
      </c>
      <c r="E86">
        <v>154545</v>
      </c>
      <c r="F86">
        <v>1.9</v>
      </c>
      <c r="G86">
        <f t="shared" si="1"/>
        <v>81339</v>
      </c>
    </row>
    <row r="87" spans="1:7">
      <c r="A87">
        <v>3005</v>
      </c>
      <c r="B87" t="s">
        <v>303</v>
      </c>
      <c r="C87">
        <v>6040</v>
      </c>
      <c r="D87">
        <v>6040</v>
      </c>
      <c r="E87">
        <v>7727</v>
      </c>
      <c r="F87">
        <v>2.5</v>
      </c>
      <c r="G87">
        <f t="shared" si="1"/>
        <v>3091</v>
      </c>
    </row>
    <row r="88" spans="1:7">
      <c r="A88">
        <v>3005</v>
      </c>
      <c r="B88" t="s">
        <v>304</v>
      </c>
      <c r="C88">
        <v>6050</v>
      </c>
      <c r="D88">
        <v>6050</v>
      </c>
      <c r="E88">
        <v>385</v>
      </c>
      <c r="F88">
        <v>3.2</v>
      </c>
      <c r="G88">
        <f t="shared" si="1"/>
        <v>120</v>
      </c>
    </row>
    <row r="89" spans="1:7">
      <c r="A89">
        <v>3005</v>
      </c>
      <c r="B89" t="s">
        <v>305</v>
      </c>
      <c r="C89">
        <v>6060</v>
      </c>
      <c r="D89">
        <v>6060</v>
      </c>
      <c r="E89">
        <v>19</v>
      </c>
      <c r="F89">
        <v>4</v>
      </c>
      <c r="G89">
        <f t="shared" si="1"/>
        <v>5</v>
      </c>
    </row>
    <row r="90" spans="1:7">
      <c r="A90">
        <v>4001</v>
      </c>
      <c r="B90" t="s">
        <v>306</v>
      </c>
      <c r="C90">
        <v>8010</v>
      </c>
      <c r="D90">
        <v>8010</v>
      </c>
      <c r="E90">
        <v>115972192</v>
      </c>
      <c r="F90">
        <v>1</v>
      </c>
      <c r="G90">
        <f t="shared" si="1"/>
        <v>115972192</v>
      </c>
    </row>
    <row r="91" spans="1:7">
      <c r="A91">
        <v>4001</v>
      </c>
      <c r="B91" t="s">
        <v>307</v>
      </c>
      <c r="C91">
        <v>8020</v>
      </c>
      <c r="D91">
        <v>8020</v>
      </c>
      <c r="E91">
        <v>3865661</v>
      </c>
      <c r="F91">
        <v>1.4</v>
      </c>
      <c r="G91">
        <f t="shared" si="1"/>
        <v>2761186</v>
      </c>
    </row>
    <row r="92" spans="1:7">
      <c r="A92">
        <v>4001</v>
      </c>
      <c r="B92" t="s">
        <v>308</v>
      </c>
      <c r="C92">
        <v>8030</v>
      </c>
      <c r="D92">
        <v>8030</v>
      </c>
      <c r="E92">
        <v>128856</v>
      </c>
      <c r="F92">
        <v>1.9</v>
      </c>
      <c r="G92">
        <f t="shared" si="1"/>
        <v>67819</v>
      </c>
    </row>
    <row r="93" spans="1:7">
      <c r="A93">
        <v>4001</v>
      </c>
      <c r="B93" t="s">
        <v>309</v>
      </c>
      <c r="C93">
        <v>8040</v>
      </c>
      <c r="D93">
        <v>8040</v>
      </c>
      <c r="E93">
        <v>4297</v>
      </c>
      <c r="F93">
        <v>2.5</v>
      </c>
      <c r="G93">
        <f t="shared" si="1"/>
        <v>1719</v>
      </c>
    </row>
    <row r="94" spans="1:7">
      <c r="A94">
        <v>4001</v>
      </c>
      <c r="B94" t="s">
        <v>310</v>
      </c>
      <c r="C94">
        <v>8050</v>
      </c>
      <c r="D94">
        <v>8050</v>
      </c>
      <c r="E94">
        <v>143</v>
      </c>
      <c r="F94">
        <v>3.2</v>
      </c>
      <c r="G94">
        <f t="shared" si="1"/>
        <v>45</v>
      </c>
    </row>
    <row r="95" spans="1:7">
      <c r="A95">
        <v>4001</v>
      </c>
      <c r="B95" t="s">
        <v>311</v>
      </c>
      <c r="C95">
        <v>10010</v>
      </c>
      <c r="D95">
        <v>10010</v>
      </c>
      <c r="E95">
        <v>115972192</v>
      </c>
      <c r="F95">
        <v>1</v>
      </c>
      <c r="G95">
        <f t="shared" si="1"/>
        <v>115972192</v>
      </c>
    </row>
    <row r="96" spans="1:7">
      <c r="A96">
        <v>4001</v>
      </c>
      <c r="B96" t="s">
        <v>312</v>
      </c>
      <c r="C96">
        <v>10020</v>
      </c>
      <c r="D96">
        <v>10020</v>
      </c>
      <c r="E96">
        <v>3865661</v>
      </c>
      <c r="F96">
        <v>1.4</v>
      </c>
      <c r="G96">
        <f t="shared" si="1"/>
        <v>2761186</v>
      </c>
    </row>
    <row r="97" spans="1:7">
      <c r="A97">
        <v>4001</v>
      </c>
      <c r="B97" t="s">
        <v>313</v>
      </c>
      <c r="C97">
        <v>10030</v>
      </c>
      <c r="D97">
        <v>10030</v>
      </c>
      <c r="E97">
        <v>128856</v>
      </c>
      <c r="F97">
        <v>1.9</v>
      </c>
      <c r="G97">
        <f t="shared" si="1"/>
        <v>67819</v>
      </c>
    </row>
    <row r="98" spans="1:7">
      <c r="A98">
        <v>4001</v>
      </c>
      <c r="B98" t="s">
        <v>314</v>
      </c>
      <c r="C98">
        <v>10040</v>
      </c>
      <c r="D98">
        <v>10040</v>
      </c>
      <c r="E98">
        <v>4297</v>
      </c>
      <c r="F98">
        <v>2.5</v>
      </c>
      <c r="G98">
        <f t="shared" si="1"/>
        <v>1719</v>
      </c>
    </row>
    <row r="99" spans="1:7">
      <c r="A99">
        <v>4001</v>
      </c>
      <c r="B99" t="s">
        <v>315</v>
      </c>
      <c r="C99">
        <v>10050</v>
      </c>
      <c r="D99">
        <v>10050</v>
      </c>
      <c r="E99">
        <v>143</v>
      </c>
      <c r="F99">
        <v>3.2</v>
      </c>
      <c r="G99">
        <f t="shared" si="1"/>
        <v>45</v>
      </c>
    </row>
    <row r="100" spans="1:7">
      <c r="A100">
        <v>4003</v>
      </c>
      <c r="B100" t="s">
        <v>316</v>
      </c>
      <c r="C100">
        <v>2010</v>
      </c>
      <c r="D100">
        <v>2010</v>
      </c>
      <c r="E100">
        <v>61821528</v>
      </c>
      <c r="F100">
        <v>1</v>
      </c>
      <c r="G100">
        <f t="shared" si="1"/>
        <v>61821528</v>
      </c>
    </row>
    <row r="101" spans="1:7">
      <c r="A101">
        <v>4003</v>
      </c>
      <c r="B101" t="s">
        <v>317</v>
      </c>
      <c r="C101">
        <v>2020</v>
      </c>
      <c r="D101">
        <v>2020</v>
      </c>
      <c r="E101">
        <v>3091056</v>
      </c>
      <c r="F101">
        <v>1.4</v>
      </c>
      <c r="G101">
        <f t="shared" si="1"/>
        <v>2207897</v>
      </c>
    </row>
    <row r="102" spans="1:7">
      <c r="A102">
        <v>4003</v>
      </c>
      <c r="B102" t="s">
        <v>318</v>
      </c>
      <c r="C102">
        <v>2030</v>
      </c>
      <c r="D102">
        <v>2030</v>
      </c>
      <c r="E102">
        <v>154545</v>
      </c>
      <c r="F102">
        <v>1.9</v>
      </c>
      <c r="G102">
        <f t="shared" si="1"/>
        <v>81339</v>
      </c>
    </row>
    <row r="103" spans="1:7">
      <c r="A103">
        <v>4003</v>
      </c>
      <c r="B103" t="s">
        <v>319</v>
      </c>
      <c r="C103">
        <v>2040</v>
      </c>
      <c r="D103">
        <v>2040</v>
      </c>
      <c r="E103">
        <v>7727</v>
      </c>
      <c r="F103">
        <v>2.5</v>
      </c>
      <c r="G103">
        <f t="shared" si="1"/>
        <v>3091</v>
      </c>
    </row>
    <row r="104" spans="1:7">
      <c r="A104">
        <v>4003</v>
      </c>
      <c r="B104" t="s">
        <v>320</v>
      </c>
      <c r="C104">
        <v>2050</v>
      </c>
      <c r="D104">
        <v>2050</v>
      </c>
      <c r="E104">
        <v>385</v>
      </c>
      <c r="F104">
        <v>3.2</v>
      </c>
      <c r="G104">
        <f t="shared" si="1"/>
        <v>120</v>
      </c>
    </row>
    <row r="105" spans="1:7">
      <c r="A105">
        <v>4003</v>
      </c>
      <c r="B105" t="s">
        <v>321</v>
      </c>
      <c r="C105">
        <v>2060</v>
      </c>
      <c r="D105">
        <v>2060</v>
      </c>
      <c r="E105">
        <v>19</v>
      </c>
      <c r="F105">
        <v>4</v>
      </c>
      <c r="G105">
        <f t="shared" si="1"/>
        <v>5</v>
      </c>
    </row>
    <row r="106" spans="1:7">
      <c r="A106">
        <v>4004</v>
      </c>
      <c r="B106" t="s">
        <v>322</v>
      </c>
      <c r="C106">
        <v>4010</v>
      </c>
      <c r="D106">
        <v>4010</v>
      </c>
      <c r="E106">
        <v>61821528</v>
      </c>
      <c r="F106">
        <v>1</v>
      </c>
      <c r="G106">
        <f t="shared" si="1"/>
        <v>61821528</v>
      </c>
    </row>
    <row r="107" spans="1:7">
      <c r="A107">
        <v>4004</v>
      </c>
      <c r="B107" t="s">
        <v>323</v>
      </c>
      <c r="C107">
        <v>4020</v>
      </c>
      <c r="D107">
        <v>4020</v>
      </c>
      <c r="E107">
        <v>3091056</v>
      </c>
      <c r="F107">
        <v>1.4</v>
      </c>
      <c r="G107">
        <f t="shared" si="1"/>
        <v>2207897</v>
      </c>
    </row>
    <row r="108" spans="1:7">
      <c r="A108">
        <v>4004</v>
      </c>
      <c r="B108" t="s">
        <v>324</v>
      </c>
      <c r="C108">
        <v>4030</v>
      </c>
      <c r="D108">
        <v>4030</v>
      </c>
      <c r="E108">
        <v>154545</v>
      </c>
      <c r="F108">
        <v>1.9</v>
      </c>
      <c r="G108">
        <f t="shared" si="1"/>
        <v>81339</v>
      </c>
    </row>
    <row r="109" spans="1:7">
      <c r="A109">
        <v>4004</v>
      </c>
      <c r="B109" t="s">
        <v>325</v>
      </c>
      <c r="C109">
        <v>4040</v>
      </c>
      <c r="D109">
        <v>4040</v>
      </c>
      <c r="E109">
        <v>7727</v>
      </c>
      <c r="F109">
        <v>2.5</v>
      </c>
      <c r="G109">
        <f t="shared" si="1"/>
        <v>3091</v>
      </c>
    </row>
    <row r="110" spans="1:7">
      <c r="A110">
        <v>4004</v>
      </c>
      <c r="B110" t="s">
        <v>326</v>
      </c>
      <c r="C110">
        <v>4050</v>
      </c>
      <c r="D110">
        <v>4050</v>
      </c>
      <c r="E110">
        <v>385</v>
      </c>
      <c r="F110">
        <v>3.2</v>
      </c>
      <c r="G110">
        <f t="shared" si="1"/>
        <v>120</v>
      </c>
    </row>
    <row r="111" spans="1:7">
      <c r="A111">
        <v>4004</v>
      </c>
      <c r="B111" t="s">
        <v>327</v>
      </c>
      <c r="C111">
        <v>4060</v>
      </c>
      <c r="D111">
        <v>4060</v>
      </c>
      <c r="E111">
        <v>19</v>
      </c>
      <c r="F111">
        <v>4</v>
      </c>
      <c r="G111">
        <f t="shared" si="1"/>
        <v>5</v>
      </c>
    </row>
    <row r="112" spans="1:7">
      <c r="A112">
        <v>4005</v>
      </c>
      <c r="B112" t="s">
        <v>328</v>
      </c>
      <c r="C112">
        <v>6010</v>
      </c>
      <c r="D112">
        <v>6010</v>
      </c>
      <c r="E112">
        <v>61821528</v>
      </c>
      <c r="F112">
        <v>1</v>
      </c>
      <c r="G112">
        <f t="shared" si="1"/>
        <v>61821528</v>
      </c>
    </row>
    <row r="113" spans="1:7">
      <c r="A113">
        <v>4005</v>
      </c>
      <c r="B113" t="s">
        <v>329</v>
      </c>
      <c r="C113">
        <v>6020</v>
      </c>
      <c r="D113">
        <v>6020</v>
      </c>
      <c r="E113">
        <v>3091056</v>
      </c>
      <c r="F113">
        <v>1.4</v>
      </c>
      <c r="G113">
        <f t="shared" si="1"/>
        <v>2207897</v>
      </c>
    </row>
    <row r="114" spans="1:7">
      <c r="A114">
        <v>4005</v>
      </c>
      <c r="B114" t="s">
        <v>330</v>
      </c>
      <c r="C114">
        <v>6030</v>
      </c>
      <c r="D114">
        <v>6030</v>
      </c>
      <c r="E114">
        <v>154545</v>
      </c>
      <c r="F114">
        <v>1.9</v>
      </c>
      <c r="G114">
        <f t="shared" si="1"/>
        <v>81339</v>
      </c>
    </row>
    <row r="115" spans="1:7">
      <c r="A115">
        <v>4005</v>
      </c>
      <c r="B115" t="s">
        <v>331</v>
      </c>
      <c r="C115">
        <v>6040</v>
      </c>
      <c r="D115">
        <v>6040</v>
      </c>
      <c r="E115">
        <v>7727</v>
      </c>
      <c r="F115">
        <v>2.5</v>
      </c>
      <c r="G115">
        <f t="shared" si="1"/>
        <v>3091</v>
      </c>
    </row>
    <row r="116" spans="1:7">
      <c r="A116">
        <v>4005</v>
      </c>
      <c r="B116" t="s">
        <v>332</v>
      </c>
      <c r="C116">
        <v>6050</v>
      </c>
      <c r="D116">
        <v>6050</v>
      </c>
      <c r="E116">
        <v>385</v>
      </c>
      <c r="F116">
        <v>3.2</v>
      </c>
      <c r="G116">
        <f t="shared" si="1"/>
        <v>120</v>
      </c>
    </row>
    <row r="117" spans="1:7">
      <c r="A117">
        <v>4005</v>
      </c>
      <c r="B117" t="s">
        <v>333</v>
      </c>
      <c r="C117">
        <v>6060</v>
      </c>
      <c r="D117">
        <v>6060</v>
      </c>
      <c r="E117">
        <v>19</v>
      </c>
      <c r="F117">
        <v>4</v>
      </c>
      <c r="G117">
        <f t="shared" si="1"/>
        <v>5</v>
      </c>
    </row>
    <row r="118" spans="1:7">
      <c r="A118">
        <v>4006</v>
      </c>
      <c r="B118" t="s">
        <v>382</v>
      </c>
      <c r="C118">
        <v>32040</v>
      </c>
      <c r="D118">
        <v>32040</v>
      </c>
      <c r="E118">
        <v>61821528</v>
      </c>
      <c r="F118">
        <v>1</v>
      </c>
      <c r="G118">
        <f t="shared" si="1"/>
        <v>61821528</v>
      </c>
    </row>
    <row r="119" spans="1:7">
      <c r="A119">
        <v>4006</v>
      </c>
      <c r="B119" t="s">
        <v>383</v>
      </c>
      <c r="C119">
        <v>32080</v>
      </c>
      <c r="D119">
        <v>32080</v>
      </c>
      <c r="E119">
        <v>3091056</v>
      </c>
      <c r="F119">
        <v>2</v>
      </c>
      <c r="G119">
        <f t="shared" si="1"/>
        <v>1545528</v>
      </c>
    </row>
    <row r="120" spans="1:7">
      <c r="A120">
        <v>4006</v>
      </c>
      <c r="B120" t="s">
        <v>384</v>
      </c>
      <c r="C120">
        <v>32120</v>
      </c>
      <c r="D120">
        <v>32120</v>
      </c>
      <c r="E120">
        <v>154545</v>
      </c>
      <c r="F120">
        <v>3.3</v>
      </c>
      <c r="G120">
        <f t="shared" si="1"/>
        <v>46832</v>
      </c>
    </row>
    <row r="121" spans="1:7">
      <c r="A121">
        <v>4006</v>
      </c>
      <c r="B121" t="s">
        <v>385</v>
      </c>
      <c r="C121">
        <v>32160</v>
      </c>
      <c r="D121">
        <v>32160</v>
      </c>
      <c r="E121">
        <v>7727</v>
      </c>
      <c r="F121">
        <v>5</v>
      </c>
      <c r="G121">
        <f t="shared" si="1"/>
        <v>1545</v>
      </c>
    </row>
    <row r="122" spans="1:7">
      <c r="A122">
        <v>4006</v>
      </c>
      <c r="B122" t="s">
        <v>386</v>
      </c>
      <c r="C122">
        <v>32200</v>
      </c>
      <c r="D122">
        <v>32200</v>
      </c>
      <c r="E122">
        <v>385</v>
      </c>
      <c r="F122">
        <v>7</v>
      </c>
      <c r="G122">
        <f t="shared" si="1"/>
        <v>55</v>
      </c>
    </row>
    <row r="123" spans="1:7">
      <c r="A123">
        <v>4006</v>
      </c>
      <c r="B123" t="s">
        <v>387</v>
      </c>
      <c r="C123">
        <v>32240</v>
      </c>
      <c r="D123">
        <v>32240</v>
      </c>
      <c r="E123">
        <v>19</v>
      </c>
      <c r="F123">
        <v>10</v>
      </c>
      <c r="G123">
        <f t="shared" si="1"/>
        <v>2</v>
      </c>
    </row>
    <row r="124" spans="1:7">
      <c r="A124">
        <v>4006</v>
      </c>
      <c r="B124" t="s">
        <v>427</v>
      </c>
      <c r="C124">
        <v>23030</v>
      </c>
      <c r="D124">
        <v>23030</v>
      </c>
      <c r="E124">
        <v>61821528</v>
      </c>
      <c r="F124">
        <v>1</v>
      </c>
      <c r="G124">
        <f t="shared" si="1"/>
        <v>61821528</v>
      </c>
    </row>
    <row r="125" spans="1:7">
      <c r="A125">
        <v>4006</v>
      </c>
      <c r="B125" t="s">
        <v>428</v>
      </c>
      <c r="C125">
        <v>23060</v>
      </c>
      <c r="D125">
        <v>23060</v>
      </c>
      <c r="E125">
        <v>3091056</v>
      </c>
      <c r="F125">
        <v>2</v>
      </c>
      <c r="G125">
        <f t="shared" si="1"/>
        <v>1545528</v>
      </c>
    </row>
    <row r="126" spans="1:7">
      <c r="A126">
        <v>4006</v>
      </c>
      <c r="B126" t="s">
        <v>429</v>
      </c>
      <c r="C126">
        <v>23090</v>
      </c>
      <c r="D126">
        <v>23090</v>
      </c>
      <c r="E126">
        <v>154545</v>
      </c>
      <c r="F126">
        <v>3.3</v>
      </c>
      <c r="G126">
        <f t="shared" si="1"/>
        <v>46832</v>
      </c>
    </row>
    <row r="127" spans="1:7">
      <c r="A127">
        <v>4006</v>
      </c>
      <c r="B127" t="s">
        <v>430</v>
      </c>
      <c r="C127">
        <v>23120</v>
      </c>
      <c r="D127">
        <v>23120</v>
      </c>
      <c r="E127">
        <v>7727</v>
      </c>
      <c r="F127">
        <v>5</v>
      </c>
      <c r="G127">
        <f t="shared" si="1"/>
        <v>1545</v>
      </c>
    </row>
    <row r="128" spans="1:7">
      <c r="A128">
        <v>4006</v>
      </c>
      <c r="B128" t="s">
        <v>431</v>
      </c>
      <c r="C128">
        <v>23150</v>
      </c>
      <c r="D128">
        <v>23150</v>
      </c>
      <c r="E128">
        <v>385</v>
      </c>
      <c r="F128">
        <v>7</v>
      </c>
      <c r="G128">
        <f t="shared" si="1"/>
        <v>55</v>
      </c>
    </row>
    <row r="129" spans="1:7">
      <c r="A129">
        <v>4006</v>
      </c>
      <c r="B129" t="s">
        <v>432</v>
      </c>
      <c r="C129">
        <v>23180</v>
      </c>
      <c r="D129">
        <v>23180</v>
      </c>
      <c r="E129">
        <v>19</v>
      </c>
      <c r="F129">
        <v>10</v>
      </c>
      <c r="G129">
        <f t="shared" si="1"/>
        <v>2</v>
      </c>
    </row>
    <row r="130" spans="1:7">
      <c r="A130">
        <v>4007</v>
      </c>
      <c r="B130" t="s">
        <v>382</v>
      </c>
      <c r="C130">
        <v>32040</v>
      </c>
      <c r="D130">
        <v>32040</v>
      </c>
      <c r="E130">
        <v>61821528</v>
      </c>
      <c r="F130">
        <v>1</v>
      </c>
      <c r="G130">
        <f t="shared" si="1"/>
        <v>61821528</v>
      </c>
    </row>
    <row r="131" spans="1:7">
      <c r="A131">
        <v>4007</v>
      </c>
      <c r="B131" t="s">
        <v>383</v>
      </c>
      <c r="C131">
        <v>32080</v>
      </c>
      <c r="D131">
        <v>32080</v>
      </c>
      <c r="E131">
        <v>3091056</v>
      </c>
      <c r="F131">
        <v>2</v>
      </c>
      <c r="G131">
        <f t="shared" si="1"/>
        <v>1545528</v>
      </c>
    </row>
    <row r="132" spans="1:7">
      <c r="A132">
        <v>4007</v>
      </c>
      <c r="B132" t="s">
        <v>384</v>
      </c>
      <c r="C132">
        <v>32120</v>
      </c>
      <c r="D132">
        <v>32120</v>
      </c>
      <c r="E132">
        <v>154545</v>
      </c>
      <c r="F132">
        <v>3.3</v>
      </c>
      <c r="G132">
        <f t="shared" si="1"/>
        <v>46832</v>
      </c>
    </row>
    <row r="133" spans="1:7">
      <c r="A133">
        <v>4007</v>
      </c>
      <c r="B133" t="s">
        <v>385</v>
      </c>
      <c r="C133">
        <v>32160</v>
      </c>
      <c r="D133">
        <v>32160</v>
      </c>
      <c r="E133">
        <v>7727</v>
      </c>
      <c r="F133">
        <v>5</v>
      </c>
      <c r="G133">
        <f t="shared" ref="G133:G196" si="2">ROUND(E133/F133,0)</f>
        <v>1545</v>
      </c>
    </row>
    <row r="134" spans="1:7">
      <c r="A134">
        <v>4007</v>
      </c>
      <c r="B134" t="s">
        <v>386</v>
      </c>
      <c r="C134">
        <v>32200</v>
      </c>
      <c r="D134">
        <v>32200</v>
      </c>
      <c r="E134">
        <v>385</v>
      </c>
      <c r="F134">
        <v>7</v>
      </c>
      <c r="G134">
        <f t="shared" si="2"/>
        <v>55</v>
      </c>
    </row>
    <row r="135" spans="1:7">
      <c r="A135">
        <v>4007</v>
      </c>
      <c r="B135" t="s">
        <v>387</v>
      </c>
      <c r="C135">
        <v>32240</v>
      </c>
      <c r="D135">
        <v>32240</v>
      </c>
      <c r="E135">
        <v>19</v>
      </c>
      <c r="F135">
        <v>10</v>
      </c>
      <c r="G135">
        <f t="shared" si="2"/>
        <v>2</v>
      </c>
    </row>
    <row r="136" spans="1:7">
      <c r="A136">
        <v>5003</v>
      </c>
      <c r="B136" t="s">
        <v>334</v>
      </c>
      <c r="C136">
        <v>2010</v>
      </c>
      <c r="D136">
        <v>2010</v>
      </c>
      <c r="E136">
        <v>61821528</v>
      </c>
      <c r="F136">
        <v>1</v>
      </c>
      <c r="G136">
        <f t="shared" si="2"/>
        <v>61821528</v>
      </c>
    </row>
    <row r="137" spans="1:7">
      <c r="A137">
        <v>5003</v>
      </c>
      <c r="B137" t="s">
        <v>335</v>
      </c>
      <c r="C137">
        <v>2020</v>
      </c>
      <c r="D137">
        <v>2020</v>
      </c>
      <c r="E137">
        <v>3091056</v>
      </c>
      <c r="F137">
        <v>1.4</v>
      </c>
      <c r="G137">
        <f t="shared" si="2"/>
        <v>2207897</v>
      </c>
    </row>
    <row r="138" spans="1:7">
      <c r="A138">
        <v>5003</v>
      </c>
      <c r="B138" t="s">
        <v>336</v>
      </c>
      <c r="C138">
        <v>2030</v>
      </c>
      <c r="D138">
        <v>2030</v>
      </c>
      <c r="E138">
        <v>154545</v>
      </c>
      <c r="F138">
        <v>1.9</v>
      </c>
      <c r="G138">
        <f t="shared" si="2"/>
        <v>81339</v>
      </c>
    </row>
    <row r="139" spans="1:7">
      <c r="A139">
        <v>5003</v>
      </c>
      <c r="B139" t="s">
        <v>337</v>
      </c>
      <c r="C139">
        <v>2040</v>
      </c>
      <c r="D139">
        <v>2040</v>
      </c>
      <c r="E139">
        <v>7727</v>
      </c>
      <c r="F139">
        <v>2.5</v>
      </c>
      <c r="G139">
        <f t="shared" si="2"/>
        <v>3091</v>
      </c>
    </row>
    <row r="140" spans="1:7">
      <c r="A140">
        <v>5003</v>
      </c>
      <c r="B140" t="s">
        <v>338</v>
      </c>
      <c r="C140">
        <v>2050</v>
      </c>
      <c r="D140">
        <v>2050</v>
      </c>
      <c r="E140">
        <v>385</v>
      </c>
      <c r="F140">
        <v>3.2</v>
      </c>
      <c r="G140">
        <f t="shared" si="2"/>
        <v>120</v>
      </c>
    </row>
    <row r="141" spans="1:7">
      <c r="A141">
        <v>5003</v>
      </c>
      <c r="B141" t="s">
        <v>339</v>
      </c>
      <c r="C141">
        <v>2060</v>
      </c>
      <c r="D141">
        <v>2060</v>
      </c>
      <c r="E141">
        <v>19</v>
      </c>
      <c r="F141">
        <v>4</v>
      </c>
      <c r="G141">
        <f t="shared" si="2"/>
        <v>5</v>
      </c>
    </row>
    <row r="142" spans="1:7">
      <c r="A142">
        <v>5004</v>
      </c>
      <c r="B142" t="s">
        <v>340</v>
      </c>
      <c r="C142">
        <v>4010</v>
      </c>
      <c r="D142">
        <v>4010</v>
      </c>
      <c r="E142">
        <v>61821528</v>
      </c>
      <c r="F142">
        <v>1</v>
      </c>
      <c r="G142">
        <f t="shared" si="2"/>
        <v>61821528</v>
      </c>
    </row>
    <row r="143" spans="1:7">
      <c r="A143">
        <v>5004</v>
      </c>
      <c r="B143" t="s">
        <v>341</v>
      </c>
      <c r="C143">
        <v>4020</v>
      </c>
      <c r="D143">
        <v>4020</v>
      </c>
      <c r="E143">
        <v>3091056</v>
      </c>
      <c r="F143">
        <v>1.4</v>
      </c>
      <c r="G143">
        <f t="shared" si="2"/>
        <v>2207897</v>
      </c>
    </row>
    <row r="144" spans="1:7">
      <c r="A144">
        <v>5004</v>
      </c>
      <c r="B144" t="s">
        <v>342</v>
      </c>
      <c r="C144">
        <v>4030</v>
      </c>
      <c r="D144">
        <v>4030</v>
      </c>
      <c r="E144">
        <v>154545</v>
      </c>
      <c r="F144">
        <v>1.9</v>
      </c>
      <c r="G144">
        <f t="shared" si="2"/>
        <v>81339</v>
      </c>
    </row>
    <row r="145" spans="1:7">
      <c r="A145">
        <v>5004</v>
      </c>
      <c r="B145" t="s">
        <v>343</v>
      </c>
      <c r="C145">
        <v>4040</v>
      </c>
      <c r="D145">
        <v>4040</v>
      </c>
      <c r="E145">
        <v>7727</v>
      </c>
      <c r="F145">
        <v>2.5</v>
      </c>
      <c r="G145">
        <f t="shared" si="2"/>
        <v>3091</v>
      </c>
    </row>
    <row r="146" spans="1:7">
      <c r="A146">
        <v>5004</v>
      </c>
      <c r="B146" t="s">
        <v>344</v>
      </c>
      <c r="C146">
        <v>4050</v>
      </c>
      <c r="D146">
        <v>4050</v>
      </c>
      <c r="E146">
        <v>385</v>
      </c>
      <c r="F146">
        <v>3.2</v>
      </c>
      <c r="G146">
        <f t="shared" si="2"/>
        <v>120</v>
      </c>
    </row>
    <row r="147" spans="1:7">
      <c r="A147">
        <v>5004</v>
      </c>
      <c r="B147" t="s">
        <v>345</v>
      </c>
      <c r="C147">
        <v>4060</v>
      </c>
      <c r="D147">
        <v>4060</v>
      </c>
      <c r="E147">
        <v>19</v>
      </c>
      <c r="F147">
        <v>4</v>
      </c>
      <c r="G147">
        <f t="shared" si="2"/>
        <v>5</v>
      </c>
    </row>
    <row r="148" spans="1:7">
      <c r="A148">
        <v>5005</v>
      </c>
      <c r="B148" t="s">
        <v>346</v>
      </c>
      <c r="C148">
        <v>6010</v>
      </c>
      <c r="D148">
        <v>6010</v>
      </c>
      <c r="E148">
        <v>61821528</v>
      </c>
      <c r="F148">
        <v>1</v>
      </c>
      <c r="G148">
        <f t="shared" si="2"/>
        <v>61821528</v>
      </c>
    </row>
    <row r="149" spans="1:7">
      <c r="A149">
        <v>5005</v>
      </c>
      <c r="B149" t="s">
        <v>347</v>
      </c>
      <c r="C149">
        <v>6020</v>
      </c>
      <c r="D149">
        <v>6020</v>
      </c>
      <c r="E149">
        <v>3091056</v>
      </c>
      <c r="F149">
        <v>1.4</v>
      </c>
      <c r="G149">
        <f t="shared" si="2"/>
        <v>2207897</v>
      </c>
    </row>
    <row r="150" spans="1:7">
      <c r="A150">
        <v>5005</v>
      </c>
      <c r="B150" t="s">
        <v>348</v>
      </c>
      <c r="C150">
        <v>6030</v>
      </c>
      <c r="D150">
        <v>6030</v>
      </c>
      <c r="E150">
        <v>154545</v>
      </c>
      <c r="F150">
        <v>1.9</v>
      </c>
      <c r="G150">
        <f t="shared" si="2"/>
        <v>81339</v>
      </c>
    </row>
    <row r="151" spans="1:7">
      <c r="A151">
        <v>5005</v>
      </c>
      <c r="B151" t="s">
        <v>349</v>
      </c>
      <c r="C151">
        <v>6040</v>
      </c>
      <c r="D151">
        <v>6040</v>
      </c>
      <c r="E151">
        <v>7727</v>
      </c>
      <c r="F151">
        <v>2.5</v>
      </c>
      <c r="G151">
        <f t="shared" si="2"/>
        <v>3091</v>
      </c>
    </row>
    <row r="152" spans="1:7">
      <c r="A152">
        <v>5005</v>
      </c>
      <c r="B152" t="s">
        <v>350</v>
      </c>
      <c r="C152">
        <v>6050</v>
      </c>
      <c r="D152">
        <v>6050</v>
      </c>
      <c r="E152">
        <v>385</v>
      </c>
      <c r="F152">
        <v>3.2</v>
      </c>
      <c r="G152">
        <f t="shared" si="2"/>
        <v>120</v>
      </c>
    </row>
    <row r="153" spans="1:7">
      <c r="A153">
        <v>5005</v>
      </c>
      <c r="B153" t="s">
        <v>351</v>
      </c>
      <c r="C153">
        <v>6060</v>
      </c>
      <c r="D153">
        <v>6060</v>
      </c>
      <c r="E153">
        <v>19</v>
      </c>
      <c r="F153">
        <v>4</v>
      </c>
      <c r="G153">
        <f t="shared" si="2"/>
        <v>5</v>
      </c>
    </row>
    <row r="154" spans="1:7">
      <c r="A154">
        <v>5006</v>
      </c>
      <c r="B154" t="s">
        <v>433</v>
      </c>
      <c r="C154">
        <v>34020</v>
      </c>
      <c r="D154">
        <v>34020</v>
      </c>
      <c r="E154">
        <v>61821528</v>
      </c>
      <c r="F154">
        <v>1</v>
      </c>
      <c r="G154">
        <f t="shared" si="2"/>
        <v>61821528</v>
      </c>
    </row>
    <row r="155" spans="1:7">
      <c r="A155">
        <v>5006</v>
      </c>
      <c r="B155" t="s">
        <v>434</v>
      </c>
      <c r="C155">
        <v>34040</v>
      </c>
      <c r="D155">
        <v>34040</v>
      </c>
      <c r="E155">
        <v>3091056</v>
      </c>
      <c r="F155">
        <v>1.4</v>
      </c>
      <c r="G155">
        <f t="shared" si="2"/>
        <v>2207897</v>
      </c>
    </row>
    <row r="156" spans="1:7">
      <c r="A156">
        <v>5006</v>
      </c>
      <c r="B156" t="s">
        <v>406</v>
      </c>
      <c r="C156">
        <v>34060</v>
      </c>
      <c r="D156">
        <v>34060</v>
      </c>
      <c r="E156">
        <v>154545</v>
      </c>
      <c r="F156">
        <v>1.9</v>
      </c>
      <c r="G156">
        <f t="shared" si="2"/>
        <v>81339</v>
      </c>
    </row>
    <row r="157" spans="1:7">
      <c r="A157">
        <v>5006</v>
      </c>
      <c r="B157" t="s">
        <v>407</v>
      </c>
      <c r="C157">
        <v>34080</v>
      </c>
      <c r="D157">
        <v>34080</v>
      </c>
      <c r="E157">
        <v>7727</v>
      </c>
      <c r="F157">
        <v>2.5</v>
      </c>
      <c r="G157">
        <f t="shared" si="2"/>
        <v>3091</v>
      </c>
    </row>
    <row r="158" spans="1:7">
      <c r="A158">
        <v>5006</v>
      </c>
      <c r="B158" t="s">
        <v>408</v>
      </c>
      <c r="C158">
        <v>34100</v>
      </c>
      <c r="D158">
        <v>34100</v>
      </c>
      <c r="E158">
        <v>385</v>
      </c>
      <c r="F158">
        <v>3.2</v>
      </c>
      <c r="G158">
        <f t="shared" si="2"/>
        <v>120</v>
      </c>
    </row>
    <row r="159" spans="1:7">
      <c r="A159">
        <v>5006</v>
      </c>
      <c r="B159" t="s">
        <v>409</v>
      </c>
      <c r="C159">
        <v>34120</v>
      </c>
      <c r="D159">
        <v>34120</v>
      </c>
      <c r="E159">
        <v>19</v>
      </c>
      <c r="F159">
        <v>4</v>
      </c>
      <c r="G159">
        <f t="shared" si="2"/>
        <v>5</v>
      </c>
    </row>
    <row r="160" spans="1:7">
      <c r="A160">
        <v>5006</v>
      </c>
      <c r="B160" t="s">
        <v>435</v>
      </c>
      <c r="C160">
        <v>35020</v>
      </c>
      <c r="D160">
        <v>35020</v>
      </c>
      <c r="E160">
        <v>61821528</v>
      </c>
      <c r="F160">
        <v>1</v>
      </c>
      <c r="G160">
        <f t="shared" si="2"/>
        <v>61821528</v>
      </c>
    </row>
    <row r="161" spans="1:7">
      <c r="A161">
        <v>5006</v>
      </c>
      <c r="B161" t="s">
        <v>436</v>
      </c>
      <c r="C161">
        <v>35040</v>
      </c>
      <c r="D161">
        <v>35040</v>
      </c>
      <c r="E161">
        <v>3091056</v>
      </c>
      <c r="F161">
        <v>1.4</v>
      </c>
      <c r="G161">
        <f t="shared" si="2"/>
        <v>2207897</v>
      </c>
    </row>
    <row r="162" spans="1:7">
      <c r="A162">
        <v>5006</v>
      </c>
      <c r="B162" t="s">
        <v>412</v>
      </c>
      <c r="C162">
        <v>35060</v>
      </c>
      <c r="D162">
        <v>35060</v>
      </c>
      <c r="E162">
        <v>154545</v>
      </c>
      <c r="F162">
        <v>1.9</v>
      </c>
      <c r="G162">
        <f t="shared" si="2"/>
        <v>81339</v>
      </c>
    </row>
    <row r="163" spans="1:7">
      <c r="A163">
        <v>5006</v>
      </c>
      <c r="B163" t="s">
        <v>413</v>
      </c>
      <c r="C163">
        <v>35080</v>
      </c>
      <c r="D163">
        <v>35080</v>
      </c>
      <c r="E163">
        <v>7727</v>
      </c>
      <c r="F163">
        <v>2.5</v>
      </c>
      <c r="G163">
        <f t="shared" si="2"/>
        <v>3091</v>
      </c>
    </row>
    <row r="164" spans="1:7">
      <c r="A164">
        <v>5006</v>
      </c>
      <c r="B164" t="s">
        <v>414</v>
      </c>
      <c r="C164">
        <v>35100</v>
      </c>
      <c r="D164">
        <v>35100</v>
      </c>
      <c r="E164">
        <v>385</v>
      </c>
      <c r="F164">
        <v>3.2</v>
      </c>
      <c r="G164">
        <f t="shared" si="2"/>
        <v>120</v>
      </c>
    </row>
    <row r="165" spans="1:7">
      <c r="A165">
        <v>5006</v>
      </c>
      <c r="B165" t="s">
        <v>415</v>
      </c>
      <c r="C165">
        <v>35120</v>
      </c>
      <c r="D165">
        <v>35120</v>
      </c>
      <c r="E165">
        <v>19</v>
      </c>
      <c r="F165">
        <v>4</v>
      </c>
      <c r="G165">
        <f t="shared" si="2"/>
        <v>5</v>
      </c>
    </row>
    <row r="166" spans="1:7">
      <c r="A166">
        <v>6001</v>
      </c>
      <c r="B166" t="s">
        <v>352</v>
      </c>
      <c r="C166">
        <v>8010</v>
      </c>
      <c r="D166">
        <v>8010</v>
      </c>
      <c r="E166">
        <v>61821528</v>
      </c>
      <c r="F166">
        <v>1</v>
      </c>
      <c r="G166">
        <f t="shared" si="2"/>
        <v>61821528</v>
      </c>
    </row>
    <row r="167" spans="1:7">
      <c r="A167">
        <v>6001</v>
      </c>
      <c r="B167" t="s">
        <v>353</v>
      </c>
      <c r="C167">
        <v>8020</v>
      </c>
      <c r="D167">
        <v>8020</v>
      </c>
      <c r="E167">
        <v>3091056</v>
      </c>
      <c r="F167">
        <v>2</v>
      </c>
      <c r="G167">
        <f t="shared" si="2"/>
        <v>1545528</v>
      </c>
    </row>
    <row r="168" spans="1:7">
      <c r="A168">
        <v>6001</v>
      </c>
      <c r="B168" t="s">
        <v>354</v>
      </c>
      <c r="C168">
        <v>8030</v>
      </c>
      <c r="D168">
        <v>8030</v>
      </c>
      <c r="E168">
        <v>154545</v>
      </c>
      <c r="F168">
        <v>3.3</v>
      </c>
      <c r="G168">
        <f t="shared" si="2"/>
        <v>46832</v>
      </c>
    </row>
    <row r="169" spans="1:7">
      <c r="A169">
        <v>6001</v>
      </c>
      <c r="B169" t="s">
        <v>355</v>
      </c>
      <c r="C169">
        <v>8040</v>
      </c>
      <c r="D169">
        <v>8040</v>
      </c>
      <c r="E169">
        <v>7727</v>
      </c>
      <c r="F169">
        <v>5</v>
      </c>
      <c r="G169">
        <f t="shared" si="2"/>
        <v>1545</v>
      </c>
    </row>
    <row r="170" spans="1:7">
      <c r="A170">
        <v>6001</v>
      </c>
      <c r="B170" t="s">
        <v>356</v>
      </c>
      <c r="C170">
        <v>8050</v>
      </c>
      <c r="D170">
        <v>8050</v>
      </c>
      <c r="E170">
        <v>385</v>
      </c>
      <c r="F170">
        <v>7</v>
      </c>
      <c r="G170">
        <f t="shared" si="2"/>
        <v>55</v>
      </c>
    </row>
    <row r="171" spans="1:7">
      <c r="A171">
        <v>6001</v>
      </c>
      <c r="B171" t="s">
        <v>357</v>
      </c>
      <c r="C171">
        <v>8060</v>
      </c>
      <c r="D171">
        <v>8060</v>
      </c>
      <c r="E171">
        <v>19</v>
      </c>
      <c r="F171">
        <v>10</v>
      </c>
      <c r="G171">
        <f t="shared" si="2"/>
        <v>2</v>
      </c>
    </row>
    <row r="172" spans="1:7">
      <c r="A172">
        <v>6001</v>
      </c>
      <c r="B172" t="s">
        <v>358</v>
      </c>
      <c r="C172">
        <v>10010</v>
      </c>
      <c r="D172">
        <v>10010</v>
      </c>
      <c r="E172">
        <v>61821528</v>
      </c>
      <c r="F172">
        <v>1</v>
      </c>
      <c r="G172">
        <f t="shared" si="2"/>
        <v>61821528</v>
      </c>
    </row>
    <row r="173" spans="1:7">
      <c r="A173">
        <v>6001</v>
      </c>
      <c r="B173" t="s">
        <v>359</v>
      </c>
      <c r="C173">
        <v>10020</v>
      </c>
      <c r="D173">
        <v>10020</v>
      </c>
      <c r="E173">
        <v>3091056</v>
      </c>
      <c r="F173">
        <v>2</v>
      </c>
      <c r="G173">
        <f t="shared" si="2"/>
        <v>1545528</v>
      </c>
    </row>
    <row r="174" spans="1:7">
      <c r="A174">
        <v>6001</v>
      </c>
      <c r="B174" t="s">
        <v>360</v>
      </c>
      <c r="C174">
        <v>10030</v>
      </c>
      <c r="D174">
        <v>10030</v>
      </c>
      <c r="E174">
        <v>154545</v>
      </c>
      <c r="F174">
        <v>3.3</v>
      </c>
      <c r="G174">
        <f t="shared" si="2"/>
        <v>46832</v>
      </c>
    </row>
    <row r="175" spans="1:7">
      <c r="A175">
        <v>6001</v>
      </c>
      <c r="B175" t="s">
        <v>361</v>
      </c>
      <c r="C175">
        <v>10040</v>
      </c>
      <c r="D175">
        <v>10040</v>
      </c>
      <c r="E175">
        <v>7727</v>
      </c>
      <c r="F175">
        <v>5</v>
      </c>
      <c r="G175">
        <f t="shared" si="2"/>
        <v>1545</v>
      </c>
    </row>
    <row r="176" spans="1:7">
      <c r="A176">
        <v>6001</v>
      </c>
      <c r="B176" t="s">
        <v>362</v>
      </c>
      <c r="C176">
        <v>10050</v>
      </c>
      <c r="D176">
        <v>10050</v>
      </c>
      <c r="E176">
        <v>385</v>
      </c>
      <c r="F176">
        <v>7</v>
      </c>
      <c r="G176">
        <f t="shared" si="2"/>
        <v>55</v>
      </c>
    </row>
    <row r="177" spans="1:7">
      <c r="A177">
        <v>6001</v>
      </c>
      <c r="B177" t="s">
        <v>363</v>
      </c>
      <c r="C177">
        <v>10060</v>
      </c>
      <c r="D177">
        <v>10060</v>
      </c>
      <c r="E177">
        <v>19</v>
      </c>
      <c r="F177">
        <v>10</v>
      </c>
      <c r="G177">
        <f t="shared" si="2"/>
        <v>2</v>
      </c>
    </row>
    <row r="178" spans="1:7">
      <c r="A178">
        <v>6003</v>
      </c>
      <c r="B178" t="s">
        <v>364</v>
      </c>
      <c r="C178">
        <v>2010</v>
      </c>
      <c r="D178">
        <v>2010</v>
      </c>
      <c r="E178">
        <v>61821528</v>
      </c>
      <c r="F178">
        <v>1</v>
      </c>
      <c r="G178">
        <f t="shared" si="2"/>
        <v>61821528</v>
      </c>
    </row>
    <row r="179" spans="1:7">
      <c r="A179">
        <v>6003</v>
      </c>
      <c r="B179" t="s">
        <v>365</v>
      </c>
      <c r="C179">
        <v>2020</v>
      </c>
      <c r="D179">
        <v>2020</v>
      </c>
      <c r="E179">
        <v>3091056</v>
      </c>
      <c r="F179">
        <v>2</v>
      </c>
      <c r="G179">
        <f t="shared" si="2"/>
        <v>1545528</v>
      </c>
    </row>
    <row r="180" spans="1:7">
      <c r="A180">
        <v>6003</v>
      </c>
      <c r="B180" t="s">
        <v>366</v>
      </c>
      <c r="C180">
        <v>2030</v>
      </c>
      <c r="D180">
        <v>2030</v>
      </c>
      <c r="E180">
        <v>154545</v>
      </c>
      <c r="F180">
        <v>3.3</v>
      </c>
      <c r="G180">
        <f t="shared" si="2"/>
        <v>46832</v>
      </c>
    </row>
    <row r="181" spans="1:7">
      <c r="A181">
        <v>6003</v>
      </c>
      <c r="B181" t="s">
        <v>367</v>
      </c>
      <c r="C181">
        <v>2040</v>
      </c>
      <c r="D181">
        <v>2040</v>
      </c>
      <c r="E181">
        <v>7727</v>
      </c>
      <c r="F181">
        <v>5</v>
      </c>
      <c r="G181">
        <f t="shared" si="2"/>
        <v>1545</v>
      </c>
    </row>
    <row r="182" spans="1:7">
      <c r="A182">
        <v>6003</v>
      </c>
      <c r="B182" t="s">
        <v>368</v>
      </c>
      <c r="C182">
        <v>2050</v>
      </c>
      <c r="D182">
        <v>2050</v>
      </c>
      <c r="E182">
        <v>385</v>
      </c>
      <c r="F182">
        <v>7</v>
      </c>
      <c r="G182">
        <f t="shared" si="2"/>
        <v>55</v>
      </c>
    </row>
    <row r="183" spans="1:7">
      <c r="A183">
        <v>6003</v>
      </c>
      <c r="B183" t="s">
        <v>369</v>
      </c>
      <c r="C183">
        <v>2060</v>
      </c>
      <c r="D183">
        <v>2060</v>
      </c>
      <c r="E183">
        <v>19</v>
      </c>
      <c r="F183">
        <v>10</v>
      </c>
      <c r="G183">
        <f t="shared" si="2"/>
        <v>2</v>
      </c>
    </row>
    <row r="184" spans="1:7">
      <c r="A184">
        <v>6004</v>
      </c>
      <c r="B184" t="s">
        <v>370</v>
      </c>
      <c r="C184">
        <v>4010</v>
      </c>
      <c r="D184">
        <v>4010</v>
      </c>
      <c r="E184">
        <v>61821528</v>
      </c>
      <c r="F184">
        <v>1</v>
      </c>
      <c r="G184">
        <f t="shared" si="2"/>
        <v>61821528</v>
      </c>
    </row>
    <row r="185" spans="1:7">
      <c r="A185">
        <v>6004</v>
      </c>
      <c r="B185" t="s">
        <v>371</v>
      </c>
      <c r="C185">
        <v>4020</v>
      </c>
      <c r="D185">
        <v>4020</v>
      </c>
      <c r="E185">
        <v>3091056</v>
      </c>
      <c r="F185">
        <v>2</v>
      </c>
      <c r="G185">
        <f t="shared" si="2"/>
        <v>1545528</v>
      </c>
    </row>
    <row r="186" spans="1:7">
      <c r="A186">
        <v>6004</v>
      </c>
      <c r="B186" t="s">
        <v>372</v>
      </c>
      <c r="C186">
        <v>4030</v>
      </c>
      <c r="D186">
        <v>4030</v>
      </c>
      <c r="E186">
        <v>154545</v>
      </c>
      <c r="F186">
        <v>3.3</v>
      </c>
      <c r="G186">
        <f t="shared" si="2"/>
        <v>46832</v>
      </c>
    </row>
    <row r="187" spans="1:7">
      <c r="A187">
        <v>6004</v>
      </c>
      <c r="B187" t="s">
        <v>373</v>
      </c>
      <c r="C187">
        <v>4040</v>
      </c>
      <c r="D187">
        <v>4040</v>
      </c>
      <c r="E187">
        <v>7727</v>
      </c>
      <c r="F187">
        <v>5</v>
      </c>
      <c r="G187">
        <f t="shared" si="2"/>
        <v>1545</v>
      </c>
    </row>
    <row r="188" spans="1:7">
      <c r="A188">
        <v>6004</v>
      </c>
      <c r="B188" t="s">
        <v>374</v>
      </c>
      <c r="C188">
        <v>4050</v>
      </c>
      <c r="D188">
        <v>4050</v>
      </c>
      <c r="E188">
        <v>385</v>
      </c>
      <c r="F188">
        <v>7</v>
      </c>
      <c r="G188">
        <f t="shared" si="2"/>
        <v>55</v>
      </c>
    </row>
    <row r="189" spans="1:7">
      <c r="A189">
        <v>6004</v>
      </c>
      <c r="B189" t="s">
        <v>375</v>
      </c>
      <c r="C189">
        <v>4060</v>
      </c>
      <c r="D189">
        <v>4060</v>
      </c>
      <c r="E189">
        <v>19</v>
      </c>
      <c r="F189">
        <v>10</v>
      </c>
      <c r="G189">
        <f t="shared" si="2"/>
        <v>2</v>
      </c>
    </row>
    <row r="190" spans="1:7">
      <c r="A190">
        <v>6005</v>
      </c>
      <c r="B190" t="s">
        <v>376</v>
      </c>
      <c r="C190">
        <v>6010</v>
      </c>
      <c r="D190">
        <v>6010</v>
      </c>
      <c r="E190">
        <v>61821528</v>
      </c>
      <c r="F190">
        <v>1</v>
      </c>
      <c r="G190">
        <f t="shared" si="2"/>
        <v>61821528</v>
      </c>
    </row>
    <row r="191" spans="1:7">
      <c r="A191">
        <v>6005</v>
      </c>
      <c r="B191" t="s">
        <v>377</v>
      </c>
      <c r="C191">
        <v>6020</v>
      </c>
      <c r="D191">
        <v>6020</v>
      </c>
      <c r="E191">
        <v>3091056</v>
      </c>
      <c r="F191">
        <v>2</v>
      </c>
      <c r="G191">
        <f t="shared" si="2"/>
        <v>1545528</v>
      </c>
    </row>
    <row r="192" spans="1:7">
      <c r="A192">
        <v>6005</v>
      </c>
      <c r="B192" t="s">
        <v>378</v>
      </c>
      <c r="C192">
        <v>6030</v>
      </c>
      <c r="D192">
        <v>6030</v>
      </c>
      <c r="E192">
        <v>154545</v>
      </c>
      <c r="F192">
        <v>3.3</v>
      </c>
      <c r="G192">
        <f t="shared" si="2"/>
        <v>46832</v>
      </c>
    </row>
    <row r="193" spans="1:7">
      <c r="A193">
        <v>6005</v>
      </c>
      <c r="B193" t="s">
        <v>379</v>
      </c>
      <c r="C193">
        <v>6040</v>
      </c>
      <c r="D193">
        <v>6040</v>
      </c>
      <c r="E193">
        <v>7727</v>
      </c>
      <c r="F193">
        <v>5</v>
      </c>
      <c r="G193">
        <f t="shared" si="2"/>
        <v>1545</v>
      </c>
    </row>
    <row r="194" spans="1:7">
      <c r="A194">
        <v>6005</v>
      </c>
      <c r="B194" t="s">
        <v>380</v>
      </c>
      <c r="C194">
        <v>6050</v>
      </c>
      <c r="D194">
        <v>6050</v>
      </c>
      <c r="E194">
        <v>385</v>
      </c>
      <c r="F194">
        <v>7</v>
      </c>
      <c r="G194">
        <f t="shared" si="2"/>
        <v>55</v>
      </c>
    </row>
    <row r="195" spans="1:7">
      <c r="A195">
        <v>6005</v>
      </c>
      <c r="B195" t="s">
        <v>381</v>
      </c>
      <c r="C195">
        <v>6060</v>
      </c>
      <c r="D195">
        <v>6060</v>
      </c>
      <c r="E195">
        <v>19</v>
      </c>
      <c r="F195">
        <v>10</v>
      </c>
      <c r="G195">
        <f t="shared" si="2"/>
        <v>2</v>
      </c>
    </row>
    <row r="196" spans="1:7">
      <c r="A196">
        <v>6006</v>
      </c>
      <c r="B196" t="s">
        <v>393</v>
      </c>
      <c r="C196">
        <v>21010</v>
      </c>
      <c r="D196">
        <v>21010</v>
      </c>
      <c r="E196">
        <v>115972192</v>
      </c>
      <c r="F196">
        <v>1</v>
      </c>
      <c r="G196">
        <f t="shared" si="2"/>
        <v>115972192</v>
      </c>
    </row>
    <row r="197" spans="1:7">
      <c r="A197">
        <v>6006</v>
      </c>
      <c r="B197" t="s">
        <v>394</v>
      </c>
      <c r="C197">
        <v>21020</v>
      </c>
      <c r="D197">
        <v>21020</v>
      </c>
      <c r="E197">
        <v>3865661</v>
      </c>
      <c r="F197">
        <v>2</v>
      </c>
      <c r="G197">
        <f t="shared" ref="G197:G205" si="3">ROUND(E197/F197,0)</f>
        <v>1932831</v>
      </c>
    </row>
    <row r="198" spans="1:7">
      <c r="A198">
        <v>6006</v>
      </c>
      <c r="B198" t="s">
        <v>395</v>
      </c>
      <c r="C198">
        <v>21030</v>
      </c>
      <c r="D198">
        <v>21030</v>
      </c>
      <c r="E198">
        <v>128856</v>
      </c>
      <c r="F198">
        <v>3.3</v>
      </c>
      <c r="G198">
        <f t="shared" si="3"/>
        <v>39047</v>
      </c>
    </row>
    <row r="199" spans="1:7">
      <c r="A199">
        <v>6006</v>
      </c>
      <c r="B199" t="s">
        <v>396</v>
      </c>
      <c r="C199">
        <v>21040</v>
      </c>
      <c r="D199">
        <v>21040</v>
      </c>
      <c r="E199">
        <v>4297</v>
      </c>
      <c r="F199">
        <v>5</v>
      </c>
      <c r="G199">
        <f t="shared" si="3"/>
        <v>859</v>
      </c>
    </row>
    <row r="200" spans="1:7">
      <c r="A200">
        <v>6006</v>
      </c>
      <c r="B200" t="s">
        <v>397</v>
      </c>
      <c r="C200">
        <v>21050</v>
      </c>
      <c r="D200">
        <v>21050</v>
      </c>
      <c r="E200">
        <v>143</v>
      </c>
      <c r="F200">
        <v>7</v>
      </c>
      <c r="G200">
        <f t="shared" si="3"/>
        <v>20</v>
      </c>
    </row>
    <row r="201" spans="1:7">
      <c r="A201">
        <v>6007</v>
      </c>
      <c r="B201" t="s">
        <v>398</v>
      </c>
      <c r="C201">
        <v>22010</v>
      </c>
      <c r="D201">
        <v>22010</v>
      </c>
      <c r="E201">
        <v>115972192</v>
      </c>
      <c r="F201">
        <v>1</v>
      </c>
      <c r="G201">
        <f t="shared" si="3"/>
        <v>115972192</v>
      </c>
    </row>
    <row r="202" spans="1:7">
      <c r="A202">
        <v>6007</v>
      </c>
      <c r="B202" t="s">
        <v>399</v>
      </c>
      <c r="C202">
        <v>22020</v>
      </c>
      <c r="D202">
        <v>22020</v>
      </c>
      <c r="E202">
        <v>3865661</v>
      </c>
      <c r="F202">
        <v>2</v>
      </c>
      <c r="G202">
        <f t="shared" si="3"/>
        <v>1932831</v>
      </c>
    </row>
    <row r="203" spans="1:7">
      <c r="A203">
        <v>6007</v>
      </c>
      <c r="B203" t="s">
        <v>400</v>
      </c>
      <c r="C203">
        <v>22030</v>
      </c>
      <c r="D203">
        <v>22030</v>
      </c>
      <c r="E203">
        <v>128856</v>
      </c>
      <c r="F203">
        <v>3.3</v>
      </c>
      <c r="G203">
        <f t="shared" si="3"/>
        <v>39047</v>
      </c>
    </row>
    <row r="204" spans="1:7">
      <c r="A204">
        <v>6007</v>
      </c>
      <c r="B204" t="s">
        <v>401</v>
      </c>
      <c r="C204">
        <v>22040</v>
      </c>
      <c r="D204">
        <v>22040</v>
      </c>
      <c r="E204">
        <v>4297</v>
      </c>
      <c r="F204">
        <v>5</v>
      </c>
      <c r="G204">
        <f t="shared" si="3"/>
        <v>859</v>
      </c>
    </row>
    <row r="205" spans="1:7">
      <c r="A205">
        <v>6007</v>
      </c>
      <c r="B205" t="s">
        <v>402</v>
      </c>
      <c r="C205">
        <v>22050</v>
      </c>
      <c r="D205">
        <v>22050</v>
      </c>
      <c r="E205">
        <v>143</v>
      </c>
      <c r="F205">
        <v>7</v>
      </c>
      <c r="G205">
        <f t="shared" si="3"/>
        <v>20</v>
      </c>
    </row>
  </sheetData>
  <phoneticPr fontId="1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正表</vt:lpstr>
      <vt:lpstr>数据库</vt:lpstr>
      <vt:lpstr>特殊数据</vt:lpstr>
      <vt:lpstr>参考表</vt:lpstr>
      <vt:lpstr>备注</vt:lpstr>
      <vt:lpstr>备份表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2016-06-04T06:29:25Z</dcterms:modified>
</cp:coreProperties>
</file>