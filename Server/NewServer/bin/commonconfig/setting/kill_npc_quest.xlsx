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95" yWindow="135" windowWidth="18720" windowHeight="9390"/>
  </bookViews>
  <sheets>
    <sheet name="Sheet1" sheetId="1" r:id="rId1"/>
    <sheet name="字段说明" sheetId="2" r:id="rId2"/>
    <sheet name="索引" sheetId="4" r:id="rId3"/>
    <sheet name="Sheet3" sheetId="3" r:id="rId4"/>
  </sheets>
  <definedNames>
    <definedName name="_xlnm._FilterDatabase" localSheetId="0" hidden="1">Sheet1!$A$1:$BP$48</definedName>
  </definedNames>
  <calcPr calcId="145621"/>
</workbook>
</file>

<file path=xl/calcChain.xml><?xml version="1.0" encoding="utf-8"?>
<calcChain xmlns="http://schemas.openxmlformats.org/spreadsheetml/2006/main">
  <c r="AZ50" i="1" l="1"/>
  <c r="AZ49" i="1"/>
  <c r="T49" i="1"/>
  <c r="T50" i="1"/>
  <c r="AB50" i="1"/>
  <c r="AB49" i="1"/>
  <c r="AJ50" i="1"/>
  <c r="AJ49" i="1"/>
  <c r="AR50" i="1"/>
  <c r="AR49" i="1"/>
  <c r="L50" i="1"/>
  <c r="L49" i="1"/>
  <c r="D35" i="4" l="1"/>
  <c r="D34" i="4"/>
  <c r="D33" i="4"/>
  <c r="D32" i="4"/>
  <c r="H32" i="4" l="1"/>
  <c r="L53" i="1" l="1"/>
  <c r="C43" i="4" l="1"/>
  <c r="C42" i="4"/>
  <c r="C41" i="4"/>
  <c r="C40" i="4"/>
  <c r="D16" i="4" l="1"/>
  <c r="D15" i="4"/>
  <c r="L42" i="1" l="1"/>
  <c r="L37" i="1"/>
  <c r="L28" i="1"/>
  <c r="L22" i="1"/>
  <c r="D4" i="4"/>
  <c r="D5" i="4"/>
  <c r="D6" i="4"/>
  <c r="D7" i="4"/>
  <c r="D8" i="4"/>
  <c r="D9" i="4"/>
  <c r="D10" i="4"/>
  <c r="D11" i="4"/>
  <c r="L16" i="1" s="1"/>
  <c r="D12" i="4"/>
  <c r="D13" i="4"/>
  <c r="H13" i="4" s="1"/>
  <c r="D14" i="4"/>
  <c r="D17" i="4"/>
  <c r="D18" i="4"/>
  <c r="D19" i="4"/>
  <c r="D44" i="4" s="1"/>
  <c r="D20" i="4"/>
  <c r="D21" i="4"/>
  <c r="D22" i="4"/>
  <c r="D23" i="4"/>
  <c r="D24" i="4"/>
  <c r="D25" i="4"/>
  <c r="D26" i="4"/>
  <c r="D27" i="4"/>
  <c r="D28" i="4"/>
  <c r="D29" i="4"/>
  <c r="D30" i="4"/>
  <c r="D31" i="4"/>
  <c r="L41" i="1" s="1"/>
  <c r="D3" i="4"/>
  <c r="D2" i="4"/>
  <c r="H2" i="4" s="1"/>
  <c r="D48" i="4" l="1"/>
  <c r="D49" i="4"/>
  <c r="D46" i="4"/>
  <c r="D47" i="4"/>
  <c r="L32" i="1"/>
  <c r="D45" i="4"/>
  <c r="D52" i="4" s="1"/>
  <c r="L17" i="1"/>
  <c r="AJ17" i="1"/>
  <c r="T17" i="1"/>
  <c r="AB17" i="1"/>
  <c r="T7" i="1"/>
  <c r="AJ7" i="1"/>
  <c r="AB7" i="1"/>
  <c r="L7" i="1"/>
  <c r="H4" i="4"/>
  <c r="AJ34" i="1"/>
  <c r="AR34" i="1"/>
  <c r="AB34" i="1"/>
  <c r="L34" i="1"/>
  <c r="T34" i="1"/>
  <c r="H24" i="4"/>
  <c r="AB33" i="1"/>
  <c r="AJ33" i="1"/>
  <c r="AR33" i="1"/>
  <c r="L33" i="1"/>
  <c r="T33" i="1"/>
  <c r="H21" i="4"/>
  <c r="AJ29" i="1"/>
  <c r="AB29" i="1"/>
  <c r="AR29" i="1"/>
  <c r="T29" i="1"/>
  <c r="L29" i="1"/>
  <c r="AB24" i="1"/>
  <c r="AJ24" i="1"/>
  <c r="AR24" i="1"/>
  <c r="T24" i="1"/>
  <c r="L24" i="1"/>
  <c r="H17" i="4"/>
  <c r="AJ23" i="1"/>
  <c r="AB23" i="1"/>
  <c r="AR23" i="1"/>
  <c r="T23" i="1"/>
  <c r="L23" i="1"/>
  <c r="AR39" i="1"/>
  <c r="AJ39" i="1"/>
  <c r="AB39" i="1"/>
  <c r="L39" i="1"/>
  <c r="T39" i="1"/>
  <c r="H28" i="4"/>
  <c r="AR38" i="1"/>
  <c r="AJ38" i="1"/>
  <c r="AB38" i="1"/>
  <c r="T38" i="1"/>
  <c r="L38" i="1"/>
  <c r="L40" i="1"/>
  <c r="AJ13" i="1"/>
  <c r="AB13" i="1"/>
  <c r="T13" i="1"/>
  <c r="L13" i="1"/>
  <c r="AJ12" i="1"/>
  <c r="AB12" i="1"/>
  <c r="T12" i="1"/>
  <c r="L12" i="1"/>
  <c r="AB9" i="1"/>
  <c r="T9" i="1"/>
  <c r="AJ9" i="1"/>
  <c r="L9" i="1"/>
  <c r="AB8" i="1"/>
  <c r="L8" i="1"/>
  <c r="AJ8" i="1"/>
  <c r="T8" i="1"/>
  <c r="L11" i="1" l="1"/>
  <c r="L10" i="1"/>
  <c r="L5" i="1"/>
  <c r="L19" i="1"/>
  <c r="L15" i="1"/>
  <c r="L31" i="1"/>
  <c r="L4" i="1" l="1"/>
  <c r="L30" i="1"/>
  <c r="L25" i="1"/>
  <c r="L14" i="1"/>
  <c r="L35" i="1"/>
  <c r="L6" i="1"/>
  <c r="T5" i="1"/>
  <c r="L26" i="1"/>
  <c r="T4" i="1"/>
  <c r="L36" i="1"/>
  <c r="L18" i="1" l="1"/>
  <c r="AJ6" i="1"/>
  <c r="T6" i="1"/>
  <c r="AB6" i="1"/>
</calcChain>
</file>

<file path=xl/sharedStrings.xml><?xml version="1.0" encoding="utf-8"?>
<sst xmlns="http://schemas.openxmlformats.org/spreadsheetml/2006/main" count="935" uniqueCount="620">
  <si>
    <t>QuestID</t>
  </si>
  <si>
    <t>NpcTemplateID</t>
  </si>
  <si>
    <t>NpcGroupID</t>
  </si>
  <si>
    <t>Name1</t>
  </si>
  <si>
    <t>KillCount1</t>
  </si>
  <si>
    <t>RewardExp1</t>
  </si>
  <si>
    <t>Name2</t>
  </si>
  <si>
    <t>KillCount2</t>
  </si>
  <si>
    <t>AchievementPts2</t>
  </si>
  <si>
    <t>RewardExp2</t>
  </si>
  <si>
    <t>Name3</t>
  </si>
  <si>
    <t>KillCount3</t>
  </si>
  <si>
    <t>AchievementPts3</t>
  </si>
  <si>
    <t>RewardExp3</t>
  </si>
  <si>
    <t>Name4</t>
  </si>
  <si>
    <t>KillCount4</t>
  </si>
  <si>
    <t>AchievementPts4</t>
  </si>
  <si>
    <t>RewardExp4</t>
  </si>
  <si>
    <t>Name5</t>
  </si>
  <si>
    <t>KillCount5</t>
  </si>
  <si>
    <t>AchievementPts5</t>
  </si>
  <si>
    <t>RewardExp5</t>
  </si>
  <si>
    <t>Name6</t>
  </si>
  <si>
    <t>KillCount6</t>
  </si>
  <si>
    <t>AchievementPts6</t>
  </si>
  <si>
    <t>RewardExp6</t>
  </si>
  <si>
    <t>Name7</t>
  </si>
  <si>
    <t>KillCount7</t>
  </si>
  <si>
    <t>AchievementPts7</t>
  </si>
  <si>
    <t>RewardExp7</t>
  </si>
  <si>
    <t>Name8</t>
  </si>
  <si>
    <t>KillCount8</t>
  </si>
  <si>
    <t>AchievementPts8</t>
  </si>
  <si>
    <t>RewardExp8</t>
  </si>
  <si>
    <t>Server</t>
  </si>
  <si>
    <t>ResetType</t>
    <phoneticPr fontId="1" type="noConversion"/>
  </si>
  <si>
    <t>AchievementPts1</t>
    <phoneticPr fontId="1" type="noConversion"/>
  </si>
  <si>
    <t>任务id</t>
    <phoneticPr fontId="1" type="noConversion"/>
  </si>
  <si>
    <t>npcid</t>
    <phoneticPr fontId="1" type="noConversion"/>
  </si>
  <si>
    <t>npc组id</t>
    <phoneticPr fontId="1" type="noConversion"/>
  </si>
  <si>
    <t>重复类型</t>
    <phoneticPr fontId="1" type="noConversion"/>
  </si>
  <si>
    <t>qttNoReset</t>
  </si>
  <si>
    <t>qttWeek</t>
  </si>
  <si>
    <t>不重复</t>
    <phoneticPr fontId="1" type="noConversion"/>
  </si>
  <si>
    <t>日常</t>
    <phoneticPr fontId="1" type="noConversion"/>
  </si>
  <si>
    <t>周常</t>
    <phoneticPr fontId="1" type="noConversion"/>
  </si>
  <si>
    <t>中文名</t>
    <phoneticPr fontId="1" type="noConversion"/>
  </si>
  <si>
    <t>击杀数量</t>
    <phoneticPr fontId="1" type="noConversion"/>
  </si>
  <si>
    <t>奖励成就点</t>
    <phoneticPr fontId="1" type="noConversion"/>
  </si>
  <si>
    <t>奖励经验</t>
    <phoneticPr fontId="1" type="noConversion"/>
  </si>
  <si>
    <t>稻草人杀手</t>
  </si>
  <si>
    <t>稻草人猎手</t>
  </si>
  <si>
    <t>稻草人宿敌</t>
  </si>
  <si>
    <t>稻草人克星</t>
  </si>
  <si>
    <t>稻草人的噩梦</t>
  </si>
  <si>
    <t>稻草人惨剧制造者</t>
  </si>
  <si>
    <t>稻草人眼中的大魔王</t>
  </si>
  <si>
    <t>钉耙猫杀手</t>
  </si>
  <si>
    <t>钉耙猫猎手</t>
  </si>
  <si>
    <t>钉耙猫宿敌</t>
  </si>
  <si>
    <t>钉耙猫克星</t>
  </si>
  <si>
    <t>钉耙猫的噩梦</t>
  </si>
  <si>
    <t>钉耙猫惨剧制造者</t>
  </si>
  <si>
    <t>钉耙猫眼中的大魔王</t>
  </si>
  <si>
    <t>鹿杀手</t>
  </si>
  <si>
    <t>鹿猎手</t>
  </si>
  <si>
    <t>鹿宿敌</t>
  </si>
  <si>
    <t>鹿克星</t>
  </si>
  <si>
    <t>鹿的噩梦</t>
  </si>
  <si>
    <t>鹿惨剧制造者</t>
  </si>
  <si>
    <t>鹿眼中的大魔王</t>
  </si>
  <si>
    <t>半兽人杀手</t>
  </si>
  <si>
    <t>半兽人猎手</t>
  </si>
  <si>
    <t>半兽人宿敌</t>
  </si>
  <si>
    <t>半兽人克星</t>
  </si>
  <si>
    <t>半兽人的噩梦</t>
  </si>
  <si>
    <t>半兽人惨剧制造者</t>
  </si>
  <si>
    <t>半兽人眼中的大魔王</t>
  </si>
  <si>
    <t>半兽人战士杀手</t>
  </si>
  <si>
    <t>半兽人战士猎手</t>
  </si>
  <si>
    <t>半兽人战士宿敌</t>
  </si>
  <si>
    <t>半兽人战士克星</t>
  </si>
  <si>
    <t>半兽人战士的噩梦</t>
  </si>
  <si>
    <t>半兽人战士惨剧制造者</t>
  </si>
  <si>
    <t>半兽人战士眼中的大魔王</t>
  </si>
  <si>
    <t>海蟹杀手</t>
  </si>
  <si>
    <t>海蟹猎手</t>
  </si>
  <si>
    <t>海蟹宿敌</t>
  </si>
  <si>
    <t>海蟹克星</t>
  </si>
  <si>
    <t>海蟹的噩梦</t>
  </si>
  <si>
    <t>海蟹惨剧制造者</t>
  </si>
  <si>
    <t>海蟹眼中的大魔王</t>
  </si>
  <si>
    <t>熊杀手</t>
  </si>
  <si>
    <t>熊猎手</t>
  </si>
  <si>
    <t>熊宿敌</t>
  </si>
  <si>
    <t>熊克星</t>
  </si>
  <si>
    <t>熊的噩梦</t>
  </si>
  <si>
    <t>熊惨剧制造者</t>
  </si>
  <si>
    <t>熊眼中的大魔王</t>
  </si>
  <si>
    <t>森林鹿杀手</t>
  </si>
  <si>
    <t>森林鹿猎手</t>
  </si>
  <si>
    <t>森林鹿宿敌</t>
  </si>
  <si>
    <t>森林鹿克星</t>
  </si>
  <si>
    <t>森林鹿的噩梦</t>
  </si>
  <si>
    <t>森林鹿惨剧制造者</t>
  </si>
  <si>
    <t>森林鹿眼中的大魔王</t>
  </si>
  <si>
    <t>森林海蟹杀手</t>
  </si>
  <si>
    <t>森林海蟹猎手</t>
  </si>
  <si>
    <t>森林海蟹宿敌</t>
  </si>
  <si>
    <t>森林海蟹克星</t>
  </si>
  <si>
    <t>森林海蟹的噩梦</t>
  </si>
  <si>
    <t>森林海蟹惨剧制造者</t>
  </si>
  <si>
    <t>森林海蟹眼中的大魔王</t>
  </si>
  <si>
    <t>森林狼杀手</t>
  </si>
  <si>
    <t>森林狼猎手</t>
  </si>
  <si>
    <t>森林狼宿敌</t>
  </si>
  <si>
    <t>森林狼克星</t>
  </si>
  <si>
    <t>森林狼的噩梦</t>
  </si>
  <si>
    <t>森林狼惨剧制造者</t>
  </si>
  <si>
    <t>森林狼眼中的大魔王</t>
  </si>
  <si>
    <t>树妖杀手</t>
  </si>
  <si>
    <t>树妖猎手</t>
  </si>
  <si>
    <t>树妖宿敌</t>
  </si>
  <si>
    <t>树妖克星</t>
  </si>
  <si>
    <t>树妖的噩梦</t>
  </si>
  <si>
    <t>树妖惨剧制造者</t>
  </si>
  <si>
    <t>树妖眼中的大魔王</t>
  </si>
  <si>
    <t>盔甲虫战士猎手</t>
  </si>
  <si>
    <t>盔甲虫战士宿敌</t>
  </si>
  <si>
    <t>盔甲虫战士克星</t>
  </si>
  <si>
    <t>盔甲虫战士的噩梦</t>
  </si>
  <si>
    <t>盔甲虫战士惨剧制造者</t>
  </si>
  <si>
    <t>盔甲虫战士眼中的大魔王</t>
  </si>
  <si>
    <t>盟重狼战士猎手</t>
  </si>
  <si>
    <t>盟重狼战士宿敌</t>
  </si>
  <si>
    <t>盟重狼战士克星</t>
  </si>
  <si>
    <t>盟重狼战士的噩梦</t>
  </si>
  <si>
    <t>盟重狼战士惨剧制造者</t>
  </si>
  <si>
    <t>盟重狼战士眼中的大魔王</t>
  </si>
  <si>
    <t>羊杀手</t>
  </si>
  <si>
    <t>羊猎手</t>
  </si>
  <si>
    <t>羊宿敌</t>
  </si>
  <si>
    <t>羊克星</t>
  </si>
  <si>
    <t>羊的噩梦</t>
  </si>
  <si>
    <t>羊惨剧制造者</t>
  </si>
  <si>
    <t>羊眼中的大魔王</t>
  </si>
  <si>
    <t>多角虫杀手</t>
  </si>
  <si>
    <t>多角虫猎手</t>
  </si>
  <si>
    <t>多角虫宿敌</t>
  </si>
  <si>
    <t>多角虫克星</t>
  </si>
  <si>
    <t>多角虫的噩梦</t>
  </si>
  <si>
    <t>多角虫惨剧制造者</t>
  </si>
  <si>
    <t>多角虫眼中的大魔王</t>
  </si>
  <si>
    <t>巨型多角虫杀手</t>
  </si>
  <si>
    <t>巨型多角虫猎手</t>
  </si>
  <si>
    <t>巨型多角虫宿敌</t>
  </si>
  <si>
    <t>巨型多角虫克星</t>
  </si>
  <si>
    <t>巨型多角虫的噩梦</t>
  </si>
  <si>
    <t>巨型多角虫惨剧制造者</t>
  </si>
  <si>
    <t>巨型多角虫眼中的大魔王</t>
  </si>
  <si>
    <t>僵尸杀手</t>
  </si>
  <si>
    <t>僵尸猎手</t>
  </si>
  <si>
    <t>僵尸宿敌</t>
  </si>
  <si>
    <t>僵尸克星</t>
  </si>
  <si>
    <t>僵尸的噩梦</t>
  </si>
  <si>
    <t>僵尸惨剧制造者</t>
  </si>
  <si>
    <t>僵尸眼中的大魔王</t>
  </si>
  <si>
    <t>山洞蝙蝠杀手</t>
  </si>
  <si>
    <t>山洞蝙蝠猎手</t>
  </si>
  <si>
    <t>山洞蝙蝠宿敌</t>
  </si>
  <si>
    <t>山洞蝙蝠克星</t>
  </si>
  <si>
    <t>山洞蝙蝠的噩梦</t>
  </si>
  <si>
    <t>山洞蝙蝠惨剧制造者</t>
  </si>
  <si>
    <t>山洞蝙蝠眼中的大魔王</t>
  </si>
  <si>
    <t>首杀：尸王</t>
  </si>
  <si>
    <t>连斩：尸王</t>
  </si>
  <si>
    <t>十连斩：尸王</t>
  </si>
  <si>
    <t>屠魔：尸王</t>
  </si>
  <si>
    <t>天罚：尸王</t>
  </si>
  <si>
    <t>龙之怒斩：尸王</t>
  </si>
  <si>
    <t>夺命神皇：尸王</t>
  </si>
  <si>
    <t>恶蛆杀手</t>
  </si>
  <si>
    <t>恶蛆猎手</t>
  </si>
  <si>
    <t>恶蛆宿敌</t>
  </si>
  <si>
    <t>恶蛆克星</t>
  </si>
  <si>
    <t>恶蛆的噩梦</t>
  </si>
  <si>
    <t>恶蛆惨剧制造者</t>
  </si>
  <si>
    <t>恶蛆眼中的大魔王</t>
  </si>
  <si>
    <t>沃玛战士杀手</t>
  </si>
  <si>
    <t>沃玛战士猎手</t>
  </si>
  <si>
    <t>沃玛战士宿敌</t>
  </si>
  <si>
    <t>沃玛战士克星</t>
  </si>
  <si>
    <t>沃玛战士的噩梦</t>
  </si>
  <si>
    <t>沃玛战士惨剧制造者</t>
  </si>
  <si>
    <t>沃玛战士眼中的大魔王</t>
  </si>
  <si>
    <t>沃玛勇士杀手</t>
  </si>
  <si>
    <t>沃玛勇士猎手</t>
  </si>
  <si>
    <t>沃玛勇士宿敌</t>
  </si>
  <si>
    <t>沃玛勇士克星</t>
  </si>
  <si>
    <t>沃玛勇士的噩梦</t>
  </si>
  <si>
    <t>沃玛勇士惨剧制造者</t>
  </si>
  <si>
    <t>沃玛勇士眼中的大魔王</t>
  </si>
  <si>
    <t>沃玛战将杀手</t>
  </si>
  <si>
    <t>沃玛战将猎手</t>
  </si>
  <si>
    <t>沃玛战将宿敌</t>
  </si>
  <si>
    <t>沃玛战将克星</t>
  </si>
  <si>
    <t>沃玛战将的噩梦</t>
  </si>
  <si>
    <t>沃玛战将惨剧制造者</t>
  </si>
  <si>
    <t>沃玛战将眼中的大魔王</t>
  </si>
  <si>
    <t>火焰沃玛杀手</t>
  </si>
  <si>
    <t>火焰沃玛猎手</t>
  </si>
  <si>
    <t>火焰沃玛宿敌</t>
  </si>
  <si>
    <t>火焰沃玛克星</t>
  </si>
  <si>
    <t>火焰沃玛的噩梦</t>
  </si>
  <si>
    <t>火焰沃玛惨剧制造者</t>
  </si>
  <si>
    <t>火焰沃玛眼中的大魔王</t>
  </si>
  <si>
    <t>首杀：沃玛教主</t>
  </si>
  <si>
    <t>连斩：沃玛教主</t>
  </si>
  <si>
    <t>十连斩：沃玛教主</t>
  </si>
  <si>
    <t>屠魔：沃玛教主</t>
  </si>
  <si>
    <t>天罚：沃玛教主</t>
  </si>
  <si>
    <t>龙之怒斩：沃玛教主</t>
  </si>
  <si>
    <t>夺命神皇：沃玛教主</t>
  </si>
  <si>
    <t>蜈蚣杀手</t>
  </si>
  <si>
    <t>蜈蚣猎手</t>
  </si>
  <si>
    <t>蜈蚣宿敌</t>
  </si>
  <si>
    <t>蜈蚣克星</t>
  </si>
  <si>
    <t>蜈蚣的噩梦</t>
  </si>
  <si>
    <t>蜈蚣惨剧制造者</t>
  </si>
  <si>
    <t>蜈蚣眼中的大魔王</t>
  </si>
  <si>
    <t>巨型蠕虫杀手</t>
  </si>
  <si>
    <t>巨型蠕虫猎手</t>
  </si>
  <si>
    <t>巨型蠕虫宿敌</t>
  </si>
  <si>
    <t>巨型蠕虫克星</t>
  </si>
  <si>
    <t>巨型蠕虫的噩梦</t>
  </si>
  <si>
    <t>巨型蠕虫惨剧制造者</t>
  </si>
  <si>
    <t>巨型蠕虫眼中的大魔王</t>
  </si>
  <si>
    <t>钳虫杀手</t>
  </si>
  <si>
    <t>钳虫猎手</t>
  </si>
  <si>
    <t>钳虫宿敌</t>
  </si>
  <si>
    <t>钳虫克星</t>
  </si>
  <si>
    <t>钳虫的噩梦</t>
  </si>
  <si>
    <t>钳虫惨剧制造者</t>
  </si>
  <si>
    <t>钳虫眼中的大魔王</t>
  </si>
  <si>
    <t>跳跳蜂杀手</t>
  </si>
  <si>
    <t>跳跳蜂猎手</t>
  </si>
  <si>
    <t>跳跳蜂宿敌</t>
  </si>
  <si>
    <t>跳跳蜂克星</t>
  </si>
  <si>
    <t>跳跳蜂的噩梦</t>
  </si>
  <si>
    <t>跳跳蜂惨剧制造者</t>
  </si>
  <si>
    <t>跳跳蜂眼中的大魔王</t>
  </si>
  <si>
    <t>首杀：触龙神</t>
  </si>
  <si>
    <t>连斩：触龙神</t>
  </si>
  <si>
    <t>十连斩：触龙神</t>
  </si>
  <si>
    <t>屠魔：触龙神</t>
  </si>
  <si>
    <t>天罚：触龙神</t>
  </si>
  <si>
    <t>龙之怒斩：触龙神</t>
  </si>
  <si>
    <t>夺命神皇：触龙神</t>
  </si>
  <si>
    <t>石墓恶蛆杀手</t>
  </si>
  <si>
    <t>石墓恶蛆猎手</t>
  </si>
  <si>
    <t>石墓恶蛆宿敌</t>
  </si>
  <si>
    <t>石墓恶蛆克星</t>
  </si>
  <si>
    <t>石墓恶蛆的噩梦</t>
  </si>
  <si>
    <t>石墓恶蛆惨剧制造者</t>
  </si>
  <si>
    <t>石墓恶蛆眼中的大魔王</t>
  </si>
  <si>
    <t>红野猪杀手</t>
  </si>
  <si>
    <t>红野猪猎手</t>
  </si>
  <si>
    <t>红野猪宿敌</t>
  </si>
  <si>
    <t>红野猪克星</t>
  </si>
  <si>
    <t>红野猪的噩梦</t>
  </si>
  <si>
    <t>红野猪惨剧制造者</t>
  </si>
  <si>
    <t>红野猪眼中的大魔王</t>
  </si>
  <si>
    <t>黑野猪杀手</t>
  </si>
  <si>
    <t>黑野猪猎手</t>
  </si>
  <si>
    <t>黑野猪宿敌</t>
  </si>
  <si>
    <t>黑野猪克星</t>
  </si>
  <si>
    <t>黑野猪的噩梦</t>
  </si>
  <si>
    <t>黑野猪惨剧制造者</t>
  </si>
  <si>
    <t>黑野猪眼中的大魔王</t>
  </si>
  <si>
    <t>白野猪杀手</t>
  </si>
  <si>
    <t>白野猪猎手</t>
  </si>
  <si>
    <t>白野猪宿敌</t>
  </si>
  <si>
    <t>白野猪克星</t>
  </si>
  <si>
    <t>白野猪的噩梦</t>
  </si>
  <si>
    <t>白野猪惨剧制造者</t>
  </si>
  <si>
    <t>白野猪眼中的大魔王</t>
  </si>
  <si>
    <t>首杀：虹魔教主</t>
  </si>
  <si>
    <t>连斩：虹魔教主</t>
  </si>
  <si>
    <t>十连斩：虹魔教主</t>
  </si>
  <si>
    <t>屠魔：虹魔教主</t>
  </si>
  <si>
    <t>天罚：虹魔教主</t>
  </si>
  <si>
    <t>龙之怒斩：虹魔教主</t>
  </si>
  <si>
    <t>夺命神皇：虹魔教主</t>
  </si>
  <si>
    <t>Client</t>
    <phoneticPr fontId="1" type="noConversion"/>
  </si>
  <si>
    <t>Icon</t>
    <phoneticPr fontId="1" type="noConversion"/>
  </si>
  <si>
    <t>SubClass</t>
    <phoneticPr fontId="1" type="noConversion"/>
  </si>
  <si>
    <t>前往边界村击败%d个稻草人</t>
  </si>
  <si>
    <t>前往边界村击败%d个钉耙猫</t>
  </si>
  <si>
    <t>前往边界村击败%d个鹿</t>
  </si>
  <si>
    <t>前往边界村击败%d个半兽人</t>
  </si>
  <si>
    <t>前往边界村击败%d个半兽人战士</t>
  </si>
  <si>
    <t>前往边界村击败%d个海蟹</t>
  </si>
  <si>
    <t>前往比奇省击败%d个稻草人</t>
  </si>
  <si>
    <t>前往比奇省击败%d个钉耙猫</t>
  </si>
  <si>
    <t>前往比奇省击败%d个鹿</t>
  </si>
  <si>
    <t>前往比奇省击败%d个半兽人</t>
  </si>
  <si>
    <t>前往比奇省击败%d个半兽人战士</t>
  </si>
  <si>
    <t>前往沃玛森林击败%d个熊</t>
  </si>
  <si>
    <t>前往沃玛森林击败%d个鹿</t>
  </si>
  <si>
    <t>前往沃玛森林击败%d个海蟹</t>
  </si>
  <si>
    <t>前往沃玛森林击败%d个狼</t>
  </si>
  <si>
    <t>前往沃玛森林击败%d个树妖</t>
  </si>
  <si>
    <t>前往沃玛森林击败%d个半兽人</t>
  </si>
  <si>
    <t>前往沃玛森林击败%d个半兽人战士</t>
  </si>
  <si>
    <t>前往盟重省击败%d个盔甲虫</t>
  </si>
  <si>
    <t>前往盟重省击败%d个狼</t>
  </si>
  <si>
    <t>前往盟重省击败%d个羊</t>
  </si>
  <si>
    <t>前往盟重省击败%d个多角虫</t>
  </si>
  <si>
    <t>前往盟重省击败%d个巨型多角虫</t>
  </si>
  <si>
    <t>前往比奇矿区击败%d个僵尸</t>
  </si>
  <si>
    <t>前往比奇矿区击败%d个山洞蝙蝠</t>
  </si>
  <si>
    <t>前往沃玛寺庙击败%d个山洞蝙蝠</t>
  </si>
  <si>
    <t>前往沃玛寺庙击败%d个恶蛆</t>
  </si>
  <si>
    <t>前往沃玛寺庙击败%d个沃玛战士</t>
  </si>
  <si>
    <t>前往沃玛寺庙击败%d个沃玛勇士</t>
  </si>
  <si>
    <t>前往沃玛寺庙击败%d个沃玛战将</t>
  </si>
  <si>
    <t>前往沃玛寺庙击败%d个火焰沃玛</t>
  </si>
  <si>
    <t>前往死亡峡谷击败%d个蜈蚣</t>
  </si>
  <si>
    <t>前往死亡峡谷击败%d个巨型蠕虫</t>
  </si>
  <si>
    <t>前往死亡峡谷击败%d个钳虫</t>
  </si>
  <si>
    <t>前往死亡峡谷击败%d个跳跳蜂</t>
  </si>
  <si>
    <t>前往石墓击败%d个恶蛆</t>
  </si>
  <si>
    <t>前往石墓击败%d个红野猪</t>
  </si>
  <si>
    <t>前往石墓击败%d个黑野猪</t>
  </si>
  <si>
    <t>前往石墓击败%d个白野猪</t>
  </si>
  <si>
    <t>前往比奇矿区三层击败%d个尸王</t>
  </si>
  <si>
    <t>前往沃玛寺庙三层击败%d个沃玛教主</t>
  </si>
  <si>
    <t>前往死亡峡谷三层击败%d个触龙神</t>
  </si>
  <si>
    <t>前往虹魔教坛击败%d个虹魔教主</t>
  </si>
  <si>
    <t>img://UI_Achievement.monster.801</t>
  </si>
  <si>
    <t>img://UI_Achievement.monster.802</t>
  </si>
  <si>
    <t>img://UI_Achievement.monster.823</t>
  </si>
  <si>
    <t>img://UI_Achievement.monster.803</t>
  </si>
  <si>
    <t>img://UI_Achievement.monster.804</t>
  </si>
  <si>
    <t>img://UI_Achievement.monster.821</t>
  </si>
  <si>
    <t>img://UI_Achievement.monster.3131</t>
  </si>
  <si>
    <t>img://UI_Achievement.monster.3134</t>
  </si>
  <si>
    <t>img://UI_Achievement.monster.3135</t>
  </si>
  <si>
    <t>img://UI_Achievement.monster.961</t>
  </si>
  <si>
    <t>img://UI_Achievement.monster.970</t>
  </si>
  <si>
    <t>img://UI_Achievement.monster.963</t>
  </si>
  <si>
    <t>img://UI_Achievement.monster.3189</t>
  </si>
  <si>
    <t>img://UI_Achievement.monster.901</t>
  </si>
  <si>
    <t>img://UI_Achievement.monster.3110</t>
  </si>
  <si>
    <t>img://UI_Achievement.monster.941</t>
  </si>
  <si>
    <t>img://UI_Achievement.monster.949</t>
  </si>
  <si>
    <t>img://UI_Achievement.monster.942</t>
  </si>
  <si>
    <t>img://UI_Achievement.monster.943</t>
  </si>
  <si>
    <t>img://UI_Achievement.monster.944</t>
  </si>
  <si>
    <t>img://UI_Achievement.monster.3162</t>
  </si>
  <si>
    <t>img://UI_Achievement.monster.1011</t>
  </si>
  <si>
    <t>img://UI_Achievement.monster.1012</t>
  </si>
  <si>
    <t>img://UI_Achievement.monster.1013</t>
  </si>
  <si>
    <t>img://UI_Achievement.monster.1014</t>
  </si>
  <si>
    <t>img://UI_Achievement.monster.1032</t>
  </si>
  <si>
    <t>img://UI_Achievement.monster.1033</t>
  </si>
  <si>
    <t>img://UI_Achievement.monster.1034</t>
  </si>
  <si>
    <t>img://UI_Achievement.monster.5268</t>
  </si>
  <si>
    <t>img://UI_Achievement.monster.5278</t>
  </si>
  <si>
    <t>img://UI_Achievement.monster.5287</t>
  </si>
  <si>
    <t>img://UI_Achievement.monster.5297</t>
  </si>
  <si>
    <t>qttNoReset</t>
    <phoneticPr fontId="1" type="noConversion"/>
  </si>
  <si>
    <t>盟重狼杀手</t>
  </si>
  <si>
    <t>盔甲虫战士杀手</t>
  </si>
  <si>
    <t>盟重狼战士杀手</t>
  </si>
  <si>
    <t>前往沃玛寺庙击败%d个黑暗战士</t>
  </si>
  <si>
    <t>黑暗战士杀手</t>
  </si>
  <si>
    <t>黑暗战士猎手</t>
  </si>
  <si>
    <t>黑暗战士宿敌</t>
  </si>
  <si>
    <t>黑暗战士克星</t>
  </si>
  <si>
    <t>黑暗战士的噩梦</t>
  </si>
  <si>
    <t>黑暗战士惨剧制造者</t>
  </si>
  <si>
    <t>黑暗战士眼中的大魔王</t>
  </si>
  <si>
    <t>在边界村击败%d个稻草人</t>
  </si>
  <si>
    <t>在边界村击败%d个钉耙猫</t>
  </si>
  <si>
    <t>在盟重省击败%d个狼</t>
  </si>
  <si>
    <t>在比奇矿区击败%d个僵尸</t>
  </si>
  <si>
    <t>在沃玛寺庙三层击败%d个沃玛教主</t>
  </si>
  <si>
    <t>在死亡峡谷三层击败%d个触龙神</t>
  </si>
  <si>
    <t>在虹魔教坛击败%d个虹魔教主</t>
  </si>
  <si>
    <t>动物杀手</t>
  </si>
  <si>
    <t>动物猎手</t>
  </si>
  <si>
    <t>动物宿敌</t>
  </si>
  <si>
    <t>动物克星</t>
  </si>
  <si>
    <t>黑暗生物杀手</t>
  </si>
  <si>
    <t>黑暗生物猎手</t>
  </si>
  <si>
    <t>黑暗生物宿敌</t>
  </si>
  <si>
    <t>黑暗生物克星</t>
  </si>
  <si>
    <t>黑暗生物的噩梦</t>
  </si>
  <si>
    <t>盟重虫族杀手</t>
  </si>
  <si>
    <t>野猪杀手</t>
  </si>
  <si>
    <t>野猪猎手</t>
  </si>
  <si>
    <t>野猪宿敌</t>
  </si>
  <si>
    <t>野猪克星</t>
  </si>
  <si>
    <t>野猪的噩梦</t>
  </si>
  <si>
    <t>在石墓击败%d个黑色恶蛆</t>
  </si>
  <si>
    <t>在比奇省击败%d个僵尸</t>
  </si>
  <si>
    <t>沃玛生物杀手</t>
  </si>
  <si>
    <t>沃玛生物猎手</t>
  </si>
  <si>
    <t>沃玛生物宿敌</t>
  </si>
  <si>
    <t>沃玛生物克星</t>
  </si>
  <si>
    <t>沃玛生物的噩梦</t>
  </si>
  <si>
    <t>qttDay</t>
    <phoneticPr fontId="1" type="noConversion"/>
  </si>
  <si>
    <t>qttWeek</t>
    <phoneticPr fontId="1" type="noConversion"/>
  </si>
  <si>
    <t>在比奇省击败%d个半兽人或半兽人战士</t>
  </si>
  <si>
    <t>在沃玛森林击败%d个熊、鹿或狼</t>
  </si>
  <si>
    <t>在沃玛森林击败%d个半兽人、半兽人战士或半兽人勇士</t>
  </si>
  <si>
    <t>在盟重省击败%d个盔甲虫、腐蚀虫、多角虫或巨型多角虫</t>
  </si>
  <si>
    <t>在沃玛寺庙击败%d个山洞蝙蝠或黑色恶蛆</t>
  </si>
  <si>
    <t>在石墓击败%d个红野猪、黑野猪或白野猪</t>
  </si>
  <si>
    <t>在死亡峡谷击败%d个蜈蚣、巨型蠕虫、钳虫或跳跳蜂</t>
  </si>
  <si>
    <t>虫族杀手</t>
  </si>
  <si>
    <t>虫族猎手</t>
  </si>
  <si>
    <t>虫族宿敌</t>
  </si>
  <si>
    <t>虫族克星</t>
  </si>
  <si>
    <t>虫族的噩梦</t>
  </si>
  <si>
    <t>BaseClass</t>
    <phoneticPr fontId="1" type="noConversion"/>
  </si>
  <si>
    <t>MinTraceLevel1</t>
    <phoneticPr fontId="1" type="noConversion"/>
  </si>
  <si>
    <t>MaxTraceLevel1</t>
    <phoneticPr fontId="1" type="noConversion"/>
  </si>
  <si>
    <t>AutoTrace2</t>
    <phoneticPr fontId="1" type="noConversion"/>
  </si>
  <si>
    <t>MinTraceLevel2</t>
    <phoneticPr fontId="1" type="noConversion"/>
  </si>
  <si>
    <t>MaxTraceLevel2</t>
    <phoneticPr fontId="1" type="noConversion"/>
  </si>
  <si>
    <t>AutoTrace3</t>
    <phoneticPr fontId="1" type="noConversion"/>
  </si>
  <si>
    <t>MinTraceLevel3</t>
    <phoneticPr fontId="1" type="noConversion"/>
  </si>
  <si>
    <t>MaxTraceLevel3</t>
    <phoneticPr fontId="1" type="noConversion"/>
  </si>
  <si>
    <t>AutoTrace4</t>
    <phoneticPr fontId="1" type="noConversion"/>
  </si>
  <si>
    <t>MinTraceLevel4</t>
    <phoneticPr fontId="1" type="noConversion"/>
  </si>
  <si>
    <t>MaxTraceLevel4</t>
    <phoneticPr fontId="1" type="noConversion"/>
  </si>
  <si>
    <t>AutoTrace6</t>
    <phoneticPr fontId="1" type="noConversion"/>
  </si>
  <si>
    <t>MinTraceLevel6</t>
    <phoneticPr fontId="1" type="noConversion"/>
  </si>
  <si>
    <t>MaxTraceLevel6</t>
    <phoneticPr fontId="1" type="noConversion"/>
  </si>
  <si>
    <t>AutoTrace5</t>
    <phoneticPr fontId="1" type="noConversion"/>
  </si>
  <si>
    <t>MinTraceLevel5</t>
    <phoneticPr fontId="1" type="noConversion"/>
  </si>
  <si>
    <t>MaxTraceLevel5</t>
    <phoneticPr fontId="1" type="noConversion"/>
  </si>
  <si>
    <t>AutoTrace7</t>
    <phoneticPr fontId="1" type="noConversion"/>
  </si>
  <si>
    <t>MinTraceLevel7</t>
    <phoneticPr fontId="1" type="noConversion"/>
  </si>
  <si>
    <t>MaxTraceLevel7</t>
    <phoneticPr fontId="1" type="noConversion"/>
  </si>
  <si>
    <t>AutoTrace8</t>
    <phoneticPr fontId="1" type="noConversion"/>
  </si>
  <si>
    <t>MinTraceLevel8</t>
    <phoneticPr fontId="1" type="noConversion"/>
  </si>
  <si>
    <t>MaxTraceLevel8</t>
    <phoneticPr fontId="1" type="noConversion"/>
  </si>
  <si>
    <t>Hide1</t>
    <phoneticPr fontId="1" type="noConversion"/>
  </si>
  <si>
    <t>Hide2</t>
    <phoneticPr fontId="1" type="noConversion"/>
  </si>
  <si>
    <t>Hide3</t>
    <phoneticPr fontId="1" type="noConversion"/>
  </si>
  <si>
    <t>Hide4</t>
    <phoneticPr fontId="1" type="noConversion"/>
  </si>
  <si>
    <t>Hide5</t>
    <phoneticPr fontId="1" type="noConversion"/>
  </si>
  <si>
    <t>Hide6</t>
    <phoneticPr fontId="1" type="noConversion"/>
  </si>
  <si>
    <t>Hide7</t>
    <phoneticPr fontId="1" type="noConversion"/>
  </si>
  <si>
    <t>Hide8</t>
    <phoneticPr fontId="1" type="noConversion"/>
  </si>
  <si>
    <t>AutoTrace1</t>
    <phoneticPr fontId="1" type="noConversion"/>
  </si>
  <si>
    <t>盟重狼猎手</t>
  </si>
  <si>
    <t>盟重狼宿敌</t>
  </si>
  <si>
    <t>盟重狼克星</t>
  </si>
  <si>
    <t>盟重虫族猎手</t>
  </si>
  <si>
    <t>盟重虫族宿敌</t>
  </si>
  <si>
    <t>盟重虫族克星</t>
  </si>
  <si>
    <t>僵尸护卫征服者</t>
    <phoneticPr fontId="1" type="noConversion"/>
  </si>
  <si>
    <t>僵尸强盗征服者</t>
    <phoneticPr fontId="1" type="noConversion"/>
  </si>
  <si>
    <t>铁腹角虫征服者</t>
  </si>
  <si>
    <t>疯魔卫征服者</t>
  </si>
  <si>
    <t>鬼域守卫征服者</t>
  </si>
  <si>
    <t>钳虫征服者</t>
  </si>
  <si>
    <t>杀人蜂征服者</t>
  </si>
  <si>
    <t>咆哮战士征服者</t>
  </si>
  <si>
    <t>邪血卫士征服者</t>
  </si>
  <si>
    <t>废墟魔狼征服者</t>
    <phoneticPr fontId="1" type="noConversion"/>
  </si>
  <si>
    <t>巨力士征服者</t>
    <phoneticPr fontId="1" type="noConversion"/>
  </si>
  <si>
    <t>蛮战士征服者</t>
    <phoneticPr fontId="1" type="noConversion"/>
  </si>
  <si>
    <t>在沃玛森林击败%d个巨力士：虎勇、火舞者或冰刀</t>
  </si>
  <si>
    <t>在沃玛森林击败%d个蛮战士：怒号、血角或铜须</t>
  </si>
  <si>
    <t>在盟重省击败%d个废墟魔狼：丑面、尖耳或疾电</t>
  </si>
  <si>
    <t>在盟重省击败%d个铁腹角虫：六足、尖角或斑纹</t>
  </si>
  <si>
    <t>在比奇矿区击败%d个僵尸护卫：杜杀、黑子或黑鹰</t>
  </si>
  <si>
    <t>在比奇矿区击败%d个僵尸强盗：黑山、金豹或杜冷</t>
  </si>
  <si>
    <t>在尸王殿击败%d个尸王</t>
  </si>
  <si>
    <t>在沃玛寺庙击败%d个疯魔卫：无畏、铁蹄或钢角</t>
  </si>
  <si>
    <t>在沃玛寺庙击败%d个鬼域守卫：鬼面、羊钉或怒锤</t>
  </si>
  <si>
    <t>在沃玛寺庙击败%d个裂地巨魔：折锐、风吼或断空</t>
  </si>
  <si>
    <t>在死亡峡谷击败%d个钳虫：战不死、锯骨狂或凶目魔</t>
  </si>
  <si>
    <t>在死亡峡谷击败%d个杀人蜂：铁翼、鬼影或妖刀</t>
  </si>
  <si>
    <t>在死亡峡谷击败%d个巨蠕虫：死亡漩涡、远古虫王或尖脊鬼魅</t>
  </si>
  <si>
    <t>在石墓击败%d个咆哮战士：钢鬃、黑风或腐牙</t>
  </si>
  <si>
    <t>在石墓击败%d个邪血卫士：狂徒、锐爪或猛鬼</t>
  </si>
  <si>
    <t>在虹魔教坛击败%d个虹魔猪卫：战刃、无天或印忠</t>
  </si>
  <si>
    <t>在虹魔教坛败%d个虹魔蝎卫：鬼藏、毒锋或绝刀</t>
  </si>
  <si>
    <t>击败%d个沃玛战士、卫士、勇士、战将或火焰沃玛</t>
    <phoneticPr fontId="1" type="noConversion"/>
  </si>
  <si>
    <t>img://UI_Achievement.monster.3097</t>
    <phoneticPr fontId="1" type="noConversion"/>
  </si>
  <si>
    <t>img://UI_Achievement.monster.3100</t>
    <phoneticPr fontId="1" type="noConversion"/>
  </si>
  <si>
    <t>img://UI_Achievement.monster.3126</t>
    <phoneticPr fontId="1" type="noConversion"/>
  </si>
  <si>
    <t>img://UI_Achievement.monster.3219</t>
    <phoneticPr fontId="1" type="noConversion"/>
  </si>
  <si>
    <t>在石墓击败%d个邪血卫士：狂徒、锐爪或猛鬼</t>
    <phoneticPr fontId="1" type="noConversion"/>
  </si>
  <si>
    <t>击败%d个沃玛战士/卫兵/斥候/勇士/战将/火焰沃玛</t>
    <phoneticPr fontId="1" type="noConversion"/>
  </si>
  <si>
    <t>在死亡峡谷击败%d个杀人蜂：铁翼、鬼影、妖刀或暗夜舞者</t>
    <phoneticPr fontId="1" type="noConversion"/>
  </si>
  <si>
    <t>祖玛动物杀手</t>
    <phoneticPr fontId="1" type="noConversion"/>
  </si>
  <si>
    <t>祖玛鼠卫征服者</t>
    <phoneticPr fontId="1" type="noConversion"/>
  </si>
  <si>
    <t>首杀：祖玛教主</t>
    <phoneticPr fontId="1" type="noConversion"/>
  </si>
  <si>
    <t>在祖玛寺庙击败%d个祖玛老鼠、角蝇或楔蛾</t>
    <phoneticPr fontId="1" type="noConversion"/>
  </si>
  <si>
    <t>祖玛动物猎手</t>
  </si>
  <si>
    <t>祖玛动物宿敌</t>
  </si>
  <si>
    <t>祖玛动物克星</t>
  </si>
  <si>
    <t>祖玛动物的噩梦</t>
  </si>
  <si>
    <t>祖玛生物猎手</t>
  </si>
  <si>
    <t>祖玛生物宿敌</t>
  </si>
  <si>
    <t>祖玛生物克星</t>
  </si>
  <si>
    <t>祖玛生物的噩梦</t>
  </si>
  <si>
    <t>img://UI_Achievement.monster.5301</t>
    <phoneticPr fontId="1" type="noConversion"/>
  </si>
  <si>
    <t>img://UI_Achievement.monster.1071</t>
    <phoneticPr fontId="1" type="noConversion"/>
  </si>
  <si>
    <t>img://UI_Achievement.monster.1072</t>
    <phoneticPr fontId="1" type="noConversion"/>
  </si>
  <si>
    <t>img://UI_Achievement.monster.1086</t>
    <phoneticPr fontId="1" type="noConversion"/>
  </si>
  <si>
    <t>img://UI_Achievement.monster.1089</t>
    <phoneticPr fontId="1" type="noConversion"/>
  </si>
  <si>
    <t>在祖玛寺庙击败%d个祖玛鼠卫:妖风、长牙或灵爪</t>
    <phoneticPr fontId="1" type="noConversion"/>
  </si>
  <si>
    <t>在祖玛寺庙击败%d个石像守卫：劈颅、灾狱或夜冥</t>
    <phoneticPr fontId="1" type="noConversion"/>
  </si>
  <si>
    <t>在祖玛寺庙击败%d个祖玛弓卫：幽刹、影魔或鹰角</t>
  </si>
  <si>
    <t>在祖玛寺庙击败%d个祖玛卫士：凶面、疯徒或狂煞</t>
  </si>
  <si>
    <t>在祖玛寺庙击败%d个祖玛老鼠、角蝇或楔蛾</t>
  </si>
  <si>
    <t>在祖玛寺庙击败%d个祖玛怪物</t>
  </si>
  <si>
    <t>在祖玛寺庙击败%d个祖玛鼠卫:妖风、长牙或灵爪</t>
  </si>
  <si>
    <t>在祖玛寺庙击败%d个石像守卫：劈颅、灾狱或夜冥</t>
  </si>
  <si>
    <t>在祖玛寺庙击败%d个祖玛教主</t>
  </si>
  <si>
    <t>img://UI_Achievement.monster.5500</t>
    <phoneticPr fontId="1" type="noConversion"/>
  </si>
  <si>
    <t>img://UI_Achievement.monster.2117</t>
    <phoneticPr fontId="1" type="noConversion"/>
  </si>
  <si>
    <t>首杀：烈焰恶魔</t>
    <phoneticPr fontId="1" type="noConversion"/>
  </si>
  <si>
    <t>在祖玛寺庙击败%d个祖玛教主</t>
    <phoneticPr fontId="1" type="noConversion"/>
  </si>
  <si>
    <t>海妖杀手</t>
  </si>
  <si>
    <t>海妖猎手</t>
  </si>
  <si>
    <t>海妖宿敌</t>
  </si>
  <si>
    <t>海妖克星</t>
  </si>
  <si>
    <t>海妖的噩梦</t>
  </si>
  <si>
    <t>鱼人杀手</t>
  </si>
  <si>
    <t>鱼人猎手</t>
  </si>
  <si>
    <t>鱼人宿敌</t>
  </si>
  <si>
    <t>鱼人克星</t>
  </si>
  <si>
    <t>鱼人的噩梦</t>
  </si>
  <si>
    <t>魔物杀手</t>
  </si>
  <si>
    <t>魔物猎手</t>
  </si>
  <si>
    <t>魔物宿敌</t>
  </si>
  <si>
    <t>魔物克星</t>
  </si>
  <si>
    <t>魔物的噩梦</t>
  </si>
  <si>
    <t>冥海魔神征服者</t>
  </si>
  <si>
    <t>img://UI_Achievement.monster.2107</t>
    <phoneticPr fontId="1" type="noConversion"/>
  </si>
  <si>
    <t>img://UI_Achievement.monster.2105</t>
    <phoneticPr fontId="1" type="noConversion"/>
  </si>
  <si>
    <t>img://UI_Achievement.monster.2110</t>
    <phoneticPr fontId="1" type="noConversion"/>
  </si>
  <si>
    <t>img://UI_Achievement.monster.2113</t>
    <phoneticPr fontId="1" type="noConversion"/>
  </si>
  <si>
    <t>在幽冥海击败%d个烈焰恶魔</t>
    <phoneticPr fontId="1" type="noConversion"/>
  </si>
  <si>
    <t>在祖玛寺庙击败%d个祖玛卫士、祖玛雕像或祖玛弓手</t>
    <phoneticPr fontId="1" type="noConversion"/>
  </si>
  <si>
    <t>石像守卫征服者</t>
    <phoneticPr fontId="1" type="noConversion"/>
  </si>
  <si>
    <t>祖玛守卫杀手</t>
    <phoneticPr fontId="1" type="noConversion"/>
  </si>
  <si>
    <t>在幽冥海击败%d个海妖战士、海妖弓手或海妖法师</t>
    <phoneticPr fontId="1" type="noConversion"/>
  </si>
  <si>
    <t>在幽冥海击败%d个僵尸海盗、剑客、掷矛手或锤兵</t>
    <phoneticPr fontId="1" type="noConversion"/>
  </si>
  <si>
    <t>在死亡峡谷击败%d个钳虫：战不死/锯骨狂/凶目魔或邪恶钳虫</t>
    <phoneticPr fontId="1" type="noConversion"/>
  </si>
  <si>
    <t>在死亡峡谷六层击败%d个触龙神</t>
    <phoneticPr fontId="1" type="noConversion"/>
  </si>
  <si>
    <t>Both</t>
    <phoneticPr fontId="1" type="noConversion"/>
  </si>
  <si>
    <t>僵尸杀手</t>
    <phoneticPr fontId="1" type="noConversion"/>
  </si>
  <si>
    <t>尸魔猎人</t>
    <phoneticPr fontId="1" type="noConversion"/>
  </si>
  <si>
    <t>尸魔猎手</t>
    <phoneticPr fontId="1" type="noConversion"/>
  </si>
  <si>
    <t>尸魔宿敌</t>
    <phoneticPr fontId="1" type="noConversion"/>
  </si>
  <si>
    <t>尸魔克星</t>
    <phoneticPr fontId="1" type="noConversion"/>
  </si>
  <si>
    <t>比奇半兽人驱逐者</t>
    <phoneticPr fontId="1" type="noConversion"/>
  </si>
  <si>
    <t>比奇半兽人抗击者</t>
    <phoneticPr fontId="1" type="noConversion"/>
  </si>
  <si>
    <t>比奇半兽人狙击者</t>
    <phoneticPr fontId="1" type="noConversion"/>
  </si>
  <si>
    <t>比奇半兽人灭绝者</t>
    <phoneticPr fontId="1" type="noConversion"/>
  </si>
  <si>
    <t>海僵尸杀手</t>
    <phoneticPr fontId="1" type="noConversion"/>
  </si>
  <si>
    <t>海僵尸猎手</t>
    <phoneticPr fontId="1" type="noConversion"/>
  </si>
  <si>
    <t>海僵尸宿敌</t>
    <phoneticPr fontId="1" type="noConversion"/>
  </si>
  <si>
    <t>海僵尸克星</t>
    <phoneticPr fontId="1" type="noConversion"/>
  </si>
  <si>
    <t>海僵尸的噩梦</t>
    <phoneticPr fontId="1" type="noConversion"/>
  </si>
  <si>
    <t>在幽冥海击败%d个尖刺鱼人、双刀鱼人或鱼人死士</t>
    <phoneticPr fontId="1" type="noConversion"/>
  </si>
  <si>
    <t>杀死%d个分布在幽冥海四层的毒魔</t>
    <phoneticPr fontId="1" type="noConversion"/>
  </si>
  <si>
    <t>降魔斗士</t>
    <phoneticPr fontId="1" type="noConversion"/>
  </si>
  <si>
    <t>在皇室宝库里杀死%d个宝库大盗</t>
    <phoneticPr fontId="1" type="noConversion"/>
  </si>
  <si>
    <t>img://UI_Achievement.monster.3135</t>
    <phoneticPr fontId="1" type="noConversion"/>
  </si>
  <si>
    <t>人生赢家</t>
    <phoneticPr fontId="1" type="noConversion"/>
  </si>
  <si>
    <t>铲除帮凶</t>
    <phoneticPr fontId="1" type="noConversion"/>
  </si>
  <si>
    <t>铲除鹰犬</t>
    <phoneticPr fontId="1" type="noConversion"/>
  </si>
  <si>
    <t>img://UI_Achievement.monster.1034</t>
    <phoneticPr fontId="1" type="noConversion"/>
  </si>
  <si>
    <t>img://UI_Achievement.monster.942</t>
    <phoneticPr fontId="1" type="noConversion"/>
  </si>
  <si>
    <t>杀死%d个虹魔教主身边的白野猪暴徒</t>
    <phoneticPr fontId="1" type="noConversion"/>
  </si>
  <si>
    <t>在幽冥海击败%d个冥海魔神</t>
    <phoneticPr fontId="1" type="noConversion"/>
  </si>
  <si>
    <t>在幽冥海击败%d个独眼魔、幻魔或火岩魔</t>
    <phoneticPr fontId="1" type="noConversion"/>
  </si>
  <si>
    <t>杀死%d个祖玛教主身边的邪箭弓手</t>
    <phoneticPr fontId="1" type="noConversion"/>
  </si>
  <si>
    <t>Desc</t>
    <phoneticPr fontId="1" type="noConversion"/>
  </si>
  <si>
    <t>成就传奇的征服</t>
    <phoneticPr fontId="1" type="noConversion"/>
  </si>
  <si>
    <t>鬼见愁</t>
    <phoneticPr fontId="1" type="noConversion"/>
  </si>
  <si>
    <t>花落蛛亡</t>
    <phoneticPr fontId="1" type="noConversion"/>
  </si>
  <si>
    <t>蜘蛛捕猎者</t>
    <phoneticPr fontId="1" type="noConversion"/>
  </si>
  <si>
    <t>蜘蛛清除者</t>
    <phoneticPr fontId="1" type="noConversion"/>
  </si>
  <si>
    <t>猎蛛高手</t>
    <phoneticPr fontId="1" type="noConversion"/>
  </si>
  <si>
    <t>猎蛛专家</t>
    <phoneticPr fontId="1" type="noConversion"/>
  </si>
  <si>
    <t>猎蛛大师</t>
    <phoneticPr fontId="1" type="noConversion"/>
  </si>
  <si>
    <t>猎蛛之王</t>
    <phoneticPr fontId="1" type="noConversion"/>
  </si>
  <si>
    <t>血魔送葬者</t>
    <phoneticPr fontId="1" type="noConversion"/>
  </si>
  <si>
    <t>血魔死敌</t>
    <phoneticPr fontId="1" type="noConversion"/>
  </si>
  <si>
    <t>血魔克星</t>
    <phoneticPr fontId="1" type="noConversion"/>
  </si>
  <si>
    <t>血魔猎手</t>
    <phoneticPr fontId="1" type="noConversion"/>
  </si>
  <si>
    <t>血魔终结者</t>
    <phoneticPr fontId="1" type="noConversion"/>
  </si>
  <si>
    <t>在祖玛寺庙击败%d个赤月恶魔</t>
    <phoneticPr fontId="1" type="noConversion"/>
  </si>
  <si>
    <t>血魔的噩梦</t>
    <phoneticPr fontId="1" type="noConversion"/>
  </si>
  <si>
    <t>在赤月岛击败%d个蜘蛛怪物</t>
  </si>
  <si>
    <t>在赤月岛击败%d个血巨人或血僵尸</t>
  </si>
  <si>
    <t>在赤月岛击败%d个恶魔帮凶：幻花、疯刺或残夜</t>
  </si>
  <si>
    <t>在赤月岛击败%d个恶魔爪牙：蛇牙、幽灵或黑寡妇</t>
  </si>
  <si>
    <t>img://UI_Achievement.monster.3401</t>
    <phoneticPr fontId="1" type="noConversion"/>
  </si>
  <si>
    <t>img://UI_Achievement.monster.3402</t>
  </si>
  <si>
    <t>img://UI_Achievement.monster.3403</t>
  </si>
  <si>
    <t>img://UI_Achievement.monster.3404</t>
  </si>
  <si>
    <t>img://UI_Achievement.monster.3405</t>
    <phoneticPr fontId="1" type="noConversion"/>
  </si>
  <si>
    <t>在赤月峡谷击败%d个蜘蛛怪物</t>
  </si>
  <si>
    <t>在赤月峡谷击败%d个血巨人或血僵尸</t>
  </si>
  <si>
    <t>在赤月峡谷击败%d个恶魔帮凶：幻花、疯刺或残夜</t>
  </si>
  <si>
    <t>在赤月峡谷击败%d个恶魔爪牙：蛇牙、幽灵或黑寡妇</t>
  </si>
  <si>
    <t>在赤月峡谷击败%d个赤月恶魔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</si>
</sst>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/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6" borderId="0" xfId="0" applyFont="1" applyFill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0" fillId="4" borderId="0" xfId="0" applyFont="1" applyFill="1" applyAlignment="1">
      <alignment vertical="center" wrapText="1"/>
    </xf>
    <xf numFmtId="0" fontId="0" fillId="9" borderId="0" xfId="0" applyFill="1" applyAlignment="1">
      <alignment vertical="center"/>
    </xf>
    <xf numFmtId="0" fontId="0" fillId="9" borderId="0" xfId="0" applyFill="1" applyAlignment="1">
      <alignment vertical="center" wrapText="1"/>
    </xf>
    <xf numFmtId="0" fontId="3" fillId="9" borderId="0" xfId="0" applyFont="1" applyFill="1" applyAlignment="1">
      <alignment vertical="center"/>
    </xf>
    <xf numFmtId="0" fontId="0" fillId="9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3"/>
  <sheetViews>
    <sheetView tabSelected="1" workbookViewId="0">
      <pane xSplit="5" ySplit="1" topLeftCell="F40" activePane="bottomRight" state="frozen"/>
      <selection pane="topRight" activeCell="F1" sqref="F1"/>
      <selection pane="bottomLeft" activeCell="A2" sqref="A2"/>
      <selection pane="bottomRight" activeCell="G44" sqref="G44"/>
    </sheetView>
  </sheetViews>
  <sheetFormatPr defaultRowHeight="13.5"/>
  <cols>
    <col min="1" max="1" width="7" style="1" customWidth="1"/>
    <col min="2" max="2" width="8.625" style="1" customWidth="1"/>
    <col min="3" max="3" width="13.625" style="1" bestFit="1" customWidth="1"/>
    <col min="4" max="4" width="12.5" style="1" bestFit="1" customWidth="1"/>
    <col min="5" max="5" width="23" style="27" customWidth="1"/>
    <col min="6" max="6" width="42" style="5" bestFit="1" customWidth="1"/>
    <col min="7" max="7" width="12.5" style="5" bestFit="1" customWidth="1"/>
    <col min="8" max="8" width="11.5" style="5" bestFit="1" customWidth="1"/>
    <col min="9" max="9" width="15.125" style="1" bestFit="1" customWidth="1"/>
    <col min="10" max="10" width="13.625" style="1" bestFit="1" customWidth="1"/>
    <col min="11" max="11" width="19.25" style="1" bestFit="1" customWidth="1"/>
    <col min="12" max="12" width="13.625" style="1" bestFit="1" customWidth="1"/>
    <col min="13" max="13" width="13.625" style="5" bestFit="1" customWidth="1"/>
    <col min="14" max="15" width="18.125" style="5" bestFit="1" customWidth="1"/>
    <col min="16" max="16" width="8.5" style="5" bestFit="1" customWidth="1"/>
    <col min="17" max="17" width="15.125" style="1" bestFit="1" customWidth="1"/>
    <col min="18" max="18" width="13.625" style="1" bestFit="1" customWidth="1"/>
    <col min="19" max="19" width="19.25" style="1" bestFit="1" customWidth="1"/>
    <col min="20" max="20" width="13.625" style="1" bestFit="1" customWidth="1"/>
    <col min="21" max="21" width="13.625" style="5" bestFit="1" customWidth="1"/>
    <col min="22" max="23" width="18.125" style="5" bestFit="1" customWidth="1"/>
    <col min="24" max="24" width="8.5" style="5" bestFit="1" customWidth="1"/>
    <col min="25" max="25" width="17.25" style="1" bestFit="1" customWidth="1"/>
    <col min="26" max="26" width="13.625" style="1" bestFit="1" customWidth="1"/>
    <col min="27" max="27" width="19.25" style="1" bestFit="1" customWidth="1"/>
    <col min="28" max="28" width="13.625" style="1" bestFit="1" customWidth="1"/>
    <col min="29" max="29" width="13.625" style="5" bestFit="1" customWidth="1"/>
    <col min="30" max="31" width="18.125" style="5" bestFit="1" customWidth="1"/>
    <col min="32" max="32" width="8.5" style="5" bestFit="1" customWidth="1"/>
    <col min="33" max="33" width="15.125" style="1" bestFit="1" customWidth="1"/>
    <col min="34" max="34" width="13.625" style="1" bestFit="1" customWidth="1"/>
    <col min="35" max="35" width="19.25" style="1" bestFit="1" customWidth="1"/>
    <col min="36" max="36" width="13.625" style="1" bestFit="1" customWidth="1"/>
    <col min="37" max="37" width="13.625" style="5" bestFit="1" customWidth="1"/>
    <col min="38" max="39" width="18.125" style="5" bestFit="1" customWidth="1"/>
    <col min="40" max="40" width="8.5" style="5" bestFit="1" customWidth="1"/>
    <col min="41" max="41" width="15.125" style="1" bestFit="1" customWidth="1"/>
    <col min="42" max="42" width="13.625" style="1" bestFit="1" customWidth="1"/>
    <col min="43" max="43" width="19.25" style="1" bestFit="1" customWidth="1"/>
    <col min="44" max="44" width="13.625" style="1" bestFit="1" customWidth="1"/>
    <col min="45" max="45" width="13.625" style="5" bestFit="1" customWidth="1"/>
    <col min="46" max="47" width="18.125" style="5" bestFit="1" customWidth="1"/>
    <col min="48" max="48" width="8.5" style="5" bestFit="1" customWidth="1"/>
    <col min="49" max="49" width="19.25" style="1" bestFit="1" customWidth="1"/>
    <col min="50" max="50" width="13.625" style="1" bestFit="1" customWidth="1"/>
    <col min="51" max="51" width="19.25" style="1" bestFit="1" customWidth="1"/>
    <col min="52" max="52" width="13.625" style="1" bestFit="1" customWidth="1"/>
    <col min="53" max="53" width="13.625" style="5" bestFit="1" customWidth="1"/>
    <col min="54" max="55" width="18.125" style="5" bestFit="1" customWidth="1"/>
    <col min="56" max="56" width="8.5" style="5" bestFit="1" customWidth="1"/>
    <col min="57" max="57" width="21.375" style="1" bestFit="1" customWidth="1"/>
    <col min="58" max="58" width="13.625" style="1" bestFit="1" customWidth="1"/>
    <col min="59" max="59" width="19.25" style="1" bestFit="1" customWidth="1"/>
    <col min="60" max="60" width="13.625" style="1" bestFit="1" customWidth="1"/>
    <col min="61" max="61" width="13.625" style="5" bestFit="1" customWidth="1"/>
    <col min="62" max="63" width="18.125" style="5" bestFit="1" customWidth="1"/>
    <col min="64" max="64" width="8.5" style="5" bestFit="1" customWidth="1"/>
    <col min="65" max="65" width="8.5" style="1" bestFit="1" customWidth="1"/>
    <col min="66" max="66" width="13.625" style="1" bestFit="1" customWidth="1"/>
    <col min="67" max="67" width="19.25" style="1" bestFit="1" customWidth="1"/>
    <col min="68" max="68" width="13.625" style="1" bestFit="1" customWidth="1"/>
    <col min="69" max="69" width="11.625" style="5" bestFit="1" customWidth="1"/>
    <col min="70" max="71" width="16.125" style="5" bestFit="1" customWidth="1"/>
    <col min="72" max="72" width="7.5" style="5" bestFit="1" customWidth="1"/>
    <col min="73" max="16384" width="9" style="1"/>
  </cols>
  <sheetData>
    <row r="1" spans="1:72" ht="30" customHeight="1">
      <c r="A1" s="1" t="s">
        <v>0</v>
      </c>
      <c r="B1" s="1" t="s">
        <v>1</v>
      </c>
      <c r="C1" s="1" t="s">
        <v>2</v>
      </c>
      <c r="D1" s="1" t="s">
        <v>35</v>
      </c>
      <c r="E1" s="27" t="s">
        <v>589</v>
      </c>
      <c r="F1" s="5" t="s">
        <v>294</v>
      </c>
      <c r="G1" s="5" t="s">
        <v>426</v>
      </c>
      <c r="H1" s="5" t="s">
        <v>295</v>
      </c>
      <c r="I1" s="1" t="s">
        <v>3</v>
      </c>
      <c r="J1" s="1" t="s">
        <v>4</v>
      </c>
      <c r="K1" s="1" t="s">
        <v>36</v>
      </c>
      <c r="L1" s="1" t="s">
        <v>5</v>
      </c>
      <c r="M1" s="5" t="s">
        <v>458</v>
      </c>
      <c r="N1" s="5" t="s">
        <v>427</v>
      </c>
      <c r="O1" s="5" t="s">
        <v>428</v>
      </c>
      <c r="P1" s="5" t="s">
        <v>450</v>
      </c>
      <c r="Q1" s="1" t="s">
        <v>6</v>
      </c>
      <c r="R1" s="1" t="s">
        <v>7</v>
      </c>
      <c r="S1" s="1" t="s">
        <v>8</v>
      </c>
      <c r="T1" s="1" t="s">
        <v>9</v>
      </c>
      <c r="U1" s="5" t="s">
        <v>429</v>
      </c>
      <c r="V1" s="5" t="s">
        <v>430</v>
      </c>
      <c r="W1" s="5" t="s">
        <v>431</v>
      </c>
      <c r="X1" s="5" t="s">
        <v>451</v>
      </c>
      <c r="Y1" s="1" t="s">
        <v>10</v>
      </c>
      <c r="Z1" s="1" t="s">
        <v>11</v>
      </c>
      <c r="AA1" s="1" t="s">
        <v>12</v>
      </c>
      <c r="AB1" s="1" t="s">
        <v>13</v>
      </c>
      <c r="AC1" s="5" t="s">
        <v>432</v>
      </c>
      <c r="AD1" s="5" t="s">
        <v>433</v>
      </c>
      <c r="AE1" s="5" t="s">
        <v>434</v>
      </c>
      <c r="AF1" s="5" t="s">
        <v>452</v>
      </c>
      <c r="AG1" s="1" t="s">
        <v>14</v>
      </c>
      <c r="AH1" s="1" t="s">
        <v>15</v>
      </c>
      <c r="AI1" s="1" t="s">
        <v>16</v>
      </c>
      <c r="AJ1" s="1" t="s">
        <v>17</v>
      </c>
      <c r="AK1" s="5" t="s">
        <v>435</v>
      </c>
      <c r="AL1" s="5" t="s">
        <v>436</v>
      </c>
      <c r="AM1" s="5" t="s">
        <v>437</v>
      </c>
      <c r="AN1" s="5" t="s">
        <v>453</v>
      </c>
      <c r="AO1" s="1" t="s">
        <v>18</v>
      </c>
      <c r="AP1" s="1" t="s">
        <v>19</v>
      </c>
      <c r="AQ1" s="1" t="s">
        <v>20</v>
      </c>
      <c r="AR1" s="1" t="s">
        <v>21</v>
      </c>
      <c r="AS1" s="5" t="s">
        <v>441</v>
      </c>
      <c r="AT1" s="5" t="s">
        <v>442</v>
      </c>
      <c r="AU1" s="5" t="s">
        <v>443</v>
      </c>
      <c r="AV1" s="5" t="s">
        <v>454</v>
      </c>
      <c r="AW1" s="1" t="s">
        <v>22</v>
      </c>
      <c r="AX1" s="1" t="s">
        <v>23</v>
      </c>
      <c r="AY1" s="1" t="s">
        <v>24</v>
      </c>
      <c r="AZ1" s="1" t="s">
        <v>25</v>
      </c>
      <c r="BA1" s="5" t="s">
        <v>438</v>
      </c>
      <c r="BB1" s="5" t="s">
        <v>439</v>
      </c>
      <c r="BC1" s="5" t="s">
        <v>440</v>
      </c>
      <c r="BD1" s="5" t="s">
        <v>455</v>
      </c>
      <c r="BE1" s="1" t="s">
        <v>26</v>
      </c>
      <c r="BF1" s="1" t="s">
        <v>27</v>
      </c>
      <c r="BG1" s="1" t="s">
        <v>28</v>
      </c>
      <c r="BH1" s="1" t="s">
        <v>29</v>
      </c>
      <c r="BI1" s="5" t="s">
        <v>444</v>
      </c>
      <c r="BJ1" s="5" t="s">
        <v>445</v>
      </c>
      <c r="BK1" s="5" t="s">
        <v>446</v>
      </c>
      <c r="BL1" s="5" t="s">
        <v>456</v>
      </c>
      <c r="BM1" s="1" t="s">
        <v>30</v>
      </c>
      <c r="BN1" s="1" t="s">
        <v>31</v>
      </c>
      <c r="BO1" s="1" t="s">
        <v>32</v>
      </c>
      <c r="BP1" s="1" t="s">
        <v>33</v>
      </c>
      <c r="BQ1" s="5" t="s">
        <v>447</v>
      </c>
      <c r="BR1" s="5" t="s">
        <v>448</v>
      </c>
      <c r="BS1" s="5" t="s">
        <v>449</v>
      </c>
      <c r="BT1" s="5" t="s">
        <v>457</v>
      </c>
    </row>
    <row r="2" spans="1:72" ht="30" customHeight="1">
      <c r="A2" s="1" t="s">
        <v>560</v>
      </c>
      <c r="B2" s="1" t="s">
        <v>560</v>
      </c>
      <c r="C2" s="1" t="s">
        <v>560</v>
      </c>
      <c r="D2" s="1" t="s">
        <v>34</v>
      </c>
      <c r="E2" s="27" t="s">
        <v>293</v>
      </c>
      <c r="F2" s="5" t="s">
        <v>293</v>
      </c>
      <c r="G2" s="5" t="s">
        <v>293</v>
      </c>
      <c r="H2" s="5" t="s">
        <v>293</v>
      </c>
      <c r="I2" s="1" t="s">
        <v>560</v>
      </c>
      <c r="J2" s="1" t="s">
        <v>560</v>
      </c>
      <c r="K2" s="1" t="s">
        <v>560</v>
      </c>
      <c r="L2" s="1" t="s">
        <v>560</v>
      </c>
      <c r="M2" s="5" t="s">
        <v>293</v>
      </c>
      <c r="N2" s="5" t="s">
        <v>293</v>
      </c>
      <c r="O2" s="5" t="s">
        <v>293</v>
      </c>
      <c r="P2" s="5" t="s">
        <v>293</v>
      </c>
      <c r="Q2" s="1" t="s">
        <v>560</v>
      </c>
      <c r="R2" s="1" t="s">
        <v>560</v>
      </c>
      <c r="S2" s="1" t="s">
        <v>560</v>
      </c>
      <c r="T2" s="1" t="s">
        <v>560</v>
      </c>
      <c r="U2" s="5" t="s">
        <v>293</v>
      </c>
      <c r="V2" s="5" t="s">
        <v>293</v>
      </c>
      <c r="W2" s="5" t="s">
        <v>293</v>
      </c>
      <c r="X2" s="5" t="s">
        <v>293</v>
      </c>
      <c r="Y2" s="1" t="s">
        <v>560</v>
      </c>
      <c r="Z2" s="1" t="s">
        <v>560</v>
      </c>
      <c r="AA2" s="1" t="s">
        <v>560</v>
      </c>
      <c r="AB2" s="1" t="s">
        <v>560</v>
      </c>
      <c r="AC2" s="5" t="s">
        <v>293</v>
      </c>
      <c r="AD2" s="5" t="s">
        <v>293</v>
      </c>
      <c r="AE2" s="5" t="s">
        <v>293</v>
      </c>
      <c r="AF2" s="5" t="s">
        <v>293</v>
      </c>
      <c r="AG2" s="1" t="s">
        <v>560</v>
      </c>
      <c r="AH2" s="1" t="s">
        <v>560</v>
      </c>
      <c r="AI2" s="1" t="s">
        <v>560</v>
      </c>
      <c r="AJ2" s="1" t="s">
        <v>560</v>
      </c>
      <c r="AK2" s="5" t="s">
        <v>293</v>
      </c>
      <c r="AL2" s="5" t="s">
        <v>293</v>
      </c>
      <c r="AM2" s="5" t="s">
        <v>293</v>
      </c>
      <c r="AN2" s="5" t="s">
        <v>293</v>
      </c>
      <c r="AO2" s="1" t="s">
        <v>560</v>
      </c>
      <c r="AP2" s="1" t="s">
        <v>560</v>
      </c>
      <c r="AQ2" s="1" t="s">
        <v>560</v>
      </c>
      <c r="AR2" s="1" t="s">
        <v>560</v>
      </c>
      <c r="AS2" s="5" t="s">
        <v>293</v>
      </c>
      <c r="AT2" s="5" t="s">
        <v>293</v>
      </c>
      <c r="AU2" s="5" t="s">
        <v>293</v>
      </c>
      <c r="AV2" s="5" t="s">
        <v>293</v>
      </c>
      <c r="AW2" s="1" t="s">
        <v>560</v>
      </c>
      <c r="AX2" s="1" t="s">
        <v>560</v>
      </c>
      <c r="AY2" s="1" t="s">
        <v>560</v>
      </c>
      <c r="AZ2" s="1" t="s">
        <v>560</v>
      </c>
      <c r="BA2" s="5" t="s">
        <v>293</v>
      </c>
      <c r="BB2" s="5" t="s">
        <v>293</v>
      </c>
      <c r="BC2" s="5" t="s">
        <v>293</v>
      </c>
      <c r="BD2" s="5" t="s">
        <v>293</v>
      </c>
      <c r="BE2" s="1" t="s">
        <v>560</v>
      </c>
      <c r="BF2" s="1" t="s">
        <v>560</v>
      </c>
      <c r="BG2" s="1" t="s">
        <v>560</v>
      </c>
      <c r="BH2" s="1" t="s">
        <v>560</v>
      </c>
      <c r="BI2" s="5" t="s">
        <v>293</v>
      </c>
      <c r="BJ2" s="5" t="s">
        <v>293</v>
      </c>
      <c r="BK2" s="5" t="s">
        <v>293</v>
      </c>
      <c r="BL2" s="5" t="s">
        <v>293</v>
      </c>
      <c r="BM2" s="1" t="s">
        <v>560</v>
      </c>
      <c r="BN2" s="1" t="s">
        <v>560</v>
      </c>
      <c r="BO2" s="1" t="s">
        <v>560</v>
      </c>
      <c r="BP2" s="1" t="s">
        <v>560</v>
      </c>
      <c r="BQ2" s="5" t="s">
        <v>293</v>
      </c>
      <c r="BR2" s="5" t="s">
        <v>293</v>
      </c>
      <c r="BS2" s="5" t="s">
        <v>293</v>
      </c>
      <c r="BT2" s="5" t="s">
        <v>293</v>
      </c>
    </row>
    <row r="3" spans="1:72" ht="30" customHeight="1">
      <c r="A3" s="1">
        <v>0</v>
      </c>
      <c r="B3" s="1">
        <v>0</v>
      </c>
      <c r="C3" s="1">
        <v>0</v>
      </c>
      <c r="D3" s="1">
        <v>0</v>
      </c>
      <c r="E3" s="27">
        <v>0</v>
      </c>
      <c r="F3" s="5">
        <v>0</v>
      </c>
      <c r="G3" s="5">
        <v>0</v>
      </c>
      <c r="H3" s="5">
        <v>0</v>
      </c>
      <c r="I3" s="1">
        <v>0</v>
      </c>
      <c r="J3" s="1">
        <v>0</v>
      </c>
      <c r="K3" s="1">
        <v>0</v>
      </c>
      <c r="L3" s="1">
        <v>0</v>
      </c>
      <c r="M3" s="5">
        <v>0</v>
      </c>
      <c r="N3" s="5">
        <v>0</v>
      </c>
      <c r="O3" s="5">
        <v>0</v>
      </c>
      <c r="P3" s="5">
        <v>0</v>
      </c>
      <c r="Q3" s="1">
        <v>0</v>
      </c>
      <c r="R3" s="1">
        <v>0</v>
      </c>
      <c r="S3" s="1">
        <v>0</v>
      </c>
      <c r="T3" s="1">
        <v>0</v>
      </c>
      <c r="U3" s="5">
        <v>0</v>
      </c>
      <c r="V3" s="5">
        <v>0</v>
      </c>
      <c r="W3" s="5">
        <v>0</v>
      </c>
      <c r="X3" s="5">
        <v>0</v>
      </c>
      <c r="Y3" s="1">
        <v>0</v>
      </c>
      <c r="Z3" s="1">
        <v>0</v>
      </c>
      <c r="AA3" s="1">
        <v>0</v>
      </c>
      <c r="AB3" s="1">
        <v>0</v>
      </c>
      <c r="AC3" s="5">
        <v>0</v>
      </c>
      <c r="AD3" s="5">
        <v>0</v>
      </c>
      <c r="AE3" s="5">
        <v>0</v>
      </c>
      <c r="AF3" s="5">
        <v>0</v>
      </c>
      <c r="AG3" s="1">
        <v>0</v>
      </c>
      <c r="AH3" s="1">
        <v>0</v>
      </c>
      <c r="AI3" s="1">
        <v>0</v>
      </c>
      <c r="AJ3" s="1">
        <v>0</v>
      </c>
      <c r="AK3" s="5">
        <v>0</v>
      </c>
      <c r="AL3" s="5">
        <v>0</v>
      </c>
      <c r="AM3" s="5">
        <v>0</v>
      </c>
      <c r="AN3" s="5">
        <v>0</v>
      </c>
      <c r="AO3" s="1">
        <v>0</v>
      </c>
      <c r="AP3" s="1">
        <v>0</v>
      </c>
      <c r="AQ3" s="1">
        <v>0</v>
      </c>
      <c r="AR3" s="1">
        <v>0</v>
      </c>
      <c r="AS3" s="5">
        <v>0</v>
      </c>
      <c r="AT3" s="5">
        <v>0</v>
      </c>
      <c r="AU3" s="5">
        <v>0</v>
      </c>
      <c r="AV3" s="5">
        <v>0</v>
      </c>
      <c r="AW3" s="1">
        <v>0</v>
      </c>
      <c r="AX3" s="1">
        <v>0</v>
      </c>
      <c r="AY3" s="1">
        <v>0</v>
      </c>
      <c r="AZ3" s="1">
        <v>0</v>
      </c>
      <c r="BA3" s="5">
        <v>0</v>
      </c>
      <c r="BB3" s="5">
        <v>0</v>
      </c>
      <c r="BC3" s="5">
        <v>0</v>
      </c>
      <c r="BD3" s="5">
        <v>0</v>
      </c>
      <c r="BE3" s="1">
        <v>0</v>
      </c>
      <c r="BF3" s="1">
        <v>0</v>
      </c>
      <c r="BG3" s="1">
        <v>0</v>
      </c>
      <c r="BH3" s="1">
        <v>0</v>
      </c>
      <c r="BI3" s="5">
        <v>0</v>
      </c>
      <c r="BJ3" s="5">
        <v>0</v>
      </c>
      <c r="BK3" s="5">
        <v>0</v>
      </c>
      <c r="BL3" s="5">
        <v>0</v>
      </c>
      <c r="BM3" s="1">
        <v>0</v>
      </c>
      <c r="BN3" s="1">
        <v>0</v>
      </c>
      <c r="BO3" s="1">
        <v>0</v>
      </c>
      <c r="BP3" s="1">
        <v>0</v>
      </c>
      <c r="BQ3" s="5">
        <v>0</v>
      </c>
      <c r="BR3" s="5">
        <v>0</v>
      </c>
      <c r="BS3" s="5">
        <v>0</v>
      </c>
      <c r="BT3" s="5">
        <v>0</v>
      </c>
    </row>
    <row r="4" spans="1:72" ht="30" customHeight="1">
      <c r="A4" s="1">
        <v>1</v>
      </c>
      <c r="B4" s="1">
        <v>0</v>
      </c>
      <c r="C4" s="1">
        <v>10003</v>
      </c>
      <c r="D4" s="1" t="s">
        <v>41</v>
      </c>
      <c r="E4" s="23" t="s">
        <v>383</v>
      </c>
      <c r="F4" s="1" t="s">
        <v>339</v>
      </c>
      <c r="G4" s="5">
        <v>3</v>
      </c>
      <c r="H4" s="5">
        <v>2</v>
      </c>
      <c r="I4" s="16" t="s">
        <v>50</v>
      </c>
      <c r="J4" s="17">
        <v>10</v>
      </c>
      <c r="K4" s="1">
        <v>5</v>
      </c>
      <c r="L4" s="1">
        <f>ROUND(VLOOKUP($A4,索引!$A$2:$L$38,4,FALSE)*30%,-1)</f>
        <v>50</v>
      </c>
      <c r="M4" s="5">
        <v>0</v>
      </c>
      <c r="N4" s="5">
        <v>0</v>
      </c>
      <c r="O4" s="5">
        <v>0</v>
      </c>
      <c r="P4" s="5">
        <v>0</v>
      </c>
      <c r="Q4" s="16" t="s">
        <v>51</v>
      </c>
      <c r="R4" s="16">
        <v>50</v>
      </c>
      <c r="S4" s="1">
        <v>5</v>
      </c>
      <c r="T4" s="1">
        <f>ROUND(VLOOKUP($A4,索引!$A$2:$L$38,4,FALSE)*70%,-1)</f>
        <v>120</v>
      </c>
      <c r="U4" s="5">
        <v>0</v>
      </c>
      <c r="V4" s="5">
        <v>0</v>
      </c>
      <c r="W4" s="5">
        <v>0</v>
      </c>
      <c r="X4" s="5">
        <v>0</v>
      </c>
      <c r="Y4" s="1">
        <v>0</v>
      </c>
      <c r="Z4" s="1">
        <v>0</v>
      </c>
      <c r="AA4" s="1">
        <v>0</v>
      </c>
      <c r="AB4" s="1">
        <v>0</v>
      </c>
      <c r="AC4" s="5">
        <v>0</v>
      </c>
      <c r="AD4" s="5">
        <v>0</v>
      </c>
      <c r="AE4" s="5">
        <v>0</v>
      </c>
      <c r="AF4" s="5">
        <v>0</v>
      </c>
      <c r="AG4" s="1">
        <v>0</v>
      </c>
      <c r="AH4" s="1">
        <v>0</v>
      </c>
      <c r="AI4" s="1">
        <v>0</v>
      </c>
      <c r="AJ4" s="1">
        <v>0</v>
      </c>
      <c r="AK4" s="5">
        <v>0</v>
      </c>
      <c r="AL4" s="5">
        <v>0</v>
      </c>
      <c r="AM4" s="5">
        <v>0</v>
      </c>
      <c r="AN4" s="5">
        <v>0</v>
      </c>
      <c r="AO4" s="1">
        <v>0</v>
      </c>
      <c r="AP4" s="1">
        <v>0</v>
      </c>
      <c r="AQ4" s="1">
        <v>0</v>
      </c>
      <c r="AR4" s="1">
        <v>0</v>
      </c>
      <c r="AS4" s="5">
        <v>0</v>
      </c>
      <c r="AT4" s="5">
        <v>0</v>
      </c>
      <c r="AU4" s="5">
        <v>0</v>
      </c>
      <c r="AV4" s="5">
        <v>0</v>
      </c>
      <c r="AW4" s="1">
        <v>0</v>
      </c>
      <c r="AX4" s="1">
        <v>0</v>
      </c>
      <c r="AY4" s="1">
        <v>0</v>
      </c>
      <c r="AZ4" s="1">
        <v>0</v>
      </c>
      <c r="BA4" s="5">
        <v>0</v>
      </c>
      <c r="BB4" s="5">
        <v>0</v>
      </c>
      <c r="BC4" s="5">
        <v>0</v>
      </c>
      <c r="BD4" s="5">
        <v>0</v>
      </c>
      <c r="BE4" s="1">
        <v>0</v>
      </c>
      <c r="BF4" s="1">
        <v>0</v>
      </c>
      <c r="BG4" s="1">
        <v>0</v>
      </c>
      <c r="BH4" s="1">
        <v>0</v>
      </c>
      <c r="BI4" s="5">
        <v>0</v>
      </c>
      <c r="BJ4" s="5">
        <v>0</v>
      </c>
      <c r="BK4" s="5">
        <v>0</v>
      </c>
      <c r="BL4" s="5">
        <v>0</v>
      </c>
      <c r="BM4" s="1">
        <v>0</v>
      </c>
      <c r="BN4" s="1">
        <v>0</v>
      </c>
      <c r="BO4" s="1">
        <v>0</v>
      </c>
      <c r="BP4" s="1">
        <v>0</v>
      </c>
      <c r="BQ4" s="5">
        <v>0</v>
      </c>
      <c r="BR4" s="5">
        <v>0</v>
      </c>
      <c r="BS4" s="5">
        <v>0</v>
      </c>
      <c r="BT4" s="5">
        <v>0</v>
      </c>
    </row>
    <row r="5" spans="1:72" ht="30" customHeight="1">
      <c r="A5" s="1">
        <v>2</v>
      </c>
      <c r="B5" s="1">
        <v>0</v>
      </c>
      <c r="C5" s="1">
        <v>10004</v>
      </c>
      <c r="D5" s="1" t="s">
        <v>41</v>
      </c>
      <c r="E5" s="23" t="s">
        <v>384</v>
      </c>
      <c r="F5" s="2" t="s">
        <v>340</v>
      </c>
      <c r="G5" s="5">
        <v>3</v>
      </c>
      <c r="H5" s="5">
        <v>2</v>
      </c>
      <c r="I5" s="1" t="s">
        <v>57</v>
      </c>
      <c r="J5" s="17">
        <v>10</v>
      </c>
      <c r="K5" s="1">
        <v>5</v>
      </c>
      <c r="L5" s="1">
        <f>ROUND(VLOOKUP($A5,索引!$A$2:$L$38,4,FALSE)*30%,-1)</f>
        <v>80</v>
      </c>
      <c r="M5" s="5">
        <v>0</v>
      </c>
      <c r="N5" s="5">
        <v>0</v>
      </c>
      <c r="O5" s="5">
        <v>0</v>
      </c>
      <c r="P5" s="5">
        <v>0</v>
      </c>
      <c r="Q5" s="1" t="s">
        <v>58</v>
      </c>
      <c r="R5" s="16">
        <v>50</v>
      </c>
      <c r="S5" s="1">
        <v>5</v>
      </c>
      <c r="T5" s="1">
        <f>ROUND(VLOOKUP($A5,索引!$A$2:$L$38,4,FALSE)*70%,-1)</f>
        <v>190</v>
      </c>
      <c r="U5" s="5">
        <v>0</v>
      </c>
      <c r="V5" s="5">
        <v>0</v>
      </c>
      <c r="W5" s="5">
        <v>0</v>
      </c>
      <c r="X5" s="5">
        <v>0</v>
      </c>
      <c r="Y5" s="1">
        <v>0</v>
      </c>
      <c r="Z5" s="1">
        <v>0</v>
      </c>
      <c r="AA5" s="1">
        <v>0</v>
      </c>
      <c r="AB5" s="1">
        <v>0</v>
      </c>
      <c r="AC5" s="5">
        <v>0</v>
      </c>
      <c r="AD5" s="5">
        <v>0</v>
      </c>
      <c r="AE5" s="5">
        <v>0</v>
      </c>
      <c r="AF5" s="5">
        <v>0</v>
      </c>
      <c r="AG5" s="1">
        <v>0</v>
      </c>
      <c r="AH5" s="1">
        <v>0</v>
      </c>
      <c r="AI5" s="1">
        <v>0</v>
      </c>
      <c r="AJ5" s="1">
        <v>0</v>
      </c>
      <c r="AK5" s="5">
        <v>0</v>
      </c>
      <c r="AL5" s="5">
        <v>0</v>
      </c>
      <c r="AM5" s="5">
        <v>0</v>
      </c>
      <c r="AN5" s="5">
        <v>0</v>
      </c>
      <c r="AO5" s="1">
        <v>0</v>
      </c>
      <c r="AP5" s="1">
        <v>0</v>
      </c>
      <c r="AQ5" s="1">
        <v>0</v>
      </c>
      <c r="AR5" s="1">
        <v>0</v>
      </c>
      <c r="AS5" s="5">
        <v>0</v>
      </c>
      <c r="AT5" s="5">
        <v>0</v>
      </c>
      <c r="AU5" s="5">
        <v>0</v>
      </c>
      <c r="AV5" s="5">
        <v>0</v>
      </c>
      <c r="AW5" s="1">
        <v>0</v>
      </c>
      <c r="AX5" s="1">
        <v>0</v>
      </c>
      <c r="AY5" s="1">
        <v>0</v>
      </c>
      <c r="AZ5" s="1">
        <v>0</v>
      </c>
      <c r="BA5" s="5">
        <v>0</v>
      </c>
      <c r="BB5" s="5">
        <v>0</v>
      </c>
      <c r="BC5" s="5">
        <v>0</v>
      </c>
      <c r="BD5" s="5">
        <v>0</v>
      </c>
      <c r="BE5" s="1">
        <v>0</v>
      </c>
      <c r="BF5" s="1">
        <v>0</v>
      </c>
      <c r="BG5" s="1">
        <v>0</v>
      </c>
      <c r="BH5" s="1">
        <v>0</v>
      </c>
      <c r="BI5" s="5">
        <v>0</v>
      </c>
      <c r="BJ5" s="5">
        <v>0</v>
      </c>
      <c r="BK5" s="5">
        <v>0</v>
      </c>
      <c r="BL5" s="5">
        <v>0</v>
      </c>
      <c r="BM5" s="1">
        <v>0</v>
      </c>
      <c r="BN5" s="1">
        <v>0</v>
      </c>
      <c r="BO5" s="1">
        <v>0</v>
      </c>
      <c r="BP5" s="1">
        <v>0</v>
      </c>
      <c r="BQ5" s="5">
        <v>0</v>
      </c>
      <c r="BR5" s="5">
        <v>0</v>
      </c>
      <c r="BS5" s="5">
        <v>0</v>
      </c>
      <c r="BT5" s="5">
        <v>0</v>
      </c>
    </row>
    <row r="6" spans="1:72" ht="30" customHeight="1">
      <c r="A6" s="29">
        <v>3</v>
      </c>
      <c r="B6" s="3">
        <v>0</v>
      </c>
      <c r="C6" s="1">
        <v>10025</v>
      </c>
      <c r="D6" s="1" t="s">
        <v>41</v>
      </c>
      <c r="E6" s="23" t="s">
        <v>406</v>
      </c>
      <c r="F6" s="2" t="s">
        <v>352</v>
      </c>
      <c r="G6" s="5">
        <v>3</v>
      </c>
      <c r="H6" s="5">
        <v>3</v>
      </c>
      <c r="I6" s="29" t="s">
        <v>562</v>
      </c>
      <c r="J6" s="17">
        <v>10</v>
      </c>
      <c r="K6" s="1">
        <v>10</v>
      </c>
      <c r="L6" s="1">
        <f>ROUND(VLOOKUP($A6,索引!$A$2:$L$38,4,FALSE)*15%,-1)</f>
        <v>930</v>
      </c>
      <c r="M6" s="5">
        <v>0</v>
      </c>
      <c r="N6" s="5">
        <v>0</v>
      </c>
      <c r="O6" s="5">
        <v>0</v>
      </c>
      <c r="P6" s="5">
        <v>0</v>
      </c>
      <c r="Q6" s="29" t="s">
        <v>563</v>
      </c>
      <c r="R6" s="16">
        <v>50</v>
      </c>
      <c r="S6" s="1">
        <v>10</v>
      </c>
      <c r="T6" s="1">
        <f>ROUND(VLOOKUP($A6,索引!$A$2:$L$38,4,FALSE)*35%,-1)</f>
        <v>2170</v>
      </c>
      <c r="U6" s="5">
        <v>0</v>
      </c>
      <c r="V6" s="5">
        <v>0</v>
      </c>
      <c r="W6" s="5">
        <v>0</v>
      </c>
      <c r="X6" s="5">
        <v>0</v>
      </c>
      <c r="Y6" s="29" t="s">
        <v>564</v>
      </c>
      <c r="Z6" s="16">
        <v>200</v>
      </c>
      <c r="AA6" s="1">
        <v>10</v>
      </c>
      <c r="AB6" s="1">
        <f>ROUND(VLOOKUP($A6,索引!$A$2:$L$38,4,FALSE)*50%,-1)</f>
        <v>3100</v>
      </c>
      <c r="AC6" s="5">
        <v>0</v>
      </c>
      <c r="AD6" s="5">
        <v>0</v>
      </c>
      <c r="AE6" s="5">
        <v>0</v>
      </c>
      <c r="AF6" s="5">
        <v>0</v>
      </c>
      <c r="AG6" s="29" t="s">
        <v>565</v>
      </c>
      <c r="AH6" s="16">
        <v>1000</v>
      </c>
      <c r="AI6" s="1">
        <v>30</v>
      </c>
      <c r="AJ6" s="1">
        <f>ROUND(VLOOKUP($A6,索引!$A$2:$L$38,4,FALSE)*150%,-2)</f>
        <v>9300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5">
        <v>0</v>
      </c>
      <c r="BR6" s="5">
        <v>0</v>
      </c>
      <c r="BS6" s="5">
        <v>0</v>
      </c>
      <c r="BT6" s="5">
        <v>0</v>
      </c>
    </row>
    <row r="7" spans="1:72" ht="30" customHeight="1">
      <c r="A7" s="28">
        <v>4</v>
      </c>
      <c r="B7" s="3">
        <v>0</v>
      </c>
      <c r="C7" s="1">
        <v>10024</v>
      </c>
      <c r="D7" s="1" t="s">
        <v>41</v>
      </c>
      <c r="E7" s="23" t="s">
        <v>414</v>
      </c>
      <c r="F7" s="3" t="s">
        <v>342</v>
      </c>
      <c r="G7" s="5">
        <v>3</v>
      </c>
      <c r="H7" s="5">
        <v>3</v>
      </c>
      <c r="I7" s="28" t="s">
        <v>566</v>
      </c>
      <c r="J7" s="17">
        <v>10</v>
      </c>
      <c r="K7" s="1">
        <v>10</v>
      </c>
      <c r="L7" s="1">
        <f>ROUND(VLOOKUP($A7,索引!$A$2:$L$38,4,FALSE)*8%,-1)</f>
        <v>140</v>
      </c>
      <c r="M7" s="5">
        <v>0</v>
      </c>
      <c r="N7" s="5">
        <v>0</v>
      </c>
      <c r="O7" s="5">
        <v>0</v>
      </c>
      <c r="P7" s="5">
        <v>0</v>
      </c>
      <c r="Q7" s="28" t="s">
        <v>567</v>
      </c>
      <c r="R7" s="16">
        <v>50</v>
      </c>
      <c r="S7" s="1">
        <v>10</v>
      </c>
      <c r="T7" s="1">
        <f>ROUND(VLOOKUP($A7,索引!$A$2:$L$38,4,FALSE)*24%,-1)</f>
        <v>430</v>
      </c>
      <c r="U7" s="5">
        <v>0</v>
      </c>
      <c r="V7" s="5">
        <v>0</v>
      </c>
      <c r="W7" s="5">
        <v>0</v>
      </c>
      <c r="X7" s="5">
        <v>0</v>
      </c>
      <c r="Y7" s="28" t="s">
        <v>568</v>
      </c>
      <c r="Z7" s="16">
        <v>200</v>
      </c>
      <c r="AA7" s="1">
        <v>10</v>
      </c>
      <c r="AB7" s="1">
        <f>ROUND(VLOOKUP($A7,索引!$A$2:$L$38,4,FALSE)*68%,-1)</f>
        <v>1220</v>
      </c>
      <c r="AC7" s="5">
        <v>0</v>
      </c>
      <c r="AD7" s="5">
        <v>0</v>
      </c>
      <c r="AE7" s="5">
        <v>0</v>
      </c>
      <c r="AF7" s="5">
        <v>0</v>
      </c>
      <c r="AG7" s="28" t="s">
        <v>569</v>
      </c>
      <c r="AH7" s="16">
        <v>1000</v>
      </c>
      <c r="AI7" s="1">
        <v>30</v>
      </c>
      <c r="AJ7" s="1">
        <f>ROUND(VLOOKUP($A7,索引!$A$2:$L$38,4,FALSE)*200%,-1)</f>
        <v>3600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5">
        <v>0</v>
      </c>
      <c r="BR7" s="5">
        <v>0</v>
      </c>
      <c r="BS7" s="5">
        <v>0</v>
      </c>
      <c r="BT7" s="5">
        <v>0</v>
      </c>
    </row>
    <row r="8" spans="1:72" ht="30" customHeight="1">
      <c r="A8" s="1">
        <v>5</v>
      </c>
      <c r="B8" s="1">
        <v>0</v>
      </c>
      <c r="C8" s="1">
        <v>10010</v>
      </c>
      <c r="D8" s="1" t="s">
        <v>41</v>
      </c>
      <c r="E8" s="23" t="s">
        <v>415</v>
      </c>
      <c r="F8" s="1" t="s">
        <v>345</v>
      </c>
      <c r="G8" s="5">
        <v>3</v>
      </c>
      <c r="H8" s="5">
        <v>4</v>
      </c>
      <c r="I8" s="1" t="s">
        <v>390</v>
      </c>
      <c r="J8" s="17">
        <v>10</v>
      </c>
      <c r="K8" s="1">
        <v>10</v>
      </c>
      <c r="L8" s="1">
        <f>ROUND(VLOOKUP($A8,索引!$A$2:$L$38,4,FALSE)*8%,-1)</f>
        <v>140</v>
      </c>
      <c r="M8" s="5">
        <v>0</v>
      </c>
      <c r="N8" s="5">
        <v>0</v>
      </c>
      <c r="O8" s="5">
        <v>0</v>
      </c>
      <c r="P8" s="5">
        <v>0</v>
      </c>
      <c r="Q8" s="1" t="s">
        <v>391</v>
      </c>
      <c r="R8" s="16">
        <v>50</v>
      </c>
      <c r="S8" s="1">
        <v>10</v>
      </c>
      <c r="T8" s="1">
        <f>ROUND(VLOOKUP($A8,索引!$A$2:$L$38,4,FALSE)*24%,-1)</f>
        <v>430</v>
      </c>
      <c r="U8" s="5">
        <v>0</v>
      </c>
      <c r="V8" s="5">
        <v>0</v>
      </c>
      <c r="W8" s="5">
        <v>0</v>
      </c>
      <c r="X8" s="5">
        <v>0</v>
      </c>
      <c r="Y8" s="1" t="s">
        <v>392</v>
      </c>
      <c r="Z8" s="16">
        <v>200</v>
      </c>
      <c r="AA8" s="1">
        <v>10</v>
      </c>
      <c r="AB8" s="1">
        <f>ROUND(VLOOKUP($A8,索引!$A$2:$L$38,4,FALSE)*68%,-1)</f>
        <v>1220</v>
      </c>
      <c r="AC8" s="5">
        <v>0</v>
      </c>
      <c r="AD8" s="5">
        <v>0</v>
      </c>
      <c r="AE8" s="5">
        <v>0</v>
      </c>
      <c r="AF8" s="5">
        <v>0</v>
      </c>
      <c r="AG8" s="1" t="s">
        <v>393</v>
      </c>
      <c r="AH8" s="16">
        <v>1000</v>
      </c>
      <c r="AI8" s="1">
        <v>30</v>
      </c>
      <c r="AJ8" s="1">
        <f>ROUND(VLOOKUP($A8,索引!$A$2:$L$38,4,FALSE)*200%,-1)</f>
        <v>3600</v>
      </c>
      <c r="AK8" s="5">
        <v>0</v>
      </c>
      <c r="AL8" s="5">
        <v>0</v>
      </c>
      <c r="AM8" s="5">
        <v>0</v>
      </c>
      <c r="AN8" s="5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5">
        <v>0</v>
      </c>
      <c r="BS8" s="5">
        <v>0</v>
      </c>
      <c r="BT8" s="5">
        <v>0</v>
      </c>
    </row>
    <row r="9" spans="1:72" ht="30" customHeight="1">
      <c r="A9" s="5">
        <v>6</v>
      </c>
      <c r="B9" s="3">
        <v>0</v>
      </c>
      <c r="C9" s="1">
        <v>10009</v>
      </c>
      <c r="D9" s="1" t="s">
        <v>41</v>
      </c>
      <c r="E9" s="23" t="s">
        <v>416</v>
      </c>
      <c r="F9" s="3" t="s">
        <v>342</v>
      </c>
      <c r="G9" s="5">
        <v>3</v>
      </c>
      <c r="H9" s="5">
        <v>4</v>
      </c>
      <c r="I9" s="5" t="s">
        <v>71</v>
      </c>
      <c r="J9" s="17">
        <v>10</v>
      </c>
      <c r="K9" s="1">
        <v>10</v>
      </c>
      <c r="L9" s="1">
        <f>ROUND(VLOOKUP($A9,索引!$A$2:$L$38,4,FALSE)*8%,-1)</f>
        <v>140</v>
      </c>
      <c r="M9" s="5">
        <v>0</v>
      </c>
      <c r="N9" s="5">
        <v>0</v>
      </c>
      <c r="O9" s="5">
        <v>0</v>
      </c>
      <c r="P9" s="5">
        <v>0</v>
      </c>
      <c r="Q9" s="1" t="s">
        <v>72</v>
      </c>
      <c r="R9" s="16">
        <v>50</v>
      </c>
      <c r="S9" s="1">
        <v>10</v>
      </c>
      <c r="T9" s="1">
        <f>ROUND(VLOOKUP($A9,索引!$A$2:$L$38,4,FALSE)*24%,-1)</f>
        <v>430</v>
      </c>
      <c r="U9" s="5">
        <v>0</v>
      </c>
      <c r="V9" s="5">
        <v>0</v>
      </c>
      <c r="W9" s="5">
        <v>0</v>
      </c>
      <c r="X9" s="5">
        <v>0</v>
      </c>
      <c r="Y9" s="1" t="s">
        <v>73</v>
      </c>
      <c r="Z9" s="16">
        <v>200</v>
      </c>
      <c r="AA9" s="1">
        <v>10</v>
      </c>
      <c r="AB9" s="1">
        <f>ROUND(VLOOKUP($A9,索引!$A$2:$L$38,4,FALSE)*68%,-1)</f>
        <v>1220</v>
      </c>
      <c r="AC9" s="5">
        <v>0</v>
      </c>
      <c r="AD9" s="5">
        <v>0</v>
      </c>
      <c r="AE9" s="5">
        <v>0</v>
      </c>
      <c r="AF9" s="5">
        <v>0</v>
      </c>
      <c r="AG9" s="1" t="s">
        <v>74</v>
      </c>
      <c r="AH9" s="16">
        <v>1000</v>
      </c>
      <c r="AI9" s="1">
        <v>30</v>
      </c>
      <c r="AJ9" s="1">
        <f>ROUND(VLOOKUP($A9,索引!$A$2:$L$38,4,FALSE)*200%,-1)</f>
        <v>3600</v>
      </c>
      <c r="AK9" s="5">
        <v>0</v>
      </c>
      <c r="AL9" s="5">
        <v>0</v>
      </c>
      <c r="AM9" s="5">
        <v>0</v>
      </c>
      <c r="AN9" s="5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5">
        <v>0</v>
      </c>
      <c r="BS9" s="5">
        <v>0</v>
      </c>
      <c r="BT9" s="5">
        <v>0</v>
      </c>
    </row>
    <row r="10" spans="1:72" ht="30" customHeight="1">
      <c r="A10" s="1">
        <v>7</v>
      </c>
      <c r="B10" s="4">
        <v>0</v>
      </c>
      <c r="C10" s="1">
        <v>10042</v>
      </c>
      <c r="D10" s="1" t="s">
        <v>41</v>
      </c>
      <c r="E10" s="24" t="s">
        <v>477</v>
      </c>
      <c r="F10" s="3" t="s">
        <v>342</v>
      </c>
      <c r="G10" s="5">
        <v>3</v>
      </c>
      <c r="H10" s="5">
        <v>4</v>
      </c>
      <c r="I10" s="1" t="s">
        <v>475</v>
      </c>
      <c r="J10" s="17">
        <v>1</v>
      </c>
      <c r="K10" s="1">
        <v>20</v>
      </c>
      <c r="L10" s="1">
        <f>ROUND(VLOOKUP($A10,索引!$A$2:$L$38,4,FALSE)*100%,-1)</f>
        <v>600</v>
      </c>
      <c r="M10" s="5">
        <v>0</v>
      </c>
      <c r="N10" s="5">
        <v>0</v>
      </c>
      <c r="O10" s="5">
        <v>0</v>
      </c>
      <c r="P10" s="5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</row>
    <row r="11" spans="1:72" ht="30" customHeight="1">
      <c r="A11" s="1">
        <v>8</v>
      </c>
      <c r="B11" s="4">
        <v>0</v>
      </c>
      <c r="C11" s="1">
        <v>10043</v>
      </c>
      <c r="D11" s="1" t="s">
        <v>41</v>
      </c>
      <c r="E11" s="24" t="s">
        <v>478</v>
      </c>
      <c r="F11" s="3" t="s">
        <v>497</v>
      </c>
      <c r="G11" s="5">
        <v>3</v>
      </c>
      <c r="H11" s="5">
        <v>4</v>
      </c>
      <c r="I11" s="1" t="s">
        <v>476</v>
      </c>
      <c r="J11" s="17">
        <v>1</v>
      </c>
      <c r="K11" s="1">
        <v>20</v>
      </c>
      <c r="L11" s="1">
        <f>ROUND(VLOOKUP($A11,索引!$A$2:$L$38,4,FALSE)*100%,-1)</f>
        <v>600</v>
      </c>
      <c r="M11" s="5">
        <v>0</v>
      </c>
      <c r="N11" s="5">
        <v>0</v>
      </c>
      <c r="O11" s="5">
        <v>0</v>
      </c>
      <c r="P11" s="5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</row>
    <row r="12" spans="1:72" ht="30" customHeight="1">
      <c r="A12" s="1">
        <v>9</v>
      </c>
      <c r="B12" s="1">
        <v>0</v>
      </c>
      <c r="C12" s="1">
        <v>10015</v>
      </c>
      <c r="D12" s="1" t="s">
        <v>41</v>
      </c>
      <c r="E12" s="23" t="s">
        <v>417</v>
      </c>
      <c r="F12" s="1" t="s">
        <v>348</v>
      </c>
      <c r="G12" s="5">
        <v>3</v>
      </c>
      <c r="H12" s="5">
        <v>5</v>
      </c>
      <c r="I12" s="1" t="s">
        <v>399</v>
      </c>
      <c r="J12" s="17">
        <v>10</v>
      </c>
      <c r="K12" s="1">
        <v>10</v>
      </c>
      <c r="L12" s="1">
        <f>ROUND(VLOOKUP($A12,索引!$A$2:$L$38,4,FALSE)*8%,-1)</f>
        <v>190</v>
      </c>
      <c r="M12" s="5">
        <v>0</v>
      </c>
      <c r="N12" s="5">
        <v>0</v>
      </c>
      <c r="O12" s="5">
        <v>0</v>
      </c>
      <c r="P12" s="5">
        <v>0</v>
      </c>
      <c r="Q12" s="1" t="s">
        <v>462</v>
      </c>
      <c r="R12" s="16">
        <v>50</v>
      </c>
      <c r="S12" s="1">
        <v>10</v>
      </c>
      <c r="T12" s="1">
        <f>ROUND(VLOOKUP($A12,索引!$A$2:$L$38,4,FALSE)*24%,-1)</f>
        <v>580</v>
      </c>
      <c r="U12" s="5">
        <v>0</v>
      </c>
      <c r="V12" s="5">
        <v>0</v>
      </c>
      <c r="W12" s="5">
        <v>0</v>
      </c>
      <c r="X12" s="5">
        <v>0</v>
      </c>
      <c r="Y12" s="1" t="s">
        <v>463</v>
      </c>
      <c r="Z12" s="16">
        <v>200</v>
      </c>
      <c r="AA12" s="1">
        <v>10</v>
      </c>
      <c r="AB12" s="1">
        <f>ROUND(VLOOKUP($A12,索引!$A$2:$L$38,4,FALSE)*68%,-1)</f>
        <v>1630</v>
      </c>
      <c r="AC12" s="5">
        <v>0</v>
      </c>
      <c r="AD12" s="5">
        <v>0</v>
      </c>
      <c r="AE12" s="5">
        <v>0</v>
      </c>
      <c r="AF12" s="5">
        <v>0</v>
      </c>
      <c r="AG12" s="1" t="s">
        <v>464</v>
      </c>
      <c r="AH12" s="16">
        <v>1000</v>
      </c>
      <c r="AI12" s="1">
        <v>30</v>
      </c>
      <c r="AJ12" s="1">
        <f>ROUND(VLOOKUP($A12,索引!$A$2:$L$38,4,FALSE)*200%,-1)</f>
        <v>4800</v>
      </c>
      <c r="AK12" s="5">
        <v>0</v>
      </c>
      <c r="AL12" s="5">
        <v>0</v>
      </c>
      <c r="AM12" s="5">
        <v>0</v>
      </c>
      <c r="AN12" s="5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5">
        <v>0</v>
      </c>
      <c r="BS12" s="5">
        <v>0</v>
      </c>
      <c r="BT12" s="5">
        <v>0</v>
      </c>
    </row>
    <row r="13" spans="1:72" ht="30" customHeight="1">
      <c r="A13" s="1">
        <v>10</v>
      </c>
      <c r="B13" s="1">
        <v>0</v>
      </c>
      <c r="C13" s="1">
        <v>10016</v>
      </c>
      <c r="D13" s="5" t="s">
        <v>41</v>
      </c>
      <c r="E13" s="23" t="s">
        <v>385</v>
      </c>
      <c r="F13" s="3" t="s">
        <v>346</v>
      </c>
      <c r="G13" s="5">
        <v>3</v>
      </c>
      <c r="H13" s="5">
        <v>5</v>
      </c>
      <c r="I13" s="1" t="s">
        <v>372</v>
      </c>
      <c r="J13" s="17">
        <v>10</v>
      </c>
      <c r="K13" s="1">
        <v>10</v>
      </c>
      <c r="L13" s="1">
        <f>ROUND(VLOOKUP($A13,索引!$A$2:$L$38,4,FALSE)*8%,-1)</f>
        <v>170</v>
      </c>
      <c r="M13" s="5">
        <v>0</v>
      </c>
      <c r="N13" s="5">
        <v>0</v>
      </c>
      <c r="O13" s="5">
        <v>0</v>
      </c>
      <c r="P13" s="5">
        <v>0</v>
      </c>
      <c r="Q13" s="1" t="s">
        <v>459</v>
      </c>
      <c r="R13" s="16">
        <v>50</v>
      </c>
      <c r="S13" s="1">
        <v>10</v>
      </c>
      <c r="T13" s="1">
        <f>ROUND(VLOOKUP($A13,索引!$A$2:$L$38,4,FALSE)*24%,-1)</f>
        <v>500</v>
      </c>
      <c r="U13" s="5">
        <v>0</v>
      </c>
      <c r="V13" s="5">
        <v>0</v>
      </c>
      <c r="W13" s="5">
        <v>0</v>
      </c>
      <c r="X13" s="5">
        <v>0</v>
      </c>
      <c r="Y13" s="1" t="s">
        <v>460</v>
      </c>
      <c r="Z13" s="16">
        <v>200</v>
      </c>
      <c r="AA13" s="1">
        <v>10</v>
      </c>
      <c r="AB13" s="1">
        <f>ROUND(VLOOKUP($A13,索引!$A$2:$L$38,4,FALSE)*68%,-1)</f>
        <v>1430</v>
      </c>
      <c r="AC13" s="5">
        <v>0</v>
      </c>
      <c r="AD13" s="5">
        <v>0</v>
      </c>
      <c r="AE13" s="5">
        <v>0</v>
      </c>
      <c r="AF13" s="5">
        <v>0</v>
      </c>
      <c r="AG13" s="1" t="s">
        <v>461</v>
      </c>
      <c r="AH13" s="16">
        <v>1000</v>
      </c>
      <c r="AI13" s="1">
        <v>30</v>
      </c>
      <c r="AJ13" s="1">
        <f>ROUND(VLOOKUP($A13,索引!$A$2:$L$38,4,FALSE)*200%,-1)</f>
        <v>4200</v>
      </c>
      <c r="AK13" s="5">
        <v>0</v>
      </c>
      <c r="AL13" s="5">
        <v>0</v>
      </c>
      <c r="AM13" s="5">
        <v>0</v>
      </c>
      <c r="AN13" s="5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5">
        <v>0</v>
      </c>
      <c r="BS13" s="5">
        <v>0</v>
      </c>
      <c r="BT13" s="5">
        <v>0</v>
      </c>
    </row>
    <row r="14" spans="1:72" ht="30" customHeight="1">
      <c r="A14" s="1">
        <v>11</v>
      </c>
      <c r="B14" s="1">
        <v>0</v>
      </c>
      <c r="C14" s="1">
        <v>10048</v>
      </c>
      <c r="D14" s="5" t="s">
        <v>41</v>
      </c>
      <c r="E14" s="24" t="s">
        <v>479</v>
      </c>
      <c r="F14" s="3" t="s">
        <v>346</v>
      </c>
      <c r="G14" s="5">
        <v>3</v>
      </c>
      <c r="H14" s="5">
        <v>5</v>
      </c>
      <c r="I14" s="1" t="s">
        <v>474</v>
      </c>
      <c r="J14" s="17">
        <v>1</v>
      </c>
      <c r="K14" s="1">
        <v>20</v>
      </c>
      <c r="L14" s="1">
        <f>ROUND(VLOOKUP($A14,索引!$A$2:$L$38,4,FALSE)*100%,-1)</f>
        <v>800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1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1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1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1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5">
        <v>0</v>
      </c>
      <c r="BS14" s="5">
        <v>0</v>
      </c>
      <c r="BT14" s="5">
        <v>0</v>
      </c>
    </row>
    <row r="15" spans="1:72" ht="30" customHeight="1">
      <c r="A15" s="1">
        <v>12</v>
      </c>
      <c r="B15" s="1">
        <v>0</v>
      </c>
      <c r="C15" s="1">
        <v>10049</v>
      </c>
      <c r="D15" s="5" t="s">
        <v>41</v>
      </c>
      <c r="E15" s="24" t="s">
        <v>480</v>
      </c>
      <c r="F15" s="2" t="s">
        <v>350</v>
      </c>
      <c r="G15" s="5">
        <v>3</v>
      </c>
      <c r="H15" s="5">
        <v>5</v>
      </c>
      <c r="I15" s="1" t="s">
        <v>467</v>
      </c>
      <c r="J15" s="17">
        <v>1</v>
      </c>
      <c r="K15" s="1">
        <v>20</v>
      </c>
      <c r="L15" s="1">
        <f>ROUND(VLOOKUP($A15,索引!$A$2:$L$38,4,FALSE)*100%,-1)</f>
        <v>800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1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1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1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1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5">
        <v>0</v>
      </c>
      <c r="BS15" s="5">
        <v>0</v>
      </c>
      <c r="BT15" s="5">
        <v>0</v>
      </c>
    </row>
    <row r="16" spans="1:72" ht="30" customHeight="1">
      <c r="A16" s="1">
        <v>13</v>
      </c>
      <c r="B16" s="1">
        <v>2113</v>
      </c>
      <c r="C16" s="1">
        <v>0</v>
      </c>
      <c r="D16" s="5" t="s">
        <v>42</v>
      </c>
      <c r="E16" s="24" t="s">
        <v>576</v>
      </c>
      <c r="F16" s="3" t="s">
        <v>551</v>
      </c>
      <c r="G16" s="5">
        <v>4</v>
      </c>
      <c r="H16" s="5">
        <v>1</v>
      </c>
      <c r="I16" s="1" t="s">
        <v>577</v>
      </c>
      <c r="J16" s="17">
        <v>20</v>
      </c>
      <c r="K16" s="1">
        <v>0</v>
      </c>
      <c r="L16" s="1">
        <f>索引!D40</f>
        <v>30000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1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1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1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5">
        <v>0</v>
      </c>
      <c r="BS16" s="5">
        <v>0</v>
      </c>
      <c r="BT16" s="5">
        <v>0</v>
      </c>
    </row>
    <row r="17" spans="1:72" ht="30" customHeight="1">
      <c r="A17" s="5">
        <v>14</v>
      </c>
      <c r="B17" s="1">
        <v>0</v>
      </c>
      <c r="C17" s="2">
        <v>10006</v>
      </c>
      <c r="D17" s="5" t="s">
        <v>41</v>
      </c>
      <c r="E17" s="23" t="s">
        <v>386</v>
      </c>
      <c r="F17" s="2" t="s">
        <v>352</v>
      </c>
      <c r="G17" s="5">
        <v>3</v>
      </c>
      <c r="H17" s="5">
        <v>6</v>
      </c>
      <c r="I17" s="5" t="s">
        <v>561</v>
      </c>
      <c r="J17" s="17">
        <v>20</v>
      </c>
      <c r="K17" s="1">
        <v>10</v>
      </c>
      <c r="L17" s="1">
        <f>ROUND(VLOOKUP($A17,索引!$A$2:$L$38,4,FALSE)*3%,-2)</f>
        <v>1900</v>
      </c>
      <c r="M17" s="5">
        <v>0</v>
      </c>
      <c r="N17" s="5">
        <v>0</v>
      </c>
      <c r="O17" s="5">
        <v>0</v>
      </c>
      <c r="P17" s="5">
        <v>0</v>
      </c>
      <c r="Q17" s="1" t="s">
        <v>161</v>
      </c>
      <c r="R17" s="16">
        <v>100</v>
      </c>
      <c r="S17" s="1">
        <v>10</v>
      </c>
      <c r="T17" s="1">
        <f>ROUND(VLOOKUP($A17,索引!$A$2:$L$38,4,FALSE)*9%,-2)</f>
        <v>5600</v>
      </c>
      <c r="U17" s="5">
        <v>0</v>
      </c>
      <c r="V17" s="5">
        <v>0</v>
      </c>
      <c r="W17" s="5">
        <v>0</v>
      </c>
      <c r="X17" s="5">
        <v>0</v>
      </c>
      <c r="Y17" s="1" t="s">
        <v>162</v>
      </c>
      <c r="Z17" s="16">
        <v>500</v>
      </c>
      <c r="AA17" s="1">
        <v>10</v>
      </c>
      <c r="AB17" s="1">
        <f>ROUND(VLOOKUP($A17,索引!$A$2:$L$38,4,FALSE)*27%,-2)</f>
        <v>16700</v>
      </c>
      <c r="AC17" s="5">
        <v>0</v>
      </c>
      <c r="AD17" s="5">
        <v>0</v>
      </c>
      <c r="AE17" s="5">
        <v>0</v>
      </c>
      <c r="AF17" s="5">
        <v>0</v>
      </c>
      <c r="AG17" s="1" t="s">
        <v>163</v>
      </c>
      <c r="AH17" s="16">
        <v>2000</v>
      </c>
      <c r="AI17" s="1">
        <v>30</v>
      </c>
      <c r="AJ17" s="1">
        <f>ROUND(VLOOKUP($A17,索引!$A$2:$L$38,4,FALSE)*61%,-2)</f>
        <v>37800</v>
      </c>
      <c r="AK17" s="5">
        <v>0</v>
      </c>
      <c r="AL17" s="5">
        <v>0</v>
      </c>
      <c r="AM17" s="5">
        <v>0</v>
      </c>
      <c r="AN17" s="5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5">
        <v>0</v>
      </c>
      <c r="BS17" s="5">
        <v>0</v>
      </c>
      <c r="BT17" s="5">
        <v>0</v>
      </c>
    </row>
    <row r="18" spans="1:72" ht="30" customHeight="1">
      <c r="A18" s="1">
        <v>15</v>
      </c>
      <c r="B18" s="4">
        <v>0</v>
      </c>
      <c r="C18" s="1">
        <v>10038</v>
      </c>
      <c r="D18" s="5" t="s">
        <v>41</v>
      </c>
      <c r="E18" s="24" t="s">
        <v>481</v>
      </c>
      <c r="F18" s="2" t="s">
        <v>495</v>
      </c>
      <c r="G18" s="5">
        <v>3</v>
      </c>
      <c r="H18" s="5">
        <v>6</v>
      </c>
      <c r="I18" s="1" t="s">
        <v>465</v>
      </c>
      <c r="J18" s="17">
        <v>1</v>
      </c>
      <c r="K18" s="1">
        <v>20</v>
      </c>
      <c r="L18" s="1">
        <f>ROUND(VLOOKUP($A18,索引!$A$2:$L$38,4,FALSE)*100%,-2)</f>
        <v>2500</v>
      </c>
      <c r="M18" s="5">
        <v>0</v>
      </c>
      <c r="N18" s="5">
        <v>0</v>
      </c>
      <c r="O18" s="5">
        <v>0</v>
      </c>
      <c r="P18" s="5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5">
        <v>0</v>
      </c>
      <c r="BS18" s="5">
        <v>0</v>
      </c>
      <c r="BT18" s="5">
        <v>0</v>
      </c>
    </row>
    <row r="19" spans="1:72" ht="30" customHeight="1">
      <c r="A19" s="1">
        <v>16</v>
      </c>
      <c r="B19" s="4">
        <v>0</v>
      </c>
      <c r="C19" s="1">
        <v>10039</v>
      </c>
      <c r="D19" s="5" t="s">
        <v>41</v>
      </c>
      <c r="E19" s="24" t="s">
        <v>482</v>
      </c>
      <c r="F19" s="2" t="s">
        <v>496</v>
      </c>
      <c r="G19" s="5">
        <v>3</v>
      </c>
      <c r="H19" s="5">
        <v>6</v>
      </c>
      <c r="I19" s="1" t="s">
        <v>466</v>
      </c>
      <c r="J19" s="17">
        <v>1</v>
      </c>
      <c r="K19" s="1">
        <v>20</v>
      </c>
      <c r="L19" s="1">
        <f>ROUND(VLOOKUP($A19,索引!$A$2:$L$38,4,FALSE)*100%,-2)</f>
        <v>2500</v>
      </c>
      <c r="M19" s="5">
        <v>0</v>
      </c>
      <c r="N19" s="5">
        <v>0</v>
      </c>
      <c r="O19" s="5">
        <v>0</v>
      </c>
      <c r="P19" s="5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5">
        <v>0</v>
      </c>
      <c r="BS19" s="5">
        <v>0</v>
      </c>
      <c r="BT19" s="5">
        <v>0</v>
      </c>
    </row>
    <row r="20" spans="1:72" ht="30" customHeight="1">
      <c r="A20" s="1">
        <v>17</v>
      </c>
      <c r="B20" s="4">
        <v>2189</v>
      </c>
      <c r="C20" s="1">
        <v>0</v>
      </c>
      <c r="D20" s="5" t="s">
        <v>42</v>
      </c>
      <c r="E20" s="24" t="s">
        <v>578</v>
      </c>
      <c r="F20" s="2" t="s">
        <v>579</v>
      </c>
      <c r="G20" s="5">
        <v>4</v>
      </c>
      <c r="H20" s="5">
        <v>1</v>
      </c>
      <c r="I20" s="1" t="s">
        <v>580</v>
      </c>
      <c r="J20" s="17">
        <v>2</v>
      </c>
      <c r="K20" s="1">
        <v>0</v>
      </c>
      <c r="L20" s="1">
        <v>20000</v>
      </c>
      <c r="M20" s="5">
        <v>0</v>
      </c>
      <c r="N20" s="5">
        <v>0</v>
      </c>
      <c r="O20" s="5">
        <v>0</v>
      </c>
      <c r="P20" s="5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5">
        <v>0</v>
      </c>
      <c r="BS20" s="5">
        <v>0</v>
      </c>
      <c r="BT20" s="5">
        <v>0</v>
      </c>
    </row>
    <row r="21" spans="1:72" ht="30" customHeight="1">
      <c r="A21" s="1">
        <v>18</v>
      </c>
      <c r="B21" s="4">
        <v>3248</v>
      </c>
      <c r="C21" s="1">
        <v>0</v>
      </c>
      <c r="D21" s="5" t="s">
        <v>42</v>
      </c>
      <c r="E21" s="24" t="s">
        <v>585</v>
      </c>
      <c r="F21" s="2" t="s">
        <v>583</v>
      </c>
      <c r="G21" s="5">
        <v>4</v>
      </c>
      <c r="H21" s="5">
        <v>1</v>
      </c>
      <c r="I21" s="1" t="s">
        <v>581</v>
      </c>
      <c r="J21" s="17">
        <v>10</v>
      </c>
      <c r="K21" s="1">
        <v>0</v>
      </c>
      <c r="L21" s="1">
        <v>20000</v>
      </c>
      <c r="M21" s="5">
        <v>0</v>
      </c>
      <c r="N21" s="5">
        <v>0</v>
      </c>
      <c r="O21" s="5">
        <v>0</v>
      </c>
      <c r="P21" s="5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5">
        <v>0</v>
      </c>
      <c r="BS21" s="5">
        <v>0</v>
      </c>
      <c r="BT21" s="5">
        <v>0</v>
      </c>
    </row>
    <row r="22" spans="1:72" ht="30" customHeight="1">
      <c r="A22" s="1">
        <v>19</v>
      </c>
      <c r="B22" s="4">
        <v>5268</v>
      </c>
      <c r="C22" s="1">
        <v>0</v>
      </c>
      <c r="D22" s="5" t="s">
        <v>41</v>
      </c>
      <c r="E22" s="25" t="s">
        <v>483</v>
      </c>
      <c r="F22" s="4" t="s">
        <v>367</v>
      </c>
      <c r="G22" s="5">
        <v>3</v>
      </c>
      <c r="H22" s="5">
        <v>6</v>
      </c>
      <c r="I22" s="1" t="s">
        <v>174</v>
      </c>
      <c r="J22" s="17">
        <v>1</v>
      </c>
      <c r="K22" s="1">
        <v>50</v>
      </c>
      <c r="L22" s="1">
        <f>索引!D50</f>
        <v>20000</v>
      </c>
      <c r="M22" s="5">
        <v>0</v>
      </c>
      <c r="N22" s="5">
        <v>0</v>
      </c>
      <c r="O22" s="5">
        <v>0</v>
      </c>
      <c r="P22" s="5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</row>
    <row r="23" spans="1:72" ht="30" customHeight="1">
      <c r="A23" s="1">
        <v>20</v>
      </c>
      <c r="B23" s="3">
        <v>0</v>
      </c>
      <c r="C23" s="1">
        <v>10014</v>
      </c>
      <c r="D23" s="5" t="s">
        <v>41</v>
      </c>
      <c r="E23" s="23" t="s">
        <v>418</v>
      </c>
      <c r="F23" s="3" t="s">
        <v>353</v>
      </c>
      <c r="G23" s="5">
        <v>3</v>
      </c>
      <c r="H23" s="5">
        <v>7</v>
      </c>
      <c r="I23" s="1" t="s">
        <v>394</v>
      </c>
      <c r="J23" s="17">
        <v>50</v>
      </c>
      <c r="K23" s="1">
        <v>10</v>
      </c>
      <c r="L23" s="1">
        <f>ROUND(VLOOKUP($A23,索引!$A$2:$L$38,4,FALSE)*2%,-2)</f>
        <v>5100</v>
      </c>
      <c r="M23" s="5">
        <v>0</v>
      </c>
      <c r="N23" s="5">
        <v>0</v>
      </c>
      <c r="O23" s="5">
        <v>0</v>
      </c>
      <c r="P23" s="5">
        <v>0</v>
      </c>
      <c r="Q23" s="1" t="s">
        <v>395</v>
      </c>
      <c r="R23" s="16">
        <v>200</v>
      </c>
      <c r="S23" s="1">
        <v>10</v>
      </c>
      <c r="T23" s="1">
        <f>ROUND(VLOOKUP($A23,索引!$A$2:$L$38,4,FALSE)*5%,-2)</f>
        <v>12800</v>
      </c>
      <c r="U23" s="5">
        <v>0</v>
      </c>
      <c r="V23" s="5">
        <v>0</v>
      </c>
      <c r="W23" s="5">
        <v>0</v>
      </c>
      <c r="X23" s="5">
        <v>0</v>
      </c>
      <c r="Y23" s="1" t="s">
        <v>396</v>
      </c>
      <c r="Z23" s="16">
        <v>1000</v>
      </c>
      <c r="AA23" s="1">
        <v>10</v>
      </c>
      <c r="AB23" s="1">
        <f>ROUND(VLOOKUP($A23,索引!$A$2:$L$38,4,FALSE)*12%,-2)</f>
        <v>30600</v>
      </c>
      <c r="AC23" s="5">
        <v>0</v>
      </c>
      <c r="AD23" s="5">
        <v>0</v>
      </c>
      <c r="AE23" s="5">
        <v>0</v>
      </c>
      <c r="AF23" s="5">
        <v>0</v>
      </c>
      <c r="AG23" s="1" t="s">
        <v>397</v>
      </c>
      <c r="AH23" s="16">
        <v>3000</v>
      </c>
      <c r="AI23" s="1">
        <v>30</v>
      </c>
      <c r="AJ23" s="1">
        <f>ROUND(VLOOKUP($A23,索引!$A$2:$L$38,4,FALSE)*25%,-2)</f>
        <v>63800</v>
      </c>
      <c r="AK23" s="5">
        <v>0</v>
      </c>
      <c r="AL23" s="5">
        <v>0</v>
      </c>
      <c r="AM23" s="5">
        <v>0</v>
      </c>
      <c r="AN23" s="5">
        <v>0</v>
      </c>
      <c r="AO23" s="1" t="s">
        <v>398</v>
      </c>
      <c r="AP23" s="16">
        <v>10000</v>
      </c>
      <c r="AQ23" s="1">
        <v>50</v>
      </c>
      <c r="AR23" s="1">
        <f>ROUND(VLOOKUP($A23,索引!$A$2:$L$38,4,FALSE)*56%,-3)</f>
        <v>143000</v>
      </c>
      <c r="AS23" s="5">
        <v>0</v>
      </c>
      <c r="AT23" s="5">
        <v>0</v>
      </c>
      <c r="AU23" s="5">
        <v>0</v>
      </c>
      <c r="AV23" s="5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5">
        <v>0</v>
      </c>
      <c r="BR23" s="5">
        <v>0</v>
      </c>
      <c r="BS23" s="5">
        <v>0</v>
      </c>
      <c r="BT23" s="5">
        <v>0</v>
      </c>
    </row>
    <row r="24" spans="1:72" ht="30" customHeight="1">
      <c r="A24" s="1">
        <v>21</v>
      </c>
      <c r="B24" s="2">
        <v>0</v>
      </c>
      <c r="C24" s="1">
        <v>10013</v>
      </c>
      <c r="D24" s="5" t="s">
        <v>41</v>
      </c>
      <c r="E24" s="23" t="s">
        <v>500</v>
      </c>
      <c r="F24" s="2" t="s">
        <v>356</v>
      </c>
      <c r="G24" s="5">
        <v>3</v>
      </c>
      <c r="H24" s="5">
        <v>7</v>
      </c>
      <c r="I24" s="1" t="s">
        <v>407</v>
      </c>
      <c r="J24" s="17">
        <v>50</v>
      </c>
      <c r="K24" s="1">
        <v>10</v>
      </c>
      <c r="L24" s="1">
        <f>ROUND(VLOOKUP($A24,索引!$A$2:$L$38,4,FALSE)*2%,-2)</f>
        <v>6600</v>
      </c>
      <c r="M24" s="5">
        <v>0</v>
      </c>
      <c r="N24" s="5">
        <v>0</v>
      </c>
      <c r="O24" s="5">
        <v>0</v>
      </c>
      <c r="P24" s="5">
        <v>0</v>
      </c>
      <c r="Q24" s="1" t="s">
        <v>408</v>
      </c>
      <c r="R24" s="16">
        <v>200</v>
      </c>
      <c r="S24" s="1">
        <v>10</v>
      </c>
      <c r="T24" s="1">
        <f>ROUND(VLOOKUP($A24,索引!$A$2:$L$38,4,FALSE)*5%,-2)</f>
        <v>16500</v>
      </c>
      <c r="U24" s="5">
        <v>0</v>
      </c>
      <c r="V24" s="5">
        <v>0</v>
      </c>
      <c r="W24" s="5">
        <v>0</v>
      </c>
      <c r="X24" s="5">
        <v>0</v>
      </c>
      <c r="Y24" s="1" t="s">
        <v>409</v>
      </c>
      <c r="Z24" s="16">
        <v>1000</v>
      </c>
      <c r="AA24" s="1">
        <v>10</v>
      </c>
      <c r="AB24" s="1">
        <f>ROUND(VLOOKUP($A24,索引!$A$2:$L$38,4,FALSE)*12%,-2)</f>
        <v>39600</v>
      </c>
      <c r="AC24" s="5">
        <v>0</v>
      </c>
      <c r="AD24" s="5">
        <v>0</v>
      </c>
      <c r="AE24" s="5">
        <v>0</v>
      </c>
      <c r="AF24" s="5">
        <v>0</v>
      </c>
      <c r="AG24" s="1" t="s">
        <v>410</v>
      </c>
      <c r="AH24" s="16">
        <v>3000</v>
      </c>
      <c r="AI24" s="1">
        <v>30</v>
      </c>
      <c r="AJ24" s="1">
        <f>ROUND(VLOOKUP($A24,索引!$A$2:$L$38,4,FALSE)*25%,-2)</f>
        <v>82500</v>
      </c>
      <c r="AK24" s="5">
        <v>0</v>
      </c>
      <c r="AL24" s="5">
        <v>0</v>
      </c>
      <c r="AM24" s="5">
        <v>0</v>
      </c>
      <c r="AN24" s="5">
        <v>0</v>
      </c>
      <c r="AO24" s="1" t="s">
        <v>411</v>
      </c>
      <c r="AP24" s="16">
        <v>10000</v>
      </c>
      <c r="AQ24" s="1">
        <v>50</v>
      </c>
      <c r="AR24" s="1">
        <f>ROUND(VLOOKUP($A24,索引!$A$2:$L$38,4,FALSE)*56%,-3)</f>
        <v>185000</v>
      </c>
      <c r="AS24" s="5">
        <v>0</v>
      </c>
      <c r="AT24" s="5">
        <v>0</v>
      </c>
      <c r="AU24" s="5">
        <v>0</v>
      </c>
      <c r="AV24" s="5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5">
        <v>0</v>
      </c>
      <c r="BR24" s="5">
        <v>0</v>
      </c>
      <c r="BS24" s="5">
        <v>0</v>
      </c>
      <c r="BT24" s="5">
        <v>0</v>
      </c>
    </row>
    <row r="25" spans="1:72" ht="30" customHeight="1">
      <c r="A25" s="1">
        <v>22</v>
      </c>
      <c r="B25" s="4">
        <v>0</v>
      </c>
      <c r="C25" s="1">
        <v>10044</v>
      </c>
      <c r="D25" s="5" t="s">
        <v>41</v>
      </c>
      <c r="E25" s="24" t="s">
        <v>484</v>
      </c>
      <c r="F25" s="1" t="s">
        <v>357</v>
      </c>
      <c r="G25" s="5">
        <v>3</v>
      </c>
      <c r="H25" s="5">
        <v>7</v>
      </c>
      <c r="I25" s="1" t="s">
        <v>468</v>
      </c>
      <c r="J25" s="17">
        <v>1</v>
      </c>
      <c r="K25" s="1">
        <v>20</v>
      </c>
      <c r="L25" s="1">
        <f>ROUND(VLOOKUP($A25,索引!$A$2:$L$38,4,FALSE)*100%,-2)</f>
        <v>4000</v>
      </c>
      <c r="M25" s="5">
        <v>0</v>
      </c>
      <c r="N25" s="5">
        <v>0</v>
      </c>
      <c r="O25" s="5">
        <v>0</v>
      </c>
      <c r="P25" s="5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5">
        <v>0</v>
      </c>
    </row>
    <row r="26" spans="1:72" ht="30" customHeight="1">
      <c r="A26" s="1">
        <v>23</v>
      </c>
      <c r="B26" s="4">
        <v>0</v>
      </c>
      <c r="C26" s="1">
        <v>10045</v>
      </c>
      <c r="D26" s="5" t="s">
        <v>41</v>
      </c>
      <c r="E26" s="24" t="s">
        <v>485</v>
      </c>
      <c r="F26" s="2" t="s">
        <v>358</v>
      </c>
      <c r="G26" s="5">
        <v>3</v>
      </c>
      <c r="H26" s="5">
        <v>7</v>
      </c>
      <c r="I26" s="1" t="s">
        <v>469</v>
      </c>
      <c r="J26" s="17">
        <v>1</v>
      </c>
      <c r="K26" s="1">
        <v>20</v>
      </c>
      <c r="L26" s="1">
        <f>ROUND(VLOOKUP($A26,索引!$A$2:$L$38,4,FALSE)*100%,-2)</f>
        <v>4000</v>
      </c>
      <c r="M26" s="5">
        <v>0</v>
      </c>
      <c r="N26" s="5">
        <v>0</v>
      </c>
      <c r="O26" s="5">
        <v>0</v>
      </c>
      <c r="P26" s="5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5">
        <v>0</v>
      </c>
    </row>
    <row r="27" spans="1:72" ht="30" customHeight="1">
      <c r="A27" s="1">
        <v>24</v>
      </c>
      <c r="B27" s="1">
        <v>1078</v>
      </c>
      <c r="C27" s="2">
        <v>0</v>
      </c>
      <c r="D27" s="5" t="s">
        <v>42</v>
      </c>
      <c r="E27" s="24" t="s">
        <v>588</v>
      </c>
      <c r="F27" s="5" t="s">
        <v>584</v>
      </c>
      <c r="G27" s="5">
        <v>4</v>
      </c>
      <c r="H27" s="5">
        <v>1</v>
      </c>
      <c r="I27" s="1" t="s">
        <v>582</v>
      </c>
      <c r="J27" s="17">
        <v>10</v>
      </c>
      <c r="K27" s="1">
        <v>0</v>
      </c>
      <c r="L27" s="1">
        <v>25000</v>
      </c>
      <c r="M27" s="5">
        <v>0</v>
      </c>
      <c r="N27" s="5">
        <v>0</v>
      </c>
      <c r="O27" s="5">
        <v>0</v>
      </c>
      <c r="P27" s="5">
        <v>0</v>
      </c>
      <c r="Q27" s="1">
        <v>0</v>
      </c>
      <c r="R27" s="1">
        <v>0</v>
      </c>
      <c r="S27" s="1">
        <v>0</v>
      </c>
      <c r="T27" s="1">
        <v>0</v>
      </c>
      <c r="U27" s="5">
        <v>0</v>
      </c>
      <c r="V27" s="5">
        <v>0</v>
      </c>
      <c r="W27" s="5">
        <v>0</v>
      </c>
      <c r="X27" s="5">
        <v>0</v>
      </c>
      <c r="Y27" s="1">
        <v>0</v>
      </c>
      <c r="Z27" s="1">
        <v>0</v>
      </c>
      <c r="AA27" s="1">
        <v>0</v>
      </c>
      <c r="AB27" s="1">
        <v>0</v>
      </c>
      <c r="AC27" s="5">
        <v>0</v>
      </c>
      <c r="AD27" s="5">
        <v>0</v>
      </c>
      <c r="AE27" s="5">
        <v>0</v>
      </c>
      <c r="AF27" s="5">
        <v>0</v>
      </c>
      <c r="AG27" s="1">
        <v>0</v>
      </c>
      <c r="AH27" s="1">
        <v>0</v>
      </c>
      <c r="AI27" s="1">
        <v>0</v>
      </c>
      <c r="AJ27" s="1">
        <v>0</v>
      </c>
      <c r="AK27" s="5">
        <v>0</v>
      </c>
      <c r="AL27" s="5">
        <v>0</v>
      </c>
      <c r="AM27" s="5">
        <v>0</v>
      </c>
      <c r="AN27" s="5">
        <v>0</v>
      </c>
      <c r="AO27" s="1">
        <v>0</v>
      </c>
      <c r="AP27" s="1">
        <v>0</v>
      </c>
      <c r="AQ27" s="1">
        <v>0</v>
      </c>
      <c r="AR27" s="1">
        <v>0</v>
      </c>
      <c r="AS27" s="5">
        <v>0</v>
      </c>
      <c r="AT27" s="5">
        <v>0</v>
      </c>
      <c r="AU27" s="5">
        <v>0</v>
      </c>
      <c r="AV27" s="5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5">
        <v>0</v>
      </c>
      <c r="BR27" s="5">
        <v>0</v>
      </c>
      <c r="BS27" s="5">
        <v>0</v>
      </c>
      <c r="BT27" s="5">
        <v>0</v>
      </c>
    </row>
    <row r="28" spans="1:72" ht="30" customHeight="1">
      <c r="A28" s="1">
        <v>26</v>
      </c>
      <c r="B28" s="4">
        <v>5278</v>
      </c>
      <c r="C28" s="1">
        <v>0</v>
      </c>
      <c r="D28" s="5" t="s">
        <v>41</v>
      </c>
      <c r="E28" s="25" t="s">
        <v>387</v>
      </c>
      <c r="F28" s="4" t="s">
        <v>368</v>
      </c>
      <c r="G28" s="5">
        <v>3</v>
      </c>
      <c r="H28" s="5">
        <v>7</v>
      </c>
      <c r="I28" s="1" t="s">
        <v>216</v>
      </c>
      <c r="J28" s="17">
        <v>1</v>
      </c>
      <c r="K28" s="1">
        <v>50</v>
      </c>
      <c r="L28" s="1">
        <f>索引!D51</f>
        <v>35000</v>
      </c>
      <c r="M28" s="5">
        <v>0</v>
      </c>
      <c r="N28" s="5">
        <v>0</v>
      </c>
      <c r="O28" s="5">
        <v>0</v>
      </c>
      <c r="P28" s="5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5">
        <v>0</v>
      </c>
    </row>
    <row r="29" spans="1:72" ht="30" customHeight="1">
      <c r="A29" s="1">
        <v>27</v>
      </c>
      <c r="B29" s="1">
        <v>0</v>
      </c>
      <c r="C29" s="1">
        <v>10018</v>
      </c>
      <c r="D29" s="5" t="s">
        <v>41</v>
      </c>
      <c r="E29" s="23" t="s">
        <v>420</v>
      </c>
      <c r="F29" s="1" t="s">
        <v>360</v>
      </c>
      <c r="G29" s="5">
        <v>3</v>
      </c>
      <c r="H29" s="5">
        <v>8</v>
      </c>
      <c r="I29" s="1" t="s">
        <v>421</v>
      </c>
      <c r="J29" s="17">
        <v>50</v>
      </c>
      <c r="K29" s="1">
        <v>10</v>
      </c>
      <c r="L29" s="1">
        <f>ROUND(VLOOKUP($A29,索引!$A$2:$L$38,4,FALSE)*2%,-2)</f>
        <v>6900</v>
      </c>
      <c r="M29" s="5">
        <v>0</v>
      </c>
      <c r="N29" s="5">
        <v>0</v>
      </c>
      <c r="O29" s="5">
        <v>0</v>
      </c>
      <c r="P29" s="5">
        <v>0</v>
      </c>
      <c r="Q29" s="1" t="s">
        <v>422</v>
      </c>
      <c r="R29" s="16">
        <v>200</v>
      </c>
      <c r="S29" s="1">
        <v>10</v>
      </c>
      <c r="T29" s="1">
        <f>ROUND(VLOOKUP($A29,索引!$A$2:$L$38,4,FALSE)*5%,-2)</f>
        <v>17300</v>
      </c>
      <c r="U29" s="5">
        <v>0</v>
      </c>
      <c r="V29" s="5">
        <v>0</v>
      </c>
      <c r="W29" s="5">
        <v>0</v>
      </c>
      <c r="X29" s="5">
        <v>0</v>
      </c>
      <c r="Y29" s="1" t="s">
        <v>423</v>
      </c>
      <c r="Z29" s="16">
        <v>1000</v>
      </c>
      <c r="AA29" s="1">
        <v>10</v>
      </c>
      <c r="AB29" s="1">
        <f>ROUND(VLOOKUP($A29,索引!$A$2:$L$38,4,FALSE)*12%,-2)</f>
        <v>41400</v>
      </c>
      <c r="AC29" s="5">
        <v>0</v>
      </c>
      <c r="AD29" s="5">
        <v>0</v>
      </c>
      <c r="AE29" s="5">
        <v>0</v>
      </c>
      <c r="AF29" s="5">
        <v>0</v>
      </c>
      <c r="AG29" s="1" t="s">
        <v>424</v>
      </c>
      <c r="AH29" s="16">
        <v>3000</v>
      </c>
      <c r="AI29" s="1">
        <v>30</v>
      </c>
      <c r="AJ29" s="1">
        <f>ROUND(VLOOKUP($A29,索引!$A$2:$L$38,4,FALSE)*25%,-2)</f>
        <v>86300</v>
      </c>
      <c r="AK29" s="5">
        <v>0</v>
      </c>
      <c r="AL29" s="5">
        <v>0</v>
      </c>
      <c r="AM29" s="5">
        <v>0</v>
      </c>
      <c r="AN29" s="5">
        <v>0</v>
      </c>
      <c r="AO29" s="1" t="s">
        <v>425</v>
      </c>
      <c r="AP29" s="16">
        <v>10000</v>
      </c>
      <c r="AQ29" s="1">
        <v>50</v>
      </c>
      <c r="AR29" s="1">
        <f>ROUND(VLOOKUP($A29,索引!$A$2:$L$38,4,FALSE)*56%,-3)</f>
        <v>193000</v>
      </c>
      <c r="AS29" s="5">
        <v>0</v>
      </c>
      <c r="AT29" s="5">
        <v>0</v>
      </c>
      <c r="AU29" s="5">
        <v>0</v>
      </c>
      <c r="AV29" s="5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5">
        <v>0</v>
      </c>
      <c r="BR29" s="5">
        <v>0</v>
      </c>
      <c r="BS29" s="5">
        <v>0</v>
      </c>
      <c r="BT29" s="5">
        <v>0</v>
      </c>
    </row>
    <row r="30" spans="1:72" ht="30" customHeight="1">
      <c r="A30" s="1">
        <v>28</v>
      </c>
      <c r="B30" s="1">
        <v>0</v>
      </c>
      <c r="C30" s="1">
        <v>10052</v>
      </c>
      <c r="D30" s="5" t="s">
        <v>41</v>
      </c>
      <c r="E30" s="24" t="s">
        <v>558</v>
      </c>
      <c r="F30" s="1" t="s">
        <v>362</v>
      </c>
      <c r="G30" s="5">
        <v>3</v>
      </c>
      <c r="H30" s="5">
        <v>8</v>
      </c>
      <c r="I30" s="1" t="s">
        <v>470</v>
      </c>
      <c r="J30" s="17">
        <v>1</v>
      </c>
      <c r="K30" s="1">
        <v>20</v>
      </c>
      <c r="L30" s="1">
        <f>ROUND(VLOOKUP($A30,索引!$A$2:$L$38,4,FALSE)*100%,-2)</f>
        <v>4500</v>
      </c>
      <c r="M30" s="5">
        <v>0</v>
      </c>
      <c r="N30" s="5">
        <v>0</v>
      </c>
      <c r="O30" s="5">
        <v>0</v>
      </c>
      <c r="P30" s="5">
        <v>0</v>
      </c>
      <c r="Q30" s="1">
        <v>0</v>
      </c>
      <c r="R30" s="1">
        <v>0</v>
      </c>
      <c r="S30" s="1">
        <v>0</v>
      </c>
      <c r="T30" s="1">
        <v>0</v>
      </c>
      <c r="U30" s="5">
        <v>0</v>
      </c>
      <c r="V30" s="5">
        <v>0</v>
      </c>
      <c r="W30" s="5">
        <v>0</v>
      </c>
      <c r="X30" s="5">
        <v>0</v>
      </c>
      <c r="Y30" s="1">
        <v>0</v>
      </c>
      <c r="Z30" s="1">
        <v>0</v>
      </c>
      <c r="AA30" s="1">
        <v>0</v>
      </c>
      <c r="AB30" s="1">
        <v>0</v>
      </c>
      <c r="AC30" s="5">
        <v>0</v>
      </c>
      <c r="AD30" s="5">
        <v>0</v>
      </c>
      <c r="AE30" s="5">
        <v>0</v>
      </c>
      <c r="AF30" s="5">
        <v>0</v>
      </c>
      <c r="AG30" s="1">
        <v>0</v>
      </c>
      <c r="AH30" s="1">
        <v>0</v>
      </c>
      <c r="AI30" s="1">
        <v>0</v>
      </c>
      <c r="AJ30" s="1">
        <v>0</v>
      </c>
      <c r="AK30" s="5">
        <v>0</v>
      </c>
      <c r="AL30" s="5">
        <v>0</v>
      </c>
      <c r="AM30" s="5">
        <v>0</v>
      </c>
      <c r="AN30" s="5">
        <v>0</v>
      </c>
      <c r="AO30" s="1">
        <v>0</v>
      </c>
      <c r="AP30" s="1">
        <v>0</v>
      </c>
      <c r="AQ30" s="1">
        <v>0</v>
      </c>
      <c r="AR30" s="1">
        <v>0</v>
      </c>
      <c r="AS30" s="5">
        <v>0</v>
      </c>
      <c r="AT30" s="5">
        <v>0</v>
      </c>
      <c r="AU30" s="5">
        <v>0</v>
      </c>
      <c r="AV30" s="5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5">
        <v>0</v>
      </c>
      <c r="BR30" s="5">
        <v>0</v>
      </c>
      <c r="BS30" s="5">
        <v>0</v>
      </c>
      <c r="BT30" s="5">
        <v>0</v>
      </c>
    </row>
    <row r="31" spans="1:72" ht="30" customHeight="1">
      <c r="A31" s="1">
        <v>29</v>
      </c>
      <c r="B31" s="1">
        <v>0</v>
      </c>
      <c r="C31" s="1">
        <v>10053</v>
      </c>
      <c r="D31" s="5" t="s">
        <v>41</v>
      </c>
      <c r="E31" s="24" t="s">
        <v>501</v>
      </c>
      <c r="F31" s="1" t="s">
        <v>498</v>
      </c>
      <c r="G31" s="5">
        <v>3</v>
      </c>
      <c r="H31" s="5">
        <v>8</v>
      </c>
      <c r="I31" s="1" t="s">
        <v>471</v>
      </c>
      <c r="J31" s="17">
        <v>1</v>
      </c>
      <c r="K31" s="1">
        <v>20</v>
      </c>
      <c r="L31" s="1">
        <f>ROUND(VLOOKUP($A31,索引!$A$2:$L$38,4,FALSE)*100%,-2)</f>
        <v>4500</v>
      </c>
      <c r="M31" s="5">
        <v>0</v>
      </c>
      <c r="N31" s="5">
        <v>0</v>
      </c>
      <c r="O31" s="5">
        <v>0</v>
      </c>
      <c r="P31" s="5">
        <v>0</v>
      </c>
      <c r="Q31" s="1">
        <v>0</v>
      </c>
      <c r="R31" s="1">
        <v>0</v>
      </c>
      <c r="S31" s="1">
        <v>0</v>
      </c>
      <c r="T31" s="1">
        <v>0</v>
      </c>
      <c r="U31" s="5">
        <v>0</v>
      </c>
      <c r="V31" s="5">
        <v>0</v>
      </c>
      <c r="W31" s="5">
        <v>0</v>
      </c>
      <c r="X31" s="5">
        <v>0</v>
      </c>
      <c r="Y31" s="1">
        <v>0</v>
      </c>
      <c r="Z31" s="1">
        <v>0</v>
      </c>
      <c r="AA31" s="1">
        <v>0</v>
      </c>
      <c r="AB31" s="1">
        <v>0</v>
      </c>
      <c r="AC31" s="5">
        <v>0</v>
      </c>
      <c r="AD31" s="5">
        <v>0</v>
      </c>
      <c r="AE31" s="5">
        <v>0</v>
      </c>
      <c r="AF31" s="5">
        <v>0</v>
      </c>
      <c r="AG31" s="1">
        <v>0</v>
      </c>
      <c r="AH31" s="1">
        <v>0</v>
      </c>
      <c r="AI31" s="1">
        <v>0</v>
      </c>
      <c r="AJ31" s="1">
        <v>0</v>
      </c>
      <c r="AK31" s="5">
        <v>0</v>
      </c>
      <c r="AL31" s="5">
        <v>0</v>
      </c>
      <c r="AM31" s="5">
        <v>0</v>
      </c>
      <c r="AN31" s="5">
        <v>0</v>
      </c>
      <c r="AO31" s="1">
        <v>0</v>
      </c>
      <c r="AP31" s="1">
        <v>0</v>
      </c>
      <c r="AQ31" s="1">
        <v>0</v>
      </c>
      <c r="AR31" s="1">
        <v>0</v>
      </c>
      <c r="AS31" s="5">
        <v>0</v>
      </c>
      <c r="AT31" s="5">
        <v>0</v>
      </c>
      <c r="AU31" s="5">
        <v>0</v>
      </c>
      <c r="AV31" s="5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5">
        <v>0</v>
      </c>
      <c r="BR31" s="5">
        <v>0</v>
      </c>
      <c r="BS31" s="5">
        <v>0</v>
      </c>
      <c r="BT31" s="5">
        <v>0</v>
      </c>
    </row>
    <row r="32" spans="1:72" ht="30" customHeight="1">
      <c r="A32" s="1">
        <v>31</v>
      </c>
      <c r="B32" s="4">
        <v>5287</v>
      </c>
      <c r="C32" s="1">
        <v>0</v>
      </c>
      <c r="D32" s="5" t="s">
        <v>41</v>
      </c>
      <c r="E32" s="25" t="s">
        <v>559</v>
      </c>
      <c r="F32" s="4" t="s">
        <v>369</v>
      </c>
      <c r="G32" s="5">
        <v>3</v>
      </c>
      <c r="H32" s="5">
        <v>8</v>
      </c>
      <c r="I32" s="1" t="s">
        <v>251</v>
      </c>
      <c r="J32" s="17">
        <v>1</v>
      </c>
      <c r="K32" s="1">
        <v>50</v>
      </c>
      <c r="L32" s="1">
        <f>索引!D52</f>
        <v>36000</v>
      </c>
      <c r="M32" s="5">
        <v>0</v>
      </c>
      <c r="N32" s="5">
        <v>0</v>
      </c>
      <c r="O32" s="5">
        <v>0</v>
      </c>
      <c r="P32" s="5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5">
        <v>0</v>
      </c>
    </row>
    <row r="33" spans="1:72" ht="30" customHeight="1">
      <c r="A33" s="1">
        <v>32</v>
      </c>
      <c r="B33" s="3">
        <v>0</v>
      </c>
      <c r="C33" s="1">
        <v>10022</v>
      </c>
      <c r="D33" s="5" t="s">
        <v>41</v>
      </c>
      <c r="E33" s="23" t="s">
        <v>405</v>
      </c>
      <c r="F33" s="3" t="s">
        <v>355</v>
      </c>
      <c r="G33" s="5">
        <v>3</v>
      </c>
      <c r="H33" s="5">
        <v>9</v>
      </c>
      <c r="I33" s="1" t="s">
        <v>181</v>
      </c>
      <c r="J33" s="17">
        <v>50</v>
      </c>
      <c r="K33" s="1">
        <v>10</v>
      </c>
      <c r="L33" s="1">
        <f>ROUND(VLOOKUP($A33,索引!$A$2:$L$38,4,FALSE)*2%,-2)</f>
        <v>5100</v>
      </c>
      <c r="M33" s="5">
        <v>0</v>
      </c>
      <c r="N33" s="5">
        <v>0</v>
      </c>
      <c r="O33" s="5">
        <v>0</v>
      </c>
      <c r="P33" s="5">
        <v>0</v>
      </c>
      <c r="Q33" s="1" t="s">
        <v>182</v>
      </c>
      <c r="R33" s="16">
        <v>200</v>
      </c>
      <c r="S33" s="1">
        <v>10</v>
      </c>
      <c r="T33" s="1">
        <f>ROUND(VLOOKUP($A33,索引!$A$2:$L$38,4,FALSE)*5%,-2)</f>
        <v>12800</v>
      </c>
      <c r="U33" s="5">
        <v>0</v>
      </c>
      <c r="V33" s="5">
        <v>0</v>
      </c>
      <c r="W33" s="5">
        <v>0</v>
      </c>
      <c r="X33" s="5">
        <v>0</v>
      </c>
      <c r="Y33" s="1" t="s">
        <v>183</v>
      </c>
      <c r="Z33" s="16">
        <v>1000</v>
      </c>
      <c r="AA33" s="1">
        <v>10</v>
      </c>
      <c r="AB33" s="1">
        <f>ROUND(VLOOKUP($A33,索引!$A$2:$L$38,4,FALSE)*12%,-2)</f>
        <v>30600</v>
      </c>
      <c r="AC33" s="5">
        <v>0</v>
      </c>
      <c r="AD33" s="5">
        <v>0</v>
      </c>
      <c r="AE33" s="5">
        <v>0</v>
      </c>
      <c r="AF33" s="5">
        <v>0</v>
      </c>
      <c r="AG33" s="1" t="s">
        <v>184</v>
      </c>
      <c r="AH33" s="16">
        <v>3000</v>
      </c>
      <c r="AI33" s="1">
        <v>30</v>
      </c>
      <c r="AJ33" s="1">
        <f>ROUND(VLOOKUP($A33,索引!$A$2:$L$38,4,FALSE)*25%,-2)</f>
        <v>63800</v>
      </c>
      <c r="AK33" s="5">
        <v>0</v>
      </c>
      <c r="AL33" s="5">
        <v>0</v>
      </c>
      <c r="AM33" s="5">
        <v>0</v>
      </c>
      <c r="AN33" s="5">
        <v>0</v>
      </c>
      <c r="AO33" s="1" t="s">
        <v>185</v>
      </c>
      <c r="AP33" s="16">
        <v>10000</v>
      </c>
      <c r="AQ33" s="1">
        <v>50</v>
      </c>
      <c r="AR33" s="1">
        <f>ROUND(VLOOKUP($A33,索引!$A$2:$L$38,4,FALSE)*56%,-3)</f>
        <v>143000</v>
      </c>
      <c r="AS33" s="5">
        <v>0</v>
      </c>
      <c r="AT33" s="5">
        <v>0</v>
      </c>
      <c r="AU33" s="5">
        <v>0</v>
      </c>
      <c r="AV33" s="5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5">
        <v>0</v>
      </c>
      <c r="BR33" s="5">
        <v>0</v>
      </c>
      <c r="BS33" s="5">
        <v>0</v>
      </c>
      <c r="BT33" s="5">
        <v>0</v>
      </c>
    </row>
    <row r="34" spans="1:72" ht="30" customHeight="1">
      <c r="A34" s="1">
        <v>33</v>
      </c>
      <c r="B34" s="2">
        <v>0</v>
      </c>
      <c r="C34" s="1">
        <v>10021</v>
      </c>
      <c r="D34" s="5" t="s">
        <v>41</v>
      </c>
      <c r="E34" s="23" t="s">
        <v>419</v>
      </c>
      <c r="F34" s="2" t="s">
        <v>364</v>
      </c>
      <c r="G34" s="5">
        <v>3</v>
      </c>
      <c r="H34" s="5">
        <v>9</v>
      </c>
      <c r="I34" s="1" t="s">
        <v>400</v>
      </c>
      <c r="J34" s="17">
        <v>50</v>
      </c>
      <c r="K34" s="1">
        <v>10</v>
      </c>
      <c r="L34" s="1">
        <f>ROUND(VLOOKUP($A34,索引!$A$2:$L$38,4,FALSE)*2%,-2)</f>
        <v>8600</v>
      </c>
      <c r="M34" s="5">
        <v>0</v>
      </c>
      <c r="N34" s="5">
        <v>0</v>
      </c>
      <c r="O34" s="5">
        <v>0</v>
      </c>
      <c r="P34" s="5">
        <v>0</v>
      </c>
      <c r="Q34" s="1" t="s">
        <v>401</v>
      </c>
      <c r="R34" s="16">
        <v>200</v>
      </c>
      <c r="S34" s="1">
        <v>10</v>
      </c>
      <c r="T34" s="1">
        <f>ROUND(VLOOKUP($A34,索引!$A$2:$L$38,4,FALSE)*5%,-2)</f>
        <v>21500</v>
      </c>
      <c r="U34" s="5">
        <v>0</v>
      </c>
      <c r="V34" s="5">
        <v>0</v>
      </c>
      <c r="W34" s="5">
        <v>0</v>
      </c>
      <c r="X34" s="5">
        <v>0</v>
      </c>
      <c r="Y34" s="1" t="s">
        <v>402</v>
      </c>
      <c r="Z34" s="16">
        <v>1000</v>
      </c>
      <c r="AA34" s="1">
        <v>10</v>
      </c>
      <c r="AB34" s="1">
        <f>ROUND(VLOOKUP($A34,索引!$A$2:$L$38,4,FALSE)*12%,-2)</f>
        <v>51500</v>
      </c>
      <c r="AC34" s="5">
        <v>0</v>
      </c>
      <c r="AD34" s="5">
        <v>0</v>
      </c>
      <c r="AE34" s="5">
        <v>0</v>
      </c>
      <c r="AF34" s="5">
        <v>0</v>
      </c>
      <c r="AG34" s="1" t="s">
        <v>403</v>
      </c>
      <c r="AH34" s="16">
        <v>3000</v>
      </c>
      <c r="AI34" s="1">
        <v>30</v>
      </c>
      <c r="AJ34" s="1">
        <f>ROUND(VLOOKUP($A34,索引!$A$2:$L$38,4,FALSE)*25%,-2)</f>
        <v>107300</v>
      </c>
      <c r="AK34" s="5">
        <v>0</v>
      </c>
      <c r="AL34" s="5">
        <v>0</v>
      </c>
      <c r="AM34" s="5">
        <v>0</v>
      </c>
      <c r="AN34" s="5">
        <v>0</v>
      </c>
      <c r="AO34" s="1" t="s">
        <v>404</v>
      </c>
      <c r="AP34" s="16">
        <v>10000</v>
      </c>
      <c r="AQ34" s="1">
        <v>50</v>
      </c>
      <c r="AR34" s="1">
        <f>ROUND(VLOOKUP($A34,索引!$A$2:$L$38,4,FALSE)*56%,-3)</f>
        <v>240000</v>
      </c>
      <c r="AS34" s="5">
        <v>0</v>
      </c>
      <c r="AT34" s="5">
        <v>0</v>
      </c>
      <c r="AU34" s="5">
        <v>0</v>
      </c>
      <c r="AV34" s="5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5">
        <v>0</v>
      </c>
      <c r="BR34" s="5">
        <v>0</v>
      </c>
      <c r="BS34" s="5">
        <v>0</v>
      </c>
      <c r="BT34" s="5">
        <v>0</v>
      </c>
    </row>
    <row r="35" spans="1:72" ht="30" customHeight="1">
      <c r="A35" s="1">
        <v>34</v>
      </c>
      <c r="B35" s="1">
        <v>0</v>
      </c>
      <c r="C35" s="2">
        <v>10054</v>
      </c>
      <c r="D35" s="5" t="s">
        <v>41</v>
      </c>
      <c r="E35" s="24" t="s">
        <v>490</v>
      </c>
      <c r="F35" s="1" t="s">
        <v>365</v>
      </c>
      <c r="G35" s="5">
        <v>3</v>
      </c>
      <c r="H35" s="5">
        <v>9</v>
      </c>
      <c r="I35" s="1" t="s">
        <v>472</v>
      </c>
      <c r="J35" s="17">
        <v>1</v>
      </c>
      <c r="K35" s="1">
        <v>20</v>
      </c>
      <c r="L35" s="1">
        <f>ROUND(VLOOKUP($A35,索引!$A$2:$L$38,4,FALSE)*100%,-2)</f>
        <v>6000</v>
      </c>
      <c r="M35" s="5">
        <v>0</v>
      </c>
      <c r="N35" s="5">
        <v>0</v>
      </c>
      <c r="O35" s="5">
        <v>0</v>
      </c>
      <c r="P35" s="5">
        <v>0</v>
      </c>
      <c r="Q35" s="1">
        <v>0</v>
      </c>
      <c r="R35" s="1">
        <v>0</v>
      </c>
      <c r="S35" s="1">
        <v>0</v>
      </c>
      <c r="T35" s="1">
        <v>0</v>
      </c>
      <c r="U35" s="5">
        <v>0</v>
      </c>
      <c r="V35" s="5">
        <v>0</v>
      </c>
      <c r="W35" s="5">
        <v>0</v>
      </c>
      <c r="X35" s="5">
        <v>0</v>
      </c>
      <c r="Y35" s="1">
        <v>0</v>
      </c>
      <c r="Z35" s="1">
        <v>0</v>
      </c>
      <c r="AA35" s="1">
        <v>0</v>
      </c>
      <c r="AB35" s="1">
        <v>0</v>
      </c>
      <c r="AC35" s="5">
        <v>0</v>
      </c>
      <c r="AD35" s="5">
        <v>0</v>
      </c>
      <c r="AE35" s="5">
        <v>0</v>
      </c>
      <c r="AF35" s="5">
        <v>0</v>
      </c>
      <c r="AG35" s="1">
        <v>0</v>
      </c>
      <c r="AH35" s="1">
        <v>0</v>
      </c>
      <c r="AI35" s="1">
        <v>0</v>
      </c>
      <c r="AJ35" s="1">
        <v>0</v>
      </c>
      <c r="AK35" s="5">
        <v>0</v>
      </c>
      <c r="AL35" s="5">
        <v>0</v>
      </c>
      <c r="AM35" s="5">
        <v>0</v>
      </c>
      <c r="AN35" s="5">
        <v>0</v>
      </c>
      <c r="AO35" s="1">
        <v>0</v>
      </c>
      <c r="AP35" s="1">
        <v>0</v>
      </c>
      <c r="AQ35" s="1">
        <v>0</v>
      </c>
      <c r="AR35" s="1">
        <v>0</v>
      </c>
      <c r="AS35" s="5">
        <v>0</v>
      </c>
      <c r="AT35" s="5">
        <v>0</v>
      </c>
      <c r="AU35" s="5">
        <v>0</v>
      </c>
      <c r="AV35" s="5">
        <v>0</v>
      </c>
      <c r="AW35" s="1">
        <v>0</v>
      </c>
      <c r="AX35" s="1">
        <v>0</v>
      </c>
      <c r="AY35" s="1">
        <v>0</v>
      </c>
      <c r="AZ35" s="1">
        <v>0</v>
      </c>
      <c r="BA35" s="5">
        <v>0</v>
      </c>
      <c r="BB35" s="5">
        <v>0</v>
      </c>
      <c r="BC35" s="5">
        <v>0</v>
      </c>
      <c r="BD35" s="5">
        <v>0</v>
      </c>
      <c r="BE35" s="1">
        <v>0</v>
      </c>
      <c r="BF35" s="1">
        <v>0</v>
      </c>
      <c r="BG35" s="1">
        <v>0</v>
      </c>
      <c r="BH35" s="1">
        <v>0</v>
      </c>
      <c r="BI35" s="5">
        <v>0</v>
      </c>
      <c r="BJ35" s="5">
        <v>0</v>
      </c>
      <c r="BK35" s="5">
        <v>0</v>
      </c>
      <c r="BL35" s="5">
        <v>0</v>
      </c>
      <c r="BM35" s="1">
        <v>0</v>
      </c>
      <c r="BN35" s="1">
        <v>0</v>
      </c>
      <c r="BO35" s="1">
        <v>0</v>
      </c>
      <c r="BP35" s="1">
        <v>0</v>
      </c>
      <c r="BQ35" s="5">
        <v>0</v>
      </c>
      <c r="BR35" s="5">
        <v>0</v>
      </c>
      <c r="BS35" s="5">
        <v>0</v>
      </c>
      <c r="BT35" s="5">
        <v>0</v>
      </c>
    </row>
    <row r="36" spans="1:72" ht="30" customHeight="1">
      <c r="A36" s="1">
        <v>35</v>
      </c>
      <c r="B36" s="1">
        <v>0</v>
      </c>
      <c r="C36" s="2">
        <v>10055</v>
      </c>
      <c r="D36" s="5" t="s">
        <v>41</v>
      </c>
      <c r="E36" s="24" t="s">
        <v>499</v>
      </c>
      <c r="F36" s="2" t="s">
        <v>366</v>
      </c>
      <c r="G36" s="5">
        <v>3</v>
      </c>
      <c r="H36" s="5">
        <v>9</v>
      </c>
      <c r="I36" s="1" t="s">
        <v>473</v>
      </c>
      <c r="J36" s="17">
        <v>1</v>
      </c>
      <c r="K36" s="1">
        <v>20</v>
      </c>
      <c r="L36" s="1">
        <f>ROUND(VLOOKUP($A36,索引!$A$2:$L$38,4,FALSE)*100%,-2)</f>
        <v>6000</v>
      </c>
      <c r="M36" s="5">
        <v>0</v>
      </c>
      <c r="N36" s="5">
        <v>0</v>
      </c>
      <c r="O36" s="5">
        <v>0</v>
      </c>
      <c r="P36" s="5">
        <v>0</v>
      </c>
      <c r="Q36" s="1">
        <v>0</v>
      </c>
      <c r="R36" s="1">
        <v>0</v>
      </c>
      <c r="S36" s="1">
        <v>0</v>
      </c>
      <c r="T36" s="1">
        <v>0</v>
      </c>
      <c r="U36" s="5">
        <v>0</v>
      </c>
      <c r="V36" s="5">
        <v>0</v>
      </c>
      <c r="W36" s="5">
        <v>0</v>
      </c>
      <c r="X36" s="5">
        <v>0</v>
      </c>
      <c r="Y36" s="1">
        <v>0</v>
      </c>
      <c r="Z36" s="1">
        <v>0</v>
      </c>
      <c r="AA36" s="1">
        <v>0</v>
      </c>
      <c r="AB36" s="1">
        <v>0</v>
      </c>
      <c r="AC36" s="5">
        <v>0</v>
      </c>
      <c r="AD36" s="5">
        <v>0</v>
      </c>
      <c r="AE36" s="5">
        <v>0</v>
      </c>
      <c r="AF36" s="5">
        <v>0</v>
      </c>
      <c r="AG36" s="1">
        <v>0</v>
      </c>
      <c r="AH36" s="1">
        <v>0</v>
      </c>
      <c r="AI36" s="1">
        <v>0</v>
      </c>
      <c r="AJ36" s="1">
        <v>0</v>
      </c>
      <c r="AK36" s="5">
        <v>0</v>
      </c>
      <c r="AL36" s="5">
        <v>0</v>
      </c>
      <c r="AM36" s="5">
        <v>0</v>
      </c>
      <c r="AN36" s="5">
        <v>0</v>
      </c>
      <c r="AO36" s="1">
        <v>0</v>
      </c>
      <c r="AP36" s="1">
        <v>0</v>
      </c>
      <c r="AQ36" s="1">
        <v>0</v>
      </c>
      <c r="AR36" s="1">
        <v>0</v>
      </c>
      <c r="AS36" s="5">
        <v>0</v>
      </c>
      <c r="AT36" s="5">
        <v>0</v>
      </c>
      <c r="AU36" s="5">
        <v>0</v>
      </c>
      <c r="AV36" s="5">
        <v>0</v>
      </c>
      <c r="AW36" s="1">
        <v>0</v>
      </c>
      <c r="AX36" s="1">
        <v>0</v>
      </c>
      <c r="AY36" s="1">
        <v>0</v>
      </c>
      <c r="AZ36" s="1">
        <v>0</v>
      </c>
      <c r="BA36" s="5">
        <v>0</v>
      </c>
      <c r="BB36" s="5">
        <v>0</v>
      </c>
      <c r="BC36" s="5">
        <v>0</v>
      </c>
      <c r="BD36" s="5">
        <v>0</v>
      </c>
      <c r="BE36" s="1">
        <v>0</v>
      </c>
      <c r="BF36" s="1">
        <v>0</v>
      </c>
      <c r="BG36" s="1">
        <v>0</v>
      </c>
      <c r="BH36" s="1">
        <v>0</v>
      </c>
      <c r="BI36" s="5">
        <v>0</v>
      </c>
      <c r="BJ36" s="5">
        <v>0</v>
      </c>
      <c r="BK36" s="5">
        <v>0</v>
      </c>
      <c r="BL36" s="5">
        <v>0</v>
      </c>
      <c r="BM36" s="1">
        <v>0</v>
      </c>
      <c r="BN36" s="1">
        <v>0</v>
      </c>
      <c r="BO36" s="1">
        <v>0</v>
      </c>
      <c r="BP36" s="1">
        <v>0</v>
      </c>
      <c r="BQ36" s="5">
        <v>0</v>
      </c>
      <c r="BR36" s="5">
        <v>0</v>
      </c>
      <c r="BS36" s="5">
        <v>0</v>
      </c>
      <c r="BT36" s="5">
        <v>0</v>
      </c>
    </row>
    <row r="37" spans="1:72" ht="30" customHeight="1">
      <c r="A37" s="1">
        <v>38</v>
      </c>
      <c r="B37" s="1">
        <v>0</v>
      </c>
      <c r="C37" s="4">
        <v>10069</v>
      </c>
      <c r="D37" s="1" t="s">
        <v>41</v>
      </c>
      <c r="E37" s="25" t="s">
        <v>389</v>
      </c>
      <c r="F37" s="4" t="s">
        <v>370</v>
      </c>
      <c r="G37" s="5">
        <v>3</v>
      </c>
      <c r="H37" s="5">
        <v>9</v>
      </c>
      <c r="I37" s="1" t="s">
        <v>286</v>
      </c>
      <c r="J37" s="17">
        <v>1</v>
      </c>
      <c r="K37" s="1">
        <v>50</v>
      </c>
      <c r="L37" s="1">
        <f>索引!D53</f>
        <v>50000</v>
      </c>
      <c r="M37" s="5">
        <v>0</v>
      </c>
      <c r="N37" s="5">
        <v>0</v>
      </c>
      <c r="O37" s="5">
        <v>0</v>
      </c>
      <c r="P37" s="5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5">
        <v>0</v>
      </c>
      <c r="BS37" s="5">
        <v>0</v>
      </c>
      <c r="BT37" s="5">
        <v>0</v>
      </c>
    </row>
    <row r="38" spans="1:72" ht="30" customHeight="1">
      <c r="A38" s="1">
        <v>39</v>
      </c>
      <c r="B38" s="1">
        <v>0</v>
      </c>
      <c r="C38" s="1">
        <v>10059</v>
      </c>
      <c r="D38" s="5" t="s">
        <v>41</v>
      </c>
      <c r="E38" s="27" t="s">
        <v>505</v>
      </c>
      <c r="F38" s="2" t="s">
        <v>515</v>
      </c>
      <c r="G38" s="5">
        <v>3</v>
      </c>
      <c r="H38" s="5">
        <v>10</v>
      </c>
      <c r="I38" s="1" t="s">
        <v>502</v>
      </c>
      <c r="J38" s="17">
        <v>50</v>
      </c>
      <c r="K38" s="1">
        <v>10</v>
      </c>
      <c r="L38" s="1">
        <f>ROUND(VLOOKUP($A38,索引!$A$2:$L$38,4,FALSE)*2%,-2)</f>
        <v>8600</v>
      </c>
      <c r="M38" s="5">
        <v>0</v>
      </c>
      <c r="N38" s="5">
        <v>0</v>
      </c>
      <c r="O38" s="5">
        <v>0</v>
      </c>
      <c r="P38" s="5">
        <v>0</v>
      </c>
      <c r="Q38" s="1" t="s">
        <v>506</v>
      </c>
      <c r="R38" s="16">
        <v>200</v>
      </c>
      <c r="S38" s="1">
        <v>10</v>
      </c>
      <c r="T38" s="1">
        <f>ROUND(VLOOKUP($A38,索引!$A$2:$L$38,4,FALSE)*5%,-2)</f>
        <v>21600</v>
      </c>
      <c r="U38" s="5">
        <v>0</v>
      </c>
      <c r="V38" s="5">
        <v>0</v>
      </c>
      <c r="W38" s="5">
        <v>0</v>
      </c>
      <c r="X38" s="5">
        <v>0</v>
      </c>
      <c r="Y38" s="1" t="s">
        <v>507</v>
      </c>
      <c r="Z38" s="16">
        <v>1000</v>
      </c>
      <c r="AA38" s="1">
        <v>10</v>
      </c>
      <c r="AB38" s="1">
        <f>ROUND(VLOOKUP($A38,索引!$A$2:$L$38,4,FALSE)*12%,-2)</f>
        <v>51800</v>
      </c>
      <c r="AC38" s="5">
        <v>0</v>
      </c>
      <c r="AD38" s="5">
        <v>0</v>
      </c>
      <c r="AE38" s="5">
        <v>0</v>
      </c>
      <c r="AF38" s="5">
        <v>0</v>
      </c>
      <c r="AG38" s="1" t="s">
        <v>508</v>
      </c>
      <c r="AH38" s="16">
        <v>3000</v>
      </c>
      <c r="AI38" s="1">
        <v>30</v>
      </c>
      <c r="AJ38" s="1">
        <f>ROUND(VLOOKUP($A38,索引!$A$2:$L$38,4,FALSE)*25%,-2)</f>
        <v>108000</v>
      </c>
      <c r="AK38" s="5">
        <v>0</v>
      </c>
      <c r="AL38" s="5">
        <v>0</v>
      </c>
      <c r="AM38" s="5">
        <v>0</v>
      </c>
      <c r="AN38" s="5">
        <v>0</v>
      </c>
      <c r="AO38" s="1" t="s">
        <v>509</v>
      </c>
      <c r="AP38" s="16">
        <v>10000</v>
      </c>
      <c r="AQ38" s="1">
        <v>50</v>
      </c>
      <c r="AR38" s="1">
        <f>ROUND(VLOOKUP($A38,索引!$A$2:$L$38,4,FALSE)*56%,-3)</f>
        <v>242000</v>
      </c>
      <c r="AS38" s="5">
        <v>0</v>
      </c>
      <c r="AT38" s="5">
        <v>0</v>
      </c>
      <c r="AU38" s="5">
        <v>0</v>
      </c>
      <c r="AV38" s="5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5">
        <v>0</v>
      </c>
      <c r="BR38" s="5">
        <v>0</v>
      </c>
      <c r="BS38" s="5">
        <v>0</v>
      </c>
      <c r="BT38" s="5">
        <v>0</v>
      </c>
    </row>
    <row r="39" spans="1:72" ht="30" customHeight="1">
      <c r="A39" s="1">
        <v>40</v>
      </c>
      <c r="B39" s="1">
        <v>0</v>
      </c>
      <c r="C39" s="1">
        <v>10060</v>
      </c>
      <c r="D39" s="5" t="s">
        <v>41</v>
      </c>
      <c r="E39" s="27" t="s">
        <v>553</v>
      </c>
      <c r="F39" s="2" t="s">
        <v>516</v>
      </c>
      <c r="G39" s="5">
        <v>3</v>
      </c>
      <c r="H39" s="5">
        <v>10</v>
      </c>
      <c r="I39" s="1" t="s">
        <v>555</v>
      </c>
      <c r="J39" s="17">
        <v>50</v>
      </c>
      <c r="K39" s="1">
        <v>10</v>
      </c>
      <c r="L39" s="1">
        <f>ROUND(VLOOKUP($A39,索引!$A$2:$L$38,4,FALSE)*2%,-2)</f>
        <v>10800</v>
      </c>
      <c r="M39" s="5">
        <v>0</v>
      </c>
      <c r="N39" s="5">
        <v>0</v>
      </c>
      <c r="O39" s="5">
        <v>0</v>
      </c>
      <c r="P39" s="5">
        <v>0</v>
      </c>
      <c r="Q39" s="1" t="s">
        <v>510</v>
      </c>
      <c r="R39" s="16">
        <v>200</v>
      </c>
      <c r="S39" s="1">
        <v>10</v>
      </c>
      <c r="T39" s="1">
        <f>ROUND(VLOOKUP($A39,索引!$A$2:$L$38,4,FALSE)*5%,-2)</f>
        <v>27000</v>
      </c>
      <c r="U39" s="5">
        <v>0</v>
      </c>
      <c r="V39" s="5">
        <v>0</v>
      </c>
      <c r="W39" s="5">
        <v>0</v>
      </c>
      <c r="X39" s="5">
        <v>0</v>
      </c>
      <c r="Y39" s="1" t="s">
        <v>511</v>
      </c>
      <c r="Z39" s="16">
        <v>1000</v>
      </c>
      <c r="AA39" s="1">
        <v>10</v>
      </c>
      <c r="AB39" s="1">
        <f>ROUND(VLOOKUP($A39,索引!$A$2:$L$38,4,FALSE)*12%,-2)</f>
        <v>64800</v>
      </c>
      <c r="AC39" s="5">
        <v>0</v>
      </c>
      <c r="AD39" s="5">
        <v>0</v>
      </c>
      <c r="AE39" s="5">
        <v>0</v>
      </c>
      <c r="AF39" s="5">
        <v>0</v>
      </c>
      <c r="AG39" s="1" t="s">
        <v>512</v>
      </c>
      <c r="AH39" s="16">
        <v>3000</v>
      </c>
      <c r="AI39" s="1">
        <v>30</v>
      </c>
      <c r="AJ39" s="1">
        <f>ROUND(VLOOKUP($A39,索引!$A$2:$L$38,4,FALSE)*25%,-2)</f>
        <v>135000</v>
      </c>
      <c r="AK39" s="5">
        <v>0</v>
      </c>
      <c r="AL39" s="5">
        <v>0</v>
      </c>
      <c r="AM39" s="5">
        <v>0</v>
      </c>
      <c r="AN39" s="5">
        <v>0</v>
      </c>
      <c r="AO39" s="1" t="s">
        <v>513</v>
      </c>
      <c r="AP39" s="16">
        <v>10000</v>
      </c>
      <c r="AQ39" s="1">
        <v>50</v>
      </c>
      <c r="AR39" s="1">
        <f>ROUND(VLOOKUP($A39,索引!$A$2:$L$38,4,FALSE)*56%,-3)</f>
        <v>302000</v>
      </c>
      <c r="AS39" s="5">
        <v>0</v>
      </c>
      <c r="AT39" s="5">
        <v>0</v>
      </c>
      <c r="AU39" s="5">
        <v>0</v>
      </c>
      <c r="AV39" s="5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5">
        <v>0</v>
      </c>
      <c r="BR39" s="5">
        <v>0</v>
      </c>
      <c r="BS39" s="5">
        <v>0</v>
      </c>
      <c r="BT39" s="5">
        <v>0</v>
      </c>
    </row>
    <row r="40" spans="1:72" ht="30" customHeight="1">
      <c r="A40" s="1">
        <v>41</v>
      </c>
      <c r="B40" s="1">
        <v>0</v>
      </c>
      <c r="C40" s="2">
        <v>10061</v>
      </c>
      <c r="D40" s="5" t="s">
        <v>41</v>
      </c>
      <c r="E40" s="30" t="s">
        <v>519</v>
      </c>
      <c r="F40" s="2" t="s">
        <v>517</v>
      </c>
      <c r="G40" s="5">
        <v>3</v>
      </c>
      <c r="H40" s="5">
        <v>10</v>
      </c>
      <c r="I40" s="1" t="s">
        <v>503</v>
      </c>
      <c r="J40" s="17">
        <v>1</v>
      </c>
      <c r="K40" s="1">
        <v>20</v>
      </c>
      <c r="L40" s="1">
        <f>ROUND(VLOOKUP($A40,索引!$A$2:$L$38,4,FALSE)*100%,-2)</f>
        <v>8500</v>
      </c>
      <c r="M40" s="5">
        <v>0</v>
      </c>
      <c r="N40" s="5">
        <v>0</v>
      </c>
      <c r="O40" s="5">
        <v>0</v>
      </c>
      <c r="P40" s="5">
        <v>0</v>
      </c>
      <c r="Q40" s="1">
        <v>0</v>
      </c>
      <c r="R40" s="1">
        <v>0</v>
      </c>
      <c r="S40" s="1">
        <v>0</v>
      </c>
      <c r="T40" s="1">
        <v>0</v>
      </c>
      <c r="U40" s="5">
        <v>0</v>
      </c>
      <c r="V40" s="5">
        <v>0</v>
      </c>
      <c r="W40" s="5">
        <v>0</v>
      </c>
      <c r="X40" s="5">
        <v>0</v>
      </c>
      <c r="Y40" s="1">
        <v>0</v>
      </c>
      <c r="Z40" s="1">
        <v>0</v>
      </c>
      <c r="AA40" s="1">
        <v>0</v>
      </c>
      <c r="AB40" s="1">
        <v>0</v>
      </c>
      <c r="AC40" s="5">
        <v>0</v>
      </c>
      <c r="AD40" s="5">
        <v>0</v>
      </c>
      <c r="AE40" s="5">
        <v>0</v>
      </c>
      <c r="AF40" s="5">
        <v>0</v>
      </c>
      <c r="AG40" s="1">
        <v>0</v>
      </c>
      <c r="AH40" s="1">
        <v>0</v>
      </c>
      <c r="AI40" s="1">
        <v>0</v>
      </c>
      <c r="AJ40" s="1">
        <v>0</v>
      </c>
      <c r="AK40" s="5">
        <v>0</v>
      </c>
      <c r="AL40" s="5">
        <v>0</v>
      </c>
      <c r="AM40" s="5">
        <v>0</v>
      </c>
      <c r="AN40" s="5">
        <v>0</v>
      </c>
      <c r="AO40" s="1">
        <v>0</v>
      </c>
      <c r="AP40" s="1">
        <v>0</v>
      </c>
      <c r="AQ40" s="1">
        <v>0</v>
      </c>
      <c r="AR40" s="1">
        <v>0</v>
      </c>
      <c r="AS40" s="5">
        <v>0</v>
      </c>
      <c r="AT40" s="5">
        <v>0</v>
      </c>
      <c r="AU40" s="5">
        <v>0</v>
      </c>
      <c r="AV40" s="5">
        <v>0</v>
      </c>
      <c r="AW40" s="1">
        <v>0</v>
      </c>
      <c r="AX40" s="1">
        <v>0</v>
      </c>
      <c r="AY40" s="1">
        <v>0</v>
      </c>
      <c r="AZ40" s="1">
        <v>0</v>
      </c>
      <c r="BA40" s="5">
        <v>0</v>
      </c>
      <c r="BB40" s="5">
        <v>0</v>
      </c>
      <c r="BC40" s="5">
        <v>0</v>
      </c>
      <c r="BD40" s="5">
        <v>0</v>
      </c>
      <c r="BE40" s="1">
        <v>0</v>
      </c>
      <c r="BF40" s="1">
        <v>0</v>
      </c>
      <c r="BG40" s="1">
        <v>0</v>
      </c>
      <c r="BH40" s="1">
        <v>0</v>
      </c>
      <c r="BI40" s="5">
        <v>0</v>
      </c>
      <c r="BJ40" s="5">
        <v>0</v>
      </c>
      <c r="BK40" s="5">
        <v>0</v>
      </c>
      <c r="BL40" s="5">
        <v>0</v>
      </c>
      <c r="BM40" s="1">
        <v>0</v>
      </c>
      <c r="BN40" s="1">
        <v>0</v>
      </c>
      <c r="BO40" s="1">
        <v>0</v>
      </c>
      <c r="BP40" s="1">
        <v>0</v>
      </c>
      <c r="BQ40" s="5">
        <v>0</v>
      </c>
      <c r="BR40" s="5">
        <v>0</v>
      </c>
      <c r="BS40" s="5">
        <v>0</v>
      </c>
      <c r="BT40" s="5">
        <v>0</v>
      </c>
    </row>
    <row r="41" spans="1:72" ht="30" customHeight="1">
      <c r="A41" s="1">
        <v>42</v>
      </c>
      <c r="B41" s="1">
        <v>0</v>
      </c>
      <c r="C41" s="2">
        <v>10062</v>
      </c>
      <c r="D41" s="5" t="s">
        <v>41</v>
      </c>
      <c r="E41" s="30" t="s">
        <v>520</v>
      </c>
      <c r="F41" s="2" t="s">
        <v>518</v>
      </c>
      <c r="G41" s="5">
        <v>3</v>
      </c>
      <c r="H41" s="5">
        <v>10</v>
      </c>
      <c r="I41" s="1" t="s">
        <v>554</v>
      </c>
      <c r="J41" s="17">
        <v>1</v>
      </c>
      <c r="K41" s="1">
        <v>20</v>
      </c>
      <c r="L41" s="1">
        <f>ROUND(VLOOKUP($A41,索引!$A$2:$L$38,4,FALSE)*100%,-2)</f>
        <v>8500</v>
      </c>
      <c r="M41" s="5">
        <v>0</v>
      </c>
      <c r="N41" s="5">
        <v>0</v>
      </c>
      <c r="O41" s="5">
        <v>0</v>
      </c>
      <c r="P41" s="5">
        <v>0</v>
      </c>
      <c r="Q41" s="1">
        <v>0</v>
      </c>
      <c r="R41" s="1">
        <v>0</v>
      </c>
      <c r="S41" s="1">
        <v>0</v>
      </c>
      <c r="T41" s="1">
        <v>0</v>
      </c>
      <c r="U41" s="5">
        <v>0</v>
      </c>
      <c r="V41" s="5">
        <v>0</v>
      </c>
      <c r="W41" s="5">
        <v>0</v>
      </c>
      <c r="X41" s="5">
        <v>0</v>
      </c>
      <c r="Y41" s="1">
        <v>0</v>
      </c>
      <c r="Z41" s="1">
        <v>0</v>
      </c>
      <c r="AA41" s="1">
        <v>0</v>
      </c>
      <c r="AB41" s="1">
        <v>0</v>
      </c>
      <c r="AC41" s="5">
        <v>0</v>
      </c>
      <c r="AD41" s="5">
        <v>0</v>
      </c>
      <c r="AE41" s="5">
        <v>0</v>
      </c>
      <c r="AF41" s="5">
        <v>0</v>
      </c>
      <c r="AG41" s="1">
        <v>0</v>
      </c>
      <c r="AH41" s="1">
        <v>0</v>
      </c>
      <c r="AI41" s="1">
        <v>0</v>
      </c>
      <c r="AJ41" s="1">
        <v>0</v>
      </c>
      <c r="AK41" s="5">
        <v>0</v>
      </c>
      <c r="AL41" s="5">
        <v>0</v>
      </c>
      <c r="AM41" s="5">
        <v>0</v>
      </c>
      <c r="AN41" s="5">
        <v>0</v>
      </c>
      <c r="AO41" s="1">
        <v>0</v>
      </c>
      <c r="AP41" s="1">
        <v>0</v>
      </c>
      <c r="AQ41" s="1">
        <v>0</v>
      </c>
      <c r="AR41" s="1">
        <v>0</v>
      </c>
      <c r="AS41" s="5">
        <v>0</v>
      </c>
      <c r="AT41" s="5">
        <v>0</v>
      </c>
      <c r="AU41" s="5">
        <v>0</v>
      </c>
      <c r="AV41" s="5">
        <v>0</v>
      </c>
      <c r="AW41" s="1">
        <v>0</v>
      </c>
      <c r="AX41" s="1">
        <v>0</v>
      </c>
      <c r="AY41" s="1">
        <v>0</v>
      </c>
      <c r="AZ41" s="1">
        <v>0</v>
      </c>
      <c r="BA41" s="5">
        <v>0</v>
      </c>
      <c r="BB41" s="5">
        <v>0</v>
      </c>
      <c r="BC41" s="5">
        <v>0</v>
      </c>
      <c r="BD41" s="5">
        <v>0</v>
      </c>
      <c r="BE41" s="1">
        <v>0</v>
      </c>
      <c r="BF41" s="1">
        <v>0</v>
      </c>
      <c r="BG41" s="1">
        <v>0</v>
      </c>
      <c r="BH41" s="1">
        <v>0</v>
      </c>
      <c r="BI41" s="5">
        <v>0</v>
      </c>
      <c r="BJ41" s="5">
        <v>0</v>
      </c>
      <c r="BK41" s="5">
        <v>0</v>
      </c>
      <c r="BL41" s="5">
        <v>0</v>
      </c>
      <c r="BM41" s="1">
        <v>0</v>
      </c>
      <c r="BN41" s="1">
        <v>0</v>
      </c>
      <c r="BO41" s="1">
        <v>0</v>
      </c>
      <c r="BP41" s="1">
        <v>0</v>
      </c>
      <c r="BQ41" s="5">
        <v>0</v>
      </c>
      <c r="BR41" s="5">
        <v>0</v>
      </c>
      <c r="BS41" s="5">
        <v>0</v>
      </c>
      <c r="BT41" s="5">
        <v>0</v>
      </c>
    </row>
    <row r="42" spans="1:72" ht="30" customHeight="1">
      <c r="A42" s="1">
        <v>45</v>
      </c>
      <c r="B42" s="1">
        <v>0</v>
      </c>
      <c r="C42" s="4">
        <v>10070</v>
      </c>
      <c r="D42" s="1" t="s">
        <v>41</v>
      </c>
      <c r="E42" s="25" t="s">
        <v>531</v>
      </c>
      <c r="F42" s="4" t="s">
        <v>514</v>
      </c>
      <c r="G42" s="5">
        <v>3</v>
      </c>
      <c r="H42" s="5">
        <v>10</v>
      </c>
      <c r="I42" s="1" t="s">
        <v>504</v>
      </c>
      <c r="J42" s="17">
        <v>1</v>
      </c>
      <c r="K42" s="1">
        <v>50</v>
      </c>
      <c r="L42" s="1">
        <f>索引!D54</f>
        <v>70000</v>
      </c>
      <c r="M42" s="5">
        <v>0</v>
      </c>
      <c r="N42" s="5">
        <v>0</v>
      </c>
      <c r="O42" s="5">
        <v>0</v>
      </c>
      <c r="P42" s="5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5">
        <v>0</v>
      </c>
      <c r="BS42" s="5">
        <v>0</v>
      </c>
      <c r="BT42" s="5">
        <v>0</v>
      </c>
    </row>
    <row r="43" spans="1:72" ht="27">
      <c r="A43" s="29">
        <v>46</v>
      </c>
      <c r="B43" s="1">
        <v>0</v>
      </c>
      <c r="C43" s="1">
        <v>10067</v>
      </c>
      <c r="D43" s="1" t="s">
        <v>41</v>
      </c>
      <c r="E43" s="27" t="s">
        <v>557</v>
      </c>
      <c r="F43" s="2" t="s">
        <v>550</v>
      </c>
      <c r="G43" s="5">
        <v>3</v>
      </c>
      <c r="H43" s="5">
        <v>11</v>
      </c>
      <c r="I43" s="29" t="s">
        <v>570</v>
      </c>
      <c r="J43" s="17">
        <v>20</v>
      </c>
      <c r="K43" s="1">
        <v>10</v>
      </c>
      <c r="L43" s="1">
        <v>6500</v>
      </c>
      <c r="M43" s="5">
        <v>0</v>
      </c>
      <c r="N43" s="5">
        <v>0</v>
      </c>
      <c r="O43" s="5">
        <v>0</v>
      </c>
      <c r="P43" s="5">
        <v>0</v>
      </c>
      <c r="Q43" s="29" t="s">
        <v>571</v>
      </c>
      <c r="R43" s="1">
        <v>100</v>
      </c>
      <c r="S43" s="1">
        <v>10</v>
      </c>
      <c r="T43" s="1">
        <v>16000</v>
      </c>
      <c r="U43" s="5">
        <v>0</v>
      </c>
      <c r="V43" s="5">
        <v>0</v>
      </c>
      <c r="W43" s="5">
        <v>0</v>
      </c>
      <c r="X43" s="5">
        <v>0</v>
      </c>
      <c r="Y43" s="29" t="s">
        <v>572</v>
      </c>
      <c r="Z43" s="1">
        <v>500</v>
      </c>
      <c r="AA43" s="1">
        <v>10</v>
      </c>
      <c r="AB43" s="1">
        <v>39000</v>
      </c>
      <c r="AC43" s="5">
        <v>0</v>
      </c>
      <c r="AD43" s="5">
        <v>0</v>
      </c>
      <c r="AE43" s="5">
        <v>0</v>
      </c>
      <c r="AF43" s="5">
        <v>0</v>
      </c>
      <c r="AG43" s="29" t="s">
        <v>573</v>
      </c>
      <c r="AH43" s="1">
        <v>2000</v>
      </c>
      <c r="AI43" s="1">
        <v>30</v>
      </c>
      <c r="AJ43" s="1">
        <v>81000</v>
      </c>
      <c r="AK43" s="5">
        <v>0</v>
      </c>
      <c r="AL43" s="5">
        <v>0</v>
      </c>
      <c r="AM43" s="5">
        <v>0</v>
      </c>
      <c r="AN43" s="5">
        <v>0</v>
      </c>
      <c r="AO43" s="29" t="s">
        <v>574</v>
      </c>
      <c r="AP43" s="1">
        <v>5000</v>
      </c>
      <c r="AQ43" s="1">
        <v>50</v>
      </c>
      <c r="AR43" s="1">
        <v>181000</v>
      </c>
      <c r="AS43" s="5">
        <v>0</v>
      </c>
      <c r="AT43" s="5">
        <v>0</v>
      </c>
      <c r="AU43" s="5">
        <v>0</v>
      </c>
      <c r="AV43" s="5">
        <v>0</v>
      </c>
      <c r="AW43" s="1">
        <v>0</v>
      </c>
      <c r="AX43" s="1">
        <v>0</v>
      </c>
      <c r="AY43" s="1">
        <v>0</v>
      </c>
      <c r="AZ43" s="1">
        <v>0</v>
      </c>
      <c r="BA43" s="5">
        <v>0</v>
      </c>
      <c r="BB43" s="5">
        <v>0</v>
      </c>
      <c r="BC43" s="5">
        <v>0</v>
      </c>
      <c r="BD43" s="5">
        <v>0</v>
      </c>
      <c r="BE43" s="1">
        <v>0</v>
      </c>
      <c r="BF43" s="1">
        <v>0</v>
      </c>
      <c r="BG43" s="1">
        <v>0</v>
      </c>
      <c r="BH43" s="1">
        <v>0</v>
      </c>
      <c r="BI43" s="5">
        <v>0</v>
      </c>
      <c r="BJ43" s="5">
        <v>0</v>
      </c>
      <c r="BK43" s="5">
        <v>0</v>
      </c>
      <c r="BL43" s="5">
        <v>0</v>
      </c>
      <c r="BM43" s="1">
        <v>0</v>
      </c>
      <c r="BN43" s="1">
        <v>0</v>
      </c>
      <c r="BO43" s="1">
        <v>0</v>
      </c>
      <c r="BP43" s="1">
        <v>0</v>
      </c>
      <c r="BQ43" s="5">
        <v>0</v>
      </c>
      <c r="BR43" s="5">
        <v>0</v>
      </c>
      <c r="BS43" s="5">
        <v>0</v>
      </c>
      <c r="BT43" s="5">
        <v>0</v>
      </c>
    </row>
    <row r="44" spans="1:72" ht="27">
      <c r="A44" s="1">
        <v>47</v>
      </c>
      <c r="B44" s="1">
        <v>0</v>
      </c>
      <c r="C44" s="1">
        <v>10066</v>
      </c>
      <c r="D44" s="1" t="s">
        <v>41</v>
      </c>
      <c r="E44" s="27" t="s">
        <v>575</v>
      </c>
      <c r="F44" s="2" t="s">
        <v>549</v>
      </c>
      <c r="G44" s="5">
        <v>3</v>
      </c>
      <c r="H44" s="5">
        <v>11</v>
      </c>
      <c r="I44" s="1" t="s">
        <v>537</v>
      </c>
      <c r="J44" s="17">
        <v>20</v>
      </c>
      <c r="K44" s="1">
        <v>10</v>
      </c>
      <c r="L44" s="1">
        <v>6500</v>
      </c>
      <c r="M44" s="5">
        <v>0</v>
      </c>
      <c r="N44" s="5">
        <v>0</v>
      </c>
      <c r="O44" s="5">
        <v>0</v>
      </c>
      <c r="P44" s="5">
        <v>0</v>
      </c>
      <c r="Q44" s="1" t="s">
        <v>538</v>
      </c>
      <c r="R44" s="16">
        <v>100</v>
      </c>
      <c r="S44" s="1">
        <v>10</v>
      </c>
      <c r="T44" s="1">
        <v>16000</v>
      </c>
      <c r="U44" s="5">
        <v>0</v>
      </c>
      <c r="V44" s="5">
        <v>0</v>
      </c>
      <c r="W44" s="5">
        <v>0</v>
      </c>
      <c r="X44" s="5">
        <v>0</v>
      </c>
      <c r="Y44" s="1" t="s">
        <v>539</v>
      </c>
      <c r="Z44" s="16">
        <v>500</v>
      </c>
      <c r="AA44" s="1">
        <v>10</v>
      </c>
      <c r="AB44" s="1">
        <v>39000</v>
      </c>
      <c r="AC44" s="5">
        <v>0</v>
      </c>
      <c r="AD44" s="5">
        <v>0</v>
      </c>
      <c r="AE44" s="5">
        <v>0</v>
      </c>
      <c r="AF44" s="5">
        <v>0</v>
      </c>
      <c r="AG44" s="1" t="s">
        <v>540</v>
      </c>
      <c r="AH44" s="16">
        <v>2000</v>
      </c>
      <c r="AI44" s="1">
        <v>30</v>
      </c>
      <c r="AJ44" s="1">
        <v>81000</v>
      </c>
      <c r="AK44" s="5">
        <v>0</v>
      </c>
      <c r="AL44" s="5">
        <v>0</v>
      </c>
      <c r="AM44" s="5">
        <v>0</v>
      </c>
      <c r="AN44" s="5">
        <v>0</v>
      </c>
      <c r="AO44" s="1" t="s">
        <v>541</v>
      </c>
      <c r="AP44" s="16">
        <v>5000</v>
      </c>
      <c r="AQ44" s="1">
        <v>50</v>
      </c>
      <c r="AR44" s="1">
        <v>181000</v>
      </c>
      <c r="AS44" s="5">
        <v>0</v>
      </c>
      <c r="AT44" s="5">
        <v>0</v>
      </c>
      <c r="AU44" s="5">
        <v>0</v>
      </c>
      <c r="AV44" s="5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5">
        <v>0</v>
      </c>
      <c r="BR44" s="5">
        <v>0</v>
      </c>
      <c r="BS44" s="5">
        <v>0</v>
      </c>
      <c r="BT44" s="5">
        <v>0</v>
      </c>
    </row>
    <row r="45" spans="1:72" ht="27">
      <c r="A45" s="1">
        <v>48</v>
      </c>
      <c r="B45" s="1">
        <v>0</v>
      </c>
      <c r="C45" s="1">
        <v>10058</v>
      </c>
      <c r="D45" s="1" t="s">
        <v>41</v>
      </c>
      <c r="E45" s="27" t="s">
        <v>556</v>
      </c>
      <c r="F45" s="2" t="s">
        <v>548</v>
      </c>
      <c r="G45" s="5">
        <v>3</v>
      </c>
      <c r="H45" s="5">
        <v>11</v>
      </c>
      <c r="I45" s="1" t="s">
        <v>532</v>
      </c>
      <c r="J45" s="17">
        <v>20</v>
      </c>
      <c r="K45" s="1">
        <v>10</v>
      </c>
      <c r="L45" s="1">
        <v>6500</v>
      </c>
      <c r="M45" s="5">
        <v>0</v>
      </c>
      <c r="N45" s="5">
        <v>0</v>
      </c>
      <c r="O45" s="5">
        <v>0</v>
      </c>
      <c r="P45" s="5">
        <v>0</v>
      </c>
      <c r="Q45" s="1" t="s">
        <v>533</v>
      </c>
      <c r="R45" s="16">
        <v>100</v>
      </c>
      <c r="S45" s="1">
        <v>10</v>
      </c>
      <c r="T45" s="1">
        <v>16000</v>
      </c>
      <c r="U45" s="5">
        <v>0</v>
      </c>
      <c r="V45" s="5">
        <v>0</v>
      </c>
      <c r="W45" s="5">
        <v>0</v>
      </c>
      <c r="X45" s="5">
        <v>0</v>
      </c>
      <c r="Y45" s="1" t="s">
        <v>534</v>
      </c>
      <c r="Z45" s="16">
        <v>500</v>
      </c>
      <c r="AA45" s="1">
        <v>10</v>
      </c>
      <c r="AB45" s="1">
        <v>39000</v>
      </c>
      <c r="AC45" s="5">
        <v>0</v>
      </c>
      <c r="AD45" s="5">
        <v>0</v>
      </c>
      <c r="AE45" s="5">
        <v>0</v>
      </c>
      <c r="AF45" s="5">
        <v>0</v>
      </c>
      <c r="AG45" s="1" t="s">
        <v>535</v>
      </c>
      <c r="AH45" s="16">
        <v>2000</v>
      </c>
      <c r="AI45" s="1">
        <v>30</v>
      </c>
      <c r="AJ45" s="1">
        <v>81000</v>
      </c>
      <c r="AK45" s="5">
        <v>0</v>
      </c>
      <c r="AL45" s="5">
        <v>0</v>
      </c>
      <c r="AM45" s="5">
        <v>0</v>
      </c>
      <c r="AN45" s="5">
        <v>0</v>
      </c>
      <c r="AO45" s="1" t="s">
        <v>536</v>
      </c>
      <c r="AP45" s="16">
        <v>5000</v>
      </c>
      <c r="AQ45" s="1">
        <v>50</v>
      </c>
      <c r="AR45" s="1">
        <v>181000</v>
      </c>
      <c r="AS45" s="5">
        <v>0</v>
      </c>
      <c r="AT45" s="5">
        <v>0</v>
      </c>
      <c r="AU45" s="5">
        <v>0</v>
      </c>
      <c r="AV45" s="5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5">
        <v>0</v>
      </c>
      <c r="BR45" s="5">
        <v>0</v>
      </c>
      <c r="BS45" s="5">
        <v>0</v>
      </c>
      <c r="BT45" s="5">
        <v>0</v>
      </c>
    </row>
    <row r="46" spans="1:72" ht="27">
      <c r="A46" s="1">
        <v>49</v>
      </c>
      <c r="B46" s="1">
        <v>0</v>
      </c>
      <c r="C46" s="1">
        <v>10068</v>
      </c>
      <c r="D46" s="1" t="s">
        <v>41</v>
      </c>
      <c r="E46" s="27" t="s">
        <v>587</v>
      </c>
      <c r="F46" s="2" t="s">
        <v>551</v>
      </c>
      <c r="G46" s="5">
        <v>3</v>
      </c>
      <c r="H46" s="5">
        <v>11</v>
      </c>
      <c r="I46" s="1" t="s">
        <v>542</v>
      </c>
      <c r="J46" s="17">
        <v>20</v>
      </c>
      <c r="K46" s="1">
        <v>10</v>
      </c>
      <c r="L46" s="1">
        <v>6500</v>
      </c>
      <c r="M46" s="5">
        <v>0</v>
      </c>
      <c r="N46" s="5">
        <v>0</v>
      </c>
      <c r="O46" s="5">
        <v>0</v>
      </c>
      <c r="P46" s="5">
        <v>0</v>
      </c>
      <c r="Q46" s="1" t="s">
        <v>543</v>
      </c>
      <c r="R46" s="1">
        <v>100</v>
      </c>
      <c r="S46" s="1">
        <v>10</v>
      </c>
      <c r="T46" s="1">
        <v>16000</v>
      </c>
      <c r="U46" s="5">
        <v>0</v>
      </c>
      <c r="V46" s="5">
        <v>0</v>
      </c>
      <c r="W46" s="5">
        <v>0</v>
      </c>
      <c r="X46" s="5">
        <v>0</v>
      </c>
      <c r="Y46" s="1" t="s">
        <v>544</v>
      </c>
      <c r="Z46" s="1">
        <v>500</v>
      </c>
      <c r="AA46" s="1">
        <v>10</v>
      </c>
      <c r="AB46" s="1">
        <v>39000</v>
      </c>
      <c r="AC46" s="5">
        <v>0</v>
      </c>
      <c r="AD46" s="5">
        <v>0</v>
      </c>
      <c r="AE46" s="5">
        <v>0</v>
      </c>
      <c r="AF46" s="5">
        <v>0</v>
      </c>
      <c r="AG46" s="1" t="s">
        <v>545</v>
      </c>
      <c r="AH46" s="1">
        <v>2000</v>
      </c>
      <c r="AI46" s="1">
        <v>30</v>
      </c>
      <c r="AJ46" s="1">
        <v>81000</v>
      </c>
      <c r="AK46" s="5">
        <v>0</v>
      </c>
      <c r="AL46" s="5">
        <v>0</v>
      </c>
      <c r="AM46" s="5">
        <v>0</v>
      </c>
      <c r="AN46" s="5">
        <v>0</v>
      </c>
      <c r="AO46" s="1" t="s">
        <v>546</v>
      </c>
      <c r="AP46" s="1">
        <v>5000</v>
      </c>
      <c r="AQ46" s="1">
        <v>50</v>
      </c>
      <c r="AR46" s="1">
        <v>181000</v>
      </c>
      <c r="AS46" s="5">
        <v>0</v>
      </c>
      <c r="AT46" s="5">
        <v>0</v>
      </c>
      <c r="AU46" s="5">
        <v>0</v>
      </c>
      <c r="AV46" s="5">
        <v>0</v>
      </c>
      <c r="AW46" s="1">
        <v>0</v>
      </c>
      <c r="AX46" s="1">
        <v>0</v>
      </c>
      <c r="AY46" s="1">
        <v>0</v>
      </c>
      <c r="AZ46" s="1">
        <v>0</v>
      </c>
      <c r="BA46" s="5">
        <v>0</v>
      </c>
      <c r="BB46" s="5">
        <v>0</v>
      </c>
      <c r="BC46" s="5">
        <v>0</v>
      </c>
      <c r="BD46" s="5">
        <v>0</v>
      </c>
      <c r="BE46" s="1">
        <v>0</v>
      </c>
      <c r="BF46" s="1">
        <v>0</v>
      </c>
      <c r="BG46" s="1">
        <v>0</v>
      </c>
      <c r="BH46" s="1">
        <v>0</v>
      </c>
      <c r="BI46" s="5">
        <v>0</v>
      </c>
      <c r="BJ46" s="5">
        <v>0</v>
      </c>
      <c r="BK46" s="5">
        <v>0</v>
      </c>
      <c r="BL46" s="5">
        <v>0</v>
      </c>
      <c r="BM46" s="1">
        <v>0</v>
      </c>
      <c r="BN46" s="1">
        <v>0</v>
      </c>
      <c r="BO46" s="1">
        <v>0</v>
      </c>
      <c r="BP46" s="1">
        <v>0</v>
      </c>
      <c r="BQ46" s="5">
        <v>0</v>
      </c>
      <c r="BR46" s="5">
        <v>0</v>
      </c>
      <c r="BS46" s="5">
        <v>0</v>
      </c>
      <c r="BT46" s="5">
        <v>0</v>
      </c>
    </row>
    <row r="47" spans="1:72" ht="27">
      <c r="A47" s="1">
        <v>51</v>
      </c>
      <c r="B47" s="1">
        <v>2117</v>
      </c>
      <c r="C47" s="1">
        <v>0</v>
      </c>
      <c r="D47" s="1" t="s">
        <v>41</v>
      </c>
      <c r="E47" s="30" t="s">
        <v>586</v>
      </c>
      <c r="F47" s="2" t="s">
        <v>529</v>
      </c>
      <c r="G47" s="5">
        <v>3</v>
      </c>
      <c r="H47" s="5">
        <v>11</v>
      </c>
      <c r="I47" s="1" t="s">
        <v>547</v>
      </c>
      <c r="J47" s="1">
        <v>1</v>
      </c>
      <c r="K47" s="1">
        <v>20</v>
      </c>
      <c r="L47" s="1">
        <v>12000</v>
      </c>
      <c r="M47" s="5">
        <v>0</v>
      </c>
      <c r="N47" s="5">
        <v>0</v>
      </c>
      <c r="O47" s="5">
        <v>0</v>
      </c>
      <c r="P47" s="5">
        <v>0</v>
      </c>
      <c r="Q47" s="1">
        <v>0</v>
      </c>
      <c r="R47" s="1">
        <v>0</v>
      </c>
      <c r="S47" s="1">
        <v>0</v>
      </c>
      <c r="T47" s="1">
        <v>0</v>
      </c>
      <c r="U47" s="5">
        <v>0</v>
      </c>
      <c r="V47" s="5">
        <v>0</v>
      </c>
      <c r="W47" s="5">
        <v>0</v>
      </c>
      <c r="X47" s="5">
        <v>0</v>
      </c>
      <c r="Y47" s="1">
        <v>0</v>
      </c>
      <c r="Z47" s="1">
        <v>0</v>
      </c>
      <c r="AA47" s="1">
        <v>0</v>
      </c>
      <c r="AB47" s="1">
        <v>0</v>
      </c>
      <c r="AC47" s="5">
        <v>0</v>
      </c>
      <c r="AD47" s="5">
        <v>0</v>
      </c>
      <c r="AE47" s="5">
        <v>0</v>
      </c>
      <c r="AF47" s="5">
        <v>0</v>
      </c>
      <c r="AG47" s="1">
        <v>0</v>
      </c>
      <c r="AH47" s="1">
        <v>0</v>
      </c>
      <c r="AI47" s="1">
        <v>0</v>
      </c>
      <c r="AJ47" s="1">
        <v>0</v>
      </c>
      <c r="AK47" s="5">
        <v>0</v>
      </c>
      <c r="AL47" s="5">
        <v>0</v>
      </c>
      <c r="AM47" s="5">
        <v>0</v>
      </c>
      <c r="AN47" s="5">
        <v>0</v>
      </c>
      <c r="AO47" s="1">
        <v>0</v>
      </c>
      <c r="AP47" s="1">
        <v>0</v>
      </c>
      <c r="AQ47" s="1">
        <v>0</v>
      </c>
      <c r="AR47" s="1">
        <v>0</v>
      </c>
      <c r="AS47" s="5">
        <v>0</v>
      </c>
      <c r="AT47" s="5">
        <v>0</v>
      </c>
      <c r="AU47" s="5">
        <v>0</v>
      </c>
      <c r="AV47" s="5">
        <v>0</v>
      </c>
      <c r="AW47" s="1">
        <v>0</v>
      </c>
      <c r="AX47" s="1">
        <v>0</v>
      </c>
      <c r="AY47" s="1">
        <v>0</v>
      </c>
      <c r="AZ47" s="1">
        <v>0</v>
      </c>
      <c r="BA47" s="5">
        <v>0</v>
      </c>
      <c r="BB47" s="5">
        <v>0</v>
      </c>
      <c r="BC47" s="5">
        <v>0</v>
      </c>
      <c r="BD47" s="5">
        <v>0</v>
      </c>
      <c r="BE47" s="1">
        <v>0</v>
      </c>
      <c r="BF47" s="1">
        <v>0</v>
      </c>
      <c r="BG47" s="1">
        <v>0</v>
      </c>
      <c r="BH47" s="1">
        <v>0</v>
      </c>
      <c r="BI47" s="5">
        <v>0</v>
      </c>
      <c r="BJ47" s="5">
        <v>0</v>
      </c>
      <c r="BK47" s="5">
        <v>0</v>
      </c>
      <c r="BL47" s="5">
        <v>0</v>
      </c>
      <c r="BM47" s="1">
        <v>0</v>
      </c>
      <c r="BN47" s="1">
        <v>0</v>
      </c>
      <c r="BO47" s="1">
        <v>0</v>
      </c>
      <c r="BP47" s="1">
        <v>0</v>
      </c>
      <c r="BQ47" s="5">
        <v>0</v>
      </c>
      <c r="BR47" s="5">
        <v>0</v>
      </c>
      <c r="BS47" s="5">
        <v>0</v>
      </c>
      <c r="BT47" s="5">
        <v>0</v>
      </c>
    </row>
    <row r="48" spans="1:72" ht="27">
      <c r="A48" s="1">
        <v>52</v>
      </c>
      <c r="B48" s="4">
        <v>5500</v>
      </c>
      <c r="C48" s="1">
        <v>0</v>
      </c>
      <c r="D48" s="1" t="s">
        <v>41</v>
      </c>
      <c r="E48" s="25" t="s">
        <v>552</v>
      </c>
      <c r="F48" s="4" t="s">
        <v>528</v>
      </c>
      <c r="G48" s="5">
        <v>3</v>
      </c>
      <c r="H48" s="5">
        <v>11</v>
      </c>
      <c r="I48" s="1" t="s">
        <v>530</v>
      </c>
      <c r="J48" s="17">
        <v>1</v>
      </c>
      <c r="K48" s="1">
        <v>50</v>
      </c>
      <c r="L48" s="1">
        <v>100000</v>
      </c>
      <c r="M48" s="5">
        <v>0</v>
      </c>
      <c r="N48" s="5">
        <v>0</v>
      </c>
      <c r="O48" s="5">
        <v>0</v>
      </c>
      <c r="P48" s="5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5">
        <v>0</v>
      </c>
      <c r="BS48" s="5">
        <v>0</v>
      </c>
      <c r="BT48" s="5">
        <v>0</v>
      </c>
    </row>
    <row r="49" spans="1:72" s="35" customFormat="1" ht="27">
      <c r="A49" s="28">
        <v>53</v>
      </c>
      <c r="B49" s="35">
        <v>0</v>
      </c>
      <c r="C49" s="35">
        <v>10071</v>
      </c>
      <c r="D49" s="35" t="s">
        <v>41</v>
      </c>
      <c r="E49" s="36" t="s">
        <v>615</v>
      </c>
      <c r="F49" s="35" t="s">
        <v>610</v>
      </c>
      <c r="G49" s="35">
        <v>3</v>
      </c>
      <c r="H49" s="35">
        <v>12</v>
      </c>
      <c r="I49" s="35" t="s">
        <v>593</v>
      </c>
      <c r="J49" s="37">
        <v>50</v>
      </c>
      <c r="K49" s="35">
        <v>10</v>
      </c>
      <c r="L49" s="35">
        <f>ROUND(VLOOKUP($A49,索引!$A$2:$L$38,4,FALSE)*2%,-2)</f>
        <v>12000</v>
      </c>
      <c r="M49" s="35">
        <v>0</v>
      </c>
      <c r="N49" s="35">
        <v>0</v>
      </c>
      <c r="O49" s="35">
        <v>0</v>
      </c>
      <c r="P49" s="35">
        <v>0</v>
      </c>
      <c r="Q49" s="35" t="s">
        <v>594</v>
      </c>
      <c r="R49" s="35">
        <v>200</v>
      </c>
      <c r="S49" s="35">
        <v>10</v>
      </c>
      <c r="T49" s="35">
        <f>ROUND(VLOOKUP($A49,索引!$A$2:$L$38,4,FALSE)*5%,-2)</f>
        <v>30000</v>
      </c>
      <c r="U49" s="35">
        <v>0</v>
      </c>
      <c r="V49" s="35">
        <v>0</v>
      </c>
      <c r="W49" s="35">
        <v>0</v>
      </c>
      <c r="X49" s="35">
        <v>0</v>
      </c>
      <c r="Y49" s="35" t="s">
        <v>595</v>
      </c>
      <c r="Z49" s="35">
        <v>1000</v>
      </c>
      <c r="AA49" s="35">
        <v>10</v>
      </c>
      <c r="AB49" s="35">
        <f>ROUND(VLOOKUP($A49,索引!$A$2:$L$38,4,FALSE)*12%,-2)</f>
        <v>72000</v>
      </c>
      <c r="AC49" s="35">
        <v>0</v>
      </c>
      <c r="AD49" s="35">
        <v>0</v>
      </c>
      <c r="AE49" s="35">
        <v>0</v>
      </c>
      <c r="AF49" s="35">
        <v>0</v>
      </c>
      <c r="AG49" s="35" t="s">
        <v>596</v>
      </c>
      <c r="AH49" s="35">
        <v>3000</v>
      </c>
      <c r="AI49" s="35">
        <v>30</v>
      </c>
      <c r="AJ49" s="35">
        <f>ROUND(VLOOKUP($A49,索引!$A$2:$L$38,4,FALSE)*25%,-2)</f>
        <v>150000</v>
      </c>
      <c r="AK49" s="35">
        <v>0</v>
      </c>
      <c r="AL49" s="35">
        <v>0</v>
      </c>
      <c r="AM49" s="35">
        <v>0</v>
      </c>
      <c r="AN49" s="35">
        <v>0</v>
      </c>
      <c r="AO49" s="35" t="s">
        <v>597</v>
      </c>
      <c r="AP49" s="35">
        <v>10000</v>
      </c>
      <c r="AQ49" s="35">
        <v>50</v>
      </c>
      <c r="AR49" s="35">
        <f>ROUND(VLOOKUP($A49,索引!$A$2:$L$38,4,FALSE)*56%,-2)</f>
        <v>336000</v>
      </c>
      <c r="AS49" s="35">
        <v>0</v>
      </c>
      <c r="AT49" s="35">
        <v>0</v>
      </c>
      <c r="AU49" s="35">
        <v>0</v>
      </c>
      <c r="AV49" s="35">
        <v>0</v>
      </c>
      <c r="AW49" s="35" t="s">
        <v>598</v>
      </c>
      <c r="AX49" s="35">
        <v>50000</v>
      </c>
      <c r="AY49" s="35">
        <v>100</v>
      </c>
      <c r="AZ49" s="35">
        <f>ROUND(VLOOKUP($A49,索引!$A$2:$L$38,4,FALSE)*200%,-2)</f>
        <v>1200000</v>
      </c>
      <c r="BA49" s="35">
        <v>0</v>
      </c>
      <c r="BB49" s="35">
        <v>0</v>
      </c>
      <c r="BC49" s="35">
        <v>0</v>
      </c>
      <c r="BD49" s="35">
        <v>0</v>
      </c>
      <c r="BE49" s="35">
        <v>0</v>
      </c>
      <c r="BF49" s="35">
        <v>0</v>
      </c>
      <c r="BG49" s="35">
        <v>0</v>
      </c>
      <c r="BH49" s="35">
        <v>0</v>
      </c>
      <c r="BI49" s="35">
        <v>0</v>
      </c>
      <c r="BJ49" s="35">
        <v>0</v>
      </c>
      <c r="BK49" s="35">
        <v>0</v>
      </c>
      <c r="BL49" s="35">
        <v>0</v>
      </c>
      <c r="BM49" s="35">
        <v>0</v>
      </c>
      <c r="BN49" s="35">
        <v>0</v>
      </c>
      <c r="BO49" s="35">
        <v>0</v>
      </c>
      <c r="BP49" s="35">
        <v>0</v>
      </c>
      <c r="BQ49" s="35">
        <v>0</v>
      </c>
      <c r="BR49" s="35">
        <v>0</v>
      </c>
      <c r="BS49" s="35">
        <v>0</v>
      </c>
      <c r="BT49" s="35">
        <v>0</v>
      </c>
    </row>
    <row r="50" spans="1:72" s="35" customFormat="1" ht="27">
      <c r="A50" s="1">
        <v>54</v>
      </c>
      <c r="B50" s="35">
        <v>0</v>
      </c>
      <c r="C50" s="35">
        <v>10072</v>
      </c>
      <c r="D50" s="35" t="s">
        <v>41</v>
      </c>
      <c r="E50" s="36" t="s">
        <v>616</v>
      </c>
      <c r="F50" s="35" t="s">
        <v>611</v>
      </c>
      <c r="G50" s="35">
        <v>3</v>
      </c>
      <c r="H50" s="35">
        <v>12</v>
      </c>
      <c r="I50" s="35" t="s">
        <v>602</v>
      </c>
      <c r="J50" s="37">
        <v>50</v>
      </c>
      <c r="K50" s="35">
        <v>10</v>
      </c>
      <c r="L50" s="35">
        <f>ROUND(VLOOKUP($A50,索引!$A$2:$L$38,4,FALSE)*2%,-2)</f>
        <v>16200</v>
      </c>
      <c r="M50" s="35">
        <v>0</v>
      </c>
      <c r="N50" s="35">
        <v>0</v>
      </c>
      <c r="O50" s="35">
        <v>0</v>
      </c>
      <c r="P50" s="35">
        <v>0</v>
      </c>
      <c r="Q50" s="35" t="s">
        <v>601</v>
      </c>
      <c r="R50" s="38">
        <v>200</v>
      </c>
      <c r="S50" s="35">
        <v>10</v>
      </c>
      <c r="T50" s="35">
        <f>ROUND(VLOOKUP($A50,索引!$A$2:$L$38,4,FALSE)*5%,-2)</f>
        <v>40500</v>
      </c>
      <c r="U50" s="35">
        <v>0</v>
      </c>
      <c r="V50" s="35">
        <v>0</v>
      </c>
      <c r="W50" s="35">
        <v>0</v>
      </c>
      <c r="X50" s="35">
        <v>0</v>
      </c>
      <c r="Y50" s="35" t="s">
        <v>600</v>
      </c>
      <c r="Z50" s="38">
        <v>1000</v>
      </c>
      <c r="AA50" s="35">
        <v>10</v>
      </c>
      <c r="AB50" s="35">
        <f>ROUND(VLOOKUP($A50,索引!$A$2:$L$38,4,FALSE)*12%,-2)</f>
        <v>97200</v>
      </c>
      <c r="AC50" s="35">
        <v>0</v>
      </c>
      <c r="AD50" s="35">
        <v>0</v>
      </c>
      <c r="AE50" s="35">
        <v>0</v>
      </c>
      <c r="AF50" s="35">
        <v>0</v>
      </c>
      <c r="AG50" s="35" t="s">
        <v>599</v>
      </c>
      <c r="AH50" s="38">
        <v>3000</v>
      </c>
      <c r="AI50" s="35">
        <v>30</v>
      </c>
      <c r="AJ50" s="35">
        <f>ROUND(VLOOKUP($A50,索引!$A$2:$L$38,4,FALSE)*25%,-2)</f>
        <v>202500</v>
      </c>
      <c r="AK50" s="35">
        <v>0</v>
      </c>
      <c r="AL50" s="35">
        <v>0</v>
      </c>
      <c r="AM50" s="35">
        <v>0</v>
      </c>
      <c r="AN50" s="35">
        <v>0</v>
      </c>
      <c r="AO50" s="35" t="s">
        <v>605</v>
      </c>
      <c r="AP50" s="38">
        <v>10000</v>
      </c>
      <c r="AQ50" s="35">
        <v>50</v>
      </c>
      <c r="AR50" s="35">
        <f>ROUND(VLOOKUP($A50,索引!$A$2:$L$38,4,FALSE)*56%,-2)</f>
        <v>453600</v>
      </c>
      <c r="AS50" s="35">
        <v>0</v>
      </c>
      <c r="AT50" s="35">
        <v>0</v>
      </c>
      <c r="AU50" s="35">
        <v>0</v>
      </c>
      <c r="AV50" s="35">
        <v>0</v>
      </c>
      <c r="AW50" s="35" t="s">
        <v>603</v>
      </c>
      <c r="AX50" s="38">
        <v>50000</v>
      </c>
      <c r="AY50" s="35">
        <v>100</v>
      </c>
      <c r="AZ50" s="35">
        <f>ROUND(VLOOKUP($A50,索引!$A$2:$L$38,4,FALSE)*200%,-2)</f>
        <v>1620000</v>
      </c>
      <c r="BA50" s="35">
        <v>0</v>
      </c>
      <c r="BB50" s="35">
        <v>0</v>
      </c>
      <c r="BC50" s="35">
        <v>0</v>
      </c>
      <c r="BD50" s="35">
        <v>0</v>
      </c>
      <c r="BE50" s="35">
        <v>0</v>
      </c>
      <c r="BF50" s="35">
        <v>0</v>
      </c>
      <c r="BG50" s="35">
        <v>0</v>
      </c>
      <c r="BH50" s="35">
        <v>0</v>
      </c>
      <c r="BI50" s="35">
        <v>0</v>
      </c>
      <c r="BJ50" s="35">
        <v>0</v>
      </c>
      <c r="BK50" s="35">
        <v>0</v>
      </c>
      <c r="BL50" s="35">
        <v>0</v>
      </c>
      <c r="BM50" s="35">
        <v>0</v>
      </c>
      <c r="BN50" s="35">
        <v>0</v>
      </c>
      <c r="BO50" s="35">
        <v>0</v>
      </c>
      <c r="BP50" s="35">
        <v>0</v>
      </c>
      <c r="BQ50" s="35">
        <v>0</v>
      </c>
      <c r="BR50" s="35">
        <v>0</v>
      </c>
      <c r="BS50" s="35">
        <v>0</v>
      </c>
      <c r="BT50" s="35">
        <v>0</v>
      </c>
    </row>
    <row r="51" spans="1:72" s="31" customFormat="1" ht="27">
      <c r="A51" s="5">
        <v>55</v>
      </c>
      <c r="B51" s="31">
        <v>0</v>
      </c>
      <c r="C51" s="31">
        <v>10073</v>
      </c>
      <c r="D51" s="31" t="s">
        <v>41</v>
      </c>
      <c r="E51" s="32" t="s">
        <v>617</v>
      </c>
      <c r="F51" s="35" t="s">
        <v>612</v>
      </c>
      <c r="G51" s="31">
        <v>3</v>
      </c>
      <c r="H51" s="31">
        <v>12</v>
      </c>
      <c r="I51" s="31" t="s">
        <v>592</v>
      </c>
      <c r="J51" s="33">
        <v>1</v>
      </c>
      <c r="K51" s="31">
        <v>20</v>
      </c>
      <c r="L51" s="31">
        <v>11800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</row>
    <row r="52" spans="1:72" s="31" customFormat="1" ht="27">
      <c r="A52" s="1">
        <v>56</v>
      </c>
      <c r="B52" s="31">
        <v>0</v>
      </c>
      <c r="C52" s="31">
        <v>10074</v>
      </c>
      <c r="D52" s="31" t="s">
        <v>41</v>
      </c>
      <c r="E52" s="32" t="s">
        <v>618</v>
      </c>
      <c r="F52" s="35" t="s">
        <v>613</v>
      </c>
      <c r="G52" s="31">
        <v>3</v>
      </c>
      <c r="H52" s="31">
        <v>12</v>
      </c>
      <c r="I52" s="31" t="s">
        <v>591</v>
      </c>
      <c r="J52" s="31">
        <v>1</v>
      </c>
      <c r="K52" s="31">
        <v>20</v>
      </c>
      <c r="L52" s="31">
        <v>11800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1">
        <v>0</v>
      </c>
      <c r="BK52" s="31">
        <v>0</v>
      </c>
      <c r="BL52" s="31">
        <v>0</v>
      </c>
      <c r="BM52" s="31">
        <v>0</v>
      </c>
      <c r="BN52" s="31">
        <v>0</v>
      </c>
      <c r="BO52" s="31">
        <v>0</v>
      </c>
      <c r="BP52" s="31">
        <v>0</v>
      </c>
      <c r="BQ52" s="31">
        <v>0</v>
      </c>
      <c r="BR52" s="31">
        <v>0</v>
      </c>
      <c r="BS52" s="31">
        <v>0</v>
      </c>
      <c r="BT52" s="31">
        <v>0</v>
      </c>
    </row>
    <row r="53" spans="1:72" s="31" customFormat="1" ht="27">
      <c r="A53" s="1">
        <v>57</v>
      </c>
      <c r="B53" s="4">
        <v>0</v>
      </c>
      <c r="C53" s="31">
        <v>10077</v>
      </c>
      <c r="D53" s="31" t="s">
        <v>41</v>
      </c>
      <c r="E53" s="34" t="s">
        <v>619</v>
      </c>
      <c r="F53" s="4" t="s">
        <v>614</v>
      </c>
      <c r="G53" s="31">
        <v>3</v>
      </c>
      <c r="H53" s="31">
        <v>12</v>
      </c>
      <c r="I53" s="31" t="s">
        <v>590</v>
      </c>
      <c r="J53" s="33">
        <v>1</v>
      </c>
      <c r="K53" s="31">
        <v>50</v>
      </c>
      <c r="L53" s="31">
        <f>索引!D55</f>
        <v>95000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0</v>
      </c>
      <c r="BN53" s="31">
        <v>0</v>
      </c>
      <c r="BO53" s="31">
        <v>0</v>
      </c>
      <c r="BP53" s="31">
        <v>0</v>
      </c>
      <c r="BQ53" s="31">
        <v>0</v>
      </c>
      <c r="BR53" s="31">
        <v>0</v>
      </c>
      <c r="BS53" s="31">
        <v>0</v>
      </c>
      <c r="BT53" s="31">
        <v>0</v>
      </c>
    </row>
  </sheetData>
  <autoFilter ref="A1:BP48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opLeftCell="A5" workbookViewId="0">
      <selection activeCell="A38" sqref="A37:A38"/>
    </sheetView>
  </sheetViews>
  <sheetFormatPr defaultRowHeight="13.5"/>
  <cols>
    <col min="1" max="1" width="17.25" bestFit="1" customWidth="1"/>
    <col min="2" max="2" width="11" bestFit="1" customWidth="1"/>
    <col min="3" max="3" width="11.625" bestFit="1" customWidth="1"/>
  </cols>
  <sheetData>
    <row r="1" spans="1:4">
      <c r="A1" s="6" t="s">
        <v>0</v>
      </c>
      <c r="B1" s="7" t="s">
        <v>37</v>
      </c>
      <c r="C1" s="9"/>
      <c r="D1" s="10"/>
    </row>
    <row r="2" spans="1:4">
      <c r="A2" s="6" t="s">
        <v>1</v>
      </c>
      <c r="B2" s="7" t="s">
        <v>38</v>
      </c>
      <c r="C2" s="11"/>
      <c r="D2" s="12"/>
    </row>
    <row r="3" spans="1:4">
      <c r="A3" s="6" t="s">
        <v>2</v>
      </c>
      <c r="B3" s="7" t="s">
        <v>39</v>
      </c>
      <c r="C3" s="13"/>
      <c r="D3" s="14"/>
    </row>
    <row r="4" spans="1:4">
      <c r="A4" s="40" t="s">
        <v>35</v>
      </c>
      <c r="B4" s="40" t="s">
        <v>40</v>
      </c>
      <c r="C4" s="8" t="s">
        <v>371</v>
      </c>
      <c r="D4" s="8" t="s">
        <v>43</v>
      </c>
    </row>
    <row r="5" spans="1:4">
      <c r="A5" s="40"/>
      <c r="B5" s="40"/>
      <c r="C5" s="6" t="s">
        <v>412</v>
      </c>
      <c r="D5" s="6" t="s">
        <v>44</v>
      </c>
    </row>
    <row r="6" spans="1:4">
      <c r="A6" s="40"/>
      <c r="B6" s="40"/>
      <c r="C6" s="15" t="s">
        <v>413</v>
      </c>
      <c r="D6" s="15" t="s">
        <v>45</v>
      </c>
    </row>
    <row r="7" spans="1:4">
      <c r="A7" s="6" t="s">
        <v>3</v>
      </c>
      <c r="B7" s="7" t="s">
        <v>46</v>
      </c>
      <c r="C7" s="9"/>
      <c r="D7" s="10"/>
    </row>
    <row r="8" spans="1:4">
      <c r="A8" s="6" t="s">
        <v>4</v>
      </c>
      <c r="B8" s="7" t="s">
        <v>47</v>
      </c>
      <c r="C8" s="11"/>
      <c r="D8" s="12"/>
    </row>
    <row r="9" spans="1:4">
      <c r="A9" s="6" t="s">
        <v>36</v>
      </c>
      <c r="B9" s="7" t="s">
        <v>48</v>
      </c>
      <c r="C9" s="11"/>
      <c r="D9" s="12"/>
    </row>
    <row r="10" spans="1:4">
      <c r="A10" s="6" t="s">
        <v>5</v>
      </c>
      <c r="B10" s="7" t="s">
        <v>49</v>
      </c>
      <c r="C10" s="13"/>
      <c r="D10" s="14"/>
    </row>
  </sheetData>
  <mergeCells count="2">
    <mergeCell ref="B4:B6"/>
    <mergeCell ref="A4:A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19" zoomScaleNormal="100" workbookViewId="0">
      <selection activeCell="F38" sqref="F38"/>
    </sheetView>
  </sheetViews>
  <sheetFormatPr defaultRowHeight="13.5"/>
  <cols>
    <col min="1" max="1" width="9" style="1"/>
    <col min="2" max="2" width="15.5" style="1" customWidth="1"/>
    <col min="3" max="3" width="57" style="5" customWidth="1"/>
    <col min="4" max="7" width="9" style="1"/>
    <col min="8" max="8" width="9.5" style="1" bestFit="1" customWidth="1"/>
    <col min="9" max="9" width="9" style="1"/>
    <col min="10" max="10" width="9" style="20"/>
    <col min="11" max="11" width="9" style="21"/>
    <col min="12" max="16384" width="9" style="1"/>
  </cols>
  <sheetData>
    <row r="1" spans="1:12">
      <c r="J1" s="26"/>
      <c r="K1" s="26"/>
    </row>
    <row r="2" spans="1:12">
      <c r="A2">
        <v>1</v>
      </c>
      <c r="B2" t="s">
        <v>41</v>
      </c>
      <c r="C2" s="19" t="s">
        <v>383</v>
      </c>
      <c r="D2" s="1">
        <f>E2*F2*G2</f>
        <v>175</v>
      </c>
      <c r="E2" s="1">
        <v>10</v>
      </c>
      <c r="F2" s="1">
        <v>50</v>
      </c>
      <c r="G2" s="22">
        <v>0.35</v>
      </c>
      <c r="H2" s="41">
        <f>SUM(D2:D3)</f>
        <v>445</v>
      </c>
      <c r="I2" s="22"/>
      <c r="J2" s="41"/>
      <c r="K2" s="42"/>
      <c r="L2" s="41"/>
    </row>
    <row r="3" spans="1:12">
      <c r="A3">
        <v>2</v>
      </c>
      <c r="B3" t="s">
        <v>41</v>
      </c>
      <c r="C3" s="19" t="s">
        <v>384</v>
      </c>
      <c r="D3" s="1">
        <f>E3*F3*G3</f>
        <v>270</v>
      </c>
      <c r="E3" s="1">
        <v>18</v>
      </c>
      <c r="F3" s="1">
        <v>50</v>
      </c>
      <c r="G3" s="22">
        <v>0.3</v>
      </c>
      <c r="H3" s="41"/>
      <c r="I3" s="22"/>
      <c r="J3" s="41"/>
      <c r="K3" s="42"/>
      <c r="L3" s="41"/>
    </row>
    <row r="4" spans="1:12">
      <c r="A4">
        <v>4</v>
      </c>
      <c r="B4" t="s">
        <v>41</v>
      </c>
      <c r="C4" s="19" t="s">
        <v>414</v>
      </c>
      <c r="D4" s="1">
        <f t="shared" ref="D4:D31" si="0">E4*F4*G4</f>
        <v>1800</v>
      </c>
      <c r="E4" s="1">
        <v>30</v>
      </c>
      <c r="F4" s="1">
        <v>200</v>
      </c>
      <c r="G4" s="22">
        <v>0.3</v>
      </c>
      <c r="H4" s="41">
        <f>SUM(D4:D12)</f>
        <v>12700</v>
      </c>
      <c r="I4" s="22"/>
      <c r="J4" s="1"/>
      <c r="K4" s="22"/>
      <c r="L4" s="41"/>
    </row>
    <row r="5" spans="1:12">
      <c r="A5">
        <v>5</v>
      </c>
      <c r="B5" t="s">
        <v>41</v>
      </c>
      <c r="C5" s="19" t="s">
        <v>415</v>
      </c>
      <c r="D5" s="1">
        <f t="shared" si="0"/>
        <v>1800</v>
      </c>
      <c r="E5" s="1">
        <v>30</v>
      </c>
      <c r="F5" s="1">
        <v>200</v>
      </c>
      <c r="G5" s="22">
        <v>0.3</v>
      </c>
      <c r="H5" s="41"/>
      <c r="I5" s="22"/>
      <c r="J5" s="41"/>
      <c r="K5" s="42"/>
      <c r="L5" s="41"/>
    </row>
    <row r="6" spans="1:12">
      <c r="A6">
        <v>6</v>
      </c>
      <c r="B6" t="s">
        <v>41</v>
      </c>
      <c r="C6" s="19" t="s">
        <v>416</v>
      </c>
      <c r="D6" s="1">
        <f t="shared" si="0"/>
        <v>1800</v>
      </c>
      <c r="E6" s="1">
        <v>30</v>
      </c>
      <c r="F6" s="1">
        <v>200</v>
      </c>
      <c r="G6" s="22">
        <v>0.3</v>
      </c>
      <c r="H6" s="41"/>
      <c r="I6" s="22"/>
      <c r="J6" s="41"/>
      <c r="K6" s="41"/>
      <c r="L6" s="41"/>
    </row>
    <row r="7" spans="1:12">
      <c r="A7">
        <v>7</v>
      </c>
      <c r="B7" t="s">
        <v>41</v>
      </c>
      <c r="C7" s="19" t="s">
        <v>477</v>
      </c>
      <c r="D7" s="1">
        <f t="shared" si="0"/>
        <v>600</v>
      </c>
      <c r="E7" s="1">
        <v>600</v>
      </c>
      <c r="F7" s="1">
        <v>1</v>
      </c>
      <c r="G7" s="22">
        <v>1</v>
      </c>
      <c r="H7" s="41"/>
      <c r="I7" s="22"/>
      <c r="J7" s="41"/>
      <c r="K7" s="42"/>
      <c r="L7" s="41"/>
    </row>
    <row r="8" spans="1:12">
      <c r="A8">
        <v>8</v>
      </c>
      <c r="B8" t="s">
        <v>41</v>
      </c>
      <c r="C8" s="19" t="s">
        <v>478</v>
      </c>
      <c r="D8" s="1">
        <f t="shared" si="0"/>
        <v>600</v>
      </c>
      <c r="E8" s="1">
        <v>600</v>
      </c>
      <c r="F8" s="1">
        <v>1</v>
      </c>
      <c r="G8" s="22">
        <v>1</v>
      </c>
      <c r="H8" s="41"/>
      <c r="I8" s="22"/>
      <c r="J8" s="41"/>
      <c r="K8" s="41"/>
      <c r="L8" s="41"/>
    </row>
    <row r="9" spans="1:12">
      <c r="A9">
        <v>9</v>
      </c>
      <c r="B9" t="s">
        <v>41</v>
      </c>
      <c r="C9" s="19" t="s">
        <v>417</v>
      </c>
      <c r="D9" s="1">
        <f t="shared" si="0"/>
        <v>2400</v>
      </c>
      <c r="E9" s="1">
        <v>40</v>
      </c>
      <c r="F9" s="1">
        <v>200</v>
      </c>
      <c r="G9" s="22">
        <v>0.3</v>
      </c>
      <c r="H9" s="41"/>
      <c r="I9" s="22"/>
      <c r="J9" s="41"/>
      <c r="K9" s="42"/>
      <c r="L9" s="41"/>
    </row>
    <row r="10" spans="1:12">
      <c r="A10">
        <v>10</v>
      </c>
      <c r="B10" t="s">
        <v>41</v>
      </c>
      <c r="C10" s="19" t="s">
        <v>385</v>
      </c>
      <c r="D10" s="1">
        <f t="shared" si="0"/>
        <v>2100</v>
      </c>
      <c r="E10" s="1">
        <v>35</v>
      </c>
      <c r="F10" s="1">
        <v>200</v>
      </c>
      <c r="G10" s="22">
        <v>0.3</v>
      </c>
      <c r="H10" s="41"/>
      <c r="I10" s="22"/>
      <c r="J10" s="41"/>
      <c r="K10" s="41"/>
      <c r="L10" s="41"/>
    </row>
    <row r="11" spans="1:12">
      <c r="A11">
        <v>11</v>
      </c>
      <c r="B11" s="18" t="s">
        <v>41</v>
      </c>
      <c r="C11" s="19" t="s">
        <v>479</v>
      </c>
      <c r="D11" s="1">
        <f t="shared" si="0"/>
        <v>800</v>
      </c>
      <c r="E11" s="1">
        <v>800</v>
      </c>
      <c r="F11" s="1">
        <v>1</v>
      </c>
      <c r="G11" s="22">
        <v>1</v>
      </c>
      <c r="H11" s="41"/>
      <c r="I11" s="22"/>
      <c r="J11" s="41"/>
      <c r="K11" s="42"/>
      <c r="L11" s="41"/>
    </row>
    <row r="12" spans="1:12">
      <c r="A12">
        <v>12</v>
      </c>
      <c r="B12" s="18" t="s">
        <v>41</v>
      </c>
      <c r="C12" s="19" t="s">
        <v>480</v>
      </c>
      <c r="D12" s="1">
        <f t="shared" si="0"/>
        <v>800</v>
      </c>
      <c r="E12" s="1">
        <v>800</v>
      </c>
      <c r="F12" s="1">
        <v>1</v>
      </c>
      <c r="G12" s="22">
        <v>1</v>
      </c>
      <c r="H12" s="41"/>
      <c r="I12" s="22"/>
      <c r="J12" s="41"/>
      <c r="K12" s="41"/>
      <c r="L12" s="41"/>
    </row>
    <row r="13" spans="1:12">
      <c r="A13">
        <v>3</v>
      </c>
      <c r="B13" t="s">
        <v>41</v>
      </c>
      <c r="C13" s="19" t="s">
        <v>406</v>
      </c>
      <c r="D13" s="1">
        <f t="shared" si="0"/>
        <v>6200</v>
      </c>
      <c r="E13" s="1">
        <v>155</v>
      </c>
      <c r="F13" s="1">
        <v>200</v>
      </c>
      <c r="G13" s="22">
        <v>0.2</v>
      </c>
      <c r="H13" s="43">
        <f>SUM(D13:D16)</f>
        <v>73200</v>
      </c>
      <c r="I13" s="22"/>
      <c r="J13" s="41"/>
      <c r="K13" s="42"/>
      <c r="L13" s="41"/>
    </row>
    <row r="14" spans="1:12">
      <c r="A14">
        <v>14</v>
      </c>
      <c r="B14" t="s">
        <v>41</v>
      </c>
      <c r="C14" s="19" t="s">
        <v>386</v>
      </c>
      <c r="D14" s="1">
        <f t="shared" si="0"/>
        <v>62000</v>
      </c>
      <c r="E14" s="1">
        <v>155</v>
      </c>
      <c r="F14" s="1">
        <v>2000</v>
      </c>
      <c r="G14" s="22">
        <v>0.2</v>
      </c>
      <c r="H14" s="43"/>
      <c r="I14" s="22"/>
      <c r="J14" s="41"/>
      <c r="K14" s="42"/>
      <c r="L14" s="41"/>
    </row>
    <row r="15" spans="1:12">
      <c r="A15">
        <v>15</v>
      </c>
      <c r="B15" s="18" t="s">
        <v>41</v>
      </c>
      <c r="C15" s="19" t="s">
        <v>481</v>
      </c>
      <c r="D15" s="1">
        <f t="shared" si="0"/>
        <v>2500</v>
      </c>
      <c r="E15" s="1">
        <v>2500</v>
      </c>
      <c r="F15" s="1">
        <v>1</v>
      </c>
      <c r="G15" s="22">
        <v>1</v>
      </c>
      <c r="H15" s="43"/>
      <c r="I15" s="22"/>
      <c r="J15" s="41"/>
      <c r="K15" s="42"/>
      <c r="L15" s="41"/>
    </row>
    <row r="16" spans="1:12">
      <c r="A16">
        <v>16</v>
      </c>
      <c r="B16" s="18" t="s">
        <v>41</v>
      </c>
      <c r="C16" s="19" t="s">
        <v>482</v>
      </c>
      <c r="D16" s="1">
        <f t="shared" si="0"/>
        <v>2500</v>
      </c>
      <c r="E16" s="1">
        <v>2500</v>
      </c>
      <c r="F16" s="1">
        <v>1</v>
      </c>
      <c r="G16" s="22">
        <v>1</v>
      </c>
      <c r="H16" s="43"/>
      <c r="I16" s="22"/>
      <c r="J16" s="41"/>
      <c r="K16" s="41"/>
      <c r="L16" s="41"/>
    </row>
    <row r="17" spans="1:12">
      <c r="A17">
        <v>20</v>
      </c>
      <c r="B17" t="s">
        <v>41</v>
      </c>
      <c r="C17" s="19" t="s">
        <v>418</v>
      </c>
      <c r="D17" s="1">
        <f t="shared" si="0"/>
        <v>255000</v>
      </c>
      <c r="E17" s="1">
        <v>170</v>
      </c>
      <c r="F17" s="1">
        <v>10000</v>
      </c>
      <c r="G17" s="22">
        <v>0.15</v>
      </c>
      <c r="H17" s="41">
        <f>SUM(D17:D20)</f>
        <v>593000</v>
      </c>
      <c r="I17" s="22"/>
      <c r="J17" s="41"/>
      <c r="K17" s="42"/>
      <c r="L17" s="41"/>
    </row>
    <row r="18" spans="1:12">
      <c r="A18">
        <v>21</v>
      </c>
      <c r="B18" t="s">
        <v>41</v>
      </c>
      <c r="C18" s="19" t="s">
        <v>494</v>
      </c>
      <c r="D18" s="1">
        <f t="shared" si="0"/>
        <v>330000</v>
      </c>
      <c r="E18" s="1">
        <v>220</v>
      </c>
      <c r="F18" s="1">
        <v>10000</v>
      </c>
      <c r="G18" s="22">
        <v>0.15</v>
      </c>
      <c r="H18" s="41"/>
      <c r="I18" s="22"/>
      <c r="J18" s="41"/>
      <c r="K18" s="41"/>
      <c r="L18" s="41"/>
    </row>
    <row r="19" spans="1:12">
      <c r="A19">
        <v>22</v>
      </c>
      <c r="B19" s="18" t="s">
        <v>41</v>
      </c>
      <c r="C19" s="19" t="s">
        <v>484</v>
      </c>
      <c r="D19" s="1">
        <f t="shared" si="0"/>
        <v>4000</v>
      </c>
      <c r="E19" s="1">
        <v>4000</v>
      </c>
      <c r="F19" s="1">
        <v>1</v>
      </c>
      <c r="G19" s="22">
        <v>1</v>
      </c>
      <c r="H19" s="41"/>
      <c r="I19" s="22"/>
      <c r="J19" s="41"/>
      <c r="K19" s="42"/>
      <c r="L19" s="41"/>
    </row>
    <row r="20" spans="1:12">
      <c r="A20">
        <v>23</v>
      </c>
      <c r="B20" s="18" t="s">
        <v>41</v>
      </c>
      <c r="C20" s="19" t="s">
        <v>485</v>
      </c>
      <c r="D20" s="1">
        <f t="shared" si="0"/>
        <v>4000</v>
      </c>
      <c r="E20" s="1">
        <v>4000</v>
      </c>
      <c r="F20" s="1">
        <v>1</v>
      </c>
      <c r="G20" s="22">
        <v>1</v>
      </c>
      <c r="H20" s="41"/>
      <c r="I20" s="22"/>
      <c r="J20" s="41"/>
      <c r="K20" s="41"/>
      <c r="L20" s="41"/>
    </row>
    <row r="21" spans="1:12">
      <c r="A21">
        <v>27</v>
      </c>
      <c r="B21" s="18" t="s">
        <v>41</v>
      </c>
      <c r="C21" s="19" t="s">
        <v>420</v>
      </c>
      <c r="D21" s="1">
        <f t="shared" si="0"/>
        <v>345000</v>
      </c>
      <c r="E21" s="1">
        <v>230</v>
      </c>
      <c r="F21" s="1">
        <v>10000</v>
      </c>
      <c r="G21" s="22">
        <v>0.15</v>
      </c>
      <c r="H21" s="41">
        <f>SUM(D21:D23)</f>
        <v>354000</v>
      </c>
      <c r="I21" s="22"/>
      <c r="J21" s="1"/>
      <c r="K21" s="22"/>
      <c r="L21" s="41"/>
    </row>
    <row r="22" spans="1:12">
      <c r="A22">
        <v>28</v>
      </c>
      <c r="B22" s="18" t="s">
        <v>41</v>
      </c>
      <c r="C22" s="19" t="s">
        <v>487</v>
      </c>
      <c r="D22" s="1">
        <f t="shared" si="0"/>
        <v>4500</v>
      </c>
      <c r="E22" s="1">
        <v>4500</v>
      </c>
      <c r="F22" s="1">
        <v>1</v>
      </c>
      <c r="G22" s="22">
        <v>1</v>
      </c>
      <c r="H22" s="41"/>
      <c r="I22" s="22"/>
      <c r="J22" s="41"/>
      <c r="K22" s="42"/>
      <c r="L22" s="41"/>
    </row>
    <row r="23" spans="1:12">
      <c r="A23">
        <v>29</v>
      </c>
      <c r="B23" s="18" t="s">
        <v>41</v>
      </c>
      <c r="C23" s="19" t="s">
        <v>488</v>
      </c>
      <c r="D23" s="1">
        <f t="shared" si="0"/>
        <v>4500</v>
      </c>
      <c r="E23" s="1">
        <v>4500</v>
      </c>
      <c r="F23" s="1">
        <v>1</v>
      </c>
      <c r="G23" s="22">
        <v>1</v>
      </c>
      <c r="H23" s="41"/>
      <c r="I23" s="22"/>
      <c r="J23" s="41"/>
      <c r="K23" s="41"/>
      <c r="L23" s="41"/>
    </row>
    <row r="24" spans="1:12">
      <c r="A24">
        <v>32</v>
      </c>
      <c r="B24" s="18" t="s">
        <v>41</v>
      </c>
      <c r="C24" s="19" t="s">
        <v>405</v>
      </c>
      <c r="D24" s="1">
        <f t="shared" si="0"/>
        <v>255000</v>
      </c>
      <c r="E24" s="1">
        <v>170</v>
      </c>
      <c r="F24" s="1">
        <v>10000</v>
      </c>
      <c r="G24" s="22">
        <v>0.15</v>
      </c>
      <c r="H24" s="41">
        <f>SUM(D24:D27)</f>
        <v>696000</v>
      </c>
      <c r="I24" s="22"/>
      <c r="J24" s="41"/>
      <c r="K24" s="42"/>
      <c r="L24" s="41"/>
    </row>
    <row r="25" spans="1:12">
      <c r="A25">
        <v>33</v>
      </c>
      <c r="B25" s="18" t="s">
        <v>41</v>
      </c>
      <c r="C25" s="19" t="s">
        <v>419</v>
      </c>
      <c r="D25" s="1">
        <f t="shared" si="0"/>
        <v>429000</v>
      </c>
      <c r="E25" s="1">
        <v>330</v>
      </c>
      <c r="F25" s="1">
        <v>10000</v>
      </c>
      <c r="G25" s="22">
        <v>0.13</v>
      </c>
      <c r="H25" s="41"/>
      <c r="I25" s="22"/>
      <c r="J25" s="41"/>
      <c r="K25" s="41"/>
      <c r="L25" s="41"/>
    </row>
    <row r="26" spans="1:12">
      <c r="A26">
        <v>34</v>
      </c>
      <c r="B26" s="18" t="s">
        <v>41</v>
      </c>
      <c r="C26" s="19" t="s">
        <v>490</v>
      </c>
      <c r="D26" s="1">
        <f t="shared" si="0"/>
        <v>6000</v>
      </c>
      <c r="E26" s="1">
        <v>6000</v>
      </c>
      <c r="F26" s="1">
        <v>1</v>
      </c>
      <c r="G26" s="22">
        <v>1</v>
      </c>
      <c r="H26" s="41"/>
      <c r="I26" s="22"/>
      <c r="J26" s="41"/>
      <c r="K26" s="42"/>
      <c r="L26" s="41"/>
    </row>
    <row r="27" spans="1:12">
      <c r="A27">
        <v>35</v>
      </c>
      <c r="B27" s="18" t="s">
        <v>41</v>
      </c>
      <c r="C27" s="19" t="s">
        <v>491</v>
      </c>
      <c r="D27" s="1">
        <f t="shared" si="0"/>
        <v>6000</v>
      </c>
      <c r="E27" s="1">
        <v>6000</v>
      </c>
      <c r="F27" s="1">
        <v>1</v>
      </c>
      <c r="G27" s="22">
        <v>1</v>
      </c>
      <c r="H27" s="41"/>
      <c r="I27" s="22"/>
      <c r="J27" s="41"/>
      <c r="K27" s="41"/>
      <c r="L27" s="41"/>
    </row>
    <row r="28" spans="1:12">
      <c r="A28">
        <v>39</v>
      </c>
      <c r="B28" s="18" t="s">
        <v>41</v>
      </c>
      <c r="C28" s="19" t="s">
        <v>523</v>
      </c>
      <c r="D28" s="1">
        <f t="shared" si="0"/>
        <v>432000</v>
      </c>
      <c r="E28" s="1">
        <v>360</v>
      </c>
      <c r="F28" s="1">
        <v>10000</v>
      </c>
      <c r="G28" s="22">
        <v>0.12</v>
      </c>
      <c r="H28" s="41">
        <f>SUM(D28:D31)</f>
        <v>989000</v>
      </c>
      <c r="I28" s="22"/>
      <c r="J28" s="26"/>
      <c r="K28" s="26"/>
      <c r="L28" s="41"/>
    </row>
    <row r="29" spans="1:12">
      <c r="A29">
        <v>40</v>
      </c>
      <c r="B29" s="18" t="s">
        <v>41</v>
      </c>
      <c r="C29" s="19" t="s">
        <v>524</v>
      </c>
      <c r="D29" s="1">
        <f t="shared" si="0"/>
        <v>540000</v>
      </c>
      <c r="E29" s="1">
        <v>450</v>
      </c>
      <c r="F29" s="1">
        <v>10000</v>
      </c>
      <c r="G29" s="22">
        <v>0.12</v>
      </c>
      <c r="H29" s="41"/>
      <c r="I29" s="22"/>
      <c r="J29" s="26"/>
      <c r="K29" s="26"/>
      <c r="L29" s="41"/>
    </row>
    <row r="30" spans="1:12">
      <c r="A30">
        <v>41</v>
      </c>
      <c r="B30" s="18" t="s">
        <v>41</v>
      </c>
      <c r="C30" s="19" t="s">
        <v>525</v>
      </c>
      <c r="D30" s="1">
        <f t="shared" si="0"/>
        <v>8500</v>
      </c>
      <c r="E30" s="1">
        <v>8500</v>
      </c>
      <c r="F30" s="1">
        <v>1</v>
      </c>
      <c r="G30" s="22">
        <v>1</v>
      </c>
      <c r="H30" s="41"/>
      <c r="I30" s="22"/>
      <c r="J30" s="26"/>
      <c r="K30" s="26"/>
      <c r="L30" s="41"/>
    </row>
    <row r="31" spans="1:12">
      <c r="A31">
        <v>42</v>
      </c>
      <c r="B31" s="18" t="s">
        <v>41</v>
      </c>
      <c r="C31" s="19" t="s">
        <v>526</v>
      </c>
      <c r="D31" s="1">
        <f t="shared" si="0"/>
        <v>8500</v>
      </c>
      <c r="E31" s="1">
        <v>8500</v>
      </c>
      <c r="F31" s="1">
        <v>1</v>
      </c>
      <c r="G31" s="22">
        <v>1</v>
      </c>
      <c r="H31" s="41"/>
      <c r="I31" s="22"/>
      <c r="J31" s="26"/>
      <c r="K31" s="26"/>
      <c r="L31" s="41"/>
    </row>
    <row r="32" spans="1:12">
      <c r="A32">
        <v>53</v>
      </c>
      <c r="B32" s="18" t="s">
        <v>41</v>
      </c>
      <c r="C32" s="19" t="s">
        <v>606</v>
      </c>
      <c r="D32" s="1">
        <f t="shared" ref="D32:D35" si="1">E32*F32*G32</f>
        <v>600000</v>
      </c>
      <c r="E32" s="1">
        <v>600</v>
      </c>
      <c r="F32" s="1">
        <v>10000</v>
      </c>
      <c r="G32" s="22">
        <v>0.1</v>
      </c>
      <c r="H32" s="41">
        <f>SUM(D32:D35)</f>
        <v>1433600</v>
      </c>
      <c r="J32" s="21"/>
      <c r="L32" s="41"/>
    </row>
    <row r="33" spans="1:12">
      <c r="A33">
        <v>54</v>
      </c>
      <c r="B33" s="18" t="s">
        <v>41</v>
      </c>
      <c r="C33" s="19" t="s">
        <v>607</v>
      </c>
      <c r="D33" s="1">
        <f t="shared" si="1"/>
        <v>810000</v>
      </c>
      <c r="E33" s="1">
        <v>900</v>
      </c>
      <c r="F33" s="1">
        <v>10000</v>
      </c>
      <c r="G33" s="22">
        <v>0.09</v>
      </c>
      <c r="H33" s="41"/>
      <c r="J33" s="39"/>
      <c r="K33" s="39"/>
      <c r="L33" s="39"/>
    </row>
    <row r="34" spans="1:12">
      <c r="A34">
        <v>55</v>
      </c>
      <c r="B34" s="18" t="s">
        <v>41</v>
      </c>
      <c r="C34" s="19" t="s">
        <v>608</v>
      </c>
      <c r="D34" s="1">
        <f t="shared" si="1"/>
        <v>11800</v>
      </c>
      <c r="E34" s="1">
        <v>11800</v>
      </c>
      <c r="F34" s="1">
        <v>1</v>
      </c>
      <c r="G34" s="22">
        <v>1</v>
      </c>
      <c r="H34" s="41"/>
      <c r="J34" s="39"/>
      <c r="K34" s="39"/>
      <c r="L34" s="39"/>
    </row>
    <row r="35" spans="1:12">
      <c r="A35">
        <v>56</v>
      </c>
      <c r="B35" s="18" t="s">
        <v>41</v>
      </c>
      <c r="C35" s="19" t="s">
        <v>609</v>
      </c>
      <c r="D35" s="1">
        <f t="shared" si="1"/>
        <v>11800</v>
      </c>
      <c r="E35" s="1">
        <v>11800</v>
      </c>
      <c r="F35" s="1">
        <v>1</v>
      </c>
      <c r="G35" s="22">
        <v>1</v>
      </c>
      <c r="H35" s="41"/>
      <c r="J35" s="39"/>
      <c r="K35" s="39"/>
      <c r="L35" s="39"/>
    </row>
    <row r="36" spans="1:12">
      <c r="A36"/>
      <c r="B36"/>
      <c r="C36" s="19"/>
      <c r="J36" s="21"/>
    </row>
    <row r="37" spans="1:12">
      <c r="A37"/>
      <c r="B37"/>
      <c r="C37" s="19"/>
      <c r="J37" s="21"/>
    </row>
    <row r="38" spans="1:12">
      <c r="A38"/>
      <c r="B38"/>
      <c r="C38" s="19"/>
      <c r="J38" s="21"/>
    </row>
    <row r="39" spans="1:12">
      <c r="A39"/>
      <c r="B39"/>
      <c r="C39" s="19"/>
      <c r="J39" s="21"/>
    </row>
    <row r="40" spans="1:12">
      <c r="A40">
        <v>13</v>
      </c>
      <c r="B40" s="18" t="s">
        <v>42</v>
      </c>
      <c r="C40" s="19" t="str">
        <f>Sheet1!E16</f>
        <v>杀死%d个分布在幽冥海四层的毒魔</v>
      </c>
      <c r="D40" s="1">
        <v>30000</v>
      </c>
      <c r="J40" s="21"/>
    </row>
    <row r="41" spans="1:12">
      <c r="A41">
        <v>17</v>
      </c>
      <c r="B41" s="18" t="s">
        <v>42</v>
      </c>
      <c r="C41" s="19" t="str">
        <f>Sheet1!E20</f>
        <v>在皇室宝库里杀死%d个宝库大盗</v>
      </c>
      <c r="D41" s="1">
        <v>30000</v>
      </c>
      <c r="J41" s="21"/>
    </row>
    <row r="42" spans="1:12">
      <c r="A42">
        <v>18</v>
      </c>
      <c r="B42" s="18" t="s">
        <v>42</v>
      </c>
      <c r="C42" s="19" t="str">
        <f>Sheet1!E21</f>
        <v>杀死%d个虹魔教主身边的白野猪暴徒</v>
      </c>
      <c r="D42" s="1">
        <v>40000</v>
      </c>
      <c r="J42" s="21"/>
    </row>
    <row r="43" spans="1:12">
      <c r="A43">
        <v>24</v>
      </c>
      <c r="B43" s="18" t="s">
        <v>42</v>
      </c>
      <c r="C43" s="19" t="str">
        <f>Sheet1!E27</f>
        <v>杀死%d个祖玛教主身边的邪箭弓手</v>
      </c>
      <c r="D43" s="1">
        <v>50000</v>
      </c>
    </row>
    <row r="44" spans="1:12">
      <c r="A44">
        <v>25</v>
      </c>
      <c r="B44" s="18" t="s">
        <v>42</v>
      </c>
      <c r="C44" s="19" t="s">
        <v>486</v>
      </c>
      <c r="D44" s="1">
        <f>D19*4</f>
        <v>16000</v>
      </c>
      <c r="J44" s="21"/>
    </row>
    <row r="45" spans="1:12">
      <c r="A45">
        <v>30</v>
      </c>
      <c r="B45" s="18" t="s">
        <v>42</v>
      </c>
      <c r="C45" s="19" t="s">
        <v>489</v>
      </c>
      <c r="D45" s="1">
        <f>D22*4</f>
        <v>18000</v>
      </c>
      <c r="J45" s="21"/>
    </row>
    <row r="46" spans="1:12">
      <c r="A46">
        <v>36</v>
      </c>
      <c r="B46" s="18" t="s">
        <v>42</v>
      </c>
      <c r="C46" s="19" t="s">
        <v>492</v>
      </c>
      <c r="D46" s="1">
        <f>D26*4</f>
        <v>24000</v>
      </c>
      <c r="J46" s="21"/>
    </row>
    <row r="47" spans="1:12">
      <c r="A47">
        <v>37</v>
      </c>
      <c r="B47" s="18" t="s">
        <v>42</v>
      </c>
      <c r="C47" s="19" t="s">
        <v>493</v>
      </c>
      <c r="D47" s="1">
        <f>D26*4</f>
        <v>24000</v>
      </c>
    </row>
    <row r="48" spans="1:12">
      <c r="A48">
        <v>43</v>
      </c>
      <c r="B48" s="18" t="s">
        <v>42</v>
      </c>
      <c r="C48" s="19" t="s">
        <v>521</v>
      </c>
      <c r="D48" s="1">
        <f>D30*4</f>
        <v>34000</v>
      </c>
      <c r="J48" s="26"/>
      <c r="K48" s="26"/>
    </row>
    <row r="49" spans="1:11">
      <c r="A49">
        <v>44</v>
      </c>
      <c r="B49" s="18" t="s">
        <v>42</v>
      </c>
      <c r="C49" s="19" t="s">
        <v>522</v>
      </c>
      <c r="D49" s="1">
        <f>D30*4</f>
        <v>34000</v>
      </c>
      <c r="J49" s="26"/>
      <c r="K49" s="26"/>
    </row>
    <row r="50" spans="1:11">
      <c r="A50">
        <v>19</v>
      </c>
      <c r="B50" t="s">
        <v>41</v>
      </c>
      <c r="C50" s="19" t="s">
        <v>483</v>
      </c>
      <c r="D50" s="1">
        <v>20000</v>
      </c>
    </row>
    <row r="51" spans="1:11">
      <c r="A51">
        <v>26</v>
      </c>
      <c r="B51" s="18" t="s">
        <v>41</v>
      </c>
      <c r="C51" s="19" t="s">
        <v>387</v>
      </c>
      <c r="D51" s="1">
        <v>35000</v>
      </c>
    </row>
    <row r="52" spans="1:11">
      <c r="A52">
        <v>31</v>
      </c>
      <c r="B52" s="18" t="s">
        <v>41</v>
      </c>
      <c r="C52" s="19" t="s">
        <v>388</v>
      </c>
      <c r="D52" s="1">
        <f>D45*2</f>
        <v>36000</v>
      </c>
    </row>
    <row r="53" spans="1:11">
      <c r="A53">
        <v>38</v>
      </c>
      <c r="B53" t="s">
        <v>41</v>
      </c>
      <c r="C53" s="19" t="s">
        <v>389</v>
      </c>
      <c r="D53" s="1">
        <v>50000</v>
      </c>
      <c r="J53" s="1"/>
      <c r="K53" s="1"/>
    </row>
    <row r="54" spans="1:11">
      <c r="A54">
        <v>45</v>
      </c>
      <c r="B54" s="18" t="s">
        <v>41</v>
      </c>
      <c r="C54" s="19" t="s">
        <v>527</v>
      </c>
      <c r="D54" s="1">
        <v>70000</v>
      </c>
    </row>
    <row r="55" spans="1:11">
      <c r="A55" s="1">
        <v>57</v>
      </c>
      <c r="B55" s="18" t="s">
        <v>41</v>
      </c>
      <c r="C55" s="19" t="s">
        <v>604</v>
      </c>
      <c r="D55" s="1">
        <v>95000</v>
      </c>
    </row>
  </sheetData>
  <mergeCells count="37">
    <mergeCell ref="H32:H35"/>
    <mergeCell ref="H21:H23"/>
    <mergeCell ref="H24:H27"/>
    <mergeCell ref="H28:H31"/>
    <mergeCell ref="H2:H3"/>
    <mergeCell ref="H4:H12"/>
    <mergeCell ref="H13:H16"/>
    <mergeCell ref="H17:H20"/>
    <mergeCell ref="L9:L16"/>
    <mergeCell ref="J26:J27"/>
    <mergeCell ref="J24:J25"/>
    <mergeCell ref="K24:K25"/>
    <mergeCell ref="K26:K27"/>
    <mergeCell ref="K17:K18"/>
    <mergeCell ref="K19:K20"/>
    <mergeCell ref="J13:J14"/>
    <mergeCell ref="J2:J3"/>
    <mergeCell ref="K7:K8"/>
    <mergeCell ref="K5:K6"/>
    <mergeCell ref="J5:J6"/>
    <mergeCell ref="J7:J8"/>
    <mergeCell ref="L28:L32"/>
    <mergeCell ref="L2:L3"/>
    <mergeCell ref="J11:J12"/>
    <mergeCell ref="K11:K12"/>
    <mergeCell ref="J15:J16"/>
    <mergeCell ref="K15:K16"/>
    <mergeCell ref="K2:K3"/>
    <mergeCell ref="K22:K23"/>
    <mergeCell ref="J17:J18"/>
    <mergeCell ref="J19:J20"/>
    <mergeCell ref="J22:J23"/>
    <mergeCell ref="J9:J10"/>
    <mergeCell ref="K9:K10"/>
    <mergeCell ref="L17:L27"/>
    <mergeCell ref="L4:L8"/>
    <mergeCell ref="K13:K1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"/>
  <sheetViews>
    <sheetView topLeftCell="A7" workbookViewId="0">
      <selection activeCell="F42" sqref="F42:F43"/>
    </sheetView>
  </sheetViews>
  <sheetFormatPr defaultRowHeight="13.5"/>
  <cols>
    <col min="5" max="5" width="34" bestFit="1" customWidth="1"/>
    <col min="6" max="6" width="42" bestFit="1" customWidth="1"/>
  </cols>
  <sheetData>
    <row r="1" spans="1:41">
      <c r="A1">
        <v>1</v>
      </c>
      <c r="B1" s="1">
        <v>801</v>
      </c>
      <c r="C1">
        <v>0</v>
      </c>
      <c r="D1">
        <v>0</v>
      </c>
      <c r="E1" s="19" t="s">
        <v>296</v>
      </c>
      <c r="F1" s="1" t="s">
        <v>339</v>
      </c>
      <c r="G1" s="18">
        <v>0</v>
      </c>
      <c r="H1" s="18">
        <v>3</v>
      </c>
      <c r="I1" s="18">
        <v>2</v>
      </c>
      <c r="J1" s="16" t="s">
        <v>50</v>
      </c>
      <c r="K1" s="17">
        <v>10</v>
      </c>
      <c r="L1">
        <v>10</v>
      </c>
      <c r="M1">
        <v>10</v>
      </c>
      <c r="N1" s="16" t="s">
        <v>51</v>
      </c>
      <c r="O1" s="16">
        <v>50</v>
      </c>
      <c r="Q1">
        <v>20</v>
      </c>
      <c r="R1" s="16" t="s">
        <v>52</v>
      </c>
      <c r="S1" s="16">
        <v>100</v>
      </c>
      <c r="T1">
        <v>0</v>
      </c>
      <c r="U1">
        <v>30</v>
      </c>
      <c r="V1" s="16" t="s">
        <v>53</v>
      </c>
      <c r="W1" s="16">
        <v>500</v>
      </c>
      <c r="X1">
        <v>0</v>
      </c>
      <c r="Y1">
        <v>40</v>
      </c>
      <c r="Z1" s="16" t="s">
        <v>54</v>
      </c>
      <c r="AA1" s="16">
        <v>1000</v>
      </c>
      <c r="AB1">
        <v>0</v>
      </c>
      <c r="AC1">
        <v>50</v>
      </c>
      <c r="AD1" s="16" t="s">
        <v>55</v>
      </c>
      <c r="AE1" s="16">
        <v>2000</v>
      </c>
      <c r="AF1">
        <v>0</v>
      </c>
      <c r="AG1">
        <v>0</v>
      </c>
      <c r="AH1" s="16" t="s">
        <v>56</v>
      </c>
      <c r="AI1" s="17">
        <v>5000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</row>
    <row r="2" spans="1:41">
      <c r="A2">
        <v>2</v>
      </c>
      <c r="B2" s="2">
        <v>802</v>
      </c>
      <c r="C2">
        <v>0</v>
      </c>
      <c r="D2">
        <v>0</v>
      </c>
      <c r="E2" s="19" t="s">
        <v>297</v>
      </c>
      <c r="F2" s="2" t="s">
        <v>340</v>
      </c>
      <c r="G2" s="18">
        <v>0</v>
      </c>
      <c r="H2" s="18">
        <v>3</v>
      </c>
      <c r="I2" s="18">
        <v>2</v>
      </c>
      <c r="J2" t="s">
        <v>57</v>
      </c>
      <c r="K2" s="17">
        <v>10</v>
      </c>
      <c r="L2">
        <v>10</v>
      </c>
      <c r="M2">
        <v>10</v>
      </c>
      <c r="N2" t="s">
        <v>58</v>
      </c>
      <c r="O2" s="16">
        <v>50</v>
      </c>
      <c r="Q2">
        <v>20</v>
      </c>
      <c r="R2" t="s">
        <v>59</v>
      </c>
      <c r="S2" s="16">
        <v>100</v>
      </c>
      <c r="T2">
        <v>0</v>
      </c>
      <c r="U2">
        <v>30</v>
      </c>
      <c r="V2" t="s">
        <v>60</v>
      </c>
      <c r="W2" s="16">
        <v>500</v>
      </c>
      <c r="X2">
        <v>0</v>
      </c>
      <c r="Y2">
        <v>40</v>
      </c>
      <c r="Z2" t="s">
        <v>61</v>
      </c>
      <c r="AA2" s="16">
        <v>1000</v>
      </c>
      <c r="AB2">
        <v>0</v>
      </c>
      <c r="AC2">
        <v>50</v>
      </c>
      <c r="AD2" t="s">
        <v>62</v>
      </c>
      <c r="AE2" s="16">
        <v>2000</v>
      </c>
      <c r="AF2">
        <v>0</v>
      </c>
      <c r="AG2">
        <v>0</v>
      </c>
      <c r="AH2" t="s">
        <v>63</v>
      </c>
      <c r="AI2" s="17">
        <v>5000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>
        <v>3</v>
      </c>
      <c r="B3" s="1">
        <v>823</v>
      </c>
      <c r="C3">
        <v>0</v>
      </c>
      <c r="D3">
        <v>0</v>
      </c>
      <c r="E3" s="19" t="s">
        <v>298</v>
      </c>
      <c r="F3" s="1" t="s">
        <v>341</v>
      </c>
      <c r="G3" s="18">
        <v>0</v>
      </c>
      <c r="H3" s="18">
        <v>3</v>
      </c>
      <c r="I3" s="18">
        <v>2</v>
      </c>
      <c r="J3" t="s">
        <v>64</v>
      </c>
      <c r="K3" s="17">
        <v>10</v>
      </c>
      <c r="L3">
        <v>10</v>
      </c>
      <c r="M3">
        <v>10</v>
      </c>
      <c r="N3" t="s">
        <v>65</v>
      </c>
      <c r="O3" s="16">
        <v>50</v>
      </c>
      <c r="Q3">
        <v>20</v>
      </c>
      <c r="R3" t="s">
        <v>66</v>
      </c>
      <c r="S3" s="16">
        <v>100</v>
      </c>
      <c r="T3">
        <v>0</v>
      </c>
      <c r="U3">
        <v>30</v>
      </c>
      <c r="V3" t="s">
        <v>67</v>
      </c>
      <c r="W3" s="16">
        <v>500</v>
      </c>
      <c r="X3">
        <v>0</v>
      </c>
      <c r="Y3">
        <v>40</v>
      </c>
      <c r="Z3" t="s">
        <v>68</v>
      </c>
      <c r="AA3" s="16">
        <v>1000</v>
      </c>
      <c r="AB3">
        <v>0</v>
      </c>
      <c r="AC3">
        <v>50</v>
      </c>
      <c r="AD3" t="s">
        <v>69</v>
      </c>
      <c r="AE3" s="16">
        <v>2000</v>
      </c>
      <c r="AF3">
        <v>0</v>
      </c>
      <c r="AG3">
        <v>0</v>
      </c>
      <c r="AH3" t="s">
        <v>70</v>
      </c>
      <c r="AI3" s="17">
        <v>5000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>
        <v>4</v>
      </c>
      <c r="B4" s="2">
        <v>803</v>
      </c>
      <c r="C4">
        <v>0</v>
      </c>
      <c r="D4">
        <v>0</v>
      </c>
      <c r="E4" s="19" t="s">
        <v>299</v>
      </c>
      <c r="F4" s="2" t="s">
        <v>342</v>
      </c>
      <c r="G4" s="18">
        <v>0</v>
      </c>
      <c r="H4" s="18">
        <v>3</v>
      </c>
      <c r="I4" s="18">
        <v>2</v>
      </c>
      <c r="J4" t="s">
        <v>71</v>
      </c>
      <c r="K4" s="17">
        <v>10</v>
      </c>
      <c r="L4">
        <v>10</v>
      </c>
      <c r="M4">
        <v>10</v>
      </c>
      <c r="N4" t="s">
        <v>72</v>
      </c>
      <c r="O4" s="16">
        <v>50</v>
      </c>
      <c r="Q4">
        <v>20</v>
      </c>
      <c r="R4" t="s">
        <v>73</v>
      </c>
      <c r="S4" s="16">
        <v>100</v>
      </c>
      <c r="T4">
        <v>0</v>
      </c>
      <c r="U4">
        <v>30</v>
      </c>
      <c r="V4" t="s">
        <v>74</v>
      </c>
      <c r="W4" s="16">
        <v>500</v>
      </c>
      <c r="X4">
        <v>0</v>
      </c>
      <c r="Y4">
        <v>40</v>
      </c>
      <c r="Z4" t="s">
        <v>75</v>
      </c>
      <c r="AA4" s="16">
        <v>1000</v>
      </c>
      <c r="AB4">
        <v>0</v>
      </c>
      <c r="AC4">
        <v>50</v>
      </c>
      <c r="AD4" t="s">
        <v>76</v>
      </c>
      <c r="AE4" s="16">
        <v>2000</v>
      </c>
      <c r="AF4">
        <v>0</v>
      </c>
      <c r="AG4">
        <v>0</v>
      </c>
      <c r="AH4" t="s">
        <v>77</v>
      </c>
      <c r="AI4" s="17">
        <v>5000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>
        <v>5</v>
      </c>
      <c r="B5" s="1">
        <v>804</v>
      </c>
      <c r="C5">
        <v>0</v>
      </c>
      <c r="D5">
        <v>0</v>
      </c>
      <c r="E5" s="19" t="s">
        <v>300</v>
      </c>
      <c r="F5" s="1" t="s">
        <v>343</v>
      </c>
      <c r="G5" s="18">
        <v>0</v>
      </c>
      <c r="H5" s="18">
        <v>3</v>
      </c>
      <c r="I5" s="18">
        <v>2</v>
      </c>
      <c r="J5" t="s">
        <v>78</v>
      </c>
      <c r="K5" s="17">
        <v>10</v>
      </c>
      <c r="L5">
        <v>10</v>
      </c>
      <c r="M5">
        <v>10</v>
      </c>
      <c r="N5" t="s">
        <v>79</v>
      </c>
      <c r="O5" s="16">
        <v>50</v>
      </c>
      <c r="Q5">
        <v>20</v>
      </c>
      <c r="R5" t="s">
        <v>80</v>
      </c>
      <c r="S5" s="16">
        <v>100</v>
      </c>
      <c r="T5">
        <v>0</v>
      </c>
      <c r="U5">
        <v>30</v>
      </c>
      <c r="V5" t="s">
        <v>81</v>
      </c>
      <c r="W5" s="16">
        <v>500</v>
      </c>
      <c r="X5">
        <v>0</v>
      </c>
      <c r="Y5">
        <v>40</v>
      </c>
      <c r="Z5" t="s">
        <v>82</v>
      </c>
      <c r="AA5" s="16">
        <v>1000</v>
      </c>
      <c r="AB5">
        <v>0</v>
      </c>
      <c r="AC5">
        <v>50</v>
      </c>
      <c r="AD5" t="s">
        <v>83</v>
      </c>
      <c r="AE5" s="16">
        <v>2000</v>
      </c>
      <c r="AF5">
        <v>0</v>
      </c>
      <c r="AG5">
        <v>0</v>
      </c>
      <c r="AH5" t="s">
        <v>84</v>
      </c>
      <c r="AI5" s="17">
        <v>5000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>
        <v>6</v>
      </c>
      <c r="B6" s="1">
        <v>821</v>
      </c>
      <c r="C6">
        <v>0</v>
      </c>
      <c r="D6">
        <v>0</v>
      </c>
      <c r="E6" s="19" t="s">
        <v>301</v>
      </c>
      <c r="F6" s="1" t="s">
        <v>344</v>
      </c>
      <c r="G6" s="18">
        <v>0</v>
      </c>
      <c r="H6" s="18">
        <v>3</v>
      </c>
      <c r="I6" s="18">
        <v>2</v>
      </c>
      <c r="J6" t="s">
        <v>85</v>
      </c>
      <c r="K6" s="17">
        <v>10</v>
      </c>
      <c r="L6">
        <v>10</v>
      </c>
      <c r="M6">
        <v>10</v>
      </c>
      <c r="N6" t="s">
        <v>86</v>
      </c>
      <c r="O6" s="16">
        <v>50</v>
      </c>
      <c r="Q6">
        <v>20</v>
      </c>
      <c r="R6" t="s">
        <v>87</v>
      </c>
      <c r="S6" s="16">
        <v>100</v>
      </c>
      <c r="T6">
        <v>0</v>
      </c>
      <c r="U6">
        <v>30</v>
      </c>
      <c r="V6" t="s">
        <v>88</v>
      </c>
      <c r="W6" s="16">
        <v>500</v>
      </c>
      <c r="X6">
        <v>0</v>
      </c>
      <c r="Y6">
        <v>40</v>
      </c>
      <c r="Z6" t="s">
        <v>89</v>
      </c>
      <c r="AA6" s="16">
        <v>1000</v>
      </c>
      <c r="AB6">
        <v>0</v>
      </c>
      <c r="AC6">
        <v>50</v>
      </c>
      <c r="AD6" t="s">
        <v>90</v>
      </c>
      <c r="AE6" s="16">
        <v>2000</v>
      </c>
      <c r="AF6">
        <v>0</v>
      </c>
      <c r="AG6">
        <v>0</v>
      </c>
      <c r="AH6" t="s">
        <v>91</v>
      </c>
      <c r="AI6" s="17">
        <v>5000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>
        <v>7</v>
      </c>
      <c r="B7" s="3">
        <v>855</v>
      </c>
      <c r="C7">
        <v>0</v>
      </c>
      <c r="D7">
        <v>0</v>
      </c>
      <c r="E7" s="19" t="s">
        <v>302</v>
      </c>
      <c r="F7" s="3" t="s">
        <v>339</v>
      </c>
      <c r="G7" s="18">
        <v>0</v>
      </c>
      <c r="H7" s="18">
        <v>3</v>
      </c>
      <c r="I7" s="18">
        <v>3</v>
      </c>
      <c r="J7" t="s">
        <v>50</v>
      </c>
      <c r="K7" s="17">
        <v>10</v>
      </c>
      <c r="L7">
        <v>10</v>
      </c>
      <c r="M7">
        <v>10</v>
      </c>
      <c r="N7" t="s">
        <v>51</v>
      </c>
      <c r="O7" s="16">
        <v>50</v>
      </c>
      <c r="Q7">
        <v>20</v>
      </c>
      <c r="R7" t="s">
        <v>52</v>
      </c>
      <c r="S7" s="16">
        <v>100</v>
      </c>
      <c r="T7">
        <v>0</v>
      </c>
      <c r="U7">
        <v>30</v>
      </c>
      <c r="V7" t="s">
        <v>53</v>
      </c>
      <c r="W7" s="16">
        <v>500</v>
      </c>
      <c r="X7">
        <v>0</v>
      </c>
      <c r="Y7">
        <v>40</v>
      </c>
      <c r="Z7" t="s">
        <v>54</v>
      </c>
      <c r="AA7" s="16">
        <v>1000</v>
      </c>
      <c r="AB7">
        <v>0</v>
      </c>
      <c r="AC7">
        <v>50</v>
      </c>
      <c r="AD7" t="s">
        <v>55</v>
      </c>
      <c r="AE7" s="16">
        <v>2000</v>
      </c>
      <c r="AF7">
        <v>0</v>
      </c>
      <c r="AG7">
        <v>0</v>
      </c>
      <c r="AH7" t="s">
        <v>56</v>
      </c>
      <c r="AI7" s="17">
        <v>5000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>
        <v>8</v>
      </c>
      <c r="B8" s="3">
        <v>856</v>
      </c>
      <c r="C8">
        <v>0</v>
      </c>
      <c r="D8">
        <v>0</v>
      </c>
      <c r="E8" s="19" t="s">
        <v>303</v>
      </c>
      <c r="F8" s="3" t="s">
        <v>340</v>
      </c>
      <c r="G8" s="18">
        <v>0</v>
      </c>
      <c r="H8" s="18">
        <v>3</v>
      </c>
      <c r="I8" s="18">
        <v>3</v>
      </c>
      <c r="J8" t="s">
        <v>57</v>
      </c>
      <c r="K8" s="17">
        <v>10</v>
      </c>
      <c r="L8">
        <v>10</v>
      </c>
      <c r="M8">
        <v>10</v>
      </c>
      <c r="N8" t="s">
        <v>58</v>
      </c>
      <c r="O8" s="16">
        <v>50</v>
      </c>
      <c r="Q8">
        <v>20</v>
      </c>
      <c r="R8" t="s">
        <v>59</v>
      </c>
      <c r="S8" s="16">
        <v>100</v>
      </c>
      <c r="T8">
        <v>0</v>
      </c>
      <c r="U8">
        <v>30</v>
      </c>
      <c r="V8" t="s">
        <v>60</v>
      </c>
      <c r="W8" s="16">
        <v>500</v>
      </c>
      <c r="X8">
        <v>0</v>
      </c>
      <c r="Y8">
        <v>40</v>
      </c>
      <c r="Z8" t="s">
        <v>61</v>
      </c>
      <c r="AA8" s="16">
        <v>1000</v>
      </c>
      <c r="AB8">
        <v>0</v>
      </c>
      <c r="AC8">
        <v>50</v>
      </c>
      <c r="AD8" t="s">
        <v>62</v>
      </c>
      <c r="AE8" s="16">
        <v>2000</v>
      </c>
      <c r="AF8">
        <v>0</v>
      </c>
      <c r="AG8">
        <v>0</v>
      </c>
      <c r="AH8" t="s">
        <v>63</v>
      </c>
      <c r="AI8" s="17">
        <v>5000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9</v>
      </c>
      <c r="B9" s="3">
        <v>873</v>
      </c>
      <c r="C9">
        <v>0</v>
      </c>
      <c r="D9">
        <v>0</v>
      </c>
      <c r="E9" s="19" t="s">
        <v>304</v>
      </c>
      <c r="F9" s="3" t="s">
        <v>341</v>
      </c>
      <c r="G9" s="18">
        <v>0</v>
      </c>
      <c r="H9" s="18">
        <v>3</v>
      </c>
      <c r="I9" s="18">
        <v>3</v>
      </c>
      <c r="J9" t="s">
        <v>64</v>
      </c>
      <c r="K9" s="17">
        <v>10</v>
      </c>
      <c r="L9">
        <v>10</v>
      </c>
      <c r="M9">
        <v>10</v>
      </c>
      <c r="N9" t="s">
        <v>65</v>
      </c>
      <c r="O9" s="16">
        <v>50</v>
      </c>
      <c r="Q9">
        <v>20</v>
      </c>
      <c r="R9" t="s">
        <v>66</v>
      </c>
      <c r="S9" s="16">
        <v>100</v>
      </c>
      <c r="T9">
        <v>0</v>
      </c>
      <c r="U9">
        <v>30</v>
      </c>
      <c r="V9" t="s">
        <v>67</v>
      </c>
      <c r="W9" s="16">
        <v>500</v>
      </c>
      <c r="X9">
        <v>0</v>
      </c>
      <c r="Y9">
        <v>40</v>
      </c>
      <c r="Z9" t="s">
        <v>68</v>
      </c>
      <c r="AA9" s="16">
        <v>1000</v>
      </c>
      <c r="AB9">
        <v>0</v>
      </c>
      <c r="AC9">
        <v>50</v>
      </c>
      <c r="AD9" t="s">
        <v>69</v>
      </c>
      <c r="AE9" s="16">
        <v>2000</v>
      </c>
      <c r="AF9">
        <v>0</v>
      </c>
      <c r="AG9">
        <v>0</v>
      </c>
      <c r="AH9" t="s">
        <v>70</v>
      </c>
      <c r="AI9" s="17">
        <v>5000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>
        <v>10</v>
      </c>
      <c r="B10" s="3">
        <v>857</v>
      </c>
      <c r="C10">
        <v>0</v>
      </c>
      <c r="D10">
        <v>0</v>
      </c>
      <c r="E10" s="19" t="s">
        <v>305</v>
      </c>
      <c r="F10" s="3" t="s">
        <v>342</v>
      </c>
      <c r="G10" s="18">
        <v>0</v>
      </c>
      <c r="H10" s="18">
        <v>3</v>
      </c>
      <c r="I10" s="18">
        <v>3</v>
      </c>
      <c r="J10" t="s">
        <v>71</v>
      </c>
      <c r="K10" s="17">
        <v>10</v>
      </c>
      <c r="L10">
        <v>10</v>
      </c>
      <c r="M10">
        <v>10</v>
      </c>
      <c r="N10" t="s">
        <v>72</v>
      </c>
      <c r="O10" s="16">
        <v>50</v>
      </c>
      <c r="Q10">
        <v>20</v>
      </c>
      <c r="R10" t="s">
        <v>73</v>
      </c>
      <c r="S10" s="16">
        <v>100</v>
      </c>
      <c r="T10">
        <v>0</v>
      </c>
      <c r="U10">
        <v>30</v>
      </c>
      <c r="V10" t="s">
        <v>74</v>
      </c>
      <c r="W10" s="16">
        <v>500</v>
      </c>
      <c r="X10">
        <v>0</v>
      </c>
      <c r="Y10">
        <v>40</v>
      </c>
      <c r="Z10" t="s">
        <v>75</v>
      </c>
      <c r="AA10" s="16">
        <v>1000</v>
      </c>
      <c r="AB10">
        <v>0</v>
      </c>
      <c r="AC10">
        <v>50</v>
      </c>
      <c r="AD10" t="s">
        <v>76</v>
      </c>
      <c r="AE10" s="16">
        <v>2000</v>
      </c>
      <c r="AF10">
        <v>0</v>
      </c>
      <c r="AG10">
        <v>0</v>
      </c>
      <c r="AH10" t="s">
        <v>77</v>
      </c>
      <c r="AI10" s="17">
        <v>5000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>
        <v>11</v>
      </c>
      <c r="B11" s="3">
        <v>858</v>
      </c>
      <c r="C11">
        <v>0</v>
      </c>
      <c r="D11">
        <v>0</v>
      </c>
      <c r="E11" s="19" t="s">
        <v>306</v>
      </c>
      <c r="F11" s="3" t="s">
        <v>343</v>
      </c>
      <c r="G11" s="18">
        <v>0</v>
      </c>
      <c r="H11" s="18">
        <v>3</v>
      </c>
      <c r="I11" s="18">
        <v>3</v>
      </c>
      <c r="J11" t="s">
        <v>78</v>
      </c>
      <c r="K11" s="17">
        <v>10</v>
      </c>
      <c r="L11">
        <v>10</v>
      </c>
      <c r="M11">
        <v>10</v>
      </c>
      <c r="N11" t="s">
        <v>79</v>
      </c>
      <c r="O11" s="16">
        <v>50</v>
      </c>
      <c r="Q11">
        <v>20</v>
      </c>
      <c r="R11" t="s">
        <v>80</v>
      </c>
      <c r="S11" s="16">
        <v>100</v>
      </c>
      <c r="T11">
        <v>0</v>
      </c>
      <c r="U11">
        <v>30</v>
      </c>
      <c r="V11" t="s">
        <v>81</v>
      </c>
      <c r="W11" s="16">
        <v>500</v>
      </c>
      <c r="X11">
        <v>0</v>
      </c>
      <c r="Y11">
        <v>40</v>
      </c>
      <c r="Z11" t="s">
        <v>82</v>
      </c>
      <c r="AA11" s="16">
        <v>1000</v>
      </c>
      <c r="AB11">
        <v>0</v>
      </c>
      <c r="AC11">
        <v>50</v>
      </c>
      <c r="AD11" t="s">
        <v>83</v>
      </c>
      <c r="AE11" s="16">
        <v>2000</v>
      </c>
      <c r="AF11">
        <v>0</v>
      </c>
      <c r="AG11">
        <v>0</v>
      </c>
      <c r="AH11" t="s">
        <v>84</v>
      </c>
      <c r="AI11" s="17">
        <v>5000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>
        <v>12</v>
      </c>
      <c r="B12" s="1">
        <v>3131</v>
      </c>
      <c r="C12">
        <v>0</v>
      </c>
      <c r="D12">
        <v>0</v>
      </c>
      <c r="E12" s="19" t="s">
        <v>307</v>
      </c>
      <c r="F12" s="1" t="s">
        <v>345</v>
      </c>
      <c r="G12" s="18">
        <v>0</v>
      </c>
      <c r="H12" s="18">
        <v>3</v>
      </c>
      <c r="I12" s="18">
        <v>4</v>
      </c>
      <c r="J12" t="s">
        <v>92</v>
      </c>
      <c r="K12" s="17">
        <v>10</v>
      </c>
      <c r="L12">
        <v>10</v>
      </c>
      <c r="M12">
        <v>10</v>
      </c>
      <c r="N12" t="s">
        <v>93</v>
      </c>
      <c r="O12" s="16">
        <v>50</v>
      </c>
      <c r="Q12">
        <v>20</v>
      </c>
      <c r="R12" t="s">
        <v>94</v>
      </c>
      <c r="S12" s="16">
        <v>100</v>
      </c>
      <c r="T12">
        <v>0</v>
      </c>
      <c r="U12">
        <v>30</v>
      </c>
      <c r="V12" t="s">
        <v>95</v>
      </c>
      <c r="W12" s="16">
        <v>500</v>
      </c>
      <c r="X12">
        <v>0</v>
      </c>
      <c r="Y12">
        <v>40</v>
      </c>
      <c r="Z12" t="s">
        <v>96</v>
      </c>
      <c r="AA12" s="16">
        <v>1000</v>
      </c>
      <c r="AB12">
        <v>0</v>
      </c>
      <c r="AC12">
        <v>50</v>
      </c>
      <c r="AD12" t="s">
        <v>97</v>
      </c>
      <c r="AE12" s="16">
        <v>2000</v>
      </c>
      <c r="AF12">
        <v>0</v>
      </c>
      <c r="AG12">
        <v>0</v>
      </c>
      <c r="AH12" t="s">
        <v>98</v>
      </c>
      <c r="AI12" s="17">
        <v>5000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>
        <v>13</v>
      </c>
      <c r="B13" s="3">
        <v>3132</v>
      </c>
      <c r="C13">
        <v>0</v>
      </c>
      <c r="D13">
        <v>0</v>
      </c>
      <c r="E13" s="19" t="s">
        <v>308</v>
      </c>
      <c r="F13" s="3" t="s">
        <v>341</v>
      </c>
      <c r="G13" s="18">
        <v>0</v>
      </c>
      <c r="H13" s="18">
        <v>3</v>
      </c>
      <c r="I13" s="18">
        <v>4</v>
      </c>
      <c r="J13" t="s">
        <v>99</v>
      </c>
      <c r="K13" s="17">
        <v>10</v>
      </c>
      <c r="L13">
        <v>10</v>
      </c>
      <c r="M13">
        <v>10</v>
      </c>
      <c r="N13" t="s">
        <v>100</v>
      </c>
      <c r="O13" s="16">
        <v>50</v>
      </c>
      <c r="Q13">
        <v>20</v>
      </c>
      <c r="R13" t="s">
        <v>101</v>
      </c>
      <c r="S13" s="16">
        <v>100</v>
      </c>
      <c r="T13">
        <v>0</v>
      </c>
      <c r="U13">
        <v>30</v>
      </c>
      <c r="V13" t="s">
        <v>102</v>
      </c>
      <c r="W13" s="16">
        <v>500</v>
      </c>
      <c r="X13">
        <v>0</v>
      </c>
      <c r="Y13">
        <v>40</v>
      </c>
      <c r="Z13" t="s">
        <v>103</v>
      </c>
      <c r="AA13" s="16">
        <v>1000</v>
      </c>
      <c r="AB13">
        <v>0</v>
      </c>
      <c r="AC13">
        <v>50</v>
      </c>
      <c r="AD13" t="s">
        <v>104</v>
      </c>
      <c r="AE13" s="16">
        <v>2000</v>
      </c>
      <c r="AF13">
        <v>0</v>
      </c>
      <c r="AG13">
        <v>0</v>
      </c>
      <c r="AH13" t="s">
        <v>105</v>
      </c>
      <c r="AI13" s="17">
        <v>5000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>
        <v>14</v>
      </c>
      <c r="B14" s="3">
        <v>3133</v>
      </c>
      <c r="C14">
        <v>0</v>
      </c>
      <c r="D14">
        <v>0</v>
      </c>
      <c r="E14" s="19" t="s">
        <v>309</v>
      </c>
      <c r="F14" s="3" t="s">
        <v>344</v>
      </c>
      <c r="G14" s="18">
        <v>0</v>
      </c>
      <c r="H14" s="18">
        <v>3</v>
      </c>
      <c r="I14" s="18">
        <v>4</v>
      </c>
      <c r="J14" t="s">
        <v>106</v>
      </c>
      <c r="K14" s="17">
        <v>10</v>
      </c>
      <c r="L14">
        <v>10</v>
      </c>
      <c r="M14">
        <v>10</v>
      </c>
      <c r="N14" t="s">
        <v>107</v>
      </c>
      <c r="O14" s="16">
        <v>50</v>
      </c>
      <c r="Q14">
        <v>20</v>
      </c>
      <c r="R14" t="s">
        <v>108</v>
      </c>
      <c r="S14" s="16">
        <v>100</v>
      </c>
      <c r="T14">
        <v>0</v>
      </c>
      <c r="U14">
        <v>30</v>
      </c>
      <c r="V14" t="s">
        <v>109</v>
      </c>
      <c r="W14" s="16">
        <v>500</v>
      </c>
      <c r="X14">
        <v>0</v>
      </c>
      <c r="Y14">
        <v>40</v>
      </c>
      <c r="Z14" t="s">
        <v>110</v>
      </c>
      <c r="AA14" s="16">
        <v>1000</v>
      </c>
      <c r="AB14">
        <v>0</v>
      </c>
      <c r="AC14">
        <v>50</v>
      </c>
      <c r="AD14" t="s">
        <v>111</v>
      </c>
      <c r="AE14" s="16">
        <v>2000</v>
      </c>
      <c r="AF14">
        <v>0</v>
      </c>
      <c r="AG14">
        <v>0</v>
      </c>
      <c r="AH14" t="s">
        <v>112</v>
      </c>
      <c r="AI14" s="17">
        <v>5000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>
        <v>15</v>
      </c>
      <c r="B15" s="2">
        <v>3134</v>
      </c>
      <c r="C15">
        <v>0</v>
      </c>
      <c r="D15">
        <v>0</v>
      </c>
      <c r="E15" s="19" t="s">
        <v>310</v>
      </c>
      <c r="F15" s="2" t="s">
        <v>346</v>
      </c>
      <c r="G15" s="18">
        <v>0</v>
      </c>
      <c r="H15" s="18">
        <v>3</v>
      </c>
      <c r="I15" s="18">
        <v>4</v>
      </c>
      <c r="J15" t="s">
        <v>113</v>
      </c>
      <c r="K15" s="17">
        <v>10</v>
      </c>
      <c r="L15">
        <v>10</v>
      </c>
      <c r="M15">
        <v>10</v>
      </c>
      <c r="N15" t="s">
        <v>114</v>
      </c>
      <c r="O15" s="16">
        <v>50</v>
      </c>
      <c r="Q15">
        <v>20</v>
      </c>
      <c r="R15" t="s">
        <v>115</v>
      </c>
      <c r="S15" s="16">
        <v>100</v>
      </c>
      <c r="T15">
        <v>0</v>
      </c>
      <c r="U15">
        <v>30</v>
      </c>
      <c r="V15" t="s">
        <v>116</v>
      </c>
      <c r="W15" s="16">
        <v>500</v>
      </c>
      <c r="X15">
        <v>0</v>
      </c>
      <c r="Y15">
        <v>40</v>
      </c>
      <c r="Z15" t="s">
        <v>117</v>
      </c>
      <c r="AA15" s="16">
        <v>1000</v>
      </c>
      <c r="AB15">
        <v>0</v>
      </c>
      <c r="AC15">
        <v>50</v>
      </c>
      <c r="AD15" t="s">
        <v>118</v>
      </c>
      <c r="AE15" s="16">
        <v>2000</v>
      </c>
      <c r="AF15">
        <v>0</v>
      </c>
      <c r="AG15">
        <v>0</v>
      </c>
      <c r="AH15" t="s">
        <v>119</v>
      </c>
      <c r="AI15" s="17">
        <v>5000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>
        <v>16</v>
      </c>
      <c r="B16" s="1">
        <v>3135</v>
      </c>
      <c r="C16">
        <v>0</v>
      </c>
      <c r="D16">
        <v>0</v>
      </c>
      <c r="E16" s="19" t="s">
        <v>311</v>
      </c>
      <c r="F16" s="1" t="s">
        <v>347</v>
      </c>
      <c r="G16" s="18">
        <v>0</v>
      </c>
      <c r="H16" s="18">
        <v>3</v>
      </c>
      <c r="I16" s="18">
        <v>4</v>
      </c>
      <c r="J16" t="s">
        <v>120</v>
      </c>
      <c r="K16" s="17">
        <v>10</v>
      </c>
      <c r="L16">
        <v>10</v>
      </c>
      <c r="M16">
        <v>10</v>
      </c>
      <c r="N16" t="s">
        <v>121</v>
      </c>
      <c r="O16" s="16">
        <v>50</v>
      </c>
      <c r="Q16">
        <v>20</v>
      </c>
      <c r="R16" t="s">
        <v>122</v>
      </c>
      <c r="S16" s="16">
        <v>100</v>
      </c>
      <c r="T16">
        <v>0</v>
      </c>
      <c r="U16">
        <v>30</v>
      </c>
      <c r="V16" t="s">
        <v>123</v>
      </c>
      <c r="W16" s="16">
        <v>500</v>
      </c>
      <c r="X16">
        <v>0</v>
      </c>
      <c r="Y16">
        <v>40</v>
      </c>
      <c r="Z16" t="s">
        <v>124</v>
      </c>
      <c r="AA16" s="16">
        <v>1000</v>
      </c>
      <c r="AB16">
        <v>0</v>
      </c>
      <c r="AC16">
        <v>50</v>
      </c>
      <c r="AD16" t="s">
        <v>125</v>
      </c>
      <c r="AE16" s="16">
        <v>2000</v>
      </c>
      <c r="AF16">
        <v>0</v>
      </c>
      <c r="AG16">
        <v>0</v>
      </c>
      <c r="AH16" t="s">
        <v>126</v>
      </c>
      <c r="AI16" s="17">
        <v>5000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>
        <v>17</v>
      </c>
      <c r="B17" s="3">
        <v>922</v>
      </c>
      <c r="C17">
        <v>0</v>
      </c>
      <c r="D17">
        <v>0</v>
      </c>
      <c r="E17" s="19" t="s">
        <v>312</v>
      </c>
      <c r="F17" s="3" t="s">
        <v>342</v>
      </c>
      <c r="G17" s="18">
        <v>0</v>
      </c>
      <c r="H17" s="18">
        <v>3</v>
      </c>
      <c r="I17" s="18">
        <v>4</v>
      </c>
      <c r="J17" t="s">
        <v>71</v>
      </c>
      <c r="K17" s="17">
        <v>10</v>
      </c>
      <c r="L17">
        <v>10</v>
      </c>
      <c r="M17">
        <v>10</v>
      </c>
      <c r="N17" t="s">
        <v>72</v>
      </c>
      <c r="O17" s="16">
        <v>50</v>
      </c>
      <c r="Q17">
        <v>20</v>
      </c>
      <c r="R17" t="s">
        <v>73</v>
      </c>
      <c r="S17" s="16">
        <v>100</v>
      </c>
      <c r="T17">
        <v>0</v>
      </c>
      <c r="U17">
        <v>30</v>
      </c>
      <c r="V17" t="s">
        <v>74</v>
      </c>
      <c r="W17" s="16">
        <v>500</v>
      </c>
      <c r="X17">
        <v>0</v>
      </c>
      <c r="Y17">
        <v>40</v>
      </c>
      <c r="Z17" t="s">
        <v>75</v>
      </c>
      <c r="AA17" s="16">
        <v>1000</v>
      </c>
      <c r="AB17">
        <v>0</v>
      </c>
      <c r="AC17">
        <v>50</v>
      </c>
      <c r="AD17" t="s">
        <v>76</v>
      </c>
      <c r="AE17" s="16">
        <v>2000</v>
      </c>
      <c r="AF17">
        <v>0</v>
      </c>
      <c r="AG17">
        <v>0</v>
      </c>
      <c r="AH17" t="s">
        <v>77</v>
      </c>
      <c r="AI17" s="17">
        <v>5000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18</v>
      </c>
      <c r="B18" s="3">
        <v>923</v>
      </c>
      <c r="C18">
        <v>0</v>
      </c>
      <c r="D18">
        <v>0</v>
      </c>
      <c r="E18" s="19" t="s">
        <v>313</v>
      </c>
      <c r="F18" s="3" t="s">
        <v>343</v>
      </c>
      <c r="G18" s="18">
        <v>0</v>
      </c>
      <c r="H18" s="18">
        <v>3</v>
      </c>
      <c r="I18" s="18">
        <v>4</v>
      </c>
      <c r="J18" t="s">
        <v>78</v>
      </c>
      <c r="K18" s="17">
        <v>10</v>
      </c>
      <c r="L18">
        <v>10</v>
      </c>
      <c r="M18">
        <v>10</v>
      </c>
      <c r="N18" t="s">
        <v>79</v>
      </c>
      <c r="O18" s="16">
        <v>50</v>
      </c>
      <c r="Q18">
        <v>20</v>
      </c>
      <c r="R18" t="s">
        <v>80</v>
      </c>
      <c r="S18" s="16">
        <v>100</v>
      </c>
      <c r="T18">
        <v>0</v>
      </c>
      <c r="U18">
        <v>30</v>
      </c>
      <c r="V18" t="s">
        <v>81</v>
      </c>
      <c r="W18" s="16">
        <v>500</v>
      </c>
      <c r="X18">
        <v>0</v>
      </c>
      <c r="Y18">
        <v>40</v>
      </c>
      <c r="Z18" t="s">
        <v>82</v>
      </c>
      <c r="AA18" s="16">
        <v>1000</v>
      </c>
      <c r="AB18">
        <v>0</v>
      </c>
      <c r="AC18">
        <v>50</v>
      </c>
      <c r="AD18" t="s">
        <v>83</v>
      </c>
      <c r="AE18" s="16">
        <v>2000</v>
      </c>
      <c r="AF18">
        <v>0</v>
      </c>
      <c r="AG18">
        <v>0</v>
      </c>
      <c r="AH18" t="s">
        <v>84</v>
      </c>
      <c r="AI18" s="17">
        <v>5000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19</v>
      </c>
      <c r="B19" s="1">
        <v>961</v>
      </c>
      <c r="C19">
        <v>0</v>
      </c>
      <c r="D19">
        <v>0</v>
      </c>
      <c r="E19" s="19" t="s">
        <v>314</v>
      </c>
      <c r="F19" s="1" t="s">
        <v>348</v>
      </c>
      <c r="G19" s="18">
        <v>0</v>
      </c>
      <c r="H19" s="18">
        <v>3</v>
      </c>
      <c r="I19" s="18">
        <v>5</v>
      </c>
      <c r="J19" t="s">
        <v>373</v>
      </c>
      <c r="K19" s="17">
        <v>10</v>
      </c>
      <c r="L19">
        <v>10</v>
      </c>
      <c r="M19">
        <v>10</v>
      </c>
      <c r="N19" t="s">
        <v>127</v>
      </c>
      <c r="O19" s="16">
        <v>50</v>
      </c>
      <c r="Q19">
        <v>20</v>
      </c>
      <c r="R19" t="s">
        <v>128</v>
      </c>
      <c r="S19" s="16">
        <v>100</v>
      </c>
      <c r="T19">
        <v>0</v>
      </c>
      <c r="U19">
        <v>30</v>
      </c>
      <c r="V19" t="s">
        <v>129</v>
      </c>
      <c r="W19" s="16">
        <v>500</v>
      </c>
      <c r="X19">
        <v>0</v>
      </c>
      <c r="Y19">
        <v>40</v>
      </c>
      <c r="Z19" t="s">
        <v>130</v>
      </c>
      <c r="AA19" s="16">
        <v>1000</v>
      </c>
      <c r="AB19">
        <v>0</v>
      </c>
      <c r="AC19">
        <v>50</v>
      </c>
      <c r="AD19" t="s">
        <v>131</v>
      </c>
      <c r="AE19" s="16">
        <v>2000</v>
      </c>
      <c r="AF19">
        <v>0</v>
      </c>
      <c r="AG19">
        <v>0</v>
      </c>
      <c r="AH19" t="s">
        <v>132</v>
      </c>
      <c r="AI19" s="17">
        <v>5000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>
        <v>20</v>
      </c>
      <c r="B20" s="1">
        <v>962</v>
      </c>
      <c r="C20">
        <v>0</v>
      </c>
      <c r="D20">
        <v>0</v>
      </c>
      <c r="E20" s="19" t="s">
        <v>315</v>
      </c>
      <c r="F20" s="3" t="s">
        <v>346</v>
      </c>
      <c r="G20" s="18">
        <v>0</v>
      </c>
      <c r="H20" s="18">
        <v>3</v>
      </c>
      <c r="I20" s="18">
        <v>5</v>
      </c>
      <c r="J20" t="s">
        <v>374</v>
      </c>
      <c r="K20" s="17">
        <v>10</v>
      </c>
      <c r="L20">
        <v>10</v>
      </c>
      <c r="M20">
        <v>10</v>
      </c>
      <c r="N20" t="s">
        <v>133</v>
      </c>
      <c r="O20" s="16">
        <v>50</v>
      </c>
      <c r="Q20">
        <v>20</v>
      </c>
      <c r="R20" t="s">
        <v>134</v>
      </c>
      <c r="S20" s="16">
        <v>100</v>
      </c>
      <c r="T20">
        <v>0</v>
      </c>
      <c r="U20">
        <v>30</v>
      </c>
      <c r="V20" t="s">
        <v>135</v>
      </c>
      <c r="W20" s="16">
        <v>500</v>
      </c>
      <c r="X20">
        <v>0</v>
      </c>
      <c r="Y20">
        <v>40</v>
      </c>
      <c r="Z20" t="s">
        <v>136</v>
      </c>
      <c r="AA20" s="16">
        <v>1000</v>
      </c>
      <c r="AB20">
        <v>0</v>
      </c>
      <c r="AC20">
        <v>50</v>
      </c>
      <c r="AD20" t="s">
        <v>137</v>
      </c>
      <c r="AE20" s="16">
        <v>2000</v>
      </c>
      <c r="AF20">
        <v>0</v>
      </c>
      <c r="AG20">
        <v>0</v>
      </c>
      <c r="AH20" t="s">
        <v>138</v>
      </c>
      <c r="AI20" s="17">
        <v>5000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>
        <v>21</v>
      </c>
      <c r="B21" s="3">
        <v>970</v>
      </c>
      <c r="C21">
        <v>0</v>
      </c>
      <c r="D21">
        <v>0</v>
      </c>
      <c r="E21" s="19" t="s">
        <v>316</v>
      </c>
      <c r="F21" s="3" t="s">
        <v>349</v>
      </c>
      <c r="G21" s="18">
        <v>0</v>
      </c>
      <c r="H21" s="18">
        <v>3</v>
      </c>
      <c r="I21" s="18">
        <v>5</v>
      </c>
      <c r="J21" t="s">
        <v>139</v>
      </c>
      <c r="K21" s="17">
        <v>10</v>
      </c>
      <c r="L21">
        <v>10</v>
      </c>
      <c r="M21">
        <v>10</v>
      </c>
      <c r="N21" t="s">
        <v>140</v>
      </c>
      <c r="O21" s="16">
        <v>50</v>
      </c>
      <c r="Q21">
        <v>20</v>
      </c>
      <c r="R21" t="s">
        <v>141</v>
      </c>
      <c r="S21" s="16">
        <v>100</v>
      </c>
      <c r="T21">
        <v>0</v>
      </c>
      <c r="U21">
        <v>30</v>
      </c>
      <c r="V21" t="s">
        <v>142</v>
      </c>
      <c r="W21" s="16">
        <v>500</v>
      </c>
      <c r="X21">
        <v>0</v>
      </c>
      <c r="Y21">
        <v>40</v>
      </c>
      <c r="Z21" t="s">
        <v>143</v>
      </c>
      <c r="AA21" s="16">
        <v>1000</v>
      </c>
      <c r="AB21">
        <v>0</v>
      </c>
      <c r="AC21">
        <v>50</v>
      </c>
      <c r="AD21" t="s">
        <v>144</v>
      </c>
      <c r="AE21" s="16">
        <v>2000</v>
      </c>
      <c r="AF21">
        <v>0</v>
      </c>
      <c r="AG21">
        <v>0</v>
      </c>
      <c r="AH21" t="s">
        <v>145</v>
      </c>
      <c r="AI21" s="17">
        <v>5000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>
        <v>22</v>
      </c>
      <c r="B22" s="2">
        <v>963</v>
      </c>
      <c r="C22">
        <v>0</v>
      </c>
      <c r="D22">
        <v>0</v>
      </c>
      <c r="E22" s="19" t="s">
        <v>317</v>
      </c>
      <c r="F22" s="2" t="s">
        <v>350</v>
      </c>
      <c r="G22" s="18">
        <v>0</v>
      </c>
      <c r="H22" s="18">
        <v>3</v>
      </c>
      <c r="I22" s="18">
        <v>5</v>
      </c>
      <c r="J22" t="s">
        <v>146</v>
      </c>
      <c r="K22" s="17">
        <v>10</v>
      </c>
      <c r="L22">
        <v>10</v>
      </c>
      <c r="M22">
        <v>10</v>
      </c>
      <c r="N22" t="s">
        <v>147</v>
      </c>
      <c r="O22" s="16">
        <v>50</v>
      </c>
      <c r="Q22">
        <v>20</v>
      </c>
      <c r="R22" t="s">
        <v>148</v>
      </c>
      <c r="S22" s="16">
        <v>100</v>
      </c>
      <c r="T22">
        <v>0</v>
      </c>
      <c r="U22">
        <v>30</v>
      </c>
      <c r="V22" t="s">
        <v>149</v>
      </c>
      <c r="W22" s="16">
        <v>500</v>
      </c>
      <c r="X22">
        <v>0</v>
      </c>
      <c r="Y22">
        <v>40</v>
      </c>
      <c r="Z22" t="s">
        <v>150</v>
      </c>
      <c r="AA22" s="16">
        <v>1000</v>
      </c>
      <c r="AB22">
        <v>0</v>
      </c>
      <c r="AC22">
        <v>50</v>
      </c>
      <c r="AD22" t="s">
        <v>151</v>
      </c>
      <c r="AE22" s="16">
        <v>2000</v>
      </c>
      <c r="AF22">
        <v>0</v>
      </c>
      <c r="AG22">
        <v>0</v>
      </c>
      <c r="AH22" t="s">
        <v>152</v>
      </c>
      <c r="AI22" s="17">
        <v>5000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>
        <v>23</v>
      </c>
      <c r="B23" s="1">
        <v>964</v>
      </c>
      <c r="C23">
        <v>0</v>
      </c>
      <c r="D23">
        <v>0</v>
      </c>
      <c r="E23" s="19" t="s">
        <v>318</v>
      </c>
      <c r="F23" s="1" t="s">
        <v>351</v>
      </c>
      <c r="G23" s="18">
        <v>0</v>
      </c>
      <c r="H23" s="18">
        <v>3</v>
      </c>
      <c r="I23" s="18">
        <v>5</v>
      </c>
      <c r="J23" t="s">
        <v>153</v>
      </c>
      <c r="K23" s="17">
        <v>10</v>
      </c>
      <c r="L23">
        <v>10</v>
      </c>
      <c r="M23">
        <v>10</v>
      </c>
      <c r="N23" t="s">
        <v>154</v>
      </c>
      <c r="O23" s="16">
        <v>50</v>
      </c>
      <c r="Q23">
        <v>20</v>
      </c>
      <c r="R23" t="s">
        <v>155</v>
      </c>
      <c r="S23" s="16">
        <v>100</v>
      </c>
      <c r="T23">
        <v>0</v>
      </c>
      <c r="U23">
        <v>30</v>
      </c>
      <c r="V23" t="s">
        <v>156</v>
      </c>
      <c r="W23" s="16">
        <v>500</v>
      </c>
      <c r="X23">
        <v>0</v>
      </c>
      <c r="Y23">
        <v>40</v>
      </c>
      <c r="Z23" t="s">
        <v>157</v>
      </c>
      <c r="AA23" s="16">
        <v>1000</v>
      </c>
      <c r="AB23">
        <v>0</v>
      </c>
      <c r="AC23">
        <v>50</v>
      </c>
      <c r="AD23" t="s">
        <v>158</v>
      </c>
      <c r="AE23" s="16">
        <v>2000</v>
      </c>
      <c r="AF23">
        <v>0</v>
      </c>
      <c r="AG23">
        <v>0</v>
      </c>
      <c r="AH23" t="s">
        <v>159</v>
      </c>
      <c r="AI23" s="17">
        <v>5000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24</v>
      </c>
      <c r="B24">
        <v>0</v>
      </c>
      <c r="C24" s="2">
        <v>10006</v>
      </c>
      <c r="D24">
        <v>0</v>
      </c>
      <c r="E24" s="19" t="s">
        <v>319</v>
      </c>
      <c r="F24" s="2" t="s">
        <v>352</v>
      </c>
      <c r="G24" s="18">
        <v>0</v>
      </c>
      <c r="H24" s="18">
        <v>3</v>
      </c>
      <c r="I24" s="18">
        <v>6</v>
      </c>
      <c r="J24" t="s">
        <v>160</v>
      </c>
      <c r="K24" s="17">
        <v>10</v>
      </c>
      <c r="L24">
        <v>10</v>
      </c>
      <c r="M24">
        <v>10</v>
      </c>
      <c r="N24" t="s">
        <v>161</v>
      </c>
      <c r="O24" s="16">
        <v>50</v>
      </c>
      <c r="Q24">
        <v>20</v>
      </c>
      <c r="R24" t="s">
        <v>162</v>
      </c>
      <c r="S24" s="16">
        <v>100</v>
      </c>
      <c r="T24">
        <v>0</v>
      </c>
      <c r="U24">
        <v>30</v>
      </c>
      <c r="V24" t="s">
        <v>163</v>
      </c>
      <c r="W24" s="16">
        <v>500</v>
      </c>
      <c r="X24">
        <v>0</v>
      </c>
      <c r="Y24">
        <v>40</v>
      </c>
      <c r="Z24" t="s">
        <v>164</v>
      </c>
      <c r="AA24" s="16">
        <v>1000</v>
      </c>
      <c r="AB24">
        <v>0</v>
      </c>
      <c r="AC24">
        <v>50</v>
      </c>
      <c r="AD24" t="s">
        <v>165</v>
      </c>
      <c r="AE24" s="16">
        <v>2000</v>
      </c>
      <c r="AF24">
        <v>0</v>
      </c>
      <c r="AG24">
        <v>0</v>
      </c>
      <c r="AH24" t="s">
        <v>166</v>
      </c>
      <c r="AI24" s="17">
        <v>5000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>
        <v>25</v>
      </c>
      <c r="B25" s="1">
        <v>3110</v>
      </c>
      <c r="C25">
        <v>0</v>
      </c>
      <c r="D25">
        <v>0</v>
      </c>
      <c r="E25" s="19" t="s">
        <v>320</v>
      </c>
      <c r="F25" s="1" t="s">
        <v>353</v>
      </c>
      <c r="G25" s="18">
        <v>0</v>
      </c>
      <c r="H25" s="18">
        <v>3</v>
      </c>
      <c r="I25" s="18">
        <v>6</v>
      </c>
      <c r="J25" t="s">
        <v>167</v>
      </c>
      <c r="K25" s="17">
        <v>10</v>
      </c>
      <c r="L25">
        <v>10</v>
      </c>
      <c r="M25">
        <v>10</v>
      </c>
      <c r="N25" t="s">
        <v>168</v>
      </c>
      <c r="O25" s="16">
        <v>50</v>
      </c>
      <c r="Q25">
        <v>20</v>
      </c>
      <c r="R25" t="s">
        <v>169</v>
      </c>
      <c r="S25" s="16">
        <v>100</v>
      </c>
      <c r="T25">
        <v>0</v>
      </c>
      <c r="U25">
        <v>30</v>
      </c>
      <c r="V25" t="s">
        <v>170</v>
      </c>
      <c r="W25" s="16">
        <v>500</v>
      </c>
      <c r="X25">
        <v>0</v>
      </c>
      <c r="Y25">
        <v>40</v>
      </c>
      <c r="Z25" t="s">
        <v>171</v>
      </c>
      <c r="AA25" s="16">
        <v>1000</v>
      </c>
      <c r="AB25">
        <v>0</v>
      </c>
      <c r="AC25">
        <v>50</v>
      </c>
      <c r="AD25" t="s">
        <v>172</v>
      </c>
      <c r="AE25" s="16">
        <v>2000</v>
      </c>
      <c r="AF25">
        <v>0</v>
      </c>
      <c r="AG25">
        <v>0</v>
      </c>
      <c r="AH25" t="s">
        <v>173</v>
      </c>
      <c r="AI25" s="17">
        <v>5000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>
        <v>26</v>
      </c>
      <c r="B26" s="4">
        <v>5268</v>
      </c>
      <c r="C26">
        <v>0</v>
      </c>
      <c r="D26">
        <v>0</v>
      </c>
      <c r="E26" s="19" t="s">
        <v>335</v>
      </c>
      <c r="F26" s="4" t="s">
        <v>367</v>
      </c>
      <c r="G26" s="18">
        <v>0</v>
      </c>
      <c r="H26" s="18">
        <v>3</v>
      </c>
      <c r="I26" s="18">
        <v>6</v>
      </c>
      <c r="J26" t="s">
        <v>174</v>
      </c>
      <c r="K26" s="17">
        <v>1</v>
      </c>
      <c r="L26">
        <v>10</v>
      </c>
      <c r="M26">
        <v>10</v>
      </c>
      <c r="N26" t="s">
        <v>175</v>
      </c>
      <c r="O26" s="16">
        <v>5</v>
      </c>
      <c r="Q26">
        <v>20</v>
      </c>
      <c r="R26" t="s">
        <v>176</v>
      </c>
      <c r="S26" s="16">
        <v>10</v>
      </c>
      <c r="T26">
        <v>0</v>
      </c>
      <c r="U26">
        <v>30</v>
      </c>
      <c r="V26" t="s">
        <v>177</v>
      </c>
      <c r="W26" s="16">
        <v>20</v>
      </c>
      <c r="X26">
        <v>0</v>
      </c>
      <c r="Y26">
        <v>40</v>
      </c>
      <c r="Z26" t="s">
        <v>178</v>
      </c>
      <c r="AA26" s="16">
        <v>50</v>
      </c>
      <c r="AB26">
        <v>0</v>
      </c>
      <c r="AC26">
        <v>50</v>
      </c>
      <c r="AD26" t="s">
        <v>179</v>
      </c>
      <c r="AE26" s="16">
        <v>100</v>
      </c>
      <c r="AF26">
        <v>0</v>
      </c>
      <c r="AG26">
        <v>0</v>
      </c>
      <c r="AH26" t="s">
        <v>180</v>
      </c>
      <c r="AI26" s="17">
        <v>500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>
        <v>27</v>
      </c>
      <c r="B27" s="1">
        <v>941</v>
      </c>
      <c r="C27">
        <v>0</v>
      </c>
      <c r="D27">
        <v>0</v>
      </c>
      <c r="E27" s="19" t="s">
        <v>375</v>
      </c>
      <c r="F27" s="1" t="s">
        <v>354</v>
      </c>
      <c r="G27" s="18">
        <v>0</v>
      </c>
      <c r="H27" s="18">
        <v>3</v>
      </c>
      <c r="I27" s="18">
        <v>7</v>
      </c>
      <c r="J27" t="s">
        <v>376</v>
      </c>
      <c r="K27" s="17">
        <v>10</v>
      </c>
      <c r="L27">
        <v>10</v>
      </c>
      <c r="M27">
        <v>10</v>
      </c>
      <c r="N27" t="s">
        <v>377</v>
      </c>
      <c r="O27" s="16">
        <v>50</v>
      </c>
      <c r="Q27">
        <v>20</v>
      </c>
      <c r="R27" t="s">
        <v>378</v>
      </c>
      <c r="S27" s="16">
        <v>100</v>
      </c>
      <c r="T27">
        <v>0</v>
      </c>
      <c r="U27">
        <v>30</v>
      </c>
      <c r="V27" t="s">
        <v>379</v>
      </c>
      <c r="W27" s="16">
        <v>500</v>
      </c>
      <c r="X27">
        <v>0</v>
      </c>
      <c r="Y27">
        <v>40</v>
      </c>
      <c r="Z27" t="s">
        <v>380</v>
      </c>
      <c r="AA27" s="16">
        <v>1000</v>
      </c>
      <c r="AB27">
        <v>0</v>
      </c>
      <c r="AC27">
        <v>50</v>
      </c>
      <c r="AD27" t="s">
        <v>381</v>
      </c>
      <c r="AE27" s="16">
        <v>2000</v>
      </c>
      <c r="AF27">
        <v>0</v>
      </c>
      <c r="AG27">
        <v>0</v>
      </c>
      <c r="AH27" t="s">
        <v>382</v>
      </c>
      <c r="AI27" s="17">
        <v>5000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>
        <v>28</v>
      </c>
      <c r="B28" s="3">
        <v>948</v>
      </c>
      <c r="C28">
        <v>0</v>
      </c>
      <c r="D28">
        <v>0</v>
      </c>
      <c r="E28" s="19" t="s">
        <v>321</v>
      </c>
      <c r="F28" s="3" t="s">
        <v>353</v>
      </c>
      <c r="G28" s="18">
        <v>0</v>
      </c>
      <c r="H28" s="18">
        <v>3</v>
      </c>
      <c r="I28" s="18">
        <v>7</v>
      </c>
      <c r="J28" t="s">
        <v>167</v>
      </c>
      <c r="K28" s="17">
        <v>10</v>
      </c>
      <c r="L28">
        <v>10</v>
      </c>
      <c r="M28">
        <v>10</v>
      </c>
      <c r="N28" t="s">
        <v>168</v>
      </c>
      <c r="O28" s="16">
        <v>50</v>
      </c>
      <c r="Q28">
        <v>20</v>
      </c>
      <c r="R28" t="s">
        <v>169</v>
      </c>
      <c r="S28" s="16">
        <v>100</v>
      </c>
      <c r="T28">
        <v>0</v>
      </c>
      <c r="U28">
        <v>30</v>
      </c>
      <c r="V28" t="s">
        <v>170</v>
      </c>
      <c r="W28" s="16">
        <v>500</v>
      </c>
      <c r="X28">
        <v>0</v>
      </c>
      <c r="Y28">
        <v>40</v>
      </c>
      <c r="Z28" t="s">
        <v>171</v>
      </c>
      <c r="AA28" s="16">
        <v>1000</v>
      </c>
      <c r="AB28">
        <v>0</v>
      </c>
      <c r="AC28">
        <v>50</v>
      </c>
      <c r="AD28" t="s">
        <v>172</v>
      </c>
      <c r="AE28" s="16">
        <v>2000</v>
      </c>
      <c r="AF28">
        <v>0</v>
      </c>
      <c r="AG28">
        <v>0</v>
      </c>
      <c r="AH28" t="s">
        <v>173</v>
      </c>
      <c r="AI28" s="17">
        <v>5000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29</v>
      </c>
      <c r="B29" s="1">
        <v>949</v>
      </c>
      <c r="C29">
        <v>0</v>
      </c>
      <c r="D29">
        <v>0</v>
      </c>
      <c r="E29" s="19" t="s">
        <v>322</v>
      </c>
      <c r="F29" s="1" t="s">
        <v>355</v>
      </c>
      <c r="G29" s="18">
        <v>0</v>
      </c>
      <c r="H29" s="18">
        <v>3</v>
      </c>
      <c r="I29" s="18">
        <v>7</v>
      </c>
      <c r="J29" t="s">
        <v>181</v>
      </c>
      <c r="K29" s="17">
        <v>10</v>
      </c>
      <c r="L29">
        <v>10</v>
      </c>
      <c r="M29">
        <v>10</v>
      </c>
      <c r="N29" t="s">
        <v>182</v>
      </c>
      <c r="O29" s="16">
        <v>50</v>
      </c>
      <c r="Q29">
        <v>20</v>
      </c>
      <c r="R29" t="s">
        <v>183</v>
      </c>
      <c r="S29" s="16">
        <v>100</v>
      </c>
      <c r="T29">
        <v>0</v>
      </c>
      <c r="U29">
        <v>30</v>
      </c>
      <c r="V29" t="s">
        <v>184</v>
      </c>
      <c r="W29" s="16">
        <v>500</v>
      </c>
      <c r="X29">
        <v>0</v>
      </c>
      <c r="Y29">
        <v>40</v>
      </c>
      <c r="Z29" t="s">
        <v>185</v>
      </c>
      <c r="AA29" s="16">
        <v>1000</v>
      </c>
      <c r="AB29">
        <v>0</v>
      </c>
      <c r="AC29">
        <v>50</v>
      </c>
      <c r="AD29" t="s">
        <v>186</v>
      </c>
      <c r="AE29" s="16">
        <v>2000</v>
      </c>
      <c r="AF29">
        <v>0</v>
      </c>
      <c r="AG29">
        <v>0</v>
      </c>
      <c r="AH29" t="s">
        <v>187</v>
      </c>
      <c r="AI29" s="17">
        <v>5000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>
        <v>30</v>
      </c>
      <c r="B30" s="2">
        <v>942</v>
      </c>
      <c r="C30">
        <v>0</v>
      </c>
      <c r="D30">
        <v>0</v>
      </c>
      <c r="E30" s="19" t="s">
        <v>323</v>
      </c>
      <c r="F30" s="2" t="s">
        <v>356</v>
      </c>
      <c r="G30" s="18">
        <v>0</v>
      </c>
      <c r="H30" s="18">
        <v>3</v>
      </c>
      <c r="I30" s="18">
        <v>7</v>
      </c>
      <c r="J30" t="s">
        <v>188</v>
      </c>
      <c r="K30" s="17">
        <v>10</v>
      </c>
      <c r="L30">
        <v>10</v>
      </c>
      <c r="M30">
        <v>10</v>
      </c>
      <c r="N30" t="s">
        <v>189</v>
      </c>
      <c r="O30" s="16">
        <v>50</v>
      </c>
      <c r="Q30">
        <v>20</v>
      </c>
      <c r="R30" t="s">
        <v>190</v>
      </c>
      <c r="S30" s="16">
        <v>100</v>
      </c>
      <c r="T30">
        <v>0</v>
      </c>
      <c r="U30">
        <v>30</v>
      </c>
      <c r="V30" t="s">
        <v>191</v>
      </c>
      <c r="W30" s="16">
        <v>500</v>
      </c>
      <c r="X30">
        <v>0</v>
      </c>
      <c r="Y30">
        <v>40</v>
      </c>
      <c r="Z30" t="s">
        <v>192</v>
      </c>
      <c r="AA30" s="16">
        <v>1000</v>
      </c>
      <c r="AB30">
        <v>0</v>
      </c>
      <c r="AC30">
        <v>50</v>
      </c>
      <c r="AD30" t="s">
        <v>193</v>
      </c>
      <c r="AE30" s="16">
        <v>2000</v>
      </c>
      <c r="AF30">
        <v>0</v>
      </c>
      <c r="AG30">
        <v>0</v>
      </c>
      <c r="AH30" t="s">
        <v>194</v>
      </c>
      <c r="AI30" s="17">
        <v>5000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>
        <v>31</v>
      </c>
      <c r="B31" s="1">
        <v>943</v>
      </c>
      <c r="C31">
        <v>0</v>
      </c>
      <c r="D31">
        <v>0</v>
      </c>
      <c r="E31" s="19" t="s">
        <v>324</v>
      </c>
      <c r="F31" s="1" t="s">
        <v>357</v>
      </c>
      <c r="G31" s="18">
        <v>0</v>
      </c>
      <c r="H31" s="18">
        <v>3</v>
      </c>
      <c r="I31" s="18">
        <v>7</v>
      </c>
      <c r="J31" t="s">
        <v>195</v>
      </c>
      <c r="K31" s="17">
        <v>10</v>
      </c>
      <c r="L31">
        <v>10</v>
      </c>
      <c r="M31">
        <v>10</v>
      </c>
      <c r="N31" t="s">
        <v>196</v>
      </c>
      <c r="O31" s="16">
        <v>50</v>
      </c>
      <c r="Q31">
        <v>20</v>
      </c>
      <c r="R31" t="s">
        <v>197</v>
      </c>
      <c r="S31" s="16">
        <v>100</v>
      </c>
      <c r="T31">
        <v>0</v>
      </c>
      <c r="U31">
        <v>30</v>
      </c>
      <c r="V31" t="s">
        <v>198</v>
      </c>
      <c r="W31" s="16">
        <v>500</v>
      </c>
      <c r="X31">
        <v>0</v>
      </c>
      <c r="Y31">
        <v>40</v>
      </c>
      <c r="Z31" t="s">
        <v>199</v>
      </c>
      <c r="AA31" s="16">
        <v>1000</v>
      </c>
      <c r="AB31">
        <v>0</v>
      </c>
      <c r="AC31">
        <v>50</v>
      </c>
      <c r="AD31" t="s">
        <v>200</v>
      </c>
      <c r="AE31" s="16">
        <v>2000</v>
      </c>
      <c r="AF31">
        <v>0</v>
      </c>
      <c r="AG31">
        <v>0</v>
      </c>
      <c r="AH31" t="s">
        <v>201</v>
      </c>
      <c r="AI31" s="17">
        <v>5000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32</v>
      </c>
      <c r="B32" s="2">
        <v>944</v>
      </c>
      <c r="C32">
        <v>0</v>
      </c>
      <c r="D32">
        <v>0</v>
      </c>
      <c r="E32" s="19" t="s">
        <v>325</v>
      </c>
      <c r="F32" s="2" t="s">
        <v>358</v>
      </c>
      <c r="G32" s="18">
        <v>0</v>
      </c>
      <c r="H32" s="18">
        <v>3</v>
      </c>
      <c r="I32" s="18">
        <v>7</v>
      </c>
      <c r="J32" t="s">
        <v>202</v>
      </c>
      <c r="K32" s="17">
        <v>10</v>
      </c>
      <c r="L32">
        <v>10</v>
      </c>
      <c r="M32">
        <v>10</v>
      </c>
      <c r="N32" t="s">
        <v>203</v>
      </c>
      <c r="O32" s="16">
        <v>50</v>
      </c>
      <c r="Q32">
        <v>20</v>
      </c>
      <c r="R32" t="s">
        <v>204</v>
      </c>
      <c r="S32" s="16">
        <v>100</v>
      </c>
      <c r="T32">
        <v>0</v>
      </c>
      <c r="U32">
        <v>30</v>
      </c>
      <c r="V32" t="s">
        <v>205</v>
      </c>
      <c r="W32" s="16">
        <v>500</v>
      </c>
      <c r="X32">
        <v>0</v>
      </c>
      <c r="Y32">
        <v>40</v>
      </c>
      <c r="Z32" t="s">
        <v>206</v>
      </c>
      <c r="AA32" s="16">
        <v>1000</v>
      </c>
      <c r="AB32">
        <v>0</v>
      </c>
      <c r="AC32">
        <v>50</v>
      </c>
      <c r="AD32" t="s">
        <v>207</v>
      </c>
      <c r="AE32" s="16">
        <v>2000</v>
      </c>
      <c r="AF32">
        <v>0</v>
      </c>
      <c r="AG32">
        <v>0</v>
      </c>
      <c r="AH32" t="s">
        <v>208</v>
      </c>
      <c r="AI32" s="17">
        <v>5000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33</v>
      </c>
      <c r="B33" s="5">
        <v>3162</v>
      </c>
      <c r="C33">
        <v>0</v>
      </c>
      <c r="D33">
        <v>0</v>
      </c>
      <c r="E33" s="19" t="s">
        <v>326</v>
      </c>
      <c r="F33" s="5" t="s">
        <v>359</v>
      </c>
      <c r="G33" s="18">
        <v>0</v>
      </c>
      <c r="H33" s="18">
        <v>3</v>
      </c>
      <c r="I33" s="18">
        <v>7</v>
      </c>
      <c r="J33" t="s">
        <v>209</v>
      </c>
      <c r="K33" s="17">
        <v>10</v>
      </c>
      <c r="L33">
        <v>10</v>
      </c>
      <c r="M33">
        <v>10</v>
      </c>
      <c r="N33" t="s">
        <v>210</v>
      </c>
      <c r="O33" s="16">
        <v>50</v>
      </c>
      <c r="Q33">
        <v>20</v>
      </c>
      <c r="R33" t="s">
        <v>211</v>
      </c>
      <c r="S33" s="16">
        <v>100</v>
      </c>
      <c r="T33">
        <v>0</v>
      </c>
      <c r="U33">
        <v>30</v>
      </c>
      <c r="V33" t="s">
        <v>212</v>
      </c>
      <c r="W33" s="16">
        <v>500</v>
      </c>
      <c r="X33">
        <v>0</v>
      </c>
      <c r="Y33">
        <v>40</v>
      </c>
      <c r="Z33" t="s">
        <v>213</v>
      </c>
      <c r="AA33" s="16">
        <v>1000</v>
      </c>
      <c r="AB33">
        <v>0</v>
      </c>
      <c r="AC33">
        <v>50</v>
      </c>
      <c r="AD33" t="s">
        <v>214</v>
      </c>
      <c r="AE33" s="16">
        <v>2000</v>
      </c>
      <c r="AF33">
        <v>0</v>
      </c>
      <c r="AG33">
        <v>0</v>
      </c>
      <c r="AH33" t="s">
        <v>215</v>
      </c>
      <c r="AI33" s="17">
        <v>5000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>
        <v>34</v>
      </c>
      <c r="B34" s="4">
        <v>5278</v>
      </c>
      <c r="C34">
        <v>0</v>
      </c>
      <c r="D34">
        <v>0</v>
      </c>
      <c r="E34" s="19" t="s">
        <v>336</v>
      </c>
      <c r="F34" s="4" t="s">
        <v>368</v>
      </c>
      <c r="G34" s="18">
        <v>0</v>
      </c>
      <c r="H34" s="18">
        <v>3</v>
      </c>
      <c r="I34" s="18">
        <v>7</v>
      </c>
      <c r="J34" t="s">
        <v>216</v>
      </c>
      <c r="K34" s="17">
        <v>1</v>
      </c>
      <c r="L34">
        <v>10</v>
      </c>
      <c r="M34">
        <v>10</v>
      </c>
      <c r="N34" t="s">
        <v>217</v>
      </c>
      <c r="O34" s="16">
        <v>5</v>
      </c>
      <c r="Q34">
        <v>20</v>
      </c>
      <c r="R34" t="s">
        <v>218</v>
      </c>
      <c r="S34" s="16">
        <v>10</v>
      </c>
      <c r="T34">
        <v>0</v>
      </c>
      <c r="U34">
        <v>30</v>
      </c>
      <c r="V34" t="s">
        <v>219</v>
      </c>
      <c r="W34" s="16">
        <v>20</v>
      </c>
      <c r="X34">
        <v>0</v>
      </c>
      <c r="Y34">
        <v>40</v>
      </c>
      <c r="Z34" t="s">
        <v>220</v>
      </c>
      <c r="AA34" s="16">
        <v>50</v>
      </c>
      <c r="AB34">
        <v>0</v>
      </c>
      <c r="AC34">
        <v>50</v>
      </c>
      <c r="AD34" t="s">
        <v>221</v>
      </c>
      <c r="AE34" s="16">
        <v>100</v>
      </c>
      <c r="AF34">
        <v>0</v>
      </c>
      <c r="AG34">
        <v>0</v>
      </c>
      <c r="AH34" t="s">
        <v>222</v>
      </c>
      <c r="AI34" s="17">
        <v>500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>
        <v>35</v>
      </c>
      <c r="B35" s="1">
        <v>1011</v>
      </c>
      <c r="C35">
        <v>0</v>
      </c>
      <c r="D35">
        <v>0</v>
      </c>
      <c r="E35" s="19" t="s">
        <v>327</v>
      </c>
      <c r="F35" s="1" t="s">
        <v>360</v>
      </c>
      <c r="G35" s="18">
        <v>0</v>
      </c>
      <c r="H35" s="18">
        <v>3</v>
      </c>
      <c r="I35" s="18">
        <v>8</v>
      </c>
      <c r="J35" t="s">
        <v>223</v>
      </c>
      <c r="K35" s="17">
        <v>10</v>
      </c>
      <c r="L35">
        <v>10</v>
      </c>
      <c r="M35">
        <v>10</v>
      </c>
      <c r="N35" t="s">
        <v>224</v>
      </c>
      <c r="O35" s="16">
        <v>50</v>
      </c>
      <c r="Q35">
        <v>20</v>
      </c>
      <c r="R35" t="s">
        <v>225</v>
      </c>
      <c r="S35" s="16">
        <v>100</v>
      </c>
      <c r="T35">
        <v>0</v>
      </c>
      <c r="U35">
        <v>30</v>
      </c>
      <c r="V35" t="s">
        <v>226</v>
      </c>
      <c r="W35" s="16">
        <v>500</v>
      </c>
      <c r="X35">
        <v>0</v>
      </c>
      <c r="Y35">
        <v>40</v>
      </c>
      <c r="Z35" t="s">
        <v>227</v>
      </c>
      <c r="AA35" s="16">
        <v>1000</v>
      </c>
      <c r="AB35">
        <v>0</v>
      </c>
      <c r="AC35">
        <v>50</v>
      </c>
      <c r="AD35" t="s">
        <v>228</v>
      </c>
      <c r="AE35" s="16">
        <v>2000</v>
      </c>
      <c r="AF35">
        <v>0</v>
      </c>
      <c r="AG35">
        <v>0</v>
      </c>
      <c r="AH35" t="s">
        <v>229</v>
      </c>
      <c r="AI35" s="17">
        <v>5000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36</v>
      </c>
      <c r="B36" s="2">
        <v>1012</v>
      </c>
      <c r="C36">
        <v>0</v>
      </c>
      <c r="D36">
        <v>0</v>
      </c>
      <c r="E36" s="19" t="s">
        <v>328</v>
      </c>
      <c r="F36" s="2" t="s">
        <v>361</v>
      </c>
      <c r="G36" s="18">
        <v>0</v>
      </c>
      <c r="H36" s="18">
        <v>3</v>
      </c>
      <c r="I36" s="18">
        <v>8</v>
      </c>
      <c r="J36" t="s">
        <v>230</v>
      </c>
      <c r="K36" s="17">
        <v>10</v>
      </c>
      <c r="L36">
        <v>10</v>
      </c>
      <c r="M36">
        <v>10</v>
      </c>
      <c r="N36" t="s">
        <v>231</v>
      </c>
      <c r="O36" s="16">
        <v>50</v>
      </c>
      <c r="Q36">
        <v>20</v>
      </c>
      <c r="R36" t="s">
        <v>232</v>
      </c>
      <c r="S36" s="16">
        <v>100</v>
      </c>
      <c r="T36">
        <v>0</v>
      </c>
      <c r="U36">
        <v>30</v>
      </c>
      <c r="V36" t="s">
        <v>233</v>
      </c>
      <c r="W36" s="16">
        <v>500</v>
      </c>
      <c r="X36">
        <v>0</v>
      </c>
      <c r="Y36">
        <v>40</v>
      </c>
      <c r="Z36" t="s">
        <v>234</v>
      </c>
      <c r="AA36" s="16">
        <v>1000</v>
      </c>
      <c r="AB36">
        <v>0</v>
      </c>
      <c r="AC36">
        <v>50</v>
      </c>
      <c r="AD36" t="s">
        <v>235</v>
      </c>
      <c r="AE36" s="16">
        <v>2000</v>
      </c>
      <c r="AF36">
        <v>0</v>
      </c>
      <c r="AG36">
        <v>0</v>
      </c>
      <c r="AH36" t="s">
        <v>236</v>
      </c>
      <c r="AI36" s="17">
        <v>5000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>
        <v>37</v>
      </c>
      <c r="B37" s="1">
        <v>1013</v>
      </c>
      <c r="C37">
        <v>0</v>
      </c>
      <c r="D37">
        <v>0</v>
      </c>
      <c r="E37" s="19" t="s">
        <v>329</v>
      </c>
      <c r="F37" s="1" t="s">
        <v>362</v>
      </c>
      <c r="G37" s="18">
        <v>0</v>
      </c>
      <c r="H37" s="18">
        <v>3</v>
      </c>
      <c r="I37" s="18">
        <v>8</v>
      </c>
      <c r="J37" t="s">
        <v>237</v>
      </c>
      <c r="K37" s="17">
        <v>10</v>
      </c>
      <c r="L37">
        <v>10</v>
      </c>
      <c r="M37">
        <v>10</v>
      </c>
      <c r="N37" t="s">
        <v>238</v>
      </c>
      <c r="O37" s="16">
        <v>50</v>
      </c>
      <c r="Q37">
        <v>20</v>
      </c>
      <c r="R37" t="s">
        <v>239</v>
      </c>
      <c r="S37" s="16">
        <v>100</v>
      </c>
      <c r="T37">
        <v>0</v>
      </c>
      <c r="U37">
        <v>30</v>
      </c>
      <c r="V37" t="s">
        <v>240</v>
      </c>
      <c r="W37" s="16">
        <v>500</v>
      </c>
      <c r="X37">
        <v>0</v>
      </c>
      <c r="Y37">
        <v>40</v>
      </c>
      <c r="Z37" t="s">
        <v>241</v>
      </c>
      <c r="AA37" s="16">
        <v>1000</v>
      </c>
      <c r="AB37">
        <v>0</v>
      </c>
      <c r="AC37">
        <v>50</v>
      </c>
      <c r="AD37" t="s">
        <v>242</v>
      </c>
      <c r="AE37" s="16">
        <v>2000</v>
      </c>
      <c r="AF37">
        <v>0</v>
      </c>
      <c r="AG37">
        <v>0</v>
      </c>
      <c r="AH37" t="s">
        <v>243</v>
      </c>
      <c r="AI37" s="17">
        <v>5000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>
        <v>38</v>
      </c>
      <c r="B38" s="2">
        <v>1014</v>
      </c>
      <c r="C38">
        <v>0</v>
      </c>
      <c r="D38">
        <v>0</v>
      </c>
      <c r="E38" s="19" t="s">
        <v>330</v>
      </c>
      <c r="F38" s="2" t="s">
        <v>363</v>
      </c>
      <c r="G38" s="18">
        <v>0</v>
      </c>
      <c r="H38" s="18">
        <v>3</v>
      </c>
      <c r="I38" s="18">
        <v>8</v>
      </c>
      <c r="J38" t="s">
        <v>244</v>
      </c>
      <c r="K38" s="17">
        <v>10</v>
      </c>
      <c r="L38">
        <v>10</v>
      </c>
      <c r="M38">
        <v>10</v>
      </c>
      <c r="N38" t="s">
        <v>245</v>
      </c>
      <c r="O38" s="16">
        <v>50</v>
      </c>
      <c r="Q38">
        <v>20</v>
      </c>
      <c r="R38" t="s">
        <v>246</v>
      </c>
      <c r="S38" s="16">
        <v>100</v>
      </c>
      <c r="T38">
        <v>0</v>
      </c>
      <c r="U38">
        <v>30</v>
      </c>
      <c r="V38" t="s">
        <v>247</v>
      </c>
      <c r="W38" s="16">
        <v>500</v>
      </c>
      <c r="X38">
        <v>0</v>
      </c>
      <c r="Y38">
        <v>40</v>
      </c>
      <c r="Z38" t="s">
        <v>248</v>
      </c>
      <c r="AA38" s="16">
        <v>1000</v>
      </c>
      <c r="AB38">
        <v>0</v>
      </c>
      <c r="AC38">
        <v>50</v>
      </c>
      <c r="AD38" t="s">
        <v>249</v>
      </c>
      <c r="AE38" s="16">
        <v>2000</v>
      </c>
      <c r="AF38">
        <v>0</v>
      </c>
      <c r="AG38">
        <v>0</v>
      </c>
      <c r="AH38" t="s">
        <v>250</v>
      </c>
      <c r="AI38" s="17">
        <v>5000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>
        <v>39</v>
      </c>
      <c r="B39" s="4">
        <v>5287</v>
      </c>
      <c r="C39">
        <v>0</v>
      </c>
      <c r="D39">
        <v>0</v>
      </c>
      <c r="E39" s="19" t="s">
        <v>337</v>
      </c>
      <c r="F39" s="4" t="s">
        <v>369</v>
      </c>
      <c r="G39" s="18">
        <v>0</v>
      </c>
      <c r="H39" s="18">
        <v>3</v>
      </c>
      <c r="I39" s="18">
        <v>8</v>
      </c>
      <c r="J39" t="s">
        <v>251</v>
      </c>
      <c r="K39" s="17">
        <v>1</v>
      </c>
      <c r="L39">
        <v>10</v>
      </c>
      <c r="M39">
        <v>10</v>
      </c>
      <c r="N39" t="s">
        <v>252</v>
      </c>
      <c r="O39" s="16">
        <v>5</v>
      </c>
      <c r="Q39">
        <v>20</v>
      </c>
      <c r="R39" t="s">
        <v>253</v>
      </c>
      <c r="S39" s="16">
        <v>10</v>
      </c>
      <c r="T39">
        <v>0</v>
      </c>
      <c r="U39">
        <v>30</v>
      </c>
      <c r="V39" t="s">
        <v>254</v>
      </c>
      <c r="W39" s="16">
        <v>20</v>
      </c>
      <c r="X39">
        <v>0</v>
      </c>
      <c r="Y39">
        <v>40</v>
      </c>
      <c r="Z39" t="s">
        <v>255</v>
      </c>
      <c r="AA39" s="16">
        <v>50</v>
      </c>
      <c r="AB39">
        <v>0</v>
      </c>
      <c r="AC39">
        <v>50</v>
      </c>
      <c r="AD39" t="s">
        <v>256</v>
      </c>
      <c r="AE39" s="16">
        <v>100</v>
      </c>
      <c r="AF39">
        <v>0</v>
      </c>
      <c r="AG39">
        <v>0</v>
      </c>
      <c r="AH39" t="s">
        <v>257</v>
      </c>
      <c r="AI39" s="17">
        <v>500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>
        <v>40</v>
      </c>
      <c r="B40" s="3">
        <v>1031</v>
      </c>
      <c r="C40">
        <v>0</v>
      </c>
      <c r="D40">
        <v>0</v>
      </c>
      <c r="E40" s="19" t="s">
        <v>331</v>
      </c>
      <c r="F40" s="3" t="s">
        <v>355</v>
      </c>
      <c r="G40" s="18">
        <v>0</v>
      </c>
      <c r="H40" s="18">
        <v>3</v>
      </c>
      <c r="I40" s="18">
        <v>9</v>
      </c>
      <c r="J40" t="s">
        <v>258</v>
      </c>
      <c r="K40" s="17">
        <v>10</v>
      </c>
      <c r="L40">
        <v>10</v>
      </c>
      <c r="M40">
        <v>10</v>
      </c>
      <c r="N40" t="s">
        <v>259</v>
      </c>
      <c r="O40" s="16">
        <v>50</v>
      </c>
      <c r="Q40">
        <v>20</v>
      </c>
      <c r="R40" t="s">
        <v>260</v>
      </c>
      <c r="S40" s="16">
        <v>100</v>
      </c>
      <c r="T40">
        <v>0</v>
      </c>
      <c r="U40">
        <v>30</v>
      </c>
      <c r="V40" t="s">
        <v>261</v>
      </c>
      <c r="W40" s="16">
        <v>500</v>
      </c>
      <c r="X40">
        <v>0</v>
      </c>
      <c r="Y40">
        <v>40</v>
      </c>
      <c r="Z40" t="s">
        <v>262</v>
      </c>
      <c r="AA40" s="16">
        <v>1000</v>
      </c>
      <c r="AB40">
        <v>0</v>
      </c>
      <c r="AC40">
        <v>50</v>
      </c>
      <c r="AD40" t="s">
        <v>263</v>
      </c>
      <c r="AE40" s="16">
        <v>2000</v>
      </c>
      <c r="AF40">
        <v>0</v>
      </c>
      <c r="AG40">
        <v>0</v>
      </c>
      <c r="AH40" t="s">
        <v>264</v>
      </c>
      <c r="AI40" s="17">
        <v>5000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>
        <v>41</v>
      </c>
      <c r="B41" s="2">
        <v>1032</v>
      </c>
      <c r="C41">
        <v>0</v>
      </c>
      <c r="D41">
        <v>0</v>
      </c>
      <c r="E41" s="19" t="s">
        <v>332</v>
      </c>
      <c r="F41" s="2" t="s">
        <v>364</v>
      </c>
      <c r="G41" s="18">
        <v>0</v>
      </c>
      <c r="H41" s="18">
        <v>3</v>
      </c>
      <c r="I41" s="18">
        <v>9</v>
      </c>
      <c r="J41" t="s">
        <v>265</v>
      </c>
      <c r="K41" s="17">
        <v>10</v>
      </c>
      <c r="L41">
        <v>10</v>
      </c>
      <c r="M41">
        <v>10</v>
      </c>
      <c r="N41" t="s">
        <v>266</v>
      </c>
      <c r="O41" s="16">
        <v>50</v>
      </c>
      <c r="Q41">
        <v>20</v>
      </c>
      <c r="R41" t="s">
        <v>267</v>
      </c>
      <c r="S41" s="16">
        <v>100</v>
      </c>
      <c r="T41">
        <v>0</v>
      </c>
      <c r="U41">
        <v>30</v>
      </c>
      <c r="V41" t="s">
        <v>268</v>
      </c>
      <c r="W41" s="16">
        <v>500</v>
      </c>
      <c r="X41">
        <v>0</v>
      </c>
      <c r="Y41">
        <v>40</v>
      </c>
      <c r="Z41" t="s">
        <v>269</v>
      </c>
      <c r="AA41" s="16">
        <v>1000</v>
      </c>
      <c r="AB41">
        <v>0</v>
      </c>
      <c r="AC41">
        <v>50</v>
      </c>
      <c r="AD41" t="s">
        <v>270</v>
      </c>
      <c r="AE41" s="16">
        <v>2000</v>
      </c>
      <c r="AF41">
        <v>0</v>
      </c>
      <c r="AG41">
        <v>0</v>
      </c>
      <c r="AH41" t="s">
        <v>271</v>
      </c>
      <c r="AI41" s="17">
        <v>5000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ht="12.75" customHeight="1">
      <c r="A42">
        <v>42</v>
      </c>
      <c r="B42" s="1">
        <v>1033</v>
      </c>
      <c r="C42">
        <v>0</v>
      </c>
      <c r="D42">
        <v>0</v>
      </c>
      <c r="E42" s="19" t="s">
        <v>333</v>
      </c>
      <c r="F42" s="1" t="s">
        <v>365</v>
      </c>
      <c r="G42" s="18">
        <v>0</v>
      </c>
      <c r="H42" s="18">
        <v>3</v>
      </c>
      <c r="I42" s="18">
        <v>9</v>
      </c>
      <c r="J42" t="s">
        <v>272</v>
      </c>
      <c r="K42" s="17">
        <v>10</v>
      </c>
      <c r="L42">
        <v>10</v>
      </c>
      <c r="M42">
        <v>10</v>
      </c>
      <c r="N42" t="s">
        <v>273</v>
      </c>
      <c r="O42" s="16">
        <v>50</v>
      </c>
      <c r="Q42">
        <v>20</v>
      </c>
      <c r="R42" t="s">
        <v>274</v>
      </c>
      <c r="S42" s="16">
        <v>100</v>
      </c>
      <c r="T42">
        <v>0</v>
      </c>
      <c r="U42">
        <v>30</v>
      </c>
      <c r="V42" t="s">
        <v>275</v>
      </c>
      <c r="W42" s="16">
        <v>500</v>
      </c>
      <c r="X42">
        <v>0</v>
      </c>
      <c r="Y42">
        <v>40</v>
      </c>
      <c r="Z42" t="s">
        <v>276</v>
      </c>
      <c r="AA42" s="16">
        <v>1000</v>
      </c>
      <c r="AB42">
        <v>0</v>
      </c>
      <c r="AC42">
        <v>50</v>
      </c>
      <c r="AD42" t="s">
        <v>277</v>
      </c>
      <c r="AE42" s="16">
        <v>2000</v>
      </c>
      <c r="AF42">
        <v>0</v>
      </c>
      <c r="AG42">
        <v>0</v>
      </c>
      <c r="AH42" t="s">
        <v>278</v>
      </c>
      <c r="AI42" s="17">
        <v>5000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43</v>
      </c>
      <c r="B43" s="2">
        <v>1034</v>
      </c>
      <c r="C43">
        <v>0</v>
      </c>
      <c r="D43">
        <v>0</v>
      </c>
      <c r="E43" s="19" t="s">
        <v>334</v>
      </c>
      <c r="F43" s="2" t="s">
        <v>366</v>
      </c>
      <c r="G43" s="18">
        <v>0</v>
      </c>
      <c r="H43" s="18">
        <v>3</v>
      </c>
      <c r="I43" s="18">
        <v>9</v>
      </c>
      <c r="J43" t="s">
        <v>279</v>
      </c>
      <c r="K43" s="17">
        <v>10</v>
      </c>
      <c r="L43">
        <v>10</v>
      </c>
      <c r="M43">
        <v>10</v>
      </c>
      <c r="N43" t="s">
        <v>280</v>
      </c>
      <c r="O43" s="16">
        <v>50</v>
      </c>
      <c r="Q43">
        <v>20</v>
      </c>
      <c r="R43" t="s">
        <v>281</v>
      </c>
      <c r="S43" s="16">
        <v>100</v>
      </c>
      <c r="T43">
        <v>0</v>
      </c>
      <c r="U43">
        <v>30</v>
      </c>
      <c r="V43" t="s">
        <v>282</v>
      </c>
      <c r="W43" s="16">
        <v>500</v>
      </c>
      <c r="X43">
        <v>0</v>
      </c>
      <c r="Y43">
        <v>40</v>
      </c>
      <c r="Z43" t="s">
        <v>283</v>
      </c>
      <c r="AA43" s="16">
        <v>1000</v>
      </c>
      <c r="AB43">
        <v>0</v>
      </c>
      <c r="AC43">
        <v>50</v>
      </c>
      <c r="AD43" t="s">
        <v>284</v>
      </c>
      <c r="AE43" s="16">
        <v>2000</v>
      </c>
      <c r="AF43">
        <v>0</v>
      </c>
      <c r="AG43">
        <v>0</v>
      </c>
      <c r="AH43" t="s">
        <v>285</v>
      </c>
      <c r="AI43" s="17">
        <v>5000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>
        <v>44</v>
      </c>
      <c r="B44" s="4">
        <v>5297</v>
      </c>
      <c r="C44">
        <v>0</v>
      </c>
      <c r="D44">
        <v>0</v>
      </c>
      <c r="E44" s="19" t="s">
        <v>338</v>
      </c>
      <c r="F44" s="4" t="s">
        <v>370</v>
      </c>
      <c r="G44" s="18">
        <v>0</v>
      </c>
      <c r="H44" s="18">
        <v>3</v>
      </c>
      <c r="I44" s="18">
        <v>10</v>
      </c>
      <c r="J44" t="s">
        <v>286</v>
      </c>
      <c r="K44" s="17">
        <v>1</v>
      </c>
      <c r="L44">
        <v>10</v>
      </c>
      <c r="M44">
        <v>10</v>
      </c>
      <c r="N44" t="s">
        <v>287</v>
      </c>
      <c r="O44" s="16">
        <v>5</v>
      </c>
      <c r="Q44">
        <v>20</v>
      </c>
      <c r="R44" t="s">
        <v>288</v>
      </c>
      <c r="S44" s="16">
        <v>10</v>
      </c>
      <c r="T44">
        <v>0</v>
      </c>
      <c r="U44">
        <v>30</v>
      </c>
      <c r="V44" t="s">
        <v>289</v>
      </c>
      <c r="W44" s="16">
        <v>20</v>
      </c>
      <c r="X44">
        <v>0</v>
      </c>
      <c r="Y44">
        <v>40</v>
      </c>
      <c r="Z44" t="s">
        <v>290</v>
      </c>
      <c r="AA44" s="16">
        <v>50</v>
      </c>
      <c r="AB44">
        <v>0</v>
      </c>
      <c r="AC44">
        <v>50</v>
      </c>
      <c r="AD44" t="s">
        <v>291</v>
      </c>
      <c r="AE44" s="16">
        <v>100</v>
      </c>
      <c r="AF44">
        <v>0</v>
      </c>
      <c r="AG44">
        <v>0</v>
      </c>
      <c r="AH44" t="s">
        <v>292</v>
      </c>
      <c r="AI44" s="17">
        <v>500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字段说明</vt:lpstr>
      <vt:lpstr>索引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2016-07-04T01:54:15Z</dcterms:modified>
</cp:coreProperties>
</file>