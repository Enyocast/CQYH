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180" windowWidth="19200" windowHeight="11550"/>
  </bookViews>
  <sheets>
    <sheet name="guild_building" sheetId="1" r:id="rId1"/>
    <sheet name="Define" sheetId="2" r:id="rId2"/>
    <sheet name="Sheet1" sheetId="3" r:id="rId3"/>
    <sheet name="资源索引" sheetId="4" r:id="rId4"/>
  </sheets>
  <calcPr calcId="145621"/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O4" i="1"/>
  <c r="P4" i="1" s="1"/>
  <c r="M4" i="1"/>
  <c r="N4" i="1" s="1"/>
  <c r="K4" i="1"/>
  <c r="L4" i="1" s="1"/>
  <c r="I4" i="1"/>
  <c r="J4" i="1" s="1"/>
  <c r="G4" i="1"/>
  <c r="H4" i="1" s="1"/>
  <c r="P130" i="1" l="1"/>
  <c r="N130" i="1"/>
  <c r="L130" i="1"/>
  <c r="J130" i="1"/>
  <c r="H130" i="1"/>
  <c r="P113" i="1"/>
  <c r="N113" i="1"/>
  <c r="L113" i="1"/>
  <c r="J113" i="1"/>
  <c r="H113" i="1"/>
  <c r="P112" i="1"/>
  <c r="N112" i="1"/>
  <c r="L112" i="1"/>
  <c r="J112" i="1"/>
  <c r="H112" i="1"/>
  <c r="P111" i="1"/>
  <c r="N111" i="1"/>
  <c r="L111" i="1"/>
  <c r="J111" i="1"/>
  <c r="H111" i="1"/>
  <c r="P110" i="1"/>
  <c r="N110" i="1"/>
  <c r="L110" i="1"/>
  <c r="J110" i="1"/>
  <c r="H110" i="1"/>
  <c r="P109" i="1"/>
  <c r="N109" i="1"/>
  <c r="L109" i="1"/>
  <c r="J109" i="1"/>
  <c r="H109" i="1"/>
  <c r="P108" i="1"/>
  <c r="N108" i="1"/>
  <c r="L108" i="1"/>
  <c r="J108" i="1"/>
  <c r="H108" i="1"/>
  <c r="P107" i="1"/>
  <c r="N107" i="1"/>
  <c r="L107" i="1"/>
  <c r="J107" i="1"/>
  <c r="H107" i="1"/>
  <c r="P106" i="1"/>
  <c r="N106" i="1"/>
  <c r="L106" i="1"/>
  <c r="J106" i="1"/>
  <c r="H106" i="1"/>
  <c r="P54" i="1"/>
  <c r="N54" i="1"/>
  <c r="L54" i="1"/>
  <c r="J55" i="1"/>
  <c r="H55" i="1"/>
  <c r="P21" i="1"/>
  <c r="N21" i="1"/>
  <c r="L21" i="1"/>
  <c r="J21" i="1"/>
  <c r="H21" i="1"/>
  <c r="P15" i="1"/>
  <c r="N15" i="1"/>
  <c r="L15" i="1"/>
  <c r="J15" i="1"/>
  <c r="H15" i="1"/>
  <c r="P9" i="1"/>
  <c r="N9" i="1"/>
  <c r="L9" i="1"/>
  <c r="J9" i="1"/>
  <c r="H9" i="1"/>
  <c r="H27" i="1" l="1"/>
  <c r="H26" i="1"/>
  <c r="H25" i="1"/>
  <c r="H24" i="1"/>
  <c r="H23" i="1"/>
  <c r="J27" i="1"/>
  <c r="J26" i="1"/>
  <c r="J25" i="1"/>
  <c r="J24" i="1"/>
  <c r="J23" i="1"/>
  <c r="L27" i="1"/>
  <c r="L26" i="1"/>
  <c r="L25" i="1"/>
  <c r="L24" i="1"/>
  <c r="L23" i="1"/>
  <c r="L22" i="1"/>
  <c r="P27" i="1"/>
  <c r="P26" i="1"/>
  <c r="P25" i="1"/>
  <c r="P24" i="1"/>
  <c r="P23" i="1"/>
  <c r="P22" i="1"/>
  <c r="H33" i="1"/>
  <c r="H32" i="1"/>
  <c r="H31" i="1"/>
  <c r="H30" i="1"/>
  <c r="H29" i="1"/>
  <c r="H28" i="1"/>
  <c r="L33" i="1"/>
  <c r="L32" i="1"/>
  <c r="L31" i="1"/>
  <c r="L30" i="1"/>
  <c r="L29" i="1"/>
  <c r="L28" i="1"/>
  <c r="P33" i="1"/>
  <c r="P32" i="1"/>
  <c r="P31" i="1"/>
  <c r="P30" i="1"/>
  <c r="P29" i="1"/>
  <c r="P28" i="1"/>
  <c r="H39" i="1"/>
  <c r="H38" i="1"/>
  <c r="H37" i="1"/>
  <c r="H36" i="1"/>
  <c r="H35" i="1"/>
  <c r="H34" i="1"/>
  <c r="L39" i="1"/>
  <c r="L38" i="1"/>
  <c r="L37" i="1"/>
  <c r="L36" i="1"/>
  <c r="L35" i="1"/>
  <c r="L34" i="1"/>
  <c r="P39" i="1"/>
  <c r="P38" i="1"/>
  <c r="P37" i="1"/>
  <c r="P36" i="1"/>
  <c r="P35" i="1"/>
  <c r="P34" i="1"/>
  <c r="H45" i="1"/>
  <c r="H44" i="1"/>
  <c r="H43" i="1"/>
  <c r="H42" i="1"/>
  <c r="H41" i="1"/>
  <c r="H40" i="1"/>
  <c r="L45" i="1"/>
  <c r="L44" i="1"/>
  <c r="L43" i="1"/>
  <c r="L42" i="1"/>
  <c r="L41" i="1"/>
  <c r="L40" i="1"/>
  <c r="P45" i="1"/>
  <c r="P44" i="1"/>
  <c r="P43" i="1"/>
  <c r="P42" i="1"/>
  <c r="P41" i="1"/>
  <c r="P40" i="1"/>
  <c r="H51" i="1"/>
  <c r="H50" i="1"/>
  <c r="H49" i="1"/>
  <c r="H48" i="1"/>
  <c r="H47" i="1"/>
  <c r="H46" i="1"/>
  <c r="L51" i="1"/>
  <c r="L50" i="1"/>
  <c r="L49" i="1"/>
  <c r="L48" i="1"/>
  <c r="L47" i="1"/>
  <c r="L46" i="1"/>
  <c r="P51" i="1"/>
  <c r="P50" i="1"/>
  <c r="P49" i="1"/>
  <c r="P48" i="1"/>
  <c r="P47" i="1"/>
  <c r="P46" i="1"/>
  <c r="H5" i="1"/>
  <c r="J5" i="1"/>
  <c r="L5" i="1"/>
  <c r="N5" i="1"/>
  <c r="P5" i="1"/>
  <c r="H6" i="1"/>
  <c r="J6" i="1"/>
  <c r="L6" i="1"/>
  <c r="N6" i="1"/>
  <c r="P6" i="1"/>
  <c r="H7" i="1"/>
  <c r="J7" i="1"/>
  <c r="L7" i="1"/>
  <c r="N7" i="1"/>
  <c r="P7" i="1"/>
  <c r="H8" i="1"/>
  <c r="J8" i="1"/>
  <c r="L8" i="1"/>
  <c r="N8" i="1"/>
  <c r="P8" i="1"/>
  <c r="H10" i="1"/>
  <c r="J10" i="1"/>
  <c r="L10" i="1"/>
  <c r="N10" i="1"/>
  <c r="P10" i="1"/>
  <c r="H11" i="1"/>
  <c r="J11" i="1"/>
  <c r="L11" i="1"/>
  <c r="N11" i="1"/>
  <c r="P11" i="1"/>
  <c r="H12" i="1"/>
  <c r="J12" i="1"/>
  <c r="L12" i="1"/>
  <c r="N12" i="1"/>
  <c r="P12" i="1"/>
  <c r="H13" i="1"/>
  <c r="J13" i="1"/>
  <c r="L13" i="1"/>
  <c r="N13" i="1"/>
  <c r="P13" i="1"/>
  <c r="H14" i="1"/>
  <c r="J14" i="1"/>
  <c r="L14" i="1"/>
  <c r="N14" i="1"/>
  <c r="P14" i="1"/>
  <c r="H16" i="1"/>
  <c r="J16" i="1"/>
  <c r="L16" i="1"/>
  <c r="N16" i="1"/>
  <c r="P16" i="1"/>
  <c r="H17" i="1"/>
  <c r="J17" i="1"/>
  <c r="L17" i="1"/>
  <c r="N17" i="1"/>
  <c r="P17" i="1"/>
  <c r="H18" i="1"/>
  <c r="J18" i="1"/>
  <c r="L18" i="1"/>
  <c r="N18" i="1"/>
  <c r="P18" i="1"/>
  <c r="H19" i="1"/>
  <c r="J19" i="1"/>
  <c r="L19" i="1"/>
  <c r="N19" i="1"/>
  <c r="P19" i="1"/>
  <c r="H20" i="1"/>
  <c r="J20" i="1"/>
  <c r="L20" i="1"/>
  <c r="N20" i="1"/>
  <c r="P20" i="1"/>
  <c r="H22" i="1"/>
  <c r="J22" i="1"/>
  <c r="N27" i="1"/>
  <c r="N26" i="1"/>
  <c r="N25" i="1"/>
  <c r="N24" i="1"/>
  <c r="N23" i="1"/>
  <c r="N22" i="1"/>
  <c r="J33" i="1"/>
  <c r="J32" i="1"/>
  <c r="J31" i="1"/>
  <c r="J30" i="1"/>
  <c r="J29" i="1"/>
  <c r="J28" i="1"/>
  <c r="N33" i="1"/>
  <c r="N32" i="1"/>
  <c r="N31" i="1"/>
  <c r="N30" i="1"/>
  <c r="N29" i="1"/>
  <c r="N28" i="1"/>
  <c r="J39" i="1"/>
  <c r="J38" i="1"/>
  <c r="J37" i="1"/>
  <c r="J36" i="1"/>
  <c r="J35" i="1"/>
  <c r="J34" i="1"/>
  <c r="N39" i="1"/>
  <c r="N38" i="1"/>
  <c r="N37" i="1"/>
  <c r="N36" i="1"/>
  <c r="N35" i="1"/>
  <c r="N34" i="1"/>
  <c r="J45" i="1"/>
  <c r="J44" i="1"/>
  <c r="J43" i="1"/>
  <c r="J42" i="1"/>
  <c r="J41" i="1"/>
  <c r="J40" i="1"/>
  <c r="N45" i="1"/>
  <c r="N44" i="1"/>
  <c r="N43" i="1"/>
  <c r="N42" i="1"/>
  <c r="N41" i="1"/>
  <c r="N40" i="1"/>
  <c r="J51" i="1"/>
  <c r="J50" i="1"/>
  <c r="J49" i="1"/>
  <c r="J48" i="1"/>
  <c r="J47" i="1"/>
  <c r="J46" i="1"/>
  <c r="N51" i="1"/>
  <c r="N50" i="1"/>
  <c r="N49" i="1"/>
  <c r="N48" i="1"/>
  <c r="N47" i="1"/>
  <c r="N46" i="1"/>
  <c r="H52" i="1"/>
  <c r="J52" i="1"/>
  <c r="L52" i="1"/>
  <c r="N52" i="1"/>
  <c r="P52" i="1"/>
  <c r="H53" i="1"/>
  <c r="J53" i="1"/>
  <c r="L53" i="1"/>
  <c r="N53" i="1"/>
  <c r="P53" i="1"/>
  <c r="H54" i="1"/>
  <c r="J54" i="1"/>
  <c r="H63" i="1"/>
  <c r="H62" i="1"/>
  <c r="H61" i="1"/>
  <c r="H60" i="1"/>
  <c r="H59" i="1"/>
  <c r="H58" i="1"/>
  <c r="L63" i="1"/>
  <c r="L62" i="1"/>
  <c r="L61" i="1"/>
  <c r="L60" i="1"/>
  <c r="L59" i="1"/>
  <c r="L58" i="1"/>
  <c r="P63" i="1"/>
  <c r="P62" i="1"/>
  <c r="P61" i="1"/>
  <c r="P60" i="1"/>
  <c r="P59" i="1"/>
  <c r="P58" i="1"/>
  <c r="H69" i="1"/>
  <c r="H68" i="1"/>
  <c r="H67" i="1"/>
  <c r="H66" i="1"/>
  <c r="H65" i="1"/>
  <c r="H64" i="1"/>
  <c r="L69" i="1"/>
  <c r="L68" i="1"/>
  <c r="L67" i="1"/>
  <c r="L66" i="1"/>
  <c r="L65" i="1"/>
  <c r="L64" i="1"/>
  <c r="P69" i="1"/>
  <c r="P68" i="1"/>
  <c r="P67" i="1"/>
  <c r="P66" i="1"/>
  <c r="P65" i="1"/>
  <c r="P64" i="1"/>
  <c r="H75" i="1"/>
  <c r="H74" i="1"/>
  <c r="H73" i="1"/>
  <c r="H72" i="1"/>
  <c r="H71" i="1"/>
  <c r="H70" i="1"/>
  <c r="L75" i="1"/>
  <c r="L74" i="1"/>
  <c r="L73" i="1"/>
  <c r="L72" i="1"/>
  <c r="L71" i="1"/>
  <c r="L70" i="1"/>
  <c r="P75" i="1"/>
  <c r="P74" i="1"/>
  <c r="P73" i="1"/>
  <c r="P72" i="1"/>
  <c r="P71" i="1"/>
  <c r="P70" i="1"/>
  <c r="H81" i="1"/>
  <c r="H80" i="1"/>
  <c r="H79" i="1"/>
  <c r="H78" i="1"/>
  <c r="H77" i="1"/>
  <c r="H76" i="1"/>
  <c r="L81" i="1"/>
  <c r="L80" i="1"/>
  <c r="L79" i="1"/>
  <c r="L78" i="1"/>
  <c r="L77" i="1"/>
  <c r="L76" i="1"/>
  <c r="P81" i="1"/>
  <c r="P80" i="1"/>
  <c r="P79" i="1"/>
  <c r="P78" i="1"/>
  <c r="P77" i="1"/>
  <c r="P76" i="1"/>
  <c r="H87" i="1"/>
  <c r="H86" i="1"/>
  <c r="H85" i="1"/>
  <c r="H84" i="1"/>
  <c r="H83" i="1"/>
  <c r="H82" i="1"/>
  <c r="L87" i="1"/>
  <c r="L86" i="1"/>
  <c r="L85" i="1"/>
  <c r="L84" i="1"/>
  <c r="L83" i="1"/>
  <c r="L82" i="1"/>
  <c r="P87" i="1"/>
  <c r="P86" i="1"/>
  <c r="P85" i="1"/>
  <c r="P84" i="1"/>
  <c r="P83" i="1"/>
  <c r="P82" i="1"/>
  <c r="H57" i="1"/>
  <c r="H56" i="1"/>
  <c r="J57" i="1"/>
  <c r="J56" i="1"/>
  <c r="L57" i="1"/>
  <c r="L56" i="1"/>
  <c r="L55" i="1"/>
  <c r="N57" i="1"/>
  <c r="N56" i="1"/>
  <c r="N55" i="1"/>
  <c r="P57" i="1"/>
  <c r="P56" i="1"/>
  <c r="P55" i="1"/>
  <c r="J63" i="1"/>
  <c r="J62" i="1"/>
  <c r="J61" i="1"/>
  <c r="J60" i="1"/>
  <c r="J59" i="1"/>
  <c r="J58" i="1"/>
  <c r="N63" i="1"/>
  <c r="N62" i="1"/>
  <c r="N61" i="1"/>
  <c r="N60" i="1"/>
  <c r="N59" i="1"/>
  <c r="N58" i="1"/>
  <c r="J69" i="1"/>
  <c r="J68" i="1"/>
  <c r="J67" i="1"/>
  <c r="J66" i="1"/>
  <c r="J65" i="1"/>
  <c r="J64" i="1"/>
  <c r="N69" i="1"/>
  <c r="N68" i="1"/>
  <c r="N67" i="1"/>
  <c r="N66" i="1"/>
  <c r="N65" i="1"/>
  <c r="N64" i="1"/>
  <c r="J75" i="1"/>
  <c r="J74" i="1"/>
  <c r="J73" i="1"/>
  <c r="J72" i="1"/>
  <c r="J71" i="1"/>
  <c r="J70" i="1"/>
  <c r="N75" i="1"/>
  <c r="N74" i="1"/>
  <c r="N73" i="1"/>
  <c r="N72" i="1"/>
  <c r="N71" i="1"/>
  <c r="N70" i="1"/>
  <c r="J81" i="1"/>
  <c r="J80" i="1"/>
  <c r="J79" i="1"/>
  <c r="J78" i="1"/>
  <c r="J77" i="1"/>
  <c r="J76" i="1"/>
  <c r="N81" i="1"/>
  <c r="N80" i="1"/>
  <c r="N79" i="1"/>
  <c r="N78" i="1"/>
  <c r="N77" i="1"/>
  <c r="N76" i="1"/>
  <c r="J87" i="1"/>
  <c r="J86" i="1"/>
  <c r="J85" i="1"/>
  <c r="J84" i="1"/>
  <c r="J83" i="1"/>
  <c r="J82" i="1"/>
  <c r="N87" i="1"/>
  <c r="N86" i="1"/>
  <c r="N85" i="1"/>
  <c r="N84" i="1"/>
  <c r="N83" i="1"/>
  <c r="N82" i="1"/>
  <c r="H93" i="1"/>
  <c r="H92" i="1"/>
  <c r="H91" i="1"/>
  <c r="H90" i="1"/>
  <c r="J93" i="1"/>
  <c r="J92" i="1"/>
  <c r="J91" i="1"/>
  <c r="J90" i="1"/>
  <c r="J89" i="1"/>
  <c r="L93" i="1"/>
  <c r="L92" i="1"/>
  <c r="L91" i="1"/>
  <c r="L90" i="1"/>
  <c r="L89" i="1"/>
  <c r="N93" i="1"/>
  <c r="N92" i="1"/>
  <c r="N91" i="1"/>
  <c r="N90" i="1"/>
  <c r="N89" i="1"/>
  <c r="P93" i="1"/>
  <c r="P92" i="1"/>
  <c r="P91" i="1"/>
  <c r="P90" i="1"/>
  <c r="P89" i="1"/>
  <c r="H99" i="1"/>
  <c r="H98" i="1"/>
  <c r="H97" i="1"/>
  <c r="H96" i="1"/>
  <c r="H95" i="1"/>
  <c r="H94" i="1"/>
  <c r="L99" i="1"/>
  <c r="L98" i="1"/>
  <c r="L97" i="1"/>
  <c r="L96" i="1"/>
  <c r="L95" i="1"/>
  <c r="L94" i="1"/>
  <c r="P99" i="1"/>
  <c r="P98" i="1"/>
  <c r="P97" i="1"/>
  <c r="P96" i="1"/>
  <c r="P95" i="1"/>
  <c r="P94" i="1"/>
  <c r="H105" i="1"/>
  <c r="H104" i="1"/>
  <c r="H103" i="1"/>
  <c r="H102" i="1"/>
  <c r="H101" i="1"/>
  <c r="H100" i="1"/>
  <c r="L105" i="1"/>
  <c r="L104" i="1"/>
  <c r="L103" i="1"/>
  <c r="L102" i="1"/>
  <c r="L101" i="1"/>
  <c r="L100" i="1"/>
  <c r="P105" i="1"/>
  <c r="P104" i="1"/>
  <c r="P103" i="1"/>
  <c r="P102" i="1"/>
  <c r="P101" i="1"/>
  <c r="P100" i="1"/>
  <c r="H88" i="1"/>
  <c r="J88" i="1"/>
  <c r="L88" i="1"/>
  <c r="N88" i="1"/>
  <c r="P88" i="1"/>
  <c r="H89" i="1"/>
  <c r="J99" i="1"/>
  <c r="J98" i="1"/>
  <c r="J97" i="1"/>
  <c r="J96" i="1"/>
  <c r="J95" i="1"/>
  <c r="J94" i="1"/>
  <c r="N99" i="1"/>
  <c r="N98" i="1"/>
  <c r="N97" i="1"/>
  <c r="N96" i="1"/>
  <c r="N95" i="1"/>
  <c r="N94" i="1"/>
  <c r="J105" i="1"/>
  <c r="J104" i="1"/>
  <c r="J103" i="1"/>
  <c r="J102" i="1"/>
  <c r="J101" i="1"/>
  <c r="J100" i="1"/>
  <c r="N105" i="1"/>
  <c r="N104" i="1"/>
  <c r="N103" i="1"/>
  <c r="N102" i="1"/>
  <c r="N101" i="1"/>
  <c r="N100" i="1"/>
  <c r="H117" i="1"/>
  <c r="H116" i="1"/>
  <c r="H115" i="1"/>
  <c r="H114" i="1"/>
  <c r="J117" i="1"/>
  <c r="J116" i="1"/>
  <c r="J115" i="1"/>
  <c r="J114" i="1"/>
  <c r="L117" i="1"/>
  <c r="L116" i="1"/>
  <c r="L115" i="1"/>
  <c r="L114" i="1"/>
  <c r="N117" i="1"/>
  <c r="N116" i="1"/>
  <c r="N115" i="1"/>
  <c r="N114" i="1"/>
  <c r="P117" i="1"/>
  <c r="P116" i="1"/>
  <c r="P115" i="1"/>
  <c r="P114" i="1"/>
  <c r="H123" i="1"/>
  <c r="H122" i="1"/>
  <c r="H121" i="1"/>
  <c r="H120" i="1"/>
  <c r="H119" i="1"/>
  <c r="H118" i="1"/>
  <c r="L123" i="1"/>
  <c r="L122" i="1"/>
  <c r="L121" i="1"/>
  <c r="L120" i="1"/>
  <c r="L119" i="1"/>
  <c r="L118" i="1"/>
  <c r="P123" i="1"/>
  <c r="P122" i="1"/>
  <c r="P121" i="1"/>
  <c r="P120" i="1"/>
  <c r="P119" i="1"/>
  <c r="P118" i="1"/>
  <c r="H129" i="1"/>
  <c r="H128" i="1"/>
  <c r="H127" i="1"/>
  <c r="H126" i="1"/>
  <c r="H125" i="1"/>
  <c r="H124" i="1"/>
  <c r="L129" i="1"/>
  <c r="L128" i="1"/>
  <c r="L127" i="1"/>
  <c r="L126" i="1"/>
  <c r="L125" i="1"/>
  <c r="L124" i="1"/>
  <c r="P129" i="1"/>
  <c r="P128" i="1"/>
  <c r="P127" i="1"/>
  <c r="P126" i="1"/>
  <c r="P125" i="1"/>
  <c r="P124" i="1"/>
  <c r="J123" i="1"/>
  <c r="J122" i="1"/>
  <c r="J121" i="1"/>
  <c r="J120" i="1"/>
  <c r="J119" i="1"/>
  <c r="J118" i="1"/>
  <c r="N123" i="1"/>
  <c r="N122" i="1"/>
  <c r="N121" i="1"/>
  <c r="N120" i="1"/>
  <c r="N119" i="1"/>
  <c r="N118" i="1"/>
  <c r="J129" i="1"/>
  <c r="J128" i="1"/>
  <c r="J127" i="1"/>
  <c r="J126" i="1"/>
  <c r="J125" i="1"/>
  <c r="J124" i="1"/>
  <c r="N129" i="1"/>
  <c r="N128" i="1"/>
  <c r="N127" i="1"/>
  <c r="N126" i="1"/>
  <c r="N125" i="1"/>
  <c r="N124" i="1"/>
  <c r="H141" i="1"/>
  <c r="H140" i="1"/>
  <c r="H139" i="1"/>
  <c r="H138" i="1"/>
  <c r="H137" i="1"/>
  <c r="H136" i="1"/>
  <c r="L141" i="1"/>
  <c r="L140" i="1"/>
  <c r="L139" i="1"/>
  <c r="L138" i="1"/>
  <c r="L137" i="1"/>
  <c r="L136" i="1"/>
  <c r="P141" i="1"/>
  <c r="P140" i="1"/>
  <c r="P139" i="1"/>
  <c r="P138" i="1"/>
  <c r="P137" i="1"/>
  <c r="P136" i="1"/>
  <c r="H147" i="1"/>
  <c r="H146" i="1"/>
  <c r="H145" i="1"/>
  <c r="H144" i="1"/>
  <c r="H143" i="1"/>
  <c r="H142" i="1"/>
  <c r="L147" i="1"/>
  <c r="L146" i="1"/>
  <c r="L145" i="1"/>
  <c r="L144" i="1"/>
  <c r="L143" i="1"/>
  <c r="L142" i="1"/>
  <c r="P147" i="1"/>
  <c r="P146" i="1"/>
  <c r="P145" i="1"/>
  <c r="P144" i="1"/>
  <c r="P143" i="1"/>
  <c r="P142" i="1"/>
  <c r="H135" i="1"/>
  <c r="H134" i="1"/>
  <c r="H133" i="1"/>
  <c r="H132" i="1"/>
  <c r="H131" i="1"/>
  <c r="J135" i="1"/>
  <c r="J134" i="1"/>
  <c r="J133" i="1"/>
  <c r="J132" i="1"/>
  <c r="J131" i="1"/>
  <c r="L135" i="1"/>
  <c r="L134" i="1"/>
  <c r="L133" i="1"/>
  <c r="L132" i="1"/>
  <c r="L131" i="1"/>
  <c r="N135" i="1"/>
  <c r="N134" i="1"/>
  <c r="N133" i="1"/>
  <c r="N132" i="1"/>
  <c r="N131" i="1"/>
  <c r="P135" i="1"/>
  <c r="P134" i="1"/>
  <c r="P133" i="1"/>
  <c r="P132" i="1"/>
  <c r="P131" i="1"/>
  <c r="J141" i="1"/>
  <c r="J140" i="1"/>
  <c r="J139" i="1"/>
  <c r="J138" i="1"/>
  <c r="J137" i="1"/>
  <c r="J136" i="1"/>
  <c r="N141" i="1"/>
  <c r="N140" i="1"/>
  <c r="N139" i="1"/>
  <c r="N138" i="1"/>
  <c r="N137" i="1"/>
  <c r="N136" i="1"/>
  <c r="J147" i="1"/>
  <c r="J146" i="1"/>
  <c r="J145" i="1"/>
  <c r="J144" i="1"/>
  <c r="J143" i="1"/>
  <c r="J142" i="1"/>
  <c r="N147" i="1"/>
  <c r="N146" i="1"/>
  <c r="N145" i="1"/>
  <c r="N144" i="1"/>
  <c r="N143" i="1"/>
  <c r="N142" i="1"/>
  <c r="P178" i="3"/>
  <c r="N178" i="3"/>
  <c r="L178" i="3"/>
  <c r="J178" i="3"/>
  <c r="P177" i="3"/>
  <c r="N177" i="3"/>
  <c r="L177" i="3"/>
  <c r="J177" i="3"/>
  <c r="P176" i="3"/>
  <c r="N176" i="3"/>
  <c r="L176" i="3"/>
  <c r="J176" i="3"/>
  <c r="P175" i="3"/>
  <c r="N175" i="3"/>
  <c r="L175" i="3"/>
  <c r="J175" i="3"/>
  <c r="P174" i="3"/>
  <c r="N174" i="3"/>
  <c r="L174" i="3"/>
  <c r="J174" i="3"/>
  <c r="P173" i="3"/>
  <c r="N173" i="3"/>
  <c r="L173" i="3"/>
  <c r="J173" i="3"/>
  <c r="P171" i="3"/>
  <c r="N171" i="3"/>
  <c r="L171" i="3"/>
  <c r="J171" i="3"/>
  <c r="P170" i="3"/>
  <c r="N170" i="3"/>
  <c r="L170" i="3"/>
  <c r="J170" i="3"/>
  <c r="P169" i="3"/>
  <c r="N169" i="3"/>
  <c r="L169" i="3"/>
  <c r="J169" i="3"/>
  <c r="P168" i="3"/>
  <c r="N168" i="3"/>
  <c r="L168" i="3"/>
  <c r="J168" i="3"/>
  <c r="P167" i="3"/>
  <c r="N167" i="3"/>
  <c r="L167" i="3"/>
  <c r="J167" i="3"/>
  <c r="P166" i="3"/>
  <c r="N166" i="3"/>
  <c r="L166" i="3"/>
  <c r="J166" i="3"/>
  <c r="P164" i="3"/>
  <c r="N164" i="3"/>
  <c r="L164" i="3"/>
  <c r="J164" i="3"/>
  <c r="P163" i="3"/>
  <c r="N163" i="3"/>
  <c r="L163" i="3"/>
  <c r="J163" i="3"/>
  <c r="P162" i="3"/>
  <c r="N162" i="3"/>
  <c r="L162" i="3"/>
  <c r="J162" i="3"/>
  <c r="P161" i="3"/>
  <c r="N161" i="3"/>
  <c r="L161" i="3"/>
  <c r="J161" i="3"/>
  <c r="P160" i="3"/>
  <c r="N160" i="3"/>
  <c r="L160" i="3"/>
  <c r="J160" i="3"/>
  <c r="P159" i="3"/>
  <c r="N159" i="3"/>
  <c r="L159" i="3"/>
  <c r="J159" i="3"/>
  <c r="P157" i="3"/>
  <c r="N157" i="3"/>
  <c r="L157" i="3"/>
  <c r="J157" i="3"/>
  <c r="P156" i="3"/>
  <c r="N156" i="3"/>
  <c r="L156" i="3"/>
  <c r="J156" i="3"/>
  <c r="P155" i="3"/>
  <c r="N155" i="3"/>
  <c r="L155" i="3"/>
  <c r="J155" i="3"/>
  <c r="P154" i="3"/>
  <c r="N154" i="3"/>
  <c r="L154" i="3"/>
  <c r="J154" i="3"/>
  <c r="P153" i="3"/>
  <c r="N153" i="3"/>
  <c r="L153" i="3"/>
  <c r="J153" i="3"/>
  <c r="P152" i="3"/>
  <c r="N152" i="3"/>
  <c r="L152" i="3"/>
  <c r="J152" i="3"/>
  <c r="P150" i="3"/>
  <c r="N150" i="3"/>
  <c r="L150" i="3"/>
  <c r="J150" i="3"/>
  <c r="P149" i="3"/>
  <c r="N149" i="3"/>
  <c r="L149" i="3"/>
  <c r="J149" i="3"/>
  <c r="P148" i="3"/>
  <c r="N148" i="3"/>
  <c r="L148" i="3"/>
  <c r="J148" i="3"/>
  <c r="P147" i="3"/>
  <c r="N147" i="3"/>
  <c r="L147" i="3"/>
  <c r="J147" i="3"/>
  <c r="P146" i="3"/>
  <c r="N146" i="3"/>
  <c r="L146" i="3"/>
  <c r="J146" i="3"/>
  <c r="P145" i="3"/>
  <c r="N145" i="3"/>
  <c r="L145" i="3"/>
  <c r="J145" i="3"/>
  <c r="P143" i="3"/>
  <c r="N143" i="3"/>
  <c r="L143" i="3"/>
  <c r="J143" i="3"/>
  <c r="P142" i="3"/>
  <c r="N142" i="3"/>
  <c r="L142" i="3"/>
  <c r="J142" i="3"/>
  <c r="P141" i="3"/>
  <c r="N141" i="3"/>
  <c r="L141" i="3"/>
  <c r="J141" i="3"/>
  <c r="P140" i="3"/>
  <c r="N140" i="3"/>
  <c r="L140" i="3"/>
  <c r="J140" i="3"/>
  <c r="P139" i="3"/>
  <c r="N139" i="3"/>
  <c r="L139" i="3"/>
  <c r="J139" i="3"/>
  <c r="P138" i="3"/>
  <c r="N138" i="3"/>
  <c r="L138" i="3"/>
  <c r="J138" i="3"/>
  <c r="P136" i="3"/>
  <c r="N136" i="3"/>
  <c r="L136" i="3"/>
  <c r="J136" i="3"/>
  <c r="P135" i="3"/>
  <c r="N135" i="3"/>
  <c r="L135" i="3"/>
  <c r="J135" i="3"/>
  <c r="P134" i="3"/>
  <c r="N134" i="3"/>
  <c r="L134" i="3"/>
  <c r="J134" i="3"/>
  <c r="P133" i="3"/>
  <c r="N133" i="3"/>
  <c r="L133" i="3"/>
  <c r="J133" i="3"/>
  <c r="P132" i="3"/>
  <c r="N132" i="3"/>
  <c r="L132" i="3"/>
  <c r="J132" i="3"/>
  <c r="P131" i="3"/>
  <c r="N131" i="3"/>
  <c r="L131" i="3"/>
  <c r="J131" i="3"/>
  <c r="P129" i="3"/>
  <c r="N129" i="3"/>
  <c r="L129" i="3"/>
  <c r="J129" i="3"/>
  <c r="P128" i="3"/>
  <c r="N128" i="3"/>
  <c r="L128" i="3"/>
  <c r="J128" i="3"/>
  <c r="P127" i="3"/>
  <c r="N127" i="3"/>
  <c r="L127" i="3"/>
  <c r="J127" i="3"/>
  <c r="P126" i="3"/>
  <c r="N126" i="3"/>
  <c r="L126" i="3"/>
  <c r="J126" i="3"/>
  <c r="P125" i="3"/>
  <c r="N125" i="3"/>
  <c r="L125" i="3"/>
  <c r="J125" i="3"/>
  <c r="P124" i="3"/>
  <c r="N124" i="3"/>
  <c r="L124" i="3"/>
  <c r="J124" i="3"/>
  <c r="P122" i="3"/>
  <c r="N122" i="3"/>
  <c r="L122" i="3"/>
  <c r="J122" i="3"/>
  <c r="P121" i="3"/>
  <c r="N121" i="3"/>
  <c r="L121" i="3"/>
  <c r="J121" i="3"/>
  <c r="P120" i="3"/>
  <c r="N120" i="3"/>
  <c r="L120" i="3"/>
  <c r="J120" i="3"/>
  <c r="P119" i="3"/>
  <c r="N119" i="3"/>
  <c r="L119" i="3"/>
  <c r="J119" i="3"/>
  <c r="P118" i="3"/>
  <c r="N118" i="3"/>
  <c r="L118" i="3"/>
  <c r="J118" i="3"/>
  <c r="P117" i="3"/>
  <c r="N117" i="3"/>
  <c r="L117" i="3"/>
  <c r="J117" i="3"/>
  <c r="P115" i="3"/>
  <c r="N115" i="3"/>
  <c r="L115" i="3"/>
  <c r="J115" i="3"/>
  <c r="P114" i="3"/>
  <c r="N114" i="3"/>
  <c r="L114" i="3"/>
  <c r="J114" i="3"/>
  <c r="P113" i="3"/>
  <c r="N113" i="3"/>
  <c r="L113" i="3"/>
  <c r="J113" i="3"/>
  <c r="P112" i="3"/>
  <c r="N112" i="3"/>
  <c r="L112" i="3"/>
  <c r="J112" i="3"/>
  <c r="P111" i="3"/>
  <c r="N111" i="3"/>
  <c r="L111" i="3"/>
  <c r="J111" i="3"/>
  <c r="P110" i="3"/>
  <c r="N110" i="3"/>
  <c r="L110" i="3"/>
  <c r="J110" i="3"/>
  <c r="P108" i="3"/>
  <c r="N108" i="3"/>
  <c r="L108" i="3"/>
  <c r="J108" i="3"/>
  <c r="P107" i="3"/>
  <c r="N107" i="3"/>
  <c r="L107" i="3"/>
  <c r="J107" i="3"/>
  <c r="P106" i="3"/>
  <c r="N106" i="3"/>
  <c r="L106" i="3"/>
  <c r="J106" i="3"/>
  <c r="P105" i="3"/>
  <c r="N105" i="3"/>
  <c r="L105" i="3"/>
  <c r="J105" i="3"/>
  <c r="P104" i="3"/>
  <c r="N104" i="3"/>
  <c r="L104" i="3"/>
  <c r="J104" i="3"/>
  <c r="P103" i="3"/>
  <c r="N103" i="3"/>
  <c r="L103" i="3"/>
  <c r="J103" i="3"/>
  <c r="P101" i="3"/>
  <c r="N101" i="3"/>
  <c r="L101" i="3"/>
  <c r="J101" i="3"/>
  <c r="P100" i="3"/>
  <c r="N100" i="3"/>
  <c r="L100" i="3"/>
  <c r="J100" i="3"/>
  <c r="P99" i="3"/>
  <c r="N99" i="3"/>
  <c r="L99" i="3"/>
  <c r="J99" i="3"/>
  <c r="P98" i="3"/>
  <c r="N98" i="3"/>
  <c r="L98" i="3"/>
  <c r="J98" i="3"/>
  <c r="P97" i="3"/>
  <c r="N97" i="3"/>
  <c r="L97" i="3"/>
  <c r="J97" i="3"/>
  <c r="P96" i="3"/>
  <c r="N96" i="3"/>
  <c r="L96" i="3"/>
  <c r="J96" i="3"/>
  <c r="P94" i="3"/>
  <c r="N94" i="3"/>
  <c r="L94" i="3"/>
  <c r="J94" i="3"/>
  <c r="P93" i="3"/>
  <c r="N93" i="3"/>
  <c r="L93" i="3"/>
  <c r="J93" i="3"/>
  <c r="P92" i="3"/>
  <c r="N92" i="3"/>
  <c r="L92" i="3"/>
  <c r="J92" i="3"/>
  <c r="P91" i="3"/>
  <c r="N91" i="3"/>
  <c r="L91" i="3"/>
  <c r="J91" i="3"/>
  <c r="P90" i="3"/>
  <c r="N90" i="3"/>
  <c r="L90" i="3"/>
  <c r="J90" i="3"/>
  <c r="P89" i="3"/>
  <c r="N89" i="3"/>
  <c r="L89" i="3"/>
  <c r="J89" i="3"/>
  <c r="P87" i="3"/>
  <c r="N87" i="3"/>
  <c r="L87" i="3"/>
  <c r="J87" i="3"/>
  <c r="P86" i="3"/>
  <c r="N86" i="3"/>
  <c r="L86" i="3"/>
  <c r="J86" i="3"/>
  <c r="P85" i="3"/>
  <c r="N85" i="3"/>
  <c r="L85" i="3"/>
  <c r="J85" i="3"/>
  <c r="P84" i="3"/>
  <c r="N84" i="3"/>
  <c r="L84" i="3"/>
  <c r="J84" i="3"/>
  <c r="P83" i="3"/>
  <c r="N83" i="3"/>
  <c r="L83" i="3"/>
  <c r="J83" i="3"/>
  <c r="P82" i="3"/>
  <c r="N82" i="3"/>
  <c r="L82" i="3"/>
  <c r="J82" i="3"/>
  <c r="P80" i="3"/>
  <c r="N80" i="3"/>
  <c r="L80" i="3"/>
  <c r="J80" i="3"/>
  <c r="P79" i="3"/>
  <c r="N79" i="3"/>
  <c r="L79" i="3"/>
  <c r="J79" i="3"/>
  <c r="P78" i="3"/>
  <c r="N78" i="3"/>
  <c r="L78" i="3"/>
  <c r="J78" i="3"/>
  <c r="P77" i="3"/>
  <c r="N77" i="3"/>
  <c r="L77" i="3"/>
  <c r="J77" i="3"/>
  <c r="P76" i="3"/>
  <c r="N76" i="3"/>
  <c r="L76" i="3"/>
  <c r="J76" i="3"/>
  <c r="P75" i="3"/>
  <c r="N75" i="3"/>
  <c r="L75" i="3"/>
  <c r="J75" i="3"/>
  <c r="P73" i="3"/>
  <c r="N73" i="3"/>
  <c r="L73" i="3"/>
  <c r="J73" i="3"/>
  <c r="P72" i="3"/>
  <c r="N72" i="3"/>
  <c r="L72" i="3"/>
  <c r="J72" i="3"/>
  <c r="P71" i="3"/>
  <c r="N71" i="3"/>
  <c r="L71" i="3"/>
  <c r="J71" i="3"/>
  <c r="P70" i="3"/>
  <c r="N70" i="3"/>
  <c r="L70" i="3"/>
  <c r="J70" i="3"/>
  <c r="P69" i="3"/>
  <c r="N69" i="3"/>
  <c r="L69" i="3"/>
  <c r="J69" i="3"/>
  <c r="P68" i="3"/>
  <c r="N68" i="3"/>
  <c r="L68" i="3"/>
  <c r="J68" i="3"/>
  <c r="P66" i="3"/>
  <c r="N66" i="3"/>
  <c r="L66" i="3"/>
  <c r="J66" i="3"/>
  <c r="P65" i="3"/>
  <c r="N65" i="3"/>
  <c r="L65" i="3"/>
  <c r="J65" i="3"/>
  <c r="P64" i="3"/>
  <c r="N64" i="3"/>
  <c r="L64" i="3"/>
  <c r="J64" i="3"/>
  <c r="P63" i="3"/>
  <c r="N63" i="3"/>
  <c r="L63" i="3"/>
  <c r="J63" i="3"/>
  <c r="P62" i="3"/>
  <c r="N62" i="3"/>
  <c r="L62" i="3"/>
  <c r="J62" i="3"/>
  <c r="P61" i="3"/>
  <c r="N61" i="3"/>
  <c r="L61" i="3"/>
  <c r="J61" i="3"/>
  <c r="P59" i="3"/>
  <c r="N59" i="3"/>
  <c r="L59" i="3"/>
  <c r="J59" i="3"/>
  <c r="P58" i="3"/>
  <c r="N58" i="3"/>
  <c r="L58" i="3"/>
  <c r="J58" i="3"/>
  <c r="P57" i="3"/>
  <c r="N57" i="3"/>
  <c r="L57" i="3"/>
  <c r="J57" i="3"/>
  <c r="P56" i="3"/>
  <c r="N56" i="3"/>
  <c r="L56" i="3"/>
  <c r="J56" i="3"/>
  <c r="P55" i="3"/>
  <c r="N55" i="3"/>
  <c r="L55" i="3"/>
  <c r="J55" i="3"/>
  <c r="P54" i="3"/>
  <c r="N54" i="3"/>
  <c r="L54" i="3"/>
  <c r="J54" i="3"/>
  <c r="P52" i="3"/>
  <c r="N52" i="3"/>
  <c r="L52" i="3"/>
  <c r="J52" i="3"/>
  <c r="P51" i="3"/>
  <c r="N51" i="3"/>
  <c r="L51" i="3"/>
  <c r="J51" i="3"/>
  <c r="P50" i="3"/>
  <c r="N50" i="3"/>
  <c r="L50" i="3"/>
  <c r="J50" i="3"/>
  <c r="P49" i="3"/>
  <c r="N49" i="3"/>
  <c r="L49" i="3"/>
  <c r="J49" i="3"/>
  <c r="P48" i="3"/>
  <c r="N48" i="3"/>
  <c r="L48" i="3"/>
  <c r="J48" i="3"/>
  <c r="P47" i="3"/>
  <c r="N47" i="3"/>
  <c r="L47" i="3"/>
  <c r="J47" i="3"/>
  <c r="P45" i="3"/>
  <c r="N45" i="3"/>
  <c r="L45" i="3"/>
  <c r="J45" i="3"/>
  <c r="P44" i="3"/>
  <c r="N44" i="3"/>
  <c r="L44" i="3"/>
  <c r="J44" i="3"/>
  <c r="P43" i="3"/>
  <c r="N43" i="3"/>
  <c r="L43" i="3"/>
  <c r="J43" i="3"/>
  <c r="P42" i="3"/>
  <c r="N42" i="3"/>
  <c r="L42" i="3"/>
  <c r="J42" i="3"/>
  <c r="P41" i="3"/>
  <c r="N41" i="3"/>
  <c r="L41" i="3"/>
  <c r="J41" i="3"/>
  <c r="P40" i="3"/>
  <c r="N40" i="3"/>
  <c r="L40" i="3"/>
  <c r="J40" i="3"/>
  <c r="P38" i="3"/>
  <c r="N38" i="3"/>
  <c r="L38" i="3"/>
  <c r="J38" i="3"/>
  <c r="P37" i="3"/>
  <c r="N37" i="3"/>
  <c r="L37" i="3"/>
  <c r="J37" i="3"/>
  <c r="P36" i="3"/>
  <c r="N36" i="3"/>
  <c r="L36" i="3"/>
  <c r="J36" i="3"/>
  <c r="P35" i="3"/>
  <c r="N35" i="3"/>
  <c r="L35" i="3"/>
  <c r="J35" i="3"/>
  <c r="P34" i="3"/>
  <c r="N34" i="3"/>
  <c r="L34" i="3"/>
  <c r="J34" i="3"/>
  <c r="P33" i="3"/>
  <c r="N33" i="3"/>
  <c r="L33" i="3"/>
  <c r="J33" i="3"/>
  <c r="P31" i="3"/>
  <c r="N31" i="3"/>
  <c r="L31" i="3"/>
  <c r="J31" i="3"/>
  <c r="P30" i="3"/>
  <c r="N30" i="3"/>
  <c r="L30" i="3"/>
  <c r="J30" i="3"/>
  <c r="P29" i="3"/>
  <c r="N29" i="3"/>
  <c r="L29" i="3"/>
  <c r="J29" i="3"/>
  <c r="P28" i="3"/>
  <c r="N28" i="3"/>
  <c r="L28" i="3"/>
  <c r="J28" i="3"/>
  <c r="P27" i="3"/>
  <c r="N27" i="3"/>
  <c r="L27" i="3"/>
  <c r="J27" i="3"/>
  <c r="P26" i="3"/>
  <c r="N26" i="3"/>
  <c r="L26" i="3"/>
  <c r="J26" i="3"/>
  <c r="P24" i="3"/>
  <c r="N24" i="3"/>
  <c r="L24" i="3"/>
  <c r="J24" i="3"/>
  <c r="P23" i="3"/>
  <c r="N23" i="3"/>
  <c r="L23" i="3"/>
  <c r="J23" i="3"/>
  <c r="P22" i="3"/>
  <c r="N22" i="3"/>
  <c r="L22" i="3"/>
  <c r="J22" i="3"/>
  <c r="P21" i="3"/>
  <c r="N21" i="3"/>
  <c r="L21" i="3"/>
  <c r="J21" i="3"/>
  <c r="P20" i="3"/>
  <c r="N20" i="3"/>
  <c r="L20" i="3"/>
  <c r="J20" i="3"/>
  <c r="P19" i="3"/>
  <c r="N19" i="3"/>
  <c r="L19" i="3"/>
  <c r="J19" i="3"/>
  <c r="P17" i="3"/>
  <c r="N17" i="3"/>
  <c r="L17" i="3"/>
  <c r="J17" i="3"/>
  <c r="P16" i="3"/>
  <c r="N16" i="3"/>
  <c r="L16" i="3"/>
  <c r="J16" i="3"/>
  <c r="P15" i="3"/>
  <c r="N15" i="3"/>
  <c r="L15" i="3"/>
  <c r="J15" i="3"/>
  <c r="P14" i="3"/>
  <c r="N14" i="3"/>
  <c r="L14" i="3"/>
  <c r="J14" i="3"/>
  <c r="P13" i="3"/>
  <c r="N13" i="3"/>
  <c r="L13" i="3"/>
  <c r="J13" i="3"/>
  <c r="P12" i="3"/>
  <c r="N12" i="3"/>
  <c r="L12" i="3"/>
  <c r="J12" i="3"/>
  <c r="P10" i="3"/>
  <c r="N10" i="3"/>
  <c r="L10" i="3"/>
  <c r="J10" i="3"/>
  <c r="P9" i="3"/>
  <c r="N9" i="3"/>
  <c r="L9" i="3"/>
  <c r="J9" i="3"/>
  <c r="P8" i="3"/>
  <c r="N8" i="3"/>
  <c r="L8" i="3"/>
  <c r="J8" i="3"/>
  <c r="P7" i="3"/>
  <c r="N7" i="3"/>
  <c r="L7" i="3"/>
  <c r="J7" i="3"/>
  <c r="P6" i="3"/>
  <c r="N6" i="3"/>
  <c r="L6" i="3"/>
  <c r="J6" i="3"/>
  <c r="P5" i="3"/>
  <c r="N5" i="3"/>
  <c r="L5" i="3"/>
  <c r="J5" i="3"/>
</calcChain>
</file>

<file path=xl/sharedStrings.xml><?xml version="1.0" encoding="utf-8"?>
<sst xmlns="http://schemas.openxmlformats.org/spreadsheetml/2006/main" count="1248" uniqueCount="549">
  <si>
    <t>ID</t>
    <phoneticPr fontId="1" type="noConversion"/>
  </si>
  <si>
    <t>Level</t>
    <phoneticPr fontId="1" type="noConversion"/>
  </si>
  <si>
    <t>MoneyConsumption</t>
    <phoneticPr fontId="1" type="noConversion"/>
  </si>
  <si>
    <t>HerbConsumption</t>
  </si>
  <si>
    <t>WoodConsumption</t>
  </si>
  <si>
    <t>CrystalConsumption</t>
  </si>
  <si>
    <t>SilverConsumption</t>
  </si>
  <si>
    <t>ConditionBuildingID</t>
  </si>
  <si>
    <t>Param1</t>
  </si>
  <si>
    <t>Param2</t>
    <phoneticPr fontId="1" type="noConversion"/>
  </si>
  <si>
    <t>Param3</t>
  </si>
  <si>
    <t>Param4</t>
  </si>
  <si>
    <t>Name</t>
    <phoneticPr fontId="1" type="noConversion"/>
  </si>
  <si>
    <t>Effect</t>
    <phoneticPr fontId="1" type="noConversion"/>
  </si>
  <si>
    <t>Description</t>
    <phoneticPr fontId="1" type="noConversion"/>
  </si>
  <si>
    <t>MaxLevel</t>
    <phoneticPr fontId="1" type="noConversion"/>
  </si>
  <si>
    <t>ConditionBuildingLvl</t>
    <phoneticPr fontId="1" type="noConversion"/>
  </si>
  <si>
    <t>RoutineConsumption</t>
    <phoneticPr fontId="1" type="noConversion"/>
  </si>
  <si>
    <t>居所</t>
  </si>
  <si>
    <t>金库</t>
  </si>
  <si>
    <t>粮仓</t>
  </si>
  <si>
    <t>MaxNum</t>
    <phoneticPr fontId="1" type="noConversion"/>
  </si>
  <si>
    <t>CdtnBaseNpcID</t>
    <phoneticPr fontId="1" type="noConversion"/>
  </si>
  <si>
    <t>UpgradingSpellID</t>
    <phoneticPr fontId="1" type="noConversion"/>
  </si>
  <si>
    <t>ReviveTime</t>
    <phoneticPr fontId="1" type="noConversion"/>
  </si>
  <si>
    <t>TotalSilverConsumption</t>
    <phoneticPr fontId="1" type="noConversion"/>
  </si>
  <si>
    <t>TotalCrystalConsumption</t>
    <phoneticPr fontId="1" type="noConversion"/>
  </si>
  <si>
    <t>TotalWoodConsumption</t>
    <phoneticPr fontId="1" type="noConversion"/>
  </si>
  <si>
    <t>TotalHerbConsumption</t>
    <phoneticPr fontId="1" type="noConversion"/>
  </si>
  <si>
    <t>TotalMoneyConsumption</t>
    <phoneticPr fontId="1" type="noConversion"/>
  </si>
  <si>
    <t>9947</t>
  </si>
  <si>
    <t>Prosperity</t>
  </si>
  <si>
    <t>IntruderMsgID</t>
  </si>
  <si>
    <t>DefenderMsgID</t>
  </si>
  <si>
    <t>FewMembersReward</t>
  </si>
  <si>
    <t>SomeMembersReward</t>
  </si>
  <si>
    <t>ManyMembersReward</t>
  </si>
  <si>
    <t>NpcTemplateID</t>
  </si>
  <si>
    <t>9877</t>
    <phoneticPr fontId="1" type="noConversion"/>
  </si>
  <si>
    <t>9890</t>
    <phoneticPr fontId="1" type="noConversion"/>
  </si>
  <si>
    <t>公会防御建筑，路障能阻挡玩家通过，路障等级越高，防御力也越高。注：路障也会阻挡己方玩家通行。</t>
    <phoneticPr fontId="1" type="noConversion"/>
  </si>
  <si>
    <t>木仓</t>
    <phoneticPr fontId="1" type="noConversion"/>
  </si>
  <si>
    <t>城门</t>
    <phoneticPr fontId="1" type="noConversion"/>
  </si>
  <si>
    <t>字段名称</t>
    <phoneticPr fontId="1" type="noConversion"/>
  </si>
  <si>
    <t>字段解释</t>
    <phoneticPr fontId="1" type="noConversion"/>
  </si>
  <si>
    <t>建筑等级</t>
    <phoneticPr fontId="1" type="noConversion"/>
  </si>
  <si>
    <t>建筑名称</t>
    <phoneticPr fontId="1" type="noConversion"/>
  </si>
  <si>
    <t>建筑ID</t>
    <phoneticPr fontId="1" type="noConversion"/>
  </si>
  <si>
    <t>最高等级</t>
    <phoneticPr fontId="1" type="noConversion"/>
  </si>
  <si>
    <t>最大建造数量</t>
    <phoneticPr fontId="1" type="noConversion"/>
  </si>
  <si>
    <t>建筑繁荣度</t>
    <phoneticPr fontId="1" type="noConversion"/>
  </si>
  <si>
    <t>消耗公会资金</t>
    <phoneticPr fontId="1" type="noConversion"/>
  </si>
  <si>
    <t>备注</t>
    <phoneticPr fontId="1" type="noConversion"/>
  </si>
  <si>
    <t>消耗粮食</t>
    <phoneticPr fontId="1" type="noConversion"/>
  </si>
  <si>
    <t>总消耗资金</t>
    <phoneticPr fontId="1" type="noConversion"/>
  </si>
  <si>
    <t>总消耗粮食</t>
    <phoneticPr fontId="1" type="noConversion"/>
  </si>
  <si>
    <t>当前等级之前的所有等级之和（包括当前等级）</t>
    <phoneticPr fontId="1" type="noConversion"/>
  </si>
  <si>
    <t>消耗木材</t>
    <phoneticPr fontId="1" type="noConversion"/>
  </si>
  <si>
    <t>总消耗木材</t>
    <phoneticPr fontId="1" type="noConversion"/>
  </si>
  <si>
    <t>消耗石头</t>
    <phoneticPr fontId="1" type="noConversion"/>
  </si>
  <si>
    <t>总消耗石头</t>
    <phoneticPr fontId="1" type="noConversion"/>
  </si>
  <si>
    <t>消耗铁矿</t>
    <phoneticPr fontId="1" type="noConversion"/>
  </si>
  <si>
    <t>总消总铁矿</t>
    <phoneticPr fontId="1" type="noConversion"/>
  </si>
  <si>
    <t>同上</t>
    <phoneticPr fontId="1" type="noConversion"/>
  </si>
  <si>
    <t>升级时间</t>
    <phoneticPr fontId="1" type="noConversion"/>
  </si>
  <si>
    <t>单位：秒</t>
    <phoneticPr fontId="1" type="noConversion"/>
  </si>
  <si>
    <t>维护费用</t>
    <phoneticPr fontId="1" type="noConversion"/>
  </si>
  <si>
    <t>每小时扣除</t>
    <phoneticPr fontId="1" type="noConversion"/>
  </si>
  <si>
    <t>基座ID</t>
    <phoneticPr fontId="1" type="noConversion"/>
  </si>
  <si>
    <t>前置建筑等级</t>
    <phoneticPr fontId="1" type="noConversion"/>
  </si>
  <si>
    <t>升级时调用技能</t>
    <phoneticPr fontId="1" type="noConversion"/>
  </si>
  <si>
    <t>建筑模型NPCID</t>
    <phoneticPr fontId="1" type="noConversion"/>
  </si>
  <si>
    <t>重生时间</t>
    <phoneticPr fontId="1" type="noConversion"/>
  </si>
  <si>
    <t>摧毁后进攻方消息</t>
    <phoneticPr fontId="1" type="noConversion"/>
  </si>
  <si>
    <t>摧毁后防守方消息</t>
    <phoneticPr fontId="1" type="noConversion"/>
  </si>
  <si>
    <t>初级宝箱</t>
    <phoneticPr fontId="1" type="noConversion"/>
  </si>
  <si>
    <t>中级宝箱</t>
    <phoneticPr fontId="1" type="noConversion"/>
  </si>
  <si>
    <t>高级宝箱</t>
    <phoneticPr fontId="1" type="noConversion"/>
  </si>
  <si>
    <t>防守方人数1/3以下</t>
    <phoneticPr fontId="1" type="noConversion"/>
  </si>
  <si>
    <t>防守方人数1/3到2/3</t>
    <phoneticPr fontId="1" type="noConversion"/>
  </si>
  <si>
    <t>防守方人数2/3以上</t>
    <phoneticPr fontId="1" type="noConversion"/>
  </si>
  <si>
    <t>建筑描述</t>
    <phoneticPr fontId="1" type="noConversion"/>
  </si>
  <si>
    <t>居所：P1=增加人员上限
金库：P1=公会资金上限
场地建筑：P1=产量/每小时
仓库建筑：P1=增加资源存储上限</t>
    <phoneticPr fontId="1" type="noConversion"/>
  </si>
  <si>
    <t>建筑参数</t>
    <phoneticPr fontId="1" type="noConversion"/>
  </si>
  <si>
    <t>神坛是洗炼铭文的重要建筑，神坛等级越高，可以洗炼的铭文种类就越多</t>
    <phoneticPr fontId="1" type="noConversion"/>
  </si>
  <si>
    <t>前置建筑ID</t>
    <phoneticPr fontId="1" type="noConversion"/>
  </si>
  <si>
    <t>Level</t>
    <phoneticPr fontId="1" type="noConversion"/>
  </si>
  <si>
    <t>MaxLevel</t>
    <phoneticPr fontId="1" type="noConversion"/>
  </si>
  <si>
    <t>MaxNum</t>
    <phoneticPr fontId="1" type="noConversion"/>
  </si>
  <si>
    <t>Prosperity</t>
    <phoneticPr fontId="1" type="noConversion"/>
  </si>
  <si>
    <t>TotalHerbConsumption</t>
    <phoneticPr fontId="1" type="noConversion"/>
  </si>
  <si>
    <t>TotalCrystalConsumption</t>
    <phoneticPr fontId="1" type="noConversion"/>
  </si>
  <si>
    <t>ConditionBuildingLvl</t>
    <phoneticPr fontId="1" type="noConversion"/>
  </si>
  <si>
    <t>UpgradingSpellID</t>
    <phoneticPr fontId="1" type="noConversion"/>
  </si>
  <si>
    <t>DeadNpcTemplateID</t>
    <phoneticPr fontId="1" type="noConversion"/>
  </si>
  <si>
    <t>Param2</t>
    <phoneticPr fontId="1" type="noConversion"/>
  </si>
  <si>
    <t>Description</t>
    <phoneticPr fontId="1" type="noConversion"/>
  </si>
  <si>
    <t>Both</t>
    <phoneticPr fontId="1" type="noConversion"/>
  </si>
  <si>
    <t>Client</t>
    <phoneticPr fontId="1" type="noConversion"/>
  </si>
  <si>
    <t>Server</t>
    <phoneticPr fontId="1" type="noConversion"/>
  </si>
  <si>
    <t>主殿</t>
    <phoneticPr fontId="1" type="noConversion"/>
  </si>
  <si>
    <t>主殿是公会的最核心建筑，升级主殿能提升公会等级，使其能建造更多其他建筑</t>
    <phoneticPr fontId="1" type="noConversion"/>
  </si>
  <si>
    <t>9801</t>
    <phoneticPr fontId="1" type="noConversion"/>
  </si>
  <si>
    <t>主殿是公会的最核心建筑，升级主殿能提升公会等级，使其能建造更多其他建筑</t>
    <phoneticPr fontId="1" type="noConversion"/>
  </si>
  <si>
    <t>主殿</t>
    <phoneticPr fontId="1" type="noConversion"/>
  </si>
  <si>
    <t>9802</t>
    <phoneticPr fontId="1" type="noConversion"/>
  </si>
  <si>
    <t>9803</t>
    <phoneticPr fontId="1" type="noConversion"/>
  </si>
  <si>
    <t>9804</t>
    <phoneticPr fontId="1" type="noConversion"/>
  </si>
  <si>
    <t>9805</t>
    <phoneticPr fontId="1" type="noConversion"/>
  </si>
  <si>
    <t>商会</t>
    <phoneticPr fontId="1" type="noConversion"/>
  </si>
  <si>
    <t>商会是开启护送的重要建筑，商会等级越高，可以护送的货物也就越高</t>
    <phoneticPr fontId="1" type="noConversion"/>
  </si>
  <si>
    <t>9807</t>
    <phoneticPr fontId="1" type="noConversion"/>
  </si>
  <si>
    <t>商会</t>
    <phoneticPr fontId="1" type="noConversion"/>
  </si>
  <si>
    <t>9808</t>
    <phoneticPr fontId="1" type="noConversion"/>
  </si>
  <si>
    <t>9809</t>
    <phoneticPr fontId="1" type="noConversion"/>
  </si>
  <si>
    <t>9810</t>
    <phoneticPr fontId="1" type="noConversion"/>
  </si>
  <si>
    <t>9811</t>
    <phoneticPr fontId="1" type="noConversion"/>
  </si>
  <si>
    <t>9812</t>
    <phoneticPr fontId="1" type="noConversion"/>
  </si>
  <si>
    <t>神坛</t>
    <phoneticPr fontId="1" type="noConversion"/>
  </si>
  <si>
    <t>神坛是洗炼铭文的重要建筑，神坛等级越高，可以洗炼的铭文种类就越多</t>
    <phoneticPr fontId="1" type="noConversion"/>
  </si>
  <si>
    <t>9813</t>
    <phoneticPr fontId="1" type="noConversion"/>
  </si>
  <si>
    <t>神坛</t>
    <phoneticPr fontId="1" type="noConversion"/>
  </si>
  <si>
    <t>9814</t>
    <phoneticPr fontId="1" type="noConversion"/>
  </si>
  <si>
    <t>9815</t>
    <phoneticPr fontId="1" type="noConversion"/>
  </si>
  <si>
    <t>9816</t>
    <phoneticPr fontId="1" type="noConversion"/>
  </si>
  <si>
    <t>9817</t>
    <phoneticPr fontId="1" type="noConversion"/>
  </si>
  <si>
    <t>9818</t>
    <phoneticPr fontId="1" type="noConversion"/>
  </si>
  <si>
    <t>居所</t>
    <phoneticPr fontId="1" type="noConversion"/>
  </si>
  <si>
    <t>居所是决定公会人数的建筑，居所等级越高，公会能招收的成员也越多</t>
    <phoneticPr fontId="1" type="noConversion"/>
  </si>
  <si>
    <t>9819</t>
    <phoneticPr fontId="1" type="noConversion"/>
  </si>
  <si>
    <t>居所是决定公会人数的建筑，居所等级越高，公会能招收的成员也越多</t>
    <phoneticPr fontId="1" type="noConversion"/>
  </si>
  <si>
    <t>9820</t>
    <phoneticPr fontId="1" type="noConversion"/>
  </si>
  <si>
    <t>9821</t>
    <phoneticPr fontId="1" type="noConversion"/>
  </si>
  <si>
    <t>9822</t>
    <phoneticPr fontId="1" type="noConversion"/>
  </si>
  <si>
    <t>9823</t>
    <phoneticPr fontId="1" type="noConversion"/>
  </si>
  <si>
    <t>9824</t>
    <phoneticPr fontId="1" type="noConversion"/>
  </si>
  <si>
    <t>金库</t>
    <phoneticPr fontId="1" type="noConversion"/>
  </si>
  <si>
    <t>金库是存放公会资金的建筑，金库等级越高，公会资金上限也越大。公会战期间，可以通过对方金库来掠夺对方公会资金</t>
    <phoneticPr fontId="1" type="noConversion"/>
  </si>
  <si>
    <t>9825</t>
    <phoneticPr fontId="1" type="noConversion"/>
  </si>
  <si>
    <t>9826</t>
    <phoneticPr fontId="1" type="noConversion"/>
  </si>
  <si>
    <t>9827</t>
    <phoneticPr fontId="1" type="noConversion"/>
  </si>
  <si>
    <t>9828</t>
    <phoneticPr fontId="1" type="noConversion"/>
  </si>
  <si>
    <t>9829</t>
    <phoneticPr fontId="1" type="noConversion"/>
  </si>
  <si>
    <t>9830</t>
    <phoneticPr fontId="1" type="noConversion"/>
  </si>
  <si>
    <t>战事厅</t>
    <phoneticPr fontId="1" type="noConversion"/>
  </si>
  <si>
    <t>战事厅功能暂未开放</t>
    <phoneticPr fontId="1" type="noConversion"/>
  </si>
  <si>
    <t>9831</t>
    <phoneticPr fontId="1" type="noConversion"/>
  </si>
  <si>
    <t>战事厅功能暂未开放</t>
    <phoneticPr fontId="1" type="noConversion"/>
  </si>
  <si>
    <t>战事厅</t>
    <phoneticPr fontId="1" type="noConversion"/>
  </si>
  <si>
    <t>9832</t>
    <phoneticPr fontId="1" type="noConversion"/>
  </si>
  <si>
    <t>9833</t>
    <phoneticPr fontId="1" type="noConversion"/>
  </si>
  <si>
    <t>战事厅功能暂未开放</t>
    <phoneticPr fontId="1" type="noConversion"/>
  </si>
  <si>
    <t>9834</t>
    <phoneticPr fontId="1" type="noConversion"/>
  </si>
  <si>
    <t>9835</t>
    <phoneticPr fontId="1" type="noConversion"/>
  </si>
  <si>
    <t>9836</t>
    <phoneticPr fontId="1" type="noConversion"/>
  </si>
  <si>
    <t>图腾</t>
    <phoneticPr fontId="1" type="noConversion"/>
  </si>
  <si>
    <t>图腾是公会的标志建筑，公会战期间，图腾被摧毁即公会战失败。图腾等级越高，血量也越高</t>
    <phoneticPr fontId="1" type="noConversion"/>
  </si>
  <si>
    <t>9837</t>
    <phoneticPr fontId="1" type="noConversion"/>
  </si>
  <si>
    <t>图腾是公会的标志建筑，公会战期间，图腾被摧毁即公会战失败。图腾等级越高，血量也越高</t>
    <phoneticPr fontId="1" type="noConversion"/>
  </si>
  <si>
    <t>图腾</t>
    <phoneticPr fontId="1" type="noConversion"/>
  </si>
  <si>
    <t>9838</t>
    <phoneticPr fontId="1" type="noConversion"/>
  </si>
  <si>
    <t>9839</t>
    <phoneticPr fontId="1" type="noConversion"/>
  </si>
  <si>
    <t>9840</t>
    <phoneticPr fontId="1" type="noConversion"/>
  </si>
  <si>
    <t>9841</t>
    <phoneticPr fontId="1" type="noConversion"/>
  </si>
  <si>
    <t>9842</t>
    <phoneticPr fontId="1" type="noConversion"/>
  </si>
  <si>
    <t>农场</t>
    <phoneticPr fontId="1" type="noConversion"/>
  </si>
  <si>
    <t>农场</t>
    <phoneticPr fontId="1" type="noConversion"/>
  </si>
  <si>
    <t>农场可以产出公会粮食，农场等级越高，每小时产出的粮食越多</t>
    <phoneticPr fontId="1" type="noConversion"/>
  </si>
  <si>
    <t>农场可以产出公会粮食，农场等级越高，每小时产出的粮食越多</t>
    <phoneticPr fontId="1" type="noConversion"/>
  </si>
  <si>
    <t>9843</t>
    <phoneticPr fontId="1" type="noConversion"/>
  </si>
  <si>
    <t>9844</t>
    <phoneticPr fontId="1" type="noConversion"/>
  </si>
  <si>
    <t>9845</t>
    <phoneticPr fontId="1" type="noConversion"/>
  </si>
  <si>
    <t>9846</t>
    <phoneticPr fontId="1" type="noConversion"/>
  </si>
  <si>
    <t>9847</t>
    <phoneticPr fontId="1" type="noConversion"/>
  </si>
  <si>
    <t>9848</t>
    <phoneticPr fontId="1" type="noConversion"/>
  </si>
  <si>
    <t>林场</t>
    <phoneticPr fontId="1" type="noConversion"/>
  </si>
  <si>
    <t>林场可以产出公会木材，林场等级越高，每小时产出的木材越多</t>
    <phoneticPr fontId="1" type="noConversion"/>
  </si>
  <si>
    <t>9849</t>
    <phoneticPr fontId="1" type="noConversion"/>
  </si>
  <si>
    <t>林场可以产出公会木材，林场等级越高，每小时产出的木材越多</t>
    <phoneticPr fontId="1" type="noConversion"/>
  </si>
  <si>
    <t>林场</t>
    <phoneticPr fontId="1" type="noConversion"/>
  </si>
  <si>
    <t>9850</t>
    <phoneticPr fontId="1" type="noConversion"/>
  </si>
  <si>
    <t>9851</t>
    <phoneticPr fontId="1" type="noConversion"/>
  </si>
  <si>
    <t>9852</t>
    <phoneticPr fontId="1" type="noConversion"/>
  </si>
  <si>
    <t>9853</t>
    <phoneticPr fontId="1" type="noConversion"/>
  </si>
  <si>
    <t>9854</t>
    <phoneticPr fontId="1" type="noConversion"/>
  </si>
  <si>
    <t>石场</t>
    <phoneticPr fontId="1" type="noConversion"/>
  </si>
  <si>
    <t>石场可以产出公会石料，石场等级越高，每小时产出的石料越多</t>
    <phoneticPr fontId="1" type="noConversion"/>
  </si>
  <si>
    <t>9855</t>
    <phoneticPr fontId="1" type="noConversion"/>
  </si>
  <si>
    <t>石场可以产出公会石料，石场等级越高，每小时产出的石料越多</t>
    <phoneticPr fontId="1" type="noConversion"/>
  </si>
  <si>
    <t>石场</t>
    <phoneticPr fontId="1" type="noConversion"/>
  </si>
  <si>
    <t>9856</t>
    <phoneticPr fontId="1" type="noConversion"/>
  </si>
  <si>
    <t>9857</t>
    <phoneticPr fontId="1" type="noConversion"/>
  </si>
  <si>
    <t>9858</t>
    <phoneticPr fontId="1" type="noConversion"/>
  </si>
  <si>
    <t>9859</t>
    <phoneticPr fontId="1" type="noConversion"/>
  </si>
  <si>
    <t>9860</t>
    <phoneticPr fontId="1" type="noConversion"/>
  </si>
  <si>
    <t>矿场</t>
    <phoneticPr fontId="1" type="noConversion"/>
  </si>
  <si>
    <t>矿场可以产出公会矿石，矿场等级越高，每小时产出的矿石越多</t>
    <phoneticPr fontId="1" type="noConversion"/>
  </si>
  <si>
    <t>9861</t>
    <phoneticPr fontId="1" type="noConversion"/>
  </si>
  <si>
    <t>矿场可以产出公会矿石，矿场等级越高，每小时产出的矿石越多</t>
    <phoneticPr fontId="1" type="noConversion"/>
  </si>
  <si>
    <t>矿场</t>
    <phoneticPr fontId="1" type="noConversion"/>
  </si>
  <si>
    <t>9862</t>
    <phoneticPr fontId="1" type="noConversion"/>
  </si>
  <si>
    <t>9863</t>
    <phoneticPr fontId="1" type="noConversion"/>
  </si>
  <si>
    <t>9864</t>
    <phoneticPr fontId="1" type="noConversion"/>
  </si>
  <si>
    <t>9865</t>
    <phoneticPr fontId="1" type="noConversion"/>
  </si>
  <si>
    <t>9866</t>
    <phoneticPr fontId="1" type="noConversion"/>
  </si>
  <si>
    <t>粮仓</t>
    <phoneticPr fontId="1" type="noConversion"/>
  </si>
  <si>
    <t>粮仓是公会用来存放粮食的建筑，粮仓等级越高，公会粮食上限也越高。公会战期间可以通过对方粮仓来掠夺对方公会的粮食</t>
    <phoneticPr fontId="1" type="noConversion"/>
  </si>
  <si>
    <t>9867</t>
    <phoneticPr fontId="1" type="noConversion"/>
  </si>
  <si>
    <t>粮仓是公会用来存放粮食的建筑，粮仓等级越高，公会粮食上限也越高。公会战期间可以通过对方粮仓来掠夺对方公会的粮食</t>
    <phoneticPr fontId="1" type="noConversion"/>
  </si>
  <si>
    <t>9868</t>
    <phoneticPr fontId="1" type="noConversion"/>
  </si>
  <si>
    <t>9869</t>
    <phoneticPr fontId="1" type="noConversion"/>
  </si>
  <si>
    <t>9870</t>
    <phoneticPr fontId="1" type="noConversion"/>
  </si>
  <si>
    <t>9871</t>
    <phoneticPr fontId="1" type="noConversion"/>
  </si>
  <si>
    <t>9872</t>
    <phoneticPr fontId="1" type="noConversion"/>
  </si>
  <si>
    <t>木仓</t>
    <phoneticPr fontId="1" type="noConversion"/>
  </si>
  <si>
    <t>木仓是公会用来存放木材的建筑，木仓等级越高，公会木材上限也越高。公会战期间可以通过对方木仓来掠夺对方公会的木材</t>
    <phoneticPr fontId="1" type="noConversion"/>
  </si>
  <si>
    <t>9873</t>
    <phoneticPr fontId="1" type="noConversion"/>
  </si>
  <si>
    <t>9874</t>
    <phoneticPr fontId="1" type="noConversion"/>
  </si>
  <si>
    <t>9875</t>
    <phoneticPr fontId="1" type="noConversion"/>
  </si>
  <si>
    <t>9876</t>
    <phoneticPr fontId="1" type="noConversion"/>
  </si>
  <si>
    <t>9878</t>
    <phoneticPr fontId="1" type="noConversion"/>
  </si>
  <si>
    <t>石仓</t>
    <phoneticPr fontId="1" type="noConversion"/>
  </si>
  <si>
    <t>石仓是公会用来存放石头的建筑，石仓等级越高，公会石料上限也越高。公会战期间可以通过对方木仓来掠夺对方公会的石料</t>
    <phoneticPr fontId="1" type="noConversion"/>
  </si>
  <si>
    <t>9879</t>
    <phoneticPr fontId="1" type="noConversion"/>
  </si>
  <si>
    <t>石仓</t>
    <phoneticPr fontId="1" type="noConversion"/>
  </si>
  <si>
    <t>9880</t>
    <phoneticPr fontId="1" type="noConversion"/>
  </si>
  <si>
    <t>9881</t>
    <phoneticPr fontId="1" type="noConversion"/>
  </si>
  <si>
    <t>9882</t>
    <phoneticPr fontId="1" type="noConversion"/>
  </si>
  <si>
    <t>9883</t>
    <phoneticPr fontId="1" type="noConversion"/>
  </si>
  <si>
    <t>9884</t>
    <phoneticPr fontId="1" type="noConversion"/>
  </si>
  <si>
    <t>矿仓</t>
    <phoneticPr fontId="1" type="noConversion"/>
  </si>
  <si>
    <t>矿仓</t>
    <phoneticPr fontId="1" type="noConversion"/>
  </si>
  <si>
    <t>矿仓是公会用来存放铁矿的建筑，矿仓等级越高，公会铁矿上限也越高。公会战期间可以通过对方矿仓来掠夺对方公会的铁矿</t>
    <phoneticPr fontId="1" type="noConversion"/>
  </si>
  <si>
    <t>矿仓是公会用来存放铁矿的建筑，矿仓等级越高，公会铁矿上限也越高。公会战期间可以通过对方矿仓来掠夺对方公会的铁矿</t>
    <phoneticPr fontId="1" type="noConversion"/>
  </si>
  <si>
    <t>9885</t>
    <phoneticPr fontId="1" type="noConversion"/>
  </si>
  <si>
    <t>9886</t>
    <phoneticPr fontId="1" type="noConversion"/>
  </si>
  <si>
    <t>9887</t>
    <phoneticPr fontId="1" type="noConversion"/>
  </si>
  <si>
    <t>9888</t>
    <phoneticPr fontId="1" type="noConversion"/>
  </si>
  <si>
    <t>9889</t>
    <phoneticPr fontId="1" type="noConversion"/>
  </si>
  <si>
    <t>城门是公会属地的防御建筑，公会战开始后，敌对玩家无法通过城门。公会等级越高，城门防御越高</t>
    <phoneticPr fontId="1" type="noConversion"/>
  </si>
  <si>
    <t>9897</t>
    <phoneticPr fontId="1" type="noConversion"/>
  </si>
  <si>
    <t>城门是公会属地的防御建筑，公会战开始后，敌对玩家无法通过城门。公会等级越高，城门防御越高</t>
    <phoneticPr fontId="1" type="noConversion"/>
  </si>
  <si>
    <t>9898</t>
    <phoneticPr fontId="1" type="noConversion"/>
  </si>
  <si>
    <t>9899</t>
    <phoneticPr fontId="1" type="noConversion"/>
  </si>
  <si>
    <t>9900</t>
    <phoneticPr fontId="1" type="noConversion"/>
  </si>
  <si>
    <t>9901</t>
    <phoneticPr fontId="1" type="noConversion"/>
  </si>
  <si>
    <t>9902</t>
    <phoneticPr fontId="1" type="noConversion"/>
  </si>
  <si>
    <t>城墙</t>
    <phoneticPr fontId="1" type="noConversion"/>
  </si>
  <si>
    <t>城墙是公会属地防御建筑，城墙无法被破坏，玩家也无法通过城墙</t>
    <phoneticPr fontId="1" type="noConversion"/>
  </si>
  <si>
    <t>9903</t>
    <phoneticPr fontId="1" type="noConversion"/>
  </si>
  <si>
    <t>城墙是公会属地防御建筑，城墙无法被破坏，玩家也无法通过城墙</t>
    <phoneticPr fontId="1" type="noConversion"/>
  </si>
  <si>
    <t>9904</t>
    <phoneticPr fontId="1" type="noConversion"/>
  </si>
  <si>
    <t>9905</t>
    <phoneticPr fontId="1" type="noConversion"/>
  </si>
  <si>
    <t>9906</t>
    <phoneticPr fontId="1" type="noConversion"/>
  </si>
  <si>
    <t>9907</t>
    <phoneticPr fontId="1" type="noConversion"/>
  </si>
  <si>
    <t>9908</t>
    <phoneticPr fontId="1" type="noConversion"/>
  </si>
  <si>
    <t>兵工厂</t>
    <phoneticPr fontId="1" type="noConversion"/>
  </si>
  <si>
    <t>兵工厂是公会产出公会战攻城器械道具的建筑，兵工厂等级越高，能产出的攻城器械道具也越多</t>
    <phoneticPr fontId="1" type="noConversion"/>
  </si>
  <si>
    <t>9891</t>
    <phoneticPr fontId="1" type="noConversion"/>
  </si>
  <si>
    <t>9892</t>
    <phoneticPr fontId="1" type="noConversion"/>
  </si>
  <si>
    <t>9893</t>
    <phoneticPr fontId="1" type="noConversion"/>
  </si>
  <si>
    <t>9894</t>
    <phoneticPr fontId="1" type="noConversion"/>
  </si>
  <si>
    <t>9895</t>
    <phoneticPr fontId="1" type="noConversion"/>
  </si>
  <si>
    <t>9896</t>
    <phoneticPr fontId="1" type="noConversion"/>
  </si>
  <si>
    <t>劲弩塔</t>
    <phoneticPr fontId="1" type="noConversion"/>
  </si>
  <si>
    <t>9947</t>
    <phoneticPr fontId="1" type="noConversion"/>
  </si>
  <si>
    <t>公会防御建筑，能主动攻击视野内的敌对目标</t>
    <phoneticPr fontId="1" type="noConversion"/>
  </si>
  <si>
    <t>9947</t>
    <phoneticPr fontId="1" type="noConversion"/>
  </si>
  <si>
    <t>9915</t>
    <phoneticPr fontId="1" type="noConversion"/>
  </si>
  <si>
    <t>劲弩塔</t>
    <phoneticPr fontId="1" type="noConversion"/>
  </si>
  <si>
    <t>9916</t>
    <phoneticPr fontId="1" type="noConversion"/>
  </si>
  <si>
    <t>9917</t>
    <phoneticPr fontId="1" type="noConversion"/>
  </si>
  <si>
    <t>9918</t>
    <phoneticPr fontId="1" type="noConversion"/>
  </si>
  <si>
    <t>9919</t>
    <phoneticPr fontId="1" type="noConversion"/>
  </si>
  <si>
    <t>9920</t>
    <phoneticPr fontId="1" type="noConversion"/>
  </si>
  <si>
    <t xml:space="preserve">天魔塔 </t>
    <phoneticPr fontId="1" type="noConversion"/>
  </si>
  <si>
    <t>9921</t>
    <phoneticPr fontId="1" type="noConversion"/>
  </si>
  <si>
    <t xml:space="preserve">天魔塔 </t>
    <phoneticPr fontId="1" type="noConversion"/>
  </si>
  <si>
    <t>9922</t>
    <phoneticPr fontId="1" type="noConversion"/>
  </si>
  <si>
    <t>9923</t>
    <phoneticPr fontId="1" type="noConversion"/>
  </si>
  <si>
    <t>9924</t>
    <phoneticPr fontId="1" type="noConversion"/>
  </si>
  <si>
    <t>9925</t>
    <phoneticPr fontId="1" type="noConversion"/>
  </si>
  <si>
    <t>9926</t>
    <phoneticPr fontId="1" type="noConversion"/>
  </si>
  <si>
    <t>天诛塔</t>
    <phoneticPr fontId="1" type="noConversion"/>
  </si>
  <si>
    <t>9927</t>
    <phoneticPr fontId="1" type="noConversion"/>
  </si>
  <si>
    <t>天诛塔</t>
    <phoneticPr fontId="1" type="noConversion"/>
  </si>
  <si>
    <t>9928</t>
    <phoneticPr fontId="1" type="noConversion"/>
  </si>
  <si>
    <t>9929</t>
    <phoneticPr fontId="1" type="noConversion"/>
  </si>
  <si>
    <t>9930</t>
    <phoneticPr fontId="1" type="noConversion"/>
  </si>
  <si>
    <t>9931</t>
    <phoneticPr fontId="1" type="noConversion"/>
  </si>
  <si>
    <t>9932</t>
    <phoneticPr fontId="1" type="noConversion"/>
  </si>
  <si>
    <t>玄魔塔</t>
    <phoneticPr fontId="1" type="noConversion"/>
  </si>
  <si>
    <t>9933</t>
    <phoneticPr fontId="1" type="noConversion"/>
  </si>
  <si>
    <t>9934</t>
    <phoneticPr fontId="1" type="noConversion"/>
  </si>
  <si>
    <t>9935</t>
    <phoneticPr fontId="1" type="noConversion"/>
  </si>
  <si>
    <t>9936</t>
    <phoneticPr fontId="1" type="noConversion"/>
  </si>
  <si>
    <t>9937</t>
    <phoneticPr fontId="1" type="noConversion"/>
  </si>
  <si>
    <t>9938</t>
    <phoneticPr fontId="1" type="noConversion"/>
  </si>
  <si>
    <t>公会防御建筑，能主动攻击视野内的敌对目标</t>
    <phoneticPr fontId="1" type="noConversion"/>
  </si>
  <si>
    <t>轻羽塔</t>
    <phoneticPr fontId="1" type="noConversion"/>
  </si>
  <si>
    <t>9939</t>
    <phoneticPr fontId="1" type="noConversion"/>
  </si>
  <si>
    <t>轻羽塔</t>
    <phoneticPr fontId="1" type="noConversion"/>
  </si>
  <si>
    <t>9940</t>
    <phoneticPr fontId="1" type="noConversion"/>
  </si>
  <si>
    <t>9941</t>
    <phoneticPr fontId="1" type="noConversion"/>
  </si>
  <si>
    <t>9942</t>
    <phoneticPr fontId="1" type="noConversion"/>
  </si>
  <si>
    <t>9943</t>
    <phoneticPr fontId="1" type="noConversion"/>
  </si>
  <si>
    <t>9944</t>
    <phoneticPr fontId="1" type="noConversion"/>
  </si>
  <si>
    <t>路障</t>
    <phoneticPr fontId="1" type="noConversion"/>
  </si>
  <si>
    <t>9950</t>
    <phoneticPr fontId="1" type="noConversion"/>
  </si>
  <si>
    <t>9950</t>
    <phoneticPr fontId="1" type="noConversion"/>
  </si>
  <si>
    <t>9909</t>
    <phoneticPr fontId="1" type="noConversion"/>
  </si>
  <si>
    <t>路障</t>
    <phoneticPr fontId="1" type="noConversion"/>
  </si>
  <si>
    <t>9910</t>
    <phoneticPr fontId="1" type="noConversion"/>
  </si>
  <si>
    <t>9911</t>
    <phoneticPr fontId="1" type="noConversion"/>
  </si>
  <si>
    <t>9912</t>
    <phoneticPr fontId="1" type="noConversion"/>
  </si>
  <si>
    <t>9913</t>
    <phoneticPr fontId="1" type="noConversion"/>
  </si>
  <si>
    <t>9914</t>
    <phoneticPr fontId="1" type="noConversion"/>
  </si>
  <si>
    <t>公会神兽</t>
    <phoneticPr fontId="1" type="noConversion"/>
  </si>
  <si>
    <t>公会守护者，能主动攻击视野内的敌方目标，公会等级越高，公会神兽能力越强。</t>
    <phoneticPr fontId="1" type="noConversion"/>
  </si>
  <si>
    <t>9950</t>
    <phoneticPr fontId="1" type="noConversion"/>
  </si>
  <si>
    <t>公会神兽</t>
    <phoneticPr fontId="1" type="noConversion"/>
  </si>
  <si>
    <t>UpgradeTime</t>
    <phoneticPr fontId="1" type="noConversion"/>
  </si>
  <si>
    <t>UpgradeTime</t>
  </si>
  <si>
    <t>UpgradeTime</t>
    <phoneticPr fontId="1" type="noConversion"/>
  </si>
  <si>
    <t>CdtnBaseNpcID</t>
    <phoneticPr fontId="1" type="noConversion"/>
  </si>
  <si>
    <t>ConditionBuildingID</t>
    <phoneticPr fontId="1" type="noConversion"/>
  </si>
  <si>
    <t>商会</t>
  </si>
  <si>
    <t>神坛</t>
  </si>
  <si>
    <t>兵工厂</t>
  </si>
  <si>
    <t>路障</t>
  </si>
  <si>
    <t>农场</t>
  </si>
  <si>
    <t>林场</t>
  </si>
  <si>
    <t>石场</t>
  </si>
  <si>
    <t>矿场</t>
  </si>
  <si>
    <t>木仓</t>
  </si>
  <si>
    <t>石仓</t>
  </si>
  <si>
    <t>矿仓</t>
  </si>
  <si>
    <t>主殿</t>
    <phoneticPr fontId="1" type="noConversion"/>
  </si>
  <si>
    <t>图腾</t>
    <phoneticPr fontId="1" type="noConversion"/>
  </si>
  <si>
    <t>劲弩塔</t>
    <phoneticPr fontId="1" type="noConversion"/>
  </si>
  <si>
    <t>天魔塔</t>
    <phoneticPr fontId="1" type="noConversion"/>
  </si>
  <si>
    <t>天诛塔</t>
    <phoneticPr fontId="1" type="noConversion"/>
  </si>
  <si>
    <t>玄魔塔</t>
    <phoneticPr fontId="1" type="noConversion"/>
  </si>
  <si>
    <t>轻羽塔</t>
    <phoneticPr fontId="1" type="noConversion"/>
  </si>
  <si>
    <t>升级公会资金</t>
  </si>
  <si>
    <t>升级粮食</t>
  </si>
  <si>
    <t>升级木材</t>
  </si>
  <si>
    <t>升级石料</t>
  </si>
  <si>
    <t>升级铁矿</t>
  </si>
  <si>
    <t>城门</t>
    <phoneticPr fontId="1" type="noConversion"/>
  </si>
  <si>
    <t>城墙</t>
    <phoneticPr fontId="1" type="noConversion"/>
  </si>
  <si>
    <t>公会神兽</t>
    <phoneticPr fontId="1" type="noConversion"/>
  </si>
  <si>
    <t>神鼎</t>
  </si>
  <si>
    <t>ID</t>
    <phoneticPr fontId="1" type="noConversion"/>
  </si>
  <si>
    <t>Name</t>
    <phoneticPr fontId="1" type="noConversion"/>
  </si>
  <si>
    <t>Level</t>
    <phoneticPr fontId="1" type="noConversion"/>
  </si>
  <si>
    <t>MaxLevel</t>
    <phoneticPr fontId="1" type="noConversion"/>
  </si>
  <si>
    <t>MaxNum</t>
    <phoneticPr fontId="1" type="noConversion"/>
  </si>
  <si>
    <t>Prosperity</t>
    <phoneticPr fontId="1" type="noConversion"/>
  </si>
  <si>
    <t>MoneyConsumption</t>
    <phoneticPr fontId="1" type="noConversion"/>
  </si>
  <si>
    <t>TotalMoneyConsumption</t>
    <phoneticPr fontId="1" type="noConversion"/>
  </si>
  <si>
    <t>TotalHerbConsumption</t>
    <phoneticPr fontId="1" type="noConversion"/>
  </si>
  <si>
    <t>TotalWoodConsumption</t>
    <phoneticPr fontId="1" type="noConversion"/>
  </si>
  <si>
    <t>TotalCrystalConsumption</t>
    <phoneticPr fontId="1" type="noConversion"/>
  </si>
  <si>
    <t>TotalSilverConsumption</t>
    <phoneticPr fontId="1" type="noConversion"/>
  </si>
  <si>
    <t>RoutineConsumption</t>
    <phoneticPr fontId="1" type="noConversion"/>
  </si>
  <si>
    <t>CdtnBaseNpcID</t>
    <phoneticPr fontId="1" type="noConversion"/>
  </si>
  <si>
    <t>ConditionBuildingLvl</t>
    <phoneticPr fontId="1" type="noConversion"/>
  </si>
  <si>
    <t>UpgradingSpellID</t>
    <phoneticPr fontId="1" type="noConversion"/>
  </si>
  <si>
    <t>DeadNpcTemplateID</t>
    <phoneticPr fontId="1" type="noConversion"/>
  </si>
  <si>
    <t>ReviveTime</t>
    <phoneticPr fontId="1" type="noConversion"/>
  </si>
  <si>
    <t>Param2</t>
    <phoneticPr fontId="1" type="noConversion"/>
  </si>
  <si>
    <t>Param4</t>
    <phoneticPr fontId="1" type="noConversion"/>
  </si>
  <si>
    <t>Param5</t>
    <phoneticPr fontId="1" type="noConversion"/>
  </si>
  <si>
    <t>Effect</t>
    <phoneticPr fontId="1" type="noConversion"/>
  </si>
  <si>
    <t>Description</t>
    <phoneticPr fontId="1" type="noConversion"/>
  </si>
  <si>
    <t>Both</t>
    <phoneticPr fontId="1" type="noConversion"/>
  </si>
  <si>
    <t>Client</t>
    <phoneticPr fontId="1" type="noConversion"/>
  </si>
  <si>
    <t>Server</t>
    <phoneticPr fontId="1" type="noConversion"/>
  </si>
  <si>
    <t>主殿</t>
    <phoneticPr fontId="1" type="noConversion"/>
  </si>
  <si>
    <t>9801</t>
    <phoneticPr fontId="1" type="noConversion"/>
  </si>
  <si>
    <t>9802</t>
    <phoneticPr fontId="1" type="noConversion"/>
  </si>
  <si>
    <t>9803</t>
    <phoneticPr fontId="1" type="noConversion"/>
  </si>
  <si>
    <t>9804</t>
    <phoneticPr fontId="1" type="noConversion"/>
  </si>
  <si>
    <t>9805</t>
    <phoneticPr fontId="1" type="noConversion"/>
  </si>
  <si>
    <t>商会</t>
    <phoneticPr fontId="1" type="noConversion"/>
  </si>
  <si>
    <t>商会是开启护送的重要建筑，商会等级越高，可以护送的货物也就越高。</t>
    <phoneticPr fontId="1" type="noConversion"/>
  </si>
  <si>
    <t>9807</t>
    <phoneticPr fontId="1" type="noConversion"/>
  </si>
  <si>
    <t>9808</t>
    <phoneticPr fontId="1" type="noConversion"/>
  </si>
  <si>
    <t>9809</t>
    <phoneticPr fontId="1" type="noConversion"/>
  </si>
  <si>
    <t>9810</t>
    <phoneticPr fontId="1" type="noConversion"/>
  </si>
  <si>
    <t>9811</t>
    <phoneticPr fontId="1" type="noConversion"/>
  </si>
  <si>
    <t>神坛</t>
    <phoneticPr fontId="1" type="noConversion"/>
  </si>
  <si>
    <t>神坛是洗炼铭文的重要建筑，神坛等级越高，可以洗炼的铭文种类就越多。</t>
    <phoneticPr fontId="1" type="noConversion"/>
  </si>
  <si>
    <t>9813</t>
    <phoneticPr fontId="1" type="noConversion"/>
  </si>
  <si>
    <t>9814</t>
    <phoneticPr fontId="1" type="noConversion"/>
  </si>
  <si>
    <t>9815</t>
    <phoneticPr fontId="1" type="noConversion"/>
  </si>
  <si>
    <t>9816</t>
    <phoneticPr fontId="1" type="noConversion"/>
  </si>
  <si>
    <t>9817</t>
    <phoneticPr fontId="1" type="noConversion"/>
  </si>
  <si>
    <t>居所</t>
    <phoneticPr fontId="1" type="noConversion"/>
  </si>
  <si>
    <t>居所是决定公会人数的建筑，居所等级越高，公会能招收的成员也越多。</t>
    <phoneticPr fontId="1" type="noConversion"/>
  </si>
  <si>
    <t>9819</t>
    <phoneticPr fontId="1" type="noConversion"/>
  </si>
  <si>
    <t>9820</t>
    <phoneticPr fontId="1" type="noConversion"/>
  </si>
  <si>
    <t>9821</t>
    <phoneticPr fontId="1" type="noConversion"/>
  </si>
  <si>
    <t>9822</t>
    <phoneticPr fontId="1" type="noConversion"/>
  </si>
  <si>
    <t>9823</t>
    <phoneticPr fontId="1" type="noConversion"/>
  </si>
  <si>
    <t>金库</t>
    <phoneticPr fontId="1" type="noConversion"/>
  </si>
  <si>
    <t>金库是存放公会资金的建筑，金库等级越高，公会资金上限也越大。</t>
    <phoneticPr fontId="1" type="noConversion"/>
  </si>
  <si>
    <t>9825</t>
    <phoneticPr fontId="1" type="noConversion"/>
  </si>
  <si>
    <t>9826</t>
    <phoneticPr fontId="1" type="noConversion"/>
  </si>
  <si>
    <t>9827</t>
    <phoneticPr fontId="1" type="noConversion"/>
  </si>
  <si>
    <t>9828</t>
    <phoneticPr fontId="1" type="noConversion"/>
  </si>
  <si>
    <t>9829</t>
    <phoneticPr fontId="1" type="noConversion"/>
  </si>
  <si>
    <t>战事厅</t>
    <phoneticPr fontId="1" type="noConversion"/>
  </si>
  <si>
    <t>战事厅功能暂未开放。</t>
    <phoneticPr fontId="1" type="noConversion"/>
  </si>
  <si>
    <t>9831</t>
    <phoneticPr fontId="1" type="noConversion"/>
  </si>
  <si>
    <t>9832</t>
    <phoneticPr fontId="1" type="noConversion"/>
  </si>
  <si>
    <t>9833</t>
    <phoneticPr fontId="1" type="noConversion"/>
  </si>
  <si>
    <t>9834</t>
    <phoneticPr fontId="1" type="noConversion"/>
  </si>
  <si>
    <t>9835</t>
    <phoneticPr fontId="1" type="noConversion"/>
  </si>
  <si>
    <t>9837</t>
    <phoneticPr fontId="1" type="noConversion"/>
  </si>
  <si>
    <t>9838</t>
    <phoneticPr fontId="1" type="noConversion"/>
  </si>
  <si>
    <t>9839</t>
    <phoneticPr fontId="1" type="noConversion"/>
  </si>
  <si>
    <t>9840</t>
    <phoneticPr fontId="1" type="noConversion"/>
  </si>
  <si>
    <t>9841</t>
    <phoneticPr fontId="1" type="noConversion"/>
  </si>
  <si>
    <t>农场</t>
    <phoneticPr fontId="1" type="noConversion"/>
  </si>
  <si>
    <t>农场可以产出公会粮食，农场等级越高，每小时产出的粮食越多。</t>
    <phoneticPr fontId="1" type="noConversion"/>
  </si>
  <si>
    <t>9843</t>
    <phoneticPr fontId="1" type="noConversion"/>
  </si>
  <si>
    <t>9844</t>
    <phoneticPr fontId="1" type="noConversion"/>
  </si>
  <si>
    <t>9845</t>
    <phoneticPr fontId="1" type="noConversion"/>
  </si>
  <si>
    <t>9846</t>
    <phoneticPr fontId="1" type="noConversion"/>
  </si>
  <si>
    <t>9847</t>
    <phoneticPr fontId="1" type="noConversion"/>
  </si>
  <si>
    <t>林场</t>
    <phoneticPr fontId="1" type="noConversion"/>
  </si>
  <si>
    <t>林场可以产出公会木材，林场等级越高，每小时产出的木材越多。</t>
    <phoneticPr fontId="1" type="noConversion"/>
  </si>
  <si>
    <t>9849</t>
    <phoneticPr fontId="1" type="noConversion"/>
  </si>
  <si>
    <t>9850</t>
    <phoneticPr fontId="1" type="noConversion"/>
  </si>
  <si>
    <t>9851</t>
    <phoneticPr fontId="1" type="noConversion"/>
  </si>
  <si>
    <t>9852</t>
    <phoneticPr fontId="1" type="noConversion"/>
  </si>
  <si>
    <t>9853</t>
    <phoneticPr fontId="1" type="noConversion"/>
  </si>
  <si>
    <t>石场</t>
    <phoneticPr fontId="1" type="noConversion"/>
  </si>
  <si>
    <t>石场可以产出公会石料，石场等级越高，每小时产出的石料越多。</t>
    <phoneticPr fontId="1" type="noConversion"/>
  </si>
  <si>
    <t>9855</t>
    <phoneticPr fontId="1" type="noConversion"/>
  </si>
  <si>
    <t>9856</t>
    <phoneticPr fontId="1" type="noConversion"/>
  </si>
  <si>
    <t>9857</t>
    <phoneticPr fontId="1" type="noConversion"/>
  </si>
  <si>
    <t>9858</t>
    <phoneticPr fontId="1" type="noConversion"/>
  </si>
  <si>
    <t>9859</t>
    <phoneticPr fontId="1" type="noConversion"/>
  </si>
  <si>
    <t>矿场</t>
    <phoneticPr fontId="1" type="noConversion"/>
  </si>
  <si>
    <t>矿场可以产出公会矿石，矿场等级越高，每小时产出的矿石越多。</t>
    <phoneticPr fontId="1" type="noConversion"/>
  </si>
  <si>
    <t>9861</t>
    <phoneticPr fontId="1" type="noConversion"/>
  </si>
  <si>
    <t>9862</t>
    <phoneticPr fontId="1" type="noConversion"/>
  </si>
  <si>
    <t>9863</t>
    <phoneticPr fontId="1" type="noConversion"/>
  </si>
  <si>
    <t>9864</t>
    <phoneticPr fontId="1" type="noConversion"/>
  </si>
  <si>
    <t>9865</t>
    <phoneticPr fontId="1" type="noConversion"/>
  </si>
  <si>
    <t>粮仓</t>
    <phoneticPr fontId="1" type="noConversion"/>
  </si>
  <si>
    <t>粮仓是公会用来存放粮食的建筑，粮仓等级越高，公会粮食上限也越高。</t>
    <phoneticPr fontId="1" type="noConversion"/>
  </si>
  <si>
    <t>9867</t>
    <phoneticPr fontId="1" type="noConversion"/>
  </si>
  <si>
    <t>9868</t>
    <phoneticPr fontId="1" type="noConversion"/>
  </si>
  <si>
    <t>9869</t>
    <phoneticPr fontId="1" type="noConversion"/>
  </si>
  <si>
    <t>9870</t>
    <phoneticPr fontId="1" type="noConversion"/>
  </si>
  <si>
    <t>9871</t>
    <phoneticPr fontId="1" type="noConversion"/>
  </si>
  <si>
    <t>木仓</t>
    <phoneticPr fontId="1" type="noConversion"/>
  </si>
  <si>
    <t>木仓是公会用来存放木材的建筑，木仓等级越高，公会木材上限也越高。</t>
    <phoneticPr fontId="1" type="noConversion"/>
  </si>
  <si>
    <t>9873</t>
    <phoneticPr fontId="1" type="noConversion"/>
  </si>
  <si>
    <t>9874</t>
    <phoneticPr fontId="1" type="noConversion"/>
  </si>
  <si>
    <t>9875</t>
    <phoneticPr fontId="1" type="noConversion"/>
  </si>
  <si>
    <t>9876</t>
    <phoneticPr fontId="1" type="noConversion"/>
  </si>
  <si>
    <t>9877</t>
    <phoneticPr fontId="1" type="noConversion"/>
  </si>
  <si>
    <t>石仓</t>
    <phoneticPr fontId="1" type="noConversion"/>
  </si>
  <si>
    <t>石仓是公会用来存放石头的建筑，石仓等级越高，公会石料上限也越高。</t>
    <phoneticPr fontId="1" type="noConversion"/>
  </si>
  <si>
    <t>9879</t>
    <phoneticPr fontId="1" type="noConversion"/>
  </si>
  <si>
    <t>9880</t>
    <phoneticPr fontId="1" type="noConversion"/>
  </si>
  <si>
    <t>9881</t>
    <phoneticPr fontId="1" type="noConversion"/>
  </si>
  <si>
    <t>9882</t>
    <phoneticPr fontId="1" type="noConversion"/>
  </si>
  <si>
    <t>9883</t>
    <phoneticPr fontId="1" type="noConversion"/>
  </si>
  <si>
    <t>矿仓</t>
    <phoneticPr fontId="1" type="noConversion"/>
  </si>
  <si>
    <t>矿仓是公会用来存放铁矿的建筑，矿仓等级越高，公会铁矿上限也越高。</t>
    <phoneticPr fontId="1" type="noConversion"/>
  </si>
  <si>
    <t>9885</t>
    <phoneticPr fontId="1" type="noConversion"/>
  </si>
  <si>
    <t>9886</t>
    <phoneticPr fontId="1" type="noConversion"/>
  </si>
  <si>
    <t>9887</t>
    <phoneticPr fontId="1" type="noConversion"/>
  </si>
  <si>
    <t>9888</t>
    <phoneticPr fontId="1" type="noConversion"/>
  </si>
  <si>
    <t>9889</t>
    <phoneticPr fontId="1" type="noConversion"/>
  </si>
  <si>
    <t>城门</t>
    <phoneticPr fontId="1" type="noConversion"/>
  </si>
  <si>
    <t>城门是公会属地的防御建筑，公会战开始后，敌对玩家无法通过城门。公会等级越高，城门防御越高。</t>
    <phoneticPr fontId="1" type="noConversion"/>
  </si>
  <si>
    <t>9897</t>
    <phoneticPr fontId="1" type="noConversion"/>
  </si>
  <si>
    <t>9898</t>
    <phoneticPr fontId="1" type="noConversion"/>
  </si>
  <si>
    <t>9899</t>
    <phoneticPr fontId="1" type="noConversion"/>
  </si>
  <si>
    <t>9900</t>
    <phoneticPr fontId="1" type="noConversion"/>
  </si>
  <si>
    <t>9901</t>
    <phoneticPr fontId="1" type="noConversion"/>
  </si>
  <si>
    <t>城墙</t>
    <phoneticPr fontId="1" type="noConversion"/>
  </si>
  <si>
    <t>城墙是公会属地防御建筑，城墙无法被破坏，玩家也无法通过城墙。</t>
    <phoneticPr fontId="1" type="noConversion"/>
  </si>
  <si>
    <t>9903</t>
    <phoneticPr fontId="1" type="noConversion"/>
  </si>
  <si>
    <t>9904</t>
    <phoneticPr fontId="1" type="noConversion"/>
  </si>
  <si>
    <t>9905</t>
    <phoneticPr fontId="1" type="noConversion"/>
  </si>
  <si>
    <t>9906</t>
    <phoneticPr fontId="1" type="noConversion"/>
  </si>
  <si>
    <t>9907</t>
    <phoneticPr fontId="1" type="noConversion"/>
  </si>
  <si>
    <t>兵工厂</t>
    <phoneticPr fontId="1" type="noConversion"/>
  </si>
  <si>
    <t>兵工厂是公会产出公会战攻城器械道具的建筑，兵工厂等级越高，能产出的攻城器械道具也越多。</t>
    <phoneticPr fontId="1" type="noConversion"/>
  </si>
  <si>
    <t>9891</t>
    <phoneticPr fontId="1" type="noConversion"/>
  </si>
  <si>
    <t>9892</t>
    <phoneticPr fontId="1" type="noConversion"/>
  </si>
  <si>
    <t>9893</t>
    <phoneticPr fontId="1" type="noConversion"/>
  </si>
  <si>
    <t>9894</t>
    <phoneticPr fontId="1" type="noConversion"/>
  </si>
  <si>
    <t>9895</t>
    <phoneticPr fontId="1" type="noConversion"/>
  </si>
  <si>
    <t>劲弩塔</t>
    <phoneticPr fontId="1" type="noConversion"/>
  </si>
  <si>
    <t>9947</t>
    <phoneticPr fontId="1" type="noConversion"/>
  </si>
  <si>
    <t>9915</t>
    <phoneticPr fontId="1" type="noConversion"/>
  </si>
  <si>
    <t>9916</t>
    <phoneticPr fontId="1" type="noConversion"/>
  </si>
  <si>
    <t>9917</t>
    <phoneticPr fontId="1" type="noConversion"/>
  </si>
  <si>
    <t>9918</t>
    <phoneticPr fontId="1" type="noConversion"/>
  </si>
  <si>
    <t>9919</t>
    <phoneticPr fontId="1" type="noConversion"/>
  </si>
  <si>
    <t>天魔塔</t>
    <phoneticPr fontId="1" type="noConversion"/>
  </si>
  <si>
    <t>9921</t>
    <phoneticPr fontId="1" type="noConversion"/>
  </si>
  <si>
    <t>9922</t>
    <phoneticPr fontId="1" type="noConversion"/>
  </si>
  <si>
    <t>9923</t>
    <phoneticPr fontId="1" type="noConversion"/>
  </si>
  <si>
    <t>9924</t>
    <phoneticPr fontId="1" type="noConversion"/>
  </si>
  <si>
    <t>9925</t>
    <phoneticPr fontId="1" type="noConversion"/>
  </si>
  <si>
    <t>天诛塔</t>
    <phoneticPr fontId="1" type="noConversion"/>
  </si>
  <si>
    <t>9927</t>
    <phoneticPr fontId="1" type="noConversion"/>
  </si>
  <si>
    <t>9928</t>
    <phoneticPr fontId="1" type="noConversion"/>
  </si>
  <si>
    <t>9929</t>
    <phoneticPr fontId="1" type="noConversion"/>
  </si>
  <si>
    <t>9930</t>
    <phoneticPr fontId="1" type="noConversion"/>
  </si>
  <si>
    <t>9931</t>
    <phoneticPr fontId="1" type="noConversion"/>
  </si>
  <si>
    <t>玄魔塔</t>
    <phoneticPr fontId="1" type="noConversion"/>
  </si>
  <si>
    <t>9933</t>
    <phoneticPr fontId="1" type="noConversion"/>
  </si>
  <si>
    <t>9934</t>
    <phoneticPr fontId="1" type="noConversion"/>
  </si>
  <si>
    <t>9935</t>
    <phoneticPr fontId="1" type="noConversion"/>
  </si>
  <si>
    <t>9936</t>
    <phoneticPr fontId="1" type="noConversion"/>
  </si>
  <si>
    <t>9937</t>
    <phoneticPr fontId="1" type="noConversion"/>
  </si>
  <si>
    <t>轻羽塔</t>
    <phoneticPr fontId="1" type="noConversion"/>
  </si>
  <si>
    <t>9939</t>
    <phoneticPr fontId="1" type="noConversion"/>
  </si>
  <si>
    <t>9940</t>
    <phoneticPr fontId="1" type="noConversion"/>
  </si>
  <si>
    <t>9941</t>
    <phoneticPr fontId="1" type="noConversion"/>
  </si>
  <si>
    <t>9942</t>
    <phoneticPr fontId="1" type="noConversion"/>
  </si>
  <si>
    <t>9943</t>
    <phoneticPr fontId="1" type="noConversion"/>
  </si>
  <si>
    <t>路障</t>
    <phoneticPr fontId="1" type="noConversion"/>
  </si>
  <si>
    <t>9950</t>
    <phoneticPr fontId="1" type="noConversion"/>
  </si>
  <si>
    <t>公会防御建筑，路障能阻挡玩家通过，路障等级越高，防御力也越高。注：路障也会阻挡己方玩家通行。</t>
    <phoneticPr fontId="1" type="noConversion"/>
  </si>
  <si>
    <t>9909</t>
    <phoneticPr fontId="1" type="noConversion"/>
  </si>
  <si>
    <t>9910</t>
    <phoneticPr fontId="1" type="noConversion"/>
  </si>
  <si>
    <t>9911</t>
    <phoneticPr fontId="1" type="noConversion"/>
  </si>
  <si>
    <t>9912</t>
    <phoneticPr fontId="1" type="noConversion"/>
  </si>
  <si>
    <t>9913</t>
    <phoneticPr fontId="1" type="noConversion"/>
  </si>
  <si>
    <t>神鼎是公会的标志建筑，公会战期间，神鼎被摧毁即公会战失败。</t>
    <phoneticPr fontId="1" type="noConversion"/>
  </si>
  <si>
    <t>主殿是公会核心建筑，升级主殿能提升公会等级，使其能建造更多其他建筑。</t>
    <phoneticPr fontId="1" type="noConversion"/>
  </si>
  <si>
    <t>主殿是公会核心建筑，升级主殿能提升公会等级，使其能建造更多其他建筑。</t>
    <phoneticPr fontId="1" type="noConversion"/>
  </si>
  <si>
    <t>公会防御建筑，范围物理攻击，能主动攻击视野内的敌对目标。</t>
    <phoneticPr fontId="1" type="noConversion"/>
  </si>
  <si>
    <t>公会防御建筑，单体物理攻击，能主动攻击视野内的敌对目标。</t>
    <phoneticPr fontId="1" type="noConversion"/>
  </si>
  <si>
    <t>公会防御建筑，单体物理攻击，攻速极快，能主动攻击视野内的敌对目标。</t>
    <phoneticPr fontId="1" type="noConversion"/>
  </si>
  <si>
    <t>公会防御建筑，群体魔法攻击，能主动攻击视野内的敌对目标。</t>
    <phoneticPr fontId="1" type="noConversion"/>
  </si>
  <si>
    <t>公会防御建筑，单体魔法攻击，攻速较快，能主动攻击视野内的敌对目标。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</si>
</sst>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0" fontId="0" fillId="0" borderId="0" xfId="0" applyNumberFormat="1">
      <alignment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"/>
  <sheetViews>
    <sheetView tabSelected="1" workbookViewId="0">
      <pane xSplit="2" ySplit="1" topLeftCell="X8" activePane="bottomRight" state="frozen"/>
      <selection pane="topRight" activeCell="C1" sqref="C1"/>
      <selection pane="bottomLeft" activeCell="A2" sqref="A2"/>
      <selection pane="bottomRight" activeCell="Y26" sqref="Y26"/>
    </sheetView>
  </sheetViews>
  <sheetFormatPr defaultRowHeight="13.5" x14ac:dyDescent="0.15"/>
  <cols>
    <col min="1" max="2" width="19.75" style="1" customWidth="1"/>
    <col min="3" max="3" width="6.5" style="1" bestFit="1" customWidth="1"/>
    <col min="4" max="4" width="9.5" style="1" bestFit="1" customWidth="1"/>
    <col min="5" max="5" width="9.5" style="1" customWidth="1"/>
    <col min="6" max="6" width="21.75" style="1" customWidth="1"/>
    <col min="7" max="7" width="18.375" style="1" bestFit="1" customWidth="1"/>
    <col min="8" max="8" width="32.375" style="1" customWidth="1"/>
    <col min="9" max="9" width="17.25" style="1" customWidth="1"/>
    <col min="10" max="10" width="25.5" style="1" customWidth="1"/>
    <col min="11" max="11" width="17.25" style="1" bestFit="1" customWidth="1"/>
    <col min="12" max="12" width="39.25" style="1" customWidth="1"/>
    <col min="13" max="13" width="20.5" style="1" bestFit="1" customWidth="1"/>
    <col min="14" max="14" width="31.625" style="1" customWidth="1"/>
    <col min="15" max="15" width="19.375" style="1" bestFit="1" customWidth="1"/>
    <col min="16" max="16" width="37.5" style="1" customWidth="1"/>
    <col min="17" max="17" width="12.75" style="1" bestFit="1" customWidth="1"/>
    <col min="18" max="18" width="20.5" style="1" bestFit="1" customWidth="1"/>
    <col min="19" max="19" width="20.5" style="1" customWidth="1"/>
    <col min="20" max="20" width="21.625" style="1" bestFit="1" customWidth="1"/>
    <col min="21" max="21" width="22.75" style="1" bestFit="1" customWidth="1"/>
    <col min="22" max="22" width="22.25" style="1" customWidth="1"/>
    <col min="23" max="23" width="16.125" style="1" customWidth="1"/>
    <col min="24" max="24" width="19.375" style="1" bestFit="1" customWidth="1"/>
    <col min="25" max="25" width="16.125" style="1" customWidth="1"/>
    <col min="26" max="26" width="10.5" style="1" bestFit="1" customWidth="1"/>
    <col min="27" max="27" width="7.875" style="1" customWidth="1"/>
    <col min="28" max="29" width="7.5" style="1" bestFit="1" customWidth="1"/>
    <col min="30" max="30" width="7.5" style="1" customWidth="1"/>
    <col min="31" max="31" width="20.625" style="1" customWidth="1"/>
    <col min="32" max="32" width="30.75" style="1" customWidth="1"/>
    <col min="33" max="33" width="26.75" style="1" customWidth="1"/>
    <col min="34" max="35" width="28.25" style="1" customWidth="1"/>
    <col min="36" max="36" width="11.125" style="1" customWidth="1"/>
    <col min="37" max="37" width="115" style="1" bestFit="1" customWidth="1"/>
    <col min="38" max="16384" width="9" style="1"/>
  </cols>
  <sheetData>
    <row r="1" spans="1:37" x14ac:dyDescent="0.15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</v>
      </c>
      <c r="J1" s="1" t="s">
        <v>361</v>
      </c>
      <c r="K1" s="1" t="s">
        <v>4</v>
      </c>
      <c r="L1" s="1" t="s">
        <v>362</v>
      </c>
      <c r="M1" s="1" t="s">
        <v>5</v>
      </c>
      <c r="N1" s="1" t="s">
        <v>363</v>
      </c>
      <c r="O1" s="1" t="s">
        <v>6</v>
      </c>
      <c r="P1" s="1" t="s">
        <v>364</v>
      </c>
      <c r="Q1" s="1" t="s">
        <v>322</v>
      </c>
      <c r="R1" s="1" t="s">
        <v>365</v>
      </c>
      <c r="S1" s="1" t="s">
        <v>366</v>
      </c>
      <c r="T1" s="1" t="s">
        <v>7</v>
      </c>
      <c r="U1" s="1" t="s">
        <v>367</v>
      </c>
      <c r="V1" s="1" t="s">
        <v>368</v>
      </c>
      <c r="W1" s="1" t="s">
        <v>37</v>
      </c>
      <c r="X1" s="1" t="s">
        <v>369</v>
      </c>
      <c r="Y1" s="1" t="s">
        <v>370</v>
      </c>
      <c r="Z1" s="1" t="s">
        <v>8</v>
      </c>
      <c r="AA1" s="1" t="s">
        <v>371</v>
      </c>
      <c r="AB1" s="1" t="s">
        <v>10</v>
      </c>
      <c r="AC1" s="1" t="s">
        <v>372</v>
      </c>
      <c r="AD1" s="1" t="s">
        <v>373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374</v>
      </c>
      <c r="AK1" s="1" t="s">
        <v>375</v>
      </c>
    </row>
    <row r="2" spans="1:37" x14ac:dyDescent="0.15">
      <c r="A2" s="1" t="s">
        <v>376</v>
      </c>
      <c r="B2" s="1" t="s">
        <v>377</v>
      </c>
      <c r="C2" s="1" t="s">
        <v>376</v>
      </c>
      <c r="D2" s="1" t="s">
        <v>376</v>
      </c>
      <c r="E2" s="1" t="s">
        <v>376</v>
      </c>
      <c r="F2" s="1" t="s">
        <v>378</v>
      </c>
      <c r="G2" s="1" t="s">
        <v>376</v>
      </c>
      <c r="H2" s="1" t="s">
        <v>378</v>
      </c>
      <c r="I2" s="1" t="s">
        <v>376</v>
      </c>
      <c r="J2" s="1" t="s">
        <v>378</v>
      </c>
      <c r="K2" s="1" t="s">
        <v>376</v>
      </c>
      <c r="L2" s="1" t="s">
        <v>378</v>
      </c>
      <c r="M2" s="1" t="s">
        <v>376</v>
      </c>
      <c r="N2" s="1" t="s">
        <v>378</v>
      </c>
      <c r="O2" s="1" t="s">
        <v>376</v>
      </c>
      <c r="P2" s="1" t="s">
        <v>378</v>
      </c>
      <c r="Q2" s="1" t="s">
        <v>376</v>
      </c>
      <c r="R2" s="1" t="s">
        <v>376</v>
      </c>
      <c r="S2" s="1" t="s">
        <v>376</v>
      </c>
      <c r="T2" s="1" t="s">
        <v>376</v>
      </c>
      <c r="U2" s="1" t="s">
        <v>376</v>
      </c>
      <c r="V2" s="1" t="s">
        <v>376</v>
      </c>
      <c r="W2" s="1" t="s">
        <v>376</v>
      </c>
      <c r="X2" s="1" t="s">
        <v>378</v>
      </c>
      <c r="Y2" s="1" t="s">
        <v>378</v>
      </c>
      <c r="Z2" s="1" t="s">
        <v>376</v>
      </c>
      <c r="AA2" s="1" t="s">
        <v>376</v>
      </c>
      <c r="AB2" s="1" t="s">
        <v>376</v>
      </c>
      <c r="AC2" s="1" t="s">
        <v>376</v>
      </c>
      <c r="AD2" s="1" t="s">
        <v>376</v>
      </c>
      <c r="AE2" s="1" t="s">
        <v>378</v>
      </c>
      <c r="AF2" s="1" t="s">
        <v>378</v>
      </c>
      <c r="AG2" s="1" t="s">
        <v>378</v>
      </c>
      <c r="AH2" s="1" t="s">
        <v>378</v>
      </c>
      <c r="AI2" s="1" t="s">
        <v>378</v>
      </c>
      <c r="AJ2" s="1" t="s">
        <v>376</v>
      </c>
      <c r="AK2" s="1" t="s">
        <v>377</v>
      </c>
    </row>
    <row r="3" spans="1:37" x14ac:dyDescent="0.15">
      <c r="A3" s="1">
        <v>0</v>
      </c>
      <c r="B3" s="1">
        <v>0</v>
      </c>
      <c r="C3" s="1">
        <v>0</v>
      </c>
      <c r="D3" s="1">
        <v>0</v>
      </c>
      <c r="G3" s="1">
        <v>0</v>
      </c>
      <c r="I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J3" s="1">
        <v>0</v>
      </c>
      <c r="AK3" s="1">
        <v>0</v>
      </c>
    </row>
    <row r="4" spans="1:37" s="2" customFormat="1" x14ac:dyDescent="0.15">
      <c r="A4" s="2">
        <v>1</v>
      </c>
      <c r="B4" s="2" t="s">
        <v>379</v>
      </c>
      <c r="C4" s="2">
        <v>0</v>
      </c>
      <c r="D4" s="2">
        <v>5</v>
      </c>
      <c r="E4" s="2">
        <v>1</v>
      </c>
      <c r="F4" s="2">
        <v>100</v>
      </c>
      <c r="G4" s="2">
        <f>VLOOKUP(A4,资源索引!$A$2:$F$29,2,FALSE)*VLOOKUP(C4+1,资源索引!$I$1:$J$6,2,FALSE)</f>
        <v>400000</v>
      </c>
      <c r="H4" s="2">
        <f>SUM(G$4:G4)</f>
        <v>400000</v>
      </c>
      <c r="I4" s="2">
        <f>VLOOKUP(A4,资源索引!$A$2:$F$29,3,FALSE)*VLOOKUP(C4+1,资源索引!$I$1:$J$6,2,FALSE)</f>
        <v>200000</v>
      </c>
      <c r="J4" s="2">
        <f>SUM(I$4:I4)</f>
        <v>200000</v>
      </c>
      <c r="K4" s="2">
        <f>VLOOKUP(A4,资源索引!$A$2:$F$29,4,FALSE)*VLOOKUP(C4+1,资源索引!$I$1:$J$6,2,FALSE)</f>
        <v>200000</v>
      </c>
      <c r="L4" s="2">
        <f>SUM(K$4:K4)</f>
        <v>200000</v>
      </c>
      <c r="M4" s="2">
        <f>VLOOKUP(A4,资源索引!$A$2:$F$29,5,FALSE)*VLOOKUP(C4+1,资源索引!$I$1:$J$6,2,FALSE)</f>
        <v>200000</v>
      </c>
      <c r="N4" s="2">
        <f>SUM(M$4:M4)</f>
        <v>200000</v>
      </c>
      <c r="O4" s="2">
        <f>VLOOKUP(A4,资源索引!$A$2:$F$29,6,FALSE)*VLOOKUP(C4+1,资源索引!$I$1:$J$6,2,FALSE)</f>
        <v>200000</v>
      </c>
      <c r="P4" s="2">
        <f>SUM(O$4:O4)</f>
        <v>200000</v>
      </c>
      <c r="Q4" s="2">
        <v>2</v>
      </c>
      <c r="R4" s="2">
        <v>0</v>
      </c>
      <c r="S4" s="2">
        <v>9945</v>
      </c>
      <c r="T4" s="2">
        <v>0</v>
      </c>
      <c r="U4" s="2">
        <v>0</v>
      </c>
      <c r="V4" s="2">
        <v>0</v>
      </c>
      <c r="W4" s="2">
        <v>9945</v>
      </c>
      <c r="X4" s="2">
        <v>4859</v>
      </c>
      <c r="Z4" s="2">
        <v>100000</v>
      </c>
      <c r="AA4" s="2">
        <v>50000</v>
      </c>
      <c r="AB4" s="2">
        <v>50000</v>
      </c>
      <c r="AC4" s="2">
        <v>50000</v>
      </c>
      <c r="AD4" s="2">
        <v>50000</v>
      </c>
      <c r="AE4" s="13">
        <v>1020</v>
      </c>
      <c r="AF4" s="2">
        <v>1060</v>
      </c>
      <c r="AJ4" s="2">
        <v>0</v>
      </c>
      <c r="AK4" s="2" t="s">
        <v>542</v>
      </c>
    </row>
    <row r="5" spans="1:37" s="2" customFormat="1" x14ac:dyDescent="0.15">
      <c r="A5" s="2">
        <v>1</v>
      </c>
      <c r="B5" s="2" t="s">
        <v>379</v>
      </c>
      <c r="C5" s="2">
        <v>1</v>
      </c>
      <c r="D5" s="2">
        <v>5</v>
      </c>
      <c r="E5" s="2">
        <v>1</v>
      </c>
      <c r="F5" s="2">
        <v>150</v>
      </c>
      <c r="G5" s="2">
        <f>VLOOKUP(A5,资源索引!$A$2:$F$29,2,FALSE)*VLOOKUP(C5+1,资源索引!$I$1:$J$6,2,FALSE)</f>
        <v>700000.00000000012</v>
      </c>
      <c r="H5" s="2">
        <f>SUM(G$4:G5)</f>
        <v>1100000</v>
      </c>
      <c r="I5" s="2">
        <f>VLOOKUP(A5,资源索引!$A$2:$F$29,3,FALSE)*VLOOKUP(C5+1,资源索引!$I$1:$J$6,2,FALSE)</f>
        <v>350000.00000000006</v>
      </c>
      <c r="J5" s="2">
        <f>SUM(I$4:I5)</f>
        <v>550000</v>
      </c>
      <c r="K5" s="2">
        <f>VLOOKUP(A5,资源索引!$A$2:$F$29,4,FALSE)*VLOOKUP(C5+1,资源索引!$I$1:$J$6,2,FALSE)</f>
        <v>350000.00000000006</v>
      </c>
      <c r="L5" s="2">
        <f>SUM(K$4:K5)</f>
        <v>550000</v>
      </c>
      <c r="M5" s="2">
        <f>VLOOKUP(A5,资源索引!$A$2:$F$29,5,FALSE)*VLOOKUP(C5+1,资源索引!$I$1:$J$6,2,FALSE)</f>
        <v>350000.00000000006</v>
      </c>
      <c r="N5" s="2">
        <f>SUM(M$4:M5)</f>
        <v>550000</v>
      </c>
      <c r="O5" s="2">
        <f>VLOOKUP(A5,资源索引!$A$2:$F$29,6,FALSE)*VLOOKUP(C5+1,资源索引!$I$1:$J$6,2,FALSE)</f>
        <v>350000.00000000006</v>
      </c>
      <c r="P5" s="2">
        <f>SUM(O$4:O5)</f>
        <v>550000</v>
      </c>
      <c r="Q5" s="2">
        <v>2</v>
      </c>
      <c r="R5" s="2">
        <v>0</v>
      </c>
      <c r="S5" s="2">
        <v>9945</v>
      </c>
      <c r="T5" s="2">
        <v>0</v>
      </c>
      <c r="U5" s="2">
        <v>0</v>
      </c>
      <c r="V5" s="2">
        <v>0</v>
      </c>
      <c r="W5" s="4" t="s">
        <v>380</v>
      </c>
      <c r="X5" s="2">
        <v>4859</v>
      </c>
      <c r="Z5" s="2">
        <v>100000</v>
      </c>
      <c r="AA5" s="2">
        <v>50000</v>
      </c>
      <c r="AB5" s="2">
        <v>50000</v>
      </c>
      <c r="AC5" s="2">
        <v>50000</v>
      </c>
      <c r="AD5" s="2">
        <v>50000</v>
      </c>
      <c r="AE5" s="13">
        <v>1020</v>
      </c>
      <c r="AF5" s="2">
        <v>1060</v>
      </c>
      <c r="AG5" s="2">
        <v>361</v>
      </c>
      <c r="AH5" s="2">
        <v>362</v>
      </c>
      <c r="AI5" s="2">
        <v>363</v>
      </c>
      <c r="AJ5" s="2">
        <v>0</v>
      </c>
      <c r="AK5" s="2" t="s">
        <v>543</v>
      </c>
    </row>
    <row r="6" spans="1:37" s="2" customFormat="1" x14ac:dyDescent="0.15">
      <c r="A6" s="2">
        <v>1</v>
      </c>
      <c r="B6" s="2" t="s">
        <v>379</v>
      </c>
      <c r="C6" s="2">
        <v>2</v>
      </c>
      <c r="D6" s="2">
        <v>5</v>
      </c>
      <c r="E6" s="2">
        <v>1</v>
      </c>
      <c r="F6" s="2">
        <v>200</v>
      </c>
      <c r="G6" s="2">
        <f>VLOOKUP(A6,资源索引!$A$2:$F$29,2,FALSE)*VLOOKUP(C6+1,资源索引!$I$1:$J$6,2,FALSE)</f>
        <v>1300000</v>
      </c>
      <c r="H6" s="2">
        <f>SUM(G$4:G6)</f>
        <v>2400000</v>
      </c>
      <c r="I6" s="2">
        <f>VLOOKUP(A6,资源索引!$A$2:$F$29,3,FALSE)*VLOOKUP(C6+1,资源索引!$I$1:$J$6,2,FALSE)</f>
        <v>650000</v>
      </c>
      <c r="J6" s="2">
        <f>SUM(I$4:I6)</f>
        <v>1200000</v>
      </c>
      <c r="K6" s="2">
        <f>VLOOKUP(A6,资源索引!$A$2:$F$29,4,FALSE)*VLOOKUP(C6+1,资源索引!$I$1:$J$6,2,FALSE)</f>
        <v>650000</v>
      </c>
      <c r="L6" s="2">
        <f>SUM(K$4:K6)</f>
        <v>1200000</v>
      </c>
      <c r="M6" s="2">
        <f>VLOOKUP(A6,资源索引!$A$2:$F$29,5,FALSE)*VLOOKUP(C6+1,资源索引!$I$1:$J$6,2,FALSE)</f>
        <v>650000</v>
      </c>
      <c r="N6" s="2">
        <f>SUM(M$4:M6)</f>
        <v>1200000</v>
      </c>
      <c r="O6" s="2">
        <f>VLOOKUP(A6,资源索引!$A$2:$F$29,6,FALSE)*VLOOKUP(C6+1,资源索引!$I$1:$J$6,2,FALSE)</f>
        <v>650000</v>
      </c>
      <c r="P6" s="2">
        <f>SUM(O$4:O6)</f>
        <v>1200000</v>
      </c>
      <c r="Q6" s="2">
        <v>2</v>
      </c>
      <c r="R6" s="2">
        <v>0</v>
      </c>
      <c r="S6" s="2">
        <v>9945</v>
      </c>
      <c r="T6" s="2">
        <v>0</v>
      </c>
      <c r="U6" s="2">
        <v>0</v>
      </c>
      <c r="V6" s="2">
        <v>0</v>
      </c>
      <c r="W6" s="4" t="s">
        <v>381</v>
      </c>
      <c r="X6" s="2">
        <v>4859</v>
      </c>
      <c r="Z6" s="2">
        <v>100000</v>
      </c>
      <c r="AA6" s="2">
        <v>50000</v>
      </c>
      <c r="AB6" s="2">
        <v>50000</v>
      </c>
      <c r="AC6" s="2">
        <v>50000</v>
      </c>
      <c r="AD6" s="2">
        <v>50000</v>
      </c>
      <c r="AE6" s="13">
        <v>1020</v>
      </c>
      <c r="AF6" s="2">
        <v>1060</v>
      </c>
      <c r="AG6" s="2">
        <v>361</v>
      </c>
      <c r="AH6" s="2">
        <v>362</v>
      </c>
      <c r="AI6" s="2">
        <v>363</v>
      </c>
      <c r="AJ6" s="2">
        <v>0</v>
      </c>
      <c r="AK6" s="2" t="s">
        <v>542</v>
      </c>
    </row>
    <row r="7" spans="1:37" s="2" customFormat="1" x14ac:dyDescent="0.15">
      <c r="A7" s="2">
        <v>1</v>
      </c>
      <c r="B7" s="2" t="s">
        <v>379</v>
      </c>
      <c r="C7" s="2">
        <v>3</v>
      </c>
      <c r="D7" s="2">
        <v>5</v>
      </c>
      <c r="E7" s="2">
        <v>1</v>
      </c>
      <c r="F7" s="2">
        <v>250</v>
      </c>
      <c r="G7" s="2">
        <f>VLOOKUP(A7,资源索引!$A$2:$F$29,2,FALSE)*VLOOKUP(C7+1,资源索引!$I$1:$J$6,2,FALSE)</f>
        <v>2400000</v>
      </c>
      <c r="H7" s="2">
        <f>SUM(G$4:G7)</f>
        <v>4800000</v>
      </c>
      <c r="I7" s="2">
        <f>VLOOKUP(A7,资源索引!$A$2:$F$29,3,FALSE)*VLOOKUP(C7+1,资源索引!$I$1:$J$6,2,FALSE)</f>
        <v>1200000</v>
      </c>
      <c r="J7" s="2">
        <f>SUM(I$4:I7)</f>
        <v>2400000</v>
      </c>
      <c r="K7" s="2">
        <f>VLOOKUP(A7,资源索引!$A$2:$F$29,4,FALSE)*VLOOKUP(C7+1,资源索引!$I$1:$J$6,2,FALSE)</f>
        <v>1200000</v>
      </c>
      <c r="L7" s="2">
        <f>SUM(K$4:K7)</f>
        <v>2400000</v>
      </c>
      <c r="M7" s="2">
        <f>VLOOKUP(A7,资源索引!$A$2:$F$29,5,FALSE)*VLOOKUP(C7+1,资源索引!$I$1:$J$6,2,FALSE)</f>
        <v>1200000</v>
      </c>
      <c r="N7" s="2">
        <f>SUM(M$4:M7)</f>
        <v>2400000</v>
      </c>
      <c r="O7" s="2">
        <f>VLOOKUP(A7,资源索引!$A$2:$F$29,6,FALSE)*VLOOKUP(C7+1,资源索引!$I$1:$J$6,2,FALSE)</f>
        <v>1200000</v>
      </c>
      <c r="P7" s="2">
        <f>SUM(O$4:O7)</f>
        <v>2400000</v>
      </c>
      <c r="Q7" s="2">
        <v>2</v>
      </c>
      <c r="R7" s="2">
        <v>0</v>
      </c>
      <c r="S7" s="2">
        <v>9945</v>
      </c>
      <c r="T7" s="2">
        <v>0</v>
      </c>
      <c r="U7" s="2">
        <v>0</v>
      </c>
      <c r="V7" s="2">
        <v>0</v>
      </c>
      <c r="W7" s="4" t="s">
        <v>382</v>
      </c>
      <c r="X7" s="2">
        <v>4859</v>
      </c>
      <c r="Z7" s="2">
        <v>100000</v>
      </c>
      <c r="AA7" s="2">
        <v>50000</v>
      </c>
      <c r="AB7" s="2">
        <v>50000</v>
      </c>
      <c r="AC7" s="2">
        <v>50000</v>
      </c>
      <c r="AD7" s="2">
        <v>50000</v>
      </c>
      <c r="AE7" s="13">
        <v>1020</v>
      </c>
      <c r="AF7" s="2">
        <v>1060</v>
      </c>
      <c r="AG7" s="2">
        <v>364</v>
      </c>
      <c r="AH7" s="2">
        <v>365</v>
      </c>
      <c r="AI7" s="2">
        <v>366</v>
      </c>
      <c r="AJ7" s="2">
        <v>0</v>
      </c>
      <c r="AK7" s="2" t="s">
        <v>543</v>
      </c>
    </row>
    <row r="8" spans="1:37" s="2" customFormat="1" x14ac:dyDescent="0.15">
      <c r="A8" s="2">
        <v>1</v>
      </c>
      <c r="B8" s="2" t="s">
        <v>379</v>
      </c>
      <c r="C8" s="2">
        <v>4</v>
      </c>
      <c r="D8" s="2">
        <v>5</v>
      </c>
      <c r="E8" s="2">
        <v>1</v>
      </c>
      <c r="F8" s="2">
        <v>300</v>
      </c>
      <c r="G8" s="2">
        <f>VLOOKUP(A8,资源索引!$A$2:$F$29,2,FALSE)*VLOOKUP(C8+1,资源索引!$I$1:$J$6,2,FALSE)</f>
        <v>4000000</v>
      </c>
      <c r="H8" s="2">
        <f>SUM(G$4:G8)</f>
        <v>8800000</v>
      </c>
      <c r="I8" s="2">
        <f>VLOOKUP(A8,资源索引!$A$2:$F$29,3,FALSE)*VLOOKUP(C8+1,资源索引!$I$1:$J$6,2,FALSE)</f>
        <v>2000000</v>
      </c>
      <c r="J8" s="2">
        <f>SUM(I$4:I8)</f>
        <v>4400000</v>
      </c>
      <c r="K8" s="2">
        <f>VLOOKUP(A8,资源索引!$A$2:$F$29,4,FALSE)*VLOOKUP(C8+1,资源索引!$I$1:$J$6,2,FALSE)</f>
        <v>2000000</v>
      </c>
      <c r="L8" s="2">
        <f>SUM(K$4:K8)</f>
        <v>4400000</v>
      </c>
      <c r="M8" s="2">
        <f>VLOOKUP(A8,资源索引!$A$2:$F$29,5,FALSE)*VLOOKUP(C8+1,资源索引!$I$1:$J$6,2,FALSE)</f>
        <v>2000000</v>
      </c>
      <c r="N8" s="2">
        <f>SUM(M$4:M8)</f>
        <v>4400000</v>
      </c>
      <c r="O8" s="2">
        <f>VLOOKUP(A8,资源索引!$A$2:$F$29,6,FALSE)*VLOOKUP(C8+1,资源索引!$I$1:$J$6,2,FALSE)</f>
        <v>2000000</v>
      </c>
      <c r="P8" s="2">
        <f>SUM(O$4:O8)</f>
        <v>4400000</v>
      </c>
      <c r="Q8" s="2">
        <v>2</v>
      </c>
      <c r="R8" s="2">
        <v>0</v>
      </c>
      <c r="S8" s="2">
        <v>9945</v>
      </c>
      <c r="T8" s="2">
        <v>0</v>
      </c>
      <c r="U8" s="2">
        <v>0</v>
      </c>
      <c r="V8" s="2">
        <v>0</v>
      </c>
      <c r="W8" s="4" t="s">
        <v>383</v>
      </c>
      <c r="X8" s="2">
        <v>4859</v>
      </c>
      <c r="Z8" s="2">
        <v>100000</v>
      </c>
      <c r="AA8" s="2">
        <v>50000</v>
      </c>
      <c r="AB8" s="2">
        <v>50000</v>
      </c>
      <c r="AC8" s="2">
        <v>50000</v>
      </c>
      <c r="AD8" s="2">
        <v>50000</v>
      </c>
      <c r="AE8" s="13">
        <v>1020</v>
      </c>
      <c r="AF8" s="2">
        <v>1060</v>
      </c>
      <c r="AG8" s="2">
        <v>364</v>
      </c>
      <c r="AH8" s="2">
        <v>365</v>
      </c>
      <c r="AI8" s="2">
        <v>366</v>
      </c>
      <c r="AJ8" s="2">
        <v>0</v>
      </c>
      <c r="AK8" s="2" t="s">
        <v>542</v>
      </c>
    </row>
    <row r="9" spans="1:37" s="2" customFormat="1" x14ac:dyDescent="0.15">
      <c r="A9" s="2">
        <v>1</v>
      </c>
      <c r="B9" s="2" t="s">
        <v>379</v>
      </c>
      <c r="C9" s="2">
        <v>5</v>
      </c>
      <c r="D9" s="2">
        <v>5</v>
      </c>
      <c r="E9" s="2">
        <v>1</v>
      </c>
      <c r="F9" s="2">
        <v>350</v>
      </c>
      <c r="G9" s="2">
        <f>VLOOKUP(A9,资源索引!$A$2:$F$29,2,FALSE)*VLOOKUP(C9+1,资源索引!$I$1:$J$6,2,FALSE)</f>
        <v>7200000</v>
      </c>
      <c r="H9" s="2">
        <f>SUM(G$4:G9)</f>
        <v>16000000</v>
      </c>
      <c r="I9" s="2">
        <f>VLOOKUP(A9,资源索引!$A$2:$F$29,3,FALSE)*VLOOKUP(C9+1,资源索引!$I$1:$J$6,2,FALSE)</f>
        <v>3600000</v>
      </c>
      <c r="J9" s="2">
        <f>SUM(I$4:I9)</f>
        <v>8000000</v>
      </c>
      <c r="K9" s="2">
        <f>VLOOKUP(A9,资源索引!$A$2:$F$29,4,FALSE)*VLOOKUP(C9+1,资源索引!$I$1:$J$6,2,FALSE)</f>
        <v>3600000</v>
      </c>
      <c r="L9" s="2">
        <f>SUM(K$4:K9)</f>
        <v>8000000</v>
      </c>
      <c r="M9" s="2">
        <f>VLOOKUP(A9,资源索引!$A$2:$F$29,5,FALSE)*VLOOKUP(C9+1,资源索引!$I$1:$J$6,2,FALSE)</f>
        <v>3600000</v>
      </c>
      <c r="N9" s="2">
        <f>SUM(M$4:M9)</f>
        <v>8000000</v>
      </c>
      <c r="O9" s="2">
        <f>VLOOKUP(A9,资源索引!$A$2:$F$29,6,FALSE)*VLOOKUP(C9+1,资源索引!$I$1:$J$6,2,FALSE)</f>
        <v>3600000</v>
      </c>
      <c r="P9" s="2">
        <f>SUM(O$4:O9)</f>
        <v>8000000</v>
      </c>
      <c r="Q9" s="2">
        <v>2</v>
      </c>
      <c r="R9" s="2">
        <v>0</v>
      </c>
      <c r="S9" s="2">
        <v>9945</v>
      </c>
      <c r="T9" s="2">
        <v>0</v>
      </c>
      <c r="U9" s="2">
        <v>0</v>
      </c>
      <c r="V9" s="2">
        <v>0</v>
      </c>
      <c r="W9" s="4" t="s">
        <v>384</v>
      </c>
      <c r="X9" s="2">
        <v>4859</v>
      </c>
      <c r="Z9" s="2">
        <v>100000</v>
      </c>
      <c r="AA9" s="2">
        <v>50000</v>
      </c>
      <c r="AB9" s="2">
        <v>50000</v>
      </c>
      <c r="AC9" s="2">
        <v>50000</v>
      </c>
      <c r="AD9" s="2">
        <v>50000</v>
      </c>
      <c r="AE9" s="13">
        <v>1020</v>
      </c>
      <c r="AF9" s="2">
        <v>1060</v>
      </c>
      <c r="AG9" s="2">
        <v>367</v>
      </c>
      <c r="AH9" s="2">
        <v>368</v>
      </c>
      <c r="AI9" s="2">
        <v>369</v>
      </c>
      <c r="AJ9" s="2">
        <v>0</v>
      </c>
      <c r="AK9" s="2" t="s">
        <v>542</v>
      </c>
    </row>
    <row r="10" spans="1:37" s="3" customFormat="1" x14ac:dyDescent="0.15">
      <c r="A10" s="3">
        <v>2</v>
      </c>
      <c r="B10" s="3" t="s">
        <v>385</v>
      </c>
      <c r="C10" s="3">
        <v>0</v>
      </c>
      <c r="D10" s="3">
        <v>5</v>
      </c>
      <c r="E10" s="3">
        <v>1</v>
      </c>
      <c r="F10" s="3">
        <v>50</v>
      </c>
      <c r="G10" s="3">
        <f>VLOOKUP(A10,资源索引!$A$2:$F$29,2,FALSE)*VLOOKUP(C10+1,资源索引!$I$1:$J$6,2,FALSE)</f>
        <v>120000</v>
      </c>
      <c r="H10" s="3">
        <f>SUM(G$10:G10)</f>
        <v>120000</v>
      </c>
      <c r="I10" s="3">
        <f>VLOOKUP(A10,资源索引!$A$2:$F$29,3,FALSE)*VLOOKUP(C10+1,资源索引!$I$1:$J$6,2,FALSE)</f>
        <v>120000</v>
      </c>
      <c r="J10" s="3">
        <f>SUM(I$10:I10)</f>
        <v>120000</v>
      </c>
      <c r="K10" s="3">
        <f>VLOOKUP(A10,资源索引!$A$2:$F$29,4,FALSE)*VLOOKUP(C10+1,资源索引!$I$1:$J$6,2,FALSE)</f>
        <v>100000</v>
      </c>
      <c r="L10" s="3">
        <f>SUM(K$10:K10)</f>
        <v>100000</v>
      </c>
      <c r="M10" s="3">
        <f>VLOOKUP(A10,资源索引!$A$2:$F$29,5,FALSE)*VLOOKUP(C10+1,资源索引!$I$1:$J$6,2,FALSE)</f>
        <v>100000</v>
      </c>
      <c r="N10" s="3">
        <f>SUM(M$10:M10)</f>
        <v>100000</v>
      </c>
      <c r="O10" s="3">
        <f>VLOOKUP(A10,资源索引!$A$2:$F$29,6,FALSE)*VLOOKUP(C10+1,资源索引!$I$1:$J$6,2,FALSE)</f>
        <v>40000</v>
      </c>
      <c r="P10" s="3">
        <f>SUM(O$10:O10)</f>
        <v>40000</v>
      </c>
      <c r="Q10" s="3">
        <v>2</v>
      </c>
      <c r="R10" s="3">
        <v>0</v>
      </c>
      <c r="S10" s="3">
        <v>9946</v>
      </c>
      <c r="T10" s="3">
        <v>1</v>
      </c>
      <c r="U10" s="3">
        <v>1</v>
      </c>
      <c r="V10" s="3">
        <v>0</v>
      </c>
      <c r="W10" s="3">
        <v>9946</v>
      </c>
      <c r="X10" s="3">
        <v>8594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14">
        <v>1021</v>
      </c>
      <c r="AF10" s="3">
        <v>1061</v>
      </c>
      <c r="AJ10" s="3">
        <v>0</v>
      </c>
      <c r="AK10" s="3" t="s">
        <v>386</v>
      </c>
    </row>
    <row r="11" spans="1:37" s="3" customFormat="1" x14ac:dyDescent="0.15">
      <c r="A11" s="3">
        <v>2</v>
      </c>
      <c r="B11" s="3" t="s">
        <v>385</v>
      </c>
      <c r="C11" s="3">
        <v>1</v>
      </c>
      <c r="D11" s="3">
        <v>5</v>
      </c>
      <c r="E11" s="3">
        <v>1</v>
      </c>
      <c r="F11" s="3">
        <v>80</v>
      </c>
      <c r="G11" s="3">
        <f>VLOOKUP(A11,资源索引!$A$2:$F$29,2,FALSE)*VLOOKUP(C11+1,资源索引!$I$1:$J$6,2,FALSE)</f>
        <v>210000.00000000003</v>
      </c>
      <c r="H11" s="3">
        <f>SUM(G$10:G11)</f>
        <v>330000</v>
      </c>
      <c r="I11" s="3">
        <f>VLOOKUP(A11,资源索引!$A$2:$F$29,3,FALSE)*VLOOKUP(C11+1,资源索引!$I$1:$J$6,2,FALSE)</f>
        <v>210000.00000000003</v>
      </c>
      <c r="J11" s="3">
        <f>SUM(I$10:I11)</f>
        <v>330000</v>
      </c>
      <c r="K11" s="3">
        <f>VLOOKUP(A11,资源索引!$A$2:$F$29,4,FALSE)*VLOOKUP(C11+1,资源索引!$I$1:$J$6,2,FALSE)</f>
        <v>175000.00000000003</v>
      </c>
      <c r="L11" s="3">
        <f>SUM(K$10:K11)</f>
        <v>275000</v>
      </c>
      <c r="M11" s="3">
        <f>VLOOKUP(A11,资源索引!$A$2:$F$29,5,FALSE)*VLOOKUP(C11+1,资源索引!$I$1:$J$6,2,FALSE)</f>
        <v>175000.00000000003</v>
      </c>
      <c r="N11" s="3">
        <f>SUM(M$10:M11)</f>
        <v>275000</v>
      </c>
      <c r="O11" s="3">
        <f>VLOOKUP(A11,资源索引!$A$2:$F$29,6,FALSE)*VLOOKUP(C11+1,资源索引!$I$1:$J$6,2,FALSE)</f>
        <v>70000</v>
      </c>
      <c r="P11" s="3">
        <f>SUM(O$10:O11)</f>
        <v>110000</v>
      </c>
      <c r="Q11" s="3">
        <v>2</v>
      </c>
      <c r="R11" s="3">
        <v>0</v>
      </c>
      <c r="S11" s="3">
        <v>9946</v>
      </c>
      <c r="T11" s="3">
        <v>1</v>
      </c>
      <c r="U11" s="3">
        <v>2</v>
      </c>
      <c r="V11" s="3">
        <v>0</v>
      </c>
      <c r="W11" s="5" t="s">
        <v>387</v>
      </c>
      <c r="X11" s="3">
        <v>8594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14">
        <v>1021</v>
      </c>
      <c r="AF11" s="3">
        <v>1061</v>
      </c>
      <c r="AG11" s="3">
        <v>379</v>
      </c>
      <c r="AH11" s="3">
        <v>380</v>
      </c>
      <c r="AI11" s="3">
        <v>381</v>
      </c>
      <c r="AJ11" s="3">
        <v>0</v>
      </c>
      <c r="AK11" s="3" t="s">
        <v>386</v>
      </c>
    </row>
    <row r="12" spans="1:37" s="3" customFormat="1" x14ac:dyDescent="0.15">
      <c r="A12" s="3">
        <v>2</v>
      </c>
      <c r="B12" s="3" t="s">
        <v>385</v>
      </c>
      <c r="C12" s="3">
        <v>2</v>
      </c>
      <c r="D12" s="3">
        <v>5</v>
      </c>
      <c r="E12" s="3">
        <v>1</v>
      </c>
      <c r="F12" s="3">
        <v>110</v>
      </c>
      <c r="G12" s="3">
        <f>VLOOKUP(A12,资源索引!$A$2:$F$29,2,FALSE)*VLOOKUP(C12+1,资源索引!$I$1:$J$6,2,FALSE)</f>
        <v>390000</v>
      </c>
      <c r="H12" s="3">
        <f>SUM(G$10:G12)</f>
        <v>720000</v>
      </c>
      <c r="I12" s="3">
        <f>VLOOKUP(A12,资源索引!$A$2:$F$29,3,FALSE)*VLOOKUP(C12+1,资源索引!$I$1:$J$6,2,FALSE)</f>
        <v>390000</v>
      </c>
      <c r="J12" s="3">
        <f>SUM(I$10:I12)</f>
        <v>720000</v>
      </c>
      <c r="K12" s="3">
        <f>VLOOKUP(A12,资源索引!$A$2:$F$29,4,FALSE)*VLOOKUP(C12+1,资源索引!$I$1:$J$6,2,FALSE)</f>
        <v>325000</v>
      </c>
      <c r="L12" s="3">
        <f>SUM(K$10:K12)</f>
        <v>600000</v>
      </c>
      <c r="M12" s="3">
        <f>VLOOKUP(A12,资源索引!$A$2:$F$29,5,FALSE)*VLOOKUP(C12+1,资源索引!$I$1:$J$6,2,FALSE)</f>
        <v>325000</v>
      </c>
      <c r="N12" s="3">
        <f>SUM(M$10:M12)</f>
        <v>600000</v>
      </c>
      <c r="O12" s="3">
        <f>VLOOKUP(A12,资源索引!$A$2:$F$29,6,FALSE)*VLOOKUP(C12+1,资源索引!$I$1:$J$6,2,FALSE)</f>
        <v>130000</v>
      </c>
      <c r="P12" s="3">
        <f>SUM(O$10:O12)</f>
        <v>240000</v>
      </c>
      <c r="Q12" s="3">
        <v>2</v>
      </c>
      <c r="R12" s="3">
        <v>0</v>
      </c>
      <c r="S12" s="3">
        <v>9946</v>
      </c>
      <c r="T12" s="3">
        <v>1</v>
      </c>
      <c r="U12" s="3">
        <v>3</v>
      </c>
      <c r="V12" s="3">
        <v>0</v>
      </c>
      <c r="W12" s="5" t="s">
        <v>388</v>
      </c>
      <c r="X12" s="3">
        <v>8594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14">
        <v>1021</v>
      </c>
      <c r="AF12" s="3">
        <v>1061</v>
      </c>
      <c r="AG12" s="3">
        <v>379</v>
      </c>
      <c r="AH12" s="3">
        <v>380</v>
      </c>
      <c r="AI12" s="3">
        <v>381</v>
      </c>
      <c r="AJ12" s="3">
        <v>0</v>
      </c>
      <c r="AK12" s="3" t="s">
        <v>386</v>
      </c>
    </row>
    <row r="13" spans="1:37" s="3" customFormat="1" x14ac:dyDescent="0.15">
      <c r="A13" s="3">
        <v>2</v>
      </c>
      <c r="B13" s="3" t="s">
        <v>385</v>
      </c>
      <c r="C13" s="3">
        <v>3</v>
      </c>
      <c r="D13" s="3">
        <v>5</v>
      </c>
      <c r="E13" s="3">
        <v>1</v>
      </c>
      <c r="F13" s="3">
        <v>140</v>
      </c>
      <c r="G13" s="3">
        <f>VLOOKUP(A13,资源索引!$A$2:$F$29,2,FALSE)*VLOOKUP(C13+1,资源索引!$I$1:$J$6,2,FALSE)</f>
        <v>720000</v>
      </c>
      <c r="H13" s="3">
        <f>SUM(G$10:G13)</f>
        <v>1440000</v>
      </c>
      <c r="I13" s="3">
        <f>VLOOKUP(A13,资源索引!$A$2:$F$29,3,FALSE)*VLOOKUP(C13+1,资源索引!$I$1:$J$6,2,FALSE)</f>
        <v>720000</v>
      </c>
      <c r="J13" s="3">
        <f>SUM(I$10:I13)</f>
        <v>1440000</v>
      </c>
      <c r="K13" s="3">
        <f>VLOOKUP(A13,资源索引!$A$2:$F$29,4,FALSE)*VLOOKUP(C13+1,资源索引!$I$1:$J$6,2,FALSE)</f>
        <v>600000</v>
      </c>
      <c r="L13" s="3">
        <f>SUM(K$10:K13)</f>
        <v>1200000</v>
      </c>
      <c r="M13" s="3">
        <f>VLOOKUP(A13,资源索引!$A$2:$F$29,5,FALSE)*VLOOKUP(C13+1,资源索引!$I$1:$J$6,2,FALSE)</f>
        <v>600000</v>
      </c>
      <c r="N13" s="3">
        <f>SUM(M$10:M13)</f>
        <v>1200000</v>
      </c>
      <c r="O13" s="3">
        <f>VLOOKUP(A13,资源索引!$A$2:$F$29,6,FALSE)*VLOOKUP(C13+1,资源索引!$I$1:$J$6,2,FALSE)</f>
        <v>240000</v>
      </c>
      <c r="P13" s="3">
        <f>SUM(O$10:O13)</f>
        <v>480000</v>
      </c>
      <c r="Q13" s="3">
        <v>2</v>
      </c>
      <c r="R13" s="3">
        <v>0</v>
      </c>
      <c r="S13" s="3">
        <v>9946</v>
      </c>
      <c r="T13" s="3">
        <v>1</v>
      </c>
      <c r="U13" s="3">
        <v>4</v>
      </c>
      <c r="V13" s="3">
        <v>0</v>
      </c>
      <c r="W13" s="5" t="s">
        <v>389</v>
      </c>
      <c r="X13" s="3">
        <v>8594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14">
        <v>1021</v>
      </c>
      <c r="AF13" s="3">
        <v>1061</v>
      </c>
      <c r="AG13" s="3">
        <v>382</v>
      </c>
      <c r="AH13" s="3">
        <v>383</v>
      </c>
      <c r="AI13" s="3">
        <v>384</v>
      </c>
      <c r="AJ13" s="3">
        <v>0</v>
      </c>
      <c r="AK13" s="3" t="s">
        <v>386</v>
      </c>
    </row>
    <row r="14" spans="1:37" s="3" customFormat="1" x14ac:dyDescent="0.15">
      <c r="A14" s="3">
        <v>2</v>
      </c>
      <c r="B14" s="3" t="s">
        <v>385</v>
      </c>
      <c r="C14" s="3">
        <v>4</v>
      </c>
      <c r="D14" s="3">
        <v>5</v>
      </c>
      <c r="E14" s="3">
        <v>1</v>
      </c>
      <c r="F14" s="3">
        <v>170</v>
      </c>
      <c r="G14" s="3">
        <f>VLOOKUP(A14,资源索引!$A$2:$F$29,2,FALSE)*VLOOKUP(C14+1,资源索引!$I$1:$J$6,2,FALSE)</f>
        <v>1200000</v>
      </c>
      <c r="H14" s="3">
        <f>SUM(G$10:G14)</f>
        <v>2640000</v>
      </c>
      <c r="I14" s="3">
        <f>VLOOKUP(A14,资源索引!$A$2:$F$29,3,FALSE)*VLOOKUP(C14+1,资源索引!$I$1:$J$6,2,FALSE)</f>
        <v>1200000</v>
      </c>
      <c r="J14" s="3">
        <f>SUM(I$10:I14)</f>
        <v>2640000</v>
      </c>
      <c r="K14" s="3">
        <f>VLOOKUP(A14,资源索引!$A$2:$F$29,4,FALSE)*VLOOKUP(C14+1,资源索引!$I$1:$J$6,2,FALSE)</f>
        <v>1000000</v>
      </c>
      <c r="L14" s="3">
        <f>SUM(K$10:K14)</f>
        <v>2200000</v>
      </c>
      <c r="M14" s="3">
        <f>VLOOKUP(A14,资源索引!$A$2:$F$29,5,FALSE)*VLOOKUP(C14+1,资源索引!$I$1:$J$6,2,FALSE)</f>
        <v>1000000</v>
      </c>
      <c r="N14" s="3">
        <f>SUM(M$10:M14)</f>
        <v>2200000</v>
      </c>
      <c r="O14" s="3">
        <f>VLOOKUP(A14,资源索引!$A$2:$F$29,6,FALSE)*VLOOKUP(C14+1,资源索引!$I$1:$J$6,2,FALSE)</f>
        <v>400000</v>
      </c>
      <c r="P14" s="3">
        <f>SUM(O$10:O14)</f>
        <v>880000</v>
      </c>
      <c r="Q14" s="3">
        <v>2</v>
      </c>
      <c r="R14" s="3">
        <v>0</v>
      </c>
      <c r="S14" s="3">
        <v>9946</v>
      </c>
      <c r="T14" s="3">
        <v>1</v>
      </c>
      <c r="U14" s="3">
        <v>5</v>
      </c>
      <c r="V14" s="3">
        <v>0</v>
      </c>
      <c r="W14" s="5" t="s">
        <v>390</v>
      </c>
      <c r="X14" s="3">
        <v>8594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14">
        <v>1021</v>
      </c>
      <c r="AF14" s="3">
        <v>1061</v>
      </c>
      <c r="AG14" s="3">
        <v>382</v>
      </c>
      <c r="AH14" s="3">
        <v>383</v>
      </c>
      <c r="AI14" s="3">
        <v>384</v>
      </c>
      <c r="AJ14" s="3">
        <v>0</v>
      </c>
      <c r="AK14" s="3" t="s">
        <v>386</v>
      </c>
    </row>
    <row r="15" spans="1:37" s="3" customFormat="1" x14ac:dyDescent="0.15">
      <c r="A15" s="3">
        <v>2</v>
      </c>
      <c r="B15" s="3" t="s">
        <v>385</v>
      </c>
      <c r="C15" s="3">
        <v>5</v>
      </c>
      <c r="D15" s="3">
        <v>5</v>
      </c>
      <c r="E15" s="3">
        <v>1</v>
      </c>
      <c r="F15" s="3">
        <v>200</v>
      </c>
      <c r="G15" s="3">
        <f>VLOOKUP(A15,资源索引!$A$2:$F$29,2,FALSE)*VLOOKUP(C15+1,资源索引!$I$1:$J$6,2,FALSE)</f>
        <v>2160000</v>
      </c>
      <c r="H15" s="3">
        <f>SUM(G$10:G15)</f>
        <v>4800000</v>
      </c>
      <c r="I15" s="3">
        <f>VLOOKUP(A15,资源索引!$A$2:$F$29,3,FALSE)*VLOOKUP(C15+1,资源索引!$I$1:$J$6,2,FALSE)</f>
        <v>2160000</v>
      </c>
      <c r="J15" s="3">
        <f>SUM(I$10:I15)</f>
        <v>4800000</v>
      </c>
      <c r="K15" s="3">
        <f>VLOOKUP(A15,资源索引!$A$2:$F$29,4,FALSE)*VLOOKUP(C15+1,资源索引!$I$1:$J$6,2,FALSE)</f>
        <v>1800000</v>
      </c>
      <c r="L15" s="3">
        <f>SUM(K$10:K15)</f>
        <v>4000000</v>
      </c>
      <c r="M15" s="3">
        <f>VLOOKUP(A15,资源索引!$A$2:$F$29,5,FALSE)*VLOOKUP(C15+1,资源索引!$I$1:$J$6,2,FALSE)</f>
        <v>1800000</v>
      </c>
      <c r="N15" s="3">
        <f>SUM(M$10:M15)</f>
        <v>4000000</v>
      </c>
      <c r="O15" s="3">
        <f>VLOOKUP(A15,资源索引!$A$2:$F$29,6,FALSE)*VLOOKUP(C15+1,资源索引!$I$1:$J$6,2,FALSE)</f>
        <v>720000</v>
      </c>
      <c r="P15" s="3">
        <f>SUM(O$10:O15)</f>
        <v>1600000</v>
      </c>
      <c r="Q15" s="3">
        <v>2</v>
      </c>
      <c r="R15" s="3">
        <v>0</v>
      </c>
      <c r="S15" s="3">
        <v>9946</v>
      </c>
      <c r="T15" s="3">
        <v>1</v>
      </c>
      <c r="U15" s="3">
        <v>6</v>
      </c>
      <c r="V15" s="3">
        <v>0</v>
      </c>
      <c r="W15" s="5" t="s">
        <v>391</v>
      </c>
      <c r="X15" s="3">
        <v>8594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14">
        <v>1021</v>
      </c>
      <c r="AF15" s="3">
        <v>1061</v>
      </c>
      <c r="AG15" s="3">
        <v>385</v>
      </c>
      <c r="AH15" s="3">
        <v>386</v>
      </c>
      <c r="AI15" s="3">
        <v>387</v>
      </c>
      <c r="AJ15" s="3">
        <v>0</v>
      </c>
      <c r="AK15" s="3" t="s">
        <v>386</v>
      </c>
    </row>
    <row r="16" spans="1:37" s="2" customFormat="1" x14ac:dyDescent="0.15">
      <c r="A16" s="2">
        <v>3</v>
      </c>
      <c r="B16" s="2" t="s">
        <v>392</v>
      </c>
      <c r="C16" s="2">
        <v>0</v>
      </c>
      <c r="D16" s="2">
        <v>5</v>
      </c>
      <c r="E16" s="2">
        <v>1</v>
      </c>
      <c r="F16" s="2">
        <v>50</v>
      </c>
      <c r="G16" s="2">
        <f>VLOOKUP(A16,资源索引!$A$2:$F$29,2,FALSE)*VLOOKUP(C16+1,资源索引!$I$1:$J$6,2,FALSE)</f>
        <v>240000</v>
      </c>
      <c r="H16" s="2">
        <f>SUM(G$16:G16)</f>
        <v>240000</v>
      </c>
      <c r="I16" s="2">
        <f>VLOOKUP(A16,资源索引!$A$2:$F$29,3,FALSE)*VLOOKUP(C16+1,资源索引!$I$1:$J$6,2,FALSE)</f>
        <v>60000</v>
      </c>
      <c r="J16" s="2">
        <f>SUM(I$16:I16)</f>
        <v>60000</v>
      </c>
      <c r="K16" s="2">
        <f>VLOOKUP(A16,资源索引!$A$2:$F$29,4,FALSE)*VLOOKUP(C16+1,资源索引!$I$1:$J$6,2,FALSE)</f>
        <v>140000</v>
      </c>
      <c r="L16" s="2">
        <f>SUM(K$16:K16)</f>
        <v>140000</v>
      </c>
      <c r="M16" s="2">
        <f>VLOOKUP(A16,资源索引!$A$2:$F$29,5,FALSE)*VLOOKUP(C16+1,资源索引!$I$1:$J$6,2,FALSE)</f>
        <v>140000</v>
      </c>
      <c r="N16" s="2">
        <f>SUM(M$16:M16)</f>
        <v>140000</v>
      </c>
      <c r="O16" s="2">
        <f>VLOOKUP(A16,资源索引!$A$2:$F$29,6,FALSE)*VLOOKUP(C16+1,资源索引!$I$1:$J$6,2,FALSE)</f>
        <v>140000</v>
      </c>
      <c r="P16" s="2">
        <f>SUM(O$16:O16)</f>
        <v>140000</v>
      </c>
      <c r="Q16" s="2">
        <v>2</v>
      </c>
      <c r="R16" s="2">
        <v>0</v>
      </c>
      <c r="S16" s="2">
        <v>9946</v>
      </c>
      <c r="T16" s="2">
        <v>1</v>
      </c>
      <c r="U16" s="2">
        <v>1</v>
      </c>
      <c r="V16" s="2">
        <v>0</v>
      </c>
      <c r="W16" s="2">
        <v>9946</v>
      </c>
      <c r="X16" s="2">
        <v>8591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13">
        <v>1022</v>
      </c>
      <c r="AF16" s="2">
        <v>1062</v>
      </c>
      <c r="AJ16" s="2">
        <v>0</v>
      </c>
      <c r="AK16" s="2" t="s">
        <v>393</v>
      </c>
    </row>
    <row r="17" spans="1:37" s="2" customFormat="1" x14ac:dyDescent="0.15">
      <c r="A17" s="2">
        <v>3</v>
      </c>
      <c r="B17" s="2" t="s">
        <v>392</v>
      </c>
      <c r="C17" s="2">
        <v>1</v>
      </c>
      <c r="D17" s="2">
        <v>5</v>
      </c>
      <c r="E17" s="2">
        <v>1</v>
      </c>
      <c r="F17" s="2">
        <v>80</v>
      </c>
      <c r="G17" s="2">
        <f>VLOOKUP(A17,资源索引!$A$2:$F$29,2,FALSE)*VLOOKUP(C17+1,资源索引!$I$1:$J$6,2,FALSE)</f>
        <v>420000.00000000006</v>
      </c>
      <c r="H17" s="2">
        <f>SUM(G$16:G17)</f>
        <v>660000</v>
      </c>
      <c r="I17" s="2">
        <f>VLOOKUP(A17,资源索引!$A$2:$F$29,3,FALSE)*VLOOKUP(C17+1,资源索引!$I$1:$J$6,2,FALSE)</f>
        <v>105000.00000000001</v>
      </c>
      <c r="J17" s="2">
        <f>SUM(I$16:I17)</f>
        <v>165000</v>
      </c>
      <c r="K17" s="2">
        <f>VLOOKUP(A17,资源索引!$A$2:$F$29,4,FALSE)*VLOOKUP(C17+1,资源索引!$I$1:$J$6,2,FALSE)</f>
        <v>245000.00000000003</v>
      </c>
      <c r="L17" s="2">
        <f>SUM(K$16:K17)</f>
        <v>385000</v>
      </c>
      <c r="M17" s="2">
        <f>VLOOKUP(A17,资源索引!$A$2:$F$29,5,FALSE)*VLOOKUP(C17+1,资源索引!$I$1:$J$6,2,FALSE)</f>
        <v>245000.00000000003</v>
      </c>
      <c r="N17" s="2">
        <f>SUM(M$16:M17)</f>
        <v>385000</v>
      </c>
      <c r="O17" s="2">
        <f>VLOOKUP(A17,资源索引!$A$2:$F$29,6,FALSE)*VLOOKUP(C17+1,资源索引!$I$1:$J$6,2,FALSE)</f>
        <v>245000.00000000003</v>
      </c>
      <c r="P17" s="2">
        <f>SUM(O$16:O17)</f>
        <v>385000</v>
      </c>
      <c r="Q17" s="2">
        <v>2</v>
      </c>
      <c r="R17" s="2">
        <v>0</v>
      </c>
      <c r="S17" s="2">
        <v>9946</v>
      </c>
      <c r="T17" s="2">
        <v>1</v>
      </c>
      <c r="U17" s="2">
        <v>2</v>
      </c>
      <c r="V17" s="2">
        <v>0</v>
      </c>
      <c r="W17" s="4" t="s">
        <v>394</v>
      </c>
      <c r="X17" s="2">
        <v>8591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13">
        <v>1022</v>
      </c>
      <c r="AF17" s="2">
        <v>1062</v>
      </c>
      <c r="AG17" s="2">
        <v>379</v>
      </c>
      <c r="AH17" s="2">
        <v>380</v>
      </c>
      <c r="AI17" s="2">
        <v>381</v>
      </c>
      <c r="AJ17" s="2">
        <v>0</v>
      </c>
      <c r="AK17" s="2" t="s">
        <v>393</v>
      </c>
    </row>
    <row r="18" spans="1:37" s="2" customFormat="1" x14ac:dyDescent="0.15">
      <c r="A18" s="2">
        <v>3</v>
      </c>
      <c r="B18" s="2" t="s">
        <v>392</v>
      </c>
      <c r="C18" s="2">
        <v>2</v>
      </c>
      <c r="D18" s="2">
        <v>5</v>
      </c>
      <c r="E18" s="2">
        <v>1</v>
      </c>
      <c r="F18" s="2">
        <v>110</v>
      </c>
      <c r="G18" s="2">
        <f>VLOOKUP(A18,资源索引!$A$2:$F$29,2,FALSE)*VLOOKUP(C18+1,资源索引!$I$1:$J$6,2,FALSE)</f>
        <v>780000</v>
      </c>
      <c r="H18" s="2">
        <f>SUM(G$16:G18)</f>
        <v>1440000</v>
      </c>
      <c r="I18" s="2">
        <f>VLOOKUP(A18,资源索引!$A$2:$F$29,3,FALSE)*VLOOKUP(C18+1,资源索引!$I$1:$J$6,2,FALSE)</f>
        <v>195000</v>
      </c>
      <c r="J18" s="2">
        <f>SUM(I$16:I18)</f>
        <v>360000</v>
      </c>
      <c r="K18" s="2">
        <f>VLOOKUP(A18,资源索引!$A$2:$F$29,4,FALSE)*VLOOKUP(C18+1,资源索引!$I$1:$J$6,2,FALSE)</f>
        <v>455000</v>
      </c>
      <c r="L18" s="2">
        <f>SUM(K$16:K18)</f>
        <v>840000</v>
      </c>
      <c r="M18" s="2">
        <f>VLOOKUP(A18,资源索引!$A$2:$F$29,5,FALSE)*VLOOKUP(C18+1,资源索引!$I$1:$J$6,2,FALSE)</f>
        <v>455000</v>
      </c>
      <c r="N18" s="2">
        <f>SUM(M$16:M18)</f>
        <v>840000</v>
      </c>
      <c r="O18" s="2">
        <f>VLOOKUP(A18,资源索引!$A$2:$F$29,6,FALSE)*VLOOKUP(C18+1,资源索引!$I$1:$J$6,2,FALSE)</f>
        <v>455000</v>
      </c>
      <c r="P18" s="2">
        <f>SUM(O$16:O18)</f>
        <v>840000</v>
      </c>
      <c r="Q18" s="2">
        <v>2</v>
      </c>
      <c r="R18" s="2">
        <v>0</v>
      </c>
      <c r="S18" s="2">
        <v>9946</v>
      </c>
      <c r="T18" s="2">
        <v>1</v>
      </c>
      <c r="U18" s="2">
        <v>3</v>
      </c>
      <c r="V18" s="2">
        <v>0</v>
      </c>
      <c r="W18" s="4" t="s">
        <v>395</v>
      </c>
      <c r="X18" s="2">
        <v>8591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13">
        <v>1022</v>
      </c>
      <c r="AF18" s="2">
        <v>1062</v>
      </c>
      <c r="AG18" s="2">
        <v>379</v>
      </c>
      <c r="AH18" s="2">
        <v>380</v>
      </c>
      <c r="AI18" s="2">
        <v>381</v>
      </c>
      <c r="AJ18" s="2">
        <v>0</v>
      </c>
      <c r="AK18" s="2" t="s">
        <v>393</v>
      </c>
    </row>
    <row r="19" spans="1:37" s="2" customFormat="1" x14ac:dyDescent="0.15">
      <c r="A19" s="2">
        <v>3</v>
      </c>
      <c r="B19" s="2" t="s">
        <v>392</v>
      </c>
      <c r="C19" s="2">
        <v>3</v>
      </c>
      <c r="D19" s="2">
        <v>5</v>
      </c>
      <c r="E19" s="2">
        <v>1</v>
      </c>
      <c r="F19" s="2">
        <v>140</v>
      </c>
      <c r="G19" s="2">
        <f>VLOOKUP(A19,资源索引!$A$2:$F$29,2,FALSE)*VLOOKUP(C19+1,资源索引!$I$1:$J$6,2,FALSE)</f>
        <v>1440000</v>
      </c>
      <c r="H19" s="2">
        <f>SUM(G$16:G19)</f>
        <v>2880000</v>
      </c>
      <c r="I19" s="2">
        <f>VLOOKUP(A19,资源索引!$A$2:$F$29,3,FALSE)*VLOOKUP(C19+1,资源索引!$I$1:$J$6,2,FALSE)</f>
        <v>360000</v>
      </c>
      <c r="J19" s="2">
        <f>SUM(I$16:I19)</f>
        <v>720000</v>
      </c>
      <c r="K19" s="2">
        <f>VLOOKUP(A19,资源索引!$A$2:$F$29,4,FALSE)*VLOOKUP(C19+1,资源索引!$I$1:$J$6,2,FALSE)</f>
        <v>840000</v>
      </c>
      <c r="L19" s="2">
        <f>SUM(K$16:K19)</f>
        <v>1680000</v>
      </c>
      <c r="M19" s="2">
        <f>VLOOKUP(A19,资源索引!$A$2:$F$29,5,FALSE)*VLOOKUP(C19+1,资源索引!$I$1:$J$6,2,FALSE)</f>
        <v>840000</v>
      </c>
      <c r="N19" s="2">
        <f>SUM(M$16:M19)</f>
        <v>1680000</v>
      </c>
      <c r="O19" s="2">
        <f>VLOOKUP(A19,资源索引!$A$2:$F$29,6,FALSE)*VLOOKUP(C19+1,资源索引!$I$1:$J$6,2,FALSE)</f>
        <v>840000</v>
      </c>
      <c r="P19" s="2">
        <f>SUM(O$16:O19)</f>
        <v>1680000</v>
      </c>
      <c r="Q19" s="2">
        <v>2</v>
      </c>
      <c r="R19" s="2">
        <v>0</v>
      </c>
      <c r="S19" s="2">
        <v>9946</v>
      </c>
      <c r="T19" s="2">
        <v>1</v>
      </c>
      <c r="U19" s="2">
        <v>4</v>
      </c>
      <c r="V19" s="2">
        <v>0</v>
      </c>
      <c r="W19" s="4" t="s">
        <v>396</v>
      </c>
      <c r="X19" s="2">
        <v>8591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13">
        <v>1022</v>
      </c>
      <c r="AF19" s="2">
        <v>1062</v>
      </c>
      <c r="AG19" s="2">
        <v>382</v>
      </c>
      <c r="AH19" s="2">
        <v>383</v>
      </c>
      <c r="AI19" s="2">
        <v>384</v>
      </c>
      <c r="AJ19" s="2">
        <v>0</v>
      </c>
      <c r="AK19" s="2" t="s">
        <v>393</v>
      </c>
    </row>
    <row r="20" spans="1:37" s="2" customFormat="1" x14ac:dyDescent="0.15">
      <c r="A20" s="2">
        <v>3</v>
      </c>
      <c r="B20" s="2" t="s">
        <v>392</v>
      </c>
      <c r="C20" s="2">
        <v>4</v>
      </c>
      <c r="D20" s="2">
        <v>5</v>
      </c>
      <c r="E20" s="2">
        <v>1</v>
      </c>
      <c r="F20" s="2">
        <v>170</v>
      </c>
      <c r="G20" s="2">
        <f>VLOOKUP(A20,资源索引!$A$2:$F$29,2,FALSE)*VLOOKUP(C20+1,资源索引!$I$1:$J$6,2,FALSE)</f>
        <v>2400000</v>
      </c>
      <c r="H20" s="2">
        <f>SUM(G$16:G20)</f>
        <v>5280000</v>
      </c>
      <c r="I20" s="2">
        <f>VLOOKUP(A20,资源索引!$A$2:$F$29,3,FALSE)*VLOOKUP(C20+1,资源索引!$I$1:$J$6,2,FALSE)</f>
        <v>600000</v>
      </c>
      <c r="J20" s="2">
        <f>SUM(I$16:I20)</f>
        <v>1320000</v>
      </c>
      <c r="K20" s="2">
        <f>VLOOKUP(A20,资源索引!$A$2:$F$29,4,FALSE)*VLOOKUP(C20+1,资源索引!$I$1:$J$6,2,FALSE)</f>
        <v>1400000</v>
      </c>
      <c r="L20" s="2">
        <f>SUM(K$16:K20)</f>
        <v>3080000</v>
      </c>
      <c r="M20" s="2">
        <f>VLOOKUP(A20,资源索引!$A$2:$F$29,5,FALSE)*VLOOKUP(C20+1,资源索引!$I$1:$J$6,2,FALSE)</f>
        <v>1400000</v>
      </c>
      <c r="N20" s="2">
        <f>SUM(M$16:M20)</f>
        <v>3080000</v>
      </c>
      <c r="O20" s="2">
        <f>VLOOKUP(A20,资源索引!$A$2:$F$29,6,FALSE)*VLOOKUP(C20+1,资源索引!$I$1:$J$6,2,FALSE)</f>
        <v>1400000</v>
      </c>
      <c r="P20" s="2">
        <f>SUM(O$16:O20)</f>
        <v>3080000</v>
      </c>
      <c r="Q20" s="2">
        <v>2</v>
      </c>
      <c r="R20" s="2">
        <v>0</v>
      </c>
      <c r="S20" s="2">
        <v>9946</v>
      </c>
      <c r="T20" s="2">
        <v>1</v>
      </c>
      <c r="U20" s="2">
        <v>5</v>
      </c>
      <c r="V20" s="2">
        <v>0</v>
      </c>
      <c r="W20" s="4" t="s">
        <v>397</v>
      </c>
      <c r="X20" s="2">
        <v>8591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13">
        <v>1022</v>
      </c>
      <c r="AF20" s="2">
        <v>1062</v>
      </c>
      <c r="AG20" s="2">
        <v>382</v>
      </c>
      <c r="AH20" s="2">
        <v>383</v>
      </c>
      <c r="AI20" s="2">
        <v>384</v>
      </c>
      <c r="AJ20" s="2">
        <v>0</v>
      </c>
      <c r="AK20" s="2" t="s">
        <v>393</v>
      </c>
    </row>
    <row r="21" spans="1:37" s="2" customFormat="1" x14ac:dyDescent="0.15">
      <c r="A21" s="2">
        <v>3</v>
      </c>
      <c r="B21" s="2" t="s">
        <v>392</v>
      </c>
      <c r="C21" s="2">
        <v>5</v>
      </c>
      <c r="D21" s="2">
        <v>5</v>
      </c>
      <c r="E21" s="2">
        <v>1</v>
      </c>
      <c r="F21" s="2">
        <v>200</v>
      </c>
      <c r="G21" s="2">
        <f>VLOOKUP(A21,资源索引!$A$2:$F$29,2,FALSE)*VLOOKUP(C21+1,资源索引!$I$1:$J$6,2,FALSE)</f>
        <v>4320000</v>
      </c>
      <c r="H21" s="2">
        <f>SUM(G$16:G21)</f>
        <v>9600000</v>
      </c>
      <c r="I21" s="2">
        <f>VLOOKUP(A21,资源索引!$A$2:$F$29,3,FALSE)*VLOOKUP(C21+1,资源索引!$I$1:$J$6,2,FALSE)</f>
        <v>1080000</v>
      </c>
      <c r="J21" s="2">
        <f>SUM(I$16:I21)</f>
        <v>2400000</v>
      </c>
      <c r="K21" s="2">
        <f>VLOOKUP(A21,资源索引!$A$2:$F$29,4,FALSE)*VLOOKUP(C21+1,资源索引!$I$1:$J$6,2,FALSE)</f>
        <v>2520000</v>
      </c>
      <c r="L21" s="2">
        <f>SUM(K$16:K21)</f>
        <v>5600000</v>
      </c>
      <c r="M21" s="2">
        <f>VLOOKUP(A21,资源索引!$A$2:$F$29,5,FALSE)*VLOOKUP(C21+1,资源索引!$I$1:$J$6,2,FALSE)</f>
        <v>2520000</v>
      </c>
      <c r="N21" s="2">
        <f>SUM(M$16:M21)</f>
        <v>5600000</v>
      </c>
      <c r="O21" s="2">
        <f>VLOOKUP(A21,资源索引!$A$2:$F$29,6,FALSE)*VLOOKUP(C21+1,资源索引!$I$1:$J$6,2,FALSE)</f>
        <v>2520000</v>
      </c>
      <c r="P21" s="2">
        <f>SUM(O$16:O21)</f>
        <v>5600000</v>
      </c>
      <c r="Q21" s="2">
        <v>2</v>
      </c>
      <c r="R21" s="2">
        <v>0</v>
      </c>
      <c r="S21" s="2">
        <v>9946</v>
      </c>
      <c r="T21" s="2">
        <v>1</v>
      </c>
      <c r="U21" s="2">
        <v>6</v>
      </c>
      <c r="V21" s="2">
        <v>0</v>
      </c>
      <c r="W21" s="4" t="s">
        <v>398</v>
      </c>
      <c r="X21" s="2">
        <v>8591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13">
        <v>1022</v>
      </c>
      <c r="AF21" s="2">
        <v>1062</v>
      </c>
      <c r="AG21" s="2">
        <v>385</v>
      </c>
      <c r="AH21" s="2">
        <v>386</v>
      </c>
      <c r="AI21" s="2">
        <v>387</v>
      </c>
      <c r="AJ21" s="2">
        <v>0</v>
      </c>
      <c r="AK21" s="2" t="s">
        <v>393</v>
      </c>
    </row>
    <row r="22" spans="1:37" s="3" customFormat="1" x14ac:dyDescent="0.15">
      <c r="A22" s="3">
        <v>4</v>
      </c>
      <c r="B22" s="3" t="s">
        <v>399</v>
      </c>
      <c r="C22" s="3">
        <v>0</v>
      </c>
      <c r="D22" s="3">
        <v>5</v>
      </c>
      <c r="E22" s="3">
        <v>1</v>
      </c>
      <c r="F22" s="3">
        <v>50</v>
      </c>
      <c r="G22" s="3">
        <f>VLOOKUP(A22,资源索引!$A$2:$F$29,2,FALSE)*VLOOKUP(C22+1,资源索引!$I$1:$J$6,2,FALSE)</f>
        <v>200000</v>
      </c>
      <c r="H22" s="3">
        <f>SUM(G$22:G22)</f>
        <v>200000</v>
      </c>
      <c r="I22" s="3">
        <f>VLOOKUP(A22,资源索引!$A$2:$F$29,3,FALSE)*VLOOKUP(C22+1,资源索引!$I$1:$J$6,2,FALSE)</f>
        <v>280000</v>
      </c>
      <c r="J22" s="3">
        <f>SUM(I$22:I22)</f>
        <v>280000</v>
      </c>
      <c r="K22" s="3">
        <f>VLOOKUP(A22,资源索引!$A$2:$F$29,4,FALSE)*VLOOKUP(C22+1,资源索引!$I$1:$J$6,2,FALSE)</f>
        <v>160000</v>
      </c>
      <c r="L22" s="3">
        <f>SUM(K$22:K22)</f>
        <v>160000</v>
      </c>
      <c r="M22" s="3">
        <f>VLOOKUP(A22,资源索引!$A$2:$F$29,5,FALSE)*VLOOKUP(C22+1,资源索引!$I$1:$J$6,2,FALSE)</f>
        <v>200000</v>
      </c>
      <c r="N22" s="3">
        <f>SUM(M$22:M22)</f>
        <v>200000</v>
      </c>
      <c r="O22" s="3">
        <f>VLOOKUP(A22,资源索引!$A$2:$F$29,6,FALSE)*VLOOKUP(C22+1,资源索引!$I$1:$J$6,2,FALSE)</f>
        <v>120000</v>
      </c>
      <c r="P22" s="3">
        <f>SUM(O$22:O22)</f>
        <v>120000</v>
      </c>
      <c r="Q22" s="3">
        <v>2</v>
      </c>
      <c r="R22" s="3">
        <v>0</v>
      </c>
      <c r="S22" s="3">
        <v>9946</v>
      </c>
      <c r="T22" s="3">
        <v>1</v>
      </c>
      <c r="U22" s="3">
        <v>1</v>
      </c>
      <c r="V22" s="3">
        <v>0</v>
      </c>
      <c r="W22" s="3">
        <v>9946</v>
      </c>
      <c r="X22" s="3">
        <v>8597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14">
        <v>1023</v>
      </c>
      <c r="AF22" s="3">
        <v>1063</v>
      </c>
      <c r="AJ22" s="3">
        <v>0</v>
      </c>
      <c r="AK22" s="3" t="s">
        <v>400</v>
      </c>
    </row>
    <row r="23" spans="1:37" s="3" customFormat="1" x14ac:dyDescent="0.15">
      <c r="A23" s="3">
        <v>4</v>
      </c>
      <c r="B23" s="3" t="s">
        <v>18</v>
      </c>
      <c r="C23" s="3">
        <v>1</v>
      </c>
      <c r="D23" s="3">
        <v>5</v>
      </c>
      <c r="E23" s="3">
        <v>1</v>
      </c>
      <c r="F23" s="3">
        <v>80</v>
      </c>
      <c r="G23" s="3">
        <f>VLOOKUP(A23,资源索引!$A$2:$F$29,2,FALSE)*VLOOKUP(C23+1,资源索引!$I$1:$J$6,2,FALSE)</f>
        <v>350000.00000000006</v>
      </c>
      <c r="H23" s="3">
        <f>SUM(G$22:G23)</f>
        <v>550000</v>
      </c>
      <c r="I23" s="3">
        <f>VLOOKUP(A23,资源索引!$A$2:$F$29,3,FALSE)*VLOOKUP(C23+1,资源索引!$I$1:$J$6,2,FALSE)</f>
        <v>490000.00000000006</v>
      </c>
      <c r="J23" s="3">
        <f>SUM(I$22:I23)</f>
        <v>770000</v>
      </c>
      <c r="K23" s="3">
        <f>VLOOKUP(A23,资源索引!$A$2:$F$29,4,FALSE)*VLOOKUP(C23+1,资源索引!$I$1:$J$6,2,FALSE)</f>
        <v>280000</v>
      </c>
      <c r="L23" s="3">
        <f>SUM(K$22:K23)</f>
        <v>440000</v>
      </c>
      <c r="M23" s="3">
        <f>VLOOKUP(A23,资源索引!$A$2:$F$29,5,FALSE)*VLOOKUP(C23+1,资源索引!$I$1:$J$6,2,FALSE)</f>
        <v>350000.00000000006</v>
      </c>
      <c r="N23" s="3">
        <f>SUM(M$22:M23)</f>
        <v>550000</v>
      </c>
      <c r="O23" s="3">
        <f>VLOOKUP(A23,资源索引!$A$2:$F$29,6,FALSE)*VLOOKUP(C23+1,资源索引!$I$1:$J$6,2,FALSE)</f>
        <v>210000.00000000003</v>
      </c>
      <c r="P23" s="3">
        <f>SUM(O$22:O23)</f>
        <v>330000</v>
      </c>
      <c r="Q23" s="3">
        <v>2</v>
      </c>
      <c r="R23" s="3">
        <v>0</v>
      </c>
      <c r="S23" s="3">
        <v>9946</v>
      </c>
      <c r="T23" s="3">
        <v>1</v>
      </c>
      <c r="U23" s="3">
        <v>2</v>
      </c>
      <c r="V23" s="3">
        <v>0</v>
      </c>
      <c r="W23" s="5" t="s">
        <v>401</v>
      </c>
      <c r="X23" s="3">
        <v>8597</v>
      </c>
      <c r="Z23" s="3">
        <v>130</v>
      </c>
      <c r="AA23" s="3">
        <v>0</v>
      </c>
      <c r="AB23" s="3">
        <v>0</v>
      </c>
      <c r="AC23" s="3">
        <v>0</v>
      </c>
      <c r="AD23" s="3">
        <v>0</v>
      </c>
      <c r="AE23" s="14">
        <v>1023</v>
      </c>
      <c r="AF23" s="3">
        <v>1063</v>
      </c>
      <c r="AG23" s="3">
        <v>379</v>
      </c>
      <c r="AH23" s="3">
        <v>380</v>
      </c>
      <c r="AI23" s="3">
        <v>381</v>
      </c>
      <c r="AJ23" s="3">
        <v>0</v>
      </c>
      <c r="AK23" s="3" t="s">
        <v>400</v>
      </c>
    </row>
    <row r="24" spans="1:37" s="3" customFormat="1" x14ac:dyDescent="0.15">
      <c r="A24" s="3">
        <v>4</v>
      </c>
      <c r="B24" s="3" t="s">
        <v>18</v>
      </c>
      <c r="C24" s="3">
        <v>2</v>
      </c>
      <c r="D24" s="3">
        <v>5</v>
      </c>
      <c r="E24" s="3">
        <v>1</v>
      </c>
      <c r="F24" s="3">
        <v>110</v>
      </c>
      <c r="G24" s="3">
        <f>VLOOKUP(A24,资源索引!$A$2:$F$29,2,FALSE)*VLOOKUP(C24+1,资源索引!$I$1:$J$6,2,FALSE)</f>
        <v>650000</v>
      </c>
      <c r="H24" s="3">
        <f>SUM(G$22:G24)</f>
        <v>1200000</v>
      </c>
      <c r="I24" s="3">
        <f>VLOOKUP(A24,资源索引!$A$2:$F$29,3,FALSE)*VLOOKUP(C24+1,资源索引!$I$1:$J$6,2,FALSE)</f>
        <v>910000</v>
      </c>
      <c r="J24" s="3">
        <f>SUM(I$22:I24)</f>
        <v>1680000</v>
      </c>
      <c r="K24" s="3">
        <f>VLOOKUP(A24,资源索引!$A$2:$F$29,4,FALSE)*VLOOKUP(C24+1,资源索引!$I$1:$J$6,2,FALSE)</f>
        <v>520000</v>
      </c>
      <c r="L24" s="3">
        <f>SUM(K$22:K24)</f>
        <v>960000</v>
      </c>
      <c r="M24" s="3">
        <f>VLOOKUP(A24,资源索引!$A$2:$F$29,5,FALSE)*VLOOKUP(C24+1,资源索引!$I$1:$J$6,2,FALSE)</f>
        <v>650000</v>
      </c>
      <c r="N24" s="3">
        <f>SUM(M$22:M24)</f>
        <v>1200000</v>
      </c>
      <c r="O24" s="3">
        <f>VLOOKUP(A24,资源索引!$A$2:$F$29,6,FALSE)*VLOOKUP(C24+1,资源索引!$I$1:$J$6,2,FALSE)</f>
        <v>390000</v>
      </c>
      <c r="P24" s="3">
        <f>SUM(O$22:O24)</f>
        <v>720000</v>
      </c>
      <c r="Q24" s="3">
        <v>2</v>
      </c>
      <c r="R24" s="3">
        <v>0</v>
      </c>
      <c r="S24" s="3">
        <v>9946</v>
      </c>
      <c r="T24" s="3">
        <v>1</v>
      </c>
      <c r="U24" s="3">
        <v>3</v>
      </c>
      <c r="V24" s="3">
        <v>0</v>
      </c>
      <c r="W24" s="5" t="s">
        <v>402</v>
      </c>
      <c r="X24" s="3">
        <v>8597</v>
      </c>
      <c r="Z24" s="3">
        <v>160</v>
      </c>
      <c r="AA24" s="3">
        <v>0</v>
      </c>
      <c r="AB24" s="3">
        <v>0</v>
      </c>
      <c r="AC24" s="3">
        <v>0</v>
      </c>
      <c r="AD24" s="3">
        <v>0</v>
      </c>
      <c r="AE24" s="14">
        <v>1023</v>
      </c>
      <c r="AF24" s="3">
        <v>1063</v>
      </c>
      <c r="AG24" s="3">
        <v>379</v>
      </c>
      <c r="AH24" s="3">
        <v>380</v>
      </c>
      <c r="AI24" s="3">
        <v>381</v>
      </c>
      <c r="AJ24" s="3">
        <v>0</v>
      </c>
      <c r="AK24" s="3" t="s">
        <v>400</v>
      </c>
    </row>
    <row r="25" spans="1:37" s="3" customFormat="1" x14ac:dyDescent="0.15">
      <c r="A25" s="3">
        <v>4</v>
      </c>
      <c r="B25" s="3" t="s">
        <v>18</v>
      </c>
      <c r="C25" s="3">
        <v>3</v>
      </c>
      <c r="D25" s="3">
        <v>5</v>
      </c>
      <c r="E25" s="3">
        <v>1</v>
      </c>
      <c r="F25" s="3">
        <v>140</v>
      </c>
      <c r="G25" s="3">
        <f>VLOOKUP(A25,资源索引!$A$2:$F$29,2,FALSE)*VLOOKUP(C25+1,资源索引!$I$1:$J$6,2,FALSE)</f>
        <v>1200000</v>
      </c>
      <c r="H25" s="3">
        <f>SUM(G$22:G25)</f>
        <v>2400000</v>
      </c>
      <c r="I25" s="3">
        <f>VLOOKUP(A25,资源索引!$A$2:$F$29,3,FALSE)*VLOOKUP(C25+1,资源索引!$I$1:$J$6,2,FALSE)</f>
        <v>1680000</v>
      </c>
      <c r="J25" s="3">
        <f>SUM(I$22:I25)</f>
        <v>3360000</v>
      </c>
      <c r="K25" s="3">
        <f>VLOOKUP(A25,资源索引!$A$2:$F$29,4,FALSE)*VLOOKUP(C25+1,资源索引!$I$1:$J$6,2,FALSE)</f>
        <v>960000</v>
      </c>
      <c r="L25" s="3">
        <f>SUM(K$22:K25)</f>
        <v>1920000</v>
      </c>
      <c r="M25" s="3">
        <f>VLOOKUP(A25,资源索引!$A$2:$F$29,5,FALSE)*VLOOKUP(C25+1,资源索引!$I$1:$J$6,2,FALSE)</f>
        <v>1200000</v>
      </c>
      <c r="N25" s="3">
        <f>SUM(M$22:M25)</f>
        <v>2400000</v>
      </c>
      <c r="O25" s="3">
        <f>VLOOKUP(A25,资源索引!$A$2:$F$29,6,FALSE)*VLOOKUP(C25+1,资源索引!$I$1:$J$6,2,FALSE)</f>
        <v>720000</v>
      </c>
      <c r="P25" s="3">
        <f>SUM(O$22:O25)</f>
        <v>1440000</v>
      </c>
      <c r="Q25" s="3">
        <v>2</v>
      </c>
      <c r="R25" s="3">
        <v>0</v>
      </c>
      <c r="S25" s="3">
        <v>9946</v>
      </c>
      <c r="T25" s="3">
        <v>1</v>
      </c>
      <c r="U25" s="3">
        <v>4</v>
      </c>
      <c r="V25" s="3">
        <v>0</v>
      </c>
      <c r="W25" s="5" t="s">
        <v>403</v>
      </c>
      <c r="X25" s="3">
        <v>8597</v>
      </c>
      <c r="Z25" s="3">
        <v>190</v>
      </c>
      <c r="AA25" s="3">
        <v>0</v>
      </c>
      <c r="AB25" s="3">
        <v>0</v>
      </c>
      <c r="AC25" s="3">
        <v>0</v>
      </c>
      <c r="AD25" s="3">
        <v>0</v>
      </c>
      <c r="AE25" s="14">
        <v>1023</v>
      </c>
      <c r="AF25" s="3">
        <v>1063</v>
      </c>
      <c r="AG25" s="3">
        <v>382</v>
      </c>
      <c r="AH25" s="3">
        <v>383</v>
      </c>
      <c r="AI25" s="3">
        <v>384</v>
      </c>
      <c r="AJ25" s="3">
        <v>0</v>
      </c>
      <c r="AK25" s="3" t="s">
        <v>400</v>
      </c>
    </row>
    <row r="26" spans="1:37" s="3" customFormat="1" x14ac:dyDescent="0.15">
      <c r="A26" s="3">
        <v>4</v>
      </c>
      <c r="B26" s="3" t="s">
        <v>18</v>
      </c>
      <c r="C26" s="3">
        <v>4</v>
      </c>
      <c r="D26" s="3">
        <v>5</v>
      </c>
      <c r="E26" s="3">
        <v>1</v>
      </c>
      <c r="F26" s="3">
        <v>170</v>
      </c>
      <c r="G26" s="3">
        <f>VLOOKUP(A26,资源索引!$A$2:$F$29,2,FALSE)*VLOOKUP(C26+1,资源索引!$I$1:$J$6,2,FALSE)</f>
        <v>2000000</v>
      </c>
      <c r="H26" s="3">
        <f>SUM(G$22:G26)</f>
        <v>4400000</v>
      </c>
      <c r="I26" s="3">
        <f>VLOOKUP(A26,资源索引!$A$2:$F$29,3,FALSE)*VLOOKUP(C26+1,资源索引!$I$1:$J$6,2,FALSE)</f>
        <v>2800000</v>
      </c>
      <c r="J26" s="3">
        <f>SUM(I$22:I26)</f>
        <v>6160000</v>
      </c>
      <c r="K26" s="3">
        <f>VLOOKUP(A26,资源索引!$A$2:$F$29,4,FALSE)*VLOOKUP(C26+1,资源索引!$I$1:$J$6,2,FALSE)</f>
        <v>1600000</v>
      </c>
      <c r="L26" s="3">
        <f>SUM(K$22:K26)</f>
        <v>3520000</v>
      </c>
      <c r="M26" s="3">
        <f>VLOOKUP(A26,资源索引!$A$2:$F$29,5,FALSE)*VLOOKUP(C26+1,资源索引!$I$1:$J$6,2,FALSE)</f>
        <v>2000000</v>
      </c>
      <c r="N26" s="3">
        <f>SUM(M$22:M26)</f>
        <v>4400000</v>
      </c>
      <c r="O26" s="3">
        <f>VLOOKUP(A26,资源索引!$A$2:$F$29,6,FALSE)*VLOOKUP(C26+1,资源索引!$I$1:$J$6,2,FALSE)</f>
        <v>1200000</v>
      </c>
      <c r="P26" s="3">
        <f>SUM(O$22:O26)</f>
        <v>2640000</v>
      </c>
      <c r="Q26" s="3">
        <v>2</v>
      </c>
      <c r="R26" s="3">
        <v>0</v>
      </c>
      <c r="S26" s="3">
        <v>9946</v>
      </c>
      <c r="T26" s="3">
        <v>1</v>
      </c>
      <c r="U26" s="3">
        <v>5</v>
      </c>
      <c r="V26" s="3">
        <v>0</v>
      </c>
      <c r="W26" s="5" t="s">
        <v>404</v>
      </c>
      <c r="X26" s="3">
        <v>8597</v>
      </c>
      <c r="Z26" s="3">
        <v>220</v>
      </c>
      <c r="AA26" s="3">
        <v>0</v>
      </c>
      <c r="AB26" s="3">
        <v>0</v>
      </c>
      <c r="AC26" s="3">
        <v>0</v>
      </c>
      <c r="AD26" s="3">
        <v>0</v>
      </c>
      <c r="AE26" s="14">
        <v>1023</v>
      </c>
      <c r="AF26" s="3">
        <v>1063</v>
      </c>
      <c r="AG26" s="3">
        <v>382</v>
      </c>
      <c r="AH26" s="3">
        <v>383</v>
      </c>
      <c r="AI26" s="3">
        <v>384</v>
      </c>
      <c r="AJ26" s="3">
        <v>0</v>
      </c>
      <c r="AK26" s="3" t="s">
        <v>400</v>
      </c>
    </row>
    <row r="27" spans="1:37" s="3" customFormat="1" x14ac:dyDescent="0.15">
      <c r="A27" s="3">
        <v>4</v>
      </c>
      <c r="B27" s="3" t="s">
        <v>18</v>
      </c>
      <c r="C27" s="3">
        <v>5</v>
      </c>
      <c r="D27" s="3">
        <v>5</v>
      </c>
      <c r="E27" s="3">
        <v>1</v>
      </c>
      <c r="F27" s="3">
        <v>200</v>
      </c>
      <c r="G27" s="3">
        <f>VLOOKUP(A27,资源索引!$A$2:$F$29,2,FALSE)*VLOOKUP(C27+1,资源索引!$I$1:$J$6,2,FALSE)</f>
        <v>3600000</v>
      </c>
      <c r="H27" s="3">
        <f>SUM(G$22:G27)</f>
        <v>8000000</v>
      </c>
      <c r="I27" s="3">
        <f>VLOOKUP(A27,资源索引!$A$2:$F$29,3,FALSE)*VLOOKUP(C27+1,资源索引!$I$1:$J$6,2,FALSE)</f>
        <v>5040000</v>
      </c>
      <c r="J27" s="3">
        <f>SUM(I$22:I27)</f>
        <v>11200000</v>
      </c>
      <c r="K27" s="3">
        <f>VLOOKUP(A27,资源索引!$A$2:$F$29,4,FALSE)*VLOOKUP(C27+1,资源索引!$I$1:$J$6,2,FALSE)</f>
        <v>2880000</v>
      </c>
      <c r="L27" s="3">
        <f>SUM(K$22:K27)</f>
        <v>6400000</v>
      </c>
      <c r="M27" s="3">
        <f>VLOOKUP(A27,资源索引!$A$2:$F$29,5,FALSE)*VLOOKUP(C27+1,资源索引!$I$1:$J$6,2,FALSE)</f>
        <v>3600000</v>
      </c>
      <c r="N27" s="3">
        <f>SUM(M$22:M27)</f>
        <v>8000000</v>
      </c>
      <c r="O27" s="3">
        <f>VLOOKUP(A27,资源索引!$A$2:$F$29,6,FALSE)*VLOOKUP(C27+1,资源索引!$I$1:$J$6,2,FALSE)</f>
        <v>2160000</v>
      </c>
      <c r="P27" s="3">
        <f>SUM(O$22:O27)</f>
        <v>4800000</v>
      </c>
      <c r="Q27" s="3">
        <v>2</v>
      </c>
      <c r="R27" s="3">
        <v>0</v>
      </c>
      <c r="S27" s="3">
        <v>9946</v>
      </c>
      <c r="T27" s="3">
        <v>1</v>
      </c>
      <c r="U27" s="3">
        <v>6</v>
      </c>
      <c r="V27" s="3">
        <v>0</v>
      </c>
      <c r="W27" s="5" t="s">
        <v>405</v>
      </c>
      <c r="X27" s="3">
        <v>8597</v>
      </c>
      <c r="Z27" s="3">
        <v>250</v>
      </c>
      <c r="AA27" s="3">
        <v>0</v>
      </c>
      <c r="AB27" s="3">
        <v>0</v>
      </c>
      <c r="AC27" s="3">
        <v>0</v>
      </c>
      <c r="AD27" s="3">
        <v>0</v>
      </c>
      <c r="AE27" s="14">
        <v>1023</v>
      </c>
      <c r="AF27" s="3">
        <v>1063</v>
      </c>
      <c r="AG27" s="3">
        <v>385</v>
      </c>
      <c r="AH27" s="3">
        <v>386</v>
      </c>
      <c r="AI27" s="3">
        <v>387</v>
      </c>
      <c r="AJ27" s="3">
        <v>0</v>
      </c>
      <c r="AK27" s="3" t="s">
        <v>400</v>
      </c>
    </row>
    <row r="28" spans="1:37" s="2" customFormat="1" x14ac:dyDescent="0.15">
      <c r="A28" s="2">
        <v>5</v>
      </c>
      <c r="B28" s="2" t="s">
        <v>406</v>
      </c>
      <c r="C28" s="2">
        <v>0</v>
      </c>
      <c r="D28" s="2">
        <v>5</v>
      </c>
      <c r="E28" s="2">
        <v>1</v>
      </c>
      <c r="F28" s="2">
        <v>50</v>
      </c>
      <c r="G28" s="2">
        <f>VLOOKUP(A28,资源索引!$A$2:$F$29,2,FALSE)*VLOOKUP(C28+1,资源索引!$I$1:$J$6,2,FALSE)</f>
        <v>200000</v>
      </c>
      <c r="H28" s="2">
        <f>SUM(G$28:G28)</f>
        <v>200000</v>
      </c>
      <c r="I28" s="2">
        <f>VLOOKUP(A28,资源索引!$A$2:$F$29,3,FALSE)*VLOOKUP(C28+1,资源索引!$I$1:$J$6,2,FALSE)</f>
        <v>80000</v>
      </c>
      <c r="J28" s="2">
        <f>SUM(I$28:I28)</f>
        <v>80000</v>
      </c>
      <c r="K28" s="2">
        <f>VLOOKUP(A28,资源索引!$A$2:$F$29,4,FALSE)*VLOOKUP(C28+1,资源索引!$I$1:$J$6,2,FALSE)</f>
        <v>40000</v>
      </c>
      <c r="L28" s="2">
        <f>SUM(K$28:K28)</f>
        <v>40000</v>
      </c>
      <c r="M28" s="2">
        <f>VLOOKUP(A28,资源索引!$A$2:$F$29,5,FALSE)*VLOOKUP(C28+1,资源索引!$I$1:$J$6,2,FALSE)</f>
        <v>80000</v>
      </c>
      <c r="N28" s="2">
        <f>SUM(M$28:M28)</f>
        <v>80000</v>
      </c>
      <c r="O28" s="2">
        <f>VLOOKUP(A28,资源索引!$A$2:$F$29,6,FALSE)*VLOOKUP(C28+1,资源索引!$I$1:$J$6,2,FALSE)</f>
        <v>80000</v>
      </c>
      <c r="P28" s="2">
        <f>SUM(O$28:O28)</f>
        <v>80000</v>
      </c>
      <c r="Q28" s="2">
        <v>2</v>
      </c>
      <c r="R28" s="2">
        <v>0</v>
      </c>
      <c r="S28" s="2">
        <v>9946</v>
      </c>
      <c r="T28" s="2">
        <v>4</v>
      </c>
      <c r="U28" s="2">
        <v>1</v>
      </c>
      <c r="V28" s="2">
        <v>0</v>
      </c>
      <c r="W28" s="2">
        <v>9946</v>
      </c>
      <c r="X28" s="2">
        <v>8593</v>
      </c>
      <c r="Z28" s="2">
        <v>1000000</v>
      </c>
      <c r="AA28" s="2">
        <v>0</v>
      </c>
      <c r="AB28" s="2">
        <v>0</v>
      </c>
      <c r="AC28" s="2">
        <v>0</v>
      </c>
      <c r="AD28" s="2">
        <v>0</v>
      </c>
      <c r="AE28" s="2">
        <v>1024</v>
      </c>
      <c r="AF28" s="2">
        <v>1064</v>
      </c>
      <c r="AJ28" s="2">
        <v>0</v>
      </c>
      <c r="AK28" s="2" t="s">
        <v>407</v>
      </c>
    </row>
    <row r="29" spans="1:37" s="2" customFormat="1" x14ac:dyDescent="0.15">
      <c r="A29" s="2">
        <v>5</v>
      </c>
      <c r="B29" s="2" t="s">
        <v>19</v>
      </c>
      <c r="C29" s="2">
        <v>1</v>
      </c>
      <c r="D29" s="2">
        <v>5</v>
      </c>
      <c r="E29" s="2">
        <v>1</v>
      </c>
      <c r="F29" s="2">
        <v>80</v>
      </c>
      <c r="G29" s="2">
        <f>VLOOKUP(A29,资源索引!$A$2:$F$29,2,FALSE)*VLOOKUP(C29+1,资源索引!$I$1:$J$6,2,FALSE)</f>
        <v>350000.00000000006</v>
      </c>
      <c r="H29" s="2">
        <f>SUM(G$28:G29)</f>
        <v>550000</v>
      </c>
      <c r="I29" s="2">
        <f>VLOOKUP(A29,资源索引!$A$2:$F$29,3,FALSE)*VLOOKUP(C29+1,资源索引!$I$1:$J$6,2,FALSE)</f>
        <v>140000</v>
      </c>
      <c r="J29" s="2">
        <f>SUM(I$28:I29)</f>
        <v>220000</v>
      </c>
      <c r="K29" s="2">
        <f>VLOOKUP(A29,资源索引!$A$2:$F$29,4,FALSE)*VLOOKUP(C29+1,资源索引!$I$1:$J$6,2,FALSE)</f>
        <v>70000</v>
      </c>
      <c r="L29" s="2">
        <f>SUM(K$28:K29)</f>
        <v>110000</v>
      </c>
      <c r="M29" s="2">
        <f>VLOOKUP(A29,资源索引!$A$2:$F$29,5,FALSE)*VLOOKUP(C29+1,资源索引!$I$1:$J$6,2,FALSE)</f>
        <v>140000</v>
      </c>
      <c r="N29" s="2">
        <f>SUM(M$28:M29)</f>
        <v>220000</v>
      </c>
      <c r="O29" s="2">
        <f>VLOOKUP(A29,资源索引!$A$2:$F$29,6,FALSE)*VLOOKUP(C29+1,资源索引!$I$1:$J$6,2,FALSE)</f>
        <v>140000</v>
      </c>
      <c r="P29" s="2">
        <f>SUM(O$28:O29)</f>
        <v>220000</v>
      </c>
      <c r="Q29" s="2">
        <v>2</v>
      </c>
      <c r="R29" s="2">
        <v>0</v>
      </c>
      <c r="S29" s="2">
        <v>9946</v>
      </c>
      <c r="T29" s="2">
        <v>4</v>
      </c>
      <c r="U29" s="2">
        <v>2</v>
      </c>
      <c r="V29" s="2">
        <v>0</v>
      </c>
      <c r="W29" s="4" t="s">
        <v>408</v>
      </c>
      <c r="X29" s="2">
        <v>8593</v>
      </c>
      <c r="Z29" s="2">
        <v>2000000</v>
      </c>
      <c r="AA29" s="2">
        <v>0</v>
      </c>
      <c r="AB29" s="2">
        <v>0</v>
      </c>
      <c r="AC29" s="2">
        <v>0</v>
      </c>
      <c r="AD29" s="2">
        <v>0</v>
      </c>
      <c r="AE29" s="2">
        <v>1024</v>
      </c>
      <c r="AF29" s="2">
        <v>1064</v>
      </c>
      <c r="AG29" s="2">
        <v>379</v>
      </c>
      <c r="AH29" s="2">
        <v>380</v>
      </c>
      <c r="AI29" s="2">
        <v>381</v>
      </c>
      <c r="AJ29" s="2">
        <v>0</v>
      </c>
      <c r="AK29" s="2" t="s">
        <v>407</v>
      </c>
    </row>
    <row r="30" spans="1:37" s="2" customFormat="1" x14ac:dyDescent="0.15">
      <c r="A30" s="2">
        <v>5</v>
      </c>
      <c r="B30" s="2" t="s">
        <v>19</v>
      </c>
      <c r="C30" s="2">
        <v>2</v>
      </c>
      <c r="D30" s="2">
        <v>5</v>
      </c>
      <c r="E30" s="2">
        <v>1</v>
      </c>
      <c r="F30" s="2">
        <v>110</v>
      </c>
      <c r="G30" s="2">
        <f>VLOOKUP(A30,资源索引!$A$2:$F$29,2,FALSE)*VLOOKUP(C30+1,资源索引!$I$1:$J$6,2,FALSE)</f>
        <v>650000</v>
      </c>
      <c r="H30" s="2">
        <f>SUM(G$28:G30)</f>
        <v>1200000</v>
      </c>
      <c r="I30" s="2">
        <f>VLOOKUP(A30,资源索引!$A$2:$F$29,3,FALSE)*VLOOKUP(C30+1,资源索引!$I$1:$J$6,2,FALSE)</f>
        <v>260000</v>
      </c>
      <c r="J30" s="2">
        <f>SUM(I$28:I30)</f>
        <v>480000</v>
      </c>
      <c r="K30" s="2">
        <f>VLOOKUP(A30,资源索引!$A$2:$F$29,4,FALSE)*VLOOKUP(C30+1,资源索引!$I$1:$J$6,2,FALSE)</f>
        <v>130000</v>
      </c>
      <c r="L30" s="2">
        <f>SUM(K$28:K30)</f>
        <v>240000</v>
      </c>
      <c r="M30" s="2">
        <f>VLOOKUP(A30,资源索引!$A$2:$F$29,5,FALSE)*VLOOKUP(C30+1,资源索引!$I$1:$J$6,2,FALSE)</f>
        <v>260000</v>
      </c>
      <c r="N30" s="2">
        <f>SUM(M$28:M30)</f>
        <v>480000</v>
      </c>
      <c r="O30" s="2">
        <f>VLOOKUP(A30,资源索引!$A$2:$F$29,6,FALSE)*VLOOKUP(C30+1,资源索引!$I$1:$J$6,2,FALSE)</f>
        <v>260000</v>
      </c>
      <c r="P30" s="2">
        <f>SUM(O$28:O30)</f>
        <v>480000</v>
      </c>
      <c r="Q30" s="2">
        <v>2</v>
      </c>
      <c r="R30" s="2">
        <v>0</v>
      </c>
      <c r="S30" s="2">
        <v>9946</v>
      </c>
      <c r="T30" s="2">
        <v>4</v>
      </c>
      <c r="U30" s="2">
        <v>3</v>
      </c>
      <c r="V30" s="2">
        <v>0</v>
      </c>
      <c r="W30" s="4" t="s">
        <v>409</v>
      </c>
      <c r="X30" s="2">
        <v>8593</v>
      </c>
      <c r="Z30" s="2">
        <v>4000000</v>
      </c>
      <c r="AA30" s="2">
        <v>0</v>
      </c>
      <c r="AB30" s="2">
        <v>0</v>
      </c>
      <c r="AC30" s="2">
        <v>0</v>
      </c>
      <c r="AD30" s="2">
        <v>0</v>
      </c>
      <c r="AE30" s="2">
        <v>1024</v>
      </c>
      <c r="AF30" s="2">
        <v>1064</v>
      </c>
      <c r="AG30" s="2">
        <v>379</v>
      </c>
      <c r="AH30" s="2">
        <v>380</v>
      </c>
      <c r="AI30" s="2">
        <v>381</v>
      </c>
      <c r="AJ30" s="2">
        <v>0</v>
      </c>
      <c r="AK30" s="2" t="s">
        <v>407</v>
      </c>
    </row>
    <row r="31" spans="1:37" s="2" customFormat="1" x14ac:dyDescent="0.15">
      <c r="A31" s="2">
        <v>5</v>
      </c>
      <c r="B31" s="2" t="s">
        <v>19</v>
      </c>
      <c r="C31" s="2">
        <v>3</v>
      </c>
      <c r="D31" s="2">
        <v>5</v>
      </c>
      <c r="E31" s="2">
        <v>1</v>
      </c>
      <c r="F31" s="2">
        <v>140</v>
      </c>
      <c r="G31" s="2">
        <f>VLOOKUP(A31,资源索引!$A$2:$F$29,2,FALSE)*VLOOKUP(C31+1,资源索引!$I$1:$J$6,2,FALSE)</f>
        <v>1200000</v>
      </c>
      <c r="H31" s="2">
        <f>SUM(G$28:G31)</f>
        <v>2400000</v>
      </c>
      <c r="I31" s="2">
        <f>VLOOKUP(A31,资源索引!$A$2:$F$29,3,FALSE)*VLOOKUP(C31+1,资源索引!$I$1:$J$6,2,FALSE)</f>
        <v>480000</v>
      </c>
      <c r="J31" s="2">
        <f>SUM(I$28:I31)</f>
        <v>960000</v>
      </c>
      <c r="K31" s="2">
        <f>VLOOKUP(A31,资源索引!$A$2:$F$29,4,FALSE)*VLOOKUP(C31+1,资源索引!$I$1:$J$6,2,FALSE)</f>
        <v>240000</v>
      </c>
      <c r="L31" s="2">
        <f>SUM(K$28:K31)</f>
        <v>480000</v>
      </c>
      <c r="M31" s="2">
        <f>VLOOKUP(A31,资源索引!$A$2:$F$29,5,FALSE)*VLOOKUP(C31+1,资源索引!$I$1:$J$6,2,FALSE)</f>
        <v>480000</v>
      </c>
      <c r="N31" s="2">
        <f>SUM(M$28:M31)</f>
        <v>960000</v>
      </c>
      <c r="O31" s="2">
        <f>VLOOKUP(A31,资源索引!$A$2:$F$29,6,FALSE)*VLOOKUP(C31+1,资源索引!$I$1:$J$6,2,FALSE)</f>
        <v>480000</v>
      </c>
      <c r="P31" s="2">
        <f>SUM(O$28:O31)</f>
        <v>960000</v>
      </c>
      <c r="Q31" s="2">
        <v>2</v>
      </c>
      <c r="R31" s="2">
        <v>0</v>
      </c>
      <c r="S31" s="2">
        <v>9946</v>
      </c>
      <c r="T31" s="2">
        <v>4</v>
      </c>
      <c r="U31" s="2">
        <v>4</v>
      </c>
      <c r="V31" s="2">
        <v>0</v>
      </c>
      <c r="W31" s="4" t="s">
        <v>410</v>
      </c>
      <c r="X31" s="2">
        <v>8593</v>
      </c>
      <c r="Z31" s="2">
        <v>7000000</v>
      </c>
      <c r="AA31" s="2">
        <v>0</v>
      </c>
      <c r="AB31" s="2">
        <v>0</v>
      </c>
      <c r="AC31" s="2">
        <v>0</v>
      </c>
      <c r="AD31" s="2">
        <v>0</v>
      </c>
      <c r="AE31" s="2">
        <v>1024</v>
      </c>
      <c r="AF31" s="2">
        <v>1064</v>
      </c>
      <c r="AG31" s="2">
        <v>382</v>
      </c>
      <c r="AH31" s="2">
        <v>383</v>
      </c>
      <c r="AI31" s="2">
        <v>384</v>
      </c>
      <c r="AJ31" s="2">
        <v>0</v>
      </c>
      <c r="AK31" s="2" t="s">
        <v>407</v>
      </c>
    </row>
    <row r="32" spans="1:37" s="2" customFormat="1" x14ac:dyDescent="0.15">
      <c r="A32" s="2">
        <v>5</v>
      </c>
      <c r="B32" s="2" t="s">
        <v>19</v>
      </c>
      <c r="C32" s="2">
        <v>4</v>
      </c>
      <c r="D32" s="2">
        <v>5</v>
      </c>
      <c r="E32" s="2">
        <v>1</v>
      </c>
      <c r="F32" s="2">
        <v>170</v>
      </c>
      <c r="G32" s="2">
        <f>VLOOKUP(A32,资源索引!$A$2:$F$29,2,FALSE)*VLOOKUP(C32+1,资源索引!$I$1:$J$6,2,FALSE)</f>
        <v>2000000</v>
      </c>
      <c r="H32" s="2">
        <f>SUM(G$28:G32)</f>
        <v>4400000</v>
      </c>
      <c r="I32" s="2">
        <f>VLOOKUP(A32,资源索引!$A$2:$F$29,3,FALSE)*VLOOKUP(C32+1,资源索引!$I$1:$J$6,2,FALSE)</f>
        <v>800000</v>
      </c>
      <c r="J32" s="2">
        <f>SUM(I$28:I32)</f>
        <v>1760000</v>
      </c>
      <c r="K32" s="2">
        <f>VLOOKUP(A32,资源索引!$A$2:$F$29,4,FALSE)*VLOOKUP(C32+1,资源索引!$I$1:$J$6,2,FALSE)</f>
        <v>400000</v>
      </c>
      <c r="L32" s="2">
        <f>SUM(K$28:K32)</f>
        <v>880000</v>
      </c>
      <c r="M32" s="2">
        <f>VLOOKUP(A32,资源索引!$A$2:$F$29,5,FALSE)*VLOOKUP(C32+1,资源索引!$I$1:$J$6,2,FALSE)</f>
        <v>800000</v>
      </c>
      <c r="N32" s="2">
        <f>SUM(M$28:M32)</f>
        <v>1760000</v>
      </c>
      <c r="O32" s="2">
        <f>VLOOKUP(A32,资源索引!$A$2:$F$29,6,FALSE)*VLOOKUP(C32+1,资源索引!$I$1:$J$6,2,FALSE)</f>
        <v>800000</v>
      </c>
      <c r="P32" s="2">
        <f>SUM(O$28:O32)</f>
        <v>1760000</v>
      </c>
      <c r="Q32" s="2">
        <v>2</v>
      </c>
      <c r="R32" s="2">
        <v>0</v>
      </c>
      <c r="S32" s="2">
        <v>9946</v>
      </c>
      <c r="T32" s="2">
        <v>4</v>
      </c>
      <c r="U32" s="2">
        <v>5</v>
      </c>
      <c r="V32" s="2">
        <v>0</v>
      </c>
      <c r="W32" s="4" t="s">
        <v>411</v>
      </c>
      <c r="X32" s="2">
        <v>8593</v>
      </c>
      <c r="Z32" s="2">
        <v>30000000</v>
      </c>
      <c r="AA32" s="2">
        <v>0</v>
      </c>
      <c r="AB32" s="2">
        <v>0</v>
      </c>
      <c r="AC32" s="2">
        <v>0</v>
      </c>
      <c r="AD32" s="2">
        <v>0</v>
      </c>
      <c r="AE32" s="2">
        <v>1024</v>
      </c>
      <c r="AF32" s="2">
        <v>1064</v>
      </c>
      <c r="AG32" s="2">
        <v>382</v>
      </c>
      <c r="AH32" s="2">
        <v>383</v>
      </c>
      <c r="AI32" s="2">
        <v>384</v>
      </c>
      <c r="AJ32" s="2">
        <v>0</v>
      </c>
      <c r="AK32" s="2" t="s">
        <v>407</v>
      </c>
    </row>
    <row r="33" spans="1:37" s="2" customFormat="1" x14ac:dyDescent="0.15">
      <c r="A33" s="2">
        <v>5</v>
      </c>
      <c r="B33" s="2" t="s">
        <v>19</v>
      </c>
      <c r="C33" s="2">
        <v>5</v>
      </c>
      <c r="D33" s="2">
        <v>5</v>
      </c>
      <c r="E33" s="2">
        <v>1</v>
      </c>
      <c r="F33" s="2">
        <v>200</v>
      </c>
      <c r="G33" s="2">
        <f>VLOOKUP(A33,资源索引!$A$2:$F$29,2,FALSE)*VLOOKUP(C33+1,资源索引!$I$1:$J$6,2,FALSE)</f>
        <v>3600000</v>
      </c>
      <c r="H33" s="2">
        <f>SUM(G$28:G33)</f>
        <v>8000000</v>
      </c>
      <c r="I33" s="2">
        <f>VLOOKUP(A33,资源索引!$A$2:$F$29,3,FALSE)*VLOOKUP(C33+1,资源索引!$I$1:$J$6,2,FALSE)</f>
        <v>1440000</v>
      </c>
      <c r="J33" s="2">
        <f>SUM(I$28:I33)</f>
        <v>3200000</v>
      </c>
      <c r="K33" s="2">
        <f>VLOOKUP(A33,资源索引!$A$2:$F$29,4,FALSE)*VLOOKUP(C33+1,资源索引!$I$1:$J$6,2,FALSE)</f>
        <v>720000</v>
      </c>
      <c r="L33" s="2">
        <f>SUM(K$28:K33)</f>
        <v>1600000</v>
      </c>
      <c r="M33" s="2">
        <f>VLOOKUP(A33,资源索引!$A$2:$F$29,5,FALSE)*VLOOKUP(C33+1,资源索引!$I$1:$J$6,2,FALSE)</f>
        <v>1440000</v>
      </c>
      <c r="N33" s="2">
        <f>SUM(M$28:M33)</f>
        <v>3200000</v>
      </c>
      <c r="O33" s="2">
        <f>VLOOKUP(A33,资源索引!$A$2:$F$29,6,FALSE)*VLOOKUP(C33+1,资源索引!$I$1:$J$6,2,FALSE)</f>
        <v>1440000</v>
      </c>
      <c r="P33" s="2">
        <f>SUM(O$28:O33)</f>
        <v>3200000</v>
      </c>
      <c r="Q33" s="2">
        <v>2</v>
      </c>
      <c r="R33" s="2">
        <v>0</v>
      </c>
      <c r="S33" s="2">
        <v>9946</v>
      </c>
      <c r="T33" s="2">
        <v>4</v>
      </c>
      <c r="U33" s="2">
        <v>6</v>
      </c>
      <c r="V33" s="2">
        <v>0</v>
      </c>
      <c r="W33" s="4" t="s">
        <v>412</v>
      </c>
      <c r="X33" s="2">
        <v>8593</v>
      </c>
      <c r="Z33" s="2">
        <v>100000000</v>
      </c>
      <c r="AA33" s="2">
        <v>0</v>
      </c>
      <c r="AB33" s="2">
        <v>0</v>
      </c>
      <c r="AC33" s="2">
        <v>0</v>
      </c>
      <c r="AD33" s="2">
        <v>0</v>
      </c>
      <c r="AE33" s="2">
        <v>1024</v>
      </c>
      <c r="AF33" s="2">
        <v>1064</v>
      </c>
      <c r="AG33" s="2">
        <v>385</v>
      </c>
      <c r="AH33" s="2">
        <v>386</v>
      </c>
      <c r="AI33" s="2">
        <v>387</v>
      </c>
      <c r="AJ33" s="2">
        <v>0</v>
      </c>
      <c r="AK33" s="2" t="s">
        <v>407</v>
      </c>
    </row>
    <row r="34" spans="1:37" s="3" customFormat="1" x14ac:dyDescent="0.15">
      <c r="A34" s="3">
        <v>6</v>
      </c>
      <c r="B34" s="3" t="s">
        <v>413</v>
      </c>
      <c r="C34" s="3">
        <v>0</v>
      </c>
      <c r="D34" s="3">
        <v>5</v>
      </c>
      <c r="E34" s="3">
        <v>1</v>
      </c>
      <c r="F34" s="3">
        <v>50</v>
      </c>
      <c r="G34" s="3">
        <f>VLOOKUP(A34,资源索引!$A$2:$F$29,2,FALSE)*VLOOKUP(C34+1,资源索引!$I$1:$J$6,2,FALSE)</f>
        <v>160000</v>
      </c>
      <c r="H34" s="3">
        <f>SUM(G$34:G34)</f>
        <v>160000</v>
      </c>
      <c r="I34" s="3">
        <f>VLOOKUP(A34,资源索引!$A$2:$F$29,3,FALSE)*VLOOKUP(C34+1,资源索引!$I$1:$J$6,2,FALSE)</f>
        <v>140000</v>
      </c>
      <c r="J34" s="3">
        <f>SUM(I$34:I34)</f>
        <v>140000</v>
      </c>
      <c r="K34" s="3">
        <f>VLOOKUP(A34,资源索引!$A$2:$F$29,4,FALSE)*VLOOKUP(C34+1,资源索引!$I$1:$J$6,2,FALSE)</f>
        <v>100000</v>
      </c>
      <c r="L34" s="3">
        <f>SUM(K$34:K34)</f>
        <v>100000</v>
      </c>
      <c r="M34" s="3">
        <f>VLOOKUP(A34,资源索引!$A$2:$F$29,5,FALSE)*VLOOKUP(C34+1,资源索引!$I$1:$J$6,2,FALSE)</f>
        <v>80000</v>
      </c>
      <c r="N34" s="3">
        <f>SUM(M$34:M34)</f>
        <v>80000</v>
      </c>
      <c r="O34" s="3">
        <f>VLOOKUP(A34,资源索引!$A$2:$F$29,6,FALSE)*VLOOKUP(C34+1,资源索引!$I$1:$J$6,2,FALSE)</f>
        <v>120000</v>
      </c>
      <c r="P34" s="3">
        <f>SUM(O$34:O34)</f>
        <v>120000</v>
      </c>
      <c r="Q34" s="3">
        <v>2</v>
      </c>
      <c r="R34" s="3">
        <v>0</v>
      </c>
      <c r="S34" s="3">
        <v>0</v>
      </c>
      <c r="T34" s="3">
        <v>0</v>
      </c>
      <c r="U34" s="3">
        <v>1</v>
      </c>
      <c r="V34" s="3">
        <v>0</v>
      </c>
      <c r="W34" s="3">
        <v>9946</v>
      </c>
      <c r="X34" s="3">
        <v>8593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1025</v>
      </c>
      <c r="AF34" s="3">
        <v>1065</v>
      </c>
      <c r="AJ34" s="3">
        <v>0</v>
      </c>
      <c r="AK34" s="3" t="s">
        <v>414</v>
      </c>
    </row>
    <row r="35" spans="1:37" s="3" customFormat="1" x14ac:dyDescent="0.15">
      <c r="A35" s="3">
        <v>6</v>
      </c>
      <c r="B35" s="3" t="s">
        <v>413</v>
      </c>
      <c r="C35" s="3">
        <v>1</v>
      </c>
      <c r="D35" s="3">
        <v>5</v>
      </c>
      <c r="E35" s="3">
        <v>1</v>
      </c>
      <c r="F35" s="3">
        <v>80</v>
      </c>
      <c r="G35" s="3">
        <f>VLOOKUP(A35,资源索引!$A$2:$F$29,2,FALSE)*VLOOKUP(C35+1,资源索引!$I$1:$J$6,2,FALSE)</f>
        <v>280000</v>
      </c>
      <c r="H35" s="3">
        <f>SUM(G$34:G35)</f>
        <v>440000</v>
      </c>
      <c r="I35" s="3">
        <f>VLOOKUP(A35,资源索引!$A$2:$F$29,3,FALSE)*VLOOKUP(C35+1,资源索引!$I$1:$J$6,2,FALSE)</f>
        <v>245000.00000000003</v>
      </c>
      <c r="J35" s="3">
        <f>SUM(I$34:I35)</f>
        <v>385000</v>
      </c>
      <c r="K35" s="3">
        <f>VLOOKUP(A35,资源索引!$A$2:$F$29,4,FALSE)*VLOOKUP(C35+1,资源索引!$I$1:$J$6,2,FALSE)</f>
        <v>175000.00000000003</v>
      </c>
      <c r="L35" s="3">
        <f>SUM(K$34:K35)</f>
        <v>275000</v>
      </c>
      <c r="M35" s="3">
        <f>VLOOKUP(A35,资源索引!$A$2:$F$29,5,FALSE)*VLOOKUP(C35+1,资源索引!$I$1:$J$6,2,FALSE)</f>
        <v>140000</v>
      </c>
      <c r="N35" s="3">
        <f>SUM(M$34:M35)</f>
        <v>220000</v>
      </c>
      <c r="O35" s="3">
        <f>VLOOKUP(A35,资源索引!$A$2:$F$29,6,FALSE)*VLOOKUP(C35+1,资源索引!$I$1:$J$6,2,FALSE)</f>
        <v>210000.00000000003</v>
      </c>
      <c r="P35" s="3">
        <f>SUM(O$34:O35)</f>
        <v>330000</v>
      </c>
      <c r="Q35" s="3">
        <v>2</v>
      </c>
      <c r="R35" s="3">
        <v>0</v>
      </c>
      <c r="S35" s="3">
        <v>0</v>
      </c>
      <c r="T35" s="3">
        <v>0</v>
      </c>
      <c r="U35" s="3">
        <v>2</v>
      </c>
      <c r="V35" s="3">
        <v>0</v>
      </c>
      <c r="W35" s="5" t="s">
        <v>415</v>
      </c>
      <c r="X35" s="5"/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1025</v>
      </c>
      <c r="AF35" s="3">
        <v>1065</v>
      </c>
      <c r="AG35" s="3">
        <v>379</v>
      </c>
      <c r="AH35" s="3">
        <v>380</v>
      </c>
      <c r="AI35" s="3">
        <v>381</v>
      </c>
      <c r="AJ35" s="3">
        <v>0</v>
      </c>
      <c r="AK35" s="3" t="s">
        <v>414</v>
      </c>
    </row>
    <row r="36" spans="1:37" s="3" customFormat="1" x14ac:dyDescent="0.15">
      <c r="A36" s="3">
        <v>6</v>
      </c>
      <c r="B36" s="3" t="s">
        <v>413</v>
      </c>
      <c r="C36" s="3">
        <v>2</v>
      </c>
      <c r="D36" s="3">
        <v>5</v>
      </c>
      <c r="E36" s="3">
        <v>1</v>
      </c>
      <c r="F36" s="3">
        <v>110</v>
      </c>
      <c r="G36" s="3">
        <f>VLOOKUP(A36,资源索引!$A$2:$F$29,2,FALSE)*VLOOKUP(C36+1,资源索引!$I$1:$J$6,2,FALSE)</f>
        <v>520000</v>
      </c>
      <c r="H36" s="3">
        <f>SUM(G$34:G36)</f>
        <v>960000</v>
      </c>
      <c r="I36" s="3">
        <f>VLOOKUP(A36,资源索引!$A$2:$F$29,3,FALSE)*VLOOKUP(C36+1,资源索引!$I$1:$J$6,2,FALSE)</f>
        <v>455000</v>
      </c>
      <c r="J36" s="3">
        <f>SUM(I$34:I36)</f>
        <v>840000</v>
      </c>
      <c r="K36" s="3">
        <f>VLOOKUP(A36,资源索引!$A$2:$F$29,4,FALSE)*VLOOKUP(C36+1,资源索引!$I$1:$J$6,2,FALSE)</f>
        <v>325000</v>
      </c>
      <c r="L36" s="3">
        <f>SUM(K$34:K36)</f>
        <v>600000</v>
      </c>
      <c r="M36" s="3">
        <f>VLOOKUP(A36,资源索引!$A$2:$F$29,5,FALSE)*VLOOKUP(C36+1,资源索引!$I$1:$J$6,2,FALSE)</f>
        <v>260000</v>
      </c>
      <c r="N36" s="3">
        <f>SUM(M$34:M36)</f>
        <v>480000</v>
      </c>
      <c r="O36" s="3">
        <f>VLOOKUP(A36,资源索引!$A$2:$F$29,6,FALSE)*VLOOKUP(C36+1,资源索引!$I$1:$J$6,2,FALSE)</f>
        <v>390000</v>
      </c>
      <c r="P36" s="3">
        <f>SUM(O$34:O36)</f>
        <v>720000</v>
      </c>
      <c r="Q36" s="3">
        <v>2</v>
      </c>
      <c r="R36" s="3">
        <v>0</v>
      </c>
      <c r="S36" s="3">
        <v>0</v>
      </c>
      <c r="T36" s="3">
        <v>0</v>
      </c>
      <c r="U36" s="3">
        <v>3</v>
      </c>
      <c r="V36" s="3">
        <v>0</v>
      </c>
      <c r="W36" s="5" t="s">
        <v>416</v>
      </c>
      <c r="X36" s="5"/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1025</v>
      </c>
      <c r="AF36" s="3">
        <v>1065</v>
      </c>
      <c r="AG36" s="3">
        <v>379</v>
      </c>
      <c r="AH36" s="3">
        <v>380</v>
      </c>
      <c r="AI36" s="3">
        <v>381</v>
      </c>
      <c r="AJ36" s="3">
        <v>0</v>
      </c>
      <c r="AK36" s="3" t="s">
        <v>414</v>
      </c>
    </row>
    <row r="37" spans="1:37" s="3" customFormat="1" x14ac:dyDescent="0.15">
      <c r="A37" s="3">
        <v>6</v>
      </c>
      <c r="B37" s="3" t="s">
        <v>413</v>
      </c>
      <c r="C37" s="3">
        <v>3</v>
      </c>
      <c r="D37" s="3">
        <v>5</v>
      </c>
      <c r="E37" s="3">
        <v>1</v>
      </c>
      <c r="F37" s="3">
        <v>140</v>
      </c>
      <c r="G37" s="3">
        <f>VLOOKUP(A37,资源索引!$A$2:$F$29,2,FALSE)*VLOOKUP(C37+1,资源索引!$I$1:$J$6,2,FALSE)</f>
        <v>960000</v>
      </c>
      <c r="H37" s="3">
        <f>SUM(G$34:G37)</f>
        <v>1920000</v>
      </c>
      <c r="I37" s="3">
        <f>VLOOKUP(A37,资源索引!$A$2:$F$29,3,FALSE)*VLOOKUP(C37+1,资源索引!$I$1:$J$6,2,FALSE)</f>
        <v>840000</v>
      </c>
      <c r="J37" s="3">
        <f>SUM(I$34:I37)</f>
        <v>1680000</v>
      </c>
      <c r="K37" s="3">
        <f>VLOOKUP(A37,资源索引!$A$2:$F$29,4,FALSE)*VLOOKUP(C37+1,资源索引!$I$1:$J$6,2,FALSE)</f>
        <v>600000</v>
      </c>
      <c r="L37" s="3">
        <f>SUM(K$34:K37)</f>
        <v>1200000</v>
      </c>
      <c r="M37" s="3">
        <f>VLOOKUP(A37,资源索引!$A$2:$F$29,5,FALSE)*VLOOKUP(C37+1,资源索引!$I$1:$J$6,2,FALSE)</f>
        <v>480000</v>
      </c>
      <c r="N37" s="3">
        <f>SUM(M$34:M37)</f>
        <v>960000</v>
      </c>
      <c r="O37" s="3">
        <f>VLOOKUP(A37,资源索引!$A$2:$F$29,6,FALSE)*VLOOKUP(C37+1,资源索引!$I$1:$J$6,2,FALSE)</f>
        <v>720000</v>
      </c>
      <c r="P37" s="3">
        <f>SUM(O$34:O37)</f>
        <v>1440000</v>
      </c>
      <c r="Q37" s="3">
        <v>2</v>
      </c>
      <c r="R37" s="3">
        <v>0</v>
      </c>
      <c r="S37" s="3">
        <v>0</v>
      </c>
      <c r="T37" s="3">
        <v>0</v>
      </c>
      <c r="U37" s="3">
        <v>4</v>
      </c>
      <c r="V37" s="3">
        <v>0</v>
      </c>
      <c r="W37" s="5" t="s">
        <v>417</v>
      </c>
      <c r="X37" s="5"/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1025</v>
      </c>
      <c r="AF37" s="3">
        <v>1065</v>
      </c>
      <c r="AG37" s="3">
        <v>382</v>
      </c>
      <c r="AH37" s="3">
        <v>383</v>
      </c>
      <c r="AI37" s="3">
        <v>384</v>
      </c>
      <c r="AJ37" s="3">
        <v>0</v>
      </c>
      <c r="AK37" s="3" t="s">
        <v>414</v>
      </c>
    </row>
    <row r="38" spans="1:37" s="3" customFormat="1" x14ac:dyDescent="0.15">
      <c r="A38" s="3">
        <v>6</v>
      </c>
      <c r="B38" s="3" t="s">
        <v>413</v>
      </c>
      <c r="C38" s="3">
        <v>4</v>
      </c>
      <c r="D38" s="3">
        <v>5</v>
      </c>
      <c r="E38" s="3">
        <v>1</v>
      </c>
      <c r="F38" s="3">
        <v>170</v>
      </c>
      <c r="G38" s="3">
        <f>VLOOKUP(A38,资源索引!$A$2:$F$29,2,FALSE)*VLOOKUP(C38+1,资源索引!$I$1:$J$6,2,FALSE)</f>
        <v>1600000</v>
      </c>
      <c r="H38" s="3">
        <f>SUM(G$34:G38)</f>
        <v>3520000</v>
      </c>
      <c r="I38" s="3">
        <f>VLOOKUP(A38,资源索引!$A$2:$F$29,3,FALSE)*VLOOKUP(C38+1,资源索引!$I$1:$J$6,2,FALSE)</f>
        <v>1400000</v>
      </c>
      <c r="J38" s="3">
        <f>SUM(I$34:I38)</f>
        <v>3080000</v>
      </c>
      <c r="K38" s="3">
        <f>VLOOKUP(A38,资源索引!$A$2:$F$29,4,FALSE)*VLOOKUP(C38+1,资源索引!$I$1:$J$6,2,FALSE)</f>
        <v>1000000</v>
      </c>
      <c r="L38" s="3">
        <f>SUM(K$34:K38)</f>
        <v>2200000</v>
      </c>
      <c r="M38" s="3">
        <f>VLOOKUP(A38,资源索引!$A$2:$F$29,5,FALSE)*VLOOKUP(C38+1,资源索引!$I$1:$J$6,2,FALSE)</f>
        <v>800000</v>
      </c>
      <c r="N38" s="3">
        <f>SUM(M$34:M38)</f>
        <v>1760000</v>
      </c>
      <c r="O38" s="3">
        <f>VLOOKUP(A38,资源索引!$A$2:$F$29,6,FALSE)*VLOOKUP(C38+1,资源索引!$I$1:$J$6,2,FALSE)</f>
        <v>1200000</v>
      </c>
      <c r="P38" s="3">
        <f>SUM(O$34:O38)</f>
        <v>2640000</v>
      </c>
      <c r="Q38" s="3">
        <v>2</v>
      </c>
      <c r="R38" s="3">
        <v>0</v>
      </c>
      <c r="S38" s="3">
        <v>0</v>
      </c>
      <c r="T38" s="3">
        <v>0</v>
      </c>
      <c r="U38" s="3">
        <v>5</v>
      </c>
      <c r="V38" s="3">
        <v>0</v>
      </c>
      <c r="W38" s="5" t="s">
        <v>418</v>
      </c>
      <c r="X38" s="5"/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1025</v>
      </c>
      <c r="AF38" s="3">
        <v>1065</v>
      </c>
      <c r="AG38" s="3">
        <v>382</v>
      </c>
      <c r="AH38" s="3">
        <v>383</v>
      </c>
      <c r="AI38" s="3">
        <v>384</v>
      </c>
      <c r="AJ38" s="3">
        <v>0</v>
      </c>
      <c r="AK38" s="3" t="s">
        <v>414</v>
      </c>
    </row>
    <row r="39" spans="1:37" s="3" customFormat="1" x14ac:dyDescent="0.15">
      <c r="A39" s="3">
        <v>6</v>
      </c>
      <c r="B39" s="3" t="s">
        <v>413</v>
      </c>
      <c r="C39" s="3">
        <v>5</v>
      </c>
      <c r="D39" s="3">
        <v>5</v>
      </c>
      <c r="E39" s="3">
        <v>1</v>
      </c>
      <c r="F39" s="3">
        <v>200</v>
      </c>
      <c r="G39" s="3">
        <f>VLOOKUP(A39,资源索引!$A$2:$F$29,2,FALSE)*VLOOKUP(C39+1,资源索引!$I$1:$J$6,2,FALSE)</f>
        <v>2880000</v>
      </c>
      <c r="H39" s="3">
        <f>SUM(G$34:G39)</f>
        <v>6400000</v>
      </c>
      <c r="I39" s="3">
        <f>VLOOKUP(A39,资源索引!$A$2:$F$29,3,FALSE)*VLOOKUP(C39+1,资源索引!$I$1:$J$6,2,FALSE)</f>
        <v>2520000</v>
      </c>
      <c r="J39" s="3">
        <f>SUM(I$34:I39)</f>
        <v>5600000</v>
      </c>
      <c r="K39" s="3">
        <f>VLOOKUP(A39,资源索引!$A$2:$F$29,4,FALSE)*VLOOKUP(C39+1,资源索引!$I$1:$J$6,2,FALSE)</f>
        <v>1800000</v>
      </c>
      <c r="L39" s="3">
        <f>SUM(K$34:K39)</f>
        <v>4000000</v>
      </c>
      <c r="M39" s="3">
        <f>VLOOKUP(A39,资源索引!$A$2:$F$29,5,FALSE)*VLOOKUP(C39+1,资源索引!$I$1:$J$6,2,FALSE)</f>
        <v>1440000</v>
      </c>
      <c r="N39" s="3">
        <f>SUM(M$34:M39)</f>
        <v>3200000</v>
      </c>
      <c r="O39" s="3">
        <f>VLOOKUP(A39,资源索引!$A$2:$F$29,6,FALSE)*VLOOKUP(C39+1,资源索引!$I$1:$J$6,2,FALSE)</f>
        <v>2160000</v>
      </c>
      <c r="P39" s="3">
        <f>SUM(O$34:O39)</f>
        <v>4800000</v>
      </c>
      <c r="Q39" s="3">
        <v>2</v>
      </c>
      <c r="R39" s="3">
        <v>0</v>
      </c>
      <c r="S39" s="3">
        <v>0</v>
      </c>
      <c r="T39" s="3">
        <v>0</v>
      </c>
      <c r="U39" s="3">
        <v>6</v>
      </c>
      <c r="V39" s="3">
        <v>0</v>
      </c>
      <c r="W39" s="5" t="s">
        <v>419</v>
      </c>
      <c r="X39" s="5"/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1025</v>
      </c>
      <c r="AF39" s="3">
        <v>1065</v>
      </c>
      <c r="AG39" s="3">
        <v>385</v>
      </c>
      <c r="AH39" s="3">
        <v>386</v>
      </c>
      <c r="AI39" s="3">
        <v>387</v>
      </c>
      <c r="AJ39" s="3">
        <v>0</v>
      </c>
      <c r="AK39" s="3" t="s">
        <v>414</v>
      </c>
    </row>
    <row r="40" spans="1:37" s="2" customFormat="1" x14ac:dyDescent="0.15">
      <c r="A40" s="2">
        <v>7</v>
      </c>
      <c r="B40" s="2" t="s">
        <v>352</v>
      </c>
      <c r="C40" s="2">
        <v>0</v>
      </c>
      <c r="D40" s="2">
        <v>5</v>
      </c>
      <c r="E40" s="2">
        <v>1</v>
      </c>
      <c r="F40" s="2">
        <v>50</v>
      </c>
      <c r="G40" s="2">
        <f>VLOOKUP(A40,资源索引!$A$2:$F$29,2,FALSE)*VLOOKUP(C40+1,资源索引!$I$1:$J$6,2,FALSE)</f>
        <v>160000</v>
      </c>
      <c r="H40" s="2">
        <f>SUM(G$40:G40)</f>
        <v>160000</v>
      </c>
      <c r="I40" s="2">
        <f>VLOOKUP(A40,资源索引!$A$2:$F$29,3,FALSE)*VLOOKUP(C40+1,资源索引!$I$1:$J$6,2,FALSE)</f>
        <v>40000</v>
      </c>
      <c r="J40" s="2">
        <f>SUM(I$40:I40)</f>
        <v>40000</v>
      </c>
      <c r="K40" s="2">
        <f>VLOOKUP(A40,资源索引!$A$2:$F$29,4,FALSE)*VLOOKUP(C40+1,资源索引!$I$1:$J$6,2,FALSE)</f>
        <v>200000</v>
      </c>
      <c r="L40" s="2">
        <f>SUM(K$40:K40)</f>
        <v>200000</v>
      </c>
      <c r="M40" s="2">
        <f>VLOOKUP(A40,资源索引!$A$2:$F$29,5,FALSE)*VLOOKUP(C40+1,资源索引!$I$1:$J$6,2,FALSE)</f>
        <v>100000</v>
      </c>
      <c r="N40" s="2">
        <f>SUM(M$40:M40)</f>
        <v>100000</v>
      </c>
      <c r="O40" s="2">
        <f>VLOOKUP(A40,资源索引!$A$2:$F$29,6,FALSE)*VLOOKUP(C40+1,资源索引!$I$1:$J$6,2,FALSE)</f>
        <v>100000</v>
      </c>
      <c r="P40" s="2">
        <f>SUM(O$40:O40)</f>
        <v>100000</v>
      </c>
      <c r="Q40" s="2">
        <v>2</v>
      </c>
      <c r="R40" s="2">
        <v>0</v>
      </c>
      <c r="S40" s="2">
        <v>9947</v>
      </c>
      <c r="T40" s="2">
        <v>1</v>
      </c>
      <c r="U40" s="2">
        <v>1</v>
      </c>
      <c r="V40" s="2">
        <v>0</v>
      </c>
      <c r="W40" s="2">
        <v>9947</v>
      </c>
      <c r="X40" s="2">
        <v>4860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1026</v>
      </c>
      <c r="AF40" s="2">
        <v>1066</v>
      </c>
      <c r="AJ40" s="2">
        <v>0</v>
      </c>
      <c r="AK40" s="2" t="s">
        <v>541</v>
      </c>
    </row>
    <row r="41" spans="1:37" s="2" customFormat="1" x14ac:dyDescent="0.15">
      <c r="A41" s="2">
        <v>7</v>
      </c>
      <c r="B41" s="2" t="s">
        <v>352</v>
      </c>
      <c r="C41" s="2">
        <v>1</v>
      </c>
      <c r="D41" s="2">
        <v>5</v>
      </c>
      <c r="E41" s="2">
        <v>1</v>
      </c>
      <c r="F41" s="2">
        <v>80</v>
      </c>
      <c r="G41" s="2">
        <f>VLOOKUP(A41,资源索引!$A$2:$F$29,2,FALSE)*VLOOKUP(C41+1,资源索引!$I$1:$J$6,2,FALSE)</f>
        <v>280000</v>
      </c>
      <c r="H41" s="2">
        <f>SUM(G$40:G41)</f>
        <v>440000</v>
      </c>
      <c r="I41" s="2">
        <f>VLOOKUP(A41,资源索引!$A$2:$F$29,3,FALSE)*VLOOKUP(C41+1,资源索引!$I$1:$J$6,2,FALSE)</f>
        <v>70000</v>
      </c>
      <c r="J41" s="2">
        <f>SUM(I$40:I41)</f>
        <v>110000</v>
      </c>
      <c r="K41" s="2">
        <f>VLOOKUP(A41,资源索引!$A$2:$F$29,4,FALSE)*VLOOKUP(C41+1,资源索引!$I$1:$J$6,2,FALSE)</f>
        <v>350000.00000000006</v>
      </c>
      <c r="L41" s="2">
        <f>SUM(K$40:K41)</f>
        <v>550000</v>
      </c>
      <c r="M41" s="2">
        <f>VLOOKUP(A41,资源索引!$A$2:$F$29,5,FALSE)*VLOOKUP(C41+1,资源索引!$I$1:$J$6,2,FALSE)</f>
        <v>175000.00000000003</v>
      </c>
      <c r="N41" s="2">
        <f>SUM(M$40:M41)</f>
        <v>275000</v>
      </c>
      <c r="O41" s="2">
        <f>VLOOKUP(A41,资源索引!$A$2:$F$29,6,FALSE)*VLOOKUP(C41+1,资源索引!$I$1:$J$6,2,FALSE)</f>
        <v>175000.00000000003</v>
      </c>
      <c r="P41" s="2">
        <f>SUM(O$40:O41)</f>
        <v>275000</v>
      </c>
      <c r="Q41" s="2">
        <v>2</v>
      </c>
      <c r="R41" s="2">
        <v>0</v>
      </c>
      <c r="S41" s="2">
        <v>9947</v>
      </c>
      <c r="T41" s="2">
        <v>1</v>
      </c>
      <c r="U41" s="2">
        <v>2</v>
      </c>
      <c r="V41" s="2">
        <v>0</v>
      </c>
      <c r="W41" s="4" t="s">
        <v>420</v>
      </c>
      <c r="X41" s="2">
        <v>4860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1026</v>
      </c>
      <c r="AF41" s="2">
        <v>1066</v>
      </c>
      <c r="AG41" s="2">
        <v>388</v>
      </c>
      <c r="AH41" s="2">
        <v>389</v>
      </c>
      <c r="AI41" s="2">
        <v>390</v>
      </c>
      <c r="AJ41" s="2">
        <v>0</v>
      </c>
      <c r="AK41" s="2" t="s">
        <v>541</v>
      </c>
    </row>
    <row r="42" spans="1:37" s="2" customFormat="1" x14ac:dyDescent="0.15">
      <c r="A42" s="2">
        <v>7</v>
      </c>
      <c r="B42" s="2" t="s">
        <v>352</v>
      </c>
      <c r="C42" s="2">
        <v>2</v>
      </c>
      <c r="D42" s="2">
        <v>5</v>
      </c>
      <c r="E42" s="2">
        <v>1</v>
      </c>
      <c r="F42" s="2">
        <v>110</v>
      </c>
      <c r="G42" s="2">
        <f>VLOOKUP(A42,资源索引!$A$2:$F$29,2,FALSE)*VLOOKUP(C42+1,资源索引!$I$1:$J$6,2,FALSE)</f>
        <v>520000</v>
      </c>
      <c r="H42" s="2">
        <f>SUM(G$40:G42)</f>
        <v>960000</v>
      </c>
      <c r="I42" s="2">
        <f>VLOOKUP(A42,资源索引!$A$2:$F$29,3,FALSE)*VLOOKUP(C42+1,资源索引!$I$1:$J$6,2,FALSE)</f>
        <v>130000</v>
      </c>
      <c r="J42" s="2">
        <f>SUM(I$40:I42)</f>
        <v>240000</v>
      </c>
      <c r="K42" s="2">
        <f>VLOOKUP(A42,资源索引!$A$2:$F$29,4,FALSE)*VLOOKUP(C42+1,资源索引!$I$1:$J$6,2,FALSE)</f>
        <v>650000</v>
      </c>
      <c r="L42" s="2">
        <f>SUM(K$40:K42)</f>
        <v>1200000</v>
      </c>
      <c r="M42" s="2">
        <f>VLOOKUP(A42,资源索引!$A$2:$F$29,5,FALSE)*VLOOKUP(C42+1,资源索引!$I$1:$J$6,2,FALSE)</f>
        <v>325000</v>
      </c>
      <c r="N42" s="2">
        <f>SUM(M$40:M42)</f>
        <v>600000</v>
      </c>
      <c r="O42" s="2">
        <f>VLOOKUP(A42,资源索引!$A$2:$F$29,6,FALSE)*VLOOKUP(C42+1,资源索引!$I$1:$J$6,2,FALSE)</f>
        <v>325000</v>
      </c>
      <c r="P42" s="2">
        <f>SUM(O$40:O42)</f>
        <v>600000</v>
      </c>
      <c r="Q42" s="2">
        <v>2</v>
      </c>
      <c r="R42" s="2">
        <v>0</v>
      </c>
      <c r="S42" s="2">
        <v>9947</v>
      </c>
      <c r="T42" s="2">
        <v>1</v>
      </c>
      <c r="U42" s="2">
        <v>3</v>
      </c>
      <c r="V42" s="2">
        <v>0</v>
      </c>
      <c r="W42" s="4" t="s">
        <v>421</v>
      </c>
      <c r="X42" s="2">
        <v>4860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1026</v>
      </c>
      <c r="AF42" s="2">
        <v>1066</v>
      </c>
      <c r="AG42" s="2">
        <v>388</v>
      </c>
      <c r="AH42" s="2">
        <v>389</v>
      </c>
      <c r="AI42" s="2">
        <v>390</v>
      </c>
      <c r="AJ42" s="2">
        <v>0</v>
      </c>
      <c r="AK42" s="2" t="s">
        <v>541</v>
      </c>
    </row>
    <row r="43" spans="1:37" s="2" customFormat="1" x14ac:dyDescent="0.15">
      <c r="A43" s="2">
        <v>7</v>
      </c>
      <c r="B43" s="2" t="s">
        <v>352</v>
      </c>
      <c r="C43" s="2">
        <v>3</v>
      </c>
      <c r="D43" s="2">
        <v>5</v>
      </c>
      <c r="E43" s="2">
        <v>1</v>
      </c>
      <c r="F43" s="2">
        <v>140</v>
      </c>
      <c r="G43" s="2">
        <f>VLOOKUP(A43,资源索引!$A$2:$F$29,2,FALSE)*VLOOKUP(C43+1,资源索引!$I$1:$J$6,2,FALSE)</f>
        <v>960000</v>
      </c>
      <c r="H43" s="2">
        <f>SUM(G$40:G43)</f>
        <v>1920000</v>
      </c>
      <c r="I43" s="2">
        <f>VLOOKUP(A43,资源索引!$A$2:$F$29,3,FALSE)*VLOOKUP(C43+1,资源索引!$I$1:$J$6,2,FALSE)</f>
        <v>240000</v>
      </c>
      <c r="J43" s="2">
        <f>SUM(I$40:I43)</f>
        <v>480000</v>
      </c>
      <c r="K43" s="2">
        <f>VLOOKUP(A43,资源索引!$A$2:$F$29,4,FALSE)*VLOOKUP(C43+1,资源索引!$I$1:$J$6,2,FALSE)</f>
        <v>1200000</v>
      </c>
      <c r="L43" s="2">
        <f>SUM(K$40:K43)</f>
        <v>2400000</v>
      </c>
      <c r="M43" s="2">
        <f>VLOOKUP(A43,资源索引!$A$2:$F$29,5,FALSE)*VLOOKUP(C43+1,资源索引!$I$1:$J$6,2,FALSE)</f>
        <v>600000</v>
      </c>
      <c r="N43" s="2">
        <f>SUM(M$40:M43)</f>
        <v>1200000</v>
      </c>
      <c r="O43" s="2">
        <f>VLOOKUP(A43,资源索引!$A$2:$F$29,6,FALSE)*VLOOKUP(C43+1,资源索引!$I$1:$J$6,2,FALSE)</f>
        <v>600000</v>
      </c>
      <c r="P43" s="2">
        <f>SUM(O$40:O43)</f>
        <v>1200000</v>
      </c>
      <c r="Q43" s="2">
        <v>2</v>
      </c>
      <c r="R43" s="2">
        <v>0</v>
      </c>
      <c r="S43" s="2">
        <v>9947</v>
      </c>
      <c r="T43" s="2">
        <v>1</v>
      </c>
      <c r="U43" s="2">
        <v>4</v>
      </c>
      <c r="V43" s="2">
        <v>0</v>
      </c>
      <c r="W43" s="4" t="s">
        <v>422</v>
      </c>
      <c r="X43" s="2">
        <v>4860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1026</v>
      </c>
      <c r="AF43" s="2">
        <v>1066</v>
      </c>
      <c r="AG43" s="2">
        <v>391</v>
      </c>
      <c r="AH43" s="2">
        <v>392</v>
      </c>
      <c r="AI43" s="2">
        <v>393</v>
      </c>
      <c r="AJ43" s="2">
        <v>0</v>
      </c>
      <c r="AK43" s="2" t="s">
        <v>541</v>
      </c>
    </row>
    <row r="44" spans="1:37" s="2" customFormat="1" x14ac:dyDescent="0.15">
      <c r="A44" s="2">
        <v>7</v>
      </c>
      <c r="B44" s="2" t="s">
        <v>352</v>
      </c>
      <c r="C44" s="2">
        <v>4</v>
      </c>
      <c r="D44" s="2">
        <v>5</v>
      </c>
      <c r="E44" s="2">
        <v>1</v>
      </c>
      <c r="F44" s="2">
        <v>170</v>
      </c>
      <c r="G44" s="2">
        <f>VLOOKUP(A44,资源索引!$A$2:$F$29,2,FALSE)*VLOOKUP(C44+1,资源索引!$I$1:$J$6,2,FALSE)</f>
        <v>1600000</v>
      </c>
      <c r="H44" s="2">
        <f>SUM(G$40:G44)</f>
        <v>3520000</v>
      </c>
      <c r="I44" s="2">
        <f>VLOOKUP(A44,资源索引!$A$2:$F$29,3,FALSE)*VLOOKUP(C44+1,资源索引!$I$1:$J$6,2,FALSE)</f>
        <v>400000</v>
      </c>
      <c r="J44" s="2">
        <f>SUM(I$40:I44)</f>
        <v>880000</v>
      </c>
      <c r="K44" s="2">
        <f>VLOOKUP(A44,资源索引!$A$2:$F$29,4,FALSE)*VLOOKUP(C44+1,资源索引!$I$1:$J$6,2,FALSE)</f>
        <v>2000000</v>
      </c>
      <c r="L44" s="2">
        <f>SUM(K$40:K44)</f>
        <v>4400000</v>
      </c>
      <c r="M44" s="2">
        <f>VLOOKUP(A44,资源索引!$A$2:$F$29,5,FALSE)*VLOOKUP(C44+1,资源索引!$I$1:$J$6,2,FALSE)</f>
        <v>1000000</v>
      </c>
      <c r="N44" s="2">
        <f>SUM(M$40:M44)</f>
        <v>2200000</v>
      </c>
      <c r="O44" s="2">
        <f>VLOOKUP(A44,资源索引!$A$2:$F$29,6,FALSE)*VLOOKUP(C44+1,资源索引!$I$1:$J$6,2,FALSE)</f>
        <v>1000000</v>
      </c>
      <c r="P44" s="2">
        <f>SUM(O$40:O44)</f>
        <v>2200000</v>
      </c>
      <c r="Q44" s="2">
        <v>2</v>
      </c>
      <c r="R44" s="2">
        <v>0</v>
      </c>
      <c r="S44" s="2">
        <v>9947</v>
      </c>
      <c r="T44" s="2">
        <v>1</v>
      </c>
      <c r="U44" s="2">
        <v>5</v>
      </c>
      <c r="V44" s="2">
        <v>0</v>
      </c>
      <c r="W44" s="4" t="s">
        <v>423</v>
      </c>
      <c r="X44" s="2">
        <v>4860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1026</v>
      </c>
      <c r="AF44" s="2">
        <v>1066</v>
      </c>
      <c r="AG44" s="2">
        <v>391</v>
      </c>
      <c r="AH44" s="2">
        <v>392</v>
      </c>
      <c r="AI44" s="2">
        <v>393</v>
      </c>
      <c r="AJ44" s="2">
        <v>0</v>
      </c>
      <c r="AK44" s="2" t="s">
        <v>541</v>
      </c>
    </row>
    <row r="45" spans="1:37" s="2" customFormat="1" x14ac:dyDescent="0.15">
      <c r="A45" s="2">
        <v>7</v>
      </c>
      <c r="B45" s="2" t="s">
        <v>352</v>
      </c>
      <c r="C45" s="2">
        <v>5</v>
      </c>
      <c r="D45" s="2">
        <v>5</v>
      </c>
      <c r="E45" s="2">
        <v>1</v>
      </c>
      <c r="F45" s="2">
        <v>200</v>
      </c>
      <c r="G45" s="2">
        <f>VLOOKUP(A45,资源索引!$A$2:$F$29,2,FALSE)*VLOOKUP(C45+1,资源索引!$I$1:$J$6,2,FALSE)</f>
        <v>2880000</v>
      </c>
      <c r="H45" s="2">
        <f>SUM(G$40:G45)</f>
        <v>6400000</v>
      </c>
      <c r="I45" s="2">
        <f>VLOOKUP(A45,资源索引!$A$2:$F$29,3,FALSE)*VLOOKUP(C45+1,资源索引!$I$1:$J$6,2,FALSE)</f>
        <v>720000</v>
      </c>
      <c r="J45" s="2">
        <f>SUM(I$40:I45)</f>
        <v>1600000</v>
      </c>
      <c r="K45" s="2">
        <f>VLOOKUP(A45,资源索引!$A$2:$F$29,4,FALSE)*VLOOKUP(C45+1,资源索引!$I$1:$J$6,2,FALSE)</f>
        <v>3600000</v>
      </c>
      <c r="L45" s="2">
        <f>SUM(K$40:K45)</f>
        <v>8000000</v>
      </c>
      <c r="M45" s="2">
        <f>VLOOKUP(A45,资源索引!$A$2:$F$29,5,FALSE)*VLOOKUP(C45+1,资源索引!$I$1:$J$6,2,FALSE)</f>
        <v>1800000</v>
      </c>
      <c r="N45" s="2">
        <f>SUM(M$40:M45)</f>
        <v>4000000</v>
      </c>
      <c r="O45" s="2">
        <f>VLOOKUP(A45,资源索引!$A$2:$F$29,6,FALSE)*VLOOKUP(C45+1,资源索引!$I$1:$J$6,2,FALSE)</f>
        <v>1800000</v>
      </c>
      <c r="P45" s="2">
        <f>SUM(O$40:O45)</f>
        <v>4000000</v>
      </c>
      <c r="Q45" s="2">
        <v>2</v>
      </c>
      <c r="R45" s="2">
        <v>0</v>
      </c>
      <c r="S45" s="2">
        <v>9947</v>
      </c>
      <c r="T45" s="2">
        <v>1</v>
      </c>
      <c r="U45" s="2">
        <v>6</v>
      </c>
      <c r="V45" s="2">
        <v>0</v>
      </c>
      <c r="W45" s="4" t="s">
        <v>424</v>
      </c>
      <c r="X45" s="2">
        <v>4860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1026</v>
      </c>
      <c r="AF45" s="2">
        <v>1066</v>
      </c>
      <c r="AG45" s="2">
        <v>394</v>
      </c>
      <c r="AH45" s="2">
        <v>395</v>
      </c>
      <c r="AI45" s="2">
        <v>396</v>
      </c>
      <c r="AJ45" s="2">
        <v>0</v>
      </c>
      <c r="AK45" s="2" t="s">
        <v>541</v>
      </c>
    </row>
    <row r="46" spans="1:37" s="3" customFormat="1" x14ac:dyDescent="0.15">
      <c r="A46" s="3">
        <v>8</v>
      </c>
      <c r="B46" s="3" t="s">
        <v>425</v>
      </c>
      <c r="C46" s="3">
        <v>0</v>
      </c>
      <c r="D46" s="3">
        <v>5</v>
      </c>
      <c r="E46" s="3">
        <v>1</v>
      </c>
      <c r="F46" s="3">
        <v>50</v>
      </c>
      <c r="G46" s="3">
        <f>VLOOKUP(A46,资源索引!$A$2:$F$29,2,FALSE)*VLOOKUP(C46+1,资源索引!$I$1:$J$6,2,FALSE)</f>
        <v>40000</v>
      </c>
      <c r="H46" s="3">
        <f>SUM(G$46:G46)</f>
        <v>40000</v>
      </c>
      <c r="I46" s="3">
        <f>VLOOKUP(A46,资源索引!$A$2:$F$29,3,FALSE)*VLOOKUP(C46+1,资源索引!$I$1:$J$6,2,FALSE)</f>
        <v>40000</v>
      </c>
      <c r="J46" s="3">
        <f>SUM(I$46:I46)</f>
        <v>40000</v>
      </c>
      <c r="K46" s="3">
        <f>VLOOKUP(A46,资源索引!$A$2:$F$29,4,FALSE)*VLOOKUP(C46+1,资源索引!$I$1:$J$6,2,FALSE)</f>
        <v>40000</v>
      </c>
      <c r="L46" s="3">
        <f>SUM(K$46:K46)</f>
        <v>40000</v>
      </c>
      <c r="M46" s="3">
        <f>VLOOKUP(A46,资源索引!$A$2:$F$29,5,FALSE)*VLOOKUP(C46+1,资源索引!$I$1:$J$6,2,FALSE)</f>
        <v>40000</v>
      </c>
      <c r="N46" s="3">
        <f>SUM(M$46:M46)</f>
        <v>40000</v>
      </c>
      <c r="O46" s="3">
        <f>VLOOKUP(A46,资源索引!$A$2:$F$29,6,FALSE)*VLOOKUP(C46+1,资源索引!$I$1:$J$6,2,FALSE)</f>
        <v>40000</v>
      </c>
      <c r="P46" s="3">
        <f>SUM(O$46:O46)</f>
        <v>40000</v>
      </c>
      <c r="Q46" s="3">
        <v>2</v>
      </c>
      <c r="R46" s="3">
        <v>0</v>
      </c>
      <c r="S46" s="3">
        <v>0</v>
      </c>
      <c r="T46" s="3">
        <v>0</v>
      </c>
      <c r="U46" s="3">
        <v>1</v>
      </c>
      <c r="V46" s="3">
        <v>0</v>
      </c>
      <c r="W46" s="3">
        <v>9945</v>
      </c>
      <c r="Z46" s="3">
        <v>180</v>
      </c>
      <c r="AA46" s="3">
        <v>0</v>
      </c>
      <c r="AB46" s="3">
        <v>0</v>
      </c>
      <c r="AC46" s="3">
        <v>0</v>
      </c>
      <c r="AD46" s="3">
        <v>0</v>
      </c>
      <c r="AE46" s="3">
        <v>1027</v>
      </c>
      <c r="AF46" s="3">
        <v>1067</v>
      </c>
      <c r="AJ46" s="3">
        <v>0</v>
      </c>
      <c r="AK46" s="3" t="s">
        <v>426</v>
      </c>
    </row>
    <row r="47" spans="1:37" s="3" customFormat="1" x14ac:dyDescent="0.15">
      <c r="A47" s="3">
        <v>8</v>
      </c>
      <c r="B47" s="3" t="s">
        <v>425</v>
      </c>
      <c r="C47" s="3">
        <v>1</v>
      </c>
      <c r="D47" s="3">
        <v>5</v>
      </c>
      <c r="E47" s="3">
        <v>1</v>
      </c>
      <c r="F47" s="3">
        <v>90</v>
      </c>
      <c r="G47" s="3">
        <f>VLOOKUP(A47,资源索引!$A$2:$F$29,2,FALSE)*VLOOKUP(C47+1,资源索引!$I$1:$J$6,2,FALSE)</f>
        <v>70000</v>
      </c>
      <c r="H47" s="3">
        <f>SUM(G$46:G47)</f>
        <v>110000</v>
      </c>
      <c r="I47" s="3">
        <f>VLOOKUP(A47,资源索引!$A$2:$F$29,3,FALSE)*VLOOKUP(C47+1,资源索引!$I$1:$J$6,2,FALSE)</f>
        <v>70000</v>
      </c>
      <c r="J47" s="3">
        <f>SUM(I$46:I47)</f>
        <v>110000</v>
      </c>
      <c r="K47" s="3">
        <f>VLOOKUP(A47,资源索引!$A$2:$F$29,4,FALSE)*VLOOKUP(C47+1,资源索引!$I$1:$J$6,2,FALSE)</f>
        <v>70000</v>
      </c>
      <c r="L47" s="3">
        <f>SUM(K$46:K47)</f>
        <v>110000</v>
      </c>
      <c r="M47" s="3">
        <f>VLOOKUP(A47,资源索引!$A$2:$F$29,5,FALSE)*VLOOKUP(C47+1,资源索引!$I$1:$J$6,2,FALSE)</f>
        <v>70000</v>
      </c>
      <c r="N47" s="3">
        <f>SUM(M$46:M47)</f>
        <v>110000</v>
      </c>
      <c r="O47" s="3">
        <f>VLOOKUP(A47,资源索引!$A$2:$F$29,6,FALSE)*VLOOKUP(C47+1,资源索引!$I$1:$J$6,2,FALSE)</f>
        <v>70000</v>
      </c>
      <c r="P47" s="3">
        <f>SUM(O$46:O47)</f>
        <v>110000</v>
      </c>
      <c r="Q47" s="3">
        <v>2</v>
      </c>
      <c r="R47" s="3">
        <v>0</v>
      </c>
      <c r="S47" s="3">
        <v>0</v>
      </c>
      <c r="T47" s="3">
        <v>0</v>
      </c>
      <c r="U47" s="3">
        <v>2</v>
      </c>
      <c r="V47" s="3">
        <v>0</v>
      </c>
      <c r="W47" s="5" t="s">
        <v>427</v>
      </c>
      <c r="X47" s="5"/>
      <c r="Z47" s="3">
        <v>240</v>
      </c>
      <c r="AA47" s="3">
        <v>0</v>
      </c>
      <c r="AB47" s="3">
        <v>0</v>
      </c>
      <c r="AC47" s="3">
        <v>0</v>
      </c>
      <c r="AD47" s="3">
        <v>0</v>
      </c>
      <c r="AE47" s="3">
        <v>1027</v>
      </c>
      <c r="AF47" s="3">
        <v>1067</v>
      </c>
      <c r="AG47" s="3">
        <v>361</v>
      </c>
      <c r="AH47" s="3">
        <v>362</v>
      </c>
      <c r="AI47" s="3">
        <v>363</v>
      </c>
      <c r="AJ47" s="3">
        <v>0</v>
      </c>
      <c r="AK47" s="3" t="s">
        <v>426</v>
      </c>
    </row>
    <row r="48" spans="1:37" s="3" customFormat="1" x14ac:dyDescent="0.15">
      <c r="A48" s="3">
        <v>8</v>
      </c>
      <c r="B48" s="3" t="s">
        <v>425</v>
      </c>
      <c r="C48" s="3">
        <v>2</v>
      </c>
      <c r="D48" s="3">
        <v>5</v>
      </c>
      <c r="E48" s="3">
        <v>1</v>
      </c>
      <c r="F48" s="3">
        <v>130</v>
      </c>
      <c r="G48" s="3">
        <f>VLOOKUP(A48,资源索引!$A$2:$F$29,2,FALSE)*VLOOKUP(C48+1,资源索引!$I$1:$J$6,2,FALSE)</f>
        <v>130000</v>
      </c>
      <c r="H48" s="3">
        <f>SUM(G$46:G48)</f>
        <v>240000</v>
      </c>
      <c r="I48" s="3">
        <f>VLOOKUP(A48,资源索引!$A$2:$F$29,3,FALSE)*VLOOKUP(C48+1,资源索引!$I$1:$J$6,2,FALSE)</f>
        <v>130000</v>
      </c>
      <c r="J48" s="3">
        <f>SUM(I$46:I48)</f>
        <v>240000</v>
      </c>
      <c r="K48" s="3">
        <f>VLOOKUP(A48,资源索引!$A$2:$F$29,4,FALSE)*VLOOKUP(C48+1,资源索引!$I$1:$J$6,2,FALSE)</f>
        <v>130000</v>
      </c>
      <c r="L48" s="3">
        <f>SUM(K$46:K48)</f>
        <v>240000</v>
      </c>
      <c r="M48" s="3">
        <f>VLOOKUP(A48,资源索引!$A$2:$F$29,5,FALSE)*VLOOKUP(C48+1,资源索引!$I$1:$J$6,2,FALSE)</f>
        <v>130000</v>
      </c>
      <c r="N48" s="3">
        <f>SUM(M$46:M48)</f>
        <v>240000</v>
      </c>
      <c r="O48" s="3">
        <f>VLOOKUP(A48,资源索引!$A$2:$F$29,6,FALSE)*VLOOKUP(C48+1,资源索引!$I$1:$J$6,2,FALSE)</f>
        <v>130000</v>
      </c>
      <c r="P48" s="3">
        <f>SUM(O$46:O48)</f>
        <v>240000</v>
      </c>
      <c r="Q48" s="3">
        <v>2</v>
      </c>
      <c r="R48" s="3">
        <v>0</v>
      </c>
      <c r="S48" s="3">
        <v>0</v>
      </c>
      <c r="T48" s="3">
        <v>0</v>
      </c>
      <c r="U48" s="3">
        <v>3</v>
      </c>
      <c r="V48" s="3">
        <v>0</v>
      </c>
      <c r="W48" s="5" t="s">
        <v>428</v>
      </c>
      <c r="X48" s="5"/>
      <c r="Z48" s="3">
        <v>300</v>
      </c>
      <c r="AA48" s="3">
        <v>0</v>
      </c>
      <c r="AB48" s="3">
        <v>0</v>
      </c>
      <c r="AC48" s="3">
        <v>0</v>
      </c>
      <c r="AD48" s="3">
        <v>0</v>
      </c>
      <c r="AE48" s="3">
        <v>1027</v>
      </c>
      <c r="AF48" s="3">
        <v>1067</v>
      </c>
      <c r="AG48" s="3">
        <v>361</v>
      </c>
      <c r="AH48" s="3">
        <v>362</v>
      </c>
      <c r="AI48" s="3">
        <v>363</v>
      </c>
      <c r="AJ48" s="3">
        <v>0</v>
      </c>
      <c r="AK48" s="3" t="s">
        <v>426</v>
      </c>
    </row>
    <row r="49" spans="1:37" s="3" customFormat="1" x14ac:dyDescent="0.15">
      <c r="A49" s="3">
        <v>8</v>
      </c>
      <c r="B49" s="3" t="s">
        <v>425</v>
      </c>
      <c r="C49" s="3">
        <v>3</v>
      </c>
      <c r="D49" s="3">
        <v>5</v>
      </c>
      <c r="E49" s="3">
        <v>1</v>
      </c>
      <c r="F49" s="3">
        <v>170</v>
      </c>
      <c r="G49" s="3">
        <f>VLOOKUP(A49,资源索引!$A$2:$F$29,2,FALSE)*VLOOKUP(C49+1,资源索引!$I$1:$J$6,2,FALSE)</f>
        <v>240000</v>
      </c>
      <c r="H49" s="3">
        <f>SUM(G$46:G49)</f>
        <v>480000</v>
      </c>
      <c r="I49" s="3">
        <f>VLOOKUP(A49,资源索引!$A$2:$F$29,3,FALSE)*VLOOKUP(C49+1,资源索引!$I$1:$J$6,2,FALSE)</f>
        <v>240000</v>
      </c>
      <c r="J49" s="3">
        <f>SUM(I$46:I49)</f>
        <v>480000</v>
      </c>
      <c r="K49" s="3">
        <f>VLOOKUP(A49,资源索引!$A$2:$F$29,4,FALSE)*VLOOKUP(C49+1,资源索引!$I$1:$J$6,2,FALSE)</f>
        <v>240000</v>
      </c>
      <c r="L49" s="3">
        <f>SUM(K$46:K49)</f>
        <v>480000</v>
      </c>
      <c r="M49" s="3">
        <f>VLOOKUP(A49,资源索引!$A$2:$F$29,5,FALSE)*VLOOKUP(C49+1,资源索引!$I$1:$J$6,2,FALSE)</f>
        <v>240000</v>
      </c>
      <c r="N49" s="3">
        <f>SUM(M$46:M49)</f>
        <v>480000</v>
      </c>
      <c r="O49" s="3">
        <f>VLOOKUP(A49,资源索引!$A$2:$F$29,6,FALSE)*VLOOKUP(C49+1,资源索引!$I$1:$J$6,2,FALSE)</f>
        <v>240000</v>
      </c>
      <c r="P49" s="3">
        <f>SUM(O$46:O49)</f>
        <v>480000</v>
      </c>
      <c r="Q49" s="3">
        <v>2</v>
      </c>
      <c r="R49" s="3">
        <v>0</v>
      </c>
      <c r="S49" s="3">
        <v>0</v>
      </c>
      <c r="T49" s="3">
        <v>0</v>
      </c>
      <c r="U49" s="3">
        <v>4</v>
      </c>
      <c r="V49" s="3">
        <v>0</v>
      </c>
      <c r="W49" s="5" t="s">
        <v>429</v>
      </c>
      <c r="X49" s="5"/>
      <c r="Z49" s="3">
        <v>360</v>
      </c>
      <c r="AA49" s="3">
        <v>0</v>
      </c>
      <c r="AB49" s="3">
        <v>0</v>
      </c>
      <c r="AC49" s="3">
        <v>0</v>
      </c>
      <c r="AD49" s="3">
        <v>0</v>
      </c>
      <c r="AE49" s="3">
        <v>1027</v>
      </c>
      <c r="AF49" s="3">
        <v>1067</v>
      </c>
      <c r="AG49" s="3">
        <v>364</v>
      </c>
      <c r="AH49" s="3">
        <v>365</v>
      </c>
      <c r="AI49" s="3">
        <v>366</v>
      </c>
      <c r="AJ49" s="3">
        <v>0</v>
      </c>
      <c r="AK49" s="3" t="s">
        <v>426</v>
      </c>
    </row>
    <row r="50" spans="1:37" s="3" customFormat="1" x14ac:dyDescent="0.15">
      <c r="A50" s="3">
        <v>8</v>
      </c>
      <c r="B50" s="3" t="s">
        <v>425</v>
      </c>
      <c r="C50" s="3">
        <v>4</v>
      </c>
      <c r="D50" s="3">
        <v>5</v>
      </c>
      <c r="E50" s="3">
        <v>1</v>
      </c>
      <c r="F50" s="3">
        <v>210</v>
      </c>
      <c r="G50" s="3">
        <f>VLOOKUP(A50,资源索引!$A$2:$F$29,2,FALSE)*VLOOKUP(C50+1,资源索引!$I$1:$J$6,2,FALSE)</f>
        <v>400000</v>
      </c>
      <c r="H50" s="3">
        <f>SUM(G$46:G50)</f>
        <v>880000</v>
      </c>
      <c r="I50" s="3">
        <f>VLOOKUP(A50,资源索引!$A$2:$F$29,3,FALSE)*VLOOKUP(C50+1,资源索引!$I$1:$J$6,2,FALSE)</f>
        <v>400000</v>
      </c>
      <c r="J50" s="3">
        <f>SUM(I$46:I50)</f>
        <v>880000</v>
      </c>
      <c r="K50" s="3">
        <f>VLOOKUP(A50,资源索引!$A$2:$F$29,4,FALSE)*VLOOKUP(C50+1,资源索引!$I$1:$J$6,2,FALSE)</f>
        <v>400000</v>
      </c>
      <c r="L50" s="3">
        <f>SUM(K$46:K50)</f>
        <v>880000</v>
      </c>
      <c r="M50" s="3">
        <f>VLOOKUP(A50,资源索引!$A$2:$F$29,5,FALSE)*VLOOKUP(C50+1,资源索引!$I$1:$J$6,2,FALSE)</f>
        <v>400000</v>
      </c>
      <c r="N50" s="3">
        <f>SUM(M$46:M50)</f>
        <v>880000</v>
      </c>
      <c r="O50" s="3">
        <f>VLOOKUP(A50,资源索引!$A$2:$F$29,6,FALSE)*VLOOKUP(C50+1,资源索引!$I$1:$J$6,2,FALSE)</f>
        <v>400000</v>
      </c>
      <c r="P50" s="3">
        <f>SUM(O$46:O50)</f>
        <v>880000</v>
      </c>
      <c r="Q50" s="3">
        <v>2</v>
      </c>
      <c r="R50" s="3">
        <v>0</v>
      </c>
      <c r="S50" s="3">
        <v>0</v>
      </c>
      <c r="T50" s="3">
        <v>0</v>
      </c>
      <c r="U50" s="3">
        <v>5</v>
      </c>
      <c r="V50" s="3">
        <v>0</v>
      </c>
      <c r="W50" s="5" t="s">
        <v>430</v>
      </c>
      <c r="X50" s="5"/>
      <c r="Z50" s="3">
        <v>420</v>
      </c>
      <c r="AA50" s="3">
        <v>0</v>
      </c>
      <c r="AB50" s="3">
        <v>0</v>
      </c>
      <c r="AC50" s="3">
        <v>0</v>
      </c>
      <c r="AD50" s="3">
        <v>0</v>
      </c>
      <c r="AE50" s="3">
        <v>1027</v>
      </c>
      <c r="AF50" s="3">
        <v>1067</v>
      </c>
      <c r="AG50" s="3">
        <v>364</v>
      </c>
      <c r="AH50" s="3">
        <v>365</v>
      </c>
      <c r="AI50" s="3">
        <v>366</v>
      </c>
      <c r="AJ50" s="3">
        <v>0</v>
      </c>
      <c r="AK50" s="3" t="s">
        <v>426</v>
      </c>
    </row>
    <row r="51" spans="1:37" s="3" customFormat="1" x14ac:dyDescent="0.15">
      <c r="A51" s="3">
        <v>8</v>
      </c>
      <c r="B51" s="3" t="s">
        <v>425</v>
      </c>
      <c r="C51" s="3">
        <v>5</v>
      </c>
      <c r="D51" s="3">
        <v>5</v>
      </c>
      <c r="E51" s="3">
        <v>1</v>
      </c>
      <c r="F51" s="3">
        <v>250</v>
      </c>
      <c r="G51" s="3">
        <f>VLOOKUP(A51,资源索引!$A$2:$F$29,2,FALSE)*VLOOKUP(C51+1,资源索引!$I$1:$J$6,2,FALSE)</f>
        <v>720000</v>
      </c>
      <c r="H51" s="3">
        <f>SUM(G$46:G51)</f>
        <v>1600000</v>
      </c>
      <c r="I51" s="3">
        <f>VLOOKUP(A51,资源索引!$A$2:$F$29,3,FALSE)*VLOOKUP(C51+1,资源索引!$I$1:$J$6,2,FALSE)</f>
        <v>720000</v>
      </c>
      <c r="J51" s="3">
        <f>SUM(I$46:I51)</f>
        <v>1600000</v>
      </c>
      <c r="K51" s="3">
        <f>VLOOKUP(A51,资源索引!$A$2:$F$29,4,FALSE)*VLOOKUP(C51+1,资源索引!$I$1:$J$6,2,FALSE)</f>
        <v>720000</v>
      </c>
      <c r="L51" s="3">
        <f>SUM(K$46:K51)</f>
        <v>1600000</v>
      </c>
      <c r="M51" s="3">
        <f>VLOOKUP(A51,资源索引!$A$2:$F$29,5,FALSE)*VLOOKUP(C51+1,资源索引!$I$1:$J$6,2,FALSE)</f>
        <v>720000</v>
      </c>
      <c r="N51" s="3">
        <f>SUM(M$46:M51)</f>
        <v>1600000</v>
      </c>
      <c r="O51" s="3">
        <f>VLOOKUP(A51,资源索引!$A$2:$F$29,6,FALSE)*VLOOKUP(C51+1,资源索引!$I$1:$J$6,2,FALSE)</f>
        <v>720000</v>
      </c>
      <c r="P51" s="3">
        <f>SUM(O$46:O51)</f>
        <v>1600000</v>
      </c>
      <c r="Q51" s="3">
        <v>2</v>
      </c>
      <c r="R51" s="3">
        <v>0</v>
      </c>
      <c r="S51" s="3">
        <v>0</v>
      </c>
      <c r="T51" s="3">
        <v>0</v>
      </c>
      <c r="U51" s="3">
        <v>6</v>
      </c>
      <c r="V51" s="3">
        <v>0</v>
      </c>
      <c r="W51" s="5" t="s">
        <v>431</v>
      </c>
      <c r="X51" s="5"/>
      <c r="Z51" s="3">
        <v>480</v>
      </c>
      <c r="AA51" s="3">
        <v>0</v>
      </c>
      <c r="AB51" s="3">
        <v>0</v>
      </c>
      <c r="AC51" s="3">
        <v>0</v>
      </c>
      <c r="AD51" s="3">
        <v>0</v>
      </c>
      <c r="AE51" s="3">
        <v>1027</v>
      </c>
      <c r="AF51" s="3">
        <v>1067</v>
      </c>
      <c r="AG51" s="3">
        <v>367</v>
      </c>
      <c r="AH51" s="3">
        <v>368</v>
      </c>
      <c r="AI51" s="3">
        <v>369</v>
      </c>
      <c r="AJ51" s="3">
        <v>0</v>
      </c>
      <c r="AK51" s="3" t="s">
        <v>426</v>
      </c>
    </row>
    <row r="52" spans="1:37" s="2" customFormat="1" x14ac:dyDescent="0.15">
      <c r="A52" s="2">
        <v>9</v>
      </c>
      <c r="B52" s="2" t="s">
        <v>432</v>
      </c>
      <c r="C52" s="2">
        <v>0</v>
      </c>
      <c r="D52" s="2">
        <v>5</v>
      </c>
      <c r="E52" s="2">
        <v>1</v>
      </c>
      <c r="F52" s="2">
        <v>50</v>
      </c>
      <c r="G52" s="2">
        <f>VLOOKUP(A52,资源索引!$A$2:$F$29,2,FALSE)*VLOOKUP(C52+1,资源索引!$I$1:$J$6,2,FALSE)</f>
        <v>40000</v>
      </c>
      <c r="H52" s="2">
        <f>SUM(G$52:G52)</f>
        <v>40000</v>
      </c>
      <c r="I52" s="2">
        <f>VLOOKUP(A52,资源索引!$A$2:$F$29,3,FALSE)*VLOOKUP(C52+1,资源索引!$I$1:$J$6,2,FALSE)</f>
        <v>40000</v>
      </c>
      <c r="J52" s="2">
        <f>SUM(I$52:I52)</f>
        <v>40000</v>
      </c>
      <c r="K52" s="2">
        <f>VLOOKUP(A52,资源索引!$A$2:$F$29,4,FALSE)*VLOOKUP(C52+1,资源索引!$I$1:$J$6,2,FALSE)</f>
        <v>40000</v>
      </c>
      <c r="L52" s="2">
        <f>SUM(K$52:K52)</f>
        <v>40000</v>
      </c>
      <c r="M52" s="2">
        <f>VLOOKUP(A52,资源索引!$A$2:$F$29,5,FALSE)*VLOOKUP(C52+1,资源索引!$I$1:$J$6,2,FALSE)</f>
        <v>40000</v>
      </c>
      <c r="N52" s="2">
        <f>SUM(M$52:M52)</f>
        <v>40000</v>
      </c>
      <c r="O52" s="2">
        <f>VLOOKUP(A52,资源索引!$A$2:$F$29,6,FALSE)*VLOOKUP(C52+1,资源索引!$I$1:$J$6,2,FALSE)</f>
        <v>40000</v>
      </c>
      <c r="P52" s="2">
        <f>SUM(O$52:O52)</f>
        <v>40000</v>
      </c>
      <c r="Q52" s="2">
        <v>2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9945</v>
      </c>
      <c r="Z52" s="2">
        <v>180</v>
      </c>
      <c r="AA52" s="2">
        <v>0</v>
      </c>
      <c r="AB52" s="2">
        <v>0</v>
      </c>
      <c r="AC52" s="2">
        <v>0</v>
      </c>
      <c r="AD52" s="2">
        <v>0</v>
      </c>
      <c r="AE52" s="2">
        <v>1028</v>
      </c>
      <c r="AF52" s="2">
        <v>1068</v>
      </c>
      <c r="AJ52" s="2">
        <v>0</v>
      </c>
      <c r="AK52" s="2" t="s">
        <v>433</v>
      </c>
    </row>
    <row r="53" spans="1:37" s="2" customFormat="1" x14ac:dyDescent="0.15">
      <c r="A53" s="2">
        <v>9</v>
      </c>
      <c r="B53" s="2" t="s">
        <v>432</v>
      </c>
      <c r="C53" s="2">
        <v>1</v>
      </c>
      <c r="D53" s="2">
        <v>5</v>
      </c>
      <c r="E53" s="2">
        <v>1</v>
      </c>
      <c r="F53" s="2">
        <v>90</v>
      </c>
      <c r="G53" s="2">
        <f>VLOOKUP(A53,资源索引!$A$2:$F$29,2,FALSE)*VLOOKUP(C53+1,资源索引!$I$1:$J$6,2,FALSE)</f>
        <v>70000</v>
      </c>
      <c r="H53" s="2">
        <f>SUM(G$52:G53)</f>
        <v>110000</v>
      </c>
      <c r="I53" s="2">
        <f>VLOOKUP(A53,资源索引!$A$2:$F$29,3,FALSE)*VLOOKUP(C53+1,资源索引!$I$1:$J$6,2,FALSE)</f>
        <v>70000</v>
      </c>
      <c r="J53" s="2">
        <f>SUM(I$52:I53)</f>
        <v>110000</v>
      </c>
      <c r="K53" s="2">
        <f>VLOOKUP(A53,资源索引!$A$2:$F$29,4,FALSE)*VLOOKUP(C53+1,资源索引!$I$1:$J$6,2,FALSE)</f>
        <v>70000</v>
      </c>
      <c r="L53" s="2">
        <f>SUM(K$52:K53)</f>
        <v>110000</v>
      </c>
      <c r="M53" s="2">
        <f>VLOOKUP(A53,资源索引!$A$2:$F$29,5,FALSE)*VLOOKUP(C53+1,资源索引!$I$1:$J$6,2,FALSE)</f>
        <v>70000</v>
      </c>
      <c r="N53" s="2">
        <f>SUM(M$52:M53)</f>
        <v>110000</v>
      </c>
      <c r="O53" s="2">
        <f>VLOOKUP(A53,资源索引!$A$2:$F$29,6,FALSE)*VLOOKUP(C53+1,资源索引!$I$1:$J$6,2,FALSE)</f>
        <v>70000</v>
      </c>
      <c r="P53" s="2">
        <f>SUM(O$52:O53)</f>
        <v>110000</v>
      </c>
      <c r="Q53" s="2">
        <v>2</v>
      </c>
      <c r="R53" s="2">
        <v>0</v>
      </c>
      <c r="S53" s="2">
        <v>0</v>
      </c>
      <c r="T53" s="2">
        <v>0</v>
      </c>
      <c r="U53" s="2">
        <v>2</v>
      </c>
      <c r="V53" s="2">
        <v>0</v>
      </c>
      <c r="W53" s="4" t="s">
        <v>434</v>
      </c>
      <c r="X53" s="4"/>
      <c r="Z53" s="2">
        <v>240</v>
      </c>
      <c r="AA53" s="2">
        <v>0</v>
      </c>
      <c r="AB53" s="2">
        <v>0</v>
      </c>
      <c r="AC53" s="2">
        <v>0</v>
      </c>
      <c r="AD53" s="2">
        <v>0</v>
      </c>
      <c r="AE53" s="2">
        <v>1028</v>
      </c>
      <c r="AF53" s="2">
        <v>1068</v>
      </c>
      <c r="AG53" s="2">
        <v>361</v>
      </c>
      <c r="AH53" s="2">
        <v>362</v>
      </c>
      <c r="AI53" s="2">
        <v>363</v>
      </c>
      <c r="AJ53" s="2">
        <v>0</v>
      </c>
      <c r="AK53" s="2" t="s">
        <v>433</v>
      </c>
    </row>
    <row r="54" spans="1:37" s="2" customFormat="1" x14ac:dyDescent="0.15">
      <c r="A54" s="2">
        <v>9</v>
      </c>
      <c r="B54" s="2" t="s">
        <v>432</v>
      </c>
      <c r="C54" s="2">
        <v>2</v>
      </c>
      <c r="D54" s="2">
        <v>5</v>
      </c>
      <c r="E54" s="2">
        <v>1</v>
      </c>
      <c r="F54" s="2">
        <v>130</v>
      </c>
      <c r="G54" s="2">
        <f>VLOOKUP(A54,资源索引!$A$2:$F$29,2,FALSE)*VLOOKUP(C54+1,资源索引!$I$1:$J$6,2,FALSE)</f>
        <v>130000</v>
      </c>
      <c r="H54" s="2">
        <f>SUM(G$52:G54)</f>
        <v>240000</v>
      </c>
      <c r="I54" s="2">
        <f>VLOOKUP(A54,资源索引!$A$2:$F$29,3,FALSE)*VLOOKUP(C54+1,资源索引!$I$1:$J$6,2,FALSE)</f>
        <v>130000</v>
      </c>
      <c r="J54" s="2">
        <f>SUM(I$52:I54)</f>
        <v>240000</v>
      </c>
      <c r="K54" s="2">
        <f>VLOOKUP(A54,资源索引!$A$2:$F$29,4,FALSE)*VLOOKUP(C54+1,资源索引!$I$1:$J$6,2,FALSE)</f>
        <v>130000</v>
      </c>
      <c r="L54" s="2">
        <f>SUM(K$52:K54)</f>
        <v>240000</v>
      </c>
      <c r="M54" s="2">
        <f>VLOOKUP(A54,资源索引!$A$2:$F$29,5,FALSE)*VLOOKUP(C54+1,资源索引!$I$1:$J$6,2,FALSE)</f>
        <v>130000</v>
      </c>
      <c r="N54" s="2">
        <f>SUM(M$52:M54)</f>
        <v>240000</v>
      </c>
      <c r="O54" s="2">
        <f>VLOOKUP(A54,资源索引!$A$2:$F$29,6,FALSE)*VLOOKUP(C54+1,资源索引!$I$1:$J$6,2,FALSE)</f>
        <v>130000</v>
      </c>
      <c r="P54" s="2">
        <f>SUM(O$52:O54)</f>
        <v>240000</v>
      </c>
      <c r="Q54" s="2">
        <v>2</v>
      </c>
      <c r="R54" s="2">
        <v>0</v>
      </c>
      <c r="S54" s="2">
        <v>0</v>
      </c>
      <c r="T54" s="2">
        <v>0</v>
      </c>
      <c r="U54" s="2">
        <v>3</v>
      </c>
      <c r="V54" s="2">
        <v>0</v>
      </c>
      <c r="W54" s="4" t="s">
        <v>435</v>
      </c>
      <c r="X54" s="4"/>
      <c r="Z54" s="2">
        <v>300</v>
      </c>
      <c r="AA54" s="2">
        <v>0</v>
      </c>
      <c r="AB54" s="2">
        <v>0</v>
      </c>
      <c r="AC54" s="2">
        <v>0</v>
      </c>
      <c r="AD54" s="2">
        <v>0</v>
      </c>
      <c r="AE54" s="2">
        <v>1028</v>
      </c>
      <c r="AF54" s="2">
        <v>1068</v>
      </c>
      <c r="AG54" s="2">
        <v>361</v>
      </c>
      <c r="AH54" s="2">
        <v>362</v>
      </c>
      <c r="AI54" s="2">
        <v>363</v>
      </c>
      <c r="AJ54" s="2">
        <v>0</v>
      </c>
      <c r="AK54" s="2" t="s">
        <v>433</v>
      </c>
    </row>
    <row r="55" spans="1:37" s="2" customFormat="1" x14ac:dyDescent="0.15">
      <c r="A55" s="2">
        <v>9</v>
      </c>
      <c r="B55" s="2" t="s">
        <v>432</v>
      </c>
      <c r="C55" s="2">
        <v>3</v>
      </c>
      <c r="D55" s="2">
        <v>5</v>
      </c>
      <c r="E55" s="2">
        <v>1</v>
      </c>
      <c r="F55" s="2">
        <v>170</v>
      </c>
      <c r="G55" s="2">
        <f>VLOOKUP(A55,资源索引!$A$2:$F$29,2,FALSE)*VLOOKUP(C55+1,资源索引!$I$1:$J$6,2,FALSE)</f>
        <v>240000</v>
      </c>
      <c r="H55" s="2">
        <f>SUM(G$52:G55)</f>
        <v>480000</v>
      </c>
      <c r="I55" s="2">
        <f>VLOOKUP(A55,资源索引!$A$2:$F$29,3,FALSE)*VLOOKUP(C55+1,资源索引!$I$1:$J$6,2,FALSE)</f>
        <v>240000</v>
      </c>
      <c r="J55" s="2">
        <f>SUM(I$52:I55)</f>
        <v>480000</v>
      </c>
      <c r="K55" s="2">
        <f>VLOOKUP(A55,资源索引!$A$2:$F$29,4,FALSE)*VLOOKUP(C55+1,资源索引!$I$1:$J$6,2,FALSE)</f>
        <v>240000</v>
      </c>
      <c r="L55" s="2">
        <f>SUM(K$52:K55)</f>
        <v>480000</v>
      </c>
      <c r="M55" s="2">
        <f>VLOOKUP(A55,资源索引!$A$2:$F$29,5,FALSE)*VLOOKUP(C55+1,资源索引!$I$1:$J$6,2,FALSE)</f>
        <v>240000</v>
      </c>
      <c r="N55" s="2">
        <f>SUM(M$52:M55)</f>
        <v>480000</v>
      </c>
      <c r="O55" s="2">
        <f>VLOOKUP(A55,资源索引!$A$2:$F$29,6,FALSE)*VLOOKUP(C55+1,资源索引!$I$1:$J$6,2,FALSE)</f>
        <v>240000</v>
      </c>
      <c r="P55" s="2">
        <f>SUM(O$52:O55)</f>
        <v>480000</v>
      </c>
      <c r="Q55" s="2">
        <v>2</v>
      </c>
      <c r="R55" s="2">
        <v>0</v>
      </c>
      <c r="S55" s="2">
        <v>0</v>
      </c>
      <c r="T55" s="2">
        <v>0</v>
      </c>
      <c r="U55" s="2">
        <v>4</v>
      </c>
      <c r="V55" s="2">
        <v>0</v>
      </c>
      <c r="W55" s="4" t="s">
        <v>436</v>
      </c>
      <c r="X55" s="4"/>
      <c r="Z55" s="2">
        <v>360</v>
      </c>
      <c r="AA55" s="2">
        <v>0</v>
      </c>
      <c r="AB55" s="2">
        <v>0</v>
      </c>
      <c r="AC55" s="2">
        <v>0</v>
      </c>
      <c r="AD55" s="2">
        <v>0</v>
      </c>
      <c r="AE55" s="2">
        <v>1028</v>
      </c>
      <c r="AF55" s="2">
        <v>1068</v>
      </c>
      <c r="AG55" s="2">
        <v>364</v>
      </c>
      <c r="AH55" s="2">
        <v>365</v>
      </c>
      <c r="AI55" s="2">
        <v>366</v>
      </c>
      <c r="AJ55" s="2">
        <v>0</v>
      </c>
      <c r="AK55" s="2" t="s">
        <v>433</v>
      </c>
    </row>
    <row r="56" spans="1:37" s="2" customFormat="1" x14ac:dyDescent="0.15">
      <c r="A56" s="2">
        <v>9</v>
      </c>
      <c r="B56" s="2" t="s">
        <v>432</v>
      </c>
      <c r="C56" s="2">
        <v>4</v>
      </c>
      <c r="D56" s="2">
        <v>5</v>
      </c>
      <c r="E56" s="2">
        <v>1</v>
      </c>
      <c r="F56" s="2">
        <v>210</v>
      </c>
      <c r="G56" s="2">
        <f>VLOOKUP(A56,资源索引!$A$2:$F$29,2,FALSE)*VLOOKUP(C56+1,资源索引!$I$1:$J$6,2,FALSE)</f>
        <v>400000</v>
      </c>
      <c r="H56" s="2">
        <f>SUM(G$52:G56)</f>
        <v>880000</v>
      </c>
      <c r="I56" s="2">
        <f>VLOOKUP(A56,资源索引!$A$2:$F$29,3,FALSE)*VLOOKUP(C56+1,资源索引!$I$1:$J$6,2,FALSE)</f>
        <v>400000</v>
      </c>
      <c r="J56" s="2">
        <f>SUM(I$52:I56)</f>
        <v>880000</v>
      </c>
      <c r="K56" s="2">
        <f>VLOOKUP(A56,资源索引!$A$2:$F$29,4,FALSE)*VLOOKUP(C56+1,资源索引!$I$1:$J$6,2,FALSE)</f>
        <v>400000</v>
      </c>
      <c r="L56" s="2">
        <f>SUM(K$52:K56)</f>
        <v>880000</v>
      </c>
      <c r="M56" s="2">
        <f>VLOOKUP(A56,资源索引!$A$2:$F$29,5,FALSE)*VLOOKUP(C56+1,资源索引!$I$1:$J$6,2,FALSE)</f>
        <v>400000</v>
      </c>
      <c r="N56" s="2">
        <f>SUM(M$52:M56)</f>
        <v>880000</v>
      </c>
      <c r="O56" s="2">
        <f>VLOOKUP(A56,资源索引!$A$2:$F$29,6,FALSE)*VLOOKUP(C56+1,资源索引!$I$1:$J$6,2,FALSE)</f>
        <v>400000</v>
      </c>
      <c r="P56" s="2">
        <f>SUM(O$52:O56)</f>
        <v>880000</v>
      </c>
      <c r="Q56" s="2">
        <v>2</v>
      </c>
      <c r="R56" s="2">
        <v>0</v>
      </c>
      <c r="S56" s="2">
        <v>0</v>
      </c>
      <c r="T56" s="2">
        <v>0</v>
      </c>
      <c r="U56" s="2">
        <v>5</v>
      </c>
      <c r="V56" s="2">
        <v>0</v>
      </c>
      <c r="W56" s="4" t="s">
        <v>437</v>
      </c>
      <c r="X56" s="4"/>
      <c r="Z56" s="2">
        <v>420</v>
      </c>
      <c r="AA56" s="2">
        <v>0</v>
      </c>
      <c r="AB56" s="2">
        <v>0</v>
      </c>
      <c r="AC56" s="2">
        <v>0</v>
      </c>
      <c r="AD56" s="2">
        <v>0</v>
      </c>
      <c r="AE56" s="2">
        <v>1028</v>
      </c>
      <c r="AF56" s="2">
        <v>1068</v>
      </c>
      <c r="AG56" s="2">
        <v>364</v>
      </c>
      <c r="AH56" s="2">
        <v>365</v>
      </c>
      <c r="AI56" s="2">
        <v>366</v>
      </c>
      <c r="AJ56" s="2">
        <v>0</v>
      </c>
      <c r="AK56" s="2" t="s">
        <v>433</v>
      </c>
    </row>
    <row r="57" spans="1:37" s="2" customFormat="1" x14ac:dyDescent="0.15">
      <c r="A57" s="2">
        <v>9</v>
      </c>
      <c r="B57" s="2" t="s">
        <v>432</v>
      </c>
      <c r="C57" s="2">
        <v>5</v>
      </c>
      <c r="D57" s="2">
        <v>5</v>
      </c>
      <c r="E57" s="2">
        <v>1</v>
      </c>
      <c r="F57" s="2">
        <v>250</v>
      </c>
      <c r="G57" s="2">
        <f>VLOOKUP(A57,资源索引!$A$2:$F$29,2,FALSE)*VLOOKUP(C57+1,资源索引!$I$1:$J$6,2,FALSE)</f>
        <v>720000</v>
      </c>
      <c r="H57" s="2">
        <f>SUM(G$52:G57)</f>
        <v>1600000</v>
      </c>
      <c r="I57" s="2">
        <f>VLOOKUP(A57,资源索引!$A$2:$F$29,3,FALSE)*VLOOKUP(C57+1,资源索引!$I$1:$J$6,2,FALSE)</f>
        <v>720000</v>
      </c>
      <c r="J57" s="2">
        <f>SUM(I$52:I57)</f>
        <v>1600000</v>
      </c>
      <c r="K57" s="2">
        <f>VLOOKUP(A57,资源索引!$A$2:$F$29,4,FALSE)*VLOOKUP(C57+1,资源索引!$I$1:$J$6,2,FALSE)</f>
        <v>720000</v>
      </c>
      <c r="L57" s="2">
        <f>SUM(K$52:K57)</f>
        <v>1600000</v>
      </c>
      <c r="M57" s="2">
        <f>VLOOKUP(A57,资源索引!$A$2:$F$29,5,FALSE)*VLOOKUP(C57+1,资源索引!$I$1:$J$6,2,FALSE)</f>
        <v>720000</v>
      </c>
      <c r="N57" s="2">
        <f>SUM(M$52:M57)</f>
        <v>1600000</v>
      </c>
      <c r="O57" s="2">
        <f>VLOOKUP(A57,资源索引!$A$2:$F$29,6,FALSE)*VLOOKUP(C57+1,资源索引!$I$1:$J$6,2,FALSE)</f>
        <v>720000</v>
      </c>
      <c r="P57" s="2">
        <f>SUM(O$52:O57)</f>
        <v>1600000</v>
      </c>
      <c r="Q57" s="2">
        <v>2</v>
      </c>
      <c r="R57" s="2">
        <v>0</v>
      </c>
      <c r="S57" s="2">
        <v>0</v>
      </c>
      <c r="T57" s="2">
        <v>0</v>
      </c>
      <c r="U57" s="2">
        <v>6</v>
      </c>
      <c r="V57" s="2">
        <v>0</v>
      </c>
      <c r="W57" s="4" t="s">
        <v>438</v>
      </c>
      <c r="X57" s="4"/>
      <c r="Z57" s="2">
        <v>480</v>
      </c>
      <c r="AA57" s="2">
        <v>0</v>
      </c>
      <c r="AB57" s="2">
        <v>0</v>
      </c>
      <c r="AC57" s="2">
        <v>0</v>
      </c>
      <c r="AD57" s="2">
        <v>0</v>
      </c>
      <c r="AE57" s="2">
        <v>1028</v>
      </c>
      <c r="AF57" s="2">
        <v>1068</v>
      </c>
      <c r="AG57" s="2">
        <v>367</v>
      </c>
      <c r="AH57" s="2">
        <v>368</v>
      </c>
      <c r="AI57" s="2">
        <v>369</v>
      </c>
      <c r="AJ57" s="2">
        <v>0</v>
      </c>
      <c r="AK57" s="2" t="s">
        <v>433</v>
      </c>
    </row>
    <row r="58" spans="1:37" s="3" customFormat="1" x14ac:dyDescent="0.15">
      <c r="A58" s="3">
        <v>10</v>
      </c>
      <c r="B58" s="3" t="s">
        <v>439</v>
      </c>
      <c r="C58" s="3">
        <v>0</v>
      </c>
      <c r="D58" s="3">
        <v>5</v>
      </c>
      <c r="E58" s="3">
        <v>1</v>
      </c>
      <c r="F58" s="3">
        <v>50</v>
      </c>
      <c r="G58" s="3">
        <f>VLOOKUP(A58,资源索引!$A$2:$F$29,2,FALSE)*VLOOKUP(C58+1,资源索引!$I$1:$J$6,2,FALSE)</f>
        <v>40000</v>
      </c>
      <c r="H58" s="3">
        <f>SUM(G$58:G58)</f>
        <v>40000</v>
      </c>
      <c r="I58" s="3">
        <f>VLOOKUP(A58,资源索引!$A$2:$F$29,3,FALSE)*VLOOKUP(C58+1,资源索引!$I$1:$J$6,2,FALSE)</f>
        <v>40000</v>
      </c>
      <c r="J58" s="3">
        <f>SUM(I$58:I58)</f>
        <v>40000</v>
      </c>
      <c r="K58" s="3">
        <f>VLOOKUP(A58,资源索引!$A$2:$F$29,4,FALSE)*VLOOKUP(C58+1,资源索引!$I$1:$J$6,2,FALSE)</f>
        <v>40000</v>
      </c>
      <c r="L58" s="3">
        <f>SUM(K$58:K58)</f>
        <v>40000</v>
      </c>
      <c r="M58" s="3">
        <f>VLOOKUP(A58,资源索引!$A$2:$F$29,5,FALSE)*VLOOKUP(C58+1,资源索引!$I$1:$J$6,2,FALSE)</f>
        <v>40000</v>
      </c>
      <c r="N58" s="3">
        <f>SUM(M$58:M58)</f>
        <v>40000</v>
      </c>
      <c r="O58" s="3">
        <f>VLOOKUP(A58,资源索引!$A$2:$F$29,6,FALSE)*VLOOKUP(C58+1,资源索引!$I$1:$J$6,2,FALSE)</f>
        <v>40000</v>
      </c>
      <c r="P58" s="3">
        <f>SUM(O$58:O58)</f>
        <v>40000</v>
      </c>
      <c r="Q58" s="3">
        <v>2</v>
      </c>
      <c r="R58" s="3">
        <v>0</v>
      </c>
      <c r="S58" s="3">
        <v>0</v>
      </c>
      <c r="T58" s="3">
        <v>0</v>
      </c>
      <c r="U58" s="3">
        <v>1</v>
      </c>
      <c r="V58" s="3">
        <v>0</v>
      </c>
      <c r="W58" s="3">
        <v>9945</v>
      </c>
      <c r="Z58" s="3">
        <v>180</v>
      </c>
      <c r="AA58" s="3">
        <v>0</v>
      </c>
      <c r="AB58" s="3">
        <v>0</v>
      </c>
      <c r="AC58" s="3">
        <v>0</v>
      </c>
      <c r="AD58" s="3">
        <v>0</v>
      </c>
      <c r="AE58" s="3">
        <v>1029</v>
      </c>
      <c r="AF58" s="3">
        <v>1069</v>
      </c>
      <c r="AJ58" s="3">
        <v>0</v>
      </c>
      <c r="AK58" s="3" t="s">
        <v>440</v>
      </c>
    </row>
    <row r="59" spans="1:37" s="3" customFormat="1" x14ac:dyDescent="0.15">
      <c r="A59" s="3">
        <v>10</v>
      </c>
      <c r="B59" s="3" t="s">
        <v>439</v>
      </c>
      <c r="C59" s="3">
        <v>1</v>
      </c>
      <c r="D59" s="3">
        <v>5</v>
      </c>
      <c r="E59" s="3">
        <v>1</v>
      </c>
      <c r="F59" s="3">
        <v>90</v>
      </c>
      <c r="G59" s="3">
        <f>VLOOKUP(A59,资源索引!$A$2:$F$29,2,FALSE)*VLOOKUP(C59+1,资源索引!$I$1:$J$6,2,FALSE)</f>
        <v>70000</v>
      </c>
      <c r="H59" s="3">
        <f>SUM(G$58:G59)</f>
        <v>110000</v>
      </c>
      <c r="I59" s="3">
        <f>VLOOKUP(A59,资源索引!$A$2:$F$29,3,FALSE)*VLOOKUP(C59+1,资源索引!$I$1:$J$6,2,FALSE)</f>
        <v>70000</v>
      </c>
      <c r="J59" s="3">
        <f>SUM(I$58:I59)</f>
        <v>110000</v>
      </c>
      <c r="K59" s="3">
        <f>VLOOKUP(A59,资源索引!$A$2:$F$29,4,FALSE)*VLOOKUP(C59+1,资源索引!$I$1:$J$6,2,FALSE)</f>
        <v>70000</v>
      </c>
      <c r="L59" s="3">
        <f>SUM(K$58:K59)</f>
        <v>110000</v>
      </c>
      <c r="M59" s="3">
        <f>VLOOKUP(A59,资源索引!$A$2:$F$29,5,FALSE)*VLOOKUP(C59+1,资源索引!$I$1:$J$6,2,FALSE)</f>
        <v>70000</v>
      </c>
      <c r="N59" s="3">
        <f>SUM(M$58:M59)</f>
        <v>110000</v>
      </c>
      <c r="O59" s="3">
        <f>VLOOKUP(A59,资源索引!$A$2:$F$29,6,FALSE)*VLOOKUP(C59+1,资源索引!$I$1:$J$6,2,FALSE)</f>
        <v>70000</v>
      </c>
      <c r="P59" s="3">
        <f>SUM(O$58:O59)</f>
        <v>110000</v>
      </c>
      <c r="Q59" s="3">
        <v>2</v>
      </c>
      <c r="R59" s="3">
        <v>0</v>
      </c>
      <c r="S59" s="3">
        <v>0</v>
      </c>
      <c r="T59" s="3">
        <v>0</v>
      </c>
      <c r="U59" s="3">
        <v>2</v>
      </c>
      <c r="V59" s="3">
        <v>0</v>
      </c>
      <c r="W59" s="5" t="s">
        <v>441</v>
      </c>
      <c r="X59" s="5"/>
      <c r="Z59" s="3">
        <v>240</v>
      </c>
      <c r="AA59" s="3">
        <v>0</v>
      </c>
      <c r="AB59" s="3">
        <v>0</v>
      </c>
      <c r="AC59" s="3">
        <v>0</v>
      </c>
      <c r="AD59" s="3">
        <v>0</v>
      </c>
      <c r="AE59" s="3">
        <v>1029</v>
      </c>
      <c r="AF59" s="3">
        <v>1069</v>
      </c>
      <c r="AG59" s="3">
        <v>361</v>
      </c>
      <c r="AH59" s="3">
        <v>362</v>
      </c>
      <c r="AI59" s="3">
        <v>363</v>
      </c>
      <c r="AJ59" s="3">
        <v>0</v>
      </c>
      <c r="AK59" s="3" t="s">
        <v>440</v>
      </c>
    </row>
    <row r="60" spans="1:37" s="3" customFormat="1" x14ac:dyDescent="0.15">
      <c r="A60" s="3">
        <v>10</v>
      </c>
      <c r="B60" s="3" t="s">
        <v>439</v>
      </c>
      <c r="C60" s="3">
        <v>2</v>
      </c>
      <c r="D60" s="3">
        <v>5</v>
      </c>
      <c r="E60" s="3">
        <v>1</v>
      </c>
      <c r="F60" s="3">
        <v>130</v>
      </c>
      <c r="G60" s="3">
        <f>VLOOKUP(A60,资源索引!$A$2:$F$29,2,FALSE)*VLOOKUP(C60+1,资源索引!$I$1:$J$6,2,FALSE)</f>
        <v>130000</v>
      </c>
      <c r="H60" s="3">
        <f>SUM(G$58:G60)</f>
        <v>240000</v>
      </c>
      <c r="I60" s="3">
        <f>VLOOKUP(A60,资源索引!$A$2:$F$29,3,FALSE)*VLOOKUP(C60+1,资源索引!$I$1:$J$6,2,FALSE)</f>
        <v>130000</v>
      </c>
      <c r="J60" s="3">
        <f>SUM(I$58:I60)</f>
        <v>240000</v>
      </c>
      <c r="K60" s="3">
        <f>VLOOKUP(A60,资源索引!$A$2:$F$29,4,FALSE)*VLOOKUP(C60+1,资源索引!$I$1:$J$6,2,FALSE)</f>
        <v>130000</v>
      </c>
      <c r="L60" s="3">
        <f>SUM(K$58:K60)</f>
        <v>240000</v>
      </c>
      <c r="M60" s="3">
        <f>VLOOKUP(A60,资源索引!$A$2:$F$29,5,FALSE)*VLOOKUP(C60+1,资源索引!$I$1:$J$6,2,FALSE)</f>
        <v>130000</v>
      </c>
      <c r="N60" s="3">
        <f>SUM(M$58:M60)</f>
        <v>240000</v>
      </c>
      <c r="O60" s="3">
        <f>VLOOKUP(A60,资源索引!$A$2:$F$29,6,FALSE)*VLOOKUP(C60+1,资源索引!$I$1:$J$6,2,FALSE)</f>
        <v>130000</v>
      </c>
      <c r="P60" s="3">
        <f>SUM(O$58:O60)</f>
        <v>240000</v>
      </c>
      <c r="Q60" s="3">
        <v>2</v>
      </c>
      <c r="R60" s="3">
        <v>0</v>
      </c>
      <c r="S60" s="3">
        <v>0</v>
      </c>
      <c r="T60" s="3">
        <v>0</v>
      </c>
      <c r="U60" s="3">
        <v>3</v>
      </c>
      <c r="V60" s="3">
        <v>0</v>
      </c>
      <c r="W60" s="5" t="s">
        <v>442</v>
      </c>
      <c r="X60" s="5"/>
      <c r="Z60" s="3">
        <v>300</v>
      </c>
      <c r="AA60" s="3">
        <v>0</v>
      </c>
      <c r="AB60" s="3">
        <v>0</v>
      </c>
      <c r="AC60" s="3">
        <v>0</v>
      </c>
      <c r="AD60" s="3">
        <v>0</v>
      </c>
      <c r="AE60" s="3">
        <v>1029</v>
      </c>
      <c r="AF60" s="3">
        <v>1069</v>
      </c>
      <c r="AG60" s="3">
        <v>361</v>
      </c>
      <c r="AH60" s="3">
        <v>362</v>
      </c>
      <c r="AI60" s="3">
        <v>363</v>
      </c>
      <c r="AJ60" s="3">
        <v>0</v>
      </c>
      <c r="AK60" s="3" t="s">
        <v>440</v>
      </c>
    </row>
    <row r="61" spans="1:37" s="3" customFormat="1" x14ac:dyDescent="0.15">
      <c r="A61" s="3">
        <v>10</v>
      </c>
      <c r="B61" s="3" t="s">
        <v>439</v>
      </c>
      <c r="C61" s="3">
        <v>3</v>
      </c>
      <c r="D61" s="3">
        <v>5</v>
      </c>
      <c r="E61" s="3">
        <v>1</v>
      </c>
      <c r="F61" s="3">
        <v>170</v>
      </c>
      <c r="G61" s="3">
        <f>VLOOKUP(A61,资源索引!$A$2:$F$29,2,FALSE)*VLOOKUP(C61+1,资源索引!$I$1:$J$6,2,FALSE)</f>
        <v>240000</v>
      </c>
      <c r="H61" s="3">
        <f>SUM(G$58:G61)</f>
        <v>480000</v>
      </c>
      <c r="I61" s="3">
        <f>VLOOKUP(A61,资源索引!$A$2:$F$29,3,FALSE)*VLOOKUP(C61+1,资源索引!$I$1:$J$6,2,FALSE)</f>
        <v>240000</v>
      </c>
      <c r="J61" s="3">
        <f>SUM(I$58:I61)</f>
        <v>480000</v>
      </c>
      <c r="K61" s="3">
        <f>VLOOKUP(A61,资源索引!$A$2:$F$29,4,FALSE)*VLOOKUP(C61+1,资源索引!$I$1:$J$6,2,FALSE)</f>
        <v>240000</v>
      </c>
      <c r="L61" s="3">
        <f>SUM(K$58:K61)</f>
        <v>480000</v>
      </c>
      <c r="M61" s="3">
        <f>VLOOKUP(A61,资源索引!$A$2:$F$29,5,FALSE)*VLOOKUP(C61+1,资源索引!$I$1:$J$6,2,FALSE)</f>
        <v>240000</v>
      </c>
      <c r="N61" s="3">
        <f>SUM(M$58:M61)</f>
        <v>480000</v>
      </c>
      <c r="O61" s="3">
        <f>VLOOKUP(A61,资源索引!$A$2:$F$29,6,FALSE)*VLOOKUP(C61+1,资源索引!$I$1:$J$6,2,FALSE)</f>
        <v>240000</v>
      </c>
      <c r="P61" s="3">
        <f>SUM(O$58:O61)</f>
        <v>480000</v>
      </c>
      <c r="Q61" s="3">
        <v>2</v>
      </c>
      <c r="R61" s="3">
        <v>0</v>
      </c>
      <c r="S61" s="3">
        <v>0</v>
      </c>
      <c r="T61" s="3">
        <v>0</v>
      </c>
      <c r="U61" s="3">
        <v>4</v>
      </c>
      <c r="V61" s="3">
        <v>0</v>
      </c>
      <c r="W61" s="5" t="s">
        <v>443</v>
      </c>
      <c r="X61" s="5"/>
      <c r="Z61" s="3">
        <v>360</v>
      </c>
      <c r="AA61" s="3">
        <v>0</v>
      </c>
      <c r="AB61" s="3">
        <v>0</v>
      </c>
      <c r="AC61" s="3">
        <v>0</v>
      </c>
      <c r="AD61" s="3">
        <v>0</v>
      </c>
      <c r="AE61" s="3">
        <v>1029</v>
      </c>
      <c r="AF61" s="3">
        <v>1069</v>
      </c>
      <c r="AG61" s="3">
        <v>364</v>
      </c>
      <c r="AH61" s="3">
        <v>365</v>
      </c>
      <c r="AI61" s="3">
        <v>366</v>
      </c>
      <c r="AJ61" s="3">
        <v>0</v>
      </c>
      <c r="AK61" s="3" t="s">
        <v>440</v>
      </c>
    </row>
    <row r="62" spans="1:37" s="3" customFormat="1" x14ac:dyDescent="0.15">
      <c r="A62" s="3">
        <v>10</v>
      </c>
      <c r="B62" s="3" t="s">
        <v>439</v>
      </c>
      <c r="C62" s="3">
        <v>4</v>
      </c>
      <c r="D62" s="3">
        <v>5</v>
      </c>
      <c r="E62" s="3">
        <v>1</v>
      </c>
      <c r="F62" s="3">
        <v>210</v>
      </c>
      <c r="G62" s="3">
        <f>VLOOKUP(A62,资源索引!$A$2:$F$29,2,FALSE)*VLOOKUP(C62+1,资源索引!$I$1:$J$6,2,FALSE)</f>
        <v>400000</v>
      </c>
      <c r="H62" s="3">
        <f>SUM(G$58:G62)</f>
        <v>880000</v>
      </c>
      <c r="I62" s="3">
        <f>VLOOKUP(A62,资源索引!$A$2:$F$29,3,FALSE)*VLOOKUP(C62+1,资源索引!$I$1:$J$6,2,FALSE)</f>
        <v>400000</v>
      </c>
      <c r="J62" s="3">
        <f>SUM(I$58:I62)</f>
        <v>880000</v>
      </c>
      <c r="K62" s="3">
        <f>VLOOKUP(A62,资源索引!$A$2:$F$29,4,FALSE)*VLOOKUP(C62+1,资源索引!$I$1:$J$6,2,FALSE)</f>
        <v>400000</v>
      </c>
      <c r="L62" s="3">
        <f>SUM(K$58:K62)</f>
        <v>880000</v>
      </c>
      <c r="M62" s="3">
        <f>VLOOKUP(A62,资源索引!$A$2:$F$29,5,FALSE)*VLOOKUP(C62+1,资源索引!$I$1:$J$6,2,FALSE)</f>
        <v>400000</v>
      </c>
      <c r="N62" s="3">
        <f>SUM(M$58:M62)</f>
        <v>880000</v>
      </c>
      <c r="O62" s="3">
        <f>VLOOKUP(A62,资源索引!$A$2:$F$29,6,FALSE)*VLOOKUP(C62+1,资源索引!$I$1:$J$6,2,FALSE)</f>
        <v>400000</v>
      </c>
      <c r="P62" s="3">
        <f>SUM(O$58:O62)</f>
        <v>880000</v>
      </c>
      <c r="Q62" s="3">
        <v>2</v>
      </c>
      <c r="R62" s="3">
        <v>0</v>
      </c>
      <c r="S62" s="3">
        <v>0</v>
      </c>
      <c r="T62" s="3">
        <v>0</v>
      </c>
      <c r="U62" s="3">
        <v>5</v>
      </c>
      <c r="V62" s="3">
        <v>0</v>
      </c>
      <c r="W62" s="5" t="s">
        <v>444</v>
      </c>
      <c r="X62" s="5"/>
      <c r="Z62" s="3">
        <v>420</v>
      </c>
      <c r="AA62" s="3">
        <v>0</v>
      </c>
      <c r="AB62" s="3">
        <v>0</v>
      </c>
      <c r="AC62" s="3">
        <v>0</v>
      </c>
      <c r="AD62" s="3">
        <v>0</v>
      </c>
      <c r="AE62" s="3">
        <v>1029</v>
      </c>
      <c r="AF62" s="3">
        <v>1069</v>
      </c>
      <c r="AG62" s="3">
        <v>364</v>
      </c>
      <c r="AH62" s="3">
        <v>365</v>
      </c>
      <c r="AI62" s="3">
        <v>366</v>
      </c>
      <c r="AJ62" s="3">
        <v>0</v>
      </c>
      <c r="AK62" s="3" t="s">
        <v>440</v>
      </c>
    </row>
    <row r="63" spans="1:37" s="3" customFormat="1" x14ac:dyDescent="0.15">
      <c r="A63" s="3">
        <v>10</v>
      </c>
      <c r="B63" s="3" t="s">
        <v>439</v>
      </c>
      <c r="C63" s="3">
        <v>5</v>
      </c>
      <c r="D63" s="3">
        <v>5</v>
      </c>
      <c r="E63" s="3">
        <v>1</v>
      </c>
      <c r="F63" s="3">
        <v>250</v>
      </c>
      <c r="G63" s="3">
        <f>VLOOKUP(A63,资源索引!$A$2:$F$29,2,FALSE)*VLOOKUP(C63+1,资源索引!$I$1:$J$6,2,FALSE)</f>
        <v>720000</v>
      </c>
      <c r="H63" s="3">
        <f>SUM(G$58:G63)</f>
        <v>1600000</v>
      </c>
      <c r="I63" s="3">
        <f>VLOOKUP(A63,资源索引!$A$2:$F$29,3,FALSE)*VLOOKUP(C63+1,资源索引!$I$1:$J$6,2,FALSE)</f>
        <v>720000</v>
      </c>
      <c r="J63" s="3">
        <f>SUM(I$58:I63)</f>
        <v>1600000</v>
      </c>
      <c r="K63" s="3">
        <f>VLOOKUP(A63,资源索引!$A$2:$F$29,4,FALSE)*VLOOKUP(C63+1,资源索引!$I$1:$J$6,2,FALSE)</f>
        <v>720000</v>
      </c>
      <c r="L63" s="3">
        <f>SUM(K$58:K63)</f>
        <v>1600000</v>
      </c>
      <c r="M63" s="3">
        <f>VLOOKUP(A63,资源索引!$A$2:$F$29,5,FALSE)*VLOOKUP(C63+1,资源索引!$I$1:$J$6,2,FALSE)</f>
        <v>720000</v>
      </c>
      <c r="N63" s="3">
        <f>SUM(M$58:M63)</f>
        <v>1600000</v>
      </c>
      <c r="O63" s="3">
        <f>VLOOKUP(A63,资源索引!$A$2:$F$29,6,FALSE)*VLOOKUP(C63+1,资源索引!$I$1:$J$6,2,FALSE)</f>
        <v>720000</v>
      </c>
      <c r="P63" s="3">
        <f>SUM(O$58:O63)</f>
        <v>1600000</v>
      </c>
      <c r="Q63" s="3">
        <v>2</v>
      </c>
      <c r="R63" s="3">
        <v>0</v>
      </c>
      <c r="S63" s="3">
        <v>0</v>
      </c>
      <c r="T63" s="3">
        <v>0</v>
      </c>
      <c r="U63" s="3">
        <v>6</v>
      </c>
      <c r="V63" s="3">
        <v>0</v>
      </c>
      <c r="W63" s="5" t="s">
        <v>445</v>
      </c>
      <c r="X63" s="5"/>
      <c r="Z63" s="3">
        <v>480</v>
      </c>
      <c r="AA63" s="3">
        <v>0</v>
      </c>
      <c r="AB63" s="3">
        <v>0</v>
      </c>
      <c r="AC63" s="3">
        <v>0</v>
      </c>
      <c r="AD63" s="3">
        <v>0</v>
      </c>
      <c r="AE63" s="3">
        <v>1029</v>
      </c>
      <c r="AF63" s="3">
        <v>1069</v>
      </c>
      <c r="AG63" s="3">
        <v>367</v>
      </c>
      <c r="AH63" s="3">
        <v>368</v>
      </c>
      <c r="AI63" s="3">
        <v>369</v>
      </c>
      <c r="AJ63" s="3">
        <v>0</v>
      </c>
      <c r="AK63" s="3" t="s">
        <v>440</v>
      </c>
    </row>
    <row r="64" spans="1:37" s="2" customFormat="1" x14ac:dyDescent="0.15">
      <c r="A64" s="2">
        <v>11</v>
      </c>
      <c r="B64" s="2" t="s">
        <v>446</v>
      </c>
      <c r="C64" s="2">
        <v>0</v>
      </c>
      <c r="D64" s="2">
        <v>5</v>
      </c>
      <c r="E64" s="2">
        <v>1</v>
      </c>
      <c r="F64" s="2">
        <v>50</v>
      </c>
      <c r="G64" s="2">
        <f>VLOOKUP(A64,资源索引!$A$2:$F$29,2,FALSE)*VLOOKUP(C64+1,资源索引!$I$1:$J$6,2,FALSE)</f>
        <v>40000</v>
      </c>
      <c r="H64" s="2">
        <f>SUM(G$64:G64)</f>
        <v>40000</v>
      </c>
      <c r="I64" s="2">
        <f>VLOOKUP(A64,资源索引!$A$2:$F$29,3,FALSE)*VLOOKUP(C64+1,资源索引!$I$1:$J$6,2,FALSE)</f>
        <v>40000</v>
      </c>
      <c r="J64" s="2">
        <f>SUM(I$64:I64)</f>
        <v>40000</v>
      </c>
      <c r="K64" s="2">
        <f>VLOOKUP(A64,资源索引!$A$2:$F$29,4,FALSE)*VLOOKUP(C64+1,资源索引!$I$1:$J$6,2,FALSE)</f>
        <v>40000</v>
      </c>
      <c r="L64" s="2">
        <f>SUM(K$64:K64)</f>
        <v>40000</v>
      </c>
      <c r="M64" s="2">
        <f>VLOOKUP(A64,资源索引!$A$2:$F$29,5,FALSE)*VLOOKUP(C64+1,资源索引!$I$1:$J$6,2,FALSE)</f>
        <v>40000</v>
      </c>
      <c r="N64" s="2">
        <f>SUM(M$64:M64)</f>
        <v>40000</v>
      </c>
      <c r="O64" s="2">
        <f>VLOOKUP(A64,资源索引!$A$2:$F$29,6,FALSE)*VLOOKUP(C64+1,资源索引!$I$1:$J$6,2,FALSE)</f>
        <v>40000</v>
      </c>
      <c r="P64" s="2">
        <f>SUM(O$64:O64)</f>
        <v>40000</v>
      </c>
      <c r="Q64" s="2">
        <v>2</v>
      </c>
      <c r="R64" s="2">
        <v>0</v>
      </c>
      <c r="S64" s="2">
        <v>0</v>
      </c>
      <c r="T64" s="2">
        <v>0</v>
      </c>
      <c r="U64" s="2">
        <v>1</v>
      </c>
      <c r="V64" s="2">
        <v>0</v>
      </c>
      <c r="W64" s="2">
        <v>9945</v>
      </c>
      <c r="Z64" s="2">
        <v>180</v>
      </c>
      <c r="AA64" s="2">
        <v>0</v>
      </c>
      <c r="AB64" s="2">
        <v>0</v>
      </c>
      <c r="AC64" s="2">
        <v>0</v>
      </c>
      <c r="AD64" s="2">
        <v>0</v>
      </c>
      <c r="AE64" s="2">
        <v>1030</v>
      </c>
      <c r="AF64" s="2">
        <v>1070</v>
      </c>
      <c r="AJ64" s="2">
        <v>0</v>
      </c>
      <c r="AK64" s="2" t="s">
        <v>447</v>
      </c>
    </row>
    <row r="65" spans="1:37" s="2" customFormat="1" x14ac:dyDescent="0.15">
      <c r="A65" s="2">
        <v>11</v>
      </c>
      <c r="B65" s="2" t="s">
        <v>446</v>
      </c>
      <c r="C65" s="2">
        <v>1</v>
      </c>
      <c r="D65" s="2">
        <v>5</v>
      </c>
      <c r="E65" s="2">
        <v>1</v>
      </c>
      <c r="F65" s="2">
        <v>90</v>
      </c>
      <c r="G65" s="2">
        <f>VLOOKUP(A65,资源索引!$A$2:$F$29,2,FALSE)*VLOOKUP(C65+1,资源索引!$I$1:$J$6,2,FALSE)</f>
        <v>70000</v>
      </c>
      <c r="H65" s="2">
        <f>SUM(G$64:G65)</f>
        <v>110000</v>
      </c>
      <c r="I65" s="2">
        <f>VLOOKUP(A65,资源索引!$A$2:$F$29,3,FALSE)*VLOOKUP(C65+1,资源索引!$I$1:$J$6,2,FALSE)</f>
        <v>70000</v>
      </c>
      <c r="J65" s="2">
        <f>SUM(I$64:I65)</f>
        <v>110000</v>
      </c>
      <c r="K65" s="2">
        <f>VLOOKUP(A65,资源索引!$A$2:$F$29,4,FALSE)*VLOOKUP(C65+1,资源索引!$I$1:$J$6,2,FALSE)</f>
        <v>70000</v>
      </c>
      <c r="L65" s="2">
        <f>SUM(K$64:K65)</f>
        <v>110000</v>
      </c>
      <c r="M65" s="2">
        <f>VLOOKUP(A65,资源索引!$A$2:$F$29,5,FALSE)*VLOOKUP(C65+1,资源索引!$I$1:$J$6,2,FALSE)</f>
        <v>70000</v>
      </c>
      <c r="N65" s="2">
        <f>SUM(M$64:M65)</f>
        <v>110000</v>
      </c>
      <c r="O65" s="2">
        <f>VLOOKUP(A65,资源索引!$A$2:$F$29,6,FALSE)*VLOOKUP(C65+1,资源索引!$I$1:$J$6,2,FALSE)</f>
        <v>70000</v>
      </c>
      <c r="P65" s="2">
        <f>SUM(O$64:O65)</f>
        <v>110000</v>
      </c>
      <c r="Q65" s="2">
        <v>2</v>
      </c>
      <c r="R65" s="2">
        <v>0</v>
      </c>
      <c r="S65" s="2">
        <v>0</v>
      </c>
      <c r="T65" s="2">
        <v>0</v>
      </c>
      <c r="U65" s="2">
        <v>2</v>
      </c>
      <c r="V65" s="2">
        <v>0</v>
      </c>
      <c r="W65" s="4" t="s">
        <v>448</v>
      </c>
      <c r="X65" s="4"/>
      <c r="Z65" s="2">
        <v>240</v>
      </c>
      <c r="AA65" s="2">
        <v>0</v>
      </c>
      <c r="AB65" s="2">
        <v>0</v>
      </c>
      <c r="AC65" s="2">
        <v>0</v>
      </c>
      <c r="AD65" s="2">
        <v>0</v>
      </c>
      <c r="AE65" s="2">
        <v>1030</v>
      </c>
      <c r="AF65" s="2">
        <v>1070</v>
      </c>
      <c r="AG65" s="2">
        <v>361</v>
      </c>
      <c r="AH65" s="2">
        <v>362</v>
      </c>
      <c r="AI65" s="2">
        <v>363</v>
      </c>
      <c r="AJ65" s="2">
        <v>0</v>
      </c>
      <c r="AK65" s="2" t="s">
        <v>447</v>
      </c>
    </row>
    <row r="66" spans="1:37" s="2" customFormat="1" x14ac:dyDescent="0.15">
      <c r="A66" s="2">
        <v>11</v>
      </c>
      <c r="B66" s="2" t="s">
        <v>446</v>
      </c>
      <c r="C66" s="2">
        <v>2</v>
      </c>
      <c r="D66" s="2">
        <v>5</v>
      </c>
      <c r="E66" s="2">
        <v>1</v>
      </c>
      <c r="F66" s="2">
        <v>130</v>
      </c>
      <c r="G66" s="2">
        <f>VLOOKUP(A66,资源索引!$A$2:$F$29,2,FALSE)*VLOOKUP(C66+1,资源索引!$I$1:$J$6,2,FALSE)</f>
        <v>130000</v>
      </c>
      <c r="H66" s="2">
        <f>SUM(G$64:G66)</f>
        <v>240000</v>
      </c>
      <c r="I66" s="2">
        <f>VLOOKUP(A66,资源索引!$A$2:$F$29,3,FALSE)*VLOOKUP(C66+1,资源索引!$I$1:$J$6,2,FALSE)</f>
        <v>130000</v>
      </c>
      <c r="J66" s="2">
        <f>SUM(I$64:I66)</f>
        <v>240000</v>
      </c>
      <c r="K66" s="2">
        <f>VLOOKUP(A66,资源索引!$A$2:$F$29,4,FALSE)*VLOOKUP(C66+1,资源索引!$I$1:$J$6,2,FALSE)</f>
        <v>130000</v>
      </c>
      <c r="L66" s="2">
        <f>SUM(K$64:K66)</f>
        <v>240000</v>
      </c>
      <c r="M66" s="2">
        <f>VLOOKUP(A66,资源索引!$A$2:$F$29,5,FALSE)*VLOOKUP(C66+1,资源索引!$I$1:$J$6,2,FALSE)</f>
        <v>130000</v>
      </c>
      <c r="N66" s="2">
        <f>SUM(M$64:M66)</f>
        <v>240000</v>
      </c>
      <c r="O66" s="2">
        <f>VLOOKUP(A66,资源索引!$A$2:$F$29,6,FALSE)*VLOOKUP(C66+1,资源索引!$I$1:$J$6,2,FALSE)</f>
        <v>130000</v>
      </c>
      <c r="P66" s="2">
        <f>SUM(O$64:O66)</f>
        <v>240000</v>
      </c>
      <c r="Q66" s="2">
        <v>2</v>
      </c>
      <c r="R66" s="2">
        <v>0</v>
      </c>
      <c r="S66" s="2">
        <v>0</v>
      </c>
      <c r="T66" s="2">
        <v>0</v>
      </c>
      <c r="U66" s="2">
        <v>3</v>
      </c>
      <c r="V66" s="2">
        <v>0</v>
      </c>
      <c r="W66" s="4" t="s">
        <v>449</v>
      </c>
      <c r="X66" s="4"/>
      <c r="Z66" s="2">
        <v>300</v>
      </c>
      <c r="AA66" s="2">
        <v>0</v>
      </c>
      <c r="AB66" s="2">
        <v>0</v>
      </c>
      <c r="AC66" s="2">
        <v>0</v>
      </c>
      <c r="AD66" s="2">
        <v>0</v>
      </c>
      <c r="AE66" s="2">
        <v>1030</v>
      </c>
      <c r="AF66" s="2">
        <v>1070</v>
      </c>
      <c r="AG66" s="2">
        <v>361</v>
      </c>
      <c r="AH66" s="2">
        <v>362</v>
      </c>
      <c r="AI66" s="2">
        <v>363</v>
      </c>
      <c r="AJ66" s="2">
        <v>0</v>
      </c>
      <c r="AK66" s="2" t="s">
        <v>447</v>
      </c>
    </row>
    <row r="67" spans="1:37" s="2" customFormat="1" x14ac:dyDescent="0.15">
      <c r="A67" s="2">
        <v>11</v>
      </c>
      <c r="B67" s="2" t="s">
        <v>446</v>
      </c>
      <c r="C67" s="2">
        <v>3</v>
      </c>
      <c r="D67" s="2">
        <v>5</v>
      </c>
      <c r="E67" s="2">
        <v>1</v>
      </c>
      <c r="F67" s="2">
        <v>170</v>
      </c>
      <c r="G67" s="2">
        <f>VLOOKUP(A67,资源索引!$A$2:$F$29,2,FALSE)*VLOOKUP(C67+1,资源索引!$I$1:$J$6,2,FALSE)</f>
        <v>240000</v>
      </c>
      <c r="H67" s="2">
        <f>SUM(G$64:G67)</f>
        <v>480000</v>
      </c>
      <c r="I67" s="2">
        <f>VLOOKUP(A67,资源索引!$A$2:$F$29,3,FALSE)*VLOOKUP(C67+1,资源索引!$I$1:$J$6,2,FALSE)</f>
        <v>240000</v>
      </c>
      <c r="J67" s="2">
        <f>SUM(I$64:I67)</f>
        <v>480000</v>
      </c>
      <c r="K67" s="2">
        <f>VLOOKUP(A67,资源索引!$A$2:$F$29,4,FALSE)*VLOOKUP(C67+1,资源索引!$I$1:$J$6,2,FALSE)</f>
        <v>240000</v>
      </c>
      <c r="L67" s="2">
        <f>SUM(K$64:K67)</f>
        <v>480000</v>
      </c>
      <c r="M67" s="2">
        <f>VLOOKUP(A67,资源索引!$A$2:$F$29,5,FALSE)*VLOOKUP(C67+1,资源索引!$I$1:$J$6,2,FALSE)</f>
        <v>240000</v>
      </c>
      <c r="N67" s="2">
        <f>SUM(M$64:M67)</f>
        <v>480000</v>
      </c>
      <c r="O67" s="2">
        <f>VLOOKUP(A67,资源索引!$A$2:$F$29,6,FALSE)*VLOOKUP(C67+1,资源索引!$I$1:$J$6,2,FALSE)</f>
        <v>240000</v>
      </c>
      <c r="P67" s="2">
        <f>SUM(O$64:O67)</f>
        <v>480000</v>
      </c>
      <c r="Q67" s="2">
        <v>2</v>
      </c>
      <c r="R67" s="2">
        <v>0</v>
      </c>
      <c r="S67" s="2">
        <v>0</v>
      </c>
      <c r="T67" s="2">
        <v>0</v>
      </c>
      <c r="U67" s="2">
        <v>4</v>
      </c>
      <c r="V67" s="2">
        <v>0</v>
      </c>
      <c r="W67" s="4" t="s">
        <v>450</v>
      </c>
      <c r="X67" s="4"/>
      <c r="Z67" s="2">
        <v>360</v>
      </c>
      <c r="AA67" s="2">
        <v>0</v>
      </c>
      <c r="AB67" s="2">
        <v>0</v>
      </c>
      <c r="AC67" s="2">
        <v>0</v>
      </c>
      <c r="AD67" s="2">
        <v>0</v>
      </c>
      <c r="AE67" s="2">
        <v>1030</v>
      </c>
      <c r="AF67" s="2">
        <v>1070</v>
      </c>
      <c r="AG67" s="2">
        <v>364</v>
      </c>
      <c r="AH67" s="2">
        <v>365</v>
      </c>
      <c r="AI67" s="2">
        <v>366</v>
      </c>
      <c r="AJ67" s="2">
        <v>0</v>
      </c>
      <c r="AK67" s="2" t="s">
        <v>447</v>
      </c>
    </row>
    <row r="68" spans="1:37" s="2" customFormat="1" x14ac:dyDescent="0.15">
      <c r="A68" s="2">
        <v>11</v>
      </c>
      <c r="B68" s="2" t="s">
        <v>446</v>
      </c>
      <c r="C68" s="2">
        <v>4</v>
      </c>
      <c r="D68" s="2">
        <v>5</v>
      </c>
      <c r="E68" s="2">
        <v>1</v>
      </c>
      <c r="F68" s="2">
        <v>210</v>
      </c>
      <c r="G68" s="2">
        <f>VLOOKUP(A68,资源索引!$A$2:$F$29,2,FALSE)*VLOOKUP(C68+1,资源索引!$I$1:$J$6,2,FALSE)</f>
        <v>400000</v>
      </c>
      <c r="H68" s="2">
        <f>SUM(G$64:G68)</f>
        <v>880000</v>
      </c>
      <c r="I68" s="2">
        <f>VLOOKUP(A68,资源索引!$A$2:$F$29,3,FALSE)*VLOOKUP(C68+1,资源索引!$I$1:$J$6,2,FALSE)</f>
        <v>400000</v>
      </c>
      <c r="J68" s="2">
        <f>SUM(I$64:I68)</f>
        <v>880000</v>
      </c>
      <c r="K68" s="2">
        <f>VLOOKUP(A68,资源索引!$A$2:$F$29,4,FALSE)*VLOOKUP(C68+1,资源索引!$I$1:$J$6,2,FALSE)</f>
        <v>400000</v>
      </c>
      <c r="L68" s="2">
        <f>SUM(K$64:K68)</f>
        <v>880000</v>
      </c>
      <c r="M68" s="2">
        <f>VLOOKUP(A68,资源索引!$A$2:$F$29,5,FALSE)*VLOOKUP(C68+1,资源索引!$I$1:$J$6,2,FALSE)</f>
        <v>400000</v>
      </c>
      <c r="N68" s="2">
        <f>SUM(M$64:M68)</f>
        <v>880000</v>
      </c>
      <c r="O68" s="2">
        <f>VLOOKUP(A68,资源索引!$A$2:$F$29,6,FALSE)*VLOOKUP(C68+1,资源索引!$I$1:$J$6,2,FALSE)</f>
        <v>400000</v>
      </c>
      <c r="P68" s="2">
        <f>SUM(O$64:O68)</f>
        <v>880000</v>
      </c>
      <c r="Q68" s="2">
        <v>2</v>
      </c>
      <c r="R68" s="2">
        <v>0</v>
      </c>
      <c r="S68" s="2">
        <v>0</v>
      </c>
      <c r="T68" s="2">
        <v>0</v>
      </c>
      <c r="U68" s="2">
        <v>5</v>
      </c>
      <c r="V68" s="2">
        <v>0</v>
      </c>
      <c r="W68" s="4" t="s">
        <v>451</v>
      </c>
      <c r="X68" s="4"/>
      <c r="Z68" s="2">
        <v>420</v>
      </c>
      <c r="AA68" s="2">
        <v>0</v>
      </c>
      <c r="AB68" s="2">
        <v>0</v>
      </c>
      <c r="AC68" s="2">
        <v>0</v>
      </c>
      <c r="AD68" s="2">
        <v>0</v>
      </c>
      <c r="AE68" s="2">
        <v>1030</v>
      </c>
      <c r="AF68" s="2">
        <v>1070</v>
      </c>
      <c r="AG68" s="2">
        <v>364</v>
      </c>
      <c r="AH68" s="2">
        <v>365</v>
      </c>
      <c r="AI68" s="2">
        <v>366</v>
      </c>
      <c r="AJ68" s="2">
        <v>0</v>
      </c>
      <c r="AK68" s="2" t="s">
        <v>447</v>
      </c>
    </row>
    <row r="69" spans="1:37" s="2" customFormat="1" x14ac:dyDescent="0.15">
      <c r="A69" s="2">
        <v>11</v>
      </c>
      <c r="B69" s="2" t="s">
        <v>446</v>
      </c>
      <c r="C69" s="2">
        <v>5</v>
      </c>
      <c r="D69" s="2">
        <v>5</v>
      </c>
      <c r="E69" s="2">
        <v>1</v>
      </c>
      <c r="F69" s="2">
        <v>250</v>
      </c>
      <c r="G69" s="2">
        <f>VLOOKUP(A69,资源索引!$A$2:$F$29,2,FALSE)*VLOOKUP(C69+1,资源索引!$I$1:$J$6,2,FALSE)</f>
        <v>720000</v>
      </c>
      <c r="H69" s="2">
        <f>SUM(G$64:G69)</f>
        <v>1600000</v>
      </c>
      <c r="I69" s="2">
        <f>VLOOKUP(A69,资源索引!$A$2:$F$29,3,FALSE)*VLOOKUP(C69+1,资源索引!$I$1:$J$6,2,FALSE)</f>
        <v>720000</v>
      </c>
      <c r="J69" s="2">
        <f>SUM(I$64:I69)</f>
        <v>1600000</v>
      </c>
      <c r="K69" s="2">
        <f>VLOOKUP(A69,资源索引!$A$2:$F$29,4,FALSE)*VLOOKUP(C69+1,资源索引!$I$1:$J$6,2,FALSE)</f>
        <v>720000</v>
      </c>
      <c r="L69" s="2">
        <f>SUM(K$64:K69)</f>
        <v>1600000</v>
      </c>
      <c r="M69" s="2">
        <f>VLOOKUP(A69,资源索引!$A$2:$F$29,5,FALSE)*VLOOKUP(C69+1,资源索引!$I$1:$J$6,2,FALSE)</f>
        <v>720000</v>
      </c>
      <c r="N69" s="2">
        <f>SUM(M$64:M69)</f>
        <v>1600000</v>
      </c>
      <c r="O69" s="2">
        <f>VLOOKUP(A69,资源索引!$A$2:$F$29,6,FALSE)*VLOOKUP(C69+1,资源索引!$I$1:$J$6,2,FALSE)</f>
        <v>720000</v>
      </c>
      <c r="P69" s="2">
        <f>SUM(O$64:O69)</f>
        <v>1600000</v>
      </c>
      <c r="Q69" s="2">
        <v>2</v>
      </c>
      <c r="R69" s="2">
        <v>0</v>
      </c>
      <c r="S69" s="2">
        <v>0</v>
      </c>
      <c r="T69" s="2">
        <v>0</v>
      </c>
      <c r="U69" s="2">
        <v>6</v>
      </c>
      <c r="V69" s="2">
        <v>0</v>
      </c>
      <c r="W69" s="4" t="s">
        <v>452</v>
      </c>
      <c r="X69" s="4"/>
      <c r="Z69" s="2">
        <v>480</v>
      </c>
      <c r="AA69" s="2">
        <v>0</v>
      </c>
      <c r="AB69" s="2">
        <v>0</v>
      </c>
      <c r="AC69" s="2">
        <v>0</v>
      </c>
      <c r="AD69" s="2">
        <v>0</v>
      </c>
      <c r="AE69" s="2">
        <v>1030</v>
      </c>
      <c r="AF69" s="2">
        <v>1070</v>
      </c>
      <c r="AG69" s="2">
        <v>367</v>
      </c>
      <c r="AH69" s="2">
        <v>368</v>
      </c>
      <c r="AI69" s="2">
        <v>369</v>
      </c>
      <c r="AJ69" s="2">
        <v>0</v>
      </c>
      <c r="AK69" s="2" t="s">
        <v>447</v>
      </c>
    </row>
    <row r="70" spans="1:37" s="3" customFormat="1" x14ac:dyDescent="0.15">
      <c r="A70" s="3">
        <v>12</v>
      </c>
      <c r="B70" s="3" t="s">
        <v>453</v>
      </c>
      <c r="C70" s="3">
        <v>0</v>
      </c>
      <c r="D70" s="3">
        <v>5</v>
      </c>
      <c r="E70" s="3">
        <v>1</v>
      </c>
      <c r="F70" s="3">
        <v>50</v>
      </c>
      <c r="G70" s="3">
        <f>VLOOKUP(A70,资源索引!$A$2:$F$29,2,FALSE)*VLOOKUP(C70+1,资源索引!$I$1:$J$6,2,FALSE)</f>
        <v>80000</v>
      </c>
      <c r="H70" s="3">
        <f>SUM(G$70:G70)</f>
        <v>80000</v>
      </c>
      <c r="I70" s="3">
        <f>VLOOKUP(A70,资源索引!$A$2:$F$29,3,FALSE)*VLOOKUP(C70+1,资源索引!$I$1:$J$6,2,FALSE)</f>
        <v>40000</v>
      </c>
      <c r="J70" s="3">
        <f>SUM(I$70:I70)</f>
        <v>40000</v>
      </c>
      <c r="K70" s="3">
        <f>VLOOKUP(A70,资源索引!$A$2:$F$29,4,FALSE)*VLOOKUP(C70+1,资源索引!$I$1:$J$6,2,FALSE)</f>
        <v>40000</v>
      </c>
      <c r="L70" s="3">
        <f>SUM(K$70:K70)</f>
        <v>40000</v>
      </c>
      <c r="M70" s="3">
        <f>VLOOKUP(A70,资源索引!$A$2:$F$29,5,FALSE)*VLOOKUP(C70+1,资源索引!$I$1:$J$6,2,FALSE)</f>
        <v>40000</v>
      </c>
      <c r="N70" s="3">
        <f>SUM(M$70:M70)</f>
        <v>40000</v>
      </c>
      <c r="O70" s="3">
        <f>VLOOKUP(A70,资源索引!$A$2:$F$29,6,FALSE)*VLOOKUP(C70+1,资源索引!$I$1:$J$6,2,FALSE)</f>
        <v>40000</v>
      </c>
      <c r="P70" s="3">
        <f>SUM(O$70:O70)</f>
        <v>40000</v>
      </c>
      <c r="Q70" s="3">
        <v>2</v>
      </c>
      <c r="R70" s="3">
        <v>0</v>
      </c>
      <c r="S70" s="3">
        <v>9946</v>
      </c>
      <c r="T70" s="3">
        <v>4</v>
      </c>
      <c r="U70" s="3">
        <v>1</v>
      </c>
      <c r="V70" s="3">
        <v>0</v>
      </c>
      <c r="W70" s="3">
        <v>9946</v>
      </c>
      <c r="X70" s="3">
        <v>8595</v>
      </c>
      <c r="Z70" s="2">
        <v>600000</v>
      </c>
      <c r="AA70" s="3">
        <v>0</v>
      </c>
      <c r="AB70" s="3">
        <v>0</v>
      </c>
      <c r="AC70" s="3">
        <v>0</v>
      </c>
      <c r="AD70" s="3">
        <v>0</v>
      </c>
      <c r="AE70" s="3">
        <v>1031</v>
      </c>
      <c r="AF70" s="3">
        <v>1071</v>
      </c>
      <c r="AJ70" s="3">
        <v>0</v>
      </c>
      <c r="AK70" s="3" t="s">
        <v>454</v>
      </c>
    </row>
    <row r="71" spans="1:37" s="3" customFormat="1" x14ac:dyDescent="0.15">
      <c r="A71" s="3">
        <v>12</v>
      </c>
      <c r="B71" s="3" t="s">
        <v>453</v>
      </c>
      <c r="C71" s="3">
        <v>1</v>
      </c>
      <c r="D71" s="3">
        <v>5</v>
      </c>
      <c r="E71" s="3">
        <v>1</v>
      </c>
      <c r="F71" s="3">
        <v>80</v>
      </c>
      <c r="G71" s="3">
        <f>VLOOKUP(A71,资源索引!$A$2:$F$29,2,FALSE)*VLOOKUP(C71+1,资源索引!$I$1:$J$6,2,FALSE)</f>
        <v>140000</v>
      </c>
      <c r="H71" s="3">
        <f>SUM(G$70:G71)</f>
        <v>220000</v>
      </c>
      <c r="I71" s="3">
        <f>VLOOKUP(A71,资源索引!$A$2:$F$29,3,FALSE)*VLOOKUP(C71+1,资源索引!$I$1:$J$6,2,FALSE)</f>
        <v>70000</v>
      </c>
      <c r="J71" s="3">
        <f>SUM(I$70:I71)</f>
        <v>110000</v>
      </c>
      <c r="K71" s="3">
        <f>VLOOKUP(A71,资源索引!$A$2:$F$29,4,FALSE)*VLOOKUP(C71+1,资源索引!$I$1:$J$6,2,FALSE)</f>
        <v>70000</v>
      </c>
      <c r="L71" s="3">
        <f>SUM(K$70:K71)</f>
        <v>110000</v>
      </c>
      <c r="M71" s="3">
        <f>VLOOKUP(A71,资源索引!$A$2:$F$29,5,FALSE)*VLOOKUP(C71+1,资源索引!$I$1:$J$6,2,FALSE)</f>
        <v>70000</v>
      </c>
      <c r="N71" s="3">
        <f>SUM(M$70:M71)</f>
        <v>110000</v>
      </c>
      <c r="O71" s="3">
        <f>VLOOKUP(A71,资源索引!$A$2:$F$29,6,FALSE)*VLOOKUP(C71+1,资源索引!$I$1:$J$6,2,FALSE)</f>
        <v>70000</v>
      </c>
      <c r="P71" s="3">
        <f>SUM(O$70:O71)</f>
        <v>110000</v>
      </c>
      <c r="Q71" s="3">
        <v>2</v>
      </c>
      <c r="R71" s="3">
        <v>0</v>
      </c>
      <c r="S71" s="3">
        <v>9946</v>
      </c>
      <c r="T71" s="3">
        <v>4</v>
      </c>
      <c r="U71" s="3">
        <v>2</v>
      </c>
      <c r="V71" s="3">
        <v>0</v>
      </c>
      <c r="W71" s="3" t="s">
        <v>455</v>
      </c>
      <c r="X71" s="3">
        <v>8595</v>
      </c>
      <c r="Z71" s="2">
        <v>1200000</v>
      </c>
      <c r="AA71" s="3">
        <v>0</v>
      </c>
      <c r="AB71" s="3">
        <v>0</v>
      </c>
      <c r="AC71" s="3">
        <v>0</v>
      </c>
      <c r="AD71" s="3">
        <v>0</v>
      </c>
      <c r="AE71" s="3">
        <v>1031</v>
      </c>
      <c r="AF71" s="3">
        <v>1071</v>
      </c>
      <c r="AG71" s="3">
        <v>370</v>
      </c>
      <c r="AH71" s="3">
        <v>371</v>
      </c>
      <c r="AI71" s="3">
        <v>372</v>
      </c>
      <c r="AJ71" s="3">
        <v>0</v>
      </c>
      <c r="AK71" s="3" t="s">
        <v>454</v>
      </c>
    </row>
    <row r="72" spans="1:37" s="3" customFormat="1" x14ac:dyDescent="0.15">
      <c r="A72" s="3">
        <v>12</v>
      </c>
      <c r="B72" s="3" t="s">
        <v>20</v>
      </c>
      <c r="C72" s="3">
        <v>2</v>
      </c>
      <c r="D72" s="3">
        <v>5</v>
      </c>
      <c r="E72" s="3">
        <v>1</v>
      </c>
      <c r="F72" s="3">
        <v>110</v>
      </c>
      <c r="G72" s="3">
        <f>VLOOKUP(A72,资源索引!$A$2:$F$29,2,FALSE)*VLOOKUP(C72+1,资源索引!$I$1:$J$6,2,FALSE)</f>
        <v>260000</v>
      </c>
      <c r="H72" s="3">
        <f>SUM(G$70:G72)</f>
        <v>480000</v>
      </c>
      <c r="I72" s="3">
        <f>VLOOKUP(A72,资源索引!$A$2:$F$29,3,FALSE)*VLOOKUP(C72+1,资源索引!$I$1:$J$6,2,FALSE)</f>
        <v>130000</v>
      </c>
      <c r="J72" s="3">
        <f>SUM(I$70:I72)</f>
        <v>240000</v>
      </c>
      <c r="K72" s="3">
        <f>VLOOKUP(A72,资源索引!$A$2:$F$29,4,FALSE)*VLOOKUP(C72+1,资源索引!$I$1:$J$6,2,FALSE)</f>
        <v>130000</v>
      </c>
      <c r="L72" s="3">
        <f>SUM(K$70:K72)</f>
        <v>240000</v>
      </c>
      <c r="M72" s="3">
        <f>VLOOKUP(A72,资源索引!$A$2:$F$29,5,FALSE)*VLOOKUP(C72+1,资源索引!$I$1:$J$6,2,FALSE)</f>
        <v>130000</v>
      </c>
      <c r="N72" s="3">
        <f>SUM(M$70:M72)</f>
        <v>240000</v>
      </c>
      <c r="O72" s="3">
        <f>VLOOKUP(A72,资源索引!$A$2:$F$29,6,FALSE)*VLOOKUP(C72+1,资源索引!$I$1:$J$6,2,FALSE)</f>
        <v>130000</v>
      </c>
      <c r="P72" s="3">
        <f>SUM(O$70:O72)</f>
        <v>240000</v>
      </c>
      <c r="Q72" s="3">
        <v>2</v>
      </c>
      <c r="R72" s="3">
        <v>0</v>
      </c>
      <c r="S72" s="3">
        <v>9946</v>
      </c>
      <c r="T72" s="3">
        <v>4</v>
      </c>
      <c r="U72" s="3">
        <v>3</v>
      </c>
      <c r="V72" s="3">
        <v>0</v>
      </c>
      <c r="W72" s="3" t="s">
        <v>456</v>
      </c>
      <c r="X72" s="3">
        <v>8595</v>
      </c>
      <c r="Z72" s="2">
        <v>2400000</v>
      </c>
      <c r="AA72" s="3">
        <v>0</v>
      </c>
      <c r="AB72" s="3">
        <v>0</v>
      </c>
      <c r="AC72" s="3">
        <v>0</v>
      </c>
      <c r="AD72" s="3">
        <v>0</v>
      </c>
      <c r="AE72" s="3">
        <v>1031</v>
      </c>
      <c r="AF72" s="3">
        <v>1071</v>
      </c>
      <c r="AG72" s="3">
        <v>370</v>
      </c>
      <c r="AH72" s="3">
        <v>371</v>
      </c>
      <c r="AI72" s="3">
        <v>372</v>
      </c>
      <c r="AJ72" s="3">
        <v>0</v>
      </c>
      <c r="AK72" s="3" t="s">
        <v>454</v>
      </c>
    </row>
    <row r="73" spans="1:37" s="3" customFormat="1" x14ac:dyDescent="0.15">
      <c r="A73" s="3">
        <v>12</v>
      </c>
      <c r="B73" s="3" t="s">
        <v>453</v>
      </c>
      <c r="C73" s="3">
        <v>3</v>
      </c>
      <c r="D73" s="3">
        <v>5</v>
      </c>
      <c r="E73" s="3">
        <v>1</v>
      </c>
      <c r="F73" s="3">
        <v>140</v>
      </c>
      <c r="G73" s="3">
        <f>VLOOKUP(A73,资源索引!$A$2:$F$29,2,FALSE)*VLOOKUP(C73+1,资源索引!$I$1:$J$6,2,FALSE)</f>
        <v>480000</v>
      </c>
      <c r="H73" s="3">
        <f>SUM(G$70:G73)</f>
        <v>960000</v>
      </c>
      <c r="I73" s="3">
        <f>VLOOKUP(A73,资源索引!$A$2:$F$29,3,FALSE)*VLOOKUP(C73+1,资源索引!$I$1:$J$6,2,FALSE)</f>
        <v>240000</v>
      </c>
      <c r="J73" s="3">
        <f>SUM(I$70:I73)</f>
        <v>480000</v>
      </c>
      <c r="K73" s="3">
        <f>VLOOKUP(A73,资源索引!$A$2:$F$29,4,FALSE)*VLOOKUP(C73+1,资源索引!$I$1:$J$6,2,FALSE)</f>
        <v>240000</v>
      </c>
      <c r="L73" s="3">
        <f>SUM(K$70:K73)</f>
        <v>480000</v>
      </c>
      <c r="M73" s="3">
        <f>VLOOKUP(A73,资源索引!$A$2:$F$29,5,FALSE)*VLOOKUP(C73+1,资源索引!$I$1:$J$6,2,FALSE)</f>
        <v>240000</v>
      </c>
      <c r="N73" s="3">
        <f>SUM(M$70:M73)</f>
        <v>480000</v>
      </c>
      <c r="O73" s="3">
        <f>VLOOKUP(A73,资源索引!$A$2:$F$29,6,FALSE)*VLOOKUP(C73+1,资源索引!$I$1:$J$6,2,FALSE)</f>
        <v>240000</v>
      </c>
      <c r="P73" s="3">
        <f>SUM(O$70:O73)</f>
        <v>480000</v>
      </c>
      <c r="Q73" s="3">
        <v>2</v>
      </c>
      <c r="R73" s="3">
        <v>0</v>
      </c>
      <c r="S73" s="3">
        <v>9946</v>
      </c>
      <c r="T73" s="3">
        <v>4</v>
      </c>
      <c r="U73" s="3">
        <v>4</v>
      </c>
      <c r="V73" s="3">
        <v>0</v>
      </c>
      <c r="W73" s="3" t="s">
        <v>457</v>
      </c>
      <c r="X73" s="3">
        <v>8595</v>
      </c>
      <c r="Z73" s="2">
        <v>4000000</v>
      </c>
      <c r="AA73" s="3">
        <v>0</v>
      </c>
      <c r="AB73" s="3">
        <v>0</v>
      </c>
      <c r="AC73" s="3">
        <v>0</v>
      </c>
      <c r="AD73" s="3">
        <v>0</v>
      </c>
      <c r="AE73" s="3">
        <v>1031</v>
      </c>
      <c r="AF73" s="3">
        <v>1071</v>
      </c>
      <c r="AG73" s="3">
        <v>373</v>
      </c>
      <c r="AH73" s="3">
        <v>374</v>
      </c>
      <c r="AI73" s="3">
        <v>375</v>
      </c>
      <c r="AJ73" s="3">
        <v>0</v>
      </c>
      <c r="AK73" s="3" t="s">
        <v>454</v>
      </c>
    </row>
    <row r="74" spans="1:37" s="3" customFormat="1" x14ac:dyDescent="0.15">
      <c r="A74" s="3">
        <v>12</v>
      </c>
      <c r="B74" s="3" t="s">
        <v>20</v>
      </c>
      <c r="C74" s="3">
        <v>4</v>
      </c>
      <c r="D74" s="3">
        <v>5</v>
      </c>
      <c r="E74" s="3">
        <v>1</v>
      </c>
      <c r="F74" s="3">
        <v>170</v>
      </c>
      <c r="G74" s="3">
        <f>VLOOKUP(A74,资源索引!$A$2:$F$29,2,FALSE)*VLOOKUP(C74+1,资源索引!$I$1:$J$6,2,FALSE)</f>
        <v>800000</v>
      </c>
      <c r="H74" s="3">
        <f>SUM(G$70:G74)</f>
        <v>1760000</v>
      </c>
      <c r="I74" s="3">
        <f>VLOOKUP(A74,资源索引!$A$2:$F$29,3,FALSE)*VLOOKUP(C74+1,资源索引!$I$1:$J$6,2,FALSE)</f>
        <v>400000</v>
      </c>
      <c r="J74" s="3">
        <f>SUM(I$70:I74)</f>
        <v>880000</v>
      </c>
      <c r="K74" s="3">
        <f>VLOOKUP(A74,资源索引!$A$2:$F$29,4,FALSE)*VLOOKUP(C74+1,资源索引!$I$1:$J$6,2,FALSE)</f>
        <v>400000</v>
      </c>
      <c r="L74" s="3">
        <f>SUM(K$70:K74)</f>
        <v>880000</v>
      </c>
      <c r="M74" s="3">
        <f>VLOOKUP(A74,资源索引!$A$2:$F$29,5,FALSE)*VLOOKUP(C74+1,资源索引!$I$1:$J$6,2,FALSE)</f>
        <v>400000</v>
      </c>
      <c r="N74" s="3">
        <f>SUM(M$70:M74)</f>
        <v>880000</v>
      </c>
      <c r="O74" s="3">
        <f>VLOOKUP(A74,资源索引!$A$2:$F$29,6,FALSE)*VLOOKUP(C74+1,资源索引!$I$1:$J$6,2,FALSE)</f>
        <v>400000</v>
      </c>
      <c r="P74" s="3">
        <f>SUM(O$70:O74)</f>
        <v>880000</v>
      </c>
      <c r="Q74" s="3">
        <v>2</v>
      </c>
      <c r="R74" s="3">
        <v>0</v>
      </c>
      <c r="S74" s="3">
        <v>9946</v>
      </c>
      <c r="T74" s="3">
        <v>4</v>
      </c>
      <c r="U74" s="3">
        <v>5</v>
      </c>
      <c r="V74" s="3">
        <v>0</v>
      </c>
      <c r="W74" s="3" t="s">
        <v>458</v>
      </c>
      <c r="X74" s="3">
        <v>8595</v>
      </c>
      <c r="Z74" s="2">
        <v>6000000</v>
      </c>
      <c r="AA74" s="3">
        <v>0</v>
      </c>
      <c r="AB74" s="3">
        <v>0</v>
      </c>
      <c r="AC74" s="3">
        <v>0</v>
      </c>
      <c r="AD74" s="3">
        <v>0</v>
      </c>
      <c r="AE74" s="3">
        <v>1031</v>
      </c>
      <c r="AF74" s="3">
        <v>1071</v>
      </c>
      <c r="AG74" s="3">
        <v>373</v>
      </c>
      <c r="AH74" s="3">
        <v>374</v>
      </c>
      <c r="AI74" s="3">
        <v>375</v>
      </c>
      <c r="AJ74" s="3">
        <v>0</v>
      </c>
      <c r="AK74" s="3" t="s">
        <v>454</v>
      </c>
    </row>
    <row r="75" spans="1:37" s="3" customFormat="1" x14ac:dyDescent="0.15">
      <c r="A75" s="3">
        <v>12</v>
      </c>
      <c r="B75" s="3" t="s">
        <v>453</v>
      </c>
      <c r="C75" s="3">
        <v>5</v>
      </c>
      <c r="D75" s="3">
        <v>5</v>
      </c>
      <c r="E75" s="3">
        <v>1</v>
      </c>
      <c r="F75" s="3">
        <v>200</v>
      </c>
      <c r="G75" s="3">
        <f>VLOOKUP(A75,资源索引!$A$2:$F$29,2,FALSE)*VLOOKUP(C75+1,资源索引!$I$1:$J$6,2,FALSE)</f>
        <v>1440000</v>
      </c>
      <c r="H75" s="3">
        <f>SUM(G$70:G75)</f>
        <v>3200000</v>
      </c>
      <c r="I75" s="3">
        <f>VLOOKUP(A75,资源索引!$A$2:$F$29,3,FALSE)*VLOOKUP(C75+1,资源索引!$I$1:$J$6,2,FALSE)</f>
        <v>720000</v>
      </c>
      <c r="J75" s="3">
        <f>SUM(I$70:I75)</f>
        <v>1600000</v>
      </c>
      <c r="K75" s="3">
        <f>VLOOKUP(A75,资源索引!$A$2:$F$29,4,FALSE)*VLOOKUP(C75+1,资源索引!$I$1:$J$6,2,FALSE)</f>
        <v>720000</v>
      </c>
      <c r="L75" s="3">
        <f>SUM(K$70:K75)</f>
        <v>1600000</v>
      </c>
      <c r="M75" s="3">
        <f>VLOOKUP(A75,资源索引!$A$2:$F$29,5,FALSE)*VLOOKUP(C75+1,资源索引!$I$1:$J$6,2,FALSE)</f>
        <v>720000</v>
      </c>
      <c r="N75" s="3">
        <f>SUM(M$70:M75)</f>
        <v>1600000</v>
      </c>
      <c r="O75" s="3">
        <f>VLOOKUP(A75,资源索引!$A$2:$F$29,6,FALSE)*VLOOKUP(C75+1,资源索引!$I$1:$J$6,2,FALSE)</f>
        <v>720000</v>
      </c>
      <c r="P75" s="3">
        <f>SUM(O$70:O75)</f>
        <v>1600000</v>
      </c>
      <c r="Q75" s="3">
        <v>2</v>
      </c>
      <c r="R75" s="3">
        <v>0</v>
      </c>
      <c r="S75" s="3">
        <v>9946</v>
      </c>
      <c r="T75" s="3">
        <v>4</v>
      </c>
      <c r="U75" s="3">
        <v>6</v>
      </c>
      <c r="V75" s="3">
        <v>0</v>
      </c>
      <c r="W75" s="3" t="s">
        <v>459</v>
      </c>
      <c r="X75" s="3">
        <v>8595</v>
      </c>
      <c r="Z75" s="2">
        <v>8000000</v>
      </c>
      <c r="AA75" s="3">
        <v>0</v>
      </c>
      <c r="AB75" s="3">
        <v>0</v>
      </c>
      <c r="AC75" s="3">
        <v>0</v>
      </c>
      <c r="AD75" s="3">
        <v>0</v>
      </c>
      <c r="AE75" s="3">
        <v>1031</v>
      </c>
      <c r="AF75" s="3">
        <v>1071</v>
      </c>
      <c r="AG75" s="3">
        <v>376</v>
      </c>
      <c r="AH75" s="3">
        <v>377</v>
      </c>
      <c r="AI75" s="3">
        <v>378</v>
      </c>
      <c r="AJ75" s="3">
        <v>0</v>
      </c>
      <c r="AK75" s="3" t="s">
        <v>454</v>
      </c>
    </row>
    <row r="76" spans="1:37" s="2" customFormat="1" x14ac:dyDescent="0.15">
      <c r="A76" s="2">
        <v>13</v>
      </c>
      <c r="B76" s="2" t="s">
        <v>460</v>
      </c>
      <c r="C76" s="2">
        <v>0</v>
      </c>
      <c r="D76" s="2">
        <v>5</v>
      </c>
      <c r="E76" s="2">
        <v>1</v>
      </c>
      <c r="F76" s="2">
        <v>50</v>
      </c>
      <c r="G76" s="2">
        <f>VLOOKUP(A76,资源索引!$A$2:$F$29,2,FALSE)*VLOOKUP(C76+1,资源索引!$I$1:$J$6,2,FALSE)</f>
        <v>80000</v>
      </c>
      <c r="H76" s="2">
        <f>SUM(G$76:G76)</f>
        <v>80000</v>
      </c>
      <c r="I76" s="2">
        <f>VLOOKUP(A76,资源索引!$A$2:$F$29,3,FALSE)*VLOOKUP(C76+1,资源索引!$I$1:$J$6,2,FALSE)</f>
        <v>40000</v>
      </c>
      <c r="J76" s="2">
        <f>SUM(I$76:I76)</f>
        <v>40000</v>
      </c>
      <c r="K76" s="2">
        <f>VLOOKUP(A76,资源索引!$A$2:$F$29,4,FALSE)*VLOOKUP(C76+1,资源索引!$I$1:$J$6,2,FALSE)</f>
        <v>40000</v>
      </c>
      <c r="L76" s="2">
        <f>SUM(K$76:K76)</f>
        <v>40000</v>
      </c>
      <c r="M76" s="2">
        <f>VLOOKUP(A76,资源索引!$A$2:$F$29,5,FALSE)*VLOOKUP(C76+1,资源索引!$I$1:$J$6,2,FALSE)</f>
        <v>40000</v>
      </c>
      <c r="N76" s="2">
        <f>SUM(M$76:M76)</f>
        <v>40000</v>
      </c>
      <c r="O76" s="2">
        <f>VLOOKUP(A76,资源索引!$A$2:$F$29,6,FALSE)*VLOOKUP(C76+1,资源索引!$I$1:$J$6,2,FALSE)</f>
        <v>40000</v>
      </c>
      <c r="P76" s="2">
        <f>SUM(O$76:O76)</f>
        <v>40000</v>
      </c>
      <c r="Q76" s="2">
        <v>2</v>
      </c>
      <c r="R76" s="2">
        <v>0</v>
      </c>
      <c r="S76" s="2">
        <v>9946</v>
      </c>
      <c r="T76" s="2">
        <v>4</v>
      </c>
      <c r="U76" s="2">
        <v>1</v>
      </c>
      <c r="V76" s="2">
        <v>0</v>
      </c>
      <c r="W76" s="2">
        <v>9946</v>
      </c>
      <c r="X76" s="2">
        <v>8598</v>
      </c>
      <c r="Z76" s="2">
        <v>600000</v>
      </c>
      <c r="AA76" s="2">
        <v>0</v>
      </c>
      <c r="AB76" s="2">
        <v>0</v>
      </c>
      <c r="AC76" s="2">
        <v>0</v>
      </c>
      <c r="AD76" s="2">
        <v>0</v>
      </c>
      <c r="AE76" s="2">
        <v>1032</v>
      </c>
      <c r="AF76" s="2">
        <v>1072</v>
      </c>
      <c r="AJ76" s="2">
        <v>0</v>
      </c>
      <c r="AK76" s="2" t="s">
        <v>461</v>
      </c>
    </row>
    <row r="77" spans="1:37" s="2" customFormat="1" x14ac:dyDescent="0.15">
      <c r="A77" s="2">
        <v>13</v>
      </c>
      <c r="B77" s="2" t="s">
        <v>460</v>
      </c>
      <c r="C77" s="2">
        <v>1</v>
      </c>
      <c r="D77" s="2">
        <v>5</v>
      </c>
      <c r="E77" s="2">
        <v>1</v>
      </c>
      <c r="F77" s="2">
        <v>80</v>
      </c>
      <c r="G77" s="2">
        <f>VLOOKUP(A77,资源索引!$A$2:$F$29,2,FALSE)*VLOOKUP(C77+1,资源索引!$I$1:$J$6,2,FALSE)</f>
        <v>140000</v>
      </c>
      <c r="H77" s="2">
        <f>SUM(G$76:G77)</f>
        <v>220000</v>
      </c>
      <c r="I77" s="2">
        <f>VLOOKUP(A77,资源索引!$A$2:$F$29,3,FALSE)*VLOOKUP(C77+1,资源索引!$I$1:$J$6,2,FALSE)</f>
        <v>70000</v>
      </c>
      <c r="J77" s="2">
        <f>SUM(I$76:I77)</f>
        <v>110000</v>
      </c>
      <c r="K77" s="2">
        <f>VLOOKUP(A77,资源索引!$A$2:$F$29,4,FALSE)*VLOOKUP(C77+1,资源索引!$I$1:$J$6,2,FALSE)</f>
        <v>70000</v>
      </c>
      <c r="L77" s="2">
        <f>SUM(K$76:K77)</f>
        <v>110000</v>
      </c>
      <c r="M77" s="2">
        <f>VLOOKUP(A77,资源索引!$A$2:$F$29,5,FALSE)*VLOOKUP(C77+1,资源索引!$I$1:$J$6,2,FALSE)</f>
        <v>70000</v>
      </c>
      <c r="N77" s="2">
        <f>SUM(M$76:M77)</f>
        <v>110000</v>
      </c>
      <c r="O77" s="2">
        <f>VLOOKUP(A77,资源索引!$A$2:$F$29,6,FALSE)*VLOOKUP(C77+1,资源索引!$I$1:$J$6,2,FALSE)</f>
        <v>70000</v>
      </c>
      <c r="P77" s="2">
        <f>SUM(O$76:O77)</f>
        <v>110000</v>
      </c>
      <c r="Q77" s="2">
        <v>2</v>
      </c>
      <c r="R77" s="2">
        <v>0</v>
      </c>
      <c r="S77" s="2">
        <v>9946</v>
      </c>
      <c r="T77" s="2">
        <v>4</v>
      </c>
      <c r="U77" s="2">
        <v>2</v>
      </c>
      <c r="V77" s="2">
        <v>0</v>
      </c>
      <c r="W77" s="2" t="s">
        <v>462</v>
      </c>
      <c r="X77" s="2">
        <v>8598</v>
      </c>
      <c r="Z77" s="2">
        <v>1200000</v>
      </c>
      <c r="AA77" s="2">
        <v>0</v>
      </c>
      <c r="AB77" s="2">
        <v>0</v>
      </c>
      <c r="AC77" s="2">
        <v>0</v>
      </c>
      <c r="AD77" s="2">
        <v>0</v>
      </c>
      <c r="AE77" s="2">
        <v>1032</v>
      </c>
      <c r="AF77" s="2">
        <v>1072</v>
      </c>
      <c r="AG77" s="2">
        <v>370</v>
      </c>
      <c r="AH77" s="2">
        <v>371</v>
      </c>
      <c r="AI77" s="2">
        <v>372</v>
      </c>
      <c r="AJ77" s="2">
        <v>0</v>
      </c>
      <c r="AK77" s="2" t="s">
        <v>461</v>
      </c>
    </row>
    <row r="78" spans="1:37" s="2" customFormat="1" x14ac:dyDescent="0.15">
      <c r="A78" s="2">
        <v>13</v>
      </c>
      <c r="B78" s="2" t="s">
        <v>460</v>
      </c>
      <c r="C78" s="2">
        <v>2</v>
      </c>
      <c r="D78" s="2">
        <v>5</v>
      </c>
      <c r="E78" s="2">
        <v>1</v>
      </c>
      <c r="F78" s="2">
        <v>110</v>
      </c>
      <c r="G78" s="2">
        <f>VLOOKUP(A78,资源索引!$A$2:$F$29,2,FALSE)*VLOOKUP(C78+1,资源索引!$I$1:$J$6,2,FALSE)</f>
        <v>260000</v>
      </c>
      <c r="H78" s="2">
        <f>SUM(G$76:G78)</f>
        <v>480000</v>
      </c>
      <c r="I78" s="2">
        <f>VLOOKUP(A78,资源索引!$A$2:$F$29,3,FALSE)*VLOOKUP(C78+1,资源索引!$I$1:$J$6,2,FALSE)</f>
        <v>130000</v>
      </c>
      <c r="J78" s="2">
        <f>SUM(I$76:I78)</f>
        <v>240000</v>
      </c>
      <c r="K78" s="2">
        <f>VLOOKUP(A78,资源索引!$A$2:$F$29,4,FALSE)*VLOOKUP(C78+1,资源索引!$I$1:$J$6,2,FALSE)</f>
        <v>130000</v>
      </c>
      <c r="L78" s="2">
        <f>SUM(K$76:K78)</f>
        <v>240000</v>
      </c>
      <c r="M78" s="2">
        <f>VLOOKUP(A78,资源索引!$A$2:$F$29,5,FALSE)*VLOOKUP(C78+1,资源索引!$I$1:$J$6,2,FALSE)</f>
        <v>130000</v>
      </c>
      <c r="N78" s="2">
        <f>SUM(M$76:M78)</f>
        <v>240000</v>
      </c>
      <c r="O78" s="2">
        <f>VLOOKUP(A78,资源索引!$A$2:$F$29,6,FALSE)*VLOOKUP(C78+1,资源索引!$I$1:$J$6,2,FALSE)</f>
        <v>130000</v>
      </c>
      <c r="P78" s="2">
        <f>SUM(O$76:O78)</f>
        <v>240000</v>
      </c>
      <c r="Q78" s="2">
        <v>2</v>
      </c>
      <c r="R78" s="2">
        <v>0</v>
      </c>
      <c r="S78" s="2">
        <v>9946</v>
      </c>
      <c r="T78" s="2">
        <v>4</v>
      </c>
      <c r="U78" s="2">
        <v>3</v>
      </c>
      <c r="V78" s="2">
        <v>0</v>
      </c>
      <c r="W78" s="2" t="s">
        <v>463</v>
      </c>
      <c r="X78" s="2">
        <v>8598</v>
      </c>
      <c r="Z78" s="2">
        <v>2400000</v>
      </c>
      <c r="AA78" s="2">
        <v>0</v>
      </c>
      <c r="AB78" s="2">
        <v>0</v>
      </c>
      <c r="AC78" s="2">
        <v>0</v>
      </c>
      <c r="AD78" s="2">
        <v>0</v>
      </c>
      <c r="AE78" s="2">
        <v>1032</v>
      </c>
      <c r="AF78" s="2">
        <v>1072</v>
      </c>
      <c r="AG78" s="2">
        <v>370</v>
      </c>
      <c r="AH78" s="2">
        <v>371</v>
      </c>
      <c r="AI78" s="2">
        <v>372</v>
      </c>
      <c r="AJ78" s="2">
        <v>0</v>
      </c>
      <c r="AK78" s="2" t="s">
        <v>461</v>
      </c>
    </row>
    <row r="79" spans="1:37" s="2" customFormat="1" x14ac:dyDescent="0.15">
      <c r="A79" s="2">
        <v>13</v>
      </c>
      <c r="B79" s="2" t="s">
        <v>460</v>
      </c>
      <c r="C79" s="2">
        <v>3</v>
      </c>
      <c r="D79" s="2">
        <v>5</v>
      </c>
      <c r="E79" s="2">
        <v>1</v>
      </c>
      <c r="F79" s="2">
        <v>140</v>
      </c>
      <c r="G79" s="2">
        <f>VLOOKUP(A79,资源索引!$A$2:$F$29,2,FALSE)*VLOOKUP(C79+1,资源索引!$I$1:$J$6,2,FALSE)</f>
        <v>480000</v>
      </c>
      <c r="H79" s="2">
        <f>SUM(G$76:G79)</f>
        <v>960000</v>
      </c>
      <c r="I79" s="2">
        <f>VLOOKUP(A79,资源索引!$A$2:$F$29,3,FALSE)*VLOOKUP(C79+1,资源索引!$I$1:$J$6,2,FALSE)</f>
        <v>240000</v>
      </c>
      <c r="J79" s="2">
        <f>SUM(I$76:I79)</f>
        <v>480000</v>
      </c>
      <c r="K79" s="2">
        <f>VLOOKUP(A79,资源索引!$A$2:$F$29,4,FALSE)*VLOOKUP(C79+1,资源索引!$I$1:$J$6,2,FALSE)</f>
        <v>240000</v>
      </c>
      <c r="L79" s="2">
        <f>SUM(K$76:K79)</f>
        <v>480000</v>
      </c>
      <c r="M79" s="2">
        <f>VLOOKUP(A79,资源索引!$A$2:$F$29,5,FALSE)*VLOOKUP(C79+1,资源索引!$I$1:$J$6,2,FALSE)</f>
        <v>240000</v>
      </c>
      <c r="N79" s="2">
        <f>SUM(M$76:M79)</f>
        <v>480000</v>
      </c>
      <c r="O79" s="2">
        <f>VLOOKUP(A79,资源索引!$A$2:$F$29,6,FALSE)*VLOOKUP(C79+1,资源索引!$I$1:$J$6,2,FALSE)</f>
        <v>240000</v>
      </c>
      <c r="P79" s="2">
        <f>SUM(O$76:O79)</f>
        <v>480000</v>
      </c>
      <c r="Q79" s="2">
        <v>2</v>
      </c>
      <c r="R79" s="2">
        <v>0</v>
      </c>
      <c r="S79" s="2">
        <v>9946</v>
      </c>
      <c r="T79" s="2">
        <v>4</v>
      </c>
      <c r="U79" s="2">
        <v>4</v>
      </c>
      <c r="V79" s="2">
        <v>0</v>
      </c>
      <c r="W79" s="2" t="s">
        <v>464</v>
      </c>
      <c r="X79" s="2">
        <v>8598</v>
      </c>
      <c r="Z79" s="2">
        <v>4000000</v>
      </c>
      <c r="AA79" s="2">
        <v>0</v>
      </c>
      <c r="AB79" s="2">
        <v>0</v>
      </c>
      <c r="AC79" s="2">
        <v>0</v>
      </c>
      <c r="AD79" s="2">
        <v>0</v>
      </c>
      <c r="AE79" s="2">
        <v>1032</v>
      </c>
      <c r="AF79" s="2">
        <v>1072</v>
      </c>
      <c r="AG79" s="2">
        <v>373</v>
      </c>
      <c r="AH79" s="2">
        <v>374</v>
      </c>
      <c r="AI79" s="2">
        <v>375</v>
      </c>
      <c r="AJ79" s="2">
        <v>0</v>
      </c>
      <c r="AK79" s="2" t="s">
        <v>461</v>
      </c>
    </row>
    <row r="80" spans="1:37" s="2" customFormat="1" x14ac:dyDescent="0.15">
      <c r="A80" s="2">
        <v>13</v>
      </c>
      <c r="B80" s="2" t="s">
        <v>460</v>
      </c>
      <c r="C80" s="2">
        <v>4</v>
      </c>
      <c r="D80" s="2">
        <v>5</v>
      </c>
      <c r="E80" s="2">
        <v>1</v>
      </c>
      <c r="F80" s="2">
        <v>170</v>
      </c>
      <c r="G80" s="2">
        <f>VLOOKUP(A80,资源索引!$A$2:$F$29,2,FALSE)*VLOOKUP(C80+1,资源索引!$I$1:$J$6,2,FALSE)</f>
        <v>800000</v>
      </c>
      <c r="H80" s="2">
        <f>SUM(G$76:G80)</f>
        <v>1760000</v>
      </c>
      <c r="I80" s="2">
        <f>VLOOKUP(A80,资源索引!$A$2:$F$29,3,FALSE)*VLOOKUP(C80+1,资源索引!$I$1:$J$6,2,FALSE)</f>
        <v>400000</v>
      </c>
      <c r="J80" s="2">
        <f>SUM(I$76:I80)</f>
        <v>880000</v>
      </c>
      <c r="K80" s="2">
        <f>VLOOKUP(A80,资源索引!$A$2:$F$29,4,FALSE)*VLOOKUP(C80+1,资源索引!$I$1:$J$6,2,FALSE)</f>
        <v>400000</v>
      </c>
      <c r="L80" s="2">
        <f>SUM(K$76:K80)</f>
        <v>880000</v>
      </c>
      <c r="M80" s="2">
        <f>VLOOKUP(A80,资源索引!$A$2:$F$29,5,FALSE)*VLOOKUP(C80+1,资源索引!$I$1:$J$6,2,FALSE)</f>
        <v>400000</v>
      </c>
      <c r="N80" s="2">
        <f>SUM(M$76:M80)</f>
        <v>880000</v>
      </c>
      <c r="O80" s="2">
        <f>VLOOKUP(A80,资源索引!$A$2:$F$29,6,FALSE)*VLOOKUP(C80+1,资源索引!$I$1:$J$6,2,FALSE)</f>
        <v>400000</v>
      </c>
      <c r="P80" s="2">
        <f>SUM(O$76:O80)</f>
        <v>880000</v>
      </c>
      <c r="Q80" s="2">
        <v>2</v>
      </c>
      <c r="R80" s="2">
        <v>0</v>
      </c>
      <c r="S80" s="2">
        <v>9946</v>
      </c>
      <c r="T80" s="2">
        <v>4</v>
      </c>
      <c r="U80" s="2">
        <v>5</v>
      </c>
      <c r="V80" s="2">
        <v>0</v>
      </c>
      <c r="W80" s="2" t="s">
        <v>465</v>
      </c>
      <c r="X80" s="2">
        <v>8598</v>
      </c>
      <c r="Z80" s="2">
        <v>6000000</v>
      </c>
      <c r="AA80" s="2">
        <v>0</v>
      </c>
      <c r="AB80" s="2">
        <v>0</v>
      </c>
      <c r="AC80" s="2">
        <v>0</v>
      </c>
      <c r="AD80" s="2">
        <v>0</v>
      </c>
      <c r="AE80" s="2">
        <v>1032</v>
      </c>
      <c r="AF80" s="2">
        <v>1072</v>
      </c>
      <c r="AG80" s="2">
        <v>373</v>
      </c>
      <c r="AH80" s="2">
        <v>374</v>
      </c>
      <c r="AI80" s="2">
        <v>375</v>
      </c>
      <c r="AJ80" s="2">
        <v>0</v>
      </c>
      <c r="AK80" s="2" t="s">
        <v>461</v>
      </c>
    </row>
    <row r="81" spans="1:37" s="2" customFormat="1" x14ac:dyDescent="0.15">
      <c r="A81" s="2">
        <v>13</v>
      </c>
      <c r="B81" s="2" t="s">
        <v>460</v>
      </c>
      <c r="C81" s="2">
        <v>5</v>
      </c>
      <c r="D81" s="2">
        <v>5</v>
      </c>
      <c r="E81" s="2">
        <v>1</v>
      </c>
      <c r="F81" s="2">
        <v>200</v>
      </c>
      <c r="G81" s="2">
        <f>VLOOKUP(A81,资源索引!$A$2:$F$29,2,FALSE)*VLOOKUP(C81+1,资源索引!$I$1:$J$6,2,FALSE)</f>
        <v>1440000</v>
      </c>
      <c r="H81" s="2">
        <f>SUM(G$76:G81)</f>
        <v>3200000</v>
      </c>
      <c r="I81" s="2">
        <f>VLOOKUP(A81,资源索引!$A$2:$F$29,3,FALSE)*VLOOKUP(C81+1,资源索引!$I$1:$J$6,2,FALSE)</f>
        <v>720000</v>
      </c>
      <c r="J81" s="2">
        <f>SUM(I$76:I81)</f>
        <v>1600000</v>
      </c>
      <c r="K81" s="2">
        <f>VLOOKUP(A81,资源索引!$A$2:$F$29,4,FALSE)*VLOOKUP(C81+1,资源索引!$I$1:$J$6,2,FALSE)</f>
        <v>720000</v>
      </c>
      <c r="L81" s="2">
        <f>SUM(K$76:K81)</f>
        <v>1600000</v>
      </c>
      <c r="M81" s="2">
        <f>VLOOKUP(A81,资源索引!$A$2:$F$29,5,FALSE)*VLOOKUP(C81+1,资源索引!$I$1:$J$6,2,FALSE)</f>
        <v>720000</v>
      </c>
      <c r="N81" s="2">
        <f>SUM(M$76:M81)</f>
        <v>1600000</v>
      </c>
      <c r="O81" s="2">
        <f>VLOOKUP(A81,资源索引!$A$2:$F$29,6,FALSE)*VLOOKUP(C81+1,资源索引!$I$1:$J$6,2,FALSE)</f>
        <v>720000</v>
      </c>
      <c r="P81" s="2">
        <f>SUM(O$76:O81)</f>
        <v>1600000</v>
      </c>
      <c r="Q81" s="2">
        <v>2</v>
      </c>
      <c r="R81" s="2">
        <v>0</v>
      </c>
      <c r="S81" s="2">
        <v>9946</v>
      </c>
      <c r="T81" s="2">
        <v>4</v>
      </c>
      <c r="U81" s="2">
        <v>6</v>
      </c>
      <c r="V81" s="2">
        <v>0</v>
      </c>
      <c r="W81" s="2" t="s">
        <v>466</v>
      </c>
      <c r="X81" s="2">
        <v>8598</v>
      </c>
      <c r="Z81" s="2">
        <v>8000000</v>
      </c>
      <c r="AA81" s="2">
        <v>0</v>
      </c>
      <c r="AB81" s="2">
        <v>0</v>
      </c>
      <c r="AC81" s="2">
        <v>0</v>
      </c>
      <c r="AD81" s="2">
        <v>0</v>
      </c>
      <c r="AE81" s="2">
        <v>1032</v>
      </c>
      <c r="AF81" s="2">
        <v>1072</v>
      </c>
      <c r="AG81" s="2">
        <v>376</v>
      </c>
      <c r="AH81" s="2">
        <v>377</v>
      </c>
      <c r="AI81" s="2">
        <v>378</v>
      </c>
      <c r="AJ81" s="2">
        <v>0</v>
      </c>
      <c r="AK81" s="2" t="s">
        <v>461</v>
      </c>
    </row>
    <row r="82" spans="1:37" s="3" customFormat="1" x14ac:dyDescent="0.15">
      <c r="A82" s="3">
        <v>14</v>
      </c>
      <c r="B82" s="3" t="s">
        <v>467</v>
      </c>
      <c r="C82" s="3">
        <v>0</v>
      </c>
      <c r="D82" s="3">
        <v>5</v>
      </c>
      <c r="E82" s="3">
        <v>1</v>
      </c>
      <c r="F82" s="3">
        <v>50</v>
      </c>
      <c r="G82" s="3">
        <f>VLOOKUP(A82,资源索引!$A$2:$F$29,2,FALSE)*VLOOKUP(C82+1,资源索引!$I$1:$J$6,2,FALSE)</f>
        <v>80000</v>
      </c>
      <c r="H82" s="3">
        <f>SUM(G$82:G82)</f>
        <v>80000</v>
      </c>
      <c r="I82" s="3">
        <f>VLOOKUP(A82,资源索引!$A$2:$F$29,3,FALSE)*VLOOKUP(C82+1,资源索引!$I$1:$J$6,2,FALSE)</f>
        <v>40000</v>
      </c>
      <c r="J82" s="3">
        <f>SUM(I$82:I82)</f>
        <v>40000</v>
      </c>
      <c r="K82" s="3">
        <f>VLOOKUP(A82,资源索引!$A$2:$F$29,4,FALSE)*VLOOKUP(C82+1,资源索引!$I$1:$J$6,2,FALSE)</f>
        <v>40000</v>
      </c>
      <c r="L82" s="3">
        <f>SUM(K$82:K82)</f>
        <v>40000</v>
      </c>
      <c r="M82" s="3">
        <f>VLOOKUP(A82,资源索引!$A$2:$F$29,5,FALSE)*VLOOKUP(C82+1,资源索引!$I$1:$J$6,2,FALSE)</f>
        <v>40000</v>
      </c>
      <c r="N82" s="3">
        <f>SUM(M$82:M82)</f>
        <v>40000</v>
      </c>
      <c r="O82" s="3">
        <f>VLOOKUP(A82,资源索引!$A$2:$F$29,6,FALSE)*VLOOKUP(C82+1,资源索引!$I$1:$J$6,2,FALSE)</f>
        <v>40000</v>
      </c>
      <c r="P82" s="3">
        <f>SUM(O$82:O82)</f>
        <v>40000</v>
      </c>
      <c r="Q82" s="3">
        <v>2</v>
      </c>
      <c r="R82" s="3">
        <v>0</v>
      </c>
      <c r="S82" s="3">
        <v>9946</v>
      </c>
      <c r="T82" s="3">
        <v>4</v>
      </c>
      <c r="U82" s="3">
        <v>1</v>
      </c>
      <c r="V82" s="3">
        <v>0</v>
      </c>
      <c r="W82" s="3">
        <v>9946</v>
      </c>
      <c r="X82" s="3">
        <v>4857</v>
      </c>
      <c r="Z82" s="2">
        <v>600000</v>
      </c>
      <c r="AA82" s="3">
        <v>0</v>
      </c>
      <c r="AB82" s="3">
        <v>0</v>
      </c>
      <c r="AC82" s="3">
        <v>0</v>
      </c>
      <c r="AD82" s="3">
        <v>0</v>
      </c>
      <c r="AE82" s="3">
        <v>1033</v>
      </c>
      <c r="AF82" s="3">
        <v>1073</v>
      </c>
      <c r="AJ82" s="3">
        <v>0</v>
      </c>
      <c r="AK82" s="3" t="s">
        <v>468</v>
      </c>
    </row>
    <row r="83" spans="1:37" s="3" customFormat="1" x14ac:dyDescent="0.15">
      <c r="A83" s="3">
        <v>14</v>
      </c>
      <c r="B83" s="3" t="s">
        <v>467</v>
      </c>
      <c r="C83" s="3">
        <v>1</v>
      </c>
      <c r="D83" s="3">
        <v>5</v>
      </c>
      <c r="E83" s="3">
        <v>1</v>
      </c>
      <c r="F83" s="3">
        <v>80</v>
      </c>
      <c r="G83" s="3">
        <f>VLOOKUP(A83,资源索引!$A$2:$F$29,2,FALSE)*VLOOKUP(C83+1,资源索引!$I$1:$J$6,2,FALSE)</f>
        <v>140000</v>
      </c>
      <c r="H83" s="3">
        <f>SUM(G$82:G83)</f>
        <v>220000</v>
      </c>
      <c r="I83" s="3">
        <f>VLOOKUP(A83,资源索引!$A$2:$F$29,3,FALSE)*VLOOKUP(C83+1,资源索引!$I$1:$J$6,2,FALSE)</f>
        <v>70000</v>
      </c>
      <c r="J83" s="3">
        <f>SUM(I$82:I83)</f>
        <v>110000</v>
      </c>
      <c r="K83" s="3">
        <f>VLOOKUP(A83,资源索引!$A$2:$F$29,4,FALSE)*VLOOKUP(C83+1,资源索引!$I$1:$J$6,2,FALSE)</f>
        <v>70000</v>
      </c>
      <c r="L83" s="3">
        <f>SUM(K$82:K83)</f>
        <v>110000</v>
      </c>
      <c r="M83" s="3">
        <f>VLOOKUP(A83,资源索引!$A$2:$F$29,5,FALSE)*VLOOKUP(C83+1,资源索引!$I$1:$J$6,2,FALSE)</f>
        <v>70000</v>
      </c>
      <c r="N83" s="3">
        <f>SUM(M$82:M83)</f>
        <v>110000</v>
      </c>
      <c r="O83" s="3">
        <f>VLOOKUP(A83,资源索引!$A$2:$F$29,6,FALSE)*VLOOKUP(C83+1,资源索引!$I$1:$J$6,2,FALSE)</f>
        <v>70000</v>
      </c>
      <c r="P83" s="3">
        <f>SUM(O$82:O83)</f>
        <v>110000</v>
      </c>
      <c r="Q83" s="3">
        <v>2</v>
      </c>
      <c r="R83" s="3">
        <v>0</v>
      </c>
      <c r="S83" s="3">
        <v>9946</v>
      </c>
      <c r="T83" s="3">
        <v>4</v>
      </c>
      <c r="U83" s="3">
        <v>2</v>
      </c>
      <c r="V83" s="3">
        <v>0</v>
      </c>
      <c r="W83" s="3" t="s">
        <v>469</v>
      </c>
      <c r="X83" s="3">
        <v>4857</v>
      </c>
      <c r="Z83" s="2">
        <v>1200000</v>
      </c>
      <c r="AA83" s="3">
        <v>0</v>
      </c>
      <c r="AB83" s="3">
        <v>0</v>
      </c>
      <c r="AC83" s="3">
        <v>0</v>
      </c>
      <c r="AD83" s="3">
        <v>0</v>
      </c>
      <c r="AE83" s="3">
        <v>1033</v>
      </c>
      <c r="AF83" s="3">
        <v>1073</v>
      </c>
      <c r="AG83" s="3">
        <v>370</v>
      </c>
      <c r="AH83" s="3">
        <v>371</v>
      </c>
      <c r="AI83" s="3">
        <v>372</v>
      </c>
      <c r="AJ83" s="3">
        <v>0</v>
      </c>
      <c r="AK83" s="3" t="s">
        <v>468</v>
      </c>
    </row>
    <row r="84" spans="1:37" s="3" customFormat="1" x14ac:dyDescent="0.15">
      <c r="A84" s="3">
        <v>14</v>
      </c>
      <c r="B84" s="3" t="s">
        <v>467</v>
      </c>
      <c r="C84" s="3">
        <v>2</v>
      </c>
      <c r="D84" s="3">
        <v>5</v>
      </c>
      <c r="E84" s="3">
        <v>1</v>
      </c>
      <c r="F84" s="3">
        <v>110</v>
      </c>
      <c r="G84" s="3">
        <f>VLOOKUP(A84,资源索引!$A$2:$F$29,2,FALSE)*VLOOKUP(C84+1,资源索引!$I$1:$J$6,2,FALSE)</f>
        <v>260000</v>
      </c>
      <c r="H84" s="3">
        <f>SUM(G$82:G84)</f>
        <v>480000</v>
      </c>
      <c r="I84" s="3">
        <f>VLOOKUP(A84,资源索引!$A$2:$F$29,3,FALSE)*VLOOKUP(C84+1,资源索引!$I$1:$J$6,2,FALSE)</f>
        <v>130000</v>
      </c>
      <c r="J84" s="3">
        <f>SUM(I$82:I84)</f>
        <v>240000</v>
      </c>
      <c r="K84" s="3">
        <f>VLOOKUP(A84,资源索引!$A$2:$F$29,4,FALSE)*VLOOKUP(C84+1,资源索引!$I$1:$J$6,2,FALSE)</f>
        <v>130000</v>
      </c>
      <c r="L84" s="3">
        <f>SUM(K$82:K84)</f>
        <v>240000</v>
      </c>
      <c r="M84" s="3">
        <f>VLOOKUP(A84,资源索引!$A$2:$F$29,5,FALSE)*VLOOKUP(C84+1,资源索引!$I$1:$J$6,2,FALSE)</f>
        <v>130000</v>
      </c>
      <c r="N84" s="3">
        <f>SUM(M$82:M84)</f>
        <v>240000</v>
      </c>
      <c r="O84" s="3">
        <f>VLOOKUP(A84,资源索引!$A$2:$F$29,6,FALSE)*VLOOKUP(C84+1,资源索引!$I$1:$J$6,2,FALSE)</f>
        <v>130000</v>
      </c>
      <c r="P84" s="3">
        <f>SUM(O$82:O84)</f>
        <v>240000</v>
      </c>
      <c r="Q84" s="3">
        <v>2</v>
      </c>
      <c r="R84" s="3">
        <v>0</v>
      </c>
      <c r="S84" s="3">
        <v>9946</v>
      </c>
      <c r="T84" s="3">
        <v>4</v>
      </c>
      <c r="U84" s="3">
        <v>3</v>
      </c>
      <c r="V84" s="3">
        <v>0</v>
      </c>
      <c r="W84" s="3" t="s">
        <v>470</v>
      </c>
      <c r="X84" s="3">
        <v>4857</v>
      </c>
      <c r="Z84" s="2">
        <v>2400000</v>
      </c>
      <c r="AA84" s="3">
        <v>0</v>
      </c>
      <c r="AB84" s="3">
        <v>0</v>
      </c>
      <c r="AC84" s="3">
        <v>0</v>
      </c>
      <c r="AD84" s="3">
        <v>0</v>
      </c>
      <c r="AE84" s="3">
        <v>1033</v>
      </c>
      <c r="AF84" s="3">
        <v>1073</v>
      </c>
      <c r="AG84" s="3">
        <v>370</v>
      </c>
      <c r="AH84" s="3">
        <v>371</v>
      </c>
      <c r="AI84" s="3">
        <v>372</v>
      </c>
      <c r="AJ84" s="3">
        <v>0</v>
      </c>
      <c r="AK84" s="3" t="s">
        <v>468</v>
      </c>
    </row>
    <row r="85" spans="1:37" s="3" customFormat="1" x14ac:dyDescent="0.15">
      <c r="A85" s="3">
        <v>14</v>
      </c>
      <c r="B85" s="3" t="s">
        <v>467</v>
      </c>
      <c r="C85" s="3">
        <v>3</v>
      </c>
      <c r="D85" s="3">
        <v>5</v>
      </c>
      <c r="E85" s="3">
        <v>1</v>
      </c>
      <c r="F85" s="3">
        <v>140</v>
      </c>
      <c r="G85" s="3">
        <f>VLOOKUP(A85,资源索引!$A$2:$F$29,2,FALSE)*VLOOKUP(C85+1,资源索引!$I$1:$J$6,2,FALSE)</f>
        <v>480000</v>
      </c>
      <c r="H85" s="3">
        <f>SUM(G$82:G85)</f>
        <v>960000</v>
      </c>
      <c r="I85" s="3">
        <f>VLOOKUP(A85,资源索引!$A$2:$F$29,3,FALSE)*VLOOKUP(C85+1,资源索引!$I$1:$J$6,2,FALSE)</f>
        <v>240000</v>
      </c>
      <c r="J85" s="3">
        <f>SUM(I$82:I85)</f>
        <v>480000</v>
      </c>
      <c r="K85" s="3">
        <f>VLOOKUP(A85,资源索引!$A$2:$F$29,4,FALSE)*VLOOKUP(C85+1,资源索引!$I$1:$J$6,2,FALSE)</f>
        <v>240000</v>
      </c>
      <c r="L85" s="3">
        <f>SUM(K$82:K85)</f>
        <v>480000</v>
      </c>
      <c r="M85" s="3">
        <f>VLOOKUP(A85,资源索引!$A$2:$F$29,5,FALSE)*VLOOKUP(C85+1,资源索引!$I$1:$J$6,2,FALSE)</f>
        <v>240000</v>
      </c>
      <c r="N85" s="3">
        <f>SUM(M$82:M85)</f>
        <v>480000</v>
      </c>
      <c r="O85" s="3">
        <f>VLOOKUP(A85,资源索引!$A$2:$F$29,6,FALSE)*VLOOKUP(C85+1,资源索引!$I$1:$J$6,2,FALSE)</f>
        <v>240000</v>
      </c>
      <c r="P85" s="3">
        <f>SUM(O$82:O85)</f>
        <v>480000</v>
      </c>
      <c r="Q85" s="3">
        <v>2</v>
      </c>
      <c r="R85" s="3">
        <v>0</v>
      </c>
      <c r="S85" s="3">
        <v>9946</v>
      </c>
      <c r="T85" s="3">
        <v>4</v>
      </c>
      <c r="U85" s="3">
        <v>4</v>
      </c>
      <c r="V85" s="3">
        <v>0</v>
      </c>
      <c r="W85" s="3" t="s">
        <v>471</v>
      </c>
      <c r="X85" s="3">
        <v>4857</v>
      </c>
      <c r="Z85" s="2">
        <v>4000000</v>
      </c>
      <c r="AA85" s="3">
        <v>0</v>
      </c>
      <c r="AB85" s="3">
        <v>0</v>
      </c>
      <c r="AC85" s="3">
        <v>0</v>
      </c>
      <c r="AD85" s="3">
        <v>0</v>
      </c>
      <c r="AE85" s="3">
        <v>1033</v>
      </c>
      <c r="AF85" s="3">
        <v>1073</v>
      </c>
      <c r="AG85" s="3">
        <v>373</v>
      </c>
      <c r="AH85" s="3">
        <v>374</v>
      </c>
      <c r="AI85" s="3">
        <v>375</v>
      </c>
      <c r="AJ85" s="3">
        <v>0</v>
      </c>
      <c r="AK85" s="3" t="s">
        <v>468</v>
      </c>
    </row>
    <row r="86" spans="1:37" s="3" customFormat="1" x14ac:dyDescent="0.15">
      <c r="A86" s="3">
        <v>14</v>
      </c>
      <c r="B86" s="3" t="s">
        <v>467</v>
      </c>
      <c r="C86" s="3">
        <v>4</v>
      </c>
      <c r="D86" s="3">
        <v>5</v>
      </c>
      <c r="E86" s="3">
        <v>1</v>
      </c>
      <c r="F86" s="3">
        <v>170</v>
      </c>
      <c r="G86" s="3">
        <f>VLOOKUP(A86,资源索引!$A$2:$F$29,2,FALSE)*VLOOKUP(C86+1,资源索引!$I$1:$J$6,2,FALSE)</f>
        <v>800000</v>
      </c>
      <c r="H86" s="3">
        <f>SUM(G$82:G86)</f>
        <v>1760000</v>
      </c>
      <c r="I86" s="3">
        <f>VLOOKUP(A86,资源索引!$A$2:$F$29,3,FALSE)*VLOOKUP(C86+1,资源索引!$I$1:$J$6,2,FALSE)</f>
        <v>400000</v>
      </c>
      <c r="J86" s="3">
        <f>SUM(I$82:I86)</f>
        <v>880000</v>
      </c>
      <c r="K86" s="3">
        <f>VLOOKUP(A86,资源索引!$A$2:$F$29,4,FALSE)*VLOOKUP(C86+1,资源索引!$I$1:$J$6,2,FALSE)</f>
        <v>400000</v>
      </c>
      <c r="L86" s="3">
        <f>SUM(K$82:K86)</f>
        <v>880000</v>
      </c>
      <c r="M86" s="3">
        <f>VLOOKUP(A86,资源索引!$A$2:$F$29,5,FALSE)*VLOOKUP(C86+1,资源索引!$I$1:$J$6,2,FALSE)</f>
        <v>400000</v>
      </c>
      <c r="N86" s="3">
        <f>SUM(M$82:M86)</f>
        <v>880000</v>
      </c>
      <c r="O86" s="3">
        <f>VLOOKUP(A86,资源索引!$A$2:$F$29,6,FALSE)*VLOOKUP(C86+1,资源索引!$I$1:$J$6,2,FALSE)</f>
        <v>400000</v>
      </c>
      <c r="P86" s="3">
        <f>SUM(O$82:O86)</f>
        <v>880000</v>
      </c>
      <c r="Q86" s="3">
        <v>2</v>
      </c>
      <c r="R86" s="3">
        <v>0</v>
      </c>
      <c r="S86" s="3">
        <v>9946</v>
      </c>
      <c r="T86" s="3">
        <v>4</v>
      </c>
      <c r="U86" s="3">
        <v>5</v>
      </c>
      <c r="V86" s="3">
        <v>0</v>
      </c>
      <c r="W86" s="3" t="s">
        <v>472</v>
      </c>
      <c r="X86" s="3">
        <v>4857</v>
      </c>
      <c r="Z86" s="2">
        <v>6000000</v>
      </c>
      <c r="AA86" s="3">
        <v>0</v>
      </c>
      <c r="AB86" s="3">
        <v>0</v>
      </c>
      <c r="AC86" s="3">
        <v>0</v>
      </c>
      <c r="AD86" s="3">
        <v>0</v>
      </c>
      <c r="AE86" s="3">
        <v>1033</v>
      </c>
      <c r="AF86" s="3">
        <v>1073</v>
      </c>
      <c r="AG86" s="3">
        <v>373</v>
      </c>
      <c r="AH86" s="3">
        <v>374</v>
      </c>
      <c r="AI86" s="3">
        <v>375</v>
      </c>
      <c r="AJ86" s="3">
        <v>0</v>
      </c>
      <c r="AK86" s="3" t="s">
        <v>468</v>
      </c>
    </row>
    <row r="87" spans="1:37" s="3" customFormat="1" x14ac:dyDescent="0.15">
      <c r="A87" s="3">
        <v>14</v>
      </c>
      <c r="B87" s="3" t="s">
        <v>467</v>
      </c>
      <c r="C87" s="3">
        <v>5</v>
      </c>
      <c r="D87" s="3">
        <v>5</v>
      </c>
      <c r="E87" s="3">
        <v>1</v>
      </c>
      <c r="F87" s="3">
        <v>200</v>
      </c>
      <c r="G87" s="3">
        <f>VLOOKUP(A87,资源索引!$A$2:$F$29,2,FALSE)*VLOOKUP(C87+1,资源索引!$I$1:$J$6,2,FALSE)</f>
        <v>1440000</v>
      </c>
      <c r="H87" s="3">
        <f>SUM(G$82:G87)</f>
        <v>3200000</v>
      </c>
      <c r="I87" s="3">
        <f>VLOOKUP(A87,资源索引!$A$2:$F$29,3,FALSE)*VLOOKUP(C87+1,资源索引!$I$1:$J$6,2,FALSE)</f>
        <v>720000</v>
      </c>
      <c r="J87" s="3">
        <f>SUM(I$82:I87)</f>
        <v>1600000</v>
      </c>
      <c r="K87" s="3">
        <f>VLOOKUP(A87,资源索引!$A$2:$F$29,4,FALSE)*VLOOKUP(C87+1,资源索引!$I$1:$J$6,2,FALSE)</f>
        <v>720000</v>
      </c>
      <c r="L87" s="3">
        <f>SUM(K$82:K87)</f>
        <v>1600000</v>
      </c>
      <c r="M87" s="3">
        <f>VLOOKUP(A87,资源索引!$A$2:$F$29,5,FALSE)*VLOOKUP(C87+1,资源索引!$I$1:$J$6,2,FALSE)</f>
        <v>720000</v>
      </c>
      <c r="N87" s="3">
        <f>SUM(M$82:M87)</f>
        <v>1600000</v>
      </c>
      <c r="O87" s="3">
        <f>VLOOKUP(A87,资源索引!$A$2:$F$29,6,FALSE)*VLOOKUP(C87+1,资源索引!$I$1:$J$6,2,FALSE)</f>
        <v>720000</v>
      </c>
      <c r="P87" s="3">
        <f>SUM(O$82:O87)</f>
        <v>1600000</v>
      </c>
      <c r="Q87" s="3">
        <v>2</v>
      </c>
      <c r="R87" s="3">
        <v>0</v>
      </c>
      <c r="S87" s="3">
        <v>9946</v>
      </c>
      <c r="T87" s="3">
        <v>4</v>
      </c>
      <c r="U87" s="3">
        <v>6</v>
      </c>
      <c r="V87" s="3">
        <v>0</v>
      </c>
      <c r="W87" s="3" t="s">
        <v>473</v>
      </c>
      <c r="X87" s="3">
        <v>4857</v>
      </c>
      <c r="Z87" s="2">
        <v>8000000</v>
      </c>
      <c r="AA87" s="3">
        <v>0</v>
      </c>
      <c r="AB87" s="3">
        <v>0</v>
      </c>
      <c r="AC87" s="3">
        <v>0</v>
      </c>
      <c r="AD87" s="3">
        <v>0</v>
      </c>
      <c r="AE87" s="3">
        <v>1033</v>
      </c>
      <c r="AF87" s="3">
        <v>1073</v>
      </c>
      <c r="AG87" s="3">
        <v>376</v>
      </c>
      <c r="AH87" s="3">
        <v>377</v>
      </c>
      <c r="AI87" s="3">
        <v>378</v>
      </c>
      <c r="AJ87" s="3">
        <v>0</v>
      </c>
      <c r="AK87" s="3" t="s">
        <v>468</v>
      </c>
    </row>
    <row r="88" spans="1:37" s="2" customFormat="1" x14ac:dyDescent="0.15">
      <c r="A88" s="2">
        <v>15</v>
      </c>
      <c r="B88" s="2" t="s">
        <v>474</v>
      </c>
      <c r="C88" s="2">
        <v>0</v>
      </c>
      <c r="D88" s="2">
        <v>5</v>
      </c>
      <c r="E88" s="2">
        <v>1</v>
      </c>
      <c r="F88" s="2">
        <v>50</v>
      </c>
      <c r="G88" s="2">
        <f>VLOOKUP(A88,资源索引!$A$2:$F$29,2,FALSE)*VLOOKUP(C88+1,资源索引!$I$1:$J$6,2,FALSE)</f>
        <v>80000</v>
      </c>
      <c r="H88" s="2">
        <f>SUM(G$88:G88)</f>
        <v>80000</v>
      </c>
      <c r="I88" s="2">
        <f>VLOOKUP(A88,资源索引!$A$2:$F$29,3,FALSE)*VLOOKUP(C88+1,资源索引!$I$1:$J$6,2,FALSE)</f>
        <v>40000</v>
      </c>
      <c r="J88" s="2">
        <f>SUM(I$88:I88)</f>
        <v>40000</v>
      </c>
      <c r="K88" s="2">
        <f>VLOOKUP(A88,资源索引!$A$2:$F$29,4,FALSE)*VLOOKUP(C88+1,资源索引!$I$1:$J$6,2,FALSE)</f>
        <v>40000</v>
      </c>
      <c r="L88" s="2">
        <f>SUM(K$88:K88)</f>
        <v>40000</v>
      </c>
      <c r="M88" s="2">
        <f>VLOOKUP(A88,资源索引!$A$2:$F$29,5,FALSE)*VLOOKUP(C88+1,资源索引!$I$1:$J$6,2,FALSE)</f>
        <v>40000</v>
      </c>
      <c r="N88" s="2">
        <f>SUM(M$88:M88)</f>
        <v>40000</v>
      </c>
      <c r="O88" s="2">
        <f>VLOOKUP(A88,资源索引!$A$2:$F$29,6,FALSE)*VLOOKUP(C88+1,资源索引!$I$1:$J$6,2,FALSE)</f>
        <v>40000</v>
      </c>
      <c r="P88" s="2">
        <f>SUM(O$88:O88)</f>
        <v>40000</v>
      </c>
      <c r="Q88" s="2">
        <v>2</v>
      </c>
      <c r="R88" s="2">
        <v>0</v>
      </c>
      <c r="S88" s="2">
        <v>9946</v>
      </c>
      <c r="T88" s="2">
        <v>4</v>
      </c>
      <c r="U88" s="2">
        <v>1</v>
      </c>
      <c r="V88" s="2">
        <v>0</v>
      </c>
      <c r="W88" s="2">
        <v>9946</v>
      </c>
      <c r="X88" s="2">
        <v>8600</v>
      </c>
      <c r="Z88" s="2">
        <v>600000</v>
      </c>
      <c r="AA88" s="2">
        <v>0</v>
      </c>
      <c r="AB88" s="2">
        <v>0</v>
      </c>
      <c r="AC88" s="2">
        <v>0</v>
      </c>
      <c r="AD88" s="2">
        <v>0</v>
      </c>
      <c r="AE88" s="2">
        <v>1034</v>
      </c>
      <c r="AF88" s="2">
        <v>1074</v>
      </c>
      <c r="AJ88" s="2">
        <v>0</v>
      </c>
      <c r="AK88" s="2" t="s">
        <v>475</v>
      </c>
    </row>
    <row r="89" spans="1:37" s="2" customFormat="1" x14ac:dyDescent="0.15">
      <c r="A89" s="2">
        <v>15</v>
      </c>
      <c r="B89" s="2" t="s">
        <v>474</v>
      </c>
      <c r="C89" s="2">
        <v>1</v>
      </c>
      <c r="D89" s="2">
        <v>5</v>
      </c>
      <c r="E89" s="2">
        <v>1</v>
      </c>
      <c r="F89" s="2">
        <v>80</v>
      </c>
      <c r="G89" s="2">
        <f>VLOOKUP(A89,资源索引!$A$2:$F$29,2,FALSE)*VLOOKUP(C89+1,资源索引!$I$1:$J$6,2,FALSE)</f>
        <v>140000</v>
      </c>
      <c r="H89" s="2">
        <f>SUM(G$88:G89)</f>
        <v>220000</v>
      </c>
      <c r="I89" s="2">
        <f>VLOOKUP(A89,资源索引!$A$2:$F$29,3,FALSE)*VLOOKUP(C89+1,资源索引!$I$1:$J$6,2,FALSE)</f>
        <v>70000</v>
      </c>
      <c r="J89" s="2">
        <f>SUM(I$88:I89)</f>
        <v>110000</v>
      </c>
      <c r="K89" s="2">
        <f>VLOOKUP(A89,资源索引!$A$2:$F$29,4,FALSE)*VLOOKUP(C89+1,资源索引!$I$1:$J$6,2,FALSE)</f>
        <v>70000</v>
      </c>
      <c r="L89" s="2">
        <f>SUM(K$88:K89)</f>
        <v>110000</v>
      </c>
      <c r="M89" s="2">
        <f>VLOOKUP(A89,资源索引!$A$2:$F$29,5,FALSE)*VLOOKUP(C89+1,资源索引!$I$1:$J$6,2,FALSE)</f>
        <v>70000</v>
      </c>
      <c r="N89" s="2">
        <f>SUM(M$88:M89)</f>
        <v>110000</v>
      </c>
      <c r="O89" s="2">
        <f>VLOOKUP(A89,资源索引!$A$2:$F$29,6,FALSE)*VLOOKUP(C89+1,资源索引!$I$1:$J$6,2,FALSE)</f>
        <v>70000</v>
      </c>
      <c r="P89" s="2">
        <f>SUM(O$88:O89)</f>
        <v>110000</v>
      </c>
      <c r="Q89" s="2">
        <v>2</v>
      </c>
      <c r="R89" s="2">
        <v>0</v>
      </c>
      <c r="S89" s="2">
        <v>9946</v>
      </c>
      <c r="T89" s="2">
        <v>4</v>
      </c>
      <c r="U89" s="2">
        <v>2</v>
      </c>
      <c r="V89" s="2">
        <v>0</v>
      </c>
      <c r="W89" s="2" t="s">
        <v>476</v>
      </c>
      <c r="X89" s="2">
        <v>8600</v>
      </c>
      <c r="Z89" s="2">
        <v>1200000</v>
      </c>
      <c r="AA89" s="2">
        <v>0</v>
      </c>
      <c r="AB89" s="2">
        <v>0</v>
      </c>
      <c r="AC89" s="2">
        <v>0</v>
      </c>
      <c r="AD89" s="2">
        <v>0</v>
      </c>
      <c r="AE89" s="2">
        <v>1034</v>
      </c>
      <c r="AF89" s="2">
        <v>1074</v>
      </c>
      <c r="AG89" s="2">
        <v>370</v>
      </c>
      <c r="AH89" s="2">
        <v>371</v>
      </c>
      <c r="AI89" s="2">
        <v>372</v>
      </c>
      <c r="AJ89" s="2">
        <v>0</v>
      </c>
      <c r="AK89" s="2" t="s">
        <v>475</v>
      </c>
    </row>
    <row r="90" spans="1:37" s="2" customFormat="1" x14ac:dyDescent="0.15">
      <c r="A90" s="2">
        <v>15</v>
      </c>
      <c r="B90" s="2" t="s">
        <v>474</v>
      </c>
      <c r="C90" s="2">
        <v>2</v>
      </c>
      <c r="D90" s="2">
        <v>5</v>
      </c>
      <c r="E90" s="2">
        <v>1</v>
      </c>
      <c r="F90" s="2">
        <v>110</v>
      </c>
      <c r="G90" s="2">
        <f>VLOOKUP(A90,资源索引!$A$2:$F$29,2,FALSE)*VLOOKUP(C90+1,资源索引!$I$1:$J$6,2,FALSE)</f>
        <v>260000</v>
      </c>
      <c r="H90" s="2">
        <f>SUM(G$88:G90)</f>
        <v>480000</v>
      </c>
      <c r="I90" s="2">
        <f>VLOOKUP(A90,资源索引!$A$2:$F$29,3,FALSE)*VLOOKUP(C90+1,资源索引!$I$1:$J$6,2,FALSE)</f>
        <v>130000</v>
      </c>
      <c r="J90" s="2">
        <f>SUM(I$88:I90)</f>
        <v>240000</v>
      </c>
      <c r="K90" s="2">
        <f>VLOOKUP(A90,资源索引!$A$2:$F$29,4,FALSE)*VLOOKUP(C90+1,资源索引!$I$1:$J$6,2,FALSE)</f>
        <v>130000</v>
      </c>
      <c r="L90" s="2">
        <f>SUM(K$88:K90)</f>
        <v>240000</v>
      </c>
      <c r="M90" s="2">
        <f>VLOOKUP(A90,资源索引!$A$2:$F$29,5,FALSE)*VLOOKUP(C90+1,资源索引!$I$1:$J$6,2,FALSE)</f>
        <v>130000</v>
      </c>
      <c r="N90" s="2">
        <f>SUM(M$88:M90)</f>
        <v>240000</v>
      </c>
      <c r="O90" s="2">
        <f>VLOOKUP(A90,资源索引!$A$2:$F$29,6,FALSE)*VLOOKUP(C90+1,资源索引!$I$1:$J$6,2,FALSE)</f>
        <v>130000</v>
      </c>
      <c r="P90" s="2">
        <f>SUM(O$88:O90)</f>
        <v>240000</v>
      </c>
      <c r="Q90" s="2">
        <v>2</v>
      </c>
      <c r="R90" s="2">
        <v>0</v>
      </c>
      <c r="S90" s="2">
        <v>9946</v>
      </c>
      <c r="T90" s="2">
        <v>4</v>
      </c>
      <c r="U90" s="2">
        <v>3</v>
      </c>
      <c r="V90" s="2">
        <v>0</v>
      </c>
      <c r="W90" s="2" t="s">
        <v>477</v>
      </c>
      <c r="X90" s="2">
        <v>8600</v>
      </c>
      <c r="Z90" s="2">
        <v>2400000</v>
      </c>
      <c r="AA90" s="2">
        <v>0</v>
      </c>
      <c r="AB90" s="2">
        <v>0</v>
      </c>
      <c r="AC90" s="2">
        <v>0</v>
      </c>
      <c r="AD90" s="2">
        <v>0</v>
      </c>
      <c r="AE90" s="2">
        <v>1034</v>
      </c>
      <c r="AF90" s="2">
        <v>1074</v>
      </c>
      <c r="AG90" s="2">
        <v>370</v>
      </c>
      <c r="AH90" s="2">
        <v>371</v>
      </c>
      <c r="AI90" s="2">
        <v>372</v>
      </c>
      <c r="AJ90" s="2">
        <v>0</v>
      </c>
      <c r="AK90" s="2" t="s">
        <v>475</v>
      </c>
    </row>
    <row r="91" spans="1:37" s="2" customFormat="1" x14ac:dyDescent="0.15">
      <c r="A91" s="2">
        <v>15</v>
      </c>
      <c r="B91" s="2" t="s">
        <v>474</v>
      </c>
      <c r="C91" s="2">
        <v>3</v>
      </c>
      <c r="D91" s="2">
        <v>5</v>
      </c>
      <c r="E91" s="2">
        <v>1</v>
      </c>
      <c r="F91" s="2">
        <v>140</v>
      </c>
      <c r="G91" s="2">
        <f>VLOOKUP(A91,资源索引!$A$2:$F$29,2,FALSE)*VLOOKUP(C91+1,资源索引!$I$1:$J$6,2,FALSE)</f>
        <v>480000</v>
      </c>
      <c r="H91" s="2">
        <f>SUM(G$88:G91)</f>
        <v>960000</v>
      </c>
      <c r="I91" s="2">
        <f>VLOOKUP(A91,资源索引!$A$2:$F$29,3,FALSE)*VLOOKUP(C91+1,资源索引!$I$1:$J$6,2,FALSE)</f>
        <v>240000</v>
      </c>
      <c r="J91" s="2">
        <f>SUM(I$88:I91)</f>
        <v>480000</v>
      </c>
      <c r="K91" s="2">
        <f>VLOOKUP(A91,资源索引!$A$2:$F$29,4,FALSE)*VLOOKUP(C91+1,资源索引!$I$1:$J$6,2,FALSE)</f>
        <v>240000</v>
      </c>
      <c r="L91" s="2">
        <f>SUM(K$88:K91)</f>
        <v>480000</v>
      </c>
      <c r="M91" s="2">
        <f>VLOOKUP(A91,资源索引!$A$2:$F$29,5,FALSE)*VLOOKUP(C91+1,资源索引!$I$1:$J$6,2,FALSE)</f>
        <v>240000</v>
      </c>
      <c r="N91" s="2">
        <f>SUM(M$88:M91)</f>
        <v>480000</v>
      </c>
      <c r="O91" s="2">
        <f>VLOOKUP(A91,资源索引!$A$2:$F$29,6,FALSE)*VLOOKUP(C91+1,资源索引!$I$1:$J$6,2,FALSE)</f>
        <v>240000</v>
      </c>
      <c r="P91" s="2">
        <f>SUM(O$88:O91)</f>
        <v>480000</v>
      </c>
      <c r="Q91" s="2">
        <v>2</v>
      </c>
      <c r="R91" s="2">
        <v>0</v>
      </c>
      <c r="S91" s="2">
        <v>9946</v>
      </c>
      <c r="T91" s="2">
        <v>4</v>
      </c>
      <c r="U91" s="2">
        <v>4</v>
      </c>
      <c r="V91" s="2">
        <v>0</v>
      </c>
      <c r="W91" s="2" t="s">
        <v>478</v>
      </c>
      <c r="X91" s="2">
        <v>8600</v>
      </c>
      <c r="Z91" s="2">
        <v>4000000</v>
      </c>
      <c r="AA91" s="2">
        <v>0</v>
      </c>
      <c r="AB91" s="2">
        <v>0</v>
      </c>
      <c r="AC91" s="2">
        <v>0</v>
      </c>
      <c r="AD91" s="2">
        <v>0</v>
      </c>
      <c r="AE91" s="2">
        <v>1034</v>
      </c>
      <c r="AF91" s="2">
        <v>1074</v>
      </c>
      <c r="AG91" s="2">
        <v>373</v>
      </c>
      <c r="AH91" s="2">
        <v>374</v>
      </c>
      <c r="AI91" s="2">
        <v>375</v>
      </c>
      <c r="AJ91" s="2">
        <v>0</v>
      </c>
      <c r="AK91" s="2" t="s">
        <v>475</v>
      </c>
    </row>
    <row r="92" spans="1:37" s="2" customFormat="1" x14ac:dyDescent="0.15">
      <c r="A92" s="2">
        <v>15</v>
      </c>
      <c r="B92" s="2" t="s">
        <v>474</v>
      </c>
      <c r="C92" s="2">
        <v>4</v>
      </c>
      <c r="D92" s="2">
        <v>5</v>
      </c>
      <c r="E92" s="2">
        <v>1</v>
      </c>
      <c r="F92" s="2">
        <v>170</v>
      </c>
      <c r="G92" s="2">
        <f>VLOOKUP(A92,资源索引!$A$2:$F$29,2,FALSE)*VLOOKUP(C92+1,资源索引!$I$1:$J$6,2,FALSE)</f>
        <v>800000</v>
      </c>
      <c r="H92" s="2">
        <f>SUM(G$88:G92)</f>
        <v>1760000</v>
      </c>
      <c r="I92" s="2">
        <f>VLOOKUP(A92,资源索引!$A$2:$F$29,3,FALSE)*VLOOKUP(C92+1,资源索引!$I$1:$J$6,2,FALSE)</f>
        <v>400000</v>
      </c>
      <c r="J92" s="2">
        <f>SUM(I$88:I92)</f>
        <v>880000</v>
      </c>
      <c r="K92" s="2">
        <f>VLOOKUP(A92,资源索引!$A$2:$F$29,4,FALSE)*VLOOKUP(C92+1,资源索引!$I$1:$J$6,2,FALSE)</f>
        <v>400000</v>
      </c>
      <c r="L92" s="2">
        <f>SUM(K$88:K92)</f>
        <v>880000</v>
      </c>
      <c r="M92" s="2">
        <f>VLOOKUP(A92,资源索引!$A$2:$F$29,5,FALSE)*VLOOKUP(C92+1,资源索引!$I$1:$J$6,2,FALSE)</f>
        <v>400000</v>
      </c>
      <c r="N92" s="2">
        <f>SUM(M$88:M92)</f>
        <v>880000</v>
      </c>
      <c r="O92" s="2">
        <f>VLOOKUP(A92,资源索引!$A$2:$F$29,6,FALSE)*VLOOKUP(C92+1,资源索引!$I$1:$J$6,2,FALSE)</f>
        <v>400000</v>
      </c>
      <c r="P92" s="2">
        <f>SUM(O$88:O92)</f>
        <v>880000</v>
      </c>
      <c r="Q92" s="2">
        <v>2</v>
      </c>
      <c r="R92" s="2">
        <v>0</v>
      </c>
      <c r="S92" s="2">
        <v>9946</v>
      </c>
      <c r="T92" s="2">
        <v>4</v>
      </c>
      <c r="U92" s="2">
        <v>5</v>
      </c>
      <c r="V92" s="2">
        <v>0</v>
      </c>
      <c r="W92" s="2" t="s">
        <v>479</v>
      </c>
      <c r="X92" s="2">
        <v>8600</v>
      </c>
      <c r="Z92" s="2">
        <v>6000000</v>
      </c>
      <c r="AA92" s="2">
        <v>0</v>
      </c>
      <c r="AB92" s="2">
        <v>0</v>
      </c>
      <c r="AC92" s="2">
        <v>0</v>
      </c>
      <c r="AD92" s="2">
        <v>0</v>
      </c>
      <c r="AE92" s="2">
        <v>1034</v>
      </c>
      <c r="AF92" s="2">
        <v>1074</v>
      </c>
      <c r="AG92" s="2">
        <v>373</v>
      </c>
      <c r="AH92" s="2">
        <v>374</v>
      </c>
      <c r="AI92" s="2">
        <v>375</v>
      </c>
      <c r="AJ92" s="2">
        <v>0</v>
      </c>
      <c r="AK92" s="2" t="s">
        <v>475</v>
      </c>
    </row>
    <row r="93" spans="1:37" s="2" customFormat="1" x14ac:dyDescent="0.15">
      <c r="A93" s="2">
        <v>15</v>
      </c>
      <c r="B93" s="2" t="s">
        <v>474</v>
      </c>
      <c r="C93" s="2">
        <v>5</v>
      </c>
      <c r="D93" s="2">
        <v>5</v>
      </c>
      <c r="E93" s="2">
        <v>1</v>
      </c>
      <c r="F93" s="2">
        <v>200</v>
      </c>
      <c r="G93" s="2">
        <f>VLOOKUP(A93,资源索引!$A$2:$F$29,2,FALSE)*VLOOKUP(C93+1,资源索引!$I$1:$J$6,2,FALSE)</f>
        <v>1440000</v>
      </c>
      <c r="H93" s="2">
        <f>SUM(G$88:G93)</f>
        <v>3200000</v>
      </c>
      <c r="I93" s="2">
        <f>VLOOKUP(A93,资源索引!$A$2:$F$29,3,FALSE)*VLOOKUP(C93+1,资源索引!$I$1:$J$6,2,FALSE)</f>
        <v>720000</v>
      </c>
      <c r="J93" s="2">
        <f>SUM(I$88:I93)</f>
        <v>1600000</v>
      </c>
      <c r="K93" s="2">
        <f>VLOOKUP(A93,资源索引!$A$2:$F$29,4,FALSE)*VLOOKUP(C93+1,资源索引!$I$1:$J$6,2,FALSE)</f>
        <v>720000</v>
      </c>
      <c r="L93" s="2">
        <f>SUM(K$88:K93)</f>
        <v>1600000</v>
      </c>
      <c r="M93" s="2">
        <f>VLOOKUP(A93,资源索引!$A$2:$F$29,5,FALSE)*VLOOKUP(C93+1,资源索引!$I$1:$J$6,2,FALSE)</f>
        <v>720000</v>
      </c>
      <c r="N93" s="2">
        <f>SUM(M$88:M93)</f>
        <v>1600000</v>
      </c>
      <c r="O93" s="2">
        <f>VLOOKUP(A93,资源索引!$A$2:$F$29,6,FALSE)*VLOOKUP(C93+1,资源索引!$I$1:$J$6,2,FALSE)</f>
        <v>720000</v>
      </c>
      <c r="P93" s="2">
        <f>SUM(O$88:O93)</f>
        <v>1600000</v>
      </c>
      <c r="Q93" s="2">
        <v>2</v>
      </c>
      <c r="R93" s="2">
        <v>0</v>
      </c>
      <c r="S93" s="2">
        <v>9946</v>
      </c>
      <c r="T93" s="2">
        <v>4</v>
      </c>
      <c r="U93" s="2">
        <v>6</v>
      </c>
      <c r="V93" s="2">
        <v>0</v>
      </c>
      <c r="W93" s="2" t="s">
        <v>480</v>
      </c>
      <c r="X93" s="2">
        <v>8600</v>
      </c>
      <c r="Z93" s="2">
        <v>8000000</v>
      </c>
      <c r="AA93" s="2">
        <v>0</v>
      </c>
      <c r="AB93" s="2">
        <v>0</v>
      </c>
      <c r="AC93" s="2">
        <v>0</v>
      </c>
      <c r="AD93" s="2">
        <v>0</v>
      </c>
      <c r="AE93" s="2">
        <v>1034</v>
      </c>
      <c r="AF93" s="2">
        <v>1074</v>
      </c>
      <c r="AG93" s="2">
        <v>376</v>
      </c>
      <c r="AH93" s="2">
        <v>377</v>
      </c>
      <c r="AI93" s="2">
        <v>378</v>
      </c>
      <c r="AJ93" s="2">
        <v>0</v>
      </c>
      <c r="AK93" s="2" t="s">
        <v>475</v>
      </c>
    </row>
    <row r="94" spans="1:37" s="3" customFormat="1" x14ac:dyDescent="0.15">
      <c r="A94" s="3">
        <v>16</v>
      </c>
      <c r="B94" s="3" t="s">
        <v>481</v>
      </c>
      <c r="C94" s="3">
        <v>0</v>
      </c>
      <c r="D94" s="3">
        <v>5</v>
      </c>
      <c r="E94" s="3">
        <v>1</v>
      </c>
      <c r="F94" s="3">
        <v>50</v>
      </c>
      <c r="G94" s="3">
        <f>VLOOKUP(A94,资源索引!$A$2:$F$29,2,FALSE)*VLOOKUP(C94+1,资源索引!$I$1:$J$6,2,FALSE)</f>
        <v>40000</v>
      </c>
      <c r="H94" s="3">
        <f>SUM(G$94:G94)</f>
        <v>40000</v>
      </c>
      <c r="I94" s="3">
        <f>VLOOKUP(A94,资源索引!$A$2:$F$29,3,FALSE)*VLOOKUP(C94+1,资源索引!$I$1:$J$6,2,FALSE)</f>
        <v>40000</v>
      </c>
      <c r="J94" s="3">
        <f>SUM(I$94:I94)</f>
        <v>40000</v>
      </c>
      <c r="K94" s="3">
        <f>VLOOKUP(A94,资源索引!$A$2:$F$29,4,FALSE)*VLOOKUP(C94+1,资源索引!$I$1:$J$6,2,FALSE)</f>
        <v>40000</v>
      </c>
      <c r="L94" s="3">
        <f>SUM(K$94:K94)</f>
        <v>40000</v>
      </c>
      <c r="M94" s="3">
        <f>VLOOKUP(A94,资源索引!$A$2:$F$29,5,FALSE)*VLOOKUP(C94+1,资源索引!$I$1:$J$6,2,FALSE)</f>
        <v>40000</v>
      </c>
      <c r="N94" s="3">
        <f>SUM(M$94:M94)</f>
        <v>40000</v>
      </c>
      <c r="O94" s="3">
        <f>VLOOKUP(A94,资源索引!$A$2:$F$29,6,FALSE)*VLOOKUP(C94+1,资源索引!$I$1:$J$6,2,FALSE)</f>
        <v>40000</v>
      </c>
      <c r="P94" s="3">
        <f>SUM(O$94:O94)</f>
        <v>40000</v>
      </c>
      <c r="Q94" s="3">
        <v>2</v>
      </c>
      <c r="R94" s="3">
        <v>0</v>
      </c>
      <c r="S94" s="3">
        <v>0</v>
      </c>
      <c r="T94" s="3">
        <v>0</v>
      </c>
      <c r="U94" s="3">
        <v>1</v>
      </c>
      <c r="V94" s="3">
        <v>0</v>
      </c>
      <c r="W94" s="3">
        <v>9946</v>
      </c>
      <c r="Z94" s="3">
        <v>40000</v>
      </c>
      <c r="AA94" s="3">
        <v>0</v>
      </c>
      <c r="AB94" s="3">
        <v>0</v>
      </c>
      <c r="AC94" s="3">
        <v>0</v>
      </c>
      <c r="AD94" s="3">
        <v>0</v>
      </c>
      <c r="AE94" s="3">
        <v>1035</v>
      </c>
      <c r="AF94" s="3">
        <v>1075</v>
      </c>
      <c r="AJ94" s="3">
        <v>0</v>
      </c>
      <c r="AK94" s="3" t="s">
        <v>482</v>
      </c>
    </row>
    <row r="95" spans="1:37" s="3" customFormat="1" x14ac:dyDescent="0.15">
      <c r="A95" s="3">
        <v>16</v>
      </c>
      <c r="B95" s="3" t="s">
        <v>481</v>
      </c>
      <c r="C95" s="3">
        <v>1</v>
      </c>
      <c r="D95" s="3">
        <v>5</v>
      </c>
      <c r="E95" s="3">
        <v>1</v>
      </c>
      <c r="F95" s="3">
        <v>80</v>
      </c>
      <c r="G95" s="3">
        <f>VLOOKUP(A95,资源索引!$A$2:$F$29,2,FALSE)*VLOOKUP(C95+1,资源索引!$I$1:$J$6,2,FALSE)</f>
        <v>70000</v>
      </c>
      <c r="H95" s="3">
        <f>SUM(G$94:G95)</f>
        <v>110000</v>
      </c>
      <c r="I95" s="3">
        <f>VLOOKUP(A95,资源索引!$A$2:$F$29,3,FALSE)*VLOOKUP(C95+1,资源索引!$I$1:$J$6,2,FALSE)</f>
        <v>70000</v>
      </c>
      <c r="J95" s="3">
        <f>SUM(I$94:I95)</f>
        <v>110000</v>
      </c>
      <c r="K95" s="3">
        <f>VLOOKUP(A95,资源索引!$A$2:$F$29,4,FALSE)*VLOOKUP(C95+1,资源索引!$I$1:$J$6,2,FALSE)</f>
        <v>70000</v>
      </c>
      <c r="L95" s="3">
        <f>SUM(K$94:K95)</f>
        <v>110000</v>
      </c>
      <c r="M95" s="3">
        <f>VLOOKUP(A95,资源索引!$A$2:$F$29,5,FALSE)*VLOOKUP(C95+1,资源索引!$I$1:$J$6,2,FALSE)</f>
        <v>70000</v>
      </c>
      <c r="N95" s="3">
        <f>SUM(M$94:M95)</f>
        <v>110000</v>
      </c>
      <c r="O95" s="3">
        <f>VLOOKUP(A95,资源索引!$A$2:$F$29,6,FALSE)*VLOOKUP(C95+1,资源索引!$I$1:$J$6,2,FALSE)</f>
        <v>70000</v>
      </c>
      <c r="P95" s="3">
        <f>SUM(O$94:O95)</f>
        <v>110000</v>
      </c>
      <c r="Q95" s="3">
        <v>2</v>
      </c>
      <c r="R95" s="3">
        <v>0</v>
      </c>
      <c r="S95" s="3">
        <v>0</v>
      </c>
      <c r="T95" s="3">
        <v>0</v>
      </c>
      <c r="U95" s="3">
        <v>2</v>
      </c>
      <c r="V95" s="3">
        <v>0</v>
      </c>
      <c r="W95" s="3" t="s">
        <v>483</v>
      </c>
      <c r="Z95" s="3">
        <v>40000</v>
      </c>
      <c r="AA95" s="3">
        <v>0</v>
      </c>
      <c r="AB95" s="3">
        <v>0</v>
      </c>
      <c r="AC95" s="3">
        <v>0</v>
      </c>
      <c r="AD95" s="3">
        <v>0</v>
      </c>
      <c r="AE95" s="3">
        <v>1035</v>
      </c>
      <c r="AF95" s="3">
        <v>1075</v>
      </c>
      <c r="AG95" s="3">
        <v>388</v>
      </c>
      <c r="AH95" s="3">
        <v>389</v>
      </c>
      <c r="AI95" s="3">
        <v>390</v>
      </c>
      <c r="AJ95" s="3">
        <v>0</v>
      </c>
      <c r="AK95" s="3" t="s">
        <v>482</v>
      </c>
    </row>
    <row r="96" spans="1:37" s="3" customFormat="1" x14ac:dyDescent="0.15">
      <c r="A96" s="3">
        <v>16</v>
      </c>
      <c r="B96" s="3" t="s">
        <v>481</v>
      </c>
      <c r="C96" s="3">
        <v>2</v>
      </c>
      <c r="D96" s="3">
        <v>5</v>
      </c>
      <c r="E96" s="3">
        <v>1</v>
      </c>
      <c r="F96" s="3">
        <v>110</v>
      </c>
      <c r="G96" s="3">
        <f>VLOOKUP(A96,资源索引!$A$2:$F$29,2,FALSE)*VLOOKUP(C96+1,资源索引!$I$1:$J$6,2,FALSE)</f>
        <v>130000</v>
      </c>
      <c r="H96" s="3">
        <f>SUM(G$94:G96)</f>
        <v>240000</v>
      </c>
      <c r="I96" s="3">
        <f>VLOOKUP(A96,资源索引!$A$2:$F$29,3,FALSE)*VLOOKUP(C96+1,资源索引!$I$1:$J$6,2,FALSE)</f>
        <v>130000</v>
      </c>
      <c r="J96" s="3">
        <f>SUM(I$94:I96)</f>
        <v>240000</v>
      </c>
      <c r="K96" s="3">
        <f>VLOOKUP(A96,资源索引!$A$2:$F$29,4,FALSE)*VLOOKUP(C96+1,资源索引!$I$1:$J$6,2,FALSE)</f>
        <v>130000</v>
      </c>
      <c r="L96" s="3">
        <f>SUM(K$94:K96)</f>
        <v>240000</v>
      </c>
      <c r="M96" s="3">
        <f>VLOOKUP(A96,资源索引!$A$2:$F$29,5,FALSE)*VLOOKUP(C96+1,资源索引!$I$1:$J$6,2,FALSE)</f>
        <v>130000</v>
      </c>
      <c r="N96" s="3">
        <f>SUM(M$94:M96)</f>
        <v>240000</v>
      </c>
      <c r="O96" s="3">
        <f>VLOOKUP(A96,资源索引!$A$2:$F$29,6,FALSE)*VLOOKUP(C96+1,资源索引!$I$1:$J$6,2,FALSE)</f>
        <v>130000</v>
      </c>
      <c r="P96" s="3">
        <f>SUM(O$94:O96)</f>
        <v>240000</v>
      </c>
      <c r="Q96" s="3">
        <v>2</v>
      </c>
      <c r="R96" s="3">
        <v>0</v>
      </c>
      <c r="S96" s="3">
        <v>0</v>
      </c>
      <c r="T96" s="3">
        <v>0</v>
      </c>
      <c r="U96" s="3">
        <v>3</v>
      </c>
      <c r="V96" s="3">
        <v>0</v>
      </c>
      <c r="W96" s="3" t="s">
        <v>484</v>
      </c>
      <c r="Z96" s="3">
        <v>100000</v>
      </c>
      <c r="AA96" s="3">
        <v>0</v>
      </c>
      <c r="AB96" s="3">
        <v>0</v>
      </c>
      <c r="AC96" s="3">
        <v>0</v>
      </c>
      <c r="AD96" s="3">
        <v>0</v>
      </c>
      <c r="AE96" s="3">
        <v>1035</v>
      </c>
      <c r="AF96" s="3">
        <v>1075</v>
      </c>
      <c r="AG96" s="3">
        <v>388</v>
      </c>
      <c r="AH96" s="3">
        <v>389</v>
      </c>
      <c r="AI96" s="3">
        <v>390</v>
      </c>
      <c r="AJ96" s="3">
        <v>0</v>
      </c>
      <c r="AK96" s="3" t="s">
        <v>482</v>
      </c>
    </row>
    <row r="97" spans="1:37" s="3" customFormat="1" x14ac:dyDescent="0.15">
      <c r="A97" s="3">
        <v>16</v>
      </c>
      <c r="B97" s="3" t="s">
        <v>481</v>
      </c>
      <c r="C97" s="3">
        <v>3</v>
      </c>
      <c r="D97" s="3">
        <v>5</v>
      </c>
      <c r="E97" s="3">
        <v>1</v>
      </c>
      <c r="F97" s="3">
        <v>140</v>
      </c>
      <c r="G97" s="3">
        <f>VLOOKUP(A97,资源索引!$A$2:$F$29,2,FALSE)*VLOOKUP(C97+1,资源索引!$I$1:$J$6,2,FALSE)</f>
        <v>240000</v>
      </c>
      <c r="H97" s="3">
        <f>SUM(G$94:G97)</f>
        <v>480000</v>
      </c>
      <c r="I97" s="3">
        <f>VLOOKUP(A97,资源索引!$A$2:$F$29,3,FALSE)*VLOOKUP(C97+1,资源索引!$I$1:$J$6,2,FALSE)</f>
        <v>240000</v>
      </c>
      <c r="J97" s="3">
        <f>SUM(I$94:I97)</f>
        <v>480000</v>
      </c>
      <c r="K97" s="3">
        <f>VLOOKUP(A97,资源索引!$A$2:$F$29,4,FALSE)*VLOOKUP(C97+1,资源索引!$I$1:$J$6,2,FALSE)</f>
        <v>240000</v>
      </c>
      <c r="L97" s="3">
        <f>SUM(K$94:K97)</f>
        <v>480000</v>
      </c>
      <c r="M97" s="3">
        <f>VLOOKUP(A97,资源索引!$A$2:$F$29,5,FALSE)*VLOOKUP(C97+1,资源索引!$I$1:$J$6,2,FALSE)</f>
        <v>240000</v>
      </c>
      <c r="N97" s="3">
        <f>SUM(M$94:M97)</f>
        <v>480000</v>
      </c>
      <c r="O97" s="3">
        <f>VLOOKUP(A97,资源索引!$A$2:$F$29,6,FALSE)*VLOOKUP(C97+1,资源索引!$I$1:$J$6,2,FALSE)</f>
        <v>240000</v>
      </c>
      <c r="P97" s="3">
        <f>SUM(O$94:O97)</f>
        <v>480000</v>
      </c>
      <c r="Q97" s="3">
        <v>2</v>
      </c>
      <c r="R97" s="3">
        <v>0</v>
      </c>
      <c r="S97" s="3">
        <v>0</v>
      </c>
      <c r="T97" s="3">
        <v>0</v>
      </c>
      <c r="U97" s="3">
        <v>4</v>
      </c>
      <c r="V97" s="3">
        <v>0</v>
      </c>
      <c r="W97" s="3" t="s">
        <v>485</v>
      </c>
      <c r="Z97" s="3">
        <v>200000</v>
      </c>
      <c r="AA97" s="3">
        <v>0</v>
      </c>
      <c r="AB97" s="3">
        <v>0</v>
      </c>
      <c r="AC97" s="3">
        <v>0</v>
      </c>
      <c r="AD97" s="3">
        <v>0</v>
      </c>
      <c r="AE97" s="3">
        <v>1035</v>
      </c>
      <c r="AF97" s="3">
        <v>1075</v>
      </c>
      <c r="AG97" s="3">
        <v>391</v>
      </c>
      <c r="AH97" s="3">
        <v>392</v>
      </c>
      <c r="AI97" s="3">
        <v>393</v>
      </c>
      <c r="AJ97" s="3">
        <v>0</v>
      </c>
      <c r="AK97" s="3" t="s">
        <v>482</v>
      </c>
    </row>
    <row r="98" spans="1:37" s="3" customFormat="1" x14ac:dyDescent="0.15">
      <c r="A98" s="3">
        <v>16</v>
      </c>
      <c r="B98" s="3" t="s">
        <v>481</v>
      </c>
      <c r="C98" s="3">
        <v>4</v>
      </c>
      <c r="D98" s="3">
        <v>5</v>
      </c>
      <c r="E98" s="3">
        <v>1</v>
      </c>
      <c r="F98" s="3">
        <v>170</v>
      </c>
      <c r="G98" s="3">
        <f>VLOOKUP(A98,资源索引!$A$2:$F$29,2,FALSE)*VLOOKUP(C98+1,资源索引!$I$1:$J$6,2,FALSE)</f>
        <v>400000</v>
      </c>
      <c r="H98" s="3">
        <f>SUM(G$94:G98)</f>
        <v>880000</v>
      </c>
      <c r="I98" s="3">
        <f>VLOOKUP(A98,资源索引!$A$2:$F$29,3,FALSE)*VLOOKUP(C98+1,资源索引!$I$1:$J$6,2,FALSE)</f>
        <v>400000</v>
      </c>
      <c r="J98" s="3">
        <f>SUM(I$94:I98)</f>
        <v>880000</v>
      </c>
      <c r="K98" s="3">
        <f>VLOOKUP(A98,资源索引!$A$2:$F$29,4,FALSE)*VLOOKUP(C98+1,资源索引!$I$1:$J$6,2,FALSE)</f>
        <v>400000</v>
      </c>
      <c r="L98" s="3">
        <f>SUM(K$94:K98)</f>
        <v>880000</v>
      </c>
      <c r="M98" s="3">
        <f>VLOOKUP(A98,资源索引!$A$2:$F$29,5,FALSE)*VLOOKUP(C98+1,资源索引!$I$1:$J$6,2,FALSE)</f>
        <v>400000</v>
      </c>
      <c r="N98" s="3">
        <f>SUM(M$94:M98)</f>
        <v>880000</v>
      </c>
      <c r="O98" s="3">
        <f>VLOOKUP(A98,资源索引!$A$2:$F$29,6,FALSE)*VLOOKUP(C98+1,资源索引!$I$1:$J$6,2,FALSE)</f>
        <v>400000</v>
      </c>
      <c r="P98" s="3">
        <f>SUM(O$94:O98)</f>
        <v>880000</v>
      </c>
      <c r="Q98" s="3">
        <v>2</v>
      </c>
      <c r="R98" s="3">
        <v>0</v>
      </c>
      <c r="S98" s="3">
        <v>0</v>
      </c>
      <c r="T98" s="3">
        <v>0</v>
      </c>
      <c r="U98" s="3">
        <v>5</v>
      </c>
      <c r="V98" s="3">
        <v>0</v>
      </c>
      <c r="W98" s="3" t="s">
        <v>486</v>
      </c>
      <c r="Z98" s="3">
        <v>400000</v>
      </c>
      <c r="AA98" s="3">
        <v>0</v>
      </c>
      <c r="AB98" s="3">
        <v>0</v>
      </c>
      <c r="AC98" s="3">
        <v>0</v>
      </c>
      <c r="AD98" s="3">
        <v>0</v>
      </c>
      <c r="AE98" s="3">
        <v>1035</v>
      </c>
      <c r="AF98" s="3">
        <v>1075</v>
      </c>
      <c r="AG98" s="3">
        <v>391</v>
      </c>
      <c r="AH98" s="3">
        <v>392</v>
      </c>
      <c r="AI98" s="3">
        <v>393</v>
      </c>
      <c r="AJ98" s="3">
        <v>0</v>
      </c>
      <c r="AK98" s="3" t="s">
        <v>482</v>
      </c>
    </row>
    <row r="99" spans="1:37" s="3" customFormat="1" x14ac:dyDescent="0.15">
      <c r="A99" s="3">
        <v>16</v>
      </c>
      <c r="B99" s="3" t="s">
        <v>481</v>
      </c>
      <c r="C99" s="3">
        <v>5</v>
      </c>
      <c r="D99" s="3">
        <v>5</v>
      </c>
      <c r="E99" s="3">
        <v>1</v>
      </c>
      <c r="F99" s="3">
        <v>200</v>
      </c>
      <c r="G99" s="3">
        <f>VLOOKUP(A99,资源索引!$A$2:$F$29,2,FALSE)*VLOOKUP(C99+1,资源索引!$I$1:$J$6,2,FALSE)</f>
        <v>720000</v>
      </c>
      <c r="H99" s="3">
        <f>SUM(G$94:G99)</f>
        <v>1600000</v>
      </c>
      <c r="I99" s="3">
        <f>VLOOKUP(A99,资源索引!$A$2:$F$29,3,FALSE)*VLOOKUP(C99+1,资源索引!$I$1:$J$6,2,FALSE)</f>
        <v>720000</v>
      </c>
      <c r="J99" s="3">
        <f>SUM(I$94:I99)</f>
        <v>1600000</v>
      </c>
      <c r="K99" s="3">
        <f>VLOOKUP(A99,资源索引!$A$2:$F$29,4,FALSE)*VLOOKUP(C99+1,资源索引!$I$1:$J$6,2,FALSE)</f>
        <v>720000</v>
      </c>
      <c r="L99" s="3">
        <f>SUM(K$94:K99)</f>
        <v>1600000</v>
      </c>
      <c r="M99" s="3">
        <f>VLOOKUP(A99,资源索引!$A$2:$F$29,5,FALSE)*VLOOKUP(C99+1,资源索引!$I$1:$J$6,2,FALSE)</f>
        <v>720000</v>
      </c>
      <c r="N99" s="3">
        <f>SUM(M$94:M99)</f>
        <v>1600000</v>
      </c>
      <c r="O99" s="3">
        <f>VLOOKUP(A99,资源索引!$A$2:$F$29,6,FALSE)*VLOOKUP(C99+1,资源索引!$I$1:$J$6,2,FALSE)</f>
        <v>720000</v>
      </c>
      <c r="P99" s="3">
        <f>SUM(O$94:O99)</f>
        <v>1600000</v>
      </c>
      <c r="Q99" s="3">
        <v>2</v>
      </c>
      <c r="R99" s="3">
        <v>0</v>
      </c>
      <c r="S99" s="3">
        <v>0</v>
      </c>
      <c r="T99" s="3">
        <v>0</v>
      </c>
      <c r="U99" s="3">
        <v>6</v>
      </c>
      <c r="V99" s="3">
        <v>0</v>
      </c>
      <c r="W99" s="3" t="s">
        <v>487</v>
      </c>
      <c r="Z99" s="3">
        <v>1000000</v>
      </c>
      <c r="AA99" s="3">
        <v>0</v>
      </c>
      <c r="AB99" s="3">
        <v>0</v>
      </c>
      <c r="AC99" s="3">
        <v>0</v>
      </c>
      <c r="AD99" s="3">
        <v>0</v>
      </c>
      <c r="AE99" s="3">
        <v>1035</v>
      </c>
      <c r="AF99" s="3">
        <v>1075</v>
      </c>
      <c r="AG99" s="3">
        <v>394</v>
      </c>
      <c r="AH99" s="3">
        <v>395</v>
      </c>
      <c r="AI99" s="3">
        <v>396</v>
      </c>
      <c r="AJ99" s="3">
        <v>0</v>
      </c>
      <c r="AK99" s="3" t="s">
        <v>482</v>
      </c>
    </row>
    <row r="100" spans="1:37" s="2" customFormat="1" x14ac:dyDescent="0.15">
      <c r="A100" s="2">
        <v>17</v>
      </c>
      <c r="B100" s="2" t="s">
        <v>488</v>
      </c>
      <c r="C100" s="2">
        <v>0</v>
      </c>
      <c r="D100" s="2">
        <v>5</v>
      </c>
      <c r="E100" s="2">
        <v>1</v>
      </c>
      <c r="F100" s="2">
        <v>50</v>
      </c>
      <c r="G100" s="2">
        <f>VLOOKUP(A100,资源索引!$A$2:$F$29,2,FALSE)*VLOOKUP(C100+1,资源索引!$I$1:$J$6,2,FALSE)</f>
        <v>40000</v>
      </c>
      <c r="H100" s="2">
        <f>SUM(G$100:G100)</f>
        <v>40000</v>
      </c>
      <c r="I100" s="2">
        <f>VLOOKUP(A100,资源索引!$A$2:$F$29,3,FALSE)*VLOOKUP(C100+1,资源索引!$I$1:$J$6,2,FALSE)</f>
        <v>40000</v>
      </c>
      <c r="J100" s="2">
        <f>SUM(I$100:I100)</f>
        <v>40000</v>
      </c>
      <c r="K100" s="2">
        <f>VLOOKUP(A100,资源索引!$A$2:$F$29,4,FALSE)*VLOOKUP(C100+1,资源索引!$I$1:$J$6,2,FALSE)</f>
        <v>40000</v>
      </c>
      <c r="L100" s="2">
        <f>SUM(K$100:K100)</f>
        <v>40000</v>
      </c>
      <c r="M100" s="2">
        <f>VLOOKUP(A100,资源索引!$A$2:$F$29,5,FALSE)*VLOOKUP(C100+1,资源索引!$I$1:$J$6,2,FALSE)</f>
        <v>40000</v>
      </c>
      <c r="N100" s="2">
        <f>SUM(M$100:M100)</f>
        <v>40000</v>
      </c>
      <c r="O100" s="2">
        <f>VLOOKUP(A100,资源索引!$A$2:$F$29,6,FALSE)*VLOOKUP(C100+1,资源索引!$I$1:$J$6,2,FALSE)</f>
        <v>40000</v>
      </c>
      <c r="P100" s="2">
        <f>SUM(O$100:O100)</f>
        <v>40000</v>
      </c>
      <c r="Q100" s="2">
        <v>2</v>
      </c>
      <c r="R100" s="2">
        <v>0</v>
      </c>
      <c r="S100" s="2">
        <v>0</v>
      </c>
      <c r="T100" s="2">
        <v>0</v>
      </c>
      <c r="U100" s="2">
        <v>1</v>
      </c>
      <c r="V100" s="2">
        <v>0</v>
      </c>
      <c r="W100" s="2">
        <v>9946</v>
      </c>
      <c r="Z100" s="2">
        <v>40000</v>
      </c>
      <c r="AA100" s="2">
        <v>0</v>
      </c>
      <c r="AB100" s="2">
        <v>0</v>
      </c>
      <c r="AC100" s="2">
        <v>0</v>
      </c>
      <c r="AD100" s="2">
        <v>0</v>
      </c>
      <c r="AE100" s="2">
        <v>1036</v>
      </c>
      <c r="AF100" s="2">
        <v>1076</v>
      </c>
      <c r="AJ100" s="2">
        <v>0</v>
      </c>
      <c r="AK100" s="2" t="s">
        <v>489</v>
      </c>
    </row>
    <row r="101" spans="1:37" s="2" customFormat="1" x14ac:dyDescent="0.15">
      <c r="A101" s="2">
        <v>17</v>
      </c>
      <c r="B101" s="2" t="s">
        <v>488</v>
      </c>
      <c r="C101" s="2">
        <v>1</v>
      </c>
      <c r="D101" s="2">
        <v>5</v>
      </c>
      <c r="E101" s="2">
        <v>1</v>
      </c>
      <c r="F101" s="2">
        <v>80</v>
      </c>
      <c r="G101" s="2">
        <f>VLOOKUP(A101,资源索引!$A$2:$F$29,2,FALSE)*VLOOKUP(C101+1,资源索引!$I$1:$J$6,2,FALSE)</f>
        <v>70000</v>
      </c>
      <c r="H101" s="2">
        <f>SUM(G$100:G101)</f>
        <v>110000</v>
      </c>
      <c r="I101" s="2">
        <f>VLOOKUP(A101,资源索引!$A$2:$F$29,3,FALSE)*VLOOKUP(C101+1,资源索引!$I$1:$J$6,2,FALSE)</f>
        <v>70000</v>
      </c>
      <c r="J101" s="2">
        <f>SUM(I$100:I101)</f>
        <v>110000</v>
      </c>
      <c r="K101" s="2">
        <f>VLOOKUP(A101,资源索引!$A$2:$F$29,4,FALSE)*VLOOKUP(C101+1,资源索引!$I$1:$J$6,2,FALSE)</f>
        <v>70000</v>
      </c>
      <c r="L101" s="2">
        <f>SUM(K$100:K101)</f>
        <v>110000</v>
      </c>
      <c r="M101" s="2">
        <f>VLOOKUP(A101,资源索引!$A$2:$F$29,5,FALSE)*VLOOKUP(C101+1,资源索引!$I$1:$J$6,2,FALSE)</f>
        <v>70000</v>
      </c>
      <c r="N101" s="2">
        <f>SUM(M$100:M101)</f>
        <v>110000</v>
      </c>
      <c r="O101" s="2">
        <f>VLOOKUP(A101,资源索引!$A$2:$F$29,6,FALSE)*VLOOKUP(C101+1,资源索引!$I$1:$J$6,2,FALSE)</f>
        <v>70000</v>
      </c>
      <c r="P101" s="2">
        <f>SUM(O$100:O101)</f>
        <v>110000</v>
      </c>
      <c r="Q101" s="2">
        <v>2</v>
      </c>
      <c r="R101" s="2">
        <v>0</v>
      </c>
      <c r="S101" s="2">
        <v>0</v>
      </c>
      <c r="T101" s="2">
        <v>0</v>
      </c>
      <c r="U101" s="2">
        <v>2</v>
      </c>
      <c r="V101" s="2">
        <v>0</v>
      </c>
      <c r="W101" s="2" t="s">
        <v>490</v>
      </c>
      <c r="Z101" s="2">
        <v>40000</v>
      </c>
      <c r="AA101" s="2">
        <v>0</v>
      </c>
      <c r="AB101" s="2">
        <v>0</v>
      </c>
      <c r="AC101" s="2">
        <v>0</v>
      </c>
      <c r="AD101" s="2">
        <v>0</v>
      </c>
      <c r="AE101" s="2">
        <v>1036</v>
      </c>
      <c r="AF101" s="2">
        <v>1076</v>
      </c>
      <c r="AG101" s="2">
        <v>388</v>
      </c>
      <c r="AH101" s="2">
        <v>389</v>
      </c>
      <c r="AI101" s="2">
        <v>390</v>
      </c>
      <c r="AJ101" s="2">
        <v>0</v>
      </c>
      <c r="AK101" s="2" t="s">
        <v>489</v>
      </c>
    </row>
    <row r="102" spans="1:37" s="2" customFormat="1" x14ac:dyDescent="0.15">
      <c r="A102" s="2">
        <v>17</v>
      </c>
      <c r="B102" s="2" t="s">
        <v>488</v>
      </c>
      <c r="C102" s="2">
        <v>2</v>
      </c>
      <c r="D102" s="2">
        <v>5</v>
      </c>
      <c r="E102" s="2">
        <v>1</v>
      </c>
      <c r="F102" s="2">
        <v>110</v>
      </c>
      <c r="G102" s="2">
        <f>VLOOKUP(A102,资源索引!$A$2:$F$29,2,FALSE)*VLOOKUP(C102+1,资源索引!$I$1:$J$6,2,FALSE)</f>
        <v>130000</v>
      </c>
      <c r="H102" s="2">
        <f>SUM(G$100:G102)</f>
        <v>240000</v>
      </c>
      <c r="I102" s="2">
        <f>VLOOKUP(A102,资源索引!$A$2:$F$29,3,FALSE)*VLOOKUP(C102+1,资源索引!$I$1:$J$6,2,FALSE)</f>
        <v>130000</v>
      </c>
      <c r="J102" s="2">
        <f>SUM(I$100:I102)</f>
        <v>240000</v>
      </c>
      <c r="K102" s="2">
        <f>VLOOKUP(A102,资源索引!$A$2:$F$29,4,FALSE)*VLOOKUP(C102+1,资源索引!$I$1:$J$6,2,FALSE)</f>
        <v>130000</v>
      </c>
      <c r="L102" s="2">
        <f>SUM(K$100:K102)</f>
        <v>240000</v>
      </c>
      <c r="M102" s="2">
        <f>VLOOKUP(A102,资源索引!$A$2:$F$29,5,FALSE)*VLOOKUP(C102+1,资源索引!$I$1:$J$6,2,FALSE)</f>
        <v>130000</v>
      </c>
      <c r="N102" s="2">
        <f>SUM(M$100:M102)</f>
        <v>240000</v>
      </c>
      <c r="O102" s="2">
        <f>VLOOKUP(A102,资源索引!$A$2:$F$29,6,FALSE)*VLOOKUP(C102+1,资源索引!$I$1:$J$6,2,FALSE)</f>
        <v>130000</v>
      </c>
      <c r="P102" s="2">
        <f>SUM(O$100:O102)</f>
        <v>240000</v>
      </c>
      <c r="Q102" s="2">
        <v>2</v>
      </c>
      <c r="R102" s="2">
        <v>0</v>
      </c>
      <c r="S102" s="2">
        <v>0</v>
      </c>
      <c r="T102" s="2">
        <v>0</v>
      </c>
      <c r="U102" s="2">
        <v>3</v>
      </c>
      <c r="V102" s="2">
        <v>0</v>
      </c>
      <c r="W102" s="2" t="s">
        <v>491</v>
      </c>
      <c r="Z102" s="2">
        <v>100000</v>
      </c>
      <c r="AA102" s="2">
        <v>0</v>
      </c>
      <c r="AB102" s="2">
        <v>0</v>
      </c>
      <c r="AC102" s="2">
        <v>0</v>
      </c>
      <c r="AD102" s="2">
        <v>0</v>
      </c>
      <c r="AE102" s="2">
        <v>1036</v>
      </c>
      <c r="AF102" s="2">
        <v>1076</v>
      </c>
      <c r="AG102" s="2">
        <v>388</v>
      </c>
      <c r="AH102" s="2">
        <v>389</v>
      </c>
      <c r="AI102" s="2">
        <v>390</v>
      </c>
      <c r="AJ102" s="2">
        <v>0</v>
      </c>
      <c r="AK102" s="2" t="s">
        <v>489</v>
      </c>
    </row>
    <row r="103" spans="1:37" s="2" customFormat="1" x14ac:dyDescent="0.15">
      <c r="A103" s="2">
        <v>17</v>
      </c>
      <c r="B103" s="2" t="s">
        <v>488</v>
      </c>
      <c r="C103" s="2">
        <v>3</v>
      </c>
      <c r="D103" s="2">
        <v>5</v>
      </c>
      <c r="E103" s="2">
        <v>1</v>
      </c>
      <c r="F103" s="2">
        <v>140</v>
      </c>
      <c r="G103" s="2">
        <f>VLOOKUP(A103,资源索引!$A$2:$F$29,2,FALSE)*VLOOKUP(C103+1,资源索引!$I$1:$J$6,2,FALSE)</f>
        <v>240000</v>
      </c>
      <c r="H103" s="2">
        <f>SUM(G$100:G103)</f>
        <v>480000</v>
      </c>
      <c r="I103" s="2">
        <f>VLOOKUP(A103,资源索引!$A$2:$F$29,3,FALSE)*VLOOKUP(C103+1,资源索引!$I$1:$J$6,2,FALSE)</f>
        <v>240000</v>
      </c>
      <c r="J103" s="2">
        <f>SUM(I$100:I103)</f>
        <v>480000</v>
      </c>
      <c r="K103" s="2">
        <f>VLOOKUP(A103,资源索引!$A$2:$F$29,4,FALSE)*VLOOKUP(C103+1,资源索引!$I$1:$J$6,2,FALSE)</f>
        <v>240000</v>
      </c>
      <c r="L103" s="2">
        <f>SUM(K$100:K103)</f>
        <v>480000</v>
      </c>
      <c r="M103" s="2">
        <f>VLOOKUP(A103,资源索引!$A$2:$F$29,5,FALSE)*VLOOKUP(C103+1,资源索引!$I$1:$J$6,2,FALSE)</f>
        <v>240000</v>
      </c>
      <c r="N103" s="2">
        <f>SUM(M$100:M103)</f>
        <v>480000</v>
      </c>
      <c r="O103" s="2">
        <f>VLOOKUP(A103,资源索引!$A$2:$F$29,6,FALSE)*VLOOKUP(C103+1,资源索引!$I$1:$J$6,2,FALSE)</f>
        <v>240000</v>
      </c>
      <c r="P103" s="2">
        <f>SUM(O$100:O103)</f>
        <v>480000</v>
      </c>
      <c r="Q103" s="2">
        <v>2</v>
      </c>
      <c r="R103" s="2">
        <v>0</v>
      </c>
      <c r="S103" s="2">
        <v>0</v>
      </c>
      <c r="T103" s="2">
        <v>0</v>
      </c>
      <c r="U103" s="2">
        <v>4</v>
      </c>
      <c r="V103" s="2">
        <v>0</v>
      </c>
      <c r="W103" s="2" t="s">
        <v>492</v>
      </c>
      <c r="Z103" s="2">
        <v>200000</v>
      </c>
      <c r="AA103" s="2">
        <v>0</v>
      </c>
      <c r="AB103" s="2">
        <v>0</v>
      </c>
      <c r="AC103" s="2">
        <v>0</v>
      </c>
      <c r="AD103" s="2">
        <v>0</v>
      </c>
      <c r="AE103" s="2">
        <v>1036</v>
      </c>
      <c r="AF103" s="2">
        <v>1076</v>
      </c>
      <c r="AG103" s="2">
        <v>391</v>
      </c>
      <c r="AH103" s="2">
        <v>392</v>
      </c>
      <c r="AI103" s="2">
        <v>393</v>
      </c>
      <c r="AJ103" s="2">
        <v>0</v>
      </c>
      <c r="AK103" s="2" t="s">
        <v>489</v>
      </c>
    </row>
    <row r="104" spans="1:37" s="2" customFormat="1" x14ac:dyDescent="0.15">
      <c r="A104" s="2">
        <v>17</v>
      </c>
      <c r="B104" s="2" t="s">
        <v>488</v>
      </c>
      <c r="C104" s="2">
        <v>4</v>
      </c>
      <c r="D104" s="2">
        <v>5</v>
      </c>
      <c r="E104" s="2">
        <v>1</v>
      </c>
      <c r="F104" s="2">
        <v>170</v>
      </c>
      <c r="G104" s="2">
        <f>VLOOKUP(A104,资源索引!$A$2:$F$29,2,FALSE)*VLOOKUP(C104+1,资源索引!$I$1:$J$6,2,FALSE)</f>
        <v>400000</v>
      </c>
      <c r="H104" s="2">
        <f>SUM(G$100:G104)</f>
        <v>880000</v>
      </c>
      <c r="I104" s="2">
        <f>VLOOKUP(A104,资源索引!$A$2:$F$29,3,FALSE)*VLOOKUP(C104+1,资源索引!$I$1:$J$6,2,FALSE)</f>
        <v>400000</v>
      </c>
      <c r="J104" s="2">
        <f>SUM(I$100:I104)</f>
        <v>880000</v>
      </c>
      <c r="K104" s="2">
        <f>VLOOKUP(A104,资源索引!$A$2:$F$29,4,FALSE)*VLOOKUP(C104+1,资源索引!$I$1:$J$6,2,FALSE)</f>
        <v>400000</v>
      </c>
      <c r="L104" s="2">
        <f>SUM(K$100:K104)</f>
        <v>880000</v>
      </c>
      <c r="M104" s="2">
        <f>VLOOKUP(A104,资源索引!$A$2:$F$29,5,FALSE)*VLOOKUP(C104+1,资源索引!$I$1:$J$6,2,FALSE)</f>
        <v>400000</v>
      </c>
      <c r="N104" s="2">
        <f>SUM(M$100:M104)</f>
        <v>880000</v>
      </c>
      <c r="O104" s="2">
        <f>VLOOKUP(A104,资源索引!$A$2:$F$29,6,FALSE)*VLOOKUP(C104+1,资源索引!$I$1:$J$6,2,FALSE)</f>
        <v>400000</v>
      </c>
      <c r="P104" s="2">
        <f>SUM(O$100:O104)</f>
        <v>880000</v>
      </c>
      <c r="Q104" s="2">
        <v>2</v>
      </c>
      <c r="R104" s="2">
        <v>0</v>
      </c>
      <c r="S104" s="2">
        <v>0</v>
      </c>
      <c r="T104" s="2">
        <v>0</v>
      </c>
      <c r="U104" s="2">
        <v>5</v>
      </c>
      <c r="V104" s="2">
        <v>0</v>
      </c>
      <c r="W104" s="2" t="s">
        <v>493</v>
      </c>
      <c r="Z104" s="2">
        <v>400000</v>
      </c>
      <c r="AA104" s="2">
        <v>0</v>
      </c>
      <c r="AB104" s="2">
        <v>0</v>
      </c>
      <c r="AC104" s="2">
        <v>0</v>
      </c>
      <c r="AD104" s="2">
        <v>0</v>
      </c>
      <c r="AE104" s="2">
        <v>1036</v>
      </c>
      <c r="AF104" s="2">
        <v>1076</v>
      </c>
      <c r="AG104" s="2">
        <v>391</v>
      </c>
      <c r="AH104" s="2">
        <v>392</v>
      </c>
      <c r="AI104" s="2">
        <v>393</v>
      </c>
      <c r="AJ104" s="2">
        <v>0</v>
      </c>
      <c r="AK104" s="2" t="s">
        <v>489</v>
      </c>
    </row>
    <row r="105" spans="1:37" s="2" customFormat="1" x14ac:dyDescent="0.15">
      <c r="A105" s="2">
        <v>17</v>
      </c>
      <c r="B105" s="2" t="s">
        <v>488</v>
      </c>
      <c r="C105" s="2">
        <v>5</v>
      </c>
      <c r="D105" s="2">
        <v>5</v>
      </c>
      <c r="E105" s="2">
        <v>1</v>
      </c>
      <c r="F105" s="2">
        <v>200</v>
      </c>
      <c r="G105" s="2">
        <f>VLOOKUP(A105,资源索引!$A$2:$F$29,2,FALSE)*VLOOKUP(C105+1,资源索引!$I$1:$J$6,2,FALSE)</f>
        <v>720000</v>
      </c>
      <c r="H105" s="2">
        <f>SUM(G$100:G105)</f>
        <v>1600000</v>
      </c>
      <c r="I105" s="2">
        <f>VLOOKUP(A105,资源索引!$A$2:$F$29,3,FALSE)*VLOOKUP(C105+1,资源索引!$I$1:$J$6,2,FALSE)</f>
        <v>720000</v>
      </c>
      <c r="J105" s="2">
        <f>SUM(I$100:I105)</f>
        <v>1600000</v>
      </c>
      <c r="K105" s="2">
        <f>VLOOKUP(A105,资源索引!$A$2:$F$29,4,FALSE)*VLOOKUP(C105+1,资源索引!$I$1:$J$6,2,FALSE)</f>
        <v>720000</v>
      </c>
      <c r="L105" s="2">
        <f>SUM(K$100:K105)</f>
        <v>1600000</v>
      </c>
      <c r="M105" s="2">
        <f>VLOOKUP(A105,资源索引!$A$2:$F$29,5,FALSE)*VLOOKUP(C105+1,资源索引!$I$1:$J$6,2,FALSE)</f>
        <v>720000</v>
      </c>
      <c r="N105" s="2">
        <f>SUM(M$100:M105)</f>
        <v>1600000</v>
      </c>
      <c r="O105" s="2">
        <f>VLOOKUP(A105,资源索引!$A$2:$F$29,6,FALSE)*VLOOKUP(C105+1,资源索引!$I$1:$J$6,2,FALSE)</f>
        <v>720000</v>
      </c>
      <c r="P105" s="2">
        <f>SUM(O$100:O105)</f>
        <v>1600000</v>
      </c>
      <c r="Q105" s="2">
        <v>2</v>
      </c>
      <c r="R105" s="2">
        <v>0</v>
      </c>
      <c r="S105" s="2">
        <v>0</v>
      </c>
      <c r="T105" s="2">
        <v>0</v>
      </c>
      <c r="U105" s="2">
        <v>6</v>
      </c>
      <c r="V105" s="2">
        <v>0</v>
      </c>
      <c r="W105" s="2" t="s">
        <v>494</v>
      </c>
      <c r="Z105" s="2">
        <v>1000000</v>
      </c>
      <c r="AA105" s="2">
        <v>0</v>
      </c>
      <c r="AB105" s="2">
        <v>0</v>
      </c>
      <c r="AC105" s="2">
        <v>0</v>
      </c>
      <c r="AD105" s="2">
        <v>0</v>
      </c>
      <c r="AE105" s="2">
        <v>1036</v>
      </c>
      <c r="AF105" s="2">
        <v>1076</v>
      </c>
      <c r="AG105" s="2">
        <v>394</v>
      </c>
      <c r="AH105" s="2">
        <v>395</v>
      </c>
      <c r="AI105" s="2">
        <v>396</v>
      </c>
      <c r="AJ105" s="2">
        <v>0</v>
      </c>
      <c r="AK105" s="2" t="s">
        <v>489</v>
      </c>
    </row>
    <row r="106" spans="1:37" s="3" customFormat="1" x14ac:dyDescent="0.15">
      <c r="A106" s="3">
        <v>18</v>
      </c>
      <c r="B106" s="3" t="s">
        <v>495</v>
      </c>
      <c r="C106" s="3">
        <v>0</v>
      </c>
      <c r="D106" s="3">
        <v>5</v>
      </c>
      <c r="E106" s="3">
        <v>1</v>
      </c>
      <c r="F106" s="3">
        <v>50</v>
      </c>
      <c r="G106" s="3">
        <f>VLOOKUP(A106,资源索引!$A$2:$F$29,2,FALSE)*VLOOKUP(C106+1,资源索引!$I$1:$J$6,2,FALSE)</f>
        <v>40000</v>
      </c>
      <c r="H106" s="3">
        <f>SUM(G$106:G106)</f>
        <v>40000</v>
      </c>
      <c r="I106" s="3">
        <f>VLOOKUP(A106,资源索引!$A$2:$F$29,3,FALSE)*VLOOKUP(C106+1,资源索引!$I$1:$J$6,2,FALSE)</f>
        <v>40000</v>
      </c>
      <c r="J106" s="3">
        <f>SUM(I$106:I106)</f>
        <v>40000</v>
      </c>
      <c r="K106" s="3">
        <f>VLOOKUP(A106,资源索引!$A$2:$F$29,4,FALSE)*VLOOKUP(C106+1,资源索引!$I$1:$J$6,2,FALSE)</f>
        <v>40000</v>
      </c>
      <c r="L106" s="3">
        <f>SUM(K$106:K106)</f>
        <v>40000</v>
      </c>
      <c r="M106" s="3">
        <f>VLOOKUP(A106,资源索引!$A$2:$F$29,5,FALSE)*VLOOKUP(C106+1,资源索引!$I$1:$J$6,2,FALSE)</f>
        <v>40000</v>
      </c>
      <c r="N106" s="3">
        <f>SUM(M$106:M106)</f>
        <v>40000</v>
      </c>
      <c r="O106" s="3">
        <f>VLOOKUP(A106,资源索引!$A$2:$F$29,6,FALSE)*VLOOKUP(C106+1,资源索引!$I$1:$J$6,2,FALSE)</f>
        <v>40000</v>
      </c>
      <c r="P106" s="3">
        <f>SUM(O$106:O106)</f>
        <v>40000</v>
      </c>
      <c r="Q106" s="3">
        <v>2</v>
      </c>
      <c r="R106" s="3">
        <v>0</v>
      </c>
      <c r="S106" s="3">
        <v>0</v>
      </c>
      <c r="T106" s="3">
        <v>0</v>
      </c>
      <c r="U106" s="3">
        <v>1</v>
      </c>
      <c r="V106" s="3">
        <v>0</v>
      </c>
      <c r="W106" s="3">
        <v>9946</v>
      </c>
      <c r="AD106" s="3">
        <v>0</v>
      </c>
      <c r="AE106" s="3">
        <v>1037</v>
      </c>
      <c r="AF106" s="3">
        <v>1077</v>
      </c>
      <c r="AK106" s="3" t="s">
        <v>496</v>
      </c>
    </row>
    <row r="107" spans="1:37" s="3" customFormat="1" x14ac:dyDescent="0.15">
      <c r="A107" s="3">
        <v>18</v>
      </c>
      <c r="B107" s="3" t="s">
        <v>495</v>
      </c>
      <c r="C107" s="3">
        <v>1</v>
      </c>
      <c r="D107" s="3">
        <v>5</v>
      </c>
      <c r="E107" s="3">
        <v>1</v>
      </c>
      <c r="F107" s="3">
        <v>80</v>
      </c>
      <c r="G107" s="3">
        <f>VLOOKUP(A107,资源索引!$A$2:$F$29,2,FALSE)*VLOOKUP(C107+1,资源索引!$I$1:$J$6,2,FALSE)</f>
        <v>70000</v>
      </c>
      <c r="H107" s="3">
        <f>SUM(G$106:G107)</f>
        <v>110000</v>
      </c>
      <c r="I107" s="3">
        <f>VLOOKUP(A107,资源索引!$A$2:$F$29,3,FALSE)*VLOOKUP(C107+1,资源索引!$I$1:$J$6,2,FALSE)</f>
        <v>70000</v>
      </c>
      <c r="J107" s="3">
        <f>SUM(I$106:I107)</f>
        <v>110000</v>
      </c>
      <c r="K107" s="3">
        <f>VLOOKUP(A107,资源索引!$A$2:$F$29,4,FALSE)*VLOOKUP(C107+1,资源索引!$I$1:$J$6,2,FALSE)</f>
        <v>70000</v>
      </c>
      <c r="L107" s="3">
        <f>SUM(K$106:K107)</f>
        <v>110000</v>
      </c>
      <c r="M107" s="3">
        <f>VLOOKUP(A107,资源索引!$A$2:$F$29,5,FALSE)*VLOOKUP(C107+1,资源索引!$I$1:$J$6,2,FALSE)</f>
        <v>70000</v>
      </c>
      <c r="N107" s="3">
        <f>SUM(M$106:M107)</f>
        <v>110000</v>
      </c>
      <c r="O107" s="3">
        <f>VLOOKUP(A107,资源索引!$A$2:$F$29,6,FALSE)*VLOOKUP(C107+1,资源索引!$I$1:$J$6,2,FALSE)</f>
        <v>70000</v>
      </c>
      <c r="P107" s="3">
        <f>SUM(O$106:O107)</f>
        <v>110000</v>
      </c>
      <c r="Q107" s="3">
        <v>2</v>
      </c>
      <c r="R107" s="3">
        <v>0</v>
      </c>
      <c r="S107" s="3">
        <v>0</v>
      </c>
      <c r="T107" s="3">
        <v>0</v>
      </c>
      <c r="U107" s="3">
        <v>2</v>
      </c>
      <c r="V107" s="3">
        <v>0</v>
      </c>
      <c r="W107" s="5" t="s">
        <v>497</v>
      </c>
      <c r="X107" s="5"/>
      <c r="AD107" s="3">
        <v>0</v>
      </c>
      <c r="AE107" s="3">
        <v>1037</v>
      </c>
      <c r="AF107" s="3">
        <v>1077</v>
      </c>
      <c r="AG107" s="3">
        <v>379</v>
      </c>
      <c r="AH107" s="3">
        <v>380</v>
      </c>
      <c r="AI107" s="3">
        <v>381</v>
      </c>
      <c r="AK107" s="3" t="s">
        <v>496</v>
      </c>
    </row>
    <row r="108" spans="1:37" s="3" customFormat="1" x14ac:dyDescent="0.15">
      <c r="A108" s="3">
        <v>18</v>
      </c>
      <c r="B108" s="3" t="s">
        <v>495</v>
      </c>
      <c r="C108" s="3">
        <v>2</v>
      </c>
      <c r="D108" s="3">
        <v>5</v>
      </c>
      <c r="E108" s="3">
        <v>1</v>
      </c>
      <c r="F108" s="3">
        <v>110</v>
      </c>
      <c r="G108" s="3">
        <f>VLOOKUP(A108,资源索引!$A$2:$F$29,2,FALSE)*VLOOKUP(C108+1,资源索引!$I$1:$J$6,2,FALSE)</f>
        <v>130000</v>
      </c>
      <c r="H108" s="3">
        <f>SUM(G$106:G108)</f>
        <v>240000</v>
      </c>
      <c r="I108" s="3">
        <f>VLOOKUP(A108,资源索引!$A$2:$F$29,3,FALSE)*VLOOKUP(C108+1,资源索引!$I$1:$J$6,2,FALSE)</f>
        <v>130000</v>
      </c>
      <c r="J108" s="3">
        <f>SUM(I$106:I108)</f>
        <v>240000</v>
      </c>
      <c r="K108" s="3">
        <f>VLOOKUP(A108,资源索引!$A$2:$F$29,4,FALSE)*VLOOKUP(C108+1,资源索引!$I$1:$J$6,2,FALSE)</f>
        <v>130000</v>
      </c>
      <c r="L108" s="3">
        <f>SUM(K$106:K108)</f>
        <v>240000</v>
      </c>
      <c r="M108" s="3">
        <f>VLOOKUP(A108,资源索引!$A$2:$F$29,5,FALSE)*VLOOKUP(C108+1,资源索引!$I$1:$J$6,2,FALSE)</f>
        <v>130000</v>
      </c>
      <c r="N108" s="3">
        <f>SUM(M$106:M108)</f>
        <v>240000</v>
      </c>
      <c r="O108" s="3">
        <f>VLOOKUP(A108,资源索引!$A$2:$F$29,6,FALSE)*VLOOKUP(C108+1,资源索引!$I$1:$J$6,2,FALSE)</f>
        <v>130000</v>
      </c>
      <c r="P108" s="3">
        <f>SUM(O$106:O108)</f>
        <v>240000</v>
      </c>
      <c r="Q108" s="3">
        <v>2</v>
      </c>
      <c r="R108" s="3">
        <v>0</v>
      </c>
      <c r="S108" s="3">
        <v>0</v>
      </c>
      <c r="T108" s="3">
        <v>0</v>
      </c>
      <c r="U108" s="3">
        <v>3</v>
      </c>
      <c r="V108" s="3">
        <v>0</v>
      </c>
      <c r="W108" s="5" t="s">
        <v>498</v>
      </c>
      <c r="X108" s="5"/>
      <c r="AD108" s="3">
        <v>0</v>
      </c>
      <c r="AE108" s="3">
        <v>1037</v>
      </c>
      <c r="AF108" s="3">
        <v>1077</v>
      </c>
      <c r="AG108" s="3">
        <v>379</v>
      </c>
      <c r="AH108" s="3">
        <v>380</v>
      </c>
      <c r="AI108" s="3">
        <v>381</v>
      </c>
      <c r="AK108" s="3" t="s">
        <v>496</v>
      </c>
    </row>
    <row r="109" spans="1:37" s="3" customFormat="1" x14ac:dyDescent="0.15">
      <c r="A109" s="3">
        <v>18</v>
      </c>
      <c r="B109" s="3" t="s">
        <v>495</v>
      </c>
      <c r="C109" s="3">
        <v>3</v>
      </c>
      <c r="D109" s="3">
        <v>5</v>
      </c>
      <c r="E109" s="3">
        <v>1</v>
      </c>
      <c r="F109" s="3">
        <v>140</v>
      </c>
      <c r="G109" s="3">
        <f>VLOOKUP(A109,资源索引!$A$2:$F$29,2,FALSE)*VLOOKUP(C109+1,资源索引!$I$1:$J$6,2,FALSE)</f>
        <v>240000</v>
      </c>
      <c r="H109" s="3">
        <f>SUM(G$106:G109)</f>
        <v>480000</v>
      </c>
      <c r="I109" s="3">
        <f>VLOOKUP(A109,资源索引!$A$2:$F$29,3,FALSE)*VLOOKUP(C109+1,资源索引!$I$1:$J$6,2,FALSE)</f>
        <v>240000</v>
      </c>
      <c r="J109" s="3">
        <f>SUM(I$106:I109)</f>
        <v>480000</v>
      </c>
      <c r="K109" s="3">
        <f>VLOOKUP(A109,资源索引!$A$2:$F$29,4,FALSE)*VLOOKUP(C109+1,资源索引!$I$1:$J$6,2,FALSE)</f>
        <v>240000</v>
      </c>
      <c r="L109" s="3">
        <f>SUM(K$106:K109)</f>
        <v>480000</v>
      </c>
      <c r="M109" s="3">
        <f>VLOOKUP(A109,资源索引!$A$2:$F$29,5,FALSE)*VLOOKUP(C109+1,资源索引!$I$1:$J$6,2,FALSE)</f>
        <v>240000</v>
      </c>
      <c r="N109" s="3">
        <f>SUM(M$106:M109)</f>
        <v>480000</v>
      </c>
      <c r="O109" s="3">
        <f>VLOOKUP(A109,资源索引!$A$2:$F$29,6,FALSE)*VLOOKUP(C109+1,资源索引!$I$1:$J$6,2,FALSE)</f>
        <v>240000</v>
      </c>
      <c r="P109" s="3">
        <f>SUM(O$106:O109)</f>
        <v>480000</v>
      </c>
      <c r="Q109" s="3">
        <v>2</v>
      </c>
      <c r="R109" s="3">
        <v>0</v>
      </c>
      <c r="S109" s="3">
        <v>0</v>
      </c>
      <c r="T109" s="3">
        <v>0</v>
      </c>
      <c r="U109" s="3">
        <v>4</v>
      </c>
      <c r="V109" s="3">
        <v>0</v>
      </c>
      <c r="W109" s="5" t="s">
        <v>499</v>
      </c>
      <c r="X109" s="5"/>
      <c r="AD109" s="3">
        <v>0</v>
      </c>
      <c r="AE109" s="3">
        <v>1037</v>
      </c>
      <c r="AF109" s="3">
        <v>1077</v>
      </c>
      <c r="AG109" s="3">
        <v>382</v>
      </c>
      <c r="AH109" s="3">
        <v>383</v>
      </c>
      <c r="AI109" s="3">
        <v>384</v>
      </c>
      <c r="AK109" s="3" t="s">
        <v>496</v>
      </c>
    </row>
    <row r="110" spans="1:37" s="3" customFormat="1" x14ac:dyDescent="0.15">
      <c r="A110" s="3">
        <v>18</v>
      </c>
      <c r="B110" s="3" t="s">
        <v>495</v>
      </c>
      <c r="C110" s="3">
        <v>4</v>
      </c>
      <c r="D110" s="3">
        <v>5</v>
      </c>
      <c r="E110" s="3">
        <v>1</v>
      </c>
      <c r="F110" s="3">
        <v>170</v>
      </c>
      <c r="G110" s="3">
        <f>VLOOKUP(A110,资源索引!$A$2:$F$29,2,FALSE)*VLOOKUP(C110+1,资源索引!$I$1:$J$6,2,FALSE)</f>
        <v>400000</v>
      </c>
      <c r="H110" s="3">
        <f>SUM(G$106:G110)</f>
        <v>880000</v>
      </c>
      <c r="I110" s="3">
        <f>VLOOKUP(A110,资源索引!$A$2:$F$29,3,FALSE)*VLOOKUP(C110+1,资源索引!$I$1:$J$6,2,FALSE)</f>
        <v>400000</v>
      </c>
      <c r="J110" s="3">
        <f>SUM(I$106:I110)</f>
        <v>880000</v>
      </c>
      <c r="K110" s="3">
        <f>VLOOKUP(A110,资源索引!$A$2:$F$29,4,FALSE)*VLOOKUP(C110+1,资源索引!$I$1:$J$6,2,FALSE)</f>
        <v>400000</v>
      </c>
      <c r="L110" s="3">
        <f>SUM(K$106:K110)</f>
        <v>880000</v>
      </c>
      <c r="M110" s="3">
        <f>VLOOKUP(A110,资源索引!$A$2:$F$29,5,FALSE)*VLOOKUP(C110+1,资源索引!$I$1:$J$6,2,FALSE)</f>
        <v>400000</v>
      </c>
      <c r="N110" s="3">
        <f>SUM(M$106:M110)</f>
        <v>880000</v>
      </c>
      <c r="O110" s="3">
        <f>VLOOKUP(A110,资源索引!$A$2:$F$29,6,FALSE)*VLOOKUP(C110+1,资源索引!$I$1:$J$6,2,FALSE)</f>
        <v>400000</v>
      </c>
      <c r="P110" s="3">
        <f>SUM(O$106:O110)</f>
        <v>880000</v>
      </c>
      <c r="Q110" s="3">
        <v>2</v>
      </c>
      <c r="R110" s="3">
        <v>0</v>
      </c>
      <c r="S110" s="3">
        <v>0</v>
      </c>
      <c r="T110" s="3">
        <v>0</v>
      </c>
      <c r="U110" s="3">
        <v>5</v>
      </c>
      <c r="V110" s="3">
        <v>0</v>
      </c>
      <c r="W110" s="5" t="s">
        <v>500</v>
      </c>
      <c r="X110" s="5"/>
      <c r="AD110" s="3">
        <v>0</v>
      </c>
      <c r="AE110" s="3">
        <v>1037</v>
      </c>
      <c r="AF110" s="3">
        <v>1077</v>
      </c>
      <c r="AG110" s="3">
        <v>382</v>
      </c>
      <c r="AH110" s="3">
        <v>383</v>
      </c>
      <c r="AI110" s="3">
        <v>384</v>
      </c>
      <c r="AK110" s="3" t="s">
        <v>496</v>
      </c>
    </row>
    <row r="111" spans="1:37" s="3" customFormat="1" x14ac:dyDescent="0.15">
      <c r="A111" s="3">
        <v>18</v>
      </c>
      <c r="B111" s="3" t="s">
        <v>495</v>
      </c>
      <c r="C111" s="3">
        <v>5</v>
      </c>
      <c r="D111" s="3">
        <v>5</v>
      </c>
      <c r="E111" s="3">
        <v>1</v>
      </c>
      <c r="F111" s="3">
        <v>200</v>
      </c>
      <c r="G111" s="3">
        <f>VLOOKUP(A111,资源索引!$A$2:$F$29,2,FALSE)*VLOOKUP(C111+1,资源索引!$I$1:$J$6,2,FALSE)</f>
        <v>720000</v>
      </c>
      <c r="H111" s="3">
        <f>SUM(G$106:G111)</f>
        <v>1600000</v>
      </c>
      <c r="I111" s="3">
        <f>VLOOKUP(A111,资源索引!$A$2:$F$29,3,FALSE)*VLOOKUP(C111+1,资源索引!$I$1:$J$6,2,FALSE)</f>
        <v>720000</v>
      </c>
      <c r="J111" s="3">
        <f>SUM(I$106:I111)</f>
        <v>1600000</v>
      </c>
      <c r="K111" s="3">
        <f>VLOOKUP(A111,资源索引!$A$2:$F$29,4,FALSE)*VLOOKUP(C111+1,资源索引!$I$1:$J$6,2,FALSE)</f>
        <v>720000</v>
      </c>
      <c r="L111" s="3">
        <f>SUM(K$106:K111)</f>
        <v>1600000</v>
      </c>
      <c r="M111" s="3">
        <f>VLOOKUP(A111,资源索引!$A$2:$F$29,5,FALSE)*VLOOKUP(C111+1,资源索引!$I$1:$J$6,2,FALSE)</f>
        <v>720000</v>
      </c>
      <c r="N111" s="3">
        <f>SUM(M$106:M111)</f>
        <v>1600000</v>
      </c>
      <c r="O111" s="3">
        <f>VLOOKUP(A111,资源索引!$A$2:$F$29,6,FALSE)*VLOOKUP(C111+1,资源索引!$I$1:$J$6,2,FALSE)</f>
        <v>720000</v>
      </c>
      <c r="P111" s="3">
        <f>SUM(O$106:O111)</f>
        <v>1600000</v>
      </c>
      <c r="Q111" s="3">
        <v>2</v>
      </c>
      <c r="R111" s="3">
        <v>0</v>
      </c>
      <c r="S111" s="3">
        <v>0</v>
      </c>
      <c r="T111" s="3">
        <v>0</v>
      </c>
      <c r="U111" s="3">
        <v>6</v>
      </c>
      <c r="V111" s="3">
        <v>0</v>
      </c>
      <c r="W111" s="5" t="s">
        <v>501</v>
      </c>
      <c r="X111" s="5"/>
      <c r="AD111" s="3">
        <v>0</v>
      </c>
      <c r="AE111" s="3">
        <v>1037</v>
      </c>
      <c r="AF111" s="3">
        <v>1077</v>
      </c>
      <c r="AG111" s="3">
        <v>385</v>
      </c>
      <c r="AH111" s="3">
        <v>386</v>
      </c>
      <c r="AI111" s="3">
        <v>387</v>
      </c>
      <c r="AK111" s="3" t="s">
        <v>496</v>
      </c>
    </row>
    <row r="112" spans="1:37" s="2" customFormat="1" x14ac:dyDescent="0.15">
      <c r="A112" s="2">
        <v>19</v>
      </c>
      <c r="B112" s="2" t="s">
        <v>502</v>
      </c>
      <c r="C112" s="2">
        <v>0</v>
      </c>
      <c r="D112" s="2">
        <v>5</v>
      </c>
      <c r="E112" s="2">
        <v>8</v>
      </c>
      <c r="F112" s="2">
        <v>20</v>
      </c>
      <c r="G112" s="2">
        <f>VLOOKUP(A112,资源索引!$A$2:$F$29,2,FALSE)*VLOOKUP(C112+1,资源索引!$I$1:$J$6,2,FALSE)</f>
        <v>60000</v>
      </c>
      <c r="H112" s="2">
        <f>SUM(G$112:G112)</f>
        <v>60000</v>
      </c>
      <c r="I112" s="2">
        <f>VLOOKUP(A112,资源索引!$A$2:$F$29,3,FALSE)*VLOOKUP(C112+1,资源索引!$I$1:$J$6,2,FALSE)</f>
        <v>40000</v>
      </c>
      <c r="J112" s="2">
        <f>SUM(I$112:I112)</f>
        <v>40000</v>
      </c>
      <c r="K112" s="2">
        <f>VLOOKUP(A112,资源索引!$A$2:$F$29,4,FALSE)*VLOOKUP(C112+1,资源索引!$I$1:$J$6,2,FALSE)</f>
        <v>40000</v>
      </c>
      <c r="L112" s="2">
        <f>SUM(K$112:K112)</f>
        <v>40000</v>
      </c>
      <c r="M112" s="2">
        <f>VLOOKUP(A112,资源索引!$A$2:$F$29,5,FALSE)*VLOOKUP(C112+1,资源索引!$I$1:$J$6,2,FALSE)</f>
        <v>40000</v>
      </c>
      <c r="N112" s="2">
        <f>SUM(M$112:M112)</f>
        <v>40000</v>
      </c>
      <c r="O112" s="2">
        <f>VLOOKUP(A112,资源索引!$A$2:$F$29,6,FALSE)*VLOOKUP(C112+1,资源索引!$I$1:$J$6,2,FALSE)</f>
        <v>120000</v>
      </c>
      <c r="P112" s="2">
        <f>SUM(O$112:O112)</f>
        <v>120000</v>
      </c>
      <c r="Q112" s="2">
        <v>2</v>
      </c>
      <c r="R112" s="2">
        <v>0</v>
      </c>
      <c r="S112" s="2" t="s">
        <v>503</v>
      </c>
      <c r="T112" s="2">
        <v>7</v>
      </c>
      <c r="U112" s="2">
        <v>1</v>
      </c>
      <c r="V112" s="2">
        <v>0</v>
      </c>
      <c r="W112" s="2" t="s">
        <v>30</v>
      </c>
      <c r="X112" s="2">
        <v>8586</v>
      </c>
      <c r="AD112" s="2">
        <v>0</v>
      </c>
      <c r="AE112" s="2">
        <v>1038</v>
      </c>
      <c r="AF112" s="2">
        <v>1078</v>
      </c>
      <c r="AK112" s="3" t="s">
        <v>546</v>
      </c>
    </row>
    <row r="113" spans="1:37" s="2" customFormat="1" x14ac:dyDescent="0.15">
      <c r="A113" s="2">
        <v>19</v>
      </c>
      <c r="B113" s="2" t="s">
        <v>502</v>
      </c>
      <c r="C113" s="2">
        <v>1</v>
      </c>
      <c r="D113" s="2">
        <v>5</v>
      </c>
      <c r="E113" s="2">
        <v>8</v>
      </c>
      <c r="F113" s="2">
        <v>30</v>
      </c>
      <c r="G113" s="2">
        <f>VLOOKUP(A113,资源索引!$A$2:$F$29,2,FALSE)*VLOOKUP(C113+1,资源索引!$I$1:$J$6,2,FALSE)</f>
        <v>105000.00000000001</v>
      </c>
      <c r="H113" s="2">
        <f>SUM(G$112:G113)</f>
        <v>165000</v>
      </c>
      <c r="I113" s="2">
        <f>VLOOKUP(A113,资源索引!$A$2:$F$29,3,FALSE)*VLOOKUP(C113+1,资源索引!$I$1:$J$6,2,FALSE)</f>
        <v>70000</v>
      </c>
      <c r="J113" s="2">
        <f>SUM(I$112:I113)</f>
        <v>110000</v>
      </c>
      <c r="K113" s="2">
        <f>VLOOKUP(A113,资源索引!$A$2:$F$29,4,FALSE)*VLOOKUP(C113+1,资源索引!$I$1:$J$6,2,FALSE)</f>
        <v>70000</v>
      </c>
      <c r="L113" s="2">
        <f>SUM(K$112:K113)</f>
        <v>110000</v>
      </c>
      <c r="M113" s="2">
        <f>VLOOKUP(A113,资源索引!$A$2:$F$29,5,FALSE)*VLOOKUP(C113+1,资源索引!$I$1:$J$6,2,FALSE)</f>
        <v>70000</v>
      </c>
      <c r="N113" s="2">
        <f>SUM(M$112:M113)</f>
        <v>110000</v>
      </c>
      <c r="O113" s="2">
        <f>VLOOKUP(A113,资源索引!$A$2:$F$29,6,FALSE)*VLOOKUP(C113+1,资源索引!$I$1:$J$6,2,FALSE)</f>
        <v>210000.00000000003</v>
      </c>
      <c r="P113" s="2">
        <f>SUM(O$112:O113)</f>
        <v>330000</v>
      </c>
      <c r="Q113" s="2">
        <v>2</v>
      </c>
      <c r="R113" s="2">
        <v>0</v>
      </c>
      <c r="S113" s="2" t="s">
        <v>503</v>
      </c>
      <c r="T113" s="2">
        <v>7</v>
      </c>
      <c r="U113" s="2">
        <v>2</v>
      </c>
      <c r="V113" s="2">
        <v>0</v>
      </c>
      <c r="W113" s="2" t="s">
        <v>504</v>
      </c>
      <c r="X113" s="2">
        <v>8586</v>
      </c>
      <c r="AD113" s="2">
        <v>0</v>
      </c>
      <c r="AE113" s="2">
        <v>1038</v>
      </c>
      <c r="AF113" s="2">
        <v>1078</v>
      </c>
      <c r="AG113" s="2">
        <v>397</v>
      </c>
      <c r="AH113" s="2">
        <v>398</v>
      </c>
      <c r="AI113" s="2">
        <v>399</v>
      </c>
      <c r="AK113" s="3" t="s">
        <v>546</v>
      </c>
    </row>
    <row r="114" spans="1:37" s="2" customFormat="1" x14ac:dyDescent="0.15">
      <c r="A114" s="2">
        <v>19</v>
      </c>
      <c r="B114" s="2" t="s">
        <v>502</v>
      </c>
      <c r="C114" s="2">
        <v>2</v>
      </c>
      <c r="D114" s="2">
        <v>5</v>
      </c>
      <c r="E114" s="2">
        <v>8</v>
      </c>
      <c r="F114" s="2">
        <v>40</v>
      </c>
      <c r="G114" s="2">
        <f>VLOOKUP(A114,资源索引!$A$2:$F$29,2,FALSE)*VLOOKUP(C114+1,资源索引!$I$1:$J$6,2,FALSE)</f>
        <v>195000</v>
      </c>
      <c r="H114" s="2">
        <f>SUM(G$112:G114)</f>
        <v>360000</v>
      </c>
      <c r="I114" s="2">
        <f>VLOOKUP(A114,资源索引!$A$2:$F$29,3,FALSE)*VLOOKUP(C114+1,资源索引!$I$1:$J$6,2,FALSE)</f>
        <v>130000</v>
      </c>
      <c r="J114" s="2">
        <f>SUM(I$112:I114)</f>
        <v>240000</v>
      </c>
      <c r="K114" s="2">
        <f>VLOOKUP(A114,资源索引!$A$2:$F$29,4,FALSE)*VLOOKUP(C114+1,资源索引!$I$1:$J$6,2,FALSE)</f>
        <v>130000</v>
      </c>
      <c r="L114" s="2">
        <f>SUM(K$112:K114)</f>
        <v>240000</v>
      </c>
      <c r="M114" s="2">
        <f>VLOOKUP(A114,资源索引!$A$2:$F$29,5,FALSE)*VLOOKUP(C114+1,资源索引!$I$1:$J$6,2,FALSE)</f>
        <v>130000</v>
      </c>
      <c r="N114" s="2">
        <f>SUM(M$112:M114)</f>
        <v>240000</v>
      </c>
      <c r="O114" s="2">
        <f>VLOOKUP(A114,资源索引!$A$2:$F$29,6,FALSE)*VLOOKUP(C114+1,资源索引!$I$1:$J$6,2,FALSE)</f>
        <v>390000</v>
      </c>
      <c r="P114" s="2">
        <f>SUM(O$112:O114)</f>
        <v>720000</v>
      </c>
      <c r="Q114" s="2">
        <v>2</v>
      </c>
      <c r="R114" s="2">
        <v>0</v>
      </c>
      <c r="S114" s="2" t="s">
        <v>30</v>
      </c>
      <c r="T114" s="2">
        <v>7</v>
      </c>
      <c r="U114" s="2">
        <v>3</v>
      </c>
      <c r="V114" s="2">
        <v>0</v>
      </c>
      <c r="W114" s="2" t="s">
        <v>505</v>
      </c>
      <c r="X114" s="2">
        <v>8586</v>
      </c>
      <c r="AD114" s="2">
        <v>0</v>
      </c>
      <c r="AE114" s="2">
        <v>1038</v>
      </c>
      <c r="AF114" s="2">
        <v>1078</v>
      </c>
      <c r="AG114" s="2">
        <v>397</v>
      </c>
      <c r="AH114" s="2">
        <v>398</v>
      </c>
      <c r="AI114" s="2">
        <v>399</v>
      </c>
      <c r="AK114" s="3" t="s">
        <v>546</v>
      </c>
    </row>
    <row r="115" spans="1:37" s="2" customFormat="1" x14ac:dyDescent="0.15">
      <c r="A115" s="2">
        <v>19</v>
      </c>
      <c r="B115" s="2" t="s">
        <v>502</v>
      </c>
      <c r="C115" s="2">
        <v>3</v>
      </c>
      <c r="D115" s="2">
        <v>5</v>
      </c>
      <c r="E115" s="2">
        <v>8</v>
      </c>
      <c r="F115" s="2">
        <v>50</v>
      </c>
      <c r="G115" s="2">
        <f>VLOOKUP(A115,资源索引!$A$2:$F$29,2,FALSE)*VLOOKUP(C115+1,资源索引!$I$1:$J$6,2,FALSE)</f>
        <v>360000</v>
      </c>
      <c r="H115" s="2">
        <f>SUM(G$112:G115)</f>
        <v>720000</v>
      </c>
      <c r="I115" s="2">
        <f>VLOOKUP(A115,资源索引!$A$2:$F$29,3,FALSE)*VLOOKUP(C115+1,资源索引!$I$1:$J$6,2,FALSE)</f>
        <v>240000</v>
      </c>
      <c r="J115" s="2">
        <f>SUM(I$112:I115)</f>
        <v>480000</v>
      </c>
      <c r="K115" s="2">
        <f>VLOOKUP(A115,资源索引!$A$2:$F$29,4,FALSE)*VLOOKUP(C115+1,资源索引!$I$1:$J$6,2,FALSE)</f>
        <v>240000</v>
      </c>
      <c r="L115" s="2">
        <f>SUM(K$112:K115)</f>
        <v>480000</v>
      </c>
      <c r="M115" s="2">
        <f>VLOOKUP(A115,资源索引!$A$2:$F$29,5,FALSE)*VLOOKUP(C115+1,资源索引!$I$1:$J$6,2,FALSE)</f>
        <v>240000</v>
      </c>
      <c r="N115" s="2">
        <f>SUM(M$112:M115)</f>
        <v>480000</v>
      </c>
      <c r="O115" s="2">
        <f>VLOOKUP(A115,资源索引!$A$2:$F$29,6,FALSE)*VLOOKUP(C115+1,资源索引!$I$1:$J$6,2,FALSE)</f>
        <v>720000</v>
      </c>
      <c r="P115" s="2">
        <f>SUM(O$112:O115)</f>
        <v>1440000</v>
      </c>
      <c r="Q115" s="2">
        <v>2</v>
      </c>
      <c r="R115" s="2">
        <v>0</v>
      </c>
      <c r="S115" s="2" t="s">
        <v>30</v>
      </c>
      <c r="T115" s="2">
        <v>7</v>
      </c>
      <c r="U115" s="2">
        <v>4</v>
      </c>
      <c r="V115" s="2">
        <v>0</v>
      </c>
      <c r="W115" s="2" t="s">
        <v>506</v>
      </c>
      <c r="X115" s="2">
        <v>8586</v>
      </c>
      <c r="AD115" s="2">
        <v>0</v>
      </c>
      <c r="AE115" s="2">
        <v>1038</v>
      </c>
      <c r="AF115" s="2">
        <v>1078</v>
      </c>
      <c r="AG115" s="2">
        <v>400</v>
      </c>
      <c r="AH115" s="2">
        <v>401</v>
      </c>
      <c r="AI115" s="2">
        <v>402</v>
      </c>
      <c r="AK115" s="3" t="s">
        <v>546</v>
      </c>
    </row>
    <row r="116" spans="1:37" s="2" customFormat="1" x14ac:dyDescent="0.15">
      <c r="A116" s="2">
        <v>19</v>
      </c>
      <c r="B116" s="2" t="s">
        <v>502</v>
      </c>
      <c r="C116" s="2">
        <v>4</v>
      </c>
      <c r="D116" s="2">
        <v>5</v>
      </c>
      <c r="E116" s="2">
        <v>8</v>
      </c>
      <c r="F116" s="2">
        <v>60</v>
      </c>
      <c r="G116" s="2">
        <f>VLOOKUP(A116,资源索引!$A$2:$F$29,2,FALSE)*VLOOKUP(C116+1,资源索引!$I$1:$J$6,2,FALSE)</f>
        <v>600000</v>
      </c>
      <c r="H116" s="2">
        <f>SUM(G$112:G116)</f>
        <v>1320000</v>
      </c>
      <c r="I116" s="2">
        <f>VLOOKUP(A116,资源索引!$A$2:$F$29,3,FALSE)*VLOOKUP(C116+1,资源索引!$I$1:$J$6,2,FALSE)</f>
        <v>400000</v>
      </c>
      <c r="J116" s="2">
        <f>SUM(I$112:I116)</f>
        <v>880000</v>
      </c>
      <c r="K116" s="2">
        <f>VLOOKUP(A116,资源索引!$A$2:$F$29,4,FALSE)*VLOOKUP(C116+1,资源索引!$I$1:$J$6,2,FALSE)</f>
        <v>400000</v>
      </c>
      <c r="L116" s="2">
        <f>SUM(K$112:K116)</f>
        <v>880000</v>
      </c>
      <c r="M116" s="2">
        <f>VLOOKUP(A116,资源索引!$A$2:$F$29,5,FALSE)*VLOOKUP(C116+1,资源索引!$I$1:$J$6,2,FALSE)</f>
        <v>400000</v>
      </c>
      <c r="N116" s="2">
        <f>SUM(M$112:M116)</f>
        <v>880000</v>
      </c>
      <c r="O116" s="2">
        <f>VLOOKUP(A116,资源索引!$A$2:$F$29,6,FALSE)*VLOOKUP(C116+1,资源索引!$I$1:$J$6,2,FALSE)</f>
        <v>1200000</v>
      </c>
      <c r="P116" s="2">
        <f>SUM(O$112:O116)</f>
        <v>2640000</v>
      </c>
      <c r="Q116" s="2">
        <v>2</v>
      </c>
      <c r="R116" s="2">
        <v>0</v>
      </c>
      <c r="S116" s="2" t="s">
        <v>30</v>
      </c>
      <c r="T116" s="2">
        <v>7</v>
      </c>
      <c r="U116" s="2">
        <v>5</v>
      </c>
      <c r="V116" s="2">
        <v>0</v>
      </c>
      <c r="W116" s="2" t="s">
        <v>507</v>
      </c>
      <c r="X116" s="2">
        <v>8586</v>
      </c>
      <c r="AD116" s="2">
        <v>0</v>
      </c>
      <c r="AE116" s="2">
        <v>1038</v>
      </c>
      <c r="AF116" s="2">
        <v>1078</v>
      </c>
      <c r="AG116" s="2">
        <v>400</v>
      </c>
      <c r="AH116" s="2">
        <v>401</v>
      </c>
      <c r="AI116" s="2">
        <v>402</v>
      </c>
      <c r="AK116" s="3" t="s">
        <v>546</v>
      </c>
    </row>
    <row r="117" spans="1:37" s="2" customFormat="1" x14ac:dyDescent="0.15">
      <c r="A117" s="2">
        <v>19</v>
      </c>
      <c r="B117" s="2" t="s">
        <v>502</v>
      </c>
      <c r="C117" s="2">
        <v>5</v>
      </c>
      <c r="D117" s="2">
        <v>5</v>
      </c>
      <c r="E117" s="2">
        <v>8</v>
      </c>
      <c r="F117" s="2">
        <v>70</v>
      </c>
      <c r="G117" s="2">
        <f>VLOOKUP(A117,资源索引!$A$2:$F$29,2,FALSE)*VLOOKUP(C117+1,资源索引!$I$1:$J$6,2,FALSE)</f>
        <v>1080000</v>
      </c>
      <c r="H117" s="2">
        <f>SUM(G$112:G117)</f>
        <v>2400000</v>
      </c>
      <c r="I117" s="2">
        <f>VLOOKUP(A117,资源索引!$A$2:$F$29,3,FALSE)*VLOOKUP(C117+1,资源索引!$I$1:$J$6,2,FALSE)</f>
        <v>720000</v>
      </c>
      <c r="J117" s="2">
        <f>SUM(I$112:I117)</f>
        <v>1600000</v>
      </c>
      <c r="K117" s="2">
        <f>VLOOKUP(A117,资源索引!$A$2:$F$29,4,FALSE)*VLOOKUP(C117+1,资源索引!$I$1:$J$6,2,FALSE)</f>
        <v>720000</v>
      </c>
      <c r="L117" s="2">
        <f>SUM(K$112:K117)</f>
        <v>1600000</v>
      </c>
      <c r="M117" s="2">
        <f>VLOOKUP(A117,资源索引!$A$2:$F$29,5,FALSE)*VLOOKUP(C117+1,资源索引!$I$1:$J$6,2,FALSE)</f>
        <v>720000</v>
      </c>
      <c r="N117" s="2">
        <f>SUM(M$112:M117)</f>
        <v>1600000</v>
      </c>
      <c r="O117" s="2">
        <f>VLOOKUP(A117,资源索引!$A$2:$F$29,6,FALSE)*VLOOKUP(C117+1,资源索引!$I$1:$J$6,2,FALSE)</f>
        <v>2160000</v>
      </c>
      <c r="P117" s="2">
        <f>SUM(O$112:O117)</f>
        <v>4800000</v>
      </c>
      <c r="Q117" s="2">
        <v>2</v>
      </c>
      <c r="R117" s="2">
        <v>0</v>
      </c>
      <c r="S117" s="2" t="s">
        <v>30</v>
      </c>
      <c r="T117" s="2">
        <v>7</v>
      </c>
      <c r="U117" s="2">
        <v>6</v>
      </c>
      <c r="V117" s="2">
        <v>0</v>
      </c>
      <c r="W117" s="2" t="s">
        <v>508</v>
      </c>
      <c r="X117" s="2">
        <v>8586</v>
      </c>
      <c r="AD117" s="2">
        <v>0</v>
      </c>
      <c r="AE117" s="2">
        <v>1038</v>
      </c>
      <c r="AF117" s="2">
        <v>1078</v>
      </c>
      <c r="AG117" s="2">
        <v>403</v>
      </c>
      <c r="AH117" s="2">
        <v>404</v>
      </c>
      <c r="AI117" s="2">
        <v>405</v>
      </c>
      <c r="AK117" s="3" t="s">
        <v>546</v>
      </c>
    </row>
    <row r="118" spans="1:37" s="3" customFormat="1" x14ac:dyDescent="0.15">
      <c r="A118" s="3">
        <v>20</v>
      </c>
      <c r="B118" s="3" t="s">
        <v>509</v>
      </c>
      <c r="C118" s="3">
        <v>0</v>
      </c>
      <c r="D118" s="3">
        <v>5</v>
      </c>
      <c r="E118" s="3">
        <v>8</v>
      </c>
      <c r="F118" s="3">
        <v>20</v>
      </c>
      <c r="G118" s="3">
        <f>VLOOKUP(A118,资源索引!$A$2:$F$29,2,FALSE)*VLOOKUP(C118+1,资源索引!$I$1:$J$6,2,FALSE)</f>
        <v>80000</v>
      </c>
      <c r="H118" s="3">
        <f>SUM(G$118:G118)</f>
        <v>80000</v>
      </c>
      <c r="I118" s="3">
        <f>VLOOKUP(A118,资源索引!$A$2:$F$29,3,FALSE)*VLOOKUP(C118+1,资源索引!$I$1:$J$6,2,FALSE)</f>
        <v>40000</v>
      </c>
      <c r="J118" s="3">
        <f>SUM(I$118:I118)</f>
        <v>40000</v>
      </c>
      <c r="K118" s="3">
        <f>VLOOKUP(A118,资源索引!$A$2:$F$29,4,FALSE)*VLOOKUP(C118+1,资源索引!$I$1:$J$6,2,FALSE)</f>
        <v>40000</v>
      </c>
      <c r="L118" s="3">
        <f>SUM(K$118:K118)</f>
        <v>40000</v>
      </c>
      <c r="M118" s="3">
        <f>VLOOKUP(A118,资源索引!$A$2:$F$29,5,FALSE)*VLOOKUP(C118+1,资源索引!$I$1:$J$6,2,FALSE)</f>
        <v>40000</v>
      </c>
      <c r="N118" s="3">
        <f>SUM(M$118:M118)</f>
        <v>40000</v>
      </c>
      <c r="O118" s="3">
        <f>VLOOKUP(A118,资源索引!$A$2:$F$29,6,FALSE)*VLOOKUP(C118+1,资源索引!$I$1:$J$6,2,FALSE)</f>
        <v>100000</v>
      </c>
      <c r="P118" s="3">
        <f>SUM(O$118:O118)</f>
        <v>100000</v>
      </c>
      <c r="Q118" s="3">
        <v>2</v>
      </c>
      <c r="R118" s="3">
        <v>0</v>
      </c>
      <c r="S118" s="3" t="s">
        <v>30</v>
      </c>
      <c r="T118" s="3">
        <v>7</v>
      </c>
      <c r="U118" s="3">
        <v>1</v>
      </c>
      <c r="V118" s="3">
        <v>0</v>
      </c>
      <c r="W118" s="3" t="s">
        <v>30</v>
      </c>
      <c r="X118" s="3">
        <v>8587</v>
      </c>
      <c r="AD118" s="3">
        <v>0</v>
      </c>
      <c r="AE118" s="3">
        <v>1039</v>
      </c>
      <c r="AF118" s="3">
        <v>1079</v>
      </c>
      <c r="AK118" s="2" t="s">
        <v>547</v>
      </c>
    </row>
    <row r="119" spans="1:37" s="3" customFormat="1" x14ac:dyDescent="0.15">
      <c r="A119" s="3">
        <v>20</v>
      </c>
      <c r="B119" s="3" t="s">
        <v>509</v>
      </c>
      <c r="C119" s="3">
        <v>1</v>
      </c>
      <c r="D119" s="3">
        <v>5</v>
      </c>
      <c r="E119" s="3">
        <v>8</v>
      </c>
      <c r="F119" s="3">
        <v>30</v>
      </c>
      <c r="G119" s="3">
        <f>VLOOKUP(A119,资源索引!$A$2:$F$29,2,FALSE)*VLOOKUP(C119+1,资源索引!$I$1:$J$6,2,FALSE)</f>
        <v>140000</v>
      </c>
      <c r="H119" s="3">
        <f>SUM(G$118:G119)</f>
        <v>220000</v>
      </c>
      <c r="I119" s="3">
        <f>VLOOKUP(A119,资源索引!$A$2:$F$29,3,FALSE)*VLOOKUP(C119+1,资源索引!$I$1:$J$6,2,FALSE)</f>
        <v>70000</v>
      </c>
      <c r="J119" s="3">
        <f>SUM(I$118:I119)</f>
        <v>110000</v>
      </c>
      <c r="K119" s="3">
        <f>VLOOKUP(A119,资源索引!$A$2:$F$29,4,FALSE)*VLOOKUP(C119+1,资源索引!$I$1:$J$6,2,FALSE)</f>
        <v>70000</v>
      </c>
      <c r="L119" s="3">
        <f>SUM(K$118:K119)</f>
        <v>110000</v>
      </c>
      <c r="M119" s="3">
        <f>VLOOKUP(A119,资源索引!$A$2:$F$29,5,FALSE)*VLOOKUP(C119+1,资源索引!$I$1:$J$6,2,FALSE)</f>
        <v>70000</v>
      </c>
      <c r="N119" s="3">
        <f>SUM(M$118:M119)</f>
        <v>110000</v>
      </c>
      <c r="O119" s="3">
        <f>VLOOKUP(A119,资源索引!$A$2:$F$29,6,FALSE)*VLOOKUP(C119+1,资源索引!$I$1:$J$6,2,FALSE)</f>
        <v>175000.00000000003</v>
      </c>
      <c r="P119" s="3">
        <f>SUM(O$118:O119)</f>
        <v>275000</v>
      </c>
      <c r="Q119" s="3">
        <v>2</v>
      </c>
      <c r="R119" s="3">
        <v>0</v>
      </c>
      <c r="S119" s="3" t="s">
        <v>30</v>
      </c>
      <c r="T119" s="3">
        <v>7</v>
      </c>
      <c r="U119" s="3">
        <v>2</v>
      </c>
      <c r="V119" s="3">
        <v>0</v>
      </c>
      <c r="W119" s="3" t="s">
        <v>510</v>
      </c>
      <c r="X119" s="3">
        <v>8587</v>
      </c>
      <c r="AD119" s="3">
        <v>0</v>
      </c>
      <c r="AE119" s="3">
        <v>1039</v>
      </c>
      <c r="AF119" s="3">
        <v>1079</v>
      </c>
      <c r="AG119" s="3">
        <v>397</v>
      </c>
      <c r="AH119" s="3">
        <v>398</v>
      </c>
      <c r="AI119" s="3">
        <v>399</v>
      </c>
      <c r="AK119" s="2" t="s">
        <v>547</v>
      </c>
    </row>
    <row r="120" spans="1:37" s="3" customFormat="1" x14ac:dyDescent="0.15">
      <c r="A120" s="3">
        <v>20</v>
      </c>
      <c r="B120" s="3" t="s">
        <v>509</v>
      </c>
      <c r="C120" s="3">
        <v>2</v>
      </c>
      <c r="D120" s="3">
        <v>5</v>
      </c>
      <c r="E120" s="3">
        <v>8</v>
      </c>
      <c r="F120" s="3">
        <v>40</v>
      </c>
      <c r="G120" s="3">
        <f>VLOOKUP(A120,资源索引!$A$2:$F$29,2,FALSE)*VLOOKUP(C120+1,资源索引!$I$1:$J$6,2,FALSE)</f>
        <v>260000</v>
      </c>
      <c r="H120" s="3">
        <f>SUM(G$118:G120)</f>
        <v>480000</v>
      </c>
      <c r="I120" s="3">
        <f>VLOOKUP(A120,资源索引!$A$2:$F$29,3,FALSE)*VLOOKUP(C120+1,资源索引!$I$1:$J$6,2,FALSE)</f>
        <v>130000</v>
      </c>
      <c r="J120" s="3">
        <f>SUM(I$118:I120)</f>
        <v>240000</v>
      </c>
      <c r="K120" s="3">
        <f>VLOOKUP(A120,资源索引!$A$2:$F$29,4,FALSE)*VLOOKUP(C120+1,资源索引!$I$1:$J$6,2,FALSE)</f>
        <v>130000</v>
      </c>
      <c r="L120" s="3">
        <f>SUM(K$118:K120)</f>
        <v>240000</v>
      </c>
      <c r="M120" s="3">
        <f>VLOOKUP(A120,资源索引!$A$2:$F$29,5,FALSE)*VLOOKUP(C120+1,资源索引!$I$1:$J$6,2,FALSE)</f>
        <v>130000</v>
      </c>
      <c r="N120" s="3">
        <f>SUM(M$118:M120)</f>
        <v>240000</v>
      </c>
      <c r="O120" s="3">
        <f>VLOOKUP(A120,资源索引!$A$2:$F$29,6,FALSE)*VLOOKUP(C120+1,资源索引!$I$1:$J$6,2,FALSE)</f>
        <v>325000</v>
      </c>
      <c r="P120" s="3">
        <f>SUM(O$118:O120)</f>
        <v>600000</v>
      </c>
      <c r="Q120" s="3">
        <v>2</v>
      </c>
      <c r="R120" s="3">
        <v>0</v>
      </c>
      <c r="S120" s="3" t="s">
        <v>30</v>
      </c>
      <c r="T120" s="3">
        <v>7</v>
      </c>
      <c r="U120" s="3">
        <v>3</v>
      </c>
      <c r="V120" s="3">
        <v>0</v>
      </c>
      <c r="W120" s="3" t="s">
        <v>511</v>
      </c>
      <c r="X120" s="3">
        <v>8587</v>
      </c>
      <c r="AD120" s="3">
        <v>0</v>
      </c>
      <c r="AE120" s="3">
        <v>1039</v>
      </c>
      <c r="AF120" s="3">
        <v>1079</v>
      </c>
      <c r="AG120" s="3">
        <v>397</v>
      </c>
      <c r="AH120" s="3">
        <v>398</v>
      </c>
      <c r="AI120" s="3">
        <v>399</v>
      </c>
      <c r="AK120" s="2" t="s">
        <v>547</v>
      </c>
    </row>
    <row r="121" spans="1:37" s="3" customFormat="1" x14ac:dyDescent="0.15">
      <c r="A121" s="3">
        <v>20</v>
      </c>
      <c r="B121" s="3" t="s">
        <v>509</v>
      </c>
      <c r="C121" s="3">
        <v>3</v>
      </c>
      <c r="D121" s="3">
        <v>5</v>
      </c>
      <c r="E121" s="3">
        <v>8</v>
      </c>
      <c r="F121" s="3">
        <v>50</v>
      </c>
      <c r="G121" s="3">
        <f>VLOOKUP(A121,资源索引!$A$2:$F$29,2,FALSE)*VLOOKUP(C121+1,资源索引!$I$1:$J$6,2,FALSE)</f>
        <v>480000</v>
      </c>
      <c r="H121" s="3">
        <f>SUM(G$118:G121)</f>
        <v>960000</v>
      </c>
      <c r="I121" s="3">
        <f>VLOOKUP(A121,资源索引!$A$2:$F$29,3,FALSE)*VLOOKUP(C121+1,资源索引!$I$1:$J$6,2,FALSE)</f>
        <v>240000</v>
      </c>
      <c r="J121" s="3">
        <f>SUM(I$118:I121)</f>
        <v>480000</v>
      </c>
      <c r="K121" s="3">
        <f>VLOOKUP(A121,资源索引!$A$2:$F$29,4,FALSE)*VLOOKUP(C121+1,资源索引!$I$1:$J$6,2,FALSE)</f>
        <v>240000</v>
      </c>
      <c r="L121" s="3">
        <f>SUM(K$118:K121)</f>
        <v>480000</v>
      </c>
      <c r="M121" s="3">
        <f>VLOOKUP(A121,资源索引!$A$2:$F$29,5,FALSE)*VLOOKUP(C121+1,资源索引!$I$1:$J$6,2,FALSE)</f>
        <v>240000</v>
      </c>
      <c r="N121" s="3">
        <f>SUM(M$118:M121)</f>
        <v>480000</v>
      </c>
      <c r="O121" s="3">
        <f>VLOOKUP(A121,资源索引!$A$2:$F$29,6,FALSE)*VLOOKUP(C121+1,资源索引!$I$1:$J$6,2,FALSE)</f>
        <v>600000</v>
      </c>
      <c r="P121" s="3">
        <f>SUM(O$118:O121)</f>
        <v>1200000</v>
      </c>
      <c r="Q121" s="3">
        <v>2</v>
      </c>
      <c r="R121" s="3">
        <v>0</v>
      </c>
      <c r="S121" s="3" t="s">
        <v>30</v>
      </c>
      <c r="T121" s="3">
        <v>7</v>
      </c>
      <c r="U121" s="3">
        <v>4</v>
      </c>
      <c r="V121" s="3">
        <v>0</v>
      </c>
      <c r="W121" s="3" t="s">
        <v>512</v>
      </c>
      <c r="X121" s="3">
        <v>8587</v>
      </c>
      <c r="AD121" s="3">
        <v>0</v>
      </c>
      <c r="AE121" s="3">
        <v>1039</v>
      </c>
      <c r="AF121" s="3">
        <v>1079</v>
      </c>
      <c r="AG121" s="3">
        <v>400</v>
      </c>
      <c r="AH121" s="3">
        <v>401</v>
      </c>
      <c r="AI121" s="3">
        <v>402</v>
      </c>
      <c r="AK121" s="2" t="s">
        <v>547</v>
      </c>
    </row>
    <row r="122" spans="1:37" s="3" customFormat="1" x14ac:dyDescent="0.15">
      <c r="A122" s="3">
        <v>20</v>
      </c>
      <c r="B122" s="3" t="s">
        <v>509</v>
      </c>
      <c r="C122" s="3">
        <v>4</v>
      </c>
      <c r="D122" s="3">
        <v>5</v>
      </c>
      <c r="E122" s="3">
        <v>8</v>
      </c>
      <c r="F122" s="3">
        <v>60</v>
      </c>
      <c r="G122" s="3">
        <f>VLOOKUP(A122,资源索引!$A$2:$F$29,2,FALSE)*VLOOKUP(C122+1,资源索引!$I$1:$J$6,2,FALSE)</f>
        <v>800000</v>
      </c>
      <c r="H122" s="3">
        <f>SUM(G$118:G122)</f>
        <v>1760000</v>
      </c>
      <c r="I122" s="3">
        <f>VLOOKUP(A122,资源索引!$A$2:$F$29,3,FALSE)*VLOOKUP(C122+1,资源索引!$I$1:$J$6,2,FALSE)</f>
        <v>400000</v>
      </c>
      <c r="J122" s="3">
        <f>SUM(I$118:I122)</f>
        <v>880000</v>
      </c>
      <c r="K122" s="3">
        <f>VLOOKUP(A122,资源索引!$A$2:$F$29,4,FALSE)*VLOOKUP(C122+1,资源索引!$I$1:$J$6,2,FALSE)</f>
        <v>400000</v>
      </c>
      <c r="L122" s="3">
        <f>SUM(K$118:K122)</f>
        <v>880000</v>
      </c>
      <c r="M122" s="3">
        <f>VLOOKUP(A122,资源索引!$A$2:$F$29,5,FALSE)*VLOOKUP(C122+1,资源索引!$I$1:$J$6,2,FALSE)</f>
        <v>400000</v>
      </c>
      <c r="N122" s="3">
        <f>SUM(M$118:M122)</f>
        <v>880000</v>
      </c>
      <c r="O122" s="3">
        <f>VLOOKUP(A122,资源索引!$A$2:$F$29,6,FALSE)*VLOOKUP(C122+1,资源索引!$I$1:$J$6,2,FALSE)</f>
        <v>1000000</v>
      </c>
      <c r="P122" s="3">
        <f>SUM(O$118:O122)</f>
        <v>2200000</v>
      </c>
      <c r="Q122" s="3">
        <v>2</v>
      </c>
      <c r="R122" s="3">
        <v>0</v>
      </c>
      <c r="S122" s="3" t="s">
        <v>30</v>
      </c>
      <c r="T122" s="3">
        <v>7</v>
      </c>
      <c r="U122" s="3">
        <v>5</v>
      </c>
      <c r="V122" s="3">
        <v>0</v>
      </c>
      <c r="W122" s="3" t="s">
        <v>513</v>
      </c>
      <c r="X122" s="3">
        <v>8587</v>
      </c>
      <c r="AD122" s="3">
        <v>0</v>
      </c>
      <c r="AE122" s="3">
        <v>1039</v>
      </c>
      <c r="AF122" s="3">
        <v>1079</v>
      </c>
      <c r="AG122" s="3">
        <v>400</v>
      </c>
      <c r="AH122" s="3">
        <v>401</v>
      </c>
      <c r="AI122" s="3">
        <v>402</v>
      </c>
      <c r="AK122" s="2" t="s">
        <v>547</v>
      </c>
    </row>
    <row r="123" spans="1:37" s="3" customFormat="1" x14ac:dyDescent="0.15">
      <c r="A123" s="3">
        <v>20</v>
      </c>
      <c r="B123" s="3" t="s">
        <v>509</v>
      </c>
      <c r="C123" s="3">
        <v>5</v>
      </c>
      <c r="D123" s="3">
        <v>5</v>
      </c>
      <c r="E123" s="3">
        <v>8</v>
      </c>
      <c r="F123" s="3">
        <v>70</v>
      </c>
      <c r="G123" s="3">
        <f>VLOOKUP(A123,资源索引!$A$2:$F$29,2,FALSE)*VLOOKUP(C123+1,资源索引!$I$1:$J$6,2,FALSE)</f>
        <v>1440000</v>
      </c>
      <c r="H123" s="3">
        <f>SUM(G$118:G123)</f>
        <v>3200000</v>
      </c>
      <c r="I123" s="3">
        <f>VLOOKUP(A123,资源索引!$A$2:$F$29,3,FALSE)*VLOOKUP(C123+1,资源索引!$I$1:$J$6,2,FALSE)</f>
        <v>720000</v>
      </c>
      <c r="J123" s="3">
        <f>SUM(I$118:I123)</f>
        <v>1600000</v>
      </c>
      <c r="K123" s="3">
        <f>VLOOKUP(A123,资源索引!$A$2:$F$29,4,FALSE)*VLOOKUP(C123+1,资源索引!$I$1:$J$6,2,FALSE)</f>
        <v>720000</v>
      </c>
      <c r="L123" s="3">
        <f>SUM(K$118:K123)</f>
        <v>1600000</v>
      </c>
      <c r="M123" s="3">
        <f>VLOOKUP(A123,资源索引!$A$2:$F$29,5,FALSE)*VLOOKUP(C123+1,资源索引!$I$1:$J$6,2,FALSE)</f>
        <v>720000</v>
      </c>
      <c r="N123" s="3">
        <f>SUM(M$118:M123)</f>
        <v>1600000</v>
      </c>
      <c r="O123" s="3">
        <f>VLOOKUP(A123,资源索引!$A$2:$F$29,6,FALSE)*VLOOKUP(C123+1,资源索引!$I$1:$J$6,2,FALSE)</f>
        <v>1800000</v>
      </c>
      <c r="P123" s="3">
        <f>SUM(O$118:O123)</f>
        <v>4000000</v>
      </c>
      <c r="Q123" s="3">
        <v>2</v>
      </c>
      <c r="R123" s="3">
        <v>0</v>
      </c>
      <c r="S123" s="3" t="s">
        <v>30</v>
      </c>
      <c r="T123" s="3">
        <v>7</v>
      </c>
      <c r="U123" s="3">
        <v>6</v>
      </c>
      <c r="V123" s="3">
        <v>0</v>
      </c>
      <c r="W123" s="3" t="s">
        <v>514</v>
      </c>
      <c r="X123" s="3">
        <v>8587</v>
      </c>
      <c r="AD123" s="3">
        <v>0</v>
      </c>
      <c r="AE123" s="3">
        <v>1039</v>
      </c>
      <c r="AF123" s="3">
        <v>1079</v>
      </c>
      <c r="AG123" s="3">
        <v>403</v>
      </c>
      <c r="AH123" s="3">
        <v>404</v>
      </c>
      <c r="AI123" s="3">
        <v>405</v>
      </c>
      <c r="AK123" s="2" t="s">
        <v>547</v>
      </c>
    </row>
    <row r="124" spans="1:37" s="2" customFormat="1" x14ac:dyDescent="0.15">
      <c r="A124" s="2">
        <v>21</v>
      </c>
      <c r="B124" s="2" t="s">
        <v>515</v>
      </c>
      <c r="C124" s="2">
        <v>0</v>
      </c>
      <c r="D124" s="2">
        <v>5</v>
      </c>
      <c r="E124" s="2">
        <v>8</v>
      </c>
      <c r="F124" s="2">
        <v>20</v>
      </c>
      <c r="G124" s="2">
        <f>VLOOKUP(A124,资源索引!$A$2:$F$29,2,FALSE)*VLOOKUP(C124+1,资源索引!$I$1:$J$6,2,FALSE)</f>
        <v>120000</v>
      </c>
      <c r="H124" s="2">
        <f>SUM(G$124:G124)</f>
        <v>120000</v>
      </c>
      <c r="I124" s="2">
        <f>VLOOKUP(A124,资源索引!$A$2:$F$29,3,FALSE)*VLOOKUP(C124+1,资源索引!$I$1:$J$6,2,FALSE)</f>
        <v>40000</v>
      </c>
      <c r="J124" s="2">
        <f>SUM(I$124:I124)</f>
        <v>40000</v>
      </c>
      <c r="K124" s="2">
        <f>VLOOKUP(A124,资源索引!$A$2:$F$29,4,FALSE)*VLOOKUP(C124+1,资源索引!$I$1:$J$6,2,FALSE)</f>
        <v>40000</v>
      </c>
      <c r="L124" s="2">
        <f>SUM(K$124:K124)</f>
        <v>40000</v>
      </c>
      <c r="M124" s="2">
        <f>VLOOKUP(A124,资源索引!$A$2:$F$29,5,FALSE)*VLOOKUP(C124+1,资源索引!$I$1:$J$6,2,FALSE)</f>
        <v>40000</v>
      </c>
      <c r="N124" s="2">
        <f>SUM(M$124:M124)</f>
        <v>40000</v>
      </c>
      <c r="O124" s="2">
        <f>VLOOKUP(A124,资源索引!$A$2:$F$29,6,FALSE)*VLOOKUP(C124+1,资源索引!$I$1:$J$6,2,FALSE)</f>
        <v>60000</v>
      </c>
      <c r="P124" s="2">
        <f>SUM(O$124:O124)</f>
        <v>60000</v>
      </c>
      <c r="Q124" s="2">
        <v>2</v>
      </c>
      <c r="R124" s="2">
        <v>0</v>
      </c>
      <c r="S124" s="2" t="s">
        <v>30</v>
      </c>
      <c r="T124" s="2">
        <v>7</v>
      </c>
      <c r="U124" s="2">
        <v>1</v>
      </c>
      <c r="V124" s="2">
        <v>0</v>
      </c>
      <c r="W124" s="2" t="s">
        <v>30</v>
      </c>
      <c r="X124" s="2">
        <v>8588</v>
      </c>
      <c r="AD124" s="2">
        <v>0</v>
      </c>
      <c r="AE124" s="2">
        <v>1040</v>
      </c>
      <c r="AF124" s="2">
        <v>1080</v>
      </c>
      <c r="AK124" s="2" t="s">
        <v>548</v>
      </c>
    </row>
    <row r="125" spans="1:37" s="2" customFormat="1" x14ac:dyDescent="0.15">
      <c r="A125" s="2">
        <v>21</v>
      </c>
      <c r="B125" s="2" t="s">
        <v>515</v>
      </c>
      <c r="C125" s="2">
        <v>1</v>
      </c>
      <c r="D125" s="2">
        <v>5</v>
      </c>
      <c r="E125" s="2">
        <v>8</v>
      </c>
      <c r="F125" s="2">
        <v>30</v>
      </c>
      <c r="G125" s="2">
        <f>VLOOKUP(A125,资源索引!$A$2:$F$29,2,FALSE)*VLOOKUP(C125+1,资源索引!$I$1:$J$6,2,FALSE)</f>
        <v>210000.00000000003</v>
      </c>
      <c r="H125" s="2">
        <f>SUM(G$124:G125)</f>
        <v>330000</v>
      </c>
      <c r="I125" s="2">
        <f>VLOOKUP(A125,资源索引!$A$2:$F$29,3,FALSE)*VLOOKUP(C125+1,资源索引!$I$1:$J$6,2,FALSE)</f>
        <v>70000</v>
      </c>
      <c r="J125" s="2">
        <f>SUM(I$124:I125)</f>
        <v>110000</v>
      </c>
      <c r="K125" s="2">
        <f>VLOOKUP(A125,资源索引!$A$2:$F$29,4,FALSE)*VLOOKUP(C125+1,资源索引!$I$1:$J$6,2,FALSE)</f>
        <v>70000</v>
      </c>
      <c r="L125" s="2">
        <f>SUM(K$124:K125)</f>
        <v>110000</v>
      </c>
      <c r="M125" s="2">
        <f>VLOOKUP(A125,资源索引!$A$2:$F$29,5,FALSE)*VLOOKUP(C125+1,资源索引!$I$1:$J$6,2,FALSE)</f>
        <v>70000</v>
      </c>
      <c r="N125" s="2">
        <f>SUM(M$124:M125)</f>
        <v>110000</v>
      </c>
      <c r="O125" s="2">
        <f>VLOOKUP(A125,资源索引!$A$2:$F$29,6,FALSE)*VLOOKUP(C125+1,资源索引!$I$1:$J$6,2,FALSE)</f>
        <v>105000.00000000001</v>
      </c>
      <c r="P125" s="2">
        <f>SUM(O$124:O125)</f>
        <v>165000</v>
      </c>
      <c r="Q125" s="2">
        <v>2</v>
      </c>
      <c r="R125" s="2">
        <v>0</v>
      </c>
      <c r="S125" s="2" t="s">
        <v>30</v>
      </c>
      <c r="T125" s="2">
        <v>7</v>
      </c>
      <c r="U125" s="2">
        <v>2</v>
      </c>
      <c r="V125" s="2">
        <v>0</v>
      </c>
      <c r="W125" s="2" t="s">
        <v>516</v>
      </c>
      <c r="X125" s="2">
        <v>8588</v>
      </c>
      <c r="AD125" s="2">
        <v>0</v>
      </c>
      <c r="AE125" s="2">
        <v>1040</v>
      </c>
      <c r="AF125" s="2">
        <v>1080</v>
      </c>
      <c r="AG125" s="2">
        <v>397</v>
      </c>
      <c r="AH125" s="2">
        <v>398</v>
      </c>
      <c r="AI125" s="2">
        <v>399</v>
      </c>
      <c r="AK125" s="2" t="s">
        <v>548</v>
      </c>
    </row>
    <row r="126" spans="1:37" s="2" customFormat="1" x14ac:dyDescent="0.15">
      <c r="A126" s="2">
        <v>21</v>
      </c>
      <c r="B126" s="2" t="s">
        <v>515</v>
      </c>
      <c r="C126" s="2">
        <v>2</v>
      </c>
      <c r="D126" s="2">
        <v>5</v>
      </c>
      <c r="E126" s="2">
        <v>8</v>
      </c>
      <c r="F126" s="2">
        <v>40</v>
      </c>
      <c r="G126" s="2">
        <f>VLOOKUP(A126,资源索引!$A$2:$F$29,2,FALSE)*VLOOKUP(C126+1,资源索引!$I$1:$J$6,2,FALSE)</f>
        <v>390000</v>
      </c>
      <c r="H126" s="2">
        <f>SUM(G$124:G126)</f>
        <v>720000</v>
      </c>
      <c r="I126" s="2">
        <f>VLOOKUP(A126,资源索引!$A$2:$F$29,3,FALSE)*VLOOKUP(C126+1,资源索引!$I$1:$J$6,2,FALSE)</f>
        <v>130000</v>
      </c>
      <c r="J126" s="2">
        <f>SUM(I$124:I126)</f>
        <v>240000</v>
      </c>
      <c r="K126" s="2">
        <f>VLOOKUP(A126,资源索引!$A$2:$F$29,4,FALSE)*VLOOKUP(C126+1,资源索引!$I$1:$J$6,2,FALSE)</f>
        <v>130000</v>
      </c>
      <c r="L126" s="2">
        <f>SUM(K$124:K126)</f>
        <v>240000</v>
      </c>
      <c r="M126" s="2">
        <f>VLOOKUP(A126,资源索引!$A$2:$F$29,5,FALSE)*VLOOKUP(C126+1,资源索引!$I$1:$J$6,2,FALSE)</f>
        <v>130000</v>
      </c>
      <c r="N126" s="2">
        <f>SUM(M$124:M126)</f>
        <v>240000</v>
      </c>
      <c r="O126" s="2">
        <f>VLOOKUP(A126,资源索引!$A$2:$F$29,6,FALSE)*VLOOKUP(C126+1,资源索引!$I$1:$J$6,2,FALSE)</f>
        <v>195000</v>
      </c>
      <c r="P126" s="2">
        <f>SUM(O$124:O126)</f>
        <v>360000</v>
      </c>
      <c r="Q126" s="2">
        <v>2</v>
      </c>
      <c r="R126" s="2">
        <v>0</v>
      </c>
      <c r="S126" s="2" t="s">
        <v>30</v>
      </c>
      <c r="T126" s="2">
        <v>7</v>
      </c>
      <c r="U126" s="2">
        <v>3</v>
      </c>
      <c r="V126" s="2">
        <v>0</v>
      </c>
      <c r="W126" s="2" t="s">
        <v>517</v>
      </c>
      <c r="X126" s="2">
        <v>8588</v>
      </c>
      <c r="AD126" s="2">
        <v>0</v>
      </c>
      <c r="AE126" s="2">
        <v>1040</v>
      </c>
      <c r="AF126" s="2">
        <v>1080</v>
      </c>
      <c r="AG126" s="2">
        <v>397</v>
      </c>
      <c r="AH126" s="2">
        <v>398</v>
      </c>
      <c r="AI126" s="2">
        <v>399</v>
      </c>
      <c r="AK126" s="2" t="s">
        <v>548</v>
      </c>
    </row>
    <row r="127" spans="1:37" s="2" customFormat="1" x14ac:dyDescent="0.15">
      <c r="A127" s="2">
        <v>21</v>
      </c>
      <c r="B127" s="2" t="s">
        <v>515</v>
      </c>
      <c r="C127" s="2">
        <v>3</v>
      </c>
      <c r="D127" s="2">
        <v>5</v>
      </c>
      <c r="E127" s="2">
        <v>8</v>
      </c>
      <c r="F127" s="2">
        <v>50</v>
      </c>
      <c r="G127" s="2">
        <f>VLOOKUP(A127,资源索引!$A$2:$F$29,2,FALSE)*VLOOKUP(C127+1,资源索引!$I$1:$J$6,2,FALSE)</f>
        <v>720000</v>
      </c>
      <c r="H127" s="2">
        <f>SUM(G$124:G127)</f>
        <v>1440000</v>
      </c>
      <c r="I127" s="2">
        <f>VLOOKUP(A127,资源索引!$A$2:$F$29,3,FALSE)*VLOOKUP(C127+1,资源索引!$I$1:$J$6,2,FALSE)</f>
        <v>240000</v>
      </c>
      <c r="J127" s="2">
        <f>SUM(I$124:I127)</f>
        <v>480000</v>
      </c>
      <c r="K127" s="2">
        <f>VLOOKUP(A127,资源索引!$A$2:$F$29,4,FALSE)*VLOOKUP(C127+1,资源索引!$I$1:$J$6,2,FALSE)</f>
        <v>240000</v>
      </c>
      <c r="L127" s="2">
        <f>SUM(K$124:K127)</f>
        <v>480000</v>
      </c>
      <c r="M127" s="2">
        <f>VLOOKUP(A127,资源索引!$A$2:$F$29,5,FALSE)*VLOOKUP(C127+1,资源索引!$I$1:$J$6,2,FALSE)</f>
        <v>240000</v>
      </c>
      <c r="N127" s="2">
        <f>SUM(M$124:M127)</f>
        <v>480000</v>
      </c>
      <c r="O127" s="2">
        <f>VLOOKUP(A127,资源索引!$A$2:$F$29,6,FALSE)*VLOOKUP(C127+1,资源索引!$I$1:$J$6,2,FALSE)</f>
        <v>360000</v>
      </c>
      <c r="P127" s="2">
        <f>SUM(O$124:O127)</f>
        <v>720000</v>
      </c>
      <c r="Q127" s="2">
        <v>2</v>
      </c>
      <c r="R127" s="2">
        <v>0</v>
      </c>
      <c r="S127" s="2" t="s">
        <v>30</v>
      </c>
      <c r="T127" s="2">
        <v>7</v>
      </c>
      <c r="U127" s="2">
        <v>4</v>
      </c>
      <c r="V127" s="2">
        <v>0</v>
      </c>
      <c r="W127" s="2" t="s">
        <v>518</v>
      </c>
      <c r="X127" s="2">
        <v>8588</v>
      </c>
      <c r="AD127" s="2">
        <v>0</v>
      </c>
      <c r="AE127" s="2">
        <v>1040</v>
      </c>
      <c r="AF127" s="2">
        <v>1080</v>
      </c>
      <c r="AG127" s="2">
        <v>400</v>
      </c>
      <c r="AH127" s="2">
        <v>401</v>
      </c>
      <c r="AI127" s="2">
        <v>402</v>
      </c>
      <c r="AK127" s="2" t="s">
        <v>548</v>
      </c>
    </row>
    <row r="128" spans="1:37" s="2" customFormat="1" x14ac:dyDescent="0.15">
      <c r="A128" s="2">
        <v>21</v>
      </c>
      <c r="B128" s="2" t="s">
        <v>515</v>
      </c>
      <c r="C128" s="2">
        <v>4</v>
      </c>
      <c r="D128" s="2">
        <v>5</v>
      </c>
      <c r="E128" s="2">
        <v>8</v>
      </c>
      <c r="F128" s="2">
        <v>60</v>
      </c>
      <c r="G128" s="2">
        <f>VLOOKUP(A128,资源索引!$A$2:$F$29,2,FALSE)*VLOOKUP(C128+1,资源索引!$I$1:$J$6,2,FALSE)</f>
        <v>1200000</v>
      </c>
      <c r="H128" s="2">
        <f>SUM(G$124:G128)</f>
        <v>2640000</v>
      </c>
      <c r="I128" s="2">
        <f>VLOOKUP(A128,资源索引!$A$2:$F$29,3,FALSE)*VLOOKUP(C128+1,资源索引!$I$1:$J$6,2,FALSE)</f>
        <v>400000</v>
      </c>
      <c r="J128" s="2">
        <f>SUM(I$124:I128)</f>
        <v>880000</v>
      </c>
      <c r="K128" s="2">
        <f>VLOOKUP(A128,资源索引!$A$2:$F$29,4,FALSE)*VLOOKUP(C128+1,资源索引!$I$1:$J$6,2,FALSE)</f>
        <v>400000</v>
      </c>
      <c r="L128" s="2">
        <f>SUM(K$124:K128)</f>
        <v>880000</v>
      </c>
      <c r="M128" s="2">
        <f>VLOOKUP(A128,资源索引!$A$2:$F$29,5,FALSE)*VLOOKUP(C128+1,资源索引!$I$1:$J$6,2,FALSE)</f>
        <v>400000</v>
      </c>
      <c r="N128" s="2">
        <f>SUM(M$124:M128)</f>
        <v>880000</v>
      </c>
      <c r="O128" s="2">
        <f>VLOOKUP(A128,资源索引!$A$2:$F$29,6,FALSE)*VLOOKUP(C128+1,资源索引!$I$1:$J$6,2,FALSE)</f>
        <v>600000</v>
      </c>
      <c r="P128" s="2">
        <f>SUM(O$124:O128)</f>
        <v>1320000</v>
      </c>
      <c r="Q128" s="2">
        <v>2</v>
      </c>
      <c r="R128" s="2">
        <v>0</v>
      </c>
      <c r="S128" s="2" t="s">
        <v>30</v>
      </c>
      <c r="T128" s="2">
        <v>7</v>
      </c>
      <c r="U128" s="2">
        <v>5</v>
      </c>
      <c r="V128" s="2">
        <v>0</v>
      </c>
      <c r="W128" s="2" t="s">
        <v>519</v>
      </c>
      <c r="X128" s="2">
        <v>8588</v>
      </c>
      <c r="AD128" s="2">
        <v>0</v>
      </c>
      <c r="AE128" s="2">
        <v>1040</v>
      </c>
      <c r="AF128" s="2">
        <v>1080</v>
      </c>
      <c r="AG128" s="2">
        <v>400</v>
      </c>
      <c r="AH128" s="2">
        <v>401</v>
      </c>
      <c r="AI128" s="2">
        <v>402</v>
      </c>
      <c r="AK128" s="2" t="s">
        <v>548</v>
      </c>
    </row>
    <row r="129" spans="1:37" s="2" customFormat="1" x14ac:dyDescent="0.15">
      <c r="A129" s="2">
        <v>21</v>
      </c>
      <c r="B129" s="2" t="s">
        <v>515</v>
      </c>
      <c r="C129" s="2">
        <v>5</v>
      </c>
      <c r="D129" s="2">
        <v>5</v>
      </c>
      <c r="E129" s="2">
        <v>8</v>
      </c>
      <c r="F129" s="2">
        <v>70</v>
      </c>
      <c r="G129" s="2">
        <f>VLOOKUP(A129,资源索引!$A$2:$F$29,2,FALSE)*VLOOKUP(C129+1,资源索引!$I$1:$J$6,2,FALSE)</f>
        <v>2160000</v>
      </c>
      <c r="H129" s="2">
        <f>SUM(G$124:G129)</f>
        <v>4800000</v>
      </c>
      <c r="I129" s="2">
        <f>VLOOKUP(A129,资源索引!$A$2:$F$29,3,FALSE)*VLOOKUP(C129+1,资源索引!$I$1:$J$6,2,FALSE)</f>
        <v>720000</v>
      </c>
      <c r="J129" s="2">
        <f>SUM(I$124:I129)</f>
        <v>1600000</v>
      </c>
      <c r="K129" s="2">
        <f>VLOOKUP(A129,资源索引!$A$2:$F$29,4,FALSE)*VLOOKUP(C129+1,资源索引!$I$1:$J$6,2,FALSE)</f>
        <v>720000</v>
      </c>
      <c r="L129" s="2">
        <f>SUM(K$124:K129)</f>
        <v>1600000</v>
      </c>
      <c r="M129" s="2">
        <f>VLOOKUP(A129,资源索引!$A$2:$F$29,5,FALSE)*VLOOKUP(C129+1,资源索引!$I$1:$J$6,2,FALSE)</f>
        <v>720000</v>
      </c>
      <c r="N129" s="2">
        <f>SUM(M$124:M129)</f>
        <v>1600000</v>
      </c>
      <c r="O129" s="2">
        <f>VLOOKUP(A129,资源索引!$A$2:$F$29,6,FALSE)*VLOOKUP(C129+1,资源索引!$I$1:$J$6,2,FALSE)</f>
        <v>1080000</v>
      </c>
      <c r="P129" s="2">
        <f>SUM(O$124:O129)</f>
        <v>2400000</v>
      </c>
      <c r="Q129" s="2">
        <v>2</v>
      </c>
      <c r="R129" s="2">
        <v>0</v>
      </c>
      <c r="S129" s="2" t="s">
        <v>30</v>
      </c>
      <c r="T129" s="2">
        <v>7</v>
      </c>
      <c r="U129" s="2">
        <v>6</v>
      </c>
      <c r="V129" s="2">
        <v>0</v>
      </c>
      <c r="W129" s="2" t="s">
        <v>520</v>
      </c>
      <c r="X129" s="2">
        <v>8588</v>
      </c>
      <c r="AD129" s="2">
        <v>0</v>
      </c>
      <c r="AE129" s="2">
        <v>1040</v>
      </c>
      <c r="AF129" s="2">
        <v>1080</v>
      </c>
      <c r="AG129" s="2">
        <v>403</v>
      </c>
      <c r="AH129" s="2">
        <v>404</v>
      </c>
      <c r="AI129" s="2">
        <v>405</v>
      </c>
      <c r="AK129" s="2" t="s">
        <v>548</v>
      </c>
    </row>
    <row r="130" spans="1:37" s="3" customFormat="1" x14ac:dyDescent="0.15">
      <c r="A130" s="3">
        <v>22</v>
      </c>
      <c r="B130" s="3" t="s">
        <v>521</v>
      </c>
      <c r="C130" s="3">
        <v>0</v>
      </c>
      <c r="D130" s="3">
        <v>5</v>
      </c>
      <c r="E130" s="3">
        <v>8</v>
      </c>
      <c r="F130" s="3">
        <v>20</v>
      </c>
      <c r="G130" s="3">
        <f>VLOOKUP(A130,资源索引!$A$2:$F$29,2,FALSE)*VLOOKUP(C130+1,资源索引!$I$1:$J$6,2,FALSE)</f>
        <v>100000</v>
      </c>
      <c r="H130" s="3">
        <f>SUM(G$130:G130)</f>
        <v>100000</v>
      </c>
      <c r="I130" s="3">
        <f>VLOOKUP(A130,资源索引!$A$2:$F$29,3,FALSE)*VLOOKUP(C130+1,资源索引!$I$1:$J$6,2,FALSE)</f>
        <v>40000</v>
      </c>
      <c r="J130" s="3">
        <f>SUM(I$130:I130)</f>
        <v>40000</v>
      </c>
      <c r="K130" s="3">
        <f>VLOOKUP(A130,资源索引!$A$2:$F$29,4,FALSE)*VLOOKUP(C130+1,资源索引!$I$1:$J$6,2,FALSE)</f>
        <v>60000</v>
      </c>
      <c r="L130" s="3">
        <f>SUM(K$130:K130)</f>
        <v>60000</v>
      </c>
      <c r="M130" s="3">
        <f>VLOOKUP(A130,资源索引!$A$2:$F$29,5,FALSE)*VLOOKUP(C130+1,资源索引!$I$1:$J$6,2,FALSE)</f>
        <v>60000</v>
      </c>
      <c r="N130" s="3">
        <f>SUM(M$130:M130)</f>
        <v>60000</v>
      </c>
      <c r="O130" s="3">
        <f>VLOOKUP(A130,资源索引!$A$2:$F$29,6,FALSE)*VLOOKUP(C130+1,资源索引!$I$1:$J$6,2,FALSE)</f>
        <v>40000</v>
      </c>
      <c r="P130" s="3">
        <f>SUM(O$130:O130)</f>
        <v>40000</v>
      </c>
      <c r="Q130" s="3">
        <v>2</v>
      </c>
      <c r="R130" s="3">
        <v>0</v>
      </c>
      <c r="S130" s="3" t="s">
        <v>30</v>
      </c>
      <c r="T130" s="3">
        <v>7</v>
      </c>
      <c r="U130" s="3">
        <v>1</v>
      </c>
      <c r="V130" s="3">
        <v>0</v>
      </c>
      <c r="W130" s="3" t="s">
        <v>30</v>
      </c>
      <c r="X130" s="3">
        <v>8589</v>
      </c>
      <c r="AD130" s="3">
        <v>0</v>
      </c>
      <c r="AE130" s="3">
        <v>1041</v>
      </c>
      <c r="AF130" s="3">
        <v>1081</v>
      </c>
      <c r="AK130" s="3" t="s">
        <v>544</v>
      </c>
    </row>
    <row r="131" spans="1:37" s="3" customFormat="1" x14ac:dyDescent="0.15">
      <c r="A131" s="3">
        <v>22</v>
      </c>
      <c r="B131" s="3" t="s">
        <v>521</v>
      </c>
      <c r="C131" s="3">
        <v>1</v>
      </c>
      <c r="D131" s="3">
        <v>5</v>
      </c>
      <c r="E131" s="3">
        <v>8</v>
      </c>
      <c r="F131" s="3">
        <v>30</v>
      </c>
      <c r="G131" s="3">
        <f>VLOOKUP(A131,资源索引!$A$2:$F$29,2,FALSE)*VLOOKUP(C131+1,资源索引!$I$1:$J$6,2,FALSE)</f>
        <v>175000.00000000003</v>
      </c>
      <c r="H131" s="3">
        <f>SUM(G$130:G131)</f>
        <v>275000</v>
      </c>
      <c r="I131" s="3">
        <f>VLOOKUP(A131,资源索引!$A$2:$F$29,3,FALSE)*VLOOKUP(C131+1,资源索引!$I$1:$J$6,2,FALSE)</f>
        <v>70000</v>
      </c>
      <c r="J131" s="3">
        <f>SUM(I$130:I131)</f>
        <v>110000</v>
      </c>
      <c r="K131" s="3">
        <f>VLOOKUP(A131,资源索引!$A$2:$F$29,4,FALSE)*VLOOKUP(C131+1,资源索引!$I$1:$J$6,2,FALSE)</f>
        <v>105000.00000000001</v>
      </c>
      <c r="L131" s="3">
        <f>SUM(K$130:K131)</f>
        <v>165000</v>
      </c>
      <c r="M131" s="3">
        <f>VLOOKUP(A131,资源索引!$A$2:$F$29,5,FALSE)*VLOOKUP(C131+1,资源索引!$I$1:$J$6,2,FALSE)</f>
        <v>105000.00000000001</v>
      </c>
      <c r="N131" s="3">
        <f>SUM(M$130:M131)</f>
        <v>165000</v>
      </c>
      <c r="O131" s="3">
        <f>VLOOKUP(A131,资源索引!$A$2:$F$29,6,FALSE)*VLOOKUP(C131+1,资源索引!$I$1:$J$6,2,FALSE)</f>
        <v>70000</v>
      </c>
      <c r="P131" s="3">
        <f>SUM(O$130:O131)</f>
        <v>110000</v>
      </c>
      <c r="Q131" s="3">
        <v>2</v>
      </c>
      <c r="R131" s="3">
        <v>0</v>
      </c>
      <c r="S131" s="3" t="s">
        <v>30</v>
      </c>
      <c r="T131" s="3">
        <v>7</v>
      </c>
      <c r="U131" s="3">
        <v>2</v>
      </c>
      <c r="V131" s="3">
        <v>0</v>
      </c>
      <c r="W131" s="3" t="s">
        <v>522</v>
      </c>
      <c r="X131" s="3">
        <v>8589</v>
      </c>
      <c r="AD131" s="3">
        <v>0</v>
      </c>
      <c r="AE131" s="3">
        <v>1041</v>
      </c>
      <c r="AF131" s="3">
        <v>1081</v>
      </c>
      <c r="AG131" s="3">
        <v>397</v>
      </c>
      <c r="AH131" s="3">
        <v>398</v>
      </c>
      <c r="AI131" s="3">
        <v>399</v>
      </c>
      <c r="AK131" s="3" t="s">
        <v>544</v>
      </c>
    </row>
    <row r="132" spans="1:37" s="3" customFormat="1" x14ac:dyDescent="0.15">
      <c r="A132" s="3">
        <v>22</v>
      </c>
      <c r="B132" s="3" t="s">
        <v>521</v>
      </c>
      <c r="C132" s="3">
        <v>2</v>
      </c>
      <c r="D132" s="3">
        <v>5</v>
      </c>
      <c r="E132" s="3">
        <v>8</v>
      </c>
      <c r="F132" s="3">
        <v>40</v>
      </c>
      <c r="G132" s="3">
        <f>VLOOKUP(A132,资源索引!$A$2:$F$29,2,FALSE)*VLOOKUP(C132+1,资源索引!$I$1:$J$6,2,FALSE)</f>
        <v>325000</v>
      </c>
      <c r="H132" s="3">
        <f>SUM(G$130:G132)</f>
        <v>600000</v>
      </c>
      <c r="I132" s="3">
        <f>VLOOKUP(A132,资源索引!$A$2:$F$29,3,FALSE)*VLOOKUP(C132+1,资源索引!$I$1:$J$6,2,FALSE)</f>
        <v>130000</v>
      </c>
      <c r="J132" s="3">
        <f>SUM(I$130:I132)</f>
        <v>240000</v>
      </c>
      <c r="K132" s="3">
        <f>VLOOKUP(A132,资源索引!$A$2:$F$29,4,FALSE)*VLOOKUP(C132+1,资源索引!$I$1:$J$6,2,FALSE)</f>
        <v>195000</v>
      </c>
      <c r="L132" s="3">
        <f>SUM(K$130:K132)</f>
        <v>360000</v>
      </c>
      <c r="M132" s="3">
        <f>VLOOKUP(A132,资源索引!$A$2:$F$29,5,FALSE)*VLOOKUP(C132+1,资源索引!$I$1:$J$6,2,FALSE)</f>
        <v>195000</v>
      </c>
      <c r="N132" s="3">
        <f>SUM(M$130:M132)</f>
        <v>360000</v>
      </c>
      <c r="O132" s="3">
        <f>VLOOKUP(A132,资源索引!$A$2:$F$29,6,FALSE)*VLOOKUP(C132+1,资源索引!$I$1:$J$6,2,FALSE)</f>
        <v>130000</v>
      </c>
      <c r="P132" s="3">
        <f>SUM(O$130:O132)</f>
        <v>240000</v>
      </c>
      <c r="Q132" s="3">
        <v>2</v>
      </c>
      <c r="R132" s="3">
        <v>0</v>
      </c>
      <c r="S132" s="3" t="s">
        <v>30</v>
      </c>
      <c r="T132" s="3">
        <v>7</v>
      </c>
      <c r="U132" s="3">
        <v>3</v>
      </c>
      <c r="V132" s="3">
        <v>0</v>
      </c>
      <c r="W132" s="3" t="s">
        <v>523</v>
      </c>
      <c r="X132" s="3">
        <v>8589</v>
      </c>
      <c r="AD132" s="3">
        <v>0</v>
      </c>
      <c r="AE132" s="3">
        <v>1041</v>
      </c>
      <c r="AF132" s="3">
        <v>1081</v>
      </c>
      <c r="AG132" s="3">
        <v>397</v>
      </c>
      <c r="AH132" s="3">
        <v>398</v>
      </c>
      <c r="AI132" s="3">
        <v>399</v>
      </c>
      <c r="AK132" s="3" t="s">
        <v>544</v>
      </c>
    </row>
    <row r="133" spans="1:37" s="3" customFormat="1" x14ac:dyDescent="0.15">
      <c r="A133" s="3">
        <v>22</v>
      </c>
      <c r="B133" s="3" t="s">
        <v>521</v>
      </c>
      <c r="C133" s="3">
        <v>3</v>
      </c>
      <c r="D133" s="3">
        <v>5</v>
      </c>
      <c r="E133" s="3">
        <v>8</v>
      </c>
      <c r="F133" s="3">
        <v>50</v>
      </c>
      <c r="G133" s="3">
        <f>VLOOKUP(A133,资源索引!$A$2:$F$29,2,FALSE)*VLOOKUP(C133+1,资源索引!$I$1:$J$6,2,FALSE)</f>
        <v>600000</v>
      </c>
      <c r="H133" s="3">
        <f>SUM(G$130:G133)</f>
        <v>1200000</v>
      </c>
      <c r="I133" s="3">
        <f>VLOOKUP(A133,资源索引!$A$2:$F$29,3,FALSE)*VLOOKUP(C133+1,资源索引!$I$1:$J$6,2,FALSE)</f>
        <v>240000</v>
      </c>
      <c r="J133" s="3">
        <f>SUM(I$130:I133)</f>
        <v>480000</v>
      </c>
      <c r="K133" s="3">
        <f>VLOOKUP(A133,资源索引!$A$2:$F$29,4,FALSE)*VLOOKUP(C133+1,资源索引!$I$1:$J$6,2,FALSE)</f>
        <v>360000</v>
      </c>
      <c r="L133" s="3">
        <f>SUM(K$130:K133)</f>
        <v>720000</v>
      </c>
      <c r="M133" s="3">
        <f>VLOOKUP(A133,资源索引!$A$2:$F$29,5,FALSE)*VLOOKUP(C133+1,资源索引!$I$1:$J$6,2,FALSE)</f>
        <v>360000</v>
      </c>
      <c r="N133" s="3">
        <f>SUM(M$130:M133)</f>
        <v>720000</v>
      </c>
      <c r="O133" s="3">
        <f>VLOOKUP(A133,资源索引!$A$2:$F$29,6,FALSE)*VLOOKUP(C133+1,资源索引!$I$1:$J$6,2,FALSE)</f>
        <v>240000</v>
      </c>
      <c r="P133" s="3">
        <f>SUM(O$130:O133)</f>
        <v>480000</v>
      </c>
      <c r="Q133" s="3">
        <v>2</v>
      </c>
      <c r="R133" s="3">
        <v>0</v>
      </c>
      <c r="S133" s="3" t="s">
        <v>30</v>
      </c>
      <c r="T133" s="3">
        <v>7</v>
      </c>
      <c r="U133" s="3">
        <v>4</v>
      </c>
      <c r="V133" s="3">
        <v>0</v>
      </c>
      <c r="W133" s="3" t="s">
        <v>524</v>
      </c>
      <c r="X133" s="3">
        <v>8589</v>
      </c>
      <c r="AD133" s="3">
        <v>0</v>
      </c>
      <c r="AE133" s="3">
        <v>1041</v>
      </c>
      <c r="AF133" s="3">
        <v>1081</v>
      </c>
      <c r="AG133" s="3">
        <v>400</v>
      </c>
      <c r="AH133" s="3">
        <v>401</v>
      </c>
      <c r="AI133" s="3">
        <v>402</v>
      </c>
      <c r="AK133" s="3" t="s">
        <v>544</v>
      </c>
    </row>
    <row r="134" spans="1:37" s="3" customFormat="1" x14ac:dyDescent="0.15">
      <c r="A134" s="3">
        <v>22</v>
      </c>
      <c r="B134" s="3" t="s">
        <v>521</v>
      </c>
      <c r="C134" s="3">
        <v>4</v>
      </c>
      <c r="D134" s="3">
        <v>5</v>
      </c>
      <c r="E134" s="3">
        <v>8</v>
      </c>
      <c r="F134" s="3">
        <v>60</v>
      </c>
      <c r="G134" s="3">
        <f>VLOOKUP(A134,资源索引!$A$2:$F$29,2,FALSE)*VLOOKUP(C134+1,资源索引!$I$1:$J$6,2,FALSE)</f>
        <v>1000000</v>
      </c>
      <c r="H134" s="3">
        <f>SUM(G$130:G134)</f>
        <v>2200000</v>
      </c>
      <c r="I134" s="3">
        <f>VLOOKUP(A134,资源索引!$A$2:$F$29,3,FALSE)*VLOOKUP(C134+1,资源索引!$I$1:$J$6,2,FALSE)</f>
        <v>400000</v>
      </c>
      <c r="J134" s="3">
        <f>SUM(I$130:I134)</f>
        <v>880000</v>
      </c>
      <c r="K134" s="3">
        <f>VLOOKUP(A134,资源索引!$A$2:$F$29,4,FALSE)*VLOOKUP(C134+1,资源索引!$I$1:$J$6,2,FALSE)</f>
        <v>600000</v>
      </c>
      <c r="L134" s="3">
        <f>SUM(K$130:K134)</f>
        <v>1320000</v>
      </c>
      <c r="M134" s="3">
        <f>VLOOKUP(A134,资源索引!$A$2:$F$29,5,FALSE)*VLOOKUP(C134+1,资源索引!$I$1:$J$6,2,FALSE)</f>
        <v>600000</v>
      </c>
      <c r="N134" s="3">
        <f>SUM(M$130:M134)</f>
        <v>1320000</v>
      </c>
      <c r="O134" s="3">
        <f>VLOOKUP(A134,资源索引!$A$2:$F$29,6,FALSE)*VLOOKUP(C134+1,资源索引!$I$1:$J$6,2,FALSE)</f>
        <v>400000</v>
      </c>
      <c r="P134" s="3">
        <f>SUM(O$130:O134)</f>
        <v>880000</v>
      </c>
      <c r="Q134" s="3">
        <v>2</v>
      </c>
      <c r="R134" s="3">
        <v>0</v>
      </c>
      <c r="S134" s="3" t="s">
        <v>30</v>
      </c>
      <c r="T134" s="3">
        <v>7</v>
      </c>
      <c r="U134" s="3">
        <v>5</v>
      </c>
      <c r="V134" s="3">
        <v>0</v>
      </c>
      <c r="W134" s="3" t="s">
        <v>525</v>
      </c>
      <c r="X134" s="3">
        <v>8589</v>
      </c>
      <c r="AD134" s="3">
        <v>0</v>
      </c>
      <c r="AE134" s="3">
        <v>1041</v>
      </c>
      <c r="AF134" s="3">
        <v>1081</v>
      </c>
      <c r="AG134" s="3">
        <v>400</v>
      </c>
      <c r="AH134" s="3">
        <v>401</v>
      </c>
      <c r="AI134" s="3">
        <v>402</v>
      </c>
      <c r="AK134" s="3" t="s">
        <v>544</v>
      </c>
    </row>
    <row r="135" spans="1:37" s="3" customFormat="1" x14ac:dyDescent="0.15">
      <c r="A135" s="3">
        <v>22</v>
      </c>
      <c r="B135" s="3" t="s">
        <v>521</v>
      </c>
      <c r="C135" s="3">
        <v>5</v>
      </c>
      <c r="D135" s="3">
        <v>5</v>
      </c>
      <c r="E135" s="3">
        <v>8</v>
      </c>
      <c r="F135" s="3">
        <v>70</v>
      </c>
      <c r="G135" s="3">
        <f>VLOOKUP(A135,资源索引!$A$2:$F$29,2,FALSE)*VLOOKUP(C135+1,资源索引!$I$1:$J$6,2,FALSE)</f>
        <v>1800000</v>
      </c>
      <c r="H135" s="3">
        <f>SUM(G$130:G135)</f>
        <v>4000000</v>
      </c>
      <c r="I135" s="3">
        <f>VLOOKUP(A135,资源索引!$A$2:$F$29,3,FALSE)*VLOOKUP(C135+1,资源索引!$I$1:$J$6,2,FALSE)</f>
        <v>720000</v>
      </c>
      <c r="J135" s="3">
        <f>SUM(I$130:I135)</f>
        <v>1600000</v>
      </c>
      <c r="K135" s="3">
        <f>VLOOKUP(A135,资源索引!$A$2:$F$29,4,FALSE)*VLOOKUP(C135+1,资源索引!$I$1:$J$6,2,FALSE)</f>
        <v>1080000</v>
      </c>
      <c r="L135" s="3">
        <f>SUM(K$130:K135)</f>
        <v>2400000</v>
      </c>
      <c r="M135" s="3">
        <f>VLOOKUP(A135,资源索引!$A$2:$F$29,5,FALSE)*VLOOKUP(C135+1,资源索引!$I$1:$J$6,2,FALSE)</f>
        <v>1080000</v>
      </c>
      <c r="N135" s="3">
        <f>SUM(M$130:M135)</f>
        <v>2400000</v>
      </c>
      <c r="O135" s="3">
        <f>VLOOKUP(A135,资源索引!$A$2:$F$29,6,FALSE)*VLOOKUP(C135+1,资源索引!$I$1:$J$6,2,FALSE)</f>
        <v>720000</v>
      </c>
      <c r="P135" s="3">
        <f>SUM(O$130:O135)</f>
        <v>1600000</v>
      </c>
      <c r="Q135" s="3">
        <v>2</v>
      </c>
      <c r="R135" s="3">
        <v>0</v>
      </c>
      <c r="S135" s="3" t="s">
        <v>30</v>
      </c>
      <c r="T135" s="3">
        <v>7</v>
      </c>
      <c r="U135" s="3">
        <v>6</v>
      </c>
      <c r="V135" s="3">
        <v>0</v>
      </c>
      <c r="W135" s="3" t="s">
        <v>526</v>
      </c>
      <c r="X135" s="3">
        <v>8589</v>
      </c>
      <c r="AD135" s="3">
        <v>0</v>
      </c>
      <c r="AE135" s="3">
        <v>1041</v>
      </c>
      <c r="AF135" s="3">
        <v>1081</v>
      </c>
      <c r="AG135" s="3">
        <v>403</v>
      </c>
      <c r="AH135" s="3">
        <v>404</v>
      </c>
      <c r="AI135" s="3">
        <v>405</v>
      </c>
      <c r="AK135" s="3" t="s">
        <v>544</v>
      </c>
    </row>
    <row r="136" spans="1:37" s="2" customFormat="1" x14ac:dyDescent="0.15">
      <c r="A136" s="2">
        <v>23</v>
      </c>
      <c r="B136" s="2" t="s">
        <v>527</v>
      </c>
      <c r="C136" s="2">
        <v>0</v>
      </c>
      <c r="D136" s="2">
        <v>5</v>
      </c>
      <c r="E136" s="2">
        <v>8</v>
      </c>
      <c r="F136" s="2">
        <v>20</v>
      </c>
      <c r="G136" s="2">
        <f>VLOOKUP(A136,资源索引!$A$2:$F$29,2,FALSE)*VLOOKUP(C136+1,资源索引!$I$1:$J$6,2,FALSE)</f>
        <v>120000</v>
      </c>
      <c r="H136" s="2">
        <f>SUM(G$136:G136)</f>
        <v>120000</v>
      </c>
      <c r="I136" s="2">
        <f>VLOOKUP(A136,资源索引!$A$2:$F$29,3,FALSE)*VLOOKUP(C136+1,资源索引!$I$1:$J$6,2,FALSE)</f>
        <v>40000</v>
      </c>
      <c r="J136" s="2">
        <f>SUM(I$136:I136)</f>
        <v>40000</v>
      </c>
      <c r="K136" s="2">
        <f>VLOOKUP(A136,资源索引!$A$2:$F$29,4,FALSE)*VLOOKUP(C136+1,资源索引!$I$1:$J$6,2,FALSE)</f>
        <v>40000</v>
      </c>
      <c r="L136" s="2">
        <f>SUM(K$136:K136)</f>
        <v>40000</v>
      </c>
      <c r="M136" s="2">
        <f>VLOOKUP(A136,资源索引!$A$2:$F$29,5,FALSE)*VLOOKUP(C136+1,资源索引!$I$1:$J$6,2,FALSE)</f>
        <v>60000</v>
      </c>
      <c r="N136" s="2">
        <f>SUM(M$136:M136)</f>
        <v>60000</v>
      </c>
      <c r="O136" s="2">
        <f>VLOOKUP(A136,资源索引!$A$2:$F$29,6,FALSE)*VLOOKUP(C136+1,资源索引!$I$1:$J$6,2,FALSE)</f>
        <v>40000</v>
      </c>
      <c r="P136" s="2">
        <f>SUM(O$136:O136)</f>
        <v>40000</v>
      </c>
      <c r="Q136" s="2">
        <v>2</v>
      </c>
      <c r="R136" s="2">
        <v>0</v>
      </c>
      <c r="S136" s="2" t="s">
        <v>30</v>
      </c>
      <c r="T136" s="2">
        <v>7</v>
      </c>
      <c r="U136" s="2">
        <v>1</v>
      </c>
      <c r="V136" s="2">
        <v>0</v>
      </c>
      <c r="W136" s="2" t="s">
        <v>30</v>
      </c>
      <c r="X136" s="2">
        <v>8590</v>
      </c>
      <c r="AD136" s="2">
        <v>0</v>
      </c>
      <c r="AE136" s="2">
        <v>1042</v>
      </c>
      <c r="AF136" s="2">
        <v>1082</v>
      </c>
      <c r="AK136" s="2" t="s">
        <v>545</v>
      </c>
    </row>
    <row r="137" spans="1:37" s="2" customFormat="1" x14ac:dyDescent="0.15">
      <c r="A137" s="2">
        <v>23</v>
      </c>
      <c r="B137" s="2" t="s">
        <v>527</v>
      </c>
      <c r="C137" s="2">
        <v>1</v>
      </c>
      <c r="D137" s="2">
        <v>5</v>
      </c>
      <c r="E137" s="2">
        <v>8</v>
      </c>
      <c r="F137" s="2">
        <v>30</v>
      </c>
      <c r="G137" s="2">
        <f>VLOOKUP(A137,资源索引!$A$2:$F$29,2,FALSE)*VLOOKUP(C137+1,资源索引!$I$1:$J$6,2,FALSE)</f>
        <v>210000.00000000003</v>
      </c>
      <c r="H137" s="2">
        <f>SUM(G$136:G137)</f>
        <v>330000</v>
      </c>
      <c r="I137" s="2">
        <f>VLOOKUP(A137,资源索引!$A$2:$F$29,3,FALSE)*VLOOKUP(C137+1,资源索引!$I$1:$J$6,2,FALSE)</f>
        <v>70000</v>
      </c>
      <c r="J137" s="2">
        <f>SUM(I$136:I137)</f>
        <v>110000</v>
      </c>
      <c r="K137" s="2">
        <f>VLOOKUP(A137,资源索引!$A$2:$F$29,4,FALSE)*VLOOKUP(C137+1,资源索引!$I$1:$J$6,2,FALSE)</f>
        <v>70000</v>
      </c>
      <c r="L137" s="2">
        <f>SUM(K$136:K137)</f>
        <v>110000</v>
      </c>
      <c r="M137" s="2">
        <f>VLOOKUP(A137,资源索引!$A$2:$F$29,5,FALSE)*VLOOKUP(C137+1,资源索引!$I$1:$J$6,2,FALSE)</f>
        <v>105000.00000000001</v>
      </c>
      <c r="N137" s="2">
        <f>SUM(M$136:M137)</f>
        <v>165000</v>
      </c>
      <c r="O137" s="2">
        <f>VLOOKUP(A137,资源索引!$A$2:$F$29,6,FALSE)*VLOOKUP(C137+1,资源索引!$I$1:$J$6,2,FALSE)</f>
        <v>70000</v>
      </c>
      <c r="P137" s="2">
        <f>SUM(O$136:O137)</f>
        <v>110000</v>
      </c>
      <c r="Q137" s="2">
        <v>2</v>
      </c>
      <c r="R137" s="2">
        <v>0</v>
      </c>
      <c r="S137" s="2" t="s">
        <v>30</v>
      </c>
      <c r="T137" s="2">
        <v>7</v>
      </c>
      <c r="U137" s="2">
        <v>2</v>
      </c>
      <c r="V137" s="2">
        <v>0</v>
      </c>
      <c r="W137" s="2" t="s">
        <v>528</v>
      </c>
      <c r="X137" s="2">
        <v>8590</v>
      </c>
      <c r="AD137" s="2">
        <v>0</v>
      </c>
      <c r="AE137" s="2">
        <v>1042</v>
      </c>
      <c r="AF137" s="2">
        <v>1082</v>
      </c>
      <c r="AG137" s="2">
        <v>397</v>
      </c>
      <c r="AH137" s="2">
        <v>398</v>
      </c>
      <c r="AI137" s="2">
        <v>399</v>
      </c>
      <c r="AK137" s="2" t="s">
        <v>545</v>
      </c>
    </row>
    <row r="138" spans="1:37" s="2" customFormat="1" x14ac:dyDescent="0.15">
      <c r="A138" s="2">
        <v>23</v>
      </c>
      <c r="B138" s="2" t="s">
        <v>527</v>
      </c>
      <c r="C138" s="2">
        <v>2</v>
      </c>
      <c r="D138" s="2">
        <v>5</v>
      </c>
      <c r="E138" s="2">
        <v>8</v>
      </c>
      <c r="F138" s="2">
        <v>40</v>
      </c>
      <c r="G138" s="2">
        <f>VLOOKUP(A138,资源索引!$A$2:$F$29,2,FALSE)*VLOOKUP(C138+1,资源索引!$I$1:$J$6,2,FALSE)</f>
        <v>390000</v>
      </c>
      <c r="H138" s="2">
        <f>SUM(G$136:G138)</f>
        <v>720000</v>
      </c>
      <c r="I138" s="2">
        <f>VLOOKUP(A138,资源索引!$A$2:$F$29,3,FALSE)*VLOOKUP(C138+1,资源索引!$I$1:$J$6,2,FALSE)</f>
        <v>130000</v>
      </c>
      <c r="J138" s="2">
        <f>SUM(I$136:I138)</f>
        <v>240000</v>
      </c>
      <c r="K138" s="2">
        <f>VLOOKUP(A138,资源索引!$A$2:$F$29,4,FALSE)*VLOOKUP(C138+1,资源索引!$I$1:$J$6,2,FALSE)</f>
        <v>130000</v>
      </c>
      <c r="L138" s="2">
        <f>SUM(K$136:K138)</f>
        <v>240000</v>
      </c>
      <c r="M138" s="2">
        <f>VLOOKUP(A138,资源索引!$A$2:$F$29,5,FALSE)*VLOOKUP(C138+1,资源索引!$I$1:$J$6,2,FALSE)</f>
        <v>195000</v>
      </c>
      <c r="N138" s="2">
        <f>SUM(M$136:M138)</f>
        <v>360000</v>
      </c>
      <c r="O138" s="2">
        <f>VLOOKUP(A138,资源索引!$A$2:$F$29,6,FALSE)*VLOOKUP(C138+1,资源索引!$I$1:$J$6,2,FALSE)</f>
        <v>130000</v>
      </c>
      <c r="P138" s="2">
        <f>SUM(O$136:O138)</f>
        <v>240000</v>
      </c>
      <c r="Q138" s="2">
        <v>2</v>
      </c>
      <c r="R138" s="2">
        <v>0</v>
      </c>
      <c r="S138" s="2" t="s">
        <v>30</v>
      </c>
      <c r="T138" s="2">
        <v>7</v>
      </c>
      <c r="U138" s="2">
        <v>3</v>
      </c>
      <c r="V138" s="2">
        <v>0</v>
      </c>
      <c r="W138" s="2" t="s">
        <v>529</v>
      </c>
      <c r="X138" s="2">
        <v>8590</v>
      </c>
      <c r="AD138" s="2">
        <v>0</v>
      </c>
      <c r="AE138" s="2">
        <v>1042</v>
      </c>
      <c r="AF138" s="2">
        <v>1082</v>
      </c>
      <c r="AG138" s="2">
        <v>397</v>
      </c>
      <c r="AH138" s="2">
        <v>398</v>
      </c>
      <c r="AI138" s="2">
        <v>399</v>
      </c>
      <c r="AK138" s="2" t="s">
        <v>545</v>
      </c>
    </row>
    <row r="139" spans="1:37" s="2" customFormat="1" x14ac:dyDescent="0.15">
      <c r="A139" s="2">
        <v>23</v>
      </c>
      <c r="B139" s="2" t="s">
        <v>527</v>
      </c>
      <c r="C139" s="2">
        <v>3</v>
      </c>
      <c r="D139" s="2">
        <v>5</v>
      </c>
      <c r="E139" s="2">
        <v>8</v>
      </c>
      <c r="F139" s="2">
        <v>50</v>
      </c>
      <c r="G139" s="2">
        <f>VLOOKUP(A139,资源索引!$A$2:$F$29,2,FALSE)*VLOOKUP(C139+1,资源索引!$I$1:$J$6,2,FALSE)</f>
        <v>720000</v>
      </c>
      <c r="H139" s="2">
        <f>SUM(G$136:G139)</f>
        <v>1440000</v>
      </c>
      <c r="I139" s="2">
        <f>VLOOKUP(A139,资源索引!$A$2:$F$29,3,FALSE)*VLOOKUP(C139+1,资源索引!$I$1:$J$6,2,FALSE)</f>
        <v>240000</v>
      </c>
      <c r="J139" s="2">
        <f>SUM(I$136:I139)</f>
        <v>480000</v>
      </c>
      <c r="K139" s="2">
        <f>VLOOKUP(A139,资源索引!$A$2:$F$29,4,FALSE)*VLOOKUP(C139+1,资源索引!$I$1:$J$6,2,FALSE)</f>
        <v>240000</v>
      </c>
      <c r="L139" s="2">
        <f>SUM(K$136:K139)</f>
        <v>480000</v>
      </c>
      <c r="M139" s="2">
        <f>VLOOKUP(A139,资源索引!$A$2:$F$29,5,FALSE)*VLOOKUP(C139+1,资源索引!$I$1:$J$6,2,FALSE)</f>
        <v>360000</v>
      </c>
      <c r="N139" s="2">
        <f>SUM(M$136:M139)</f>
        <v>720000</v>
      </c>
      <c r="O139" s="2">
        <f>VLOOKUP(A139,资源索引!$A$2:$F$29,6,FALSE)*VLOOKUP(C139+1,资源索引!$I$1:$J$6,2,FALSE)</f>
        <v>240000</v>
      </c>
      <c r="P139" s="2">
        <f>SUM(O$136:O139)</f>
        <v>480000</v>
      </c>
      <c r="Q139" s="2">
        <v>2</v>
      </c>
      <c r="R139" s="2">
        <v>0</v>
      </c>
      <c r="S139" s="2" t="s">
        <v>30</v>
      </c>
      <c r="T139" s="2">
        <v>7</v>
      </c>
      <c r="U139" s="2">
        <v>4</v>
      </c>
      <c r="V139" s="2">
        <v>0</v>
      </c>
      <c r="W139" s="2" t="s">
        <v>530</v>
      </c>
      <c r="X139" s="2">
        <v>8590</v>
      </c>
      <c r="AD139" s="2">
        <v>0</v>
      </c>
      <c r="AE139" s="2">
        <v>1042</v>
      </c>
      <c r="AF139" s="2">
        <v>1082</v>
      </c>
      <c r="AG139" s="2">
        <v>400</v>
      </c>
      <c r="AH139" s="2">
        <v>401</v>
      </c>
      <c r="AI139" s="2">
        <v>402</v>
      </c>
      <c r="AK139" s="2" t="s">
        <v>545</v>
      </c>
    </row>
    <row r="140" spans="1:37" s="2" customFormat="1" x14ac:dyDescent="0.15">
      <c r="A140" s="2">
        <v>23</v>
      </c>
      <c r="B140" s="2" t="s">
        <v>527</v>
      </c>
      <c r="C140" s="2">
        <v>4</v>
      </c>
      <c r="D140" s="2">
        <v>5</v>
      </c>
      <c r="E140" s="2">
        <v>8</v>
      </c>
      <c r="F140" s="2">
        <v>60</v>
      </c>
      <c r="G140" s="2">
        <f>VLOOKUP(A140,资源索引!$A$2:$F$29,2,FALSE)*VLOOKUP(C140+1,资源索引!$I$1:$J$6,2,FALSE)</f>
        <v>1200000</v>
      </c>
      <c r="H140" s="2">
        <f>SUM(G$136:G140)</f>
        <v>2640000</v>
      </c>
      <c r="I140" s="2">
        <f>VLOOKUP(A140,资源索引!$A$2:$F$29,3,FALSE)*VLOOKUP(C140+1,资源索引!$I$1:$J$6,2,FALSE)</f>
        <v>400000</v>
      </c>
      <c r="J140" s="2">
        <f>SUM(I$136:I140)</f>
        <v>880000</v>
      </c>
      <c r="K140" s="2">
        <f>VLOOKUP(A140,资源索引!$A$2:$F$29,4,FALSE)*VLOOKUP(C140+1,资源索引!$I$1:$J$6,2,FALSE)</f>
        <v>400000</v>
      </c>
      <c r="L140" s="2">
        <f>SUM(K$136:K140)</f>
        <v>880000</v>
      </c>
      <c r="M140" s="2">
        <f>VLOOKUP(A140,资源索引!$A$2:$F$29,5,FALSE)*VLOOKUP(C140+1,资源索引!$I$1:$J$6,2,FALSE)</f>
        <v>600000</v>
      </c>
      <c r="N140" s="2">
        <f>SUM(M$136:M140)</f>
        <v>1320000</v>
      </c>
      <c r="O140" s="2">
        <f>VLOOKUP(A140,资源索引!$A$2:$F$29,6,FALSE)*VLOOKUP(C140+1,资源索引!$I$1:$J$6,2,FALSE)</f>
        <v>400000</v>
      </c>
      <c r="P140" s="2">
        <f>SUM(O$136:O140)</f>
        <v>880000</v>
      </c>
      <c r="Q140" s="2">
        <v>2</v>
      </c>
      <c r="R140" s="2">
        <v>0</v>
      </c>
      <c r="S140" s="2" t="s">
        <v>30</v>
      </c>
      <c r="T140" s="2">
        <v>7</v>
      </c>
      <c r="U140" s="2">
        <v>5</v>
      </c>
      <c r="V140" s="2">
        <v>0</v>
      </c>
      <c r="W140" s="2" t="s">
        <v>531</v>
      </c>
      <c r="X140" s="2">
        <v>8590</v>
      </c>
      <c r="AD140" s="2">
        <v>0</v>
      </c>
      <c r="AE140" s="2">
        <v>1042</v>
      </c>
      <c r="AF140" s="2">
        <v>1082</v>
      </c>
      <c r="AG140" s="2">
        <v>400</v>
      </c>
      <c r="AH140" s="2">
        <v>401</v>
      </c>
      <c r="AI140" s="2">
        <v>402</v>
      </c>
      <c r="AK140" s="2" t="s">
        <v>545</v>
      </c>
    </row>
    <row r="141" spans="1:37" s="2" customFormat="1" x14ac:dyDescent="0.15">
      <c r="A141" s="2">
        <v>23</v>
      </c>
      <c r="B141" s="2" t="s">
        <v>527</v>
      </c>
      <c r="C141" s="2">
        <v>5</v>
      </c>
      <c r="D141" s="2">
        <v>5</v>
      </c>
      <c r="E141" s="2">
        <v>8</v>
      </c>
      <c r="F141" s="2">
        <v>70</v>
      </c>
      <c r="G141" s="2">
        <f>VLOOKUP(A141,资源索引!$A$2:$F$29,2,FALSE)*VLOOKUP(C141+1,资源索引!$I$1:$J$6,2,FALSE)</f>
        <v>2160000</v>
      </c>
      <c r="H141" s="2">
        <f>SUM(G$136:G141)</f>
        <v>4800000</v>
      </c>
      <c r="I141" s="2">
        <f>VLOOKUP(A141,资源索引!$A$2:$F$29,3,FALSE)*VLOOKUP(C141+1,资源索引!$I$1:$J$6,2,FALSE)</f>
        <v>720000</v>
      </c>
      <c r="J141" s="2">
        <f>SUM(I$136:I141)</f>
        <v>1600000</v>
      </c>
      <c r="K141" s="2">
        <f>VLOOKUP(A141,资源索引!$A$2:$F$29,4,FALSE)*VLOOKUP(C141+1,资源索引!$I$1:$J$6,2,FALSE)</f>
        <v>720000</v>
      </c>
      <c r="L141" s="2">
        <f>SUM(K$136:K141)</f>
        <v>1600000</v>
      </c>
      <c r="M141" s="2">
        <f>VLOOKUP(A141,资源索引!$A$2:$F$29,5,FALSE)*VLOOKUP(C141+1,资源索引!$I$1:$J$6,2,FALSE)</f>
        <v>1080000</v>
      </c>
      <c r="N141" s="2">
        <f>SUM(M$136:M141)</f>
        <v>2400000</v>
      </c>
      <c r="O141" s="2">
        <f>VLOOKUP(A141,资源索引!$A$2:$F$29,6,FALSE)*VLOOKUP(C141+1,资源索引!$I$1:$J$6,2,FALSE)</f>
        <v>720000</v>
      </c>
      <c r="P141" s="2">
        <f>SUM(O$136:O141)</f>
        <v>1600000</v>
      </c>
      <c r="Q141" s="2">
        <v>2</v>
      </c>
      <c r="R141" s="2">
        <v>0</v>
      </c>
      <c r="S141" s="2" t="s">
        <v>30</v>
      </c>
      <c r="T141" s="2">
        <v>7</v>
      </c>
      <c r="U141" s="2">
        <v>6</v>
      </c>
      <c r="V141" s="2">
        <v>0</v>
      </c>
      <c r="W141" s="2" t="s">
        <v>532</v>
      </c>
      <c r="X141" s="2">
        <v>8590</v>
      </c>
      <c r="AD141" s="2">
        <v>0</v>
      </c>
      <c r="AE141" s="2">
        <v>1042</v>
      </c>
      <c r="AF141" s="2">
        <v>1082</v>
      </c>
      <c r="AG141" s="2">
        <v>403</v>
      </c>
      <c r="AH141" s="2">
        <v>404</v>
      </c>
      <c r="AI141" s="2">
        <v>405</v>
      </c>
      <c r="AK141" s="2" t="s">
        <v>545</v>
      </c>
    </row>
    <row r="142" spans="1:37" s="3" customFormat="1" x14ac:dyDescent="0.15">
      <c r="A142" s="3">
        <v>24</v>
      </c>
      <c r="B142" s="3" t="s">
        <v>533</v>
      </c>
      <c r="C142" s="3">
        <v>0</v>
      </c>
      <c r="D142" s="3">
        <v>5</v>
      </c>
      <c r="E142" s="3">
        <v>1</v>
      </c>
      <c r="F142" s="3">
        <v>20</v>
      </c>
      <c r="G142" s="3">
        <f>VLOOKUP(A142,资源索引!$A$2:$F$29,2,FALSE)*VLOOKUP(C142+1,资源索引!$I$1:$J$6,2,FALSE)</f>
        <v>40000</v>
      </c>
      <c r="H142" s="3">
        <f>SUM(G$142:G142)</f>
        <v>40000</v>
      </c>
      <c r="I142" s="3">
        <f>VLOOKUP(A142,资源索引!$A$2:$F$29,3,FALSE)*VLOOKUP(C142+1,资源索引!$I$1:$J$6,2,FALSE)</f>
        <v>40000</v>
      </c>
      <c r="J142" s="3">
        <f>SUM(I$142:I142)</f>
        <v>40000</v>
      </c>
      <c r="K142" s="3">
        <f>VLOOKUP(A142,资源索引!$A$2:$F$29,4,FALSE)*VLOOKUP(C142+1,资源索引!$I$1:$J$6,2,FALSE)</f>
        <v>40000</v>
      </c>
      <c r="L142" s="3">
        <f>SUM(K$142:K142)</f>
        <v>40000</v>
      </c>
      <c r="M142" s="3">
        <f>VLOOKUP(A142,资源索引!$A$2:$F$29,5,FALSE)*VLOOKUP(C142+1,资源索引!$I$1:$J$6,2,FALSE)</f>
        <v>40000</v>
      </c>
      <c r="N142" s="3">
        <f>SUM(M$142:M142)</f>
        <v>40000</v>
      </c>
      <c r="O142" s="3">
        <f>VLOOKUP(A142,资源索引!$A$2:$F$29,6,FALSE)*VLOOKUP(C142+1,资源索引!$I$1:$J$6,2,FALSE)</f>
        <v>40000</v>
      </c>
      <c r="P142" s="3">
        <f>SUM(O$142:O142)</f>
        <v>40000</v>
      </c>
      <c r="Q142" s="3">
        <v>2</v>
      </c>
      <c r="R142" s="3">
        <v>0</v>
      </c>
      <c r="S142" s="3">
        <v>0</v>
      </c>
      <c r="T142" s="3">
        <v>0</v>
      </c>
      <c r="U142" s="3">
        <v>1</v>
      </c>
      <c r="V142" s="3">
        <v>0</v>
      </c>
      <c r="W142" s="3" t="s">
        <v>534</v>
      </c>
      <c r="AD142" s="3">
        <v>0</v>
      </c>
      <c r="AE142" s="3">
        <v>1043</v>
      </c>
      <c r="AF142" s="3">
        <v>1083</v>
      </c>
      <c r="AK142" s="3" t="s">
        <v>535</v>
      </c>
    </row>
    <row r="143" spans="1:37" s="3" customFormat="1" x14ac:dyDescent="0.15">
      <c r="A143" s="3">
        <v>24</v>
      </c>
      <c r="B143" s="3" t="s">
        <v>533</v>
      </c>
      <c r="C143" s="3">
        <v>1</v>
      </c>
      <c r="D143" s="3">
        <v>5</v>
      </c>
      <c r="E143" s="3">
        <v>1</v>
      </c>
      <c r="F143" s="3">
        <v>30</v>
      </c>
      <c r="G143" s="3">
        <f>VLOOKUP(A143,资源索引!$A$2:$F$29,2,FALSE)*VLOOKUP(C143+1,资源索引!$I$1:$J$6,2,FALSE)</f>
        <v>70000</v>
      </c>
      <c r="H143" s="3">
        <f>SUM(G$142:G143)</f>
        <v>110000</v>
      </c>
      <c r="I143" s="3">
        <f>VLOOKUP(A143,资源索引!$A$2:$F$29,3,FALSE)*VLOOKUP(C143+1,资源索引!$I$1:$J$6,2,FALSE)</f>
        <v>70000</v>
      </c>
      <c r="J143" s="3">
        <f>SUM(I$142:I143)</f>
        <v>110000</v>
      </c>
      <c r="K143" s="3">
        <f>VLOOKUP(A143,资源索引!$A$2:$F$29,4,FALSE)*VLOOKUP(C143+1,资源索引!$I$1:$J$6,2,FALSE)</f>
        <v>70000</v>
      </c>
      <c r="L143" s="3">
        <f>SUM(K$142:K143)</f>
        <v>110000</v>
      </c>
      <c r="M143" s="3">
        <f>VLOOKUP(A143,资源索引!$A$2:$F$29,5,FALSE)*VLOOKUP(C143+1,资源索引!$I$1:$J$6,2,FALSE)</f>
        <v>70000</v>
      </c>
      <c r="N143" s="3">
        <f>SUM(M$142:M143)</f>
        <v>110000</v>
      </c>
      <c r="O143" s="3">
        <f>VLOOKUP(A143,资源索引!$A$2:$F$29,6,FALSE)*VLOOKUP(C143+1,资源索引!$I$1:$J$6,2,FALSE)</f>
        <v>70000</v>
      </c>
      <c r="P143" s="3">
        <f>SUM(O$142:O143)</f>
        <v>110000</v>
      </c>
      <c r="Q143" s="3">
        <v>2</v>
      </c>
      <c r="R143" s="3">
        <v>0</v>
      </c>
      <c r="S143" s="3">
        <v>0</v>
      </c>
      <c r="T143" s="3">
        <v>0</v>
      </c>
      <c r="U143" s="3">
        <v>2</v>
      </c>
      <c r="V143" s="3">
        <v>0</v>
      </c>
      <c r="W143" s="3" t="s">
        <v>536</v>
      </c>
      <c r="AD143" s="3">
        <v>0</v>
      </c>
      <c r="AE143" s="3">
        <v>1043</v>
      </c>
      <c r="AF143" s="3">
        <v>1083</v>
      </c>
      <c r="AG143" s="3">
        <v>397</v>
      </c>
      <c r="AH143" s="3">
        <v>398</v>
      </c>
      <c r="AI143" s="3">
        <v>399</v>
      </c>
      <c r="AK143" s="3" t="s">
        <v>535</v>
      </c>
    </row>
    <row r="144" spans="1:37" s="3" customFormat="1" x14ac:dyDescent="0.15">
      <c r="A144" s="3">
        <v>24</v>
      </c>
      <c r="B144" s="3" t="s">
        <v>533</v>
      </c>
      <c r="C144" s="3">
        <v>2</v>
      </c>
      <c r="D144" s="3">
        <v>5</v>
      </c>
      <c r="E144" s="3">
        <v>1</v>
      </c>
      <c r="F144" s="3">
        <v>40</v>
      </c>
      <c r="G144" s="3">
        <f>VLOOKUP(A144,资源索引!$A$2:$F$29,2,FALSE)*VLOOKUP(C144+1,资源索引!$I$1:$J$6,2,FALSE)</f>
        <v>130000</v>
      </c>
      <c r="H144" s="3">
        <f>SUM(G$142:G144)</f>
        <v>240000</v>
      </c>
      <c r="I144" s="3">
        <f>VLOOKUP(A144,资源索引!$A$2:$F$29,3,FALSE)*VLOOKUP(C144+1,资源索引!$I$1:$J$6,2,FALSE)</f>
        <v>130000</v>
      </c>
      <c r="J144" s="3">
        <f>SUM(I$142:I144)</f>
        <v>240000</v>
      </c>
      <c r="K144" s="3">
        <f>VLOOKUP(A144,资源索引!$A$2:$F$29,4,FALSE)*VLOOKUP(C144+1,资源索引!$I$1:$J$6,2,FALSE)</f>
        <v>130000</v>
      </c>
      <c r="L144" s="3">
        <f>SUM(K$142:K144)</f>
        <v>240000</v>
      </c>
      <c r="M144" s="3">
        <f>VLOOKUP(A144,资源索引!$A$2:$F$29,5,FALSE)*VLOOKUP(C144+1,资源索引!$I$1:$J$6,2,FALSE)</f>
        <v>130000</v>
      </c>
      <c r="N144" s="3">
        <f>SUM(M$142:M144)</f>
        <v>240000</v>
      </c>
      <c r="O144" s="3">
        <f>VLOOKUP(A144,资源索引!$A$2:$F$29,6,FALSE)*VLOOKUP(C144+1,资源索引!$I$1:$J$6,2,FALSE)</f>
        <v>130000</v>
      </c>
      <c r="P144" s="3">
        <f>SUM(O$142:O144)</f>
        <v>240000</v>
      </c>
      <c r="Q144" s="3">
        <v>2</v>
      </c>
      <c r="R144" s="3">
        <v>0</v>
      </c>
      <c r="S144" s="3">
        <v>0</v>
      </c>
      <c r="T144" s="3">
        <v>0</v>
      </c>
      <c r="U144" s="3">
        <v>3</v>
      </c>
      <c r="V144" s="3">
        <v>0</v>
      </c>
      <c r="W144" s="3" t="s">
        <v>537</v>
      </c>
      <c r="AD144" s="3">
        <v>0</v>
      </c>
      <c r="AE144" s="3">
        <v>1043</v>
      </c>
      <c r="AF144" s="3">
        <v>1083</v>
      </c>
      <c r="AG144" s="3">
        <v>397</v>
      </c>
      <c r="AH144" s="3">
        <v>398</v>
      </c>
      <c r="AI144" s="3">
        <v>399</v>
      </c>
      <c r="AK144" s="3" t="s">
        <v>535</v>
      </c>
    </row>
    <row r="145" spans="1:37" s="3" customFormat="1" x14ac:dyDescent="0.15">
      <c r="A145" s="3">
        <v>24</v>
      </c>
      <c r="B145" s="3" t="s">
        <v>533</v>
      </c>
      <c r="C145" s="3">
        <v>3</v>
      </c>
      <c r="D145" s="3">
        <v>5</v>
      </c>
      <c r="E145" s="3">
        <v>1</v>
      </c>
      <c r="F145" s="3">
        <v>50</v>
      </c>
      <c r="G145" s="3">
        <f>VLOOKUP(A145,资源索引!$A$2:$F$29,2,FALSE)*VLOOKUP(C145+1,资源索引!$I$1:$J$6,2,FALSE)</f>
        <v>240000</v>
      </c>
      <c r="H145" s="3">
        <f>SUM(G$142:G145)</f>
        <v>480000</v>
      </c>
      <c r="I145" s="3">
        <f>VLOOKUP(A145,资源索引!$A$2:$F$29,3,FALSE)*VLOOKUP(C145+1,资源索引!$I$1:$J$6,2,FALSE)</f>
        <v>240000</v>
      </c>
      <c r="J145" s="3">
        <f>SUM(I$142:I145)</f>
        <v>480000</v>
      </c>
      <c r="K145" s="3">
        <f>VLOOKUP(A145,资源索引!$A$2:$F$29,4,FALSE)*VLOOKUP(C145+1,资源索引!$I$1:$J$6,2,FALSE)</f>
        <v>240000</v>
      </c>
      <c r="L145" s="3">
        <f>SUM(K$142:K145)</f>
        <v>480000</v>
      </c>
      <c r="M145" s="3">
        <f>VLOOKUP(A145,资源索引!$A$2:$F$29,5,FALSE)*VLOOKUP(C145+1,资源索引!$I$1:$J$6,2,FALSE)</f>
        <v>240000</v>
      </c>
      <c r="N145" s="3">
        <f>SUM(M$142:M145)</f>
        <v>480000</v>
      </c>
      <c r="O145" s="3">
        <f>VLOOKUP(A145,资源索引!$A$2:$F$29,6,FALSE)*VLOOKUP(C145+1,资源索引!$I$1:$J$6,2,FALSE)</f>
        <v>240000</v>
      </c>
      <c r="P145" s="3">
        <f>SUM(O$142:O145)</f>
        <v>480000</v>
      </c>
      <c r="Q145" s="3">
        <v>2</v>
      </c>
      <c r="R145" s="3">
        <v>0</v>
      </c>
      <c r="S145" s="3">
        <v>0</v>
      </c>
      <c r="T145" s="3">
        <v>0</v>
      </c>
      <c r="U145" s="3">
        <v>4</v>
      </c>
      <c r="V145" s="3">
        <v>0</v>
      </c>
      <c r="W145" s="3" t="s">
        <v>538</v>
      </c>
      <c r="AD145" s="3">
        <v>0</v>
      </c>
      <c r="AE145" s="3">
        <v>1043</v>
      </c>
      <c r="AF145" s="3">
        <v>1083</v>
      </c>
      <c r="AG145" s="3">
        <v>400</v>
      </c>
      <c r="AH145" s="3">
        <v>401</v>
      </c>
      <c r="AI145" s="3">
        <v>402</v>
      </c>
      <c r="AK145" s="3" t="s">
        <v>535</v>
      </c>
    </row>
    <row r="146" spans="1:37" s="3" customFormat="1" x14ac:dyDescent="0.15">
      <c r="A146" s="3">
        <v>24</v>
      </c>
      <c r="B146" s="3" t="s">
        <v>533</v>
      </c>
      <c r="C146" s="3">
        <v>4</v>
      </c>
      <c r="D146" s="3">
        <v>5</v>
      </c>
      <c r="E146" s="3">
        <v>1</v>
      </c>
      <c r="F146" s="3">
        <v>60</v>
      </c>
      <c r="G146" s="3">
        <f>VLOOKUP(A146,资源索引!$A$2:$F$29,2,FALSE)*VLOOKUP(C146+1,资源索引!$I$1:$J$6,2,FALSE)</f>
        <v>400000</v>
      </c>
      <c r="H146" s="3">
        <f>SUM(G$142:G146)</f>
        <v>880000</v>
      </c>
      <c r="I146" s="3">
        <f>VLOOKUP(A146,资源索引!$A$2:$F$29,3,FALSE)*VLOOKUP(C146+1,资源索引!$I$1:$J$6,2,FALSE)</f>
        <v>400000</v>
      </c>
      <c r="J146" s="3">
        <f>SUM(I$142:I146)</f>
        <v>880000</v>
      </c>
      <c r="K146" s="3">
        <f>VLOOKUP(A146,资源索引!$A$2:$F$29,4,FALSE)*VLOOKUP(C146+1,资源索引!$I$1:$J$6,2,FALSE)</f>
        <v>400000</v>
      </c>
      <c r="L146" s="3">
        <f>SUM(K$142:K146)</f>
        <v>880000</v>
      </c>
      <c r="M146" s="3">
        <f>VLOOKUP(A146,资源索引!$A$2:$F$29,5,FALSE)*VLOOKUP(C146+1,资源索引!$I$1:$J$6,2,FALSE)</f>
        <v>400000</v>
      </c>
      <c r="N146" s="3">
        <f>SUM(M$142:M146)</f>
        <v>880000</v>
      </c>
      <c r="O146" s="3">
        <f>VLOOKUP(A146,资源索引!$A$2:$F$29,6,FALSE)*VLOOKUP(C146+1,资源索引!$I$1:$J$6,2,FALSE)</f>
        <v>400000</v>
      </c>
      <c r="P146" s="3">
        <f>SUM(O$142:O146)</f>
        <v>880000</v>
      </c>
      <c r="Q146" s="3">
        <v>2</v>
      </c>
      <c r="R146" s="3">
        <v>0</v>
      </c>
      <c r="S146" s="3">
        <v>0</v>
      </c>
      <c r="T146" s="3">
        <v>0</v>
      </c>
      <c r="U146" s="3">
        <v>5</v>
      </c>
      <c r="V146" s="3">
        <v>0</v>
      </c>
      <c r="W146" s="3" t="s">
        <v>539</v>
      </c>
      <c r="AD146" s="3">
        <v>0</v>
      </c>
      <c r="AE146" s="3">
        <v>1043</v>
      </c>
      <c r="AF146" s="3">
        <v>1083</v>
      </c>
      <c r="AG146" s="3">
        <v>400</v>
      </c>
      <c r="AH146" s="3">
        <v>401</v>
      </c>
      <c r="AI146" s="3">
        <v>402</v>
      </c>
      <c r="AK146" s="3" t="s">
        <v>535</v>
      </c>
    </row>
    <row r="147" spans="1:37" s="3" customFormat="1" x14ac:dyDescent="0.15">
      <c r="A147" s="3">
        <v>24</v>
      </c>
      <c r="B147" s="3" t="s">
        <v>533</v>
      </c>
      <c r="C147" s="3">
        <v>5</v>
      </c>
      <c r="D147" s="3">
        <v>5</v>
      </c>
      <c r="E147" s="3">
        <v>1</v>
      </c>
      <c r="F147" s="3">
        <v>70</v>
      </c>
      <c r="G147" s="3">
        <f>VLOOKUP(A147,资源索引!$A$2:$F$29,2,FALSE)*VLOOKUP(C147+1,资源索引!$I$1:$J$6,2,FALSE)</f>
        <v>720000</v>
      </c>
      <c r="H147" s="3">
        <f>SUM(G$142:G147)</f>
        <v>1600000</v>
      </c>
      <c r="I147" s="3">
        <f>VLOOKUP(A147,资源索引!$A$2:$F$29,3,FALSE)*VLOOKUP(C147+1,资源索引!$I$1:$J$6,2,FALSE)</f>
        <v>720000</v>
      </c>
      <c r="J147" s="3">
        <f>SUM(I$142:I147)</f>
        <v>1600000</v>
      </c>
      <c r="K147" s="3">
        <f>VLOOKUP(A147,资源索引!$A$2:$F$29,4,FALSE)*VLOOKUP(C147+1,资源索引!$I$1:$J$6,2,FALSE)</f>
        <v>720000</v>
      </c>
      <c r="L147" s="3">
        <f>SUM(K$142:K147)</f>
        <v>1600000</v>
      </c>
      <c r="M147" s="3">
        <f>VLOOKUP(A147,资源索引!$A$2:$F$29,5,FALSE)*VLOOKUP(C147+1,资源索引!$I$1:$J$6,2,FALSE)</f>
        <v>720000</v>
      </c>
      <c r="N147" s="3">
        <f>SUM(M$142:M147)</f>
        <v>1600000</v>
      </c>
      <c r="O147" s="3">
        <f>VLOOKUP(A147,资源索引!$A$2:$F$29,6,FALSE)*VLOOKUP(C147+1,资源索引!$I$1:$J$6,2,FALSE)</f>
        <v>720000</v>
      </c>
      <c r="P147" s="3">
        <f>SUM(O$142:O147)</f>
        <v>1600000</v>
      </c>
      <c r="Q147" s="3">
        <v>2</v>
      </c>
      <c r="R147" s="3">
        <v>0</v>
      </c>
      <c r="S147" s="3">
        <v>0</v>
      </c>
      <c r="T147" s="3">
        <v>0</v>
      </c>
      <c r="U147" s="3">
        <v>6</v>
      </c>
      <c r="V147" s="3">
        <v>0</v>
      </c>
      <c r="W147" s="3" t="s">
        <v>540</v>
      </c>
      <c r="AD147" s="3">
        <v>0</v>
      </c>
      <c r="AE147" s="3">
        <v>1043</v>
      </c>
      <c r="AF147" s="3">
        <v>1083</v>
      </c>
      <c r="AG147" s="3">
        <v>403</v>
      </c>
      <c r="AH147" s="3">
        <v>404</v>
      </c>
      <c r="AI147" s="3">
        <v>405</v>
      </c>
      <c r="AK147" s="3" t="s">
        <v>535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A21" sqref="A21"/>
    </sheetView>
  </sheetViews>
  <sheetFormatPr defaultRowHeight="14.25" x14ac:dyDescent="0.15"/>
  <cols>
    <col min="1" max="1" width="26.125" style="10" bestFit="1" customWidth="1"/>
    <col min="2" max="2" width="18.375" style="10" bestFit="1" customWidth="1"/>
    <col min="3" max="3" width="47.125" style="10" bestFit="1" customWidth="1"/>
    <col min="4" max="16384" width="9" style="10"/>
  </cols>
  <sheetData>
    <row r="1" spans="1:3" ht="18.75" x14ac:dyDescent="0.15">
      <c r="A1" s="9" t="s">
        <v>43</v>
      </c>
      <c r="B1" s="9" t="s">
        <v>44</v>
      </c>
      <c r="C1" s="9" t="s">
        <v>52</v>
      </c>
    </row>
    <row r="2" spans="1:3" x14ac:dyDescent="0.15">
      <c r="A2" s="11" t="s">
        <v>0</v>
      </c>
      <c r="B2" s="10" t="s">
        <v>47</v>
      </c>
    </row>
    <row r="3" spans="1:3" x14ac:dyDescent="0.15">
      <c r="A3" s="11" t="s">
        <v>12</v>
      </c>
      <c r="B3" s="10" t="s">
        <v>46</v>
      </c>
    </row>
    <row r="4" spans="1:3" x14ac:dyDescent="0.15">
      <c r="A4" s="11" t="s">
        <v>1</v>
      </c>
      <c r="B4" s="10" t="s">
        <v>45</v>
      </c>
    </row>
    <row r="5" spans="1:3" x14ac:dyDescent="0.15">
      <c r="A5" s="11" t="s">
        <v>15</v>
      </c>
      <c r="B5" s="10" t="s">
        <v>48</v>
      </c>
    </row>
    <row r="6" spans="1:3" x14ac:dyDescent="0.15">
      <c r="A6" s="11" t="s">
        <v>21</v>
      </c>
      <c r="B6" s="10" t="s">
        <v>49</v>
      </c>
    </row>
    <row r="7" spans="1:3" x14ac:dyDescent="0.15">
      <c r="A7" s="11" t="s">
        <v>31</v>
      </c>
      <c r="B7" s="10" t="s">
        <v>50</v>
      </c>
    </row>
    <row r="8" spans="1:3" x14ac:dyDescent="0.15">
      <c r="A8" s="11" t="s">
        <v>2</v>
      </c>
      <c r="B8" s="10" t="s">
        <v>51</v>
      </c>
    </row>
    <row r="9" spans="1:3" x14ac:dyDescent="0.15">
      <c r="A9" s="11" t="s">
        <v>29</v>
      </c>
      <c r="B9" s="10" t="s">
        <v>54</v>
      </c>
      <c r="C9" s="10" t="s">
        <v>56</v>
      </c>
    </row>
    <row r="10" spans="1:3" x14ac:dyDescent="0.15">
      <c r="A10" s="11" t="s">
        <v>3</v>
      </c>
      <c r="B10" s="10" t="s">
        <v>53</v>
      </c>
    </row>
    <row r="11" spans="1:3" x14ac:dyDescent="0.15">
      <c r="A11" s="11" t="s">
        <v>28</v>
      </c>
      <c r="B11" s="10" t="s">
        <v>55</v>
      </c>
      <c r="C11" s="10" t="s">
        <v>63</v>
      </c>
    </row>
    <row r="12" spans="1:3" x14ac:dyDescent="0.15">
      <c r="A12" s="11" t="s">
        <v>4</v>
      </c>
      <c r="B12" s="10" t="s">
        <v>57</v>
      </c>
    </row>
    <row r="13" spans="1:3" x14ac:dyDescent="0.15">
      <c r="A13" s="11" t="s">
        <v>27</v>
      </c>
      <c r="B13" s="10" t="s">
        <v>58</v>
      </c>
      <c r="C13" s="10" t="s">
        <v>63</v>
      </c>
    </row>
    <row r="14" spans="1:3" x14ac:dyDescent="0.15">
      <c r="A14" s="11" t="s">
        <v>5</v>
      </c>
      <c r="B14" s="10" t="s">
        <v>59</v>
      </c>
    </row>
    <row r="15" spans="1:3" x14ac:dyDescent="0.15">
      <c r="A15" s="11" t="s">
        <v>26</v>
      </c>
      <c r="B15" s="10" t="s">
        <v>60</v>
      </c>
      <c r="C15" s="10" t="s">
        <v>63</v>
      </c>
    </row>
    <row r="16" spans="1:3" x14ac:dyDescent="0.15">
      <c r="A16" s="11" t="s">
        <v>6</v>
      </c>
      <c r="B16" s="10" t="s">
        <v>61</v>
      </c>
    </row>
    <row r="17" spans="1:3" x14ac:dyDescent="0.15">
      <c r="A17" s="11" t="s">
        <v>25</v>
      </c>
      <c r="B17" s="10" t="s">
        <v>62</v>
      </c>
      <c r="C17" s="10" t="s">
        <v>63</v>
      </c>
    </row>
    <row r="18" spans="1:3" x14ac:dyDescent="0.15">
      <c r="A18" s="11" t="s">
        <v>323</v>
      </c>
      <c r="B18" s="10" t="s">
        <v>64</v>
      </c>
      <c r="C18" s="10" t="s">
        <v>65</v>
      </c>
    </row>
    <row r="19" spans="1:3" x14ac:dyDescent="0.15">
      <c r="A19" s="11" t="s">
        <v>17</v>
      </c>
      <c r="B19" s="10" t="s">
        <v>66</v>
      </c>
      <c r="C19" s="10" t="s">
        <v>67</v>
      </c>
    </row>
    <row r="20" spans="1:3" x14ac:dyDescent="0.15">
      <c r="A20" s="11" t="s">
        <v>324</v>
      </c>
      <c r="B20" s="10" t="s">
        <v>68</v>
      </c>
    </row>
    <row r="21" spans="1:3" x14ac:dyDescent="0.15">
      <c r="A21" s="11" t="s">
        <v>325</v>
      </c>
      <c r="B21" s="10" t="s">
        <v>85</v>
      </c>
    </row>
    <row r="22" spans="1:3" x14ac:dyDescent="0.15">
      <c r="A22" s="11" t="s">
        <v>16</v>
      </c>
      <c r="B22" s="10" t="s">
        <v>69</v>
      </c>
    </row>
    <row r="23" spans="1:3" x14ac:dyDescent="0.15">
      <c r="A23" s="11" t="s">
        <v>23</v>
      </c>
      <c r="B23" s="10" t="s">
        <v>70</v>
      </c>
    </row>
    <row r="24" spans="1:3" x14ac:dyDescent="0.15">
      <c r="A24" s="11" t="s">
        <v>37</v>
      </c>
      <c r="B24" s="10" t="s">
        <v>71</v>
      </c>
    </row>
    <row r="25" spans="1:3" x14ac:dyDescent="0.15">
      <c r="A25" s="11" t="s">
        <v>24</v>
      </c>
      <c r="B25" s="10" t="s">
        <v>72</v>
      </c>
    </row>
    <row r="26" spans="1:3" x14ac:dyDescent="0.15">
      <c r="A26" s="11" t="s">
        <v>8</v>
      </c>
      <c r="B26" s="16" t="s">
        <v>83</v>
      </c>
      <c r="C26" s="15" t="s">
        <v>82</v>
      </c>
    </row>
    <row r="27" spans="1:3" x14ac:dyDescent="0.15">
      <c r="A27" s="11" t="s">
        <v>9</v>
      </c>
      <c r="B27" s="16"/>
      <c r="C27" s="16"/>
    </row>
    <row r="28" spans="1:3" x14ac:dyDescent="0.15">
      <c r="A28" s="11" t="s">
        <v>10</v>
      </c>
      <c r="B28" s="16"/>
      <c r="C28" s="16"/>
    </row>
    <row r="29" spans="1:3" x14ac:dyDescent="0.15">
      <c r="A29" s="11" t="s">
        <v>11</v>
      </c>
      <c r="B29" s="16"/>
      <c r="C29" s="16"/>
    </row>
    <row r="30" spans="1:3" x14ac:dyDescent="0.15">
      <c r="A30" s="11" t="s">
        <v>32</v>
      </c>
      <c r="B30" s="10" t="s">
        <v>73</v>
      </c>
    </row>
    <row r="31" spans="1:3" x14ac:dyDescent="0.15">
      <c r="A31" s="11" t="s">
        <v>33</v>
      </c>
      <c r="B31" s="10" t="s">
        <v>74</v>
      </c>
    </row>
    <row r="32" spans="1:3" x14ac:dyDescent="0.15">
      <c r="A32" s="11" t="s">
        <v>34</v>
      </c>
      <c r="B32" s="10" t="s">
        <v>75</v>
      </c>
      <c r="C32" s="10" t="s">
        <v>78</v>
      </c>
    </row>
    <row r="33" spans="1:3" x14ac:dyDescent="0.15">
      <c r="A33" s="11" t="s">
        <v>35</v>
      </c>
      <c r="B33" s="10" t="s">
        <v>76</v>
      </c>
      <c r="C33" s="10" t="s">
        <v>79</v>
      </c>
    </row>
    <row r="34" spans="1:3" x14ac:dyDescent="0.15">
      <c r="A34" s="11" t="s">
        <v>36</v>
      </c>
      <c r="B34" s="10" t="s">
        <v>77</v>
      </c>
      <c r="C34" s="10" t="s">
        <v>80</v>
      </c>
    </row>
    <row r="35" spans="1:3" x14ac:dyDescent="0.15">
      <c r="A35" s="11" t="s">
        <v>13</v>
      </c>
    </row>
    <row r="36" spans="1:3" x14ac:dyDescent="0.15">
      <c r="A36" s="11" t="s">
        <v>14</v>
      </c>
      <c r="B36" s="10" t="s">
        <v>81</v>
      </c>
    </row>
  </sheetData>
  <mergeCells count="2">
    <mergeCell ref="C26:C29"/>
    <mergeCell ref="B26:B2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8"/>
  <sheetViews>
    <sheetView workbookViewId="0">
      <selection activeCell="G93" sqref="G93"/>
    </sheetView>
  </sheetViews>
  <sheetFormatPr defaultRowHeight="13.5" x14ac:dyDescent="0.15"/>
  <cols>
    <col min="1" max="2" width="19.75" style="1" customWidth="1"/>
    <col min="3" max="3" width="6.5" style="1" bestFit="1" customWidth="1"/>
    <col min="4" max="4" width="9.5" style="1" bestFit="1" customWidth="1"/>
    <col min="5" max="5" width="9.5" style="1" customWidth="1"/>
    <col min="6" max="6" width="21.75" style="1" customWidth="1"/>
    <col min="7" max="7" width="18.375" style="1" bestFit="1" customWidth="1"/>
    <col min="8" max="8" width="32.375" style="1" customWidth="1"/>
    <col min="9" max="9" width="17.25" style="1" customWidth="1"/>
    <col min="10" max="10" width="25.5" style="1" customWidth="1"/>
    <col min="11" max="11" width="17.25" style="1" bestFit="1" customWidth="1"/>
    <col min="12" max="12" width="39.25" style="1" customWidth="1"/>
    <col min="13" max="13" width="20.5" style="1" bestFit="1" customWidth="1"/>
    <col min="14" max="14" width="31.625" style="1" customWidth="1"/>
    <col min="15" max="15" width="19.375" style="1" bestFit="1" customWidth="1"/>
    <col min="16" max="16" width="37.5" style="1" customWidth="1"/>
    <col min="17" max="17" width="12.75" style="1" bestFit="1" customWidth="1"/>
    <col min="18" max="18" width="20.5" style="1" bestFit="1" customWidth="1"/>
    <col min="19" max="19" width="20.5" style="1" customWidth="1"/>
    <col min="20" max="20" width="21.625" style="1" bestFit="1" customWidth="1"/>
    <col min="21" max="21" width="22.75" style="1" bestFit="1" customWidth="1"/>
    <col min="22" max="22" width="22.25" style="1" customWidth="1"/>
    <col min="23" max="23" width="16.125" style="1" customWidth="1"/>
    <col min="24" max="24" width="19.375" style="1" bestFit="1" customWidth="1"/>
    <col min="25" max="25" width="16.125" style="1" customWidth="1"/>
    <col min="26" max="26" width="9.5" style="1" bestFit="1" customWidth="1"/>
    <col min="27" max="29" width="7.5" style="1" bestFit="1" customWidth="1"/>
    <col min="30" max="30" width="20.625" style="1" customWidth="1"/>
    <col min="31" max="31" width="30.75" style="1" customWidth="1"/>
    <col min="32" max="32" width="26.75" style="1" customWidth="1"/>
    <col min="33" max="34" width="28.25" style="1" customWidth="1"/>
    <col min="35" max="35" width="11.125" style="1" customWidth="1"/>
    <col min="36" max="36" width="115" style="1" bestFit="1" customWidth="1"/>
    <col min="37" max="16384" width="9" style="1"/>
  </cols>
  <sheetData>
    <row r="1" spans="1:36" x14ac:dyDescent="0.15">
      <c r="A1" s="1" t="s">
        <v>0</v>
      </c>
      <c r="B1" s="1" t="s">
        <v>12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2</v>
      </c>
      <c r="H1" s="1" t="s">
        <v>29</v>
      </c>
      <c r="I1" s="1" t="s">
        <v>3</v>
      </c>
      <c r="J1" s="1" t="s">
        <v>90</v>
      </c>
      <c r="K1" s="1" t="s">
        <v>4</v>
      </c>
      <c r="L1" s="1" t="s">
        <v>27</v>
      </c>
      <c r="M1" s="1" t="s">
        <v>5</v>
      </c>
      <c r="N1" s="1" t="s">
        <v>91</v>
      </c>
      <c r="O1" s="1" t="s">
        <v>6</v>
      </c>
      <c r="P1" s="1" t="s">
        <v>25</v>
      </c>
      <c r="Q1" s="1" t="s">
        <v>321</v>
      </c>
      <c r="R1" s="1" t="s">
        <v>17</v>
      </c>
      <c r="S1" s="1" t="s">
        <v>22</v>
      </c>
      <c r="T1" s="1" t="s">
        <v>7</v>
      </c>
      <c r="U1" s="1" t="s">
        <v>92</v>
      </c>
      <c r="V1" s="1" t="s">
        <v>93</v>
      </c>
      <c r="W1" s="1" t="s">
        <v>37</v>
      </c>
      <c r="X1" s="1" t="s">
        <v>94</v>
      </c>
      <c r="Y1" s="1" t="s">
        <v>24</v>
      </c>
      <c r="Z1" s="1" t="s">
        <v>8</v>
      </c>
      <c r="AA1" s="1" t="s">
        <v>95</v>
      </c>
      <c r="AB1" s="1" t="s">
        <v>10</v>
      </c>
      <c r="AC1" s="1" t="s">
        <v>11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13</v>
      </c>
      <c r="AJ1" s="1" t="s">
        <v>96</v>
      </c>
    </row>
    <row r="2" spans="1:36" x14ac:dyDescent="0.15">
      <c r="A2" s="1" t="s">
        <v>97</v>
      </c>
      <c r="B2" s="1" t="s">
        <v>98</v>
      </c>
      <c r="C2" s="1" t="s">
        <v>97</v>
      </c>
      <c r="D2" s="1" t="s">
        <v>97</v>
      </c>
      <c r="E2" s="1" t="s">
        <v>97</v>
      </c>
      <c r="F2" s="1" t="s">
        <v>99</v>
      </c>
      <c r="G2" s="1" t="s">
        <v>97</v>
      </c>
      <c r="H2" s="1" t="s">
        <v>99</v>
      </c>
      <c r="I2" s="1" t="s">
        <v>97</v>
      </c>
      <c r="J2" s="1" t="s">
        <v>99</v>
      </c>
      <c r="K2" s="1" t="s">
        <v>97</v>
      </c>
      <c r="L2" s="1" t="s">
        <v>99</v>
      </c>
      <c r="M2" s="1" t="s">
        <v>97</v>
      </c>
      <c r="N2" s="1" t="s">
        <v>99</v>
      </c>
      <c r="O2" s="1" t="s">
        <v>97</v>
      </c>
      <c r="P2" s="1" t="s">
        <v>99</v>
      </c>
      <c r="Q2" s="1" t="s">
        <v>97</v>
      </c>
      <c r="R2" s="1" t="s">
        <v>97</v>
      </c>
      <c r="S2" s="1" t="s">
        <v>97</v>
      </c>
      <c r="T2" s="1" t="s">
        <v>97</v>
      </c>
      <c r="U2" s="1" t="s">
        <v>97</v>
      </c>
      <c r="V2" s="1" t="s">
        <v>97</v>
      </c>
      <c r="W2" s="1" t="s">
        <v>97</v>
      </c>
      <c r="X2" s="1" t="s">
        <v>99</v>
      </c>
      <c r="Y2" s="1" t="s">
        <v>99</v>
      </c>
      <c r="Z2" s="1" t="s">
        <v>97</v>
      </c>
      <c r="AA2" s="1" t="s">
        <v>97</v>
      </c>
      <c r="AB2" s="1" t="s">
        <v>97</v>
      </c>
      <c r="AC2" s="1" t="s">
        <v>97</v>
      </c>
      <c r="AD2" s="1" t="s">
        <v>99</v>
      </c>
      <c r="AE2" s="1" t="s">
        <v>99</v>
      </c>
      <c r="AF2" s="1" t="s">
        <v>99</v>
      </c>
      <c r="AG2" s="1" t="s">
        <v>99</v>
      </c>
      <c r="AH2" s="1" t="s">
        <v>99</v>
      </c>
      <c r="AI2" s="1" t="s">
        <v>97</v>
      </c>
      <c r="AJ2" s="1" t="s">
        <v>98</v>
      </c>
    </row>
    <row r="3" spans="1:36" x14ac:dyDescent="0.15">
      <c r="A3" s="1">
        <v>0</v>
      </c>
      <c r="B3" s="1">
        <v>0</v>
      </c>
      <c r="C3" s="1">
        <v>0</v>
      </c>
      <c r="D3" s="1">
        <v>0</v>
      </c>
      <c r="G3" s="1">
        <v>0</v>
      </c>
      <c r="I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Z3" s="1">
        <v>0</v>
      </c>
      <c r="AA3" s="1">
        <v>0</v>
      </c>
      <c r="AB3" s="1">
        <v>0</v>
      </c>
      <c r="AC3" s="1">
        <v>0</v>
      </c>
      <c r="AI3" s="1">
        <v>0</v>
      </c>
      <c r="AJ3" s="1">
        <v>0</v>
      </c>
    </row>
    <row r="4" spans="1:36" s="2" customFormat="1" x14ac:dyDescent="0.15">
      <c r="A4" s="2">
        <v>1</v>
      </c>
      <c r="B4" s="2" t="s">
        <v>100</v>
      </c>
      <c r="C4" s="2">
        <v>0</v>
      </c>
      <c r="D4" s="2">
        <v>6</v>
      </c>
      <c r="E4" s="2">
        <v>1</v>
      </c>
      <c r="F4" s="2">
        <v>100</v>
      </c>
      <c r="G4" s="2">
        <v>0</v>
      </c>
      <c r="H4" s="2">
        <v>0</v>
      </c>
      <c r="I4" s="2">
        <v>10</v>
      </c>
      <c r="J4" s="2">
        <v>0</v>
      </c>
      <c r="K4" s="2">
        <v>10</v>
      </c>
      <c r="L4" s="2">
        <v>0</v>
      </c>
      <c r="M4" s="2">
        <v>10</v>
      </c>
      <c r="N4" s="2">
        <v>0</v>
      </c>
      <c r="O4" s="2">
        <v>10</v>
      </c>
      <c r="P4" s="2">
        <v>0</v>
      </c>
      <c r="Q4" s="2">
        <v>60</v>
      </c>
      <c r="R4" s="2">
        <v>0</v>
      </c>
      <c r="S4" s="2">
        <v>9945</v>
      </c>
      <c r="T4" s="2">
        <v>0</v>
      </c>
      <c r="U4" s="2">
        <v>0</v>
      </c>
      <c r="V4" s="2">
        <v>0</v>
      </c>
      <c r="W4" s="2">
        <v>9945</v>
      </c>
      <c r="X4" s="2">
        <v>4859</v>
      </c>
      <c r="Z4" s="2">
        <v>0</v>
      </c>
      <c r="AA4" s="2">
        <v>0</v>
      </c>
      <c r="AB4" s="2">
        <v>0</v>
      </c>
      <c r="AC4" s="2">
        <v>0</v>
      </c>
      <c r="AD4" s="8">
        <v>1020</v>
      </c>
      <c r="AE4" s="2">
        <v>1060</v>
      </c>
      <c r="AI4" s="2">
        <v>0</v>
      </c>
      <c r="AJ4" s="2" t="s">
        <v>101</v>
      </c>
    </row>
    <row r="5" spans="1:36" s="2" customFormat="1" x14ac:dyDescent="0.15">
      <c r="A5" s="2">
        <v>1</v>
      </c>
      <c r="B5" s="2" t="s">
        <v>100</v>
      </c>
      <c r="C5" s="2">
        <v>1</v>
      </c>
      <c r="D5" s="2">
        <v>6</v>
      </c>
      <c r="E5" s="2">
        <v>1</v>
      </c>
      <c r="F5" s="2">
        <v>150</v>
      </c>
      <c r="G5" s="2">
        <v>0</v>
      </c>
      <c r="H5" s="2">
        <v>0</v>
      </c>
      <c r="I5" s="2">
        <v>10</v>
      </c>
      <c r="J5" s="2">
        <f>I4</f>
        <v>10</v>
      </c>
      <c r="K5" s="2">
        <v>10</v>
      </c>
      <c r="L5" s="2">
        <f>K4</f>
        <v>10</v>
      </c>
      <c r="M5" s="2">
        <v>10</v>
      </c>
      <c r="N5" s="2">
        <f>M4</f>
        <v>10</v>
      </c>
      <c r="O5" s="2">
        <v>10</v>
      </c>
      <c r="P5" s="2">
        <f>O4</f>
        <v>10</v>
      </c>
      <c r="Q5" s="2">
        <v>60</v>
      </c>
      <c r="R5" s="2">
        <v>0</v>
      </c>
      <c r="S5" s="2">
        <v>9945</v>
      </c>
      <c r="T5" s="2">
        <v>0</v>
      </c>
      <c r="U5" s="2">
        <v>0</v>
      </c>
      <c r="V5" s="2">
        <v>0</v>
      </c>
      <c r="W5" s="4" t="s">
        <v>102</v>
      </c>
      <c r="X5" s="2">
        <v>4859</v>
      </c>
      <c r="Z5" s="2">
        <v>0</v>
      </c>
      <c r="AA5" s="2">
        <v>0</v>
      </c>
      <c r="AB5" s="2">
        <v>0</v>
      </c>
      <c r="AC5" s="2">
        <v>0</v>
      </c>
      <c r="AD5" s="8">
        <v>1020</v>
      </c>
      <c r="AE5" s="2">
        <v>1060</v>
      </c>
      <c r="AF5" s="2">
        <v>361</v>
      </c>
      <c r="AG5" s="2">
        <v>362</v>
      </c>
      <c r="AH5" s="2">
        <v>363</v>
      </c>
      <c r="AI5" s="2">
        <v>0</v>
      </c>
      <c r="AJ5" s="2" t="s">
        <v>103</v>
      </c>
    </row>
    <row r="6" spans="1:36" s="2" customFormat="1" x14ac:dyDescent="0.15">
      <c r="A6" s="2">
        <v>1</v>
      </c>
      <c r="B6" s="2" t="s">
        <v>104</v>
      </c>
      <c r="C6" s="2">
        <v>2</v>
      </c>
      <c r="D6" s="2">
        <v>6</v>
      </c>
      <c r="E6" s="2">
        <v>1</v>
      </c>
      <c r="F6" s="2">
        <v>200</v>
      </c>
      <c r="G6" s="2">
        <v>0</v>
      </c>
      <c r="H6" s="2">
        <v>0</v>
      </c>
      <c r="I6" s="2">
        <v>50</v>
      </c>
      <c r="J6" s="2">
        <f>I4+I5</f>
        <v>20</v>
      </c>
      <c r="K6" s="2">
        <v>50</v>
      </c>
      <c r="L6" s="2">
        <f>K4+K5</f>
        <v>20</v>
      </c>
      <c r="M6" s="2">
        <v>50</v>
      </c>
      <c r="N6" s="2">
        <f>M4+M5</f>
        <v>20</v>
      </c>
      <c r="O6" s="2">
        <v>50</v>
      </c>
      <c r="P6" s="2">
        <f>O4+O5</f>
        <v>20</v>
      </c>
      <c r="Q6" s="2">
        <v>120</v>
      </c>
      <c r="R6" s="2">
        <v>0</v>
      </c>
      <c r="S6" s="2">
        <v>9945</v>
      </c>
      <c r="T6" s="2">
        <v>0</v>
      </c>
      <c r="U6" s="2">
        <v>0</v>
      </c>
      <c r="V6" s="2">
        <v>0</v>
      </c>
      <c r="W6" s="4" t="s">
        <v>105</v>
      </c>
      <c r="X6" s="2">
        <v>4859</v>
      </c>
      <c r="Z6" s="2">
        <v>0</v>
      </c>
      <c r="AA6" s="2">
        <v>0</v>
      </c>
      <c r="AB6" s="2">
        <v>0</v>
      </c>
      <c r="AC6" s="2">
        <v>0</v>
      </c>
      <c r="AD6" s="8">
        <v>1020</v>
      </c>
      <c r="AE6" s="2">
        <v>1060</v>
      </c>
      <c r="AF6" s="2">
        <v>361</v>
      </c>
      <c r="AG6" s="2">
        <v>362</v>
      </c>
      <c r="AH6" s="2">
        <v>363</v>
      </c>
      <c r="AI6" s="2">
        <v>0</v>
      </c>
      <c r="AJ6" s="2" t="s">
        <v>103</v>
      </c>
    </row>
    <row r="7" spans="1:36" s="2" customFormat="1" x14ac:dyDescent="0.15">
      <c r="A7" s="2">
        <v>1</v>
      </c>
      <c r="B7" s="2" t="s">
        <v>104</v>
      </c>
      <c r="C7" s="2">
        <v>3</v>
      </c>
      <c r="D7" s="2">
        <v>6</v>
      </c>
      <c r="E7" s="2">
        <v>1</v>
      </c>
      <c r="F7" s="2">
        <v>250</v>
      </c>
      <c r="G7" s="2">
        <v>0</v>
      </c>
      <c r="H7" s="2">
        <v>0</v>
      </c>
      <c r="I7" s="2">
        <v>200</v>
      </c>
      <c r="J7" s="2">
        <f t="shared" ref="J7:L10" si="0">I5+I6</f>
        <v>60</v>
      </c>
      <c r="K7" s="2">
        <v>200</v>
      </c>
      <c r="L7" s="2">
        <f t="shared" si="0"/>
        <v>60</v>
      </c>
      <c r="M7" s="2">
        <v>200</v>
      </c>
      <c r="N7" s="2">
        <f t="shared" ref="N7:N10" si="1">M5+M6</f>
        <v>60</v>
      </c>
      <c r="O7" s="2">
        <v>200</v>
      </c>
      <c r="P7" s="2">
        <f t="shared" ref="P7:P10" si="2">O5+O6</f>
        <v>60</v>
      </c>
      <c r="Q7" s="2">
        <v>300</v>
      </c>
      <c r="R7" s="2">
        <v>0</v>
      </c>
      <c r="S7" s="2">
        <v>9945</v>
      </c>
      <c r="T7" s="2">
        <v>0</v>
      </c>
      <c r="U7" s="2">
        <v>0</v>
      </c>
      <c r="V7" s="2">
        <v>0</v>
      </c>
      <c r="W7" s="4" t="s">
        <v>106</v>
      </c>
      <c r="X7" s="2">
        <v>4859</v>
      </c>
      <c r="Z7" s="2">
        <v>0</v>
      </c>
      <c r="AA7" s="2">
        <v>0</v>
      </c>
      <c r="AB7" s="2">
        <v>0</v>
      </c>
      <c r="AC7" s="2">
        <v>0</v>
      </c>
      <c r="AD7" s="8">
        <v>1020</v>
      </c>
      <c r="AE7" s="2">
        <v>1060</v>
      </c>
      <c r="AF7" s="2">
        <v>364</v>
      </c>
      <c r="AG7" s="2">
        <v>365</v>
      </c>
      <c r="AH7" s="2">
        <v>366</v>
      </c>
      <c r="AI7" s="2">
        <v>0</v>
      </c>
      <c r="AJ7" s="2" t="s">
        <v>103</v>
      </c>
    </row>
    <row r="8" spans="1:36" s="2" customFormat="1" x14ac:dyDescent="0.15">
      <c r="A8" s="2">
        <v>1</v>
      </c>
      <c r="B8" s="2" t="s">
        <v>104</v>
      </c>
      <c r="C8" s="2">
        <v>4</v>
      </c>
      <c r="D8" s="2">
        <v>6</v>
      </c>
      <c r="E8" s="2">
        <v>1</v>
      </c>
      <c r="F8" s="2">
        <v>300</v>
      </c>
      <c r="G8" s="2">
        <v>0</v>
      </c>
      <c r="H8" s="2">
        <v>0</v>
      </c>
      <c r="I8" s="2">
        <v>600</v>
      </c>
      <c r="J8" s="2">
        <f t="shared" si="0"/>
        <v>250</v>
      </c>
      <c r="K8" s="2">
        <v>600</v>
      </c>
      <c r="L8" s="2">
        <f t="shared" si="0"/>
        <v>250</v>
      </c>
      <c r="M8" s="2">
        <v>600</v>
      </c>
      <c r="N8" s="2">
        <f t="shared" si="1"/>
        <v>250</v>
      </c>
      <c r="O8" s="2">
        <v>600</v>
      </c>
      <c r="P8" s="2">
        <f t="shared" si="2"/>
        <v>250</v>
      </c>
      <c r="Q8" s="2">
        <v>600</v>
      </c>
      <c r="R8" s="2">
        <v>0</v>
      </c>
      <c r="S8" s="2">
        <v>9945</v>
      </c>
      <c r="T8" s="2">
        <v>0</v>
      </c>
      <c r="U8" s="2">
        <v>0</v>
      </c>
      <c r="V8" s="2">
        <v>0</v>
      </c>
      <c r="W8" s="4" t="s">
        <v>107</v>
      </c>
      <c r="X8" s="2">
        <v>4859</v>
      </c>
      <c r="Z8" s="2">
        <v>0</v>
      </c>
      <c r="AA8" s="2">
        <v>0</v>
      </c>
      <c r="AB8" s="2">
        <v>0</v>
      </c>
      <c r="AC8" s="2">
        <v>0</v>
      </c>
      <c r="AD8" s="8">
        <v>1020</v>
      </c>
      <c r="AE8" s="2">
        <v>1060</v>
      </c>
      <c r="AF8" s="2">
        <v>364</v>
      </c>
      <c r="AG8" s="2">
        <v>365</v>
      </c>
      <c r="AH8" s="2">
        <v>366</v>
      </c>
      <c r="AI8" s="2">
        <v>0</v>
      </c>
      <c r="AJ8" s="2" t="s">
        <v>101</v>
      </c>
    </row>
    <row r="9" spans="1:36" s="2" customFormat="1" x14ac:dyDescent="0.15">
      <c r="A9" s="2">
        <v>1</v>
      </c>
      <c r="B9" s="2" t="s">
        <v>104</v>
      </c>
      <c r="C9" s="2">
        <v>5</v>
      </c>
      <c r="D9" s="2">
        <v>6</v>
      </c>
      <c r="E9" s="2">
        <v>1</v>
      </c>
      <c r="F9" s="2">
        <v>350</v>
      </c>
      <c r="G9" s="2">
        <v>0</v>
      </c>
      <c r="H9" s="2">
        <v>0</v>
      </c>
      <c r="I9" s="2">
        <v>2000</v>
      </c>
      <c r="J9" s="2">
        <f t="shared" si="0"/>
        <v>800</v>
      </c>
      <c r="K9" s="2">
        <v>2000</v>
      </c>
      <c r="L9" s="2">
        <f t="shared" si="0"/>
        <v>800</v>
      </c>
      <c r="M9" s="2">
        <v>2000</v>
      </c>
      <c r="N9" s="2">
        <f t="shared" si="1"/>
        <v>800</v>
      </c>
      <c r="O9" s="2">
        <v>2000</v>
      </c>
      <c r="P9" s="2">
        <f t="shared" si="2"/>
        <v>800</v>
      </c>
      <c r="Q9" s="2">
        <v>1200</v>
      </c>
      <c r="R9" s="2">
        <v>0</v>
      </c>
      <c r="S9" s="2">
        <v>9945</v>
      </c>
      <c r="T9" s="2">
        <v>0</v>
      </c>
      <c r="U9" s="2">
        <v>0</v>
      </c>
      <c r="V9" s="2">
        <v>0</v>
      </c>
      <c r="W9" s="4" t="s">
        <v>108</v>
      </c>
      <c r="X9" s="2">
        <v>4859</v>
      </c>
      <c r="Z9" s="2">
        <v>0</v>
      </c>
      <c r="AA9" s="2">
        <v>0</v>
      </c>
      <c r="AB9" s="2">
        <v>0</v>
      </c>
      <c r="AC9" s="2">
        <v>0</v>
      </c>
      <c r="AD9" s="8">
        <v>1020</v>
      </c>
      <c r="AE9" s="2">
        <v>1060</v>
      </c>
      <c r="AF9" s="2">
        <v>367</v>
      </c>
      <c r="AG9" s="2">
        <v>368</v>
      </c>
      <c r="AH9" s="2">
        <v>369</v>
      </c>
      <c r="AI9" s="2">
        <v>0</v>
      </c>
      <c r="AJ9" s="2" t="s">
        <v>101</v>
      </c>
    </row>
    <row r="10" spans="1:36" s="2" customFormat="1" x14ac:dyDescent="0.15">
      <c r="A10" s="2">
        <v>1</v>
      </c>
      <c r="B10" s="2" t="s">
        <v>104</v>
      </c>
      <c r="C10" s="2">
        <v>6</v>
      </c>
      <c r="D10" s="2">
        <v>6</v>
      </c>
      <c r="E10" s="2">
        <v>1</v>
      </c>
      <c r="F10" s="2">
        <v>400</v>
      </c>
      <c r="G10" s="2">
        <v>0</v>
      </c>
      <c r="H10" s="2">
        <v>0</v>
      </c>
      <c r="I10" s="2">
        <v>10000</v>
      </c>
      <c r="J10" s="2">
        <f t="shared" si="0"/>
        <v>2600</v>
      </c>
      <c r="K10" s="2">
        <v>10000</v>
      </c>
      <c r="L10" s="2">
        <f t="shared" si="0"/>
        <v>2600</v>
      </c>
      <c r="M10" s="2">
        <v>10000</v>
      </c>
      <c r="N10" s="2">
        <f t="shared" si="1"/>
        <v>2600</v>
      </c>
      <c r="O10" s="2">
        <v>10000</v>
      </c>
      <c r="P10" s="2">
        <f t="shared" si="2"/>
        <v>2600</v>
      </c>
      <c r="Q10" s="2">
        <v>3000</v>
      </c>
      <c r="R10" s="2">
        <v>0</v>
      </c>
      <c r="S10" s="2">
        <v>9945</v>
      </c>
      <c r="T10" s="2">
        <v>0</v>
      </c>
      <c r="U10" s="2">
        <v>0</v>
      </c>
      <c r="V10" s="2">
        <v>0</v>
      </c>
      <c r="W10" s="4">
        <v>9806</v>
      </c>
      <c r="X10" s="2">
        <v>4859</v>
      </c>
      <c r="Z10" s="2">
        <v>0</v>
      </c>
      <c r="AA10" s="2">
        <v>0</v>
      </c>
      <c r="AB10" s="2">
        <v>0</v>
      </c>
      <c r="AC10" s="2">
        <v>0</v>
      </c>
      <c r="AD10" s="8">
        <v>1020</v>
      </c>
      <c r="AE10" s="2">
        <v>1060</v>
      </c>
      <c r="AF10" s="2">
        <v>367</v>
      </c>
      <c r="AG10" s="2">
        <v>368</v>
      </c>
      <c r="AH10" s="2">
        <v>369</v>
      </c>
      <c r="AI10" s="2">
        <v>0</v>
      </c>
      <c r="AJ10" s="2" t="s">
        <v>101</v>
      </c>
    </row>
    <row r="11" spans="1:36" s="3" customFormat="1" x14ac:dyDescent="0.15">
      <c r="A11" s="3">
        <v>2</v>
      </c>
      <c r="B11" s="3" t="s">
        <v>109</v>
      </c>
      <c r="C11" s="3">
        <v>0</v>
      </c>
      <c r="D11" s="3">
        <v>6</v>
      </c>
      <c r="E11" s="3">
        <v>1</v>
      </c>
      <c r="F11" s="3">
        <v>50</v>
      </c>
      <c r="G11" s="3">
        <v>0</v>
      </c>
      <c r="H11" s="2">
        <v>0</v>
      </c>
      <c r="I11" s="3">
        <v>5</v>
      </c>
      <c r="J11" s="2">
        <v>0</v>
      </c>
      <c r="K11" s="3">
        <v>5</v>
      </c>
      <c r="L11" s="2">
        <v>0</v>
      </c>
      <c r="M11" s="3">
        <v>5</v>
      </c>
      <c r="N11" s="2">
        <v>0</v>
      </c>
      <c r="O11" s="3">
        <v>5</v>
      </c>
      <c r="P11" s="2">
        <v>0</v>
      </c>
      <c r="Q11" s="3">
        <v>60</v>
      </c>
      <c r="R11" s="3">
        <v>0</v>
      </c>
      <c r="S11" s="3">
        <v>9946</v>
      </c>
      <c r="T11" s="3">
        <v>1</v>
      </c>
      <c r="U11" s="3">
        <v>1</v>
      </c>
      <c r="V11" s="2">
        <v>0</v>
      </c>
      <c r="W11" s="3">
        <v>9946</v>
      </c>
      <c r="X11" s="3">
        <v>8594</v>
      </c>
      <c r="Z11" s="3">
        <v>0</v>
      </c>
      <c r="AA11" s="3">
        <v>0</v>
      </c>
      <c r="AB11" s="3">
        <v>0</v>
      </c>
      <c r="AC11" s="3">
        <v>0</v>
      </c>
      <c r="AD11" s="8">
        <v>1021</v>
      </c>
      <c r="AE11" s="3">
        <v>1061</v>
      </c>
      <c r="AI11" s="3">
        <v>0</v>
      </c>
      <c r="AJ11" s="3" t="s">
        <v>110</v>
      </c>
    </row>
    <row r="12" spans="1:36" s="3" customFormat="1" x14ac:dyDescent="0.15">
      <c r="A12" s="3">
        <v>2</v>
      </c>
      <c r="B12" s="3" t="s">
        <v>109</v>
      </c>
      <c r="C12" s="3">
        <v>1</v>
      </c>
      <c r="D12" s="3">
        <v>6</v>
      </c>
      <c r="E12" s="3">
        <v>1</v>
      </c>
      <c r="F12" s="3">
        <v>80</v>
      </c>
      <c r="G12" s="3">
        <v>0</v>
      </c>
      <c r="H12" s="2">
        <v>0</v>
      </c>
      <c r="I12" s="3">
        <v>5</v>
      </c>
      <c r="J12" s="2">
        <f>I11</f>
        <v>5</v>
      </c>
      <c r="K12" s="3">
        <v>5</v>
      </c>
      <c r="L12" s="2">
        <f>K11</f>
        <v>5</v>
      </c>
      <c r="M12" s="3">
        <v>5</v>
      </c>
      <c r="N12" s="2">
        <f>M11</f>
        <v>5</v>
      </c>
      <c r="O12" s="3">
        <v>5</v>
      </c>
      <c r="P12" s="2">
        <f>O11</f>
        <v>5</v>
      </c>
      <c r="Q12" s="3">
        <v>60</v>
      </c>
      <c r="R12" s="3">
        <v>0</v>
      </c>
      <c r="S12" s="3">
        <v>9946</v>
      </c>
      <c r="T12" s="3">
        <v>1</v>
      </c>
      <c r="U12" s="3">
        <v>1</v>
      </c>
      <c r="V12" s="2">
        <v>0</v>
      </c>
      <c r="W12" s="5" t="s">
        <v>111</v>
      </c>
      <c r="X12" s="3">
        <v>8594</v>
      </c>
      <c r="Z12" s="3">
        <v>0</v>
      </c>
      <c r="AA12" s="3">
        <v>0</v>
      </c>
      <c r="AB12" s="3">
        <v>0</v>
      </c>
      <c r="AC12" s="3">
        <v>0</v>
      </c>
      <c r="AD12" s="8">
        <v>1021</v>
      </c>
      <c r="AE12" s="3">
        <v>1061</v>
      </c>
      <c r="AF12" s="3">
        <v>379</v>
      </c>
      <c r="AG12" s="3">
        <v>380</v>
      </c>
      <c r="AH12" s="3">
        <v>381</v>
      </c>
      <c r="AI12" s="3">
        <v>0</v>
      </c>
      <c r="AJ12" s="3" t="s">
        <v>110</v>
      </c>
    </row>
    <row r="13" spans="1:36" s="3" customFormat="1" x14ac:dyDescent="0.15">
      <c r="A13" s="3">
        <v>2</v>
      </c>
      <c r="B13" s="3" t="s">
        <v>112</v>
      </c>
      <c r="C13" s="3">
        <v>2</v>
      </c>
      <c r="D13" s="3">
        <v>6</v>
      </c>
      <c r="E13" s="3">
        <v>1</v>
      </c>
      <c r="F13" s="3">
        <v>110</v>
      </c>
      <c r="G13" s="3">
        <v>0</v>
      </c>
      <c r="H13" s="2">
        <v>0</v>
      </c>
      <c r="I13" s="3">
        <v>10</v>
      </c>
      <c r="J13" s="2">
        <f>I11+I12</f>
        <v>10</v>
      </c>
      <c r="K13" s="3">
        <v>10</v>
      </c>
      <c r="L13" s="2">
        <f>K11+K12</f>
        <v>10</v>
      </c>
      <c r="M13" s="3">
        <v>10</v>
      </c>
      <c r="N13" s="2">
        <f>M11+M12</f>
        <v>10</v>
      </c>
      <c r="O13" s="3">
        <v>10</v>
      </c>
      <c r="P13" s="2">
        <f>O11+O12</f>
        <v>10</v>
      </c>
      <c r="Q13" s="3">
        <v>120</v>
      </c>
      <c r="R13" s="3">
        <v>0</v>
      </c>
      <c r="S13" s="3">
        <v>9946</v>
      </c>
      <c r="T13" s="3">
        <v>1</v>
      </c>
      <c r="U13" s="3">
        <v>2</v>
      </c>
      <c r="V13" s="2">
        <v>0</v>
      </c>
      <c r="W13" s="5" t="s">
        <v>113</v>
      </c>
      <c r="X13" s="3">
        <v>8594</v>
      </c>
      <c r="Z13" s="3">
        <v>0</v>
      </c>
      <c r="AA13" s="3">
        <v>0</v>
      </c>
      <c r="AB13" s="3">
        <v>0</v>
      </c>
      <c r="AC13" s="3">
        <v>0</v>
      </c>
      <c r="AD13" s="8">
        <v>1021</v>
      </c>
      <c r="AE13" s="3">
        <v>1061</v>
      </c>
      <c r="AF13" s="3">
        <v>379</v>
      </c>
      <c r="AG13" s="3">
        <v>380</v>
      </c>
      <c r="AH13" s="3">
        <v>381</v>
      </c>
      <c r="AI13" s="3">
        <v>0</v>
      </c>
      <c r="AJ13" s="3" t="s">
        <v>110</v>
      </c>
    </row>
    <row r="14" spans="1:36" s="3" customFormat="1" x14ac:dyDescent="0.15">
      <c r="A14" s="3">
        <v>2</v>
      </c>
      <c r="B14" s="3" t="s">
        <v>112</v>
      </c>
      <c r="C14" s="3">
        <v>3</v>
      </c>
      <c r="D14" s="3">
        <v>6</v>
      </c>
      <c r="E14" s="3">
        <v>1</v>
      </c>
      <c r="F14" s="3">
        <v>140</v>
      </c>
      <c r="G14" s="3">
        <v>0</v>
      </c>
      <c r="H14" s="2">
        <v>0</v>
      </c>
      <c r="I14" s="3">
        <v>50</v>
      </c>
      <c r="J14" s="2">
        <f t="shared" ref="J14:L17" si="3">I12+I13</f>
        <v>15</v>
      </c>
      <c r="K14" s="3">
        <v>50</v>
      </c>
      <c r="L14" s="2">
        <f t="shared" si="3"/>
        <v>15</v>
      </c>
      <c r="M14" s="3">
        <v>50</v>
      </c>
      <c r="N14" s="2">
        <f t="shared" ref="N14:N17" si="4">M12+M13</f>
        <v>15</v>
      </c>
      <c r="O14" s="3">
        <v>50</v>
      </c>
      <c r="P14" s="2">
        <f t="shared" ref="P14:P17" si="5">O12+O13</f>
        <v>15</v>
      </c>
      <c r="Q14" s="3">
        <v>300</v>
      </c>
      <c r="R14" s="3">
        <v>0</v>
      </c>
      <c r="S14" s="3">
        <v>9946</v>
      </c>
      <c r="T14" s="3">
        <v>1</v>
      </c>
      <c r="U14" s="3">
        <v>3</v>
      </c>
      <c r="V14" s="2">
        <v>0</v>
      </c>
      <c r="W14" s="5" t="s">
        <v>114</v>
      </c>
      <c r="X14" s="3">
        <v>8594</v>
      </c>
      <c r="Z14" s="3">
        <v>0</v>
      </c>
      <c r="AA14" s="3">
        <v>0</v>
      </c>
      <c r="AB14" s="3">
        <v>0</v>
      </c>
      <c r="AC14" s="3">
        <v>0</v>
      </c>
      <c r="AD14" s="8">
        <v>1021</v>
      </c>
      <c r="AE14" s="3">
        <v>1061</v>
      </c>
      <c r="AF14" s="3">
        <v>382</v>
      </c>
      <c r="AG14" s="3">
        <v>383</v>
      </c>
      <c r="AH14" s="3">
        <v>384</v>
      </c>
      <c r="AI14" s="3">
        <v>0</v>
      </c>
      <c r="AJ14" s="3" t="s">
        <v>110</v>
      </c>
    </row>
    <row r="15" spans="1:36" s="3" customFormat="1" x14ac:dyDescent="0.15">
      <c r="A15" s="3">
        <v>2</v>
      </c>
      <c r="B15" s="3" t="s">
        <v>112</v>
      </c>
      <c r="C15" s="3">
        <v>4</v>
      </c>
      <c r="D15" s="3">
        <v>6</v>
      </c>
      <c r="E15" s="3">
        <v>1</v>
      </c>
      <c r="F15" s="3">
        <v>170</v>
      </c>
      <c r="G15" s="3">
        <v>0</v>
      </c>
      <c r="H15" s="2">
        <v>0</v>
      </c>
      <c r="I15" s="3">
        <v>100</v>
      </c>
      <c r="J15" s="2">
        <f t="shared" si="3"/>
        <v>60</v>
      </c>
      <c r="K15" s="3">
        <v>100</v>
      </c>
      <c r="L15" s="2">
        <f t="shared" si="3"/>
        <v>60</v>
      </c>
      <c r="M15" s="3">
        <v>100</v>
      </c>
      <c r="N15" s="2">
        <f t="shared" si="4"/>
        <v>60</v>
      </c>
      <c r="O15" s="3">
        <v>100</v>
      </c>
      <c r="P15" s="2">
        <f t="shared" si="5"/>
        <v>60</v>
      </c>
      <c r="Q15" s="3">
        <v>600</v>
      </c>
      <c r="R15" s="3">
        <v>0</v>
      </c>
      <c r="S15" s="3">
        <v>9946</v>
      </c>
      <c r="T15" s="3">
        <v>1</v>
      </c>
      <c r="U15" s="3">
        <v>4</v>
      </c>
      <c r="V15" s="2">
        <v>0</v>
      </c>
      <c r="W15" s="5" t="s">
        <v>115</v>
      </c>
      <c r="X15" s="3">
        <v>8594</v>
      </c>
      <c r="Z15" s="3">
        <v>0</v>
      </c>
      <c r="AA15" s="3">
        <v>0</v>
      </c>
      <c r="AB15" s="3">
        <v>0</v>
      </c>
      <c r="AC15" s="3">
        <v>0</v>
      </c>
      <c r="AD15" s="8">
        <v>1021</v>
      </c>
      <c r="AE15" s="3">
        <v>1061</v>
      </c>
      <c r="AF15" s="3">
        <v>382</v>
      </c>
      <c r="AG15" s="3">
        <v>383</v>
      </c>
      <c r="AH15" s="3">
        <v>384</v>
      </c>
      <c r="AI15" s="3">
        <v>0</v>
      </c>
      <c r="AJ15" s="3" t="s">
        <v>110</v>
      </c>
    </row>
    <row r="16" spans="1:36" s="3" customFormat="1" x14ac:dyDescent="0.15">
      <c r="A16" s="3">
        <v>2</v>
      </c>
      <c r="B16" s="3" t="s">
        <v>112</v>
      </c>
      <c r="C16" s="3">
        <v>5</v>
      </c>
      <c r="D16" s="3">
        <v>6</v>
      </c>
      <c r="E16" s="3">
        <v>1</v>
      </c>
      <c r="F16" s="3">
        <v>200</v>
      </c>
      <c r="G16" s="3">
        <v>0</v>
      </c>
      <c r="H16" s="2">
        <v>0</v>
      </c>
      <c r="I16" s="3">
        <v>200</v>
      </c>
      <c r="J16" s="2">
        <f t="shared" si="3"/>
        <v>150</v>
      </c>
      <c r="K16" s="3">
        <v>200</v>
      </c>
      <c r="L16" s="2">
        <f t="shared" si="3"/>
        <v>150</v>
      </c>
      <c r="M16" s="3">
        <v>200</v>
      </c>
      <c r="N16" s="2">
        <f t="shared" si="4"/>
        <v>150</v>
      </c>
      <c r="O16" s="3">
        <v>200</v>
      </c>
      <c r="P16" s="2">
        <f t="shared" si="5"/>
        <v>150</v>
      </c>
      <c r="Q16" s="3">
        <v>1200</v>
      </c>
      <c r="R16" s="3">
        <v>0</v>
      </c>
      <c r="S16" s="3">
        <v>9946</v>
      </c>
      <c r="T16" s="3">
        <v>1</v>
      </c>
      <c r="U16" s="3">
        <v>5</v>
      </c>
      <c r="V16" s="2">
        <v>0</v>
      </c>
      <c r="W16" s="5" t="s">
        <v>116</v>
      </c>
      <c r="X16" s="3">
        <v>8594</v>
      </c>
      <c r="Z16" s="3">
        <v>0</v>
      </c>
      <c r="AA16" s="3">
        <v>0</v>
      </c>
      <c r="AB16" s="3">
        <v>0</v>
      </c>
      <c r="AC16" s="3">
        <v>0</v>
      </c>
      <c r="AD16" s="8">
        <v>1021</v>
      </c>
      <c r="AE16" s="3">
        <v>1061</v>
      </c>
      <c r="AF16" s="3">
        <v>385</v>
      </c>
      <c r="AG16" s="3">
        <v>386</v>
      </c>
      <c r="AH16" s="3">
        <v>387</v>
      </c>
      <c r="AI16" s="3">
        <v>0</v>
      </c>
      <c r="AJ16" s="3" t="s">
        <v>110</v>
      </c>
    </row>
    <row r="17" spans="1:36" s="3" customFormat="1" x14ac:dyDescent="0.15">
      <c r="A17" s="3">
        <v>2</v>
      </c>
      <c r="B17" s="3" t="s">
        <v>112</v>
      </c>
      <c r="C17" s="3">
        <v>6</v>
      </c>
      <c r="D17" s="3">
        <v>6</v>
      </c>
      <c r="E17" s="3">
        <v>1</v>
      </c>
      <c r="F17" s="3">
        <v>230</v>
      </c>
      <c r="G17" s="3">
        <v>0</v>
      </c>
      <c r="H17" s="2">
        <v>0</v>
      </c>
      <c r="I17" s="3">
        <v>500</v>
      </c>
      <c r="J17" s="2">
        <f t="shared" si="3"/>
        <v>300</v>
      </c>
      <c r="K17" s="3">
        <v>500</v>
      </c>
      <c r="L17" s="2">
        <f t="shared" si="3"/>
        <v>300</v>
      </c>
      <c r="M17" s="3">
        <v>500</v>
      </c>
      <c r="N17" s="2">
        <f t="shared" si="4"/>
        <v>300</v>
      </c>
      <c r="O17" s="3">
        <v>500</v>
      </c>
      <c r="P17" s="2">
        <f t="shared" si="5"/>
        <v>300</v>
      </c>
      <c r="Q17" s="3">
        <v>3000</v>
      </c>
      <c r="R17" s="3">
        <v>0</v>
      </c>
      <c r="S17" s="3">
        <v>9946</v>
      </c>
      <c r="T17" s="3">
        <v>1</v>
      </c>
      <c r="U17" s="3">
        <v>6</v>
      </c>
      <c r="V17" s="2">
        <v>0</v>
      </c>
      <c r="W17" s="5" t="s">
        <v>117</v>
      </c>
      <c r="X17" s="3">
        <v>8594</v>
      </c>
      <c r="Z17" s="3">
        <v>0</v>
      </c>
      <c r="AA17" s="3">
        <v>0</v>
      </c>
      <c r="AB17" s="3">
        <v>0</v>
      </c>
      <c r="AC17" s="3">
        <v>0</v>
      </c>
      <c r="AD17" s="8">
        <v>1021</v>
      </c>
      <c r="AE17" s="3">
        <v>1061</v>
      </c>
      <c r="AF17" s="3">
        <v>385</v>
      </c>
      <c r="AG17" s="3">
        <v>386</v>
      </c>
      <c r="AH17" s="3">
        <v>387</v>
      </c>
      <c r="AI17" s="3">
        <v>0</v>
      </c>
      <c r="AJ17" s="3" t="s">
        <v>110</v>
      </c>
    </row>
    <row r="18" spans="1:36" s="2" customFormat="1" x14ac:dyDescent="0.15">
      <c r="A18" s="2">
        <v>3</v>
      </c>
      <c r="B18" s="2" t="s">
        <v>118</v>
      </c>
      <c r="C18" s="2">
        <v>0</v>
      </c>
      <c r="D18" s="2">
        <v>6</v>
      </c>
      <c r="E18" s="2">
        <v>1</v>
      </c>
      <c r="F18" s="3">
        <v>50</v>
      </c>
      <c r="G18" s="2">
        <v>0</v>
      </c>
      <c r="H18" s="2">
        <v>0</v>
      </c>
      <c r="I18" s="2">
        <v>5</v>
      </c>
      <c r="J18" s="2">
        <v>0</v>
      </c>
      <c r="K18" s="2">
        <v>5</v>
      </c>
      <c r="L18" s="2">
        <v>0</v>
      </c>
      <c r="M18" s="2">
        <v>5</v>
      </c>
      <c r="N18" s="2">
        <v>0</v>
      </c>
      <c r="O18" s="2">
        <v>5</v>
      </c>
      <c r="P18" s="2">
        <v>0</v>
      </c>
      <c r="Q18" s="2">
        <v>60</v>
      </c>
      <c r="R18" s="2">
        <v>0</v>
      </c>
      <c r="S18" s="2">
        <v>9946</v>
      </c>
      <c r="T18" s="2">
        <v>1</v>
      </c>
      <c r="U18" s="2">
        <v>1</v>
      </c>
      <c r="V18" s="2">
        <v>0</v>
      </c>
      <c r="W18" s="3">
        <v>9946</v>
      </c>
      <c r="X18" s="3">
        <v>8591</v>
      </c>
      <c r="Z18" s="2">
        <v>0</v>
      </c>
      <c r="AA18" s="2">
        <v>0</v>
      </c>
      <c r="AB18" s="2">
        <v>0</v>
      </c>
      <c r="AC18" s="2">
        <v>0</v>
      </c>
      <c r="AD18" s="8">
        <v>1022</v>
      </c>
      <c r="AE18" s="2">
        <v>1062</v>
      </c>
      <c r="AI18" s="2">
        <v>0</v>
      </c>
      <c r="AJ18" s="2" t="s">
        <v>119</v>
      </c>
    </row>
    <row r="19" spans="1:36" s="2" customFormat="1" x14ac:dyDescent="0.15">
      <c r="A19" s="2">
        <v>3</v>
      </c>
      <c r="B19" s="2" t="s">
        <v>118</v>
      </c>
      <c r="C19" s="2">
        <v>1</v>
      </c>
      <c r="D19" s="2">
        <v>6</v>
      </c>
      <c r="E19" s="2">
        <v>1</v>
      </c>
      <c r="F19" s="3">
        <v>80</v>
      </c>
      <c r="G19" s="2">
        <v>0</v>
      </c>
      <c r="H19" s="2">
        <v>0</v>
      </c>
      <c r="I19" s="2">
        <v>5</v>
      </c>
      <c r="J19" s="2">
        <f>I18</f>
        <v>5</v>
      </c>
      <c r="K19" s="2">
        <v>5</v>
      </c>
      <c r="L19" s="2">
        <f>K18</f>
        <v>5</v>
      </c>
      <c r="M19" s="2">
        <v>5</v>
      </c>
      <c r="N19" s="2">
        <f>M18</f>
        <v>5</v>
      </c>
      <c r="O19" s="2">
        <v>5</v>
      </c>
      <c r="P19" s="2">
        <f>O18</f>
        <v>5</v>
      </c>
      <c r="Q19" s="2">
        <v>60</v>
      </c>
      <c r="R19" s="2">
        <v>0</v>
      </c>
      <c r="S19" s="2">
        <v>9946</v>
      </c>
      <c r="T19" s="2">
        <v>1</v>
      </c>
      <c r="U19" s="2">
        <v>1</v>
      </c>
      <c r="V19" s="2">
        <v>0</v>
      </c>
      <c r="W19" s="6" t="s">
        <v>120</v>
      </c>
      <c r="X19" s="3">
        <v>8591</v>
      </c>
      <c r="Z19" s="2">
        <v>0</v>
      </c>
      <c r="AA19" s="2">
        <v>0</v>
      </c>
      <c r="AB19" s="2">
        <v>0</v>
      </c>
      <c r="AC19" s="2">
        <v>0</v>
      </c>
      <c r="AD19" s="8">
        <v>1022</v>
      </c>
      <c r="AE19" s="2">
        <v>1062</v>
      </c>
      <c r="AF19" s="3">
        <v>379</v>
      </c>
      <c r="AG19" s="3">
        <v>380</v>
      </c>
      <c r="AH19" s="3">
        <v>381</v>
      </c>
      <c r="AI19" s="2">
        <v>0</v>
      </c>
      <c r="AJ19" s="2" t="s">
        <v>84</v>
      </c>
    </row>
    <row r="20" spans="1:36" s="2" customFormat="1" x14ac:dyDescent="0.15">
      <c r="A20" s="2">
        <v>3</v>
      </c>
      <c r="B20" s="2" t="s">
        <v>121</v>
      </c>
      <c r="C20" s="2">
        <v>2</v>
      </c>
      <c r="D20" s="2">
        <v>6</v>
      </c>
      <c r="E20" s="2">
        <v>1</v>
      </c>
      <c r="F20" s="3">
        <v>110</v>
      </c>
      <c r="G20" s="2">
        <v>0</v>
      </c>
      <c r="H20" s="2">
        <v>0</v>
      </c>
      <c r="I20" s="2">
        <v>10</v>
      </c>
      <c r="J20" s="2">
        <f>I18+I19</f>
        <v>10</v>
      </c>
      <c r="K20" s="2">
        <v>10</v>
      </c>
      <c r="L20" s="2">
        <f>K18+K19</f>
        <v>10</v>
      </c>
      <c r="M20" s="2">
        <v>10</v>
      </c>
      <c r="N20" s="2">
        <f>M18+M19</f>
        <v>10</v>
      </c>
      <c r="O20" s="2">
        <v>10</v>
      </c>
      <c r="P20" s="2">
        <f>O18+O19</f>
        <v>10</v>
      </c>
      <c r="Q20" s="2">
        <v>120</v>
      </c>
      <c r="R20" s="2">
        <v>0</v>
      </c>
      <c r="S20" s="2">
        <v>9946</v>
      </c>
      <c r="T20" s="2">
        <v>1</v>
      </c>
      <c r="U20" s="2">
        <v>2</v>
      </c>
      <c r="V20" s="2">
        <v>0</v>
      </c>
      <c r="W20" s="6" t="s">
        <v>122</v>
      </c>
      <c r="X20" s="3">
        <v>8591</v>
      </c>
      <c r="Z20" s="2">
        <v>0</v>
      </c>
      <c r="AA20" s="2">
        <v>0</v>
      </c>
      <c r="AB20" s="2">
        <v>0</v>
      </c>
      <c r="AC20" s="2">
        <v>0</v>
      </c>
      <c r="AD20" s="8">
        <v>1022</v>
      </c>
      <c r="AE20" s="2">
        <v>1062</v>
      </c>
      <c r="AF20" s="3">
        <v>379</v>
      </c>
      <c r="AG20" s="3">
        <v>380</v>
      </c>
      <c r="AH20" s="3">
        <v>381</v>
      </c>
      <c r="AI20" s="2">
        <v>0</v>
      </c>
      <c r="AJ20" s="2" t="s">
        <v>84</v>
      </c>
    </row>
    <row r="21" spans="1:36" s="2" customFormat="1" x14ac:dyDescent="0.15">
      <c r="A21" s="2">
        <v>3</v>
      </c>
      <c r="B21" s="2" t="s">
        <v>121</v>
      </c>
      <c r="C21" s="2">
        <v>3</v>
      </c>
      <c r="D21" s="2">
        <v>6</v>
      </c>
      <c r="E21" s="2">
        <v>1</v>
      </c>
      <c r="F21" s="3">
        <v>140</v>
      </c>
      <c r="G21" s="2">
        <v>0</v>
      </c>
      <c r="H21" s="2">
        <v>0</v>
      </c>
      <c r="I21" s="2">
        <v>50</v>
      </c>
      <c r="J21" s="2">
        <f t="shared" ref="J21:L24" si="6">I19+I20</f>
        <v>15</v>
      </c>
      <c r="K21" s="2">
        <v>50</v>
      </c>
      <c r="L21" s="2">
        <f t="shared" si="6"/>
        <v>15</v>
      </c>
      <c r="M21" s="2">
        <v>50</v>
      </c>
      <c r="N21" s="2">
        <f t="shared" ref="N21:N24" si="7">M19+M20</f>
        <v>15</v>
      </c>
      <c r="O21" s="2">
        <v>50</v>
      </c>
      <c r="P21" s="2">
        <f t="shared" ref="P21:P24" si="8">O19+O20</f>
        <v>15</v>
      </c>
      <c r="Q21" s="2">
        <v>300</v>
      </c>
      <c r="R21" s="2">
        <v>0</v>
      </c>
      <c r="S21" s="2">
        <v>9946</v>
      </c>
      <c r="T21" s="2">
        <v>1</v>
      </c>
      <c r="U21" s="2">
        <v>3</v>
      </c>
      <c r="V21" s="2">
        <v>0</v>
      </c>
      <c r="W21" s="6" t="s">
        <v>123</v>
      </c>
      <c r="X21" s="3">
        <v>8591</v>
      </c>
      <c r="Z21" s="2">
        <v>0</v>
      </c>
      <c r="AA21" s="2">
        <v>0</v>
      </c>
      <c r="AB21" s="2">
        <v>0</v>
      </c>
      <c r="AC21" s="2">
        <v>0</v>
      </c>
      <c r="AD21" s="8">
        <v>1022</v>
      </c>
      <c r="AE21" s="2">
        <v>1062</v>
      </c>
      <c r="AF21" s="3">
        <v>382</v>
      </c>
      <c r="AG21" s="3">
        <v>383</v>
      </c>
      <c r="AH21" s="3">
        <v>384</v>
      </c>
      <c r="AI21" s="2">
        <v>0</v>
      </c>
      <c r="AJ21" s="2" t="s">
        <v>84</v>
      </c>
    </row>
    <row r="22" spans="1:36" s="2" customFormat="1" x14ac:dyDescent="0.15">
      <c r="A22" s="2">
        <v>3</v>
      </c>
      <c r="B22" s="2" t="s">
        <v>121</v>
      </c>
      <c r="C22" s="2">
        <v>4</v>
      </c>
      <c r="D22" s="2">
        <v>6</v>
      </c>
      <c r="E22" s="2">
        <v>1</v>
      </c>
      <c r="F22" s="3">
        <v>170</v>
      </c>
      <c r="G22" s="2">
        <v>0</v>
      </c>
      <c r="H22" s="2">
        <v>0</v>
      </c>
      <c r="I22" s="2">
        <v>100</v>
      </c>
      <c r="J22" s="2">
        <f t="shared" si="6"/>
        <v>60</v>
      </c>
      <c r="K22" s="2">
        <v>100</v>
      </c>
      <c r="L22" s="2">
        <f t="shared" si="6"/>
        <v>60</v>
      </c>
      <c r="M22" s="2">
        <v>100</v>
      </c>
      <c r="N22" s="2">
        <f t="shared" si="7"/>
        <v>60</v>
      </c>
      <c r="O22" s="2">
        <v>100</v>
      </c>
      <c r="P22" s="2">
        <f t="shared" si="8"/>
        <v>60</v>
      </c>
      <c r="Q22" s="2">
        <v>600</v>
      </c>
      <c r="R22" s="2">
        <v>0</v>
      </c>
      <c r="S22" s="2">
        <v>9946</v>
      </c>
      <c r="T22" s="2">
        <v>1</v>
      </c>
      <c r="U22" s="2">
        <v>4</v>
      </c>
      <c r="V22" s="2">
        <v>0</v>
      </c>
      <c r="W22" s="6" t="s">
        <v>124</v>
      </c>
      <c r="X22" s="3">
        <v>8591</v>
      </c>
      <c r="Z22" s="2">
        <v>0</v>
      </c>
      <c r="AA22" s="2">
        <v>0</v>
      </c>
      <c r="AB22" s="2">
        <v>0</v>
      </c>
      <c r="AC22" s="2">
        <v>0</v>
      </c>
      <c r="AD22" s="8">
        <v>1022</v>
      </c>
      <c r="AE22" s="2">
        <v>1062</v>
      </c>
      <c r="AF22" s="3">
        <v>382</v>
      </c>
      <c r="AG22" s="3">
        <v>383</v>
      </c>
      <c r="AH22" s="3">
        <v>384</v>
      </c>
      <c r="AI22" s="2">
        <v>0</v>
      </c>
      <c r="AJ22" s="2" t="s">
        <v>84</v>
      </c>
    </row>
    <row r="23" spans="1:36" s="2" customFormat="1" x14ac:dyDescent="0.15">
      <c r="A23" s="2">
        <v>3</v>
      </c>
      <c r="B23" s="2" t="s">
        <v>121</v>
      </c>
      <c r="C23" s="2">
        <v>5</v>
      </c>
      <c r="D23" s="2">
        <v>6</v>
      </c>
      <c r="E23" s="2">
        <v>1</v>
      </c>
      <c r="F23" s="3">
        <v>200</v>
      </c>
      <c r="G23" s="2">
        <v>0</v>
      </c>
      <c r="H23" s="2">
        <v>0</v>
      </c>
      <c r="I23" s="2">
        <v>200</v>
      </c>
      <c r="J23" s="2">
        <f t="shared" si="6"/>
        <v>150</v>
      </c>
      <c r="K23" s="2">
        <v>200</v>
      </c>
      <c r="L23" s="2">
        <f t="shared" si="6"/>
        <v>150</v>
      </c>
      <c r="M23" s="2">
        <v>200</v>
      </c>
      <c r="N23" s="2">
        <f t="shared" si="7"/>
        <v>150</v>
      </c>
      <c r="O23" s="2">
        <v>200</v>
      </c>
      <c r="P23" s="2">
        <f t="shared" si="8"/>
        <v>150</v>
      </c>
      <c r="Q23" s="2">
        <v>1200</v>
      </c>
      <c r="R23" s="2">
        <v>0</v>
      </c>
      <c r="S23" s="2">
        <v>9946</v>
      </c>
      <c r="T23" s="2">
        <v>1</v>
      </c>
      <c r="U23" s="2">
        <v>5</v>
      </c>
      <c r="V23" s="2">
        <v>0</v>
      </c>
      <c r="W23" s="6" t="s">
        <v>125</v>
      </c>
      <c r="X23" s="3">
        <v>8591</v>
      </c>
      <c r="Z23" s="2">
        <v>0</v>
      </c>
      <c r="AA23" s="2">
        <v>0</v>
      </c>
      <c r="AB23" s="2">
        <v>0</v>
      </c>
      <c r="AC23" s="2">
        <v>0</v>
      </c>
      <c r="AD23" s="8">
        <v>1022</v>
      </c>
      <c r="AE23" s="2">
        <v>1062</v>
      </c>
      <c r="AF23" s="3">
        <v>385</v>
      </c>
      <c r="AG23" s="3">
        <v>386</v>
      </c>
      <c r="AH23" s="3">
        <v>387</v>
      </c>
      <c r="AI23" s="2">
        <v>0</v>
      </c>
      <c r="AJ23" s="2" t="s">
        <v>84</v>
      </c>
    </row>
    <row r="24" spans="1:36" s="2" customFormat="1" x14ac:dyDescent="0.15">
      <c r="A24" s="2">
        <v>3</v>
      </c>
      <c r="B24" s="2" t="s">
        <v>121</v>
      </c>
      <c r="C24" s="2">
        <v>6</v>
      </c>
      <c r="D24" s="2">
        <v>6</v>
      </c>
      <c r="E24" s="2">
        <v>1</v>
      </c>
      <c r="F24" s="3">
        <v>230</v>
      </c>
      <c r="G24" s="2">
        <v>0</v>
      </c>
      <c r="H24" s="2">
        <v>0</v>
      </c>
      <c r="I24" s="2">
        <v>500</v>
      </c>
      <c r="J24" s="2">
        <f t="shared" si="6"/>
        <v>300</v>
      </c>
      <c r="K24" s="2">
        <v>500</v>
      </c>
      <c r="L24" s="2">
        <f t="shared" si="6"/>
        <v>300</v>
      </c>
      <c r="M24" s="2">
        <v>500</v>
      </c>
      <c r="N24" s="2">
        <f t="shared" si="7"/>
        <v>300</v>
      </c>
      <c r="O24" s="2">
        <v>500</v>
      </c>
      <c r="P24" s="2">
        <f t="shared" si="8"/>
        <v>300</v>
      </c>
      <c r="Q24" s="2">
        <v>3000</v>
      </c>
      <c r="R24" s="2">
        <v>0</v>
      </c>
      <c r="S24" s="2">
        <v>9946</v>
      </c>
      <c r="T24" s="2">
        <v>1</v>
      </c>
      <c r="U24" s="2">
        <v>6</v>
      </c>
      <c r="V24" s="2">
        <v>0</v>
      </c>
      <c r="W24" s="6" t="s">
        <v>126</v>
      </c>
      <c r="X24" s="3">
        <v>8591</v>
      </c>
      <c r="Z24" s="2">
        <v>0</v>
      </c>
      <c r="AA24" s="2">
        <v>0</v>
      </c>
      <c r="AB24" s="2">
        <v>0</v>
      </c>
      <c r="AC24" s="2">
        <v>0</v>
      </c>
      <c r="AD24" s="8">
        <v>1022</v>
      </c>
      <c r="AE24" s="2">
        <v>1062</v>
      </c>
      <c r="AF24" s="3">
        <v>385</v>
      </c>
      <c r="AG24" s="3">
        <v>386</v>
      </c>
      <c r="AH24" s="3">
        <v>387</v>
      </c>
      <c r="AI24" s="2">
        <v>0</v>
      </c>
      <c r="AJ24" s="2" t="s">
        <v>84</v>
      </c>
    </row>
    <row r="25" spans="1:36" s="3" customFormat="1" x14ac:dyDescent="0.15">
      <c r="A25" s="3">
        <v>4</v>
      </c>
      <c r="B25" s="3" t="s">
        <v>127</v>
      </c>
      <c r="C25" s="3">
        <v>0</v>
      </c>
      <c r="D25" s="3">
        <v>6</v>
      </c>
      <c r="E25" s="3">
        <v>1</v>
      </c>
      <c r="F25" s="3">
        <v>50</v>
      </c>
      <c r="G25" s="3">
        <v>0</v>
      </c>
      <c r="H25" s="2">
        <v>0</v>
      </c>
      <c r="I25" s="3">
        <v>5</v>
      </c>
      <c r="J25" s="2">
        <v>0</v>
      </c>
      <c r="K25" s="3">
        <v>5</v>
      </c>
      <c r="L25" s="2">
        <v>0</v>
      </c>
      <c r="M25" s="3">
        <v>5</v>
      </c>
      <c r="N25" s="2">
        <v>0</v>
      </c>
      <c r="O25" s="3">
        <v>5</v>
      </c>
      <c r="P25" s="2">
        <v>0</v>
      </c>
      <c r="Q25" s="3">
        <v>60</v>
      </c>
      <c r="R25" s="3">
        <v>0</v>
      </c>
      <c r="S25" s="3">
        <v>9946</v>
      </c>
      <c r="T25" s="3">
        <v>1</v>
      </c>
      <c r="U25" s="3">
        <v>1</v>
      </c>
      <c r="V25" s="2">
        <v>0</v>
      </c>
      <c r="W25" s="3">
        <v>9946</v>
      </c>
      <c r="X25" s="3">
        <v>8597</v>
      </c>
      <c r="Z25" s="3">
        <v>250</v>
      </c>
      <c r="AA25" s="3">
        <v>0</v>
      </c>
      <c r="AB25" s="3">
        <v>0</v>
      </c>
      <c r="AC25" s="3">
        <v>0</v>
      </c>
      <c r="AD25" s="8">
        <v>1023</v>
      </c>
      <c r="AE25" s="3">
        <v>1063</v>
      </c>
      <c r="AI25" s="3">
        <v>0</v>
      </c>
      <c r="AJ25" s="3" t="s">
        <v>128</v>
      </c>
    </row>
    <row r="26" spans="1:36" s="3" customFormat="1" x14ac:dyDescent="0.15">
      <c r="A26" s="3">
        <v>4</v>
      </c>
      <c r="B26" s="3" t="s">
        <v>18</v>
      </c>
      <c r="C26" s="3">
        <v>1</v>
      </c>
      <c r="D26" s="3">
        <v>6</v>
      </c>
      <c r="E26" s="3">
        <v>1</v>
      </c>
      <c r="F26" s="3">
        <v>80</v>
      </c>
      <c r="G26" s="3">
        <v>0</v>
      </c>
      <c r="H26" s="2">
        <v>0</v>
      </c>
      <c r="I26" s="3">
        <v>5</v>
      </c>
      <c r="J26" s="2">
        <f>I25</f>
        <v>5</v>
      </c>
      <c r="K26" s="3">
        <v>5</v>
      </c>
      <c r="L26" s="2">
        <f>K25</f>
        <v>5</v>
      </c>
      <c r="M26" s="3">
        <v>5</v>
      </c>
      <c r="N26" s="2">
        <f>M25</f>
        <v>5</v>
      </c>
      <c r="O26" s="3">
        <v>5</v>
      </c>
      <c r="P26" s="2">
        <f>O25</f>
        <v>5</v>
      </c>
      <c r="Q26" s="3">
        <v>60</v>
      </c>
      <c r="R26" s="3">
        <v>0</v>
      </c>
      <c r="S26" s="3">
        <v>9946</v>
      </c>
      <c r="T26" s="3">
        <v>1</v>
      </c>
      <c r="U26" s="3">
        <v>1</v>
      </c>
      <c r="V26" s="2">
        <v>0</v>
      </c>
      <c r="W26" s="6" t="s">
        <v>129</v>
      </c>
      <c r="X26" s="3">
        <v>8597</v>
      </c>
      <c r="Z26" s="3">
        <v>250</v>
      </c>
      <c r="AA26" s="3">
        <v>0</v>
      </c>
      <c r="AB26" s="3">
        <v>0</v>
      </c>
      <c r="AC26" s="3">
        <v>0</v>
      </c>
      <c r="AD26" s="8">
        <v>1023</v>
      </c>
      <c r="AE26" s="3">
        <v>1063</v>
      </c>
      <c r="AF26" s="3">
        <v>379</v>
      </c>
      <c r="AG26" s="3">
        <v>380</v>
      </c>
      <c r="AH26" s="3">
        <v>381</v>
      </c>
      <c r="AI26" s="3">
        <v>0</v>
      </c>
      <c r="AJ26" s="3" t="s">
        <v>130</v>
      </c>
    </row>
    <row r="27" spans="1:36" s="3" customFormat="1" x14ac:dyDescent="0.15">
      <c r="A27" s="3">
        <v>4</v>
      </c>
      <c r="B27" s="3" t="s">
        <v>18</v>
      </c>
      <c r="C27" s="3">
        <v>2</v>
      </c>
      <c r="D27" s="3">
        <v>6</v>
      </c>
      <c r="E27" s="3">
        <v>1</v>
      </c>
      <c r="F27" s="3">
        <v>110</v>
      </c>
      <c r="G27" s="3">
        <v>0</v>
      </c>
      <c r="H27" s="2">
        <v>0</v>
      </c>
      <c r="I27" s="3">
        <v>10</v>
      </c>
      <c r="J27" s="2">
        <f>I25+I26</f>
        <v>10</v>
      </c>
      <c r="K27" s="3">
        <v>10</v>
      </c>
      <c r="L27" s="2">
        <f>K25+K26</f>
        <v>10</v>
      </c>
      <c r="M27" s="3">
        <v>10</v>
      </c>
      <c r="N27" s="2">
        <f>M25+M26</f>
        <v>10</v>
      </c>
      <c r="O27" s="3">
        <v>10</v>
      </c>
      <c r="P27" s="2">
        <f>O25+O26</f>
        <v>10</v>
      </c>
      <c r="Q27" s="3">
        <v>120</v>
      </c>
      <c r="R27" s="3">
        <v>0</v>
      </c>
      <c r="S27" s="3">
        <v>9946</v>
      </c>
      <c r="T27" s="3">
        <v>1</v>
      </c>
      <c r="U27" s="3">
        <v>2</v>
      </c>
      <c r="V27" s="2">
        <v>0</v>
      </c>
      <c r="W27" s="6" t="s">
        <v>131</v>
      </c>
      <c r="X27" s="3">
        <v>8597</v>
      </c>
      <c r="Z27" s="3">
        <v>250</v>
      </c>
      <c r="AA27" s="3">
        <v>0</v>
      </c>
      <c r="AB27" s="3">
        <v>0</v>
      </c>
      <c r="AC27" s="3">
        <v>0</v>
      </c>
      <c r="AD27" s="8">
        <v>1023</v>
      </c>
      <c r="AE27" s="3">
        <v>1063</v>
      </c>
      <c r="AF27" s="3">
        <v>379</v>
      </c>
      <c r="AG27" s="3">
        <v>380</v>
      </c>
      <c r="AH27" s="3">
        <v>381</v>
      </c>
      <c r="AI27" s="3">
        <v>0</v>
      </c>
      <c r="AJ27" s="3" t="s">
        <v>130</v>
      </c>
    </row>
    <row r="28" spans="1:36" s="3" customFormat="1" x14ac:dyDescent="0.15">
      <c r="A28" s="3">
        <v>4</v>
      </c>
      <c r="B28" s="3" t="s">
        <v>18</v>
      </c>
      <c r="C28" s="3">
        <v>3</v>
      </c>
      <c r="D28" s="3">
        <v>6</v>
      </c>
      <c r="E28" s="3">
        <v>1</v>
      </c>
      <c r="F28" s="3">
        <v>140</v>
      </c>
      <c r="G28" s="3">
        <v>0</v>
      </c>
      <c r="H28" s="2">
        <v>0</v>
      </c>
      <c r="I28" s="3">
        <v>50</v>
      </c>
      <c r="J28" s="2">
        <f t="shared" ref="J28:L31" si="9">I26+I27</f>
        <v>15</v>
      </c>
      <c r="K28" s="3">
        <v>50</v>
      </c>
      <c r="L28" s="2">
        <f t="shared" si="9"/>
        <v>15</v>
      </c>
      <c r="M28" s="3">
        <v>50</v>
      </c>
      <c r="N28" s="2">
        <f t="shared" ref="N28:N31" si="10">M26+M27</f>
        <v>15</v>
      </c>
      <c r="O28" s="3">
        <v>50</v>
      </c>
      <c r="P28" s="2">
        <f t="shared" ref="P28:P31" si="11">O26+O27</f>
        <v>15</v>
      </c>
      <c r="Q28" s="3">
        <v>300</v>
      </c>
      <c r="R28" s="3">
        <v>0</v>
      </c>
      <c r="S28" s="3">
        <v>9946</v>
      </c>
      <c r="T28" s="3">
        <v>1</v>
      </c>
      <c r="U28" s="3">
        <v>3</v>
      </c>
      <c r="V28" s="2">
        <v>0</v>
      </c>
      <c r="W28" s="6" t="s">
        <v>132</v>
      </c>
      <c r="X28" s="3">
        <v>8597</v>
      </c>
      <c r="Z28" s="3">
        <v>250</v>
      </c>
      <c r="AA28" s="3">
        <v>0</v>
      </c>
      <c r="AB28" s="3">
        <v>0</v>
      </c>
      <c r="AC28" s="3">
        <v>0</v>
      </c>
      <c r="AD28" s="8">
        <v>1023</v>
      </c>
      <c r="AE28" s="3">
        <v>1063</v>
      </c>
      <c r="AF28" s="3">
        <v>382</v>
      </c>
      <c r="AG28" s="3">
        <v>383</v>
      </c>
      <c r="AH28" s="3">
        <v>384</v>
      </c>
      <c r="AI28" s="3">
        <v>0</v>
      </c>
      <c r="AJ28" s="3" t="s">
        <v>130</v>
      </c>
    </row>
    <row r="29" spans="1:36" s="3" customFormat="1" x14ac:dyDescent="0.15">
      <c r="A29" s="3">
        <v>4</v>
      </c>
      <c r="B29" s="3" t="s">
        <v>18</v>
      </c>
      <c r="C29" s="3">
        <v>4</v>
      </c>
      <c r="D29" s="3">
        <v>6</v>
      </c>
      <c r="E29" s="3">
        <v>1</v>
      </c>
      <c r="F29" s="3">
        <v>170</v>
      </c>
      <c r="G29" s="3">
        <v>0</v>
      </c>
      <c r="H29" s="2">
        <v>0</v>
      </c>
      <c r="I29" s="3">
        <v>100</v>
      </c>
      <c r="J29" s="2">
        <f t="shared" si="9"/>
        <v>60</v>
      </c>
      <c r="K29" s="3">
        <v>100</v>
      </c>
      <c r="L29" s="2">
        <f t="shared" si="9"/>
        <v>60</v>
      </c>
      <c r="M29" s="3">
        <v>100</v>
      </c>
      <c r="N29" s="2">
        <f t="shared" si="10"/>
        <v>60</v>
      </c>
      <c r="O29" s="3">
        <v>100</v>
      </c>
      <c r="P29" s="2">
        <f t="shared" si="11"/>
        <v>60</v>
      </c>
      <c r="Q29" s="3">
        <v>600</v>
      </c>
      <c r="R29" s="3">
        <v>0</v>
      </c>
      <c r="S29" s="3">
        <v>9946</v>
      </c>
      <c r="T29" s="3">
        <v>1</v>
      </c>
      <c r="U29" s="3">
        <v>4</v>
      </c>
      <c r="V29" s="2">
        <v>0</v>
      </c>
      <c r="W29" s="6" t="s">
        <v>133</v>
      </c>
      <c r="X29" s="3">
        <v>8597</v>
      </c>
      <c r="Z29" s="3">
        <v>250</v>
      </c>
      <c r="AA29" s="3">
        <v>0</v>
      </c>
      <c r="AB29" s="3">
        <v>0</v>
      </c>
      <c r="AC29" s="3">
        <v>0</v>
      </c>
      <c r="AD29" s="8">
        <v>1023</v>
      </c>
      <c r="AE29" s="3">
        <v>1063</v>
      </c>
      <c r="AF29" s="3">
        <v>382</v>
      </c>
      <c r="AG29" s="3">
        <v>383</v>
      </c>
      <c r="AH29" s="3">
        <v>384</v>
      </c>
      <c r="AI29" s="3">
        <v>0</v>
      </c>
      <c r="AJ29" s="3" t="s">
        <v>130</v>
      </c>
    </row>
    <row r="30" spans="1:36" s="3" customFormat="1" x14ac:dyDescent="0.15">
      <c r="A30" s="3">
        <v>4</v>
      </c>
      <c r="B30" s="3" t="s">
        <v>18</v>
      </c>
      <c r="C30" s="3">
        <v>5</v>
      </c>
      <c r="D30" s="3">
        <v>6</v>
      </c>
      <c r="E30" s="3">
        <v>1</v>
      </c>
      <c r="F30" s="3">
        <v>200</v>
      </c>
      <c r="G30" s="3">
        <v>0</v>
      </c>
      <c r="H30" s="2">
        <v>0</v>
      </c>
      <c r="I30" s="3">
        <v>200</v>
      </c>
      <c r="J30" s="2">
        <f t="shared" si="9"/>
        <v>150</v>
      </c>
      <c r="K30" s="3">
        <v>200</v>
      </c>
      <c r="L30" s="2">
        <f t="shared" si="9"/>
        <v>150</v>
      </c>
      <c r="M30" s="3">
        <v>200</v>
      </c>
      <c r="N30" s="2">
        <f t="shared" si="10"/>
        <v>150</v>
      </c>
      <c r="O30" s="3">
        <v>200</v>
      </c>
      <c r="P30" s="2">
        <f t="shared" si="11"/>
        <v>150</v>
      </c>
      <c r="Q30" s="3">
        <v>1200</v>
      </c>
      <c r="R30" s="3">
        <v>0</v>
      </c>
      <c r="S30" s="3">
        <v>9946</v>
      </c>
      <c r="T30" s="3">
        <v>1</v>
      </c>
      <c r="U30" s="3">
        <v>5</v>
      </c>
      <c r="V30" s="2">
        <v>0</v>
      </c>
      <c r="W30" s="6" t="s">
        <v>134</v>
      </c>
      <c r="X30" s="3">
        <v>8597</v>
      </c>
      <c r="Z30" s="3">
        <v>250</v>
      </c>
      <c r="AA30" s="3">
        <v>0</v>
      </c>
      <c r="AB30" s="3">
        <v>0</v>
      </c>
      <c r="AC30" s="3">
        <v>0</v>
      </c>
      <c r="AD30" s="8">
        <v>1023</v>
      </c>
      <c r="AE30" s="3">
        <v>1063</v>
      </c>
      <c r="AF30" s="3">
        <v>385</v>
      </c>
      <c r="AG30" s="3">
        <v>386</v>
      </c>
      <c r="AH30" s="3">
        <v>387</v>
      </c>
      <c r="AI30" s="3">
        <v>0</v>
      </c>
      <c r="AJ30" s="3" t="s">
        <v>130</v>
      </c>
    </row>
    <row r="31" spans="1:36" s="3" customFormat="1" x14ac:dyDescent="0.15">
      <c r="A31" s="3">
        <v>4</v>
      </c>
      <c r="B31" s="3" t="s">
        <v>18</v>
      </c>
      <c r="C31" s="3">
        <v>6</v>
      </c>
      <c r="D31" s="3">
        <v>6</v>
      </c>
      <c r="E31" s="3">
        <v>1</v>
      </c>
      <c r="F31" s="3">
        <v>230</v>
      </c>
      <c r="G31" s="3">
        <v>0</v>
      </c>
      <c r="H31" s="2">
        <v>0</v>
      </c>
      <c r="I31" s="3">
        <v>500</v>
      </c>
      <c r="J31" s="2">
        <f t="shared" si="9"/>
        <v>300</v>
      </c>
      <c r="K31" s="3">
        <v>500</v>
      </c>
      <c r="L31" s="2">
        <f t="shared" si="9"/>
        <v>300</v>
      </c>
      <c r="M31" s="3">
        <v>500</v>
      </c>
      <c r="N31" s="2">
        <f t="shared" si="10"/>
        <v>300</v>
      </c>
      <c r="O31" s="3">
        <v>500</v>
      </c>
      <c r="P31" s="2">
        <f t="shared" si="11"/>
        <v>300</v>
      </c>
      <c r="Q31" s="3">
        <v>3000</v>
      </c>
      <c r="R31" s="3">
        <v>0</v>
      </c>
      <c r="S31" s="3">
        <v>9946</v>
      </c>
      <c r="T31" s="3">
        <v>1</v>
      </c>
      <c r="U31" s="3">
        <v>6</v>
      </c>
      <c r="V31" s="2">
        <v>0</v>
      </c>
      <c r="W31" s="6" t="s">
        <v>135</v>
      </c>
      <c r="X31" s="3">
        <v>8597</v>
      </c>
      <c r="Z31" s="3">
        <v>250</v>
      </c>
      <c r="AA31" s="3">
        <v>0</v>
      </c>
      <c r="AB31" s="3">
        <v>0</v>
      </c>
      <c r="AC31" s="3">
        <v>0</v>
      </c>
      <c r="AD31" s="8">
        <v>1023</v>
      </c>
      <c r="AE31" s="3">
        <v>1063</v>
      </c>
      <c r="AF31" s="3">
        <v>385</v>
      </c>
      <c r="AG31" s="3">
        <v>386</v>
      </c>
      <c r="AH31" s="3">
        <v>387</v>
      </c>
      <c r="AI31" s="3">
        <v>0</v>
      </c>
      <c r="AJ31" s="3" t="s">
        <v>130</v>
      </c>
    </row>
    <row r="32" spans="1:36" s="2" customFormat="1" x14ac:dyDescent="0.15">
      <c r="A32" s="2">
        <v>5</v>
      </c>
      <c r="B32" s="2" t="s">
        <v>136</v>
      </c>
      <c r="C32" s="2">
        <v>0</v>
      </c>
      <c r="D32" s="2">
        <v>6</v>
      </c>
      <c r="E32" s="2">
        <v>1</v>
      </c>
      <c r="F32" s="3">
        <v>50</v>
      </c>
      <c r="G32" s="2">
        <v>0</v>
      </c>
      <c r="H32" s="2">
        <v>0</v>
      </c>
      <c r="I32" s="2">
        <v>5</v>
      </c>
      <c r="J32" s="2">
        <v>0</v>
      </c>
      <c r="K32" s="2">
        <v>5</v>
      </c>
      <c r="L32" s="2">
        <v>0</v>
      </c>
      <c r="M32" s="2">
        <v>5</v>
      </c>
      <c r="N32" s="2">
        <v>0</v>
      </c>
      <c r="O32" s="2">
        <v>5</v>
      </c>
      <c r="P32" s="2">
        <v>0</v>
      </c>
      <c r="Q32" s="2">
        <v>60</v>
      </c>
      <c r="R32" s="2">
        <v>0</v>
      </c>
      <c r="S32" s="2">
        <v>9946</v>
      </c>
      <c r="T32" s="2">
        <v>4</v>
      </c>
      <c r="U32" s="2">
        <v>1</v>
      </c>
      <c r="V32" s="2">
        <v>0</v>
      </c>
      <c r="W32" s="3">
        <v>9946</v>
      </c>
      <c r="X32" s="3">
        <v>8593</v>
      </c>
      <c r="Z32" s="2">
        <v>500000</v>
      </c>
      <c r="AA32" s="2">
        <v>0</v>
      </c>
      <c r="AB32" s="2">
        <v>0</v>
      </c>
      <c r="AC32" s="2">
        <v>0</v>
      </c>
      <c r="AD32" s="2">
        <v>1024</v>
      </c>
      <c r="AE32" s="2">
        <v>1064</v>
      </c>
      <c r="AI32" s="2">
        <v>0</v>
      </c>
      <c r="AJ32" s="2" t="s">
        <v>137</v>
      </c>
    </row>
    <row r="33" spans="1:36" s="2" customFormat="1" x14ac:dyDescent="0.15">
      <c r="A33" s="2">
        <v>5</v>
      </c>
      <c r="B33" s="2" t="s">
        <v>19</v>
      </c>
      <c r="C33" s="2">
        <v>1</v>
      </c>
      <c r="D33" s="2">
        <v>6</v>
      </c>
      <c r="E33" s="2">
        <v>1</v>
      </c>
      <c r="F33" s="3">
        <v>80</v>
      </c>
      <c r="G33" s="2">
        <v>0</v>
      </c>
      <c r="H33" s="2">
        <v>0</v>
      </c>
      <c r="I33" s="2">
        <v>5</v>
      </c>
      <c r="J33" s="2">
        <f>I32</f>
        <v>5</v>
      </c>
      <c r="K33" s="2">
        <v>5</v>
      </c>
      <c r="L33" s="2">
        <f>K32</f>
        <v>5</v>
      </c>
      <c r="M33" s="2">
        <v>5</v>
      </c>
      <c r="N33" s="2">
        <f>M32</f>
        <v>5</v>
      </c>
      <c r="O33" s="2">
        <v>5</v>
      </c>
      <c r="P33" s="2">
        <f>O32</f>
        <v>5</v>
      </c>
      <c r="Q33" s="2">
        <v>60</v>
      </c>
      <c r="R33" s="2">
        <v>0</v>
      </c>
      <c r="S33" s="2">
        <v>9946</v>
      </c>
      <c r="T33" s="2">
        <v>4</v>
      </c>
      <c r="U33" s="2">
        <v>1</v>
      </c>
      <c r="V33" s="2">
        <v>0</v>
      </c>
      <c r="W33" s="6" t="s">
        <v>138</v>
      </c>
      <c r="X33" s="3">
        <v>8593</v>
      </c>
      <c r="Z33" s="2">
        <v>1000000</v>
      </c>
      <c r="AA33" s="2">
        <v>0</v>
      </c>
      <c r="AB33" s="2">
        <v>0</v>
      </c>
      <c r="AC33" s="2">
        <v>0</v>
      </c>
      <c r="AD33" s="2">
        <v>1024</v>
      </c>
      <c r="AE33" s="2">
        <v>1064</v>
      </c>
      <c r="AF33" s="3">
        <v>379</v>
      </c>
      <c r="AG33" s="3">
        <v>380</v>
      </c>
      <c r="AH33" s="3">
        <v>381</v>
      </c>
      <c r="AI33" s="2">
        <v>0</v>
      </c>
      <c r="AJ33" s="2" t="s">
        <v>137</v>
      </c>
    </row>
    <row r="34" spans="1:36" s="2" customFormat="1" x14ac:dyDescent="0.15">
      <c r="A34" s="2">
        <v>5</v>
      </c>
      <c r="B34" s="2" t="s">
        <v>19</v>
      </c>
      <c r="C34" s="2">
        <v>2</v>
      </c>
      <c r="D34" s="2">
        <v>6</v>
      </c>
      <c r="E34" s="2">
        <v>1</v>
      </c>
      <c r="F34" s="3">
        <v>110</v>
      </c>
      <c r="G34" s="2">
        <v>0</v>
      </c>
      <c r="H34" s="2">
        <v>0</v>
      </c>
      <c r="I34" s="2">
        <v>10</v>
      </c>
      <c r="J34" s="2">
        <f>I32+I33</f>
        <v>10</v>
      </c>
      <c r="K34" s="2">
        <v>10</v>
      </c>
      <c r="L34" s="2">
        <f>K32+K33</f>
        <v>10</v>
      </c>
      <c r="M34" s="2">
        <v>10</v>
      </c>
      <c r="N34" s="2">
        <f>M32+M33</f>
        <v>10</v>
      </c>
      <c r="O34" s="2">
        <v>10</v>
      </c>
      <c r="P34" s="2">
        <f>O32+O33</f>
        <v>10</v>
      </c>
      <c r="Q34" s="2">
        <v>120</v>
      </c>
      <c r="R34" s="2">
        <v>0</v>
      </c>
      <c r="S34" s="2">
        <v>9946</v>
      </c>
      <c r="T34" s="2">
        <v>4</v>
      </c>
      <c r="U34" s="2">
        <v>2</v>
      </c>
      <c r="V34" s="2">
        <v>0</v>
      </c>
      <c r="W34" s="6" t="s">
        <v>139</v>
      </c>
      <c r="X34" s="3">
        <v>8593</v>
      </c>
      <c r="Z34" s="2">
        <v>2000000</v>
      </c>
      <c r="AA34" s="2">
        <v>0</v>
      </c>
      <c r="AB34" s="2">
        <v>0</v>
      </c>
      <c r="AC34" s="2">
        <v>0</v>
      </c>
      <c r="AD34" s="2">
        <v>1024</v>
      </c>
      <c r="AE34" s="2">
        <v>1064</v>
      </c>
      <c r="AF34" s="3">
        <v>379</v>
      </c>
      <c r="AG34" s="3">
        <v>380</v>
      </c>
      <c r="AH34" s="3">
        <v>381</v>
      </c>
      <c r="AI34" s="2">
        <v>0</v>
      </c>
      <c r="AJ34" s="2" t="s">
        <v>137</v>
      </c>
    </row>
    <row r="35" spans="1:36" s="2" customFormat="1" x14ac:dyDescent="0.15">
      <c r="A35" s="2">
        <v>5</v>
      </c>
      <c r="B35" s="2" t="s">
        <v>19</v>
      </c>
      <c r="C35" s="2">
        <v>3</v>
      </c>
      <c r="D35" s="2">
        <v>6</v>
      </c>
      <c r="E35" s="2">
        <v>1</v>
      </c>
      <c r="F35" s="3">
        <v>140</v>
      </c>
      <c r="G35" s="2">
        <v>0</v>
      </c>
      <c r="H35" s="2">
        <v>0</v>
      </c>
      <c r="I35" s="2">
        <v>50</v>
      </c>
      <c r="J35" s="2">
        <f t="shared" ref="J35:L38" si="12">I33+I34</f>
        <v>15</v>
      </c>
      <c r="K35" s="2">
        <v>50</v>
      </c>
      <c r="L35" s="2">
        <f t="shared" si="12"/>
        <v>15</v>
      </c>
      <c r="M35" s="2">
        <v>50</v>
      </c>
      <c r="N35" s="2">
        <f t="shared" ref="N35:N38" si="13">M33+M34</f>
        <v>15</v>
      </c>
      <c r="O35" s="2">
        <v>50</v>
      </c>
      <c r="P35" s="2">
        <f t="shared" ref="P35:P38" si="14">O33+O34</f>
        <v>15</v>
      </c>
      <c r="Q35" s="2">
        <v>300</v>
      </c>
      <c r="R35" s="2">
        <v>0</v>
      </c>
      <c r="S35" s="2">
        <v>9946</v>
      </c>
      <c r="T35" s="2">
        <v>4</v>
      </c>
      <c r="U35" s="2">
        <v>3</v>
      </c>
      <c r="V35" s="2">
        <v>0</v>
      </c>
      <c r="W35" s="6" t="s">
        <v>140</v>
      </c>
      <c r="X35" s="3">
        <v>8593</v>
      </c>
      <c r="Z35" s="2">
        <v>5000000</v>
      </c>
      <c r="AA35" s="2">
        <v>0</v>
      </c>
      <c r="AB35" s="2">
        <v>0</v>
      </c>
      <c r="AC35" s="2">
        <v>0</v>
      </c>
      <c r="AD35" s="2">
        <v>1024</v>
      </c>
      <c r="AE35" s="2">
        <v>1064</v>
      </c>
      <c r="AF35" s="3">
        <v>382</v>
      </c>
      <c r="AG35" s="3">
        <v>383</v>
      </c>
      <c r="AH35" s="3">
        <v>384</v>
      </c>
      <c r="AI35" s="2">
        <v>0</v>
      </c>
      <c r="AJ35" s="2" t="s">
        <v>137</v>
      </c>
    </row>
    <row r="36" spans="1:36" s="2" customFormat="1" x14ac:dyDescent="0.15">
      <c r="A36" s="2">
        <v>5</v>
      </c>
      <c r="B36" s="2" t="s">
        <v>19</v>
      </c>
      <c r="C36" s="2">
        <v>4</v>
      </c>
      <c r="D36" s="2">
        <v>6</v>
      </c>
      <c r="E36" s="2">
        <v>1</v>
      </c>
      <c r="F36" s="3">
        <v>170</v>
      </c>
      <c r="G36" s="2">
        <v>0</v>
      </c>
      <c r="H36" s="2">
        <v>0</v>
      </c>
      <c r="I36" s="2">
        <v>100</v>
      </c>
      <c r="J36" s="2">
        <f t="shared" si="12"/>
        <v>60</v>
      </c>
      <c r="K36" s="2">
        <v>100</v>
      </c>
      <c r="L36" s="2">
        <f t="shared" si="12"/>
        <v>60</v>
      </c>
      <c r="M36" s="2">
        <v>100</v>
      </c>
      <c r="N36" s="2">
        <f t="shared" si="13"/>
        <v>60</v>
      </c>
      <c r="O36" s="2">
        <v>100</v>
      </c>
      <c r="P36" s="2">
        <f t="shared" si="14"/>
        <v>60</v>
      </c>
      <c r="Q36" s="2">
        <v>600</v>
      </c>
      <c r="R36" s="2">
        <v>0</v>
      </c>
      <c r="S36" s="2">
        <v>9946</v>
      </c>
      <c r="T36" s="2">
        <v>4</v>
      </c>
      <c r="U36" s="2">
        <v>4</v>
      </c>
      <c r="V36" s="2">
        <v>0</v>
      </c>
      <c r="W36" s="6" t="s">
        <v>141</v>
      </c>
      <c r="X36" s="3">
        <v>8593</v>
      </c>
      <c r="Z36" s="2">
        <v>10000000</v>
      </c>
      <c r="AA36" s="2">
        <v>0</v>
      </c>
      <c r="AB36" s="2">
        <v>0</v>
      </c>
      <c r="AC36" s="2">
        <v>0</v>
      </c>
      <c r="AD36" s="2">
        <v>1024</v>
      </c>
      <c r="AE36" s="2">
        <v>1064</v>
      </c>
      <c r="AF36" s="3">
        <v>382</v>
      </c>
      <c r="AG36" s="3">
        <v>383</v>
      </c>
      <c r="AH36" s="3">
        <v>384</v>
      </c>
      <c r="AI36" s="2">
        <v>0</v>
      </c>
      <c r="AJ36" s="2" t="s">
        <v>137</v>
      </c>
    </row>
    <row r="37" spans="1:36" s="2" customFormat="1" x14ac:dyDescent="0.15">
      <c r="A37" s="2">
        <v>5</v>
      </c>
      <c r="B37" s="2" t="s">
        <v>19</v>
      </c>
      <c r="C37" s="2">
        <v>5</v>
      </c>
      <c r="D37" s="2">
        <v>6</v>
      </c>
      <c r="E37" s="2">
        <v>1</v>
      </c>
      <c r="F37" s="3">
        <v>200</v>
      </c>
      <c r="G37" s="2">
        <v>0</v>
      </c>
      <c r="H37" s="2">
        <v>0</v>
      </c>
      <c r="I37" s="2">
        <v>200</v>
      </c>
      <c r="J37" s="2">
        <f t="shared" si="12"/>
        <v>150</v>
      </c>
      <c r="K37" s="2">
        <v>200</v>
      </c>
      <c r="L37" s="2">
        <f t="shared" si="12"/>
        <v>150</v>
      </c>
      <c r="M37" s="2">
        <v>200</v>
      </c>
      <c r="N37" s="2">
        <f t="shared" si="13"/>
        <v>150</v>
      </c>
      <c r="O37" s="2">
        <v>200</v>
      </c>
      <c r="P37" s="2">
        <f t="shared" si="14"/>
        <v>150</v>
      </c>
      <c r="Q37" s="2">
        <v>1200</v>
      </c>
      <c r="R37" s="2">
        <v>0</v>
      </c>
      <c r="S37" s="2">
        <v>9946</v>
      </c>
      <c r="T37" s="2">
        <v>4</v>
      </c>
      <c r="U37" s="2">
        <v>5</v>
      </c>
      <c r="V37" s="2">
        <v>0</v>
      </c>
      <c r="W37" s="6" t="s">
        <v>142</v>
      </c>
      <c r="X37" s="3">
        <v>8593</v>
      </c>
      <c r="Z37" s="2">
        <v>20000000</v>
      </c>
      <c r="AA37" s="2">
        <v>0</v>
      </c>
      <c r="AB37" s="2">
        <v>0</v>
      </c>
      <c r="AC37" s="2">
        <v>0</v>
      </c>
      <c r="AD37" s="2">
        <v>1024</v>
      </c>
      <c r="AE37" s="2">
        <v>1064</v>
      </c>
      <c r="AF37" s="3">
        <v>385</v>
      </c>
      <c r="AG37" s="3">
        <v>386</v>
      </c>
      <c r="AH37" s="3">
        <v>387</v>
      </c>
      <c r="AI37" s="2">
        <v>0</v>
      </c>
      <c r="AJ37" s="2" t="s">
        <v>137</v>
      </c>
    </row>
    <row r="38" spans="1:36" s="2" customFormat="1" x14ac:dyDescent="0.15">
      <c r="A38" s="2">
        <v>5</v>
      </c>
      <c r="B38" s="2" t="s">
        <v>19</v>
      </c>
      <c r="C38" s="2">
        <v>6</v>
      </c>
      <c r="D38" s="2">
        <v>6</v>
      </c>
      <c r="E38" s="2">
        <v>1</v>
      </c>
      <c r="F38" s="3">
        <v>230</v>
      </c>
      <c r="G38" s="2">
        <v>0</v>
      </c>
      <c r="H38" s="2">
        <v>0</v>
      </c>
      <c r="I38" s="2">
        <v>500</v>
      </c>
      <c r="J38" s="2">
        <f t="shared" si="12"/>
        <v>300</v>
      </c>
      <c r="K38" s="2">
        <v>500</v>
      </c>
      <c r="L38" s="2">
        <f t="shared" si="12"/>
        <v>300</v>
      </c>
      <c r="M38" s="2">
        <v>500</v>
      </c>
      <c r="N38" s="2">
        <f t="shared" si="13"/>
        <v>300</v>
      </c>
      <c r="O38" s="2">
        <v>500</v>
      </c>
      <c r="P38" s="2">
        <f t="shared" si="14"/>
        <v>300</v>
      </c>
      <c r="Q38" s="2">
        <v>3000</v>
      </c>
      <c r="R38" s="2">
        <v>0</v>
      </c>
      <c r="S38" s="2">
        <v>9946</v>
      </c>
      <c r="T38" s="2">
        <v>4</v>
      </c>
      <c r="U38" s="2">
        <v>6</v>
      </c>
      <c r="V38" s="2">
        <v>0</v>
      </c>
      <c r="W38" s="6" t="s">
        <v>143</v>
      </c>
      <c r="X38" s="3">
        <v>8593</v>
      </c>
      <c r="Z38" s="2">
        <v>50000000</v>
      </c>
      <c r="AA38" s="2">
        <v>0</v>
      </c>
      <c r="AB38" s="2">
        <v>0</v>
      </c>
      <c r="AC38" s="2">
        <v>0</v>
      </c>
      <c r="AD38" s="2">
        <v>1024</v>
      </c>
      <c r="AE38" s="2">
        <v>1064</v>
      </c>
      <c r="AF38" s="3">
        <v>385</v>
      </c>
      <c r="AG38" s="3">
        <v>386</v>
      </c>
      <c r="AH38" s="3">
        <v>387</v>
      </c>
      <c r="AI38" s="2">
        <v>0</v>
      </c>
      <c r="AJ38" s="2" t="s">
        <v>137</v>
      </c>
    </row>
    <row r="39" spans="1:36" s="3" customFormat="1" x14ac:dyDescent="0.15">
      <c r="A39" s="3">
        <v>6</v>
      </c>
      <c r="B39" s="3" t="s">
        <v>144</v>
      </c>
      <c r="C39" s="3">
        <v>0</v>
      </c>
      <c r="D39" s="3">
        <v>6</v>
      </c>
      <c r="E39" s="3">
        <v>1</v>
      </c>
      <c r="F39" s="3">
        <v>50</v>
      </c>
      <c r="G39" s="3">
        <v>0</v>
      </c>
      <c r="H39" s="2">
        <v>0</v>
      </c>
      <c r="I39" s="3">
        <v>5</v>
      </c>
      <c r="J39" s="2">
        <v>0</v>
      </c>
      <c r="K39" s="3">
        <v>5</v>
      </c>
      <c r="L39" s="2">
        <v>0</v>
      </c>
      <c r="M39" s="3">
        <v>5</v>
      </c>
      <c r="N39" s="2">
        <v>0</v>
      </c>
      <c r="O39" s="3">
        <v>5</v>
      </c>
      <c r="P39" s="2">
        <v>0</v>
      </c>
      <c r="Q39" s="3">
        <v>60</v>
      </c>
      <c r="R39" s="3">
        <v>0</v>
      </c>
      <c r="S39" s="3">
        <v>9946</v>
      </c>
      <c r="T39" s="3">
        <v>1</v>
      </c>
      <c r="U39" s="3">
        <v>1</v>
      </c>
      <c r="V39" s="2">
        <v>0</v>
      </c>
      <c r="W39" s="3">
        <v>9946</v>
      </c>
      <c r="X39" s="3">
        <v>8593</v>
      </c>
      <c r="Z39" s="3">
        <v>0</v>
      </c>
      <c r="AA39" s="3">
        <v>0</v>
      </c>
      <c r="AB39" s="3">
        <v>0</v>
      </c>
      <c r="AC39" s="3">
        <v>0</v>
      </c>
      <c r="AD39" s="3">
        <v>1025</v>
      </c>
      <c r="AE39" s="3">
        <v>1065</v>
      </c>
      <c r="AI39" s="3">
        <v>0</v>
      </c>
      <c r="AJ39" s="3" t="s">
        <v>145</v>
      </c>
    </row>
    <row r="40" spans="1:36" s="3" customFormat="1" x14ac:dyDescent="0.15">
      <c r="A40" s="3">
        <v>6</v>
      </c>
      <c r="B40" s="3" t="s">
        <v>144</v>
      </c>
      <c r="C40" s="3">
        <v>1</v>
      </c>
      <c r="D40" s="3">
        <v>6</v>
      </c>
      <c r="E40" s="3">
        <v>1</v>
      </c>
      <c r="F40" s="3">
        <v>80</v>
      </c>
      <c r="G40" s="3">
        <v>0</v>
      </c>
      <c r="H40" s="2">
        <v>0</v>
      </c>
      <c r="I40" s="3">
        <v>5</v>
      </c>
      <c r="J40" s="2">
        <f>I39</f>
        <v>5</v>
      </c>
      <c r="K40" s="3">
        <v>5</v>
      </c>
      <c r="L40" s="2">
        <f>K39</f>
        <v>5</v>
      </c>
      <c r="M40" s="3">
        <v>5</v>
      </c>
      <c r="N40" s="2">
        <f>M39</f>
        <v>5</v>
      </c>
      <c r="O40" s="3">
        <v>5</v>
      </c>
      <c r="P40" s="2">
        <f>O39</f>
        <v>5</v>
      </c>
      <c r="Q40" s="3">
        <v>60</v>
      </c>
      <c r="R40" s="3">
        <v>0</v>
      </c>
      <c r="S40" s="3">
        <v>9946</v>
      </c>
      <c r="T40" s="3">
        <v>1</v>
      </c>
      <c r="U40" s="3">
        <v>1</v>
      </c>
      <c r="V40" s="2">
        <v>0</v>
      </c>
      <c r="W40" s="6" t="s">
        <v>146</v>
      </c>
      <c r="X40" s="6"/>
      <c r="Z40" s="3">
        <v>0</v>
      </c>
      <c r="AA40" s="3">
        <v>0</v>
      </c>
      <c r="AB40" s="3">
        <v>0</v>
      </c>
      <c r="AC40" s="3">
        <v>0</v>
      </c>
      <c r="AD40" s="3">
        <v>1025</v>
      </c>
      <c r="AE40" s="3">
        <v>1065</v>
      </c>
      <c r="AF40" s="3">
        <v>379</v>
      </c>
      <c r="AG40" s="3">
        <v>380</v>
      </c>
      <c r="AH40" s="3">
        <v>381</v>
      </c>
      <c r="AI40" s="3">
        <v>0</v>
      </c>
      <c r="AJ40" s="3" t="s">
        <v>147</v>
      </c>
    </row>
    <row r="41" spans="1:36" s="3" customFormat="1" x14ac:dyDescent="0.15">
      <c r="A41" s="3">
        <v>6</v>
      </c>
      <c r="B41" s="3" t="s">
        <v>148</v>
      </c>
      <c r="C41" s="3">
        <v>2</v>
      </c>
      <c r="D41" s="3">
        <v>6</v>
      </c>
      <c r="E41" s="3">
        <v>1</v>
      </c>
      <c r="F41" s="3">
        <v>110</v>
      </c>
      <c r="G41" s="3">
        <v>0</v>
      </c>
      <c r="H41" s="2">
        <v>0</v>
      </c>
      <c r="I41" s="3">
        <v>10</v>
      </c>
      <c r="J41" s="2">
        <f>I39+I40</f>
        <v>10</v>
      </c>
      <c r="K41" s="3">
        <v>10</v>
      </c>
      <c r="L41" s="2">
        <f>K39+K40</f>
        <v>10</v>
      </c>
      <c r="M41" s="3">
        <v>10</v>
      </c>
      <c r="N41" s="2">
        <f>M39+M40</f>
        <v>10</v>
      </c>
      <c r="O41" s="3">
        <v>10</v>
      </c>
      <c r="P41" s="2">
        <f>O39+O40</f>
        <v>10</v>
      </c>
      <c r="Q41" s="3">
        <v>120</v>
      </c>
      <c r="R41" s="3">
        <v>0</v>
      </c>
      <c r="S41" s="3">
        <v>9946</v>
      </c>
      <c r="T41" s="3">
        <v>1</v>
      </c>
      <c r="U41" s="3">
        <v>2</v>
      </c>
      <c r="V41" s="2">
        <v>0</v>
      </c>
      <c r="W41" s="6" t="s">
        <v>149</v>
      </c>
      <c r="X41" s="6"/>
      <c r="Z41" s="3">
        <v>0</v>
      </c>
      <c r="AA41" s="3">
        <v>0</v>
      </c>
      <c r="AB41" s="3">
        <v>0</v>
      </c>
      <c r="AC41" s="3">
        <v>0</v>
      </c>
      <c r="AD41" s="3">
        <v>1025</v>
      </c>
      <c r="AE41" s="3">
        <v>1065</v>
      </c>
      <c r="AF41" s="3">
        <v>379</v>
      </c>
      <c r="AG41" s="3">
        <v>380</v>
      </c>
      <c r="AH41" s="3">
        <v>381</v>
      </c>
      <c r="AI41" s="3">
        <v>0</v>
      </c>
      <c r="AJ41" s="3" t="s">
        <v>147</v>
      </c>
    </row>
    <row r="42" spans="1:36" s="3" customFormat="1" x14ac:dyDescent="0.15">
      <c r="A42" s="3">
        <v>6</v>
      </c>
      <c r="B42" s="3" t="s">
        <v>148</v>
      </c>
      <c r="C42" s="3">
        <v>3</v>
      </c>
      <c r="D42" s="3">
        <v>6</v>
      </c>
      <c r="E42" s="3">
        <v>1</v>
      </c>
      <c r="F42" s="3">
        <v>140</v>
      </c>
      <c r="G42" s="3">
        <v>0</v>
      </c>
      <c r="H42" s="2">
        <v>0</v>
      </c>
      <c r="I42" s="3">
        <v>50</v>
      </c>
      <c r="J42" s="2">
        <f t="shared" ref="J42:L45" si="15">I40+I41</f>
        <v>15</v>
      </c>
      <c r="K42" s="3">
        <v>50</v>
      </c>
      <c r="L42" s="2">
        <f t="shared" si="15"/>
        <v>15</v>
      </c>
      <c r="M42" s="3">
        <v>50</v>
      </c>
      <c r="N42" s="2">
        <f t="shared" ref="N42:N45" si="16">M40+M41</f>
        <v>15</v>
      </c>
      <c r="O42" s="3">
        <v>50</v>
      </c>
      <c r="P42" s="2">
        <f t="shared" ref="P42:P45" si="17">O40+O41</f>
        <v>15</v>
      </c>
      <c r="Q42" s="3">
        <v>300</v>
      </c>
      <c r="R42" s="3">
        <v>0</v>
      </c>
      <c r="S42" s="3">
        <v>9946</v>
      </c>
      <c r="T42" s="3">
        <v>1</v>
      </c>
      <c r="U42" s="3">
        <v>3</v>
      </c>
      <c r="V42" s="2">
        <v>0</v>
      </c>
      <c r="W42" s="6" t="s">
        <v>150</v>
      </c>
      <c r="X42" s="6"/>
      <c r="Z42" s="3">
        <v>0</v>
      </c>
      <c r="AA42" s="3">
        <v>0</v>
      </c>
      <c r="AB42" s="3">
        <v>0</v>
      </c>
      <c r="AC42" s="3">
        <v>0</v>
      </c>
      <c r="AD42" s="3">
        <v>1025</v>
      </c>
      <c r="AE42" s="3">
        <v>1065</v>
      </c>
      <c r="AF42" s="3">
        <v>382</v>
      </c>
      <c r="AG42" s="3">
        <v>383</v>
      </c>
      <c r="AH42" s="3">
        <v>384</v>
      </c>
      <c r="AI42" s="3">
        <v>0</v>
      </c>
      <c r="AJ42" s="3" t="s">
        <v>151</v>
      </c>
    </row>
    <row r="43" spans="1:36" s="3" customFormat="1" x14ac:dyDescent="0.15">
      <c r="A43" s="3">
        <v>6</v>
      </c>
      <c r="B43" s="3" t="s">
        <v>144</v>
      </c>
      <c r="C43" s="3">
        <v>4</v>
      </c>
      <c r="D43" s="3">
        <v>6</v>
      </c>
      <c r="E43" s="3">
        <v>1</v>
      </c>
      <c r="F43" s="3">
        <v>170</v>
      </c>
      <c r="G43" s="3">
        <v>0</v>
      </c>
      <c r="H43" s="2">
        <v>0</v>
      </c>
      <c r="I43" s="3">
        <v>100</v>
      </c>
      <c r="J43" s="2">
        <f t="shared" si="15"/>
        <v>60</v>
      </c>
      <c r="K43" s="3">
        <v>100</v>
      </c>
      <c r="L43" s="2">
        <f t="shared" si="15"/>
        <v>60</v>
      </c>
      <c r="M43" s="3">
        <v>100</v>
      </c>
      <c r="N43" s="2">
        <f t="shared" si="16"/>
        <v>60</v>
      </c>
      <c r="O43" s="3">
        <v>100</v>
      </c>
      <c r="P43" s="2">
        <f t="shared" si="17"/>
        <v>60</v>
      </c>
      <c r="Q43" s="3">
        <v>600</v>
      </c>
      <c r="R43" s="3">
        <v>0</v>
      </c>
      <c r="S43" s="3">
        <v>9946</v>
      </c>
      <c r="T43" s="3">
        <v>1</v>
      </c>
      <c r="U43" s="3">
        <v>4</v>
      </c>
      <c r="V43" s="2">
        <v>0</v>
      </c>
      <c r="W43" s="6" t="s">
        <v>152</v>
      </c>
      <c r="X43" s="6"/>
      <c r="Z43" s="3">
        <v>0</v>
      </c>
      <c r="AA43" s="3">
        <v>0</v>
      </c>
      <c r="AB43" s="3">
        <v>0</v>
      </c>
      <c r="AC43" s="3">
        <v>0</v>
      </c>
      <c r="AD43" s="3">
        <v>1025</v>
      </c>
      <c r="AE43" s="3">
        <v>1065</v>
      </c>
      <c r="AF43" s="3">
        <v>382</v>
      </c>
      <c r="AG43" s="3">
        <v>383</v>
      </c>
      <c r="AH43" s="3">
        <v>384</v>
      </c>
      <c r="AI43" s="3">
        <v>0</v>
      </c>
      <c r="AJ43" s="3" t="s">
        <v>151</v>
      </c>
    </row>
    <row r="44" spans="1:36" s="3" customFormat="1" x14ac:dyDescent="0.15">
      <c r="A44" s="3">
        <v>6</v>
      </c>
      <c r="B44" s="3" t="s">
        <v>144</v>
      </c>
      <c r="C44" s="3">
        <v>5</v>
      </c>
      <c r="D44" s="3">
        <v>6</v>
      </c>
      <c r="E44" s="3">
        <v>1</v>
      </c>
      <c r="F44" s="3">
        <v>200</v>
      </c>
      <c r="G44" s="3">
        <v>0</v>
      </c>
      <c r="H44" s="2">
        <v>0</v>
      </c>
      <c r="I44" s="3">
        <v>200</v>
      </c>
      <c r="J44" s="2">
        <f t="shared" si="15"/>
        <v>150</v>
      </c>
      <c r="K44" s="3">
        <v>200</v>
      </c>
      <c r="L44" s="2">
        <f t="shared" si="15"/>
        <v>150</v>
      </c>
      <c r="M44" s="3">
        <v>200</v>
      </c>
      <c r="N44" s="2">
        <f t="shared" si="16"/>
        <v>150</v>
      </c>
      <c r="O44" s="3">
        <v>200</v>
      </c>
      <c r="P44" s="2">
        <f t="shared" si="17"/>
        <v>150</v>
      </c>
      <c r="Q44" s="3">
        <v>1200</v>
      </c>
      <c r="R44" s="3">
        <v>0</v>
      </c>
      <c r="S44" s="3">
        <v>9946</v>
      </c>
      <c r="T44" s="3">
        <v>1</v>
      </c>
      <c r="U44" s="3">
        <v>5</v>
      </c>
      <c r="V44" s="2">
        <v>0</v>
      </c>
      <c r="W44" s="6" t="s">
        <v>153</v>
      </c>
      <c r="X44" s="6"/>
      <c r="Z44" s="3">
        <v>0</v>
      </c>
      <c r="AA44" s="3">
        <v>0</v>
      </c>
      <c r="AB44" s="3">
        <v>0</v>
      </c>
      <c r="AC44" s="3">
        <v>0</v>
      </c>
      <c r="AD44" s="3">
        <v>1025</v>
      </c>
      <c r="AE44" s="3">
        <v>1065</v>
      </c>
      <c r="AF44" s="3">
        <v>385</v>
      </c>
      <c r="AG44" s="3">
        <v>386</v>
      </c>
      <c r="AH44" s="3">
        <v>387</v>
      </c>
      <c r="AI44" s="3">
        <v>0</v>
      </c>
      <c r="AJ44" s="3" t="s">
        <v>151</v>
      </c>
    </row>
    <row r="45" spans="1:36" s="3" customFormat="1" x14ac:dyDescent="0.15">
      <c r="A45" s="3">
        <v>6</v>
      </c>
      <c r="B45" s="3" t="s">
        <v>144</v>
      </c>
      <c r="C45" s="3">
        <v>6</v>
      </c>
      <c r="D45" s="3">
        <v>6</v>
      </c>
      <c r="E45" s="3">
        <v>1</v>
      </c>
      <c r="F45" s="3">
        <v>230</v>
      </c>
      <c r="G45" s="3">
        <v>0</v>
      </c>
      <c r="H45" s="2">
        <v>0</v>
      </c>
      <c r="I45" s="3">
        <v>500</v>
      </c>
      <c r="J45" s="2">
        <f t="shared" si="15"/>
        <v>300</v>
      </c>
      <c r="K45" s="3">
        <v>500</v>
      </c>
      <c r="L45" s="2">
        <f t="shared" si="15"/>
        <v>300</v>
      </c>
      <c r="M45" s="3">
        <v>500</v>
      </c>
      <c r="N45" s="2">
        <f t="shared" si="16"/>
        <v>300</v>
      </c>
      <c r="O45" s="3">
        <v>500</v>
      </c>
      <c r="P45" s="2">
        <f t="shared" si="17"/>
        <v>300</v>
      </c>
      <c r="Q45" s="3">
        <v>3000</v>
      </c>
      <c r="R45" s="3">
        <v>0</v>
      </c>
      <c r="S45" s="3">
        <v>9946</v>
      </c>
      <c r="T45" s="3">
        <v>1</v>
      </c>
      <c r="U45" s="3">
        <v>6</v>
      </c>
      <c r="V45" s="2">
        <v>0</v>
      </c>
      <c r="W45" s="6" t="s">
        <v>154</v>
      </c>
      <c r="X45" s="6"/>
      <c r="Z45" s="3">
        <v>0</v>
      </c>
      <c r="AA45" s="3">
        <v>0</v>
      </c>
      <c r="AB45" s="3">
        <v>0</v>
      </c>
      <c r="AC45" s="3">
        <v>0</v>
      </c>
      <c r="AD45" s="3">
        <v>1025</v>
      </c>
      <c r="AE45" s="3">
        <v>1065</v>
      </c>
      <c r="AF45" s="3">
        <v>385</v>
      </c>
      <c r="AG45" s="3">
        <v>386</v>
      </c>
      <c r="AH45" s="3">
        <v>387</v>
      </c>
      <c r="AI45" s="3">
        <v>0</v>
      </c>
      <c r="AJ45" s="3" t="s">
        <v>151</v>
      </c>
    </row>
    <row r="46" spans="1:36" s="2" customFormat="1" x14ac:dyDescent="0.15">
      <c r="A46" s="2">
        <v>7</v>
      </c>
      <c r="B46" s="2" t="s">
        <v>155</v>
      </c>
      <c r="C46" s="2">
        <v>0</v>
      </c>
      <c r="D46" s="2">
        <v>6</v>
      </c>
      <c r="E46" s="2">
        <v>1</v>
      </c>
      <c r="F46" s="3">
        <v>50</v>
      </c>
      <c r="G46" s="2">
        <v>0</v>
      </c>
      <c r="H46" s="2">
        <v>0</v>
      </c>
      <c r="I46" s="2">
        <v>5</v>
      </c>
      <c r="J46" s="2">
        <v>0</v>
      </c>
      <c r="K46" s="2">
        <v>5</v>
      </c>
      <c r="L46" s="2">
        <v>0</v>
      </c>
      <c r="M46" s="2">
        <v>5</v>
      </c>
      <c r="N46" s="2">
        <v>0</v>
      </c>
      <c r="O46" s="2">
        <v>5</v>
      </c>
      <c r="P46" s="2">
        <v>0</v>
      </c>
      <c r="Q46" s="2">
        <v>60</v>
      </c>
      <c r="R46" s="2">
        <v>0</v>
      </c>
      <c r="S46" s="2">
        <v>9947</v>
      </c>
      <c r="T46" s="2">
        <v>1</v>
      </c>
      <c r="U46" s="2">
        <v>1</v>
      </c>
      <c r="V46" s="2">
        <v>0</v>
      </c>
      <c r="W46" s="2">
        <v>9947</v>
      </c>
      <c r="X46" s="2">
        <v>4860</v>
      </c>
      <c r="Z46" s="2">
        <v>0</v>
      </c>
      <c r="AA46" s="2">
        <v>0</v>
      </c>
      <c r="AB46" s="2">
        <v>0</v>
      </c>
      <c r="AC46" s="2">
        <v>0</v>
      </c>
      <c r="AD46" s="2">
        <v>1026</v>
      </c>
      <c r="AE46" s="2">
        <v>1066</v>
      </c>
      <c r="AI46" s="2">
        <v>0</v>
      </c>
      <c r="AJ46" s="2" t="s">
        <v>156</v>
      </c>
    </row>
    <row r="47" spans="1:36" s="2" customFormat="1" x14ac:dyDescent="0.15">
      <c r="A47" s="2">
        <v>7</v>
      </c>
      <c r="B47" s="2" t="s">
        <v>155</v>
      </c>
      <c r="C47" s="2">
        <v>1</v>
      </c>
      <c r="D47" s="2">
        <v>6</v>
      </c>
      <c r="E47" s="2">
        <v>1</v>
      </c>
      <c r="F47" s="3">
        <v>80</v>
      </c>
      <c r="G47" s="2">
        <v>0</v>
      </c>
      <c r="H47" s="2">
        <v>0</v>
      </c>
      <c r="I47" s="2">
        <v>5</v>
      </c>
      <c r="J47" s="2">
        <f>I46</f>
        <v>5</v>
      </c>
      <c r="K47" s="2">
        <v>5</v>
      </c>
      <c r="L47" s="2">
        <f>K46</f>
        <v>5</v>
      </c>
      <c r="M47" s="2">
        <v>5</v>
      </c>
      <c r="N47" s="2">
        <f>M46</f>
        <v>5</v>
      </c>
      <c r="O47" s="2">
        <v>5</v>
      </c>
      <c r="P47" s="2">
        <f>O46</f>
        <v>5</v>
      </c>
      <c r="Q47" s="2">
        <v>60</v>
      </c>
      <c r="R47" s="2">
        <v>0</v>
      </c>
      <c r="S47" s="2">
        <v>9947</v>
      </c>
      <c r="T47" s="2">
        <v>1</v>
      </c>
      <c r="U47" s="2">
        <v>1</v>
      </c>
      <c r="V47" s="2">
        <v>0</v>
      </c>
      <c r="W47" s="6" t="s">
        <v>157</v>
      </c>
      <c r="X47" s="2">
        <v>4860</v>
      </c>
      <c r="Z47" s="2">
        <v>0</v>
      </c>
      <c r="AA47" s="2">
        <v>0</v>
      </c>
      <c r="AB47" s="2">
        <v>0</v>
      </c>
      <c r="AC47" s="2">
        <v>0</v>
      </c>
      <c r="AD47" s="2">
        <v>1026</v>
      </c>
      <c r="AE47" s="2">
        <v>1066</v>
      </c>
      <c r="AF47" s="2">
        <v>388</v>
      </c>
      <c r="AG47" s="2">
        <v>389</v>
      </c>
      <c r="AH47" s="2">
        <v>390</v>
      </c>
      <c r="AI47" s="2">
        <v>0</v>
      </c>
      <c r="AJ47" s="2" t="s">
        <v>158</v>
      </c>
    </row>
    <row r="48" spans="1:36" s="2" customFormat="1" x14ac:dyDescent="0.15">
      <c r="A48" s="2">
        <v>7</v>
      </c>
      <c r="B48" s="2" t="s">
        <v>159</v>
      </c>
      <c r="C48" s="2">
        <v>2</v>
      </c>
      <c r="D48" s="2">
        <v>6</v>
      </c>
      <c r="E48" s="2">
        <v>1</v>
      </c>
      <c r="F48" s="3">
        <v>110</v>
      </c>
      <c r="G48" s="2">
        <v>0</v>
      </c>
      <c r="H48" s="2">
        <v>0</v>
      </c>
      <c r="I48" s="2">
        <v>10</v>
      </c>
      <c r="J48" s="2">
        <f>I46+I47</f>
        <v>10</v>
      </c>
      <c r="K48" s="2">
        <v>10</v>
      </c>
      <c r="L48" s="2">
        <f>K46+K47</f>
        <v>10</v>
      </c>
      <c r="M48" s="2">
        <v>10</v>
      </c>
      <c r="N48" s="2">
        <f>M46+M47</f>
        <v>10</v>
      </c>
      <c r="O48" s="2">
        <v>10</v>
      </c>
      <c r="P48" s="2">
        <f>O46+O47</f>
        <v>10</v>
      </c>
      <c r="Q48" s="2">
        <v>120</v>
      </c>
      <c r="R48" s="2">
        <v>0</v>
      </c>
      <c r="S48" s="2">
        <v>9947</v>
      </c>
      <c r="T48" s="2">
        <v>1</v>
      </c>
      <c r="U48" s="2">
        <v>2</v>
      </c>
      <c r="V48" s="2">
        <v>0</v>
      </c>
      <c r="W48" s="6" t="s">
        <v>160</v>
      </c>
      <c r="X48" s="2">
        <v>4860</v>
      </c>
      <c r="Z48" s="2">
        <v>0</v>
      </c>
      <c r="AA48" s="2">
        <v>0</v>
      </c>
      <c r="AB48" s="2">
        <v>0</v>
      </c>
      <c r="AC48" s="2">
        <v>0</v>
      </c>
      <c r="AD48" s="2">
        <v>1026</v>
      </c>
      <c r="AE48" s="2">
        <v>1066</v>
      </c>
      <c r="AF48" s="2">
        <v>388</v>
      </c>
      <c r="AG48" s="2">
        <v>389</v>
      </c>
      <c r="AH48" s="2">
        <v>390</v>
      </c>
      <c r="AI48" s="2">
        <v>0</v>
      </c>
      <c r="AJ48" s="2" t="s">
        <v>158</v>
      </c>
    </row>
    <row r="49" spans="1:36" s="2" customFormat="1" x14ac:dyDescent="0.15">
      <c r="A49" s="2">
        <v>7</v>
      </c>
      <c r="B49" s="2" t="s">
        <v>159</v>
      </c>
      <c r="C49" s="2">
        <v>3</v>
      </c>
      <c r="D49" s="2">
        <v>6</v>
      </c>
      <c r="E49" s="2">
        <v>1</v>
      </c>
      <c r="F49" s="3">
        <v>140</v>
      </c>
      <c r="G49" s="2">
        <v>0</v>
      </c>
      <c r="H49" s="2">
        <v>0</v>
      </c>
      <c r="I49" s="2">
        <v>50</v>
      </c>
      <c r="J49" s="2">
        <f t="shared" ref="J49:L52" si="18">I47+I48</f>
        <v>15</v>
      </c>
      <c r="K49" s="2">
        <v>50</v>
      </c>
      <c r="L49" s="2">
        <f t="shared" si="18"/>
        <v>15</v>
      </c>
      <c r="M49" s="2">
        <v>50</v>
      </c>
      <c r="N49" s="2">
        <f t="shared" ref="N49:N52" si="19">M47+M48</f>
        <v>15</v>
      </c>
      <c r="O49" s="2">
        <v>50</v>
      </c>
      <c r="P49" s="2">
        <f t="shared" ref="P49:P52" si="20">O47+O48</f>
        <v>15</v>
      </c>
      <c r="Q49" s="2">
        <v>300</v>
      </c>
      <c r="R49" s="2">
        <v>0</v>
      </c>
      <c r="S49" s="2">
        <v>9947</v>
      </c>
      <c r="T49" s="2">
        <v>1</v>
      </c>
      <c r="U49" s="2">
        <v>3</v>
      </c>
      <c r="V49" s="2">
        <v>0</v>
      </c>
      <c r="W49" s="6" t="s">
        <v>161</v>
      </c>
      <c r="X49" s="2">
        <v>4860</v>
      </c>
      <c r="Z49" s="2">
        <v>0</v>
      </c>
      <c r="AA49" s="2">
        <v>0</v>
      </c>
      <c r="AB49" s="2">
        <v>0</v>
      </c>
      <c r="AC49" s="2">
        <v>0</v>
      </c>
      <c r="AD49" s="2">
        <v>1026</v>
      </c>
      <c r="AE49" s="2">
        <v>1066</v>
      </c>
      <c r="AF49" s="2">
        <v>391</v>
      </c>
      <c r="AG49" s="2">
        <v>392</v>
      </c>
      <c r="AH49" s="2">
        <v>393</v>
      </c>
      <c r="AI49" s="2">
        <v>0</v>
      </c>
      <c r="AJ49" s="2" t="s">
        <v>158</v>
      </c>
    </row>
    <row r="50" spans="1:36" s="2" customFormat="1" x14ac:dyDescent="0.15">
      <c r="A50" s="2">
        <v>7</v>
      </c>
      <c r="B50" s="2" t="s">
        <v>159</v>
      </c>
      <c r="C50" s="2">
        <v>4</v>
      </c>
      <c r="D50" s="2">
        <v>6</v>
      </c>
      <c r="E50" s="2">
        <v>1</v>
      </c>
      <c r="F50" s="3">
        <v>170</v>
      </c>
      <c r="G50" s="2">
        <v>0</v>
      </c>
      <c r="H50" s="2">
        <v>0</v>
      </c>
      <c r="I50" s="2">
        <v>100</v>
      </c>
      <c r="J50" s="2">
        <f t="shared" si="18"/>
        <v>60</v>
      </c>
      <c r="K50" s="2">
        <v>100</v>
      </c>
      <c r="L50" s="2">
        <f t="shared" si="18"/>
        <v>60</v>
      </c>
      <c r="M50" s="2">
        <v>100</v>
      </c>
      <c r="N50" s="2">
        <f t="shared" si="19"/>
        <v>60</v>
      </c>
      <c r="O50" s="2">
        <v>100</v>
      </c>
      <c r="P50" s="2">
        <f t="shared" si="20"/>
        <v>60</v>
      </c>
      <c r="Q50" s="2">
        <v>600</v>
      </c>
      <c r="R50" s="2">
        <v>0</v>
      </c>
      <c r="S50" s="2">
        <v>9947</v>
      </c>
      <c r="T50" s="2">
        <v>1</v>
      </c>
      <c r="U50" s="2">
        <v>4</v>
      </c>
      <c r="V50" s="2">
        <v>0</v>
      </c>
      <c r="W50" s="6" t="s">
        <v>162</v>
      </c>
      <c r="X50" s="2">
        <v>4860</v>
      </c>
      <c r="Z50" s="2">
        <v>0</v>
      </c>
      <c r="AA50" s="2">
        <v>0</v>
      </c>
      <c r="AB50" s="2">
        <v>0</v>
      </c>
      <c r="AC50" s="2">
        <v>0</v>
      </c>
      <c r="AD50" s="2">
        <v>1026</v>
      </c>
      <c r="AE50" s="2">
        <v>1066</v>
      </c>
      <c r="AF50" s="2">
        <v>391</v>
      </c>
      <c r="AG50" s="2">
        <v>392</v>
      </c>
      <c r="AH50" s="2">
        <v>393</v>
      </c>
      <c r="AI50" s="2">
        <v>0</v>
      </c>
      <c r="AJ50" s="2" t="s">
        <v>158</v>
      </c>
    </row>
    <row r="51" spans="1:36" s="2" customFormat="1" x14ac:dyDescent="0.15">
      <c r="A51" s="2">
        <v>7</v>
      </c>
      <c r="B51" s="2" t="s">
        <v>159</v>
      </c>
      <c r="C51" s="2">
        <v>5</v>
      </c>
      <c r="D51" s="2">
        <v>6</v>
      </c>
      <c r="E51" s="2">
        <v>1</v>
      </c>
      <c r="F51" s="3">
        <v>200</v>
      </c>
      <c r="G51" s="2">
        <v>0</v>
      </c>
      <c r="H51" s="2">
        <v>0</v>
      </c>
      <c r="I51" s="2">
        <v>200</v>
      </c>
      <c r="J51" s="2">
        <f t="shared" si="18"/>
        <v>150</v>
      </c>
      <c r="K51" s="2">
        <v>200</v>
      </c>
      <c r="L51" s="2">
        <f t="shared" si="18"/>
        <v>150</v>
      </c>
      <c r="M51" s="2">
        <v>200</v>
      </c>
      <c r="N51" s="2">
        <f t="shared" si="19"/>
        <v>150</v>
      </c>
      <c r="O51" s="2">
        <v>200</v>
      </c>
      <c r="P51" s="2">
        <f t="shared" si="20"/>
        <v>150</v>
      </c>
      <c r="Q51" s="2">
        <v>1200</v>
      </c>
      <c r="R51" s="2">
        <v>0</v>
      </c>
      <c r="S51" s="2">
        <v>9947</v>
      </c>
      <c r="T51" s="2">
        <v>1</v>
      </c>
      <c r="U51" s="2">
        <v>5</v>
      </c>
      <c r="V51" s="2">
        <v>0</v>
      </c>
      <c r="W51" s="6" t="s">
        <v>163</v>
      </c>
      <c r="X51" s="2">
        <v>4860</v>
      </c>
      <c r="Z51" s="2">
        <v>0</v>
      </c>
      <c r="AA51" s="2">
        <v>0</v>
      </c>
      <c r="AB51" s="2">
        <v>0</v>
      </c>
      <c r="AC51" s="2">
        <v>0</v>
      </c>
      <c r="AD51" s="2">
        <v>1026</v>
      </c>
      <c r="AE51" s="2">
        <v>1066</v>
      </c>
      <c r="AF51" s="2">
        <v>394</v>
      </c>
      <c r="AG51" s="2">
        <v>395</v>
      </c>
      <c r="AH51" s="2">
        <v>396</v>
      </c>
      <c r="AI51" s="2">
        <v>0</v>
      </c>
      <c r="AJ51" s="2" t="s">
        <v>158</v>
      </c>
    </row>
    <row r="52" spans="1:36" s="2" customFormat="1" x14ac:dyDescent="0.15">
      <c r="A52" s="2">
        <v>7</v>
      </c>
      <c r="B52" s="2" t="s">
        <v>159</v>
      </c>
      <c r="C52" s="2">
        <v>6</v>
      </c>
      <c r="D52" s="2">
        <v>6</v>
      </c>
      <c r="E52" s="2">
        <v>1</v>
      </c>
      <c r="F52" s="3">
        <v>230</v>
      </c>
      <c r="G52" s="2">
        <v>0</v>
      </c>
      <c r="H52" s="2">
        <v>0</v>
      </c>
      <c r="I52" s="2">
        <v>500</v>
      </c>
      <c r="J52" s="2">
        <f t="shared" si="18"/>
        <v>300</v>
      </c>
      <c r="K52" s="2">
        <v>500</v>
      </c>
      <c r="L52" s="2">
        <f t="shared" si="18"/>
        <v>300</v>
      </c>
      <c r="M52" s="2">
        <v>500</v>
      </c>
      <c r="N52" s="2">
        <f t="shared" si="19"/>
        <v>300</v>
      </c>
      <c r="O52" s="2">
        <v>500</v>
      </c>
      <c r="P52" s="2">
        <f t="shared" si="20"/>
        <v>300</v>
      </c>
      <c r="Q52" s="2">
        <v>3000</v>
      </c>
      <c r="R52" s="2">
        <v>0</v>
      </c>
      <c r="S52" s="2">
        <v>9947</v>
      </c>
      <c r="T52" s="2">
        <v>1</v>
      </c>
      <c r="U52" s="2">
        <v>6</v>
      </c>
      <c r="V52" s="2">
        <v>0</v>
      </c>
      <c r="W52" s="6" t="s">
        <v>164</v>
      </c>
      <c r="X52" s="2">
        <v>4860</v>
      </c>
      <c r="Z52" s="2">
        <v>0</v>
      </c>
      <c r="AA52" s="2">
        <v>0</v>
      </c>
      <c r="AB52" s="2">
        <v>0</v>
      </c>
      <c r="AC52" s="2">
        <v>0</v>
      </c>
      <c r="AD52" s="2">
        <v>1026</v>
      </c>
      <c r="AE52" s="2">
        <v>1066</v>
      </c>
      <c r="AF52" s="2">
        <v>394</v>
      </c>
      <c r="AG52" s="2">
        <v>395</v>
      </c>
      <c r="AH52" s="2">
        <v>396</v>
      </c>
      <c r="AI52" s="2">
        <v>0</v>
      </c>
      <c r="AJ52" s="2" t="s">
        <v>158</v>
      </c>
    </row>
    <row r="53" spans="1:36" s="3" customFormat="1" x14ac:dyDescent="0.15">
      <c r="A53" s="3">
        <v>8</v>
      </c>
      <c r="B53" s="3" t="s">
        <v>166</v>
      </c>
      <c r="C53" s="3">
        <v>0</v>
      </c>
      <c r="D53" s="3">
        <v>6</v>
      </c>
      <c r="E53" s="3">
        <v>1</v>
      </c>
      <c r="F53" s="3">
        <v>50</v>
      </c>
      <c r="G53" s="3">
        <v>0</v>
      </c>
      <c r="H53" s="2">
        <v>0</v>
      </c>
      <c r="I53" s="3">
        <v>5</v>
      </c>
      <c r="J53" s="2">
        <v>0</v>
      </c>
      <c r="K53" s="3">
        <v>5</v>
      </c>
      <c r="L53" s="2">
        <v>0</v>
      </c>
      <c r="M53" s="3">
        <v>5</v>
      </c>
      <c r="N53" s="2">
        <v>0</v>
      </c>
      <c r="O53" s="3">
        <v>5</v>
      </c>
      <c r="P53" s="2">
        <v>0</v>
      </c>
      <c r="Q53" s="3">
        <v>60</v>
      </c>
      <c r="R53" s="3">
        <v>0</v>
      </c>
      <c r="S53" s="3">
        <v>9945</v>
      </c>
      <c r="T53" s="3">
        <v>1</v>
      </c>
      <c r="U53" s="3">
        <v>1</v>
      </c>
      <c r="V53" s="2">
        <v>0</v>
      </c>
      <c r="W53" s="2">
        <v>9945</v>
      </c>
      <c r="X53" s="2"/>
      <c r="Z53" s="3">
        <v>180</v>
      </c>
      <c r="AA53" s="3">
        <v>0</v>
      </c>
      <c r="AB53" s="3">
        <v>0</v>
      </c>
      <c r="AC53" s="3">
        <v>0</v>
      </c>
      <c r="AD53" s="3">
        <v>1027</v>
      </c>
      <c r="AE53" s="3">
        <v>1067</v>
      </c>
      <c r="AI53" s="3">
        <v>0</v>
      </c>
      <c r="AJ53" s="3" t="s">
        <v>168</v>
      </c>
    </row>
    <row r="54" spans="1:36" s="3" customFormat="1" x14ac:dyDescent="0.15">
      <c r="A54" s="3">
        <v>8</v>
      </c>
      <c r="B54" s="3" t="s">
        <v>166</v>
      </c>
      <c r="C54" s="3">
        <v>1</v>
      </c>
      <c r="D54" s="3">
        <v>6</v>
      </c>
      <c r="E54" s="3">
        <v>1</v>
      </c>
      <c r="F54" s="3">
        <v>90</v>
      </c>
      <c r="G54" s="3">
        <v>0</v>
      </c>
      <c r="H54" s="2">
        <v>0</v>
      </c>
      <c r="I54" s="3">
        <v>5</v>
      </c>
      <c r="J54" s="2">
        <f>I53</f>
        <v>5</v>
      </c>
      <c r="K54" s="3">
        <v>5</v>
      </c>
      <c r="L54" s="2">
        <f>K53</f>
        <v>5</v>
      </c>
      <c r="M54" s="3">
        <v>5</v>
      </c>
      <c r="N54" s="2">
        <f>M53</f>
        <v>5</v>
      </c>
      <c r="O54" s="3">
        <v>5</v>
      </c>
      <c r="P54" s="2">
        <f>O53</f>
        <v>5</v>
      </c>
      <c r="Q54" s="3">
        <v>60</v>
      </c>
      <c r="R54" s="3">
        <v>0</v>
      </c>
      <c r="S54" s="3">
        <v>9945</v>
      </c>
      <c r="T54" s="3">
        <v>1</v>
      </c>
      <c r="U54" s="3">
        <v>1</v>
      </c>
      <c r="V54" s="2">
        <v>0</v>
      </c>
      <c r="W54" s="6" t="s">
        <v>169</v>
      </c>
      <c r="X54" s="6"/>
      <c r="Z54" s="3">
        <v>240</v>
      </c>
      <c r="AA54" s="3">
        <v>0</v>
      </c>
      <c r="AB54" s="3">
        <v>0</v>
      </c>
      <c r="AC54" s="3">
        <v>0</v>
      </c>
      <c r="AD54" s="3">
        <v>1027</v>
      </c>
      <c r="AE54" s="3">
        <v>1067</v>
      </c>
      <c r="AF54" s="2">
        <v>361</v>
      </c>
      <c r="AG54" s="2">
        <v>362</v>
      </c>
      <c r="AH54" s="2">
        <v>363</v>
      </c>
      <c r="AI54" s="3">
        <v>0</v>
      </c>
      <c r="AJ54" s="3" t="s">
        <v>167</v>
      </c>
    </row>
    <row r="55" spans="1:36" s="3" customFormat="1" x14ac:dyDescent="0.15">
      <c r="A55" s="3">
        <v>8</v>
      </c>
      <c r="B55" s="3" t="s">
        <v>165</v>
      </c>
      <c r="C55" s="3">
        <v>2</v>
      </c>
      <c r="D55" s="3">
        <v>6</v>
      </c>
      <c r="E55" s="3">
        <v>1</v>
      </c>
      <c r="F55" s="3">
        <v>130</v>
      </c>
      <c r="G55" s="3">
        <v>0</v>
      </c>
      <c r="H55" s="2">
        <v>0</v>
      </c>
      <c r="I55" s="3">
        <v>10</v>
      </c>
      <c r="J55" s="2">
        <f>I53+I54</f>
        <v>10</v>
      </c>
      <c r="K55" s="3">
        <v>10</v>
      </c>
      <c r="L55" s="2">
        <f>K53+K54</f>
        <v>10</v>
      </c>
      <c r="M55" s="3">
        <v>10</v>
      </c>
      <c r="N55" s="2">
        <f>M53+M54</f>
        <v>10</v>
      </c>
      <c r="O55" s="3">
        <v>10</v>
      </c>
      <c r="P55" s="2">
        <f>O53+O54</f>
        <v>10</v>
      </c>
      <c r="Q55" s="3">
        <v>120</v>
      </c>
      <c r="R55" s="3">
        <v>0</v>
      </c>
      <c r="S55" s="3">
        <v>9945</v>
      </c>
      <c r="T55" s="3">
        <v>1</v>
      </c>
      <c r="U55" s="3">
        <v>2</v>
      </c>
      <c r="V55" s="2">
        <v>0</v>
      </c>
      <c r="W55" s="6" t="s">
        <v>170</v>
      </c>
      <c r="X55" s="6"/>
      <c r="Z55" s="3">
        <v>300</v>
      </c>
      <c r="AA55" s="3">
        <v>0</v>
      </c>
      <c r="AB55" s="3">
        <v>0</v>
      </c>
      <c r="AC55" s="3">
        <v>0</v>
      </c>
      <c r="AD55" s="3">
        <v>1027</v>
      </c>
      <c r="AE55" s="3">
        <v>1067</v>
      </c>
      <c r="AF55" s="2">
        <v>361</v>
      </c>
      <c r="AG55" s="2">
        <v>362</v>
      </c>
      <c r="AH55" s="2">
        <v>363</v>
      </c>
      <c r="AI55" s="3">
        <v>0</v>
      </c>
      <c r="AJ55" s="3" t="s">
        <v>167</v>
      </c>
    </row>
    <row r="56" spans="1:36" s="3" customFormat="1" x14ac:dyDescent="0.15">
      <c r="A56" s="3">
        <v>8</v>
      </c>
      <c r="B56" s="3" t="s">
        <v>165</v>
      </c>
      <c r="C56" s="3">
        <v>3</v>
      </c>
      <c r="D56" s="3">
        <v>6</v>
      </c>
      <c r="E56" s="3">
        <v>1</v>
      </c>
      <c r="F56" s="3">
        <v>170</v>
      </c>
      <c r="G56" s="3">
        <v>0</v>
      </c>
      <c r="H56" s="2">
        <v>0</v>
      </c>
      <c r="I56" s="3">
        <v>50</v>
      </c>
      <c r="J56" s="2">
        <f t="shared" ref="J56:L59" si="21">I54+I55</f>
        <v>15</v>
      </c>
      <c r="K56" s="3">
        <v>50</v>
      </c>
      <c r="L56" s="2">
        <f t="shared" si="21"/>
        <v>15</v>
      </c>
      <c r="M56" s="3">
        <v>50</v>
      </c>
      <c r="N56" s="2">
        <f t="shared" ref="N56:N59" si="22">M54+M55</f>
        <v>15</v>
      </c>
      <c r="O56" s="3">
        <v>50</v>
      </c>
      <c r="P56" s="2">
        <f t="shared" ref="P56:P59" si="23">O54+O55</f>
        <v>15</v>
      </c>
      <c r="Q56" s="3">
        <v>300</v>
      </c>
      <c r="R56" s="3">
        <v>0</v>
      </c>
      <c r="S56" s="3">
        <v>9945</v>
      </c>
      <c r="T56" s="3">
        <v>1</v>
      </c>
      <c r="U56" s="3">
        <v>3</v>
      </c>
      <c r="V56" s="2">
        <v>0</v>
      </c>
      <c r="W56" s="6" t="s">
        <v>171</v>
      </c>
      <c r="X56" s="6"/>
      <c r="Z56" s="3">
        <v>360</v>
      </c>
      <c r="AA56" s="3">
        <v>0</v>
      </c>
      <c r="AB56" s="3">
        <v>0</v>
      </c>
      <c r="AC56" s="3">
        <v>0</v>
      </c>
      <c r="AD56" s="3">
        <v>1027</v>
      </c>
      <c r="AE56" s="3">
        <v>1067</v>
      </c>
      <c r="AF56" s="2">
        <v>364</v>
      </c>
      <c r="AG56" s="2">
        <v>365</v>
      </c>
      <c r="AH56" s="2">
        <v>366</v>
      </c>
      <c r="AI56" s="3">
        <v>0</v>
      </c>
      <c r="AJ56" s="3" t="s">
        <v>167</v>
      </c>
    </row>
    <row r="57" spans="1:36" s="3" customFormat="1" x14ac:dyDescent="0.15">
      <c r="A57" s="3">
        <v>8</v>
      </c>
      <c r="B57" s="3" t="s">
        <v>165</v>
      </c>
      <c r="C57" s="3">
        <v>4</v>
      </c>
      <c r="D57" s="3">
        <v>6</v>
      </c>
      <c r="E57" s="3">
        <v>1</v>
      </c>
      <c r="F57" s="3">
        <v>210</v>
      </c>
      <c r="G57" s="3">
        <v>0</v>
      </c>
      <c r="H57" s="2">
        <v>0</v>
      </c>
      <c r="I57" s="3">
        <v>100</v>
      </c>
      <c r="J57" s="2">
        <f t="shared" si="21"/>
        <v>60</v>
      </c>
      <c r="K57" s="3">
        <v>100</v>
      </c>
      <c r="L57" s="2">
        <f t="shared" si="21"/>
        <v>60</v>
      </c>
      <c r="M57" s="3">
        <v>100</v>
      </c>
      <c r="N57" s="2">
        <f t="shared" si="22"/>
        <v>60</v>
      </c>
      <c r="O57" s="3">
        <v>100</v>
      </c>
      <c r="P57" s="2">
        <f t="shared" si="23"/>
        <v>60</v>
      </c>
      <c r="Q57" s="3">
        <v>600</v>
      </c>
      <c r="R57" s="3">
        <v>0</v>
      </c>
      <c r="S57" s="3">
        <v>9945</v>
      </c>
      <c r="T57" s="3">
        <v>1</v>
      </c>
      <c r="U57" s="3">
        <v>4</v>
      </c>
      <c r="V57" s="2">
        <v>0</v>
      </c>
      <c r="W57" s="6" t="s">
        <v>172</v>
      </c>
      <c r="X57" s="6"/>
      <c r="Z57" s="3">
        <v>420</v>
      </c>
      <c r="AA57" s="3">
        <v>0</v>
      </c>
      <c r="AB57" s="3">
        <v>0</v>
      </c>
      <c r="AC57" s="3">
        <v>0</v>
      </c>
      <c r="AD57" s="3">
        <v>1027</v>
      </c>
      <c r="AE57" s="3">
        <v>1067</v>
      </c>
      <c r="AF57" s="2">
        <v>364</v>
      </c>
      <c r="AG57" s="2">
        <v>365</v>
      </c>
      <c r="AH57" s="2">
        <v>366</v>
      </c>
      <c r="AI57" s="3">
        <v>0</v>
      </c>
      <c r="AJ57" s="3" t="s">
        <v>167</v>
      </c>
    </row>
    <row r="58" spans="1:36" s="3" customFormat="1" x14ac:dyDescent="0.15">
      <c r="A58" s="3">
        <v>8</v>
      </c>
      <c r="B58" s="3" t="s">
        <v>165</v>
      </c>
      <c r="C58" s="3">
        <v>5</v>
      </c>
      <c r="D58" s="3">
        <v>6</v>
      </c>
      <c r="E58" s="3">
        <v>1</v>
      </c>
      <c r="F58" s="3">
        <v>250</v>
      </c>
      <c r="G58" s="3">
        <v>0</v>
      </c>
      <c r="H58" s="2">
        <v>0</v>
      </c>
      <c r="I58" s="3">
        <v>200</v>
      </c>
      <c r="J58" s="2">
        <f t="shared" si="21"/>
        <v>150</v>
      </c>
      <c r="K58" s="3">
        <v>200</v>
      </c>
      <c r="L58" s="2">
        <f t="shared" si="21"/>
        <v>150</v>
      </c>
      <c r="M58" s="3">
        <v>200</v>
      </c>
      <c r="N58" s="2">
        <f t="shared" si="22"/>
        <v>150</v>
      </c>
      <c r="O58" s="3">
        <v>200</v>
      </c>
      <c r="P58" s="2">
        <f t="shared" si="23"/>
        <v>150</v>
      </c>
      <c r="Q58" s="3">
        <v>1200</v>
      </c>
      <c r="R58" s="3">
        <v>0</v>
      </c>
      <c r="S58" s="3">
        <v>9945</v>
      </c>
      <c r="T58" s="3">
        <v>1</v>
      </c>
      <c r="U58" s="3">
        <v>5</v>
      </c>
      <c r="V58" s="2">
        <v>0</v>
      </c>
      <c r="W58" s="6" t="s">
        <v>173</v>
      </c>
      <c r="X58" s="6"/>
      <c r="Z58" s="3">
        <v>480</v>
      </c>
      <c r="AA58" s="3">
        <v>0</v>
      </c>
      <c r="AB58" s="3">
        <v>0</v>
      </c>
      <c r="AC58" s="3">
        <v>0</v>
      </c>
      <c r="AD58" s="3">
        <v>1027</v>
      </c>
      <c r="AE58" s="3">
        <v>1067</v>
      </c>
      <c r="AF58" s="2">
        <v>367</v>
      </c>
      <c r="AG58" s="2">
        <v>368</v>
      </c>
      <c r="AH58" s="2">
        <v>369</v>
      </c>
      <c r="AI58" s="3">
        <v>0</v>
      </c>
      <c r="AJ58" s="3" t="s">
        <v>167</v>
      </c>
    </row>
    <row r="59" spans="1:36" s="3" customFormat="1" x14ac:dyDescent="0.15">
      <c r="A59" s="3">
        <v>8</v>
      </c>
      <c r="B59" s="3" t="s">
        <v>165</v>
      </c>
      <c r="C59" s="3">
        <v>6</v>
      </c>
      <c r="D59" s="3">
        <v>6</v>
      </c>
      <c r="E59" s="3">
        <v>1</v>
      </c>
      <c r="F59" s="3">
        <v>290</v>
      </c>
      <c r="G59" s="3">
        <v>0</v>
      </c>
      <c r="H59" s="2">
        <v>0</v>
      </c>
      <c r="I59" s="3">
        <v>500</v>
      </c>
      <c r="J59" s="2">
        <f t="shared" si="21"/>
        <v>300</v>
      </c>
      <c r="K59" s="3">
        <v>500</v>
      </c>
      <c r="L59" s="2">
        <f t="shared" si="21"/>
        <v>300</v>
      </c>
      <c r="M59" s="3">
        <v>500</v>
      </c>
      <c r="N59" s="2">
        <f t="shared" si="22"/>
        <v>300</v>
      </c>
      <c r="O59" s="3">
        <v>500</v>
      </c>
      <c r="P59" s="2">
        <f t="shared" si="23"/>
        <v>300</v>
      </c>
      <c r="Q59" s="3">
        <v>3000</v>
      </c>
      <c r="R59" s="3">
        <v>0</v>
      </c>
      <c r="S59" s="3">
        <v>9945</v>
      </c>
      <c r="T59" s="3">
        <v>1</v>
      </c>
      <c r="U59" s="3">
        <v>6</v>
      </c>
      <c r="V59" s="2">
        <v>0</v>
      </c>
      <c r="W59" s="6" t="s">
        <v>174</v>
      </c>
      <c r="X59" s="6"/>
      <c r="Z59" s="3">
        <v>540</v>
      </c>
      <c r="AA59" s="3">
        <v>0</v>
      </c>
      <c r="AB59" s="3">
        <v>0</v>
      </c>
      <c r="AC59" s="3">
        <v>0</v>
      </c>
      <c r="AD59" s="3">
        <v>1027</v>
      </c>
      <c r="AE59" s="3">
        <v>1067</v>
      </c>
      <c r="AF59" s="2">
        <v>367</v>
      </c>
      <c r="AG59" s="2">
        <v>368</v>
      </c>
      <c r="AH59" s="2">
        <v>369</v>
      </c>
      <c r="AI59" s="3">
        <v>0</v>
      </c>
      <c r="AJ59" s="3" t="s">
        <v>167</v>
      </c>
    </row>
    <row r="60" spans="1:36" s="2" customFormat="1" x14ac:dyDescent="0.15">
      <c r="A60" s="2">
        <v>9</v>
      </c>
      <c r="B60" s="2" t="s">
        <v>175</v>
      </c>
      <c r="C60" s="2">
        <v>0</v>
      </c>
      <c r="D60" s="2">
        <v>6</v>
      </c>
      <c r="E60" s="2">
        <v>1</v>
      </c>
      <c r="F60" s="3">
        <v>50</v>
      </c>
      <c r="G60" s="2">
        <v>0</v>
      </c>
      <c r="H60" s="2">
        <v>0</v>
      </c>
      <c r="I60" s="2">
        <v>5</v>
      </c>
      <c r="J60" s="2">
        <v>0</v>
      </c>
      <c r="K60" s="2">
        <v>5</v>
      </c>
      <c r="L60" s="2">
        <v>0</v>
      </c>
      <c r="M60" s="2">
        <v>5</v>
      </c>
      <c r="N60" s="2">
        <v>0</v>
      </c>
      <c r="O60" s="2">
        <v>5</v>
      </c>
      <c r="P60" s="2">
        <v>0</v>
      </c>
      <c r="Q60" s="2">
        <v>60</v>
      </c>
      <c r="R60" s="2">
        <v>0</v>
      </c>
      <c r="S60" s="2">
        <v>9945</v>
      </c>
      <c r="T60" s="2">
        <v>1</v>
      </c>
      <c r="U60" s="2">
        <v>1</v>
      </c>
      <c r="V60" s="2">
        <v>0</v>
      </c>
      <c r="W60" s="2">
        <v>9945</v>
      </c>
      <c r="Z60" s="2">
        <v>180</v>
      </c>
      <c r="AA60" s="2">
        <v>0</v>
      </c>
      <c r="AB60" s="2">
        <v>0</v>
      </c>
      <c r="AC60" s="2">
        <v>0</v>
      </c>
      <c r="AD60" s="2">
        <v>1028</v>
      </c>
      <c r="AE60" s="2">
        <v>1068</v>
      </c>
      <c r="AI60" s="2">
        <v>0</v>
      </c>
      <c r="AJ60" s="2" t="s">
        <v>176</v>
      </c>
    </row>
    <row r="61" spans="1:36" s="2" customFormat="1" x14ac:dyDescent="0.15">
      <c r="A61" s="2">
        <v>9</v>
      </c>
      <c r="B61" s="2" t="s">
        <v>175</v>
      </c>
      <c r="C61" s="2">
        <v>1</v>
      </c>
      <c r="D61" s="2">
        <v>6</v>
      </c>
      <c r="E61" s="2">
        <v>1</v>
      </c>
      <c r="F61" s="3">
        <v>90</v>
      </c>
      <c r="G61" s="2">
        <v>0</v>
      </c>
      <c r="H61" s="2">
        <v>0</v>
      </c>
      <c r="I61" s="2">
        <v>5</v>
      </c>
      <c r="J61" s="2">
        <f>I60</f>
        <v>5</v>
      </c>
      <c r="K61" s="2">
        <v>5</v>
      </c>
      <c r="L61" s="2">
        <f>K60</f>
        <v>5</v>
      </c>
      <c r="M61" s="2">
        <v>5</v>
      </c>
      <c r="N61" s="2">
        <f>M60</f>
        <v>5</v>
      </c>
      <c r="O61" s="2">
        <v>5</v>
      </c>
      <c r="P61" s="2">
        <f>O60</f>
        <v>5</v>
      </c>
      <c r="Q61" s="2">
        <v>60</v>
      </c>
      <c r="R61" s="2">
        <v>0</v>
      </c>
      <c r="S61" s="2">
        <v>9945</v>
      </c>
      <c r="T61" s="2">
        <v>1</v>
      </c>
      <c r="U61" s="2">
        <v>1</v>
      </c>
      <c r="V61" s="2">
        <v>0</v>
      </c>
      <c r="W61" s="6" t="s">
        <v>177</v>
      </c>
      <c r="X61" s="6"/>
      <c r="Z61" s="2">
        <v>240</v>
      </c>
      <c r="AA61" s="2">
        <v>0</v>
      </c>
      <c r="AB61" s="2">
        <v>0</v>
      </c>
      <c r="AC61" s="2">
        <v>0</v>
      </c>
      <c r="AD61" s="2">
        <v>1028</v>
      </c>
      <c r="AE61" s="2">
        <v>1068</v>
      </c>
      <c r="AF61" s="2">
        <v>361</v>
      </c>
      <c r="AG61" s="2">
        <v>362</v>
      </c>
      <c r="AH61" s="2">
        <v>363</v>
      </c>
      <c r="AI61" s="2">
        <v>0</v>
      </c>
      <c r="AJ61" s="2" t="s">
        <v>178</v>
      </c>
    </row>
    <row r="62" spans="1:36" s="2" customFormat="1" x14ac:dyDescent="0.15">
      <c r="A62" s="2">
        <v>9</v>
      </c>
      <c r="B62" s="2" t="s">
        <v>179</v>
      </c>
      <c r="C62" s="2">
        <v>2</v>
      </c>
      <c r="D62" s="2">
        <v>6</v>
      </c>
      <c r="E62" s="2">
        <v>1</v>
      </c>
      <c r="F62" s="3">
        <v>130</v>
      </c>
      <c r="G62" s="2">
        <v>0</v>
      </c>
      <c r="H62" s="2">
        <v>0</v>
      </c>
      <c r="I62" s="2">
        <v>10</v>
      </c>
      <c r="J62" s="2">
        <f>I60+I61</f>
        <v>10</v>
      </c>
      <c r="K62" s="2">
        <v>10</v>
      </c>
      <c r="L62" s="2">
        <f>K60+K61</f>
        <v>10</v>
      </c>
      <c r="M62" s="2">
        <v>10</v>
      </c>
      <c r="N62" s="2">
        <f>M60+M61</f>
        <v>10</v>
      </c>
      <c r="O62" s="2">
        <v>10</v>
      </c>
      <c r="P62" s="2">
        <f>O60+O61</f>
        <v>10</v>
      </c>
      <c r="Q62" s="2">
        <v>120</v>
      </c>
      <c r="R62" s="2">
        <v>0</v>
      </c>
      <c r="S62" s="2">
        <v>9945</v>
      </c>
      <c r="T62" s="2">
        <v>1</v>
      </c>
      <c r="U62" s="2">
        <v>2</v>
      </c>
      <c r="V62" s="2">
        <v>0</v>
      </c>
      <c r="W62" s="6" t="s">
        <v>180</v>
      </c>
      <c r="X62" s="6"/>
      <c r="Z62" s="2">
        <v>300</v>
      </c>
      <c r="AA62" s="2">
        <v>0</v>
      </c>
      <c r="AB62" s="2">
        <v>0</v>
      </c>
      <c r="AC62" s="2">
        <v>0</v>
      </c>
      <c r="AD62" s="2">
        <v>1028</v>
      </c>
      <c r="AE62" s="2">
        <v>1068</v>
      </c>
      <c r="AF62" s="2">
        <v>361</v>
      </c>
      <c r="AG62" s="2">
        <v>362</v>
      </c>
      <c r="AH62" s="2">
        <v>363</v>
      </c>
      <c r="AI62" s="2">
        <v>0</v>
      </c>
      <c r="AJ62" s="2" t="s">
        <v>178</v>
      </c>
    </row>
    <row r="63" spans="1:36" s="2" customFormat="1" x14ac:dyDescent="0.15">
      <c r="A63" s="2">
        <v>9</v>
      </c>
      <c r="B63" s="2" t="s">
        <v>179</v>
      </c>
      <c r="C63" s="2">
        <v>3</v>
      </c>
      <c r="D63" s="2">
        <v>6</v>
      </c>
      <c r="E63" s="2">
        <v>1</v>
      </c>
      <c r="F63" s="3">
        <v>170</v>
      </c>
      <c r="G63" s="2">
        <v>0</v>
      </c>
      <c r="H63" s="2">
        <v>0</v>
      </c>
      <c r="I63" s="2">
        <v>50</v>
      </c>
      <c r="J63" s="2">
        <f t="shared" ref="J63:L66" si="24">I61+I62</f>
        <v>15</v>
      </c>
      <c r="K63" s="2">
        <v>50</v>
      </c>
      <c r="L63" s="2">
        <f t="shared" si="24"/>
        <v>15</v>
      </c>
      <c r="M63" s="2">
        <v>50</v>
      </c>
      <c r="N63" s="2">
        <f t="shared" ref="N63:N66" si="25">M61+M62</f>
        <v>15</v>
      </c>
      <c r="O63" s="2">
        <v>50</v>
      </c>
      <c r="P63" s="2">
        <f t="shared" ref="P63:P66" si="26">O61+O62</f>
        <v>15</v>
      </c>
      <c r="Q63" s="2">
        <v>300</v>
      </c>
      <c r="R63" s="2">
        <v>0</v>
      </c>
      <c r="S63" s="2">
        <v>9945</v>
      </c>
      <c r="T63" s="2">
        <v>1</v>
      </c>
      <c r="U63" s="2">
        <v>3</v>
      </c>
      <c r="V63" s="2">
        <v>0</v>
      </c>
      <c r="W63" s="6" t="s">
        <v>181</v>
      </c>
      <c r="X63" s="6"/>
      <c r="Z63" s="2">
        <v>360</v>
      </c>
      <c r="AA63" s="2">
        <v>0</v>
      </c>
      <c r="AB63" s="2">
        <v>0</v>
      </c>
      <c r="AC63" s="2">
        <v>0</v>
      </c>
      <c r="AD63" s="2">
        <v>1028</v>
      </c>
      <c r="AE63" s="2">
        <v>1068</v>
      </c>
      <c r="AF63" s="2">
        <v>364</v>
      </c>
      <c r="AG63" s="2">
        <v>365</v>
      </c>
      <c r="AH63" s="2">
        <v>366</v>
      </c>
      <c r="AI63" s="2">
        <v>0</v>
      </c>
      <c r="AJ63" s="2" t="s">
        <v>178</v>
      </c>
    </row>
    <row r="64" spans="1:36" s="2" customFormat="1" x14ac:dyDescent="0.15">
      <c r="A64" s="2">
        <v>9</v>
      </c>
      <c r="B64" s="2" t="s">
        <v>179</v>
      </c>
      <c r="C64" s="2">
        <v>4</v>
      </c>
      <c r="D64" s="2">
        <v>6</v>
      </c>
      <c r="E64" s="2">
        <v>1</v>
      </c>
      <c r="F64" s="3">
        <v>210</v>
      </c>
      <c r="G64" s="2">
        <v>0</v>
      </c>
      <c r="H64" s="2">
        <v>0</v>
      </c>
      <c r="I64" s="2">
        <v>100</v>
      </c>
      <c r="J64" s="2">
        <f t="shared" si="24"/>
        <v>60</v>
      </c>
      <c r="K64" s="2">
        <v>100</v>
      </c>
      <c r="L64" s="2">
        <f t="shared" si="24"/>
        <v>60</v>
      </c>
      <c r="M64" s="2">
        <v>100</v>
      </c>
      <c r="N64" s="2">
        <f t="shared" si="25"/>
        <v>60</v>
      </c>
      <c r="O64" s="2">
        <v>100</v>
      </c>
      <c r="P64" s="2">
        <f t="shared" si="26"/>
        <v>60</v>
      </c>
      <c r="Q64" s="2">
        <v>600</v>
      </c>
      <c r="R64" s="2">
        <v>0</v>
      </c>
      <c r="S64" s="2">
        <v>9945</v>
      </c>
      <c r="T64" s="2">
        <v>1</v>
      </c>
      <c r="U64" s="2">
        <v>4</v>
      </c>
      <c r="V64" s="2">
        <v>0</v>
      </c>
      <c r="W64" s="6" t="s">
        <v>182</v>
      </c>
      <c r="X64" s="6"/>
      <c r="Z64" s="2">
        <v>420</v>
      </c>
      <c r="AA64" s="2">
        <v>0</v>
      </c>
      <c r="AB64" s="2">
        <v>0</v>
      </c>
      <c r="AC64" s="2">
        <v>0</v>
      </c>
      <c r="AD64" s="2">
        <v>1028</v>
      </c>
      <c r="AE64" s="2">
        <v>1068</v>
      </c>
      <c r="AF64" s="2">
        <v>364</v>
      </c>
      <c r="AG64" s="2">
        <v>365</v>
      </c>
      <c r="AH64" s="2">
        <v>366</v>
      </c>
      <c r="AI64" s="2">
        <v>0</v>
      </c>
      <c r="AJ64" s="2" t="s">
        <v>178</v>
      </c>
    </row>
    <row r="65" spans="1:36" s="2" customFormat="1" x14ac:dyDescent="0.15">
      <c r="A65" s="2">
        <v>9</v>
      </c>
      <c r="B65" s="2" t="s">
        <v>179</v>
      </c>
      <c r="C65" s="2">
        <v>5</v>
      </c>
      <c r="D65" s="2">
        <v>6</v>
      </c>
      <c r="E65" s="2">
        <v>1</v>
      </c>
      <c r="F65" s="3">
        <v>250</v>
      </c>
      <c r="G65" s="2">
        <v>0</v>
      </c>
      <c r="H65" s="2">
        <v>0</v>
      </c>
      <c r="I65" s="2">
        <v>200</v>
      </c>
      <c r="J65" s="2">
        <f t="shared" si="24"/>
        <v>150</v>
      </c>
      <c r="K65" s="2">
        <v>200</v>
      </c>
      <c r="L65" s="2">
        <f t="shared" si="24"/>
        <v>150</v>
      </c>
      <c r="M65" s="2">
        <v>200</v>
      </c>
      <c r="N65" s="2">
        <f t="shared" si="25"/>
        <v>150</v>
      </c>
      <c r="O65" s="2">
        <v>200</v>
      </c>
      <c r="P65" s="2">
        <f t="shared" si="26"/>
        <v>150</v>
      </c>
      <c r="Q65" s="2">
        <v>1200</v>
      </c>
      <c r="R65" s="2">
        <v>0</v>
      </c>
      <c r="S65" s="2">
        <v>9945</v>
      </c>
      <c r="T65" s="2">
        <v>1</v>
      </c>
      <c r="U65" s="2">
        <v>5</v>
      </c>
      <c r="V65" s="2">
        <v>0</v>
      </c>
      <c r="W65" s="6" t="s">
        <v>183</v>
      </c>
      <c r="X65" s="6"/>
      <c r="Z65" s="2">
        <v>480</v>
      </c>
      <c r="AA65" s="2">
        <v>0</v>
      </c>
      <c r="AB65" s="2">
        <v>0</v>
      </c>
      <c r="AC65" s="2">
        <v>0</v>
      </c>
      <c r="AD65" s="2">
        <v>1028</v>
      </c>
      <c r="AE65" s="2">
        <v>1068</v>
      </c>
      <c r="AF65" s="2">
        <v>367</v>
      </c>
      <c r="AG65" s="2">
        <v>368</v>
      </c>
      <c r="AH65" s="2">
        <v>369</v>
      </c>
      <c r="AI65" s="2">
        <v>0</v>
      </c>
      <c r="AJ65" s="2" t="s">
        <v>178</v>
      </c>
    </row>
    <row r="66" spans="1:36" s="2" customFormat="1" x14ac:dyDescent="0.15">
      <c r="A66" s="2">
        <v>9</v>
      </c>
      <c r="B66" s="2" t="s">
        <v>179</v>
      </c>
      <c r="C66" s="2">
        <v>6</v>
      </c>
      <c r="D66" s="2">
        <v>6</v>
      </c>
      <c r="E66" s="2">
        <v>1</v>
      </c>
      <c r="F66" s="3">
        <v>290</v>
      </c>
      <c r="G66" s="2">
        <v>0</v>
      </c>
      <c r="H66" s="2">
        <v>0</v>
      </c>
      <c r="I66" s="2">
        <v>500</v>
      </c>
      <c r="J66" s="2">
        <f t="shared" si="24"/>
        <v>300</v>
      </c>
      <c r="K66" s="2">
        <v>500</v>
      </c>
      <c r="L66" s="2">
        <f t="shared" si="24"/>
        <v>300</v>
      </c>
      <c r="M66" s="2">
        <v>500</v>
      </c>
      <c r="N66" s="2">
        <f t="shared" si="25"/>
        <v>300</v>
      </c>
      <c r="O66" s="2">
        <v>500</v>
      </c>
      <c r="P66" s="2">
        <f t="shared" si="26"/>
        <v>300</v>
      </c>
      <c r="Q66" s="2">
        <v>3000</v>
      </c>
      <c r="R66" s="2">
        <v>0</v>
      </c>
      <c r="S66" s="2">
        <v>9945</v>
      </c>
      <c r="T66" s="2">
        <v>1</v>
      </c>
      <c r="U66" s="2">
        <v>6</v>
      </c>
      <c r="V66" s="2">
        <v>0</v>
      </c>
      <c r="W66" s="6" t="s">
        <v>184</v>
      </c>
      <c r="X66" s="6"/>
      <c r="Z66" s="2">
        <v>540</v>
      </c>
      <c r="AA66" s="2">
        <v>0</v>
      </c>
      <c r="AB66" s="2">
        <v>0</v>
      </c>
      <c r="AC66" s="2">
        <v>0</v>
      </c>
      <c r="AD66" s="2">
        <v>1028</v>
      </c>
      <c r="AE66" s="2">
        <v>1068</v>
      </c>
      <c r="AF66" s="2">
        <v>367</v>
      </c>
      <c r="AG66" s="2">
        <v>368</v>
      </c>
      <c r="AH66" s="2">
        <v>369</v>
      </c>
      <c r="AI66" s="2">
        <v>0</v>
      </c>
      <c r="AJ66" s="2" t="s">
        <v>178</v>
      </c>
    </row>
    <row r="67" spans="1:36" s="3" customFormat="1" x14ac:dyDescent="0.15">
      <c r="A67" s="3">
        <v>10</v>
      </c>
      <c r="B67" s="3" t="s">
        <v>185</v>
      </c>
      <c r="C67" s="3">
        <v>0</v>
      </c>
      <c r="D67" s="3">
        <v>6</v>
      </c>
      <c r="E67" s="3">
        <v>1</v>
      </c>
      <c r="F67" s="3">
        <v>50</v>
      </c>
      <c r="G67" s="3">
        <v>0</v>
      </c>
      <c r="H67" s="2">
        <v>0</v>
      </c>
      <c r="I67" s="3">
        <v>5</v>
      </c>
      <c r="J67" s="2">
        <v>0</v>
      </c>
      <c r="K67" s="3">
        <v>5</v>
      </c>
      <c r="L67" s="2">
        <v>0</v>
      </c>
      <c r="M67" s="3">
        <v>5</v>
      </c>
      <c r="N67" s="2">
        <v>0</v>
      </c>
      <c r="O67" s="3">
        <v>5</v>
      </c>
      <c r="P67" s="2">
        <v>0</v>
      </c>
      <c r="Q67" s="3">
        <v>60</v>
      </c>
      <c r="R67" s="3">
        <v>0</v>
      </c>
      <c r="S67" s="3">
        <v>9945</v>
      </c>
      <c r="T67" s="3">
        <v>1</v>
      </c>
      <c r="U67" s="3">
        <v>1</v>
      </c>
      <c r="V67" s="2">
        <v>0</v>
      </c>
      <c r="W67" s="2">
        <v>9945</v>
      </c>
      <c r="X67" s="2"/>
      <c r="Z67" s="3">
        <v>180</v>
      </c>
      <c r="AA67" s="3">
        <v>0</v>
      </c>
      <c r="AB67" s="3">
        <v>0</v>
      </c>
      <c r="AC67" s="3">
        <v>0</v>
      </c>
      <c r="AD67" s="3">
        <v>1029</v>
      </c>
      <c r="AE67" s="3">
        <v>1069</v>
      </c>
      <c r="AI67" s="3">
        <v>0</v>
      </c>
      <c r="AJ67" s="3" t="s">
        <v>186</v>
      </c>
    </row>
    <row r="68" spans="1:36" s="3" customFormat="1" x14ac:dyDescent="0.15">
      <c r="A68" s="3">
        <v>10</v>
      </c>
      <c r="B68" s="3" t="s">
        <v>185</v>
      </c>
      <c r="C68" s="3">
        <v>1</v>
      </c>
      <c r="D68" s="3">
        <v>6</v>
      </c>
      <c r="E68" s="3">
        <v>1</v>
      </c>
      <c r="F68" s="3">
        <v>90</v>
      </c>
      <c r="G68" s="3">
        <v>0</v>
      </c>
      <c r="H68" s="2">
        <v>0</v>
      </c>
      <c r="I68" s="3">
        <v>5</v>
      </c>
      <c r="J68" s="2">
        <f>I67</f>
        <v>5</v>
      </c>
      <c r="K68" s="3">
        <v>5</v>
      </c>
      <c r="L68" s="2">
        <f>K67</f>
        <v>5</v>
      </c>
      <c r="M68" s="3">
        <v>5</v>
      </c>
      <c r="N68" s="2">
        <f>M67</f>
        <v>5</v>
      </c>
      <c r="O68" s="3">
        <v>5</v>
      </c>
      <c r="P68" s="2">
        <f>O67</f>
        <v>5</v>
      </c>
      <c r="Q68" s="3">
        <v>60</v>
      </c>
      <c r="R68" s="3">
        <v>0</v>
      </c>
      <c r="S68" s="3">
        <v>9945</v>
      </c>
      <c r="T68" s="3">
        <v>1</v>
      </c>
      <c r="U68" s="3">
        <v>1</v>
      </c>
      <c r="V68" s="2">
        <v>0</v>
      </c>
      <c r="W68" s="6" t="s">
        <v>187</v>
      </c>
      <c r="X68" s="6"/>
      <c r="Z68" s="3">
        <v>240</v>
      </c>
      <c r="AA68" s="3">
        <v>0</v>
      </c>
      <c r="AB68" s="3">
        <v>0</v>
      </c>
      <c r="AC68" s="3">
        <v>0</v>
      </c>
      <c r="AD68" s="3">
        <v>1029</v>
      </c>
      <c r="AE68" s="3">
        <v>1069</v>
      </c>
      <c r="AF68" s="2">
        <v>361</v>
      </c>
      <c r="AG68" s="2">
        <v>362</v>
      </c>
      <c r="AH68" s="2">
        <v>363</v>
      </c>
      <c r="AI68" s="3">
        <v>0</v>
      </c>
      <c r="AJ68" s="3" t="s">
        <v>188</v>
      </c>
    </row>
    <row r="69" spans="1:36" s="3" customFormat="1" x14ac:dyDescent="0.15">
      <c r="A69" s="3">
        <v>10</v>
      </c>
      <c r="B69" s="3" t="s">
        <v>189</v>
      </c>
      <c r="C69" s="3">
        <v>2</v>
      </c>
      <c r="D69" s="3">
        <v>6</v>
      </c>
      <c r="E69" s="3">
        <v>1</v>
      </c>
      <c r="F69" s="3">
        <v>130</v>
      </c>
      <c r="G69" s="3">
        <v>0</v>
      </c>
      <c r="H69" s="2">
        <v>0</v>
      </c>
      <c r="I69" s="3">
        <v>10</v>
      </c>
      <c r="J69" s="2">
        <f>I67+I68</f>
        <v>10</v>
      </c>
      <c r="K69" s="3">
        <v>10</v>
      </c>
      <c r="L69" s="2">
        <f>K67+K68</f>
        <v>10</v>
      </c>
      <c r="M69" s="3">
        <v>10</v>
      </c>
      <c r="N69" s="2">
        <f>M67+M68</f>
        <v>10</v>
      </c>
      <c r="O69" s="3">
        <v>10</v>
      </c>
      <c r="P69" s="2">
        <f>O67+O68</f>
        <v>10</v>
      </c>
      <c r="Q69" s="3">
        <v>120</v>
      </c>
      <c r="R69" s="3">
        <v>0</v>
      </c>
      <c r="S69" s="3">
        <v>9945</v>
      </c>
      <c r="T69" s="3">
        <v>1</v>
      </c>
      <c r="U69" s="3">
        <v>2</v>
      </c>
      <c r="V69" s="2">
        <v>0</v>
      </c>
      <c r="W69" s="6" t="s">
        <v>190</v>
      </c>
      <c r="X69" s="6"/>
      <c r="Z69" s="3">
        <v>300</v>
      </c>
      <c r="AA69" s="3">
        <v>0</v>
      </c>
      <c r="AB69" s="3">
        <v>0</v>
      </c>
      <c r="AC69" s="3">
        <v>0</v>
      </c>
      <c r="AD69" s="3">
        <v>1029</v>
      </c>
      <c r="AE69" s="3">
        <v>1069</v>
      </c>
      <c r="AF69" s="2">
        <v>361</v>
      </c>
      <c r="AG69" s="2">
        <v>362</v>
      </c>
      <c r="AH69" s="2">
        <v>363</v>
      </c>
      <c r="AI69" s="3">
        <v>0</v>
      </c>
      <c r="AJ69" s="3" t="s">
        <v>188</v>
      </c>
    </row>
    <row r="70" spans="1:36" s="3" customFormat="1" x14ac:dyDescent="0.15">
      <c r="A70" s="3">
        <v>10</v>
      </c>
      <c r="B70" s="3" t="s">
        <v>189</v>
      </c>
      <c r="C70" s="3">
        <v>3</v>
      </c>
      <c r="D70" s="3">
        <v>6</v>
      </c>
      <c r="E70" s="3">
        <v>1</v>
      </c>
      <c r="F70" s="3">
        <v>170</v>
      </c>
      <c r="G70" s="3">
        <v>0</v>
      </c>
      <c r="H70" s="2">
        <v>0</v>
      </c>
      <c r="I70" s="3">
        <v>50</v>
      </c>
      <c r="J70" s="2">
        <f t="shared" ref="J70:L73" si="27">I68+I69</f>
        <v>15</v>
      </c>
      <c r="K70" s="3">
        <v>50</v>
      </c>
      <c r="L70" s="2">
        <f t="shared" si="27"/>
        <v>15</v>
      </c>
      <c r="M70" s="3">
        <v>50</v>
      </c>
      <c r="N70" s="2">
        <f t="shared" ref="N70:N73" si="28">M68+M69</f>
        <v>15</v>
      </c>
      <c r="O70" s="3">
        <v>50</v>
      </c>
      <c r="P70" s="2">
        <f t="shared" ref="P70:P73" si="29">O68+O69</f>
        <v>15</v>
      </c>
      <c r="Q70" s="3">
        <v>300</v>
      </c>
      <c r="R70" s="3">
        <v>0</v>
      </c>
      <c r="S70" s="3">
        <v>9945</v>
      </c>
      <c r="T70" s="3">
        <v>1</v>
      </c>
      <c r="U70" s="3">
        <v>3</v>
      </c>
      <c r="V70" s="2">
        <v>0</v>
      </c>
      <c r="W70" s="6" t="s">
        <v>191</v>
      </c>
      <c r="X70" s="6"/>
      <c r="Z70" s="3">
        <v>360</v>
      </c>
      <c r="AA70" s="3">
        <v>0</v>
      </c>
      <c r="AB70" s="3">
        <v>0</v>
      </c>
      <c r="AC70" s="3">
        <v>0</v>
      </c>
      <c r="AD70" s="3">
        <v>1029</v>
      </c>
      <c r="AE70" s="3">
        <v>1069</v>
      </c>
      <c r="AF70" s="2">
        <v>364</v>
      </c>
      <c r="AG70" s="2">
        <v>365</v>
      </c>
      <c r="AH70" s="2">
        <v>366</v>
      </c>
      <c r="AI70" s="3">
        <v>0</v>
      </c>
      <c r="AJ70" s="3" t="s">
        <v>188</v>
      </c>
    </row>
    <row r="71" spans="1:36" s="3" customFormat="1" x14ac:dyDescent="0.15">
      <c r="A71" s="3">
        <v>10</v>
      </c>
      <c r="B71" s="3" t="s">
        <v>189</v>
      </c>
      <c r="C71" s="3">
        <v>4</v>
      </c>
      <c r="D71" s="3">
        <v>6</v>
      </c>
      <c r="E71" s="3">
        <v>1</v>
      </c>
      <c r="F71" s="3">
        <v>210</v>
      </c>
      <c r="G71" s="3">
        <v>0</v>
      </c>
      <c r="H71" s="2">
        <v>0</v>
      </c>
      <c r="I71" s="3">
        <v>100</v>
      </c>
      <c r="J71" s="2">
        <f t="shared" si="27"/>
        <v>60</v>
      </c>
      <c r="K71" s="3">
        <v>100</v>
      </c>
      <c r="L71" s="2">
        <f t="shared" si="27"/>
        <v>60</v>
      </c>
      <c r="M71" s="3">
        <v>100</v>
      </c>
      <c r="N71" s="2">
        <f t="shared" si="28"/>
        <v>60</v>
      </c>
      <c r="O71" s="3">
        <v>100</v>
      </c>
      <c r="P71" s="2">
        <f t="shared" si="29"/>
        <v>60</v>
      </c>
      <c r="Q71" s="3">
        <v>600</v>
      </c>
      <c r="R71" s="3">
        <v>0</v>
      </c>
      <c r="S71" s="3">
        <v>9945</v>
      </c>
      <c r="T71" s="3">
        <v>1</v>
      </c>
      <c r="U71" s="3">
        <v>4</v>
      </c>
      <c r="V71" s="2">
        <v>0</v>
      </c>
      <c r="W71" s="6" t="s">
        <v>192</v>
      </c>
      <c r="X71" s="6"/>
      <c r="Z71" s="3">
        <v>420</v>
      </c>
      <c r="AA71" s="3">
        <v>0</v>
      </c>
      <c r="AB71" s="3">
        <v>0</v>
      </c>
      <c r="AC71" s="3">
        <v>0</v>
      </c>
      <c r="AD71" s="3">
        <v>1029</v>
      </c>
      <c r="AE71" s="3">
        <v>1069</v>
      </c>
      <c r="AF71" s="2">
        <v>364</v>
      </c>
      <c r="AG71" s="2">
        <v>365</v>
      </c>
      <c r="AH71" s="2">
        <v>366</v>
      </c>
      <c r="AI71" s="3">
        <v>0</v>
      </c>
      <c r="AJ71" s="3" t="s">
        <v>188</v>
      </c>
    </row>
    <row r="72" spans="1:36" s="3" customFormat="1" x14ac:dyDescent="0.15">
      <c r="A72" s="3">
        <v>10</v>
      </c>
      <c r="B72" s="3" t="s">
        <v>189</v>
      </c>
      <c r="C72" s="3">
        <v>5</v>
      </c>
      <c r="D72" s="3">
        <v>6</v>
      </c>
      <c r="E72" s="3">
        <v>1</v>
      </c>
      <c r="F72" s="3">
        <v>250</v>
      </c>
      <c r="G72" s="3">
        <v>0</v>
      </c>
      <c r="H72" s="2">
        <v>0</v>
      </c>
      <c r="I72" s="3">
        <v>200</v>
      </c>
      <c r="J72" s="2">
        <f t="shared" si="27"/>
        <v>150</v>
      </c>
      <c r="K72" s="3">
        <v>200</v>
      </c>
      <c r="L72" s="2">
        <f t="shared" si="27"/>
        <v>150</v>
      </c>
      <c r="M72" s="3">
        <v>200</v>
      </c>
      <c r="N72" s="2">
        <f t="shared" si="28"/>
        <v>150</v>
      </c>
      <c r="O72" s="3">
        <v>200</v>
      </c>
      <c r="P72" s="2">
        <f t="shared" si="29"/>
        <v>150</v>
      </c>
      <c r="Q72" s="3">
        <v>1200</v>
      </c>
      <c r="R72" s="3">
        <v>0</v>
      </c>
      <c r="S72" s="3">
        <v>9945</v>
      </c>
      <c r="T72" s="3">
        <v>1</v>
      </c>
      <c r="U72" s="3">
        <v>5</v>
      </c>
      <c r="V72" s="2">
        <v>0</v>
      </c>
      <c r="W72" s="6" t="s">
        <v>193</v>
      </c>
      <c r="X72" s="6"/>
      <c r="Z72" s="3">
        <v>480</v>
      </c>
      <c r="AA72" s="3">
        <v>0</v>
      </c>
      <c r="AB72" s="3">
        <v>0</v>
      </c>
      <c r="AC72" s="3">
        <v>0</v>
      </c>
      <c r="AD72" s="3">
        <v>1029</v>
      </c>
      <c r="AE72" s="3">
        <v>1069</v>
      </c>
      <c r="AF72" s="2">
        <v>367</v>
      </c>
      <c r="AG72" s="2">
        <v>368</v>
      </c>
      <c r="AH72" s="2">
        <v>369</v>
      </c>
      <c r="AI72" s="3">
        <v>0</v>
      </c>
      <c r="AJ72" s="3" t="s">
        <v>188</v>
      </c>
    </row>
    <row r="73" spans="1:36" s="3" customFormat="1" x14ac:dyDescent="0.15">
      <c r="A73" s="3">
        <v>10</v>
      </c>
      <c r="B73" s="3" t="s">
        <v>189</v>
      </c>
      <c r="C73" s="3">
        <v>6</v>
      </c>
      <c r="D73" s="3">
        <v>6</v>
      </c>
      <c r="E73" s="3">
        <v>1</v>
      </c>
      <c r="F73" s="3">
        <v>290</v>
      </c>
      <c r="G73" s="3">
        <v>0</v>
      </c>
      <c r="H73" s="2">
        <v>0</v>
      </c>
      <c r="I73" s="3">
        <v>500</v>
      </c>
      <c r="J73" s="2">
        <f t="shared" si="27"/>
        <v>300</v>
      </c>
      <c r="K73" s="3">
        <v>500</v>
      </c>
      <c r="L73" s="2">
        <f t="shared" si="27"/>
        <v>300</v>
      </c>
      <c r="M73" s="3">
        <v>500</v>
      </c>
      <c r="N73" s="2">
        <f t="shared" si="28"/>
        <v>300</v>
      </c>
      <c r="O73" s="3">
        <v>500</v>
      </c>
      <c r="P73" s="2">
        <f t="shared" si="29"/>
        <v>300</v>
      </c>
      <c r="Q73" s="3">
        <v>3000</v>
      </c>
      <c r="R73" s="3">
        <v>0</v>
      </c>
      <c r="S73" s="3">
        <v>9945</v>
      </c>
      <c r="T73" s="3">
        <v>1</v>
      </c>
      <c r="U73" s="3">
        <v>6</v>
      </c>
      <c r="V73" s="2">
        <v>0</v>
      </c>
      <c r="W73" s="6" t="s">
        <v>194</v>
      </c>
      <c r="X73" s="6"/>
      <c r="Z73" s="3">
        <v>540</v>
      </c>
      <c r="AA73" s="3">
        <v>0</v>
      </c>
      <c r="AB73" s="3">
        <v>0</v>
      </c>
      <c r="AC73" s="3">
        <v>0</v>
      </c>
      <c r="AD73" s="3">
        <v>1029</v>
      </c>
      <c r="AE73" s="3">
        <v>1069</v>
      </c>
      <c r="AF73" s="2">
        <v>367</v>
      </c>
      <c r="AG73" s="2">
        <v>368</v>
      </c>
      <c r="AH73" s="2">
        <v>369</v>
      </c>
      <c r="AI73" s="3">
        <v>0</v>
      </c>
      <c r="AJ73" s="3" t="s">
        <v>188</v>
      </c>
    </row>
    <row r="74" spans="1:36" s="2" customFormat="1" x14ac:dyDescent="0.15">
      <c r="A74" s="2">
        <v>11</v>
      </c>
      <c r="B74" s="2" t="s">
        <v>195</v>
      </c>
      <c r="C74" s="2">
        <v>0</v>
      </c>
      <c r="D74" s="2">
        <v>6</v>
      </c>
      <c r="E74" s="2">
        <v>1</v>
      </c>
      <c r="F74" s="3">
        <v>50</v>
      </c>
      <c r="G74" s="2">
        <v>0</v>
      </c>
      <c r="H74" s="2">
        <v>0</v>
      </c>
      <c r="I74" s="2">
        <v>5</v>
      </c>
      <c r="J74" s="2">
        <v>0</v>
      </c>
      <c r="K74" s="2">
        <v>5</v>
      </c>
      <c r="L74" s="2">
        <v>0</v>
      </c>
      <c r="M74" s="2">
        <v>5</v>
      </c>
      <c r="N74" s="2">
        <v>0</v>
      </c>
      <c r="O74" s="2">
        <v>5</v>
      </c>
      <c r="P74" s="2">
        <v>0</v>
      </c>
      <c r="Q74" s="2">
        <v>60</v>
      </c>
      <c r="R74" s="2">
        <v>0</v>
      </c>
      <c r="S74" s="2">
        <v>9945</v>
      </c>
      <c r="T74" s="2">
        <v>1</v>
      </c>
      <c r="U74" s="2">
        <v>1</v>
      </c>
      <c r="V74" s="2">
        <v>0</v>
      </c>
      <c r="W74" s="2">
        <v>9945</v>
      </c>
      <c r="Z74" s="2">
        <v>180</v>
      </c>
      <c r="AA74" s="2">
        <v>0</v>
      </c>
      <c r="AB74" s="2">
        <v>0</v>
      </c>
      <c r="AC74" s="2">
        <v>0</v>
      </c>
      <c r="AD74" s="2">
        <v>1030</v>
      </c>
      <c r="AE74" s="2">
        <v>1070</v>
      </c>
      <c r="AI74" s="2">
        <v>0</v>
      </c>
      <c r="AJ74" s="2" t="s">
        <v>196</v>
      </c>
    </row>
    <row r="75" spans="1:36" s="2" customFormat="1" x14ac:dyDescent="0.15">
      <c r="A75" s="2">
        <v>11</v>
      </c>
      <c r="B75" s="2" t="s">
        <v>195</v>
      </c>
      <c r="C75" s="2">
        <v>1</v>
      </c>
      <c r="D75" s="2">
        <v>6</v>
      </c>
      <c r="E75" s="2">
        <v>1</v>
      </c>
      <c r="F75" s="3">
        <v>90</v>
      </c>
      <c r="G75" s="2">
        <v>0</v>
      </c>
      <c r="H75" s="2">
        <v>0</v>
      </c>
      <c r="I75" s="2">
        <v>5</v>
      </c>
      <c r="J75" s="2">
        <f>I74</f>
        <v>5</v>
      </c>
      <c r="K75" s="2">
        <v>5</v>
      </c>
      <c r="L75" s="2">
        <f>K74</f>
        <v>5</v>
      </c>
      <c r="M75" s="2">
        <v>5</v>
      </c>
      <c r="N75" s="2">
        <f>M74</f>
        <v>5</v>
      </c>
      <c r="O75" s="2">
        <v>5</v>
      </c>
      <c r="P75" s="2">
        <f>O74</f>
        <v>5</v>
      </c>
      <c r="Q75" s="2">
        <v>60</v>
      </c>
      <c r="R75" s="2">
        <v>0</v>
      </c>
      <c r="S75" s="2">
        <v>9945</v>
      </c>
      <c r="T75" s="2">
        <v>1</v>
      </c>
      <c r="U75" s="2">
        <v>1</v>
      </c>
      <c r="V75" s="2">
        <v>0</v>
      </c>
      <c r="W75" s="6" t="s">
        <v>197</v>
      </c>
      <c r="X75" s="6"/>
      <c r="Z75" s="2">
        <v>240</v>
      </c>
      <c r="AA75" s="2">
        <v>0</v>
      </c>
      <c r="AB75" s="2">
        <v>0</v>
      </c>
      <c r="AC75" s="2">
        <v>0</v>
      </c>
      <c r="AD75" s="2">
        <v>1030</v>
      </c>
      <c r="AE75" s="2">
        <v>1070</v>
      </c>
      <c r="AF75" s="2">
        <v>361</v>
      </c>
      <c r="AG75" s="2">
        <v>362</v>
      </c>
      <c r="AH75" s="2">
        <v>363</v>
      </c>
      <c r="AI75" s="2">
        <v>0</v>
      </c>
      <c r="AJ75" s="2" t="s">
        <v>198</v>
      </c>
    </row>
    <row r="76" spans="1:36" s="2" customFormat="1" x14ac:dyDescent="0.15">
      <c r="A76" s="2">
        <v>11</v>
      </c>
      <c r="B76" s="2" t="s">
        <v>199</v>
      </c>
      <c r="C76" s="2">
        <v>2</v>
      </c>
      <c r="D76" s="2">
        <v>6</v>
      </c>
      <c r="E76" s="2">
        <v>1</v>
      </c>
      <c r="F76" s="3">
        <v>130</v>
      </c>
      <c r="G76" s="2">
        <v>0</v>
      </c>
      <c r="H76" s="2">
        <v>0</v>
      </c>
      <c r="I76" s="2">
        <v>10</v>
      </c>
      <c r="J76" s="2">
        <f>I74+I75</f>
        <v>10</v>
      </c>
      <c r="K76" s="2">
        <v>10</v>
      </c>
      <c r="L76" s="2">
        <f>K74+K75</f>
        <v>10</v>
      </c>
      <c r="M76" s="2">
        <v>10</v>
      </c>
      <c r="N76" s="2">
        <f>M74+M75</f>
        <v>10</v>
      </c>
      <c r="O76" s="2">
        <v>10</v>
      </c>
      <c r="P76" s="2">
        <f>O74+O75</f>
        <v>10</v>
      </c>
      <c r="Q76" s="2">
        <v>120</v>
      </c>
      <c r="R76" s="2">
        <v>0</v>
      </c>
      <c r="S76" s="2">
        <v>9945</v>
      </c>
      <c r="T76" s="2">
        <v>1</v>
      </c>
      <c r="U76" s="2">
        <v>2</v>
      </c>
      <c r="V76" s="2">
        <v>0</v>
      </c>
      <c r="W76" s="6" t="s">
        <v>200</v>
      </c>
      <c r="X76" s="6"/>
      <c r="Z76" s="2">
        <v>300</v>
      </c>
      <c r="AA76" s="2">
        <v>0</v>
      </c>
      <c r="AB76" s="2">
        <v>0</v>
      </c>
      <c r="AC76" s="2">
        <v>0</v>
      </c>
      <c r="AD76" s="2">
        <v>1030</v>
      </c>
      <c r="AE76" s="2">
        <v>1070</v>
      </c>
      <c r="AF76" s="2">
        <v>361</v>
      </c>
      <c r="AG76" s="2">
        <v>362</v>
      </c>
      <c r="AH76" s="2">
        <v>363</v>
      </c>
      <c r="AI76" s="2">
        <v>0</v>
      </c>
      <c r="AJ76" s="2" t="s">
        <v>198</v>
      </c>
    </row>
    <row r="77" spans="1:36" s="2" customFormat="1" x14ac:dyDescent="0.15">
      <c r="A77" s="2">
        <v>11</v>
      </c>
      <c r="B77" s="2" t="s">
        <v>199</v>
      </c>
      <c r="C77" s="2">
        <v>3</v>
      </c>
      <c r="D77" s="2">
        <v>6</v>
      </c>
      <c r="E77" s="2">
        <v>1</v>
      </c>
      <c r="F77" s="3">
        <v>170</v>
      </c>
      <c r="G77" s="2">
        <v>0</v>
      </c>
      <c r="H77" s="2">
        <v>0</v>
      </c>
      <c r="I77" s="2">
        <v>50</v>
      </c>
      <c r="J77" s="2">
        <f t="shared" ref="J77:L80" si="30">I75+I76</f>
        <v>15</v>
      </c>
      <c r="K77" s="2">
        <v>50</v>
      </c>
      <c r="L77" s="2">
        <f t="shared" si="30"/>
        <v>15</v>
      </c>
      <c r="M77" s="2">
        <v>50</v>
      </c>
      <c r="N77" s="2">
        <f t="shared" ref="N77:N80" si="31">M75+M76</f>
        <v>15</v>
      </c>
      <c r="O77" s="2">
        <v>50</v>
      </c>
      <c r="P77" s="2">
        <f t="shared" ref="P77:P80" si="32">O75+O76</f>
        <v>15</v>
      </c>
      <c r="Q77" s="2">
        <v>300</v>
      </c>
      <c r="R77" s="2">
        <v>0</v>
      </c>
      <c r="S77" s="2">
        <v>9945</v>
      </c>
      <c r="T77" s="2">
        <v>1</v>
      </c>
      <c r="U77" s="2">
        <v>3</v>
      </c>
      <c r="V77" s="2">
        <v>0</v>
      </c>
      <c r="W77" s="6" t="s">
        <v>201</v>
      </c>
      <c r="X77" s="6"/>
      <c r="Z77" s="2">
        <v>360</v>
      </c>
      <c r="AA77" s="2">
        <v>0</v>
      </c>
      <c r="AB77" s="2">
        <v>0</v>
      </c>
      <c r="AC77" s="2">
        <v>0</v>
      </c>
      <c r="AD77" s="2">
        <v>1030</v>
      </c>
      <c r="AE77" s="2">
        <v>1070</v>
      </c>
      <c r="AF77" s="2">
        <v>364</v>
      </c>
      <c r="AG77" s="2">
        <v>365</v>
      </c>
      <c r="AH77" s="2">
        <v>366</v>
      </c>
      <c r="AI77" s="2">
        <v>0</v>
      </c>
      <c r="AJ77" s="2" t="s">
        <v>198</v>
      </c>
    </row>
    <row r="78" spans="1:36" s="2" customFormat="1" x14ac:dyDescent="0.15">
      <c r="A78" s="2">
        <v>11</v>
      </c>
      <c r="B78" s="2" t="s">
        <v>199</v>
      </c>
      <c r="C78" s="2">
        <v>4</v>
      </c>
      <c r="D78" s="2">
        <v>6</v>
      </c>
      <c r="E78" s="2">
        <v>1</v>
      </c>
      <c r="F78" s="3">
        <v>210</v>
      </c>
      <c r="G78" s="2">
        <v>0</v>
      </c>
      <c r="H78" s="2">
        <v>0</v>
      </c>
      <c r="I78" s="2">
        <v>100</v>
      </c>
      <c r="J78" s="2">
        <f t="shared" si="30"/>
        <v>60</v>
      </c>
      <c r="K78" s="2">
        <v>100</v>
      </c>
      <c r="L78" s="2">
        <f t="shared" si="30"/>
        <v>60</v>
      </c>
      <c r="M78" s="2">
        <v>100</v>
      </c>
      <c r="N78" s="2">
        <f t="shared" si="31"/>
        <v>60</v>
      </c>
      <c r="O78" s="2">
        <v>100</v>
      </c>
      <c r="P78" s="2">
        <f t="shared" si="32"/>
        <v>60</v>
      </c>
      <c r="Q78" s="2">
        <v>600</v>
      </c>
      <c r="R78" s="2">
        <v>0</v>
      </c>
      <c r="S78" s="2">
        <v>9945</v>
      </c>
      <c r="T78" s="2">
        <v>1</v>
      </c>
      <c r="U78" s="2">
        <v>4</v>
      </c>
      <c r="V78" s="2">
        <v>0</v>
      </c>
      <c r="W78" s="6" t="s">
        <v>202</v>
      </c>
      <c r="X78" s="6"/>
      <c r="Z78" s="2">
        <v>420</v>
      </c>
      <c r="AA78" s="2">
        <v>0</v>
      </c>
      <c r="AB78" s="2">
        <v>0</v>
      </c>
      <c r="AC78" s="2">
        <v>0</v>
      </c>
      <c r="AD78" s="2">
        <v>1030</v>
      </c>
      <c r="AE78" s="2">
        <v>1070</v>
      </c>
      <c r="AF78" s="2">
        <v>364</v>
      </c>
      <c r="AG78" s="2">
        <v>365</v>
      </c>
      <c r="AH78" s="2">
        <v>366</v>
      </c>
      <c r="AI78" s="2">
        <v>0</v>
      </c>
      <c r="AJ78" s="2" t="s">
        <v>198</v>
      </c>
    </row>
    <row r="79" spans="1:36" s="2" customFormat="1" x14ac:dyDescent="0.15">
      <c r="A79" s="2">
        <v>11</v>
      </c>
      <c r="B79" s="2" t="s">
        <v>199</v>
      </c>
      <c r="C79" s="2">
        <v>5</v>
      </c>
      <c r="D79" s="2">
        <v>6</v>
      </c>
      <c r="E79" s="2">
        <v>1</v>
      </c>
      <c r="F79" s="3">
        <v>250</v>
      </c>
      <c r="G79" s="2">
        <v>0</v>
      </c>
      <c r="H79" s="2">
        <v>0</v>
      </c>
      <c r="I79" s="2">
        <v>200</v>
      </c>
      <c r="J79" s="2">
        <f t="shared" si="30"/>
        <v>150</v>
      </c>
      <c r="K79" s="2">
        <v>200</v>
      </c>
      <c r="L79" s="2">
        <f t="shared" si="30"/>
        <v>150</v>
      </c>
      <c r="M79" s="2">
        <v>200</v>
      </c>
      <c r="N79" s="2">
        <f t="shared" si="31"/>
        <v>150</v>
      </c>
      <c r="O79" s="2">
        <v>200</v>
      </c>
      <c r="P79" s="2">
        <f t="shared" si="32"/>
        <v>150</v>
      </c>
      <c r="Q79" s="2">
        <v>1200</v>
      </c>
      <c r="R79" s="2">
        <v>0</v>
      </c>
      <c r="S79" s="2">
        <v>9945</v>
      </c>
      <c r="T79" s="2">
        <v>1</v>
      </c>
      <c r="U79" s="2">
        <v>5</v>
      </c>
      <c r="V79" s="2">
        <v>0</v>
      </c>
      <c r="W79" s="6" t="s">
        <v>203</v>
      </c>
      <c r="X79" s="6"/>
      <c r="Z79" s="2">
        <v>480</v>
      </c>
      <c r="AA79" s="2">
        <v>0</v>
      </c>
      <c r="AB79" s="2">
        <v>0</v>
      </c>
      <c r="AC79" s="2">
        <v>0</v>
      </c>
      <c r="AD79" s="2">
        <v>1030</v>
      </c>
      <c r="AE79" s="2">
        <v>1070</v>
      </c>
      <c r="AF79" s="2">
        <v>367</v>
      </c>
      <c r="AG79" s="2">
        <v>368</v>
      </c>
      <c r="AH79" s="2">
        <v>369</v>
      </c>
      <c r="AI79" s="2">
        <v>0</v>
      </c>
      <c r="AJ79" s="2" t="s">
        <v>198</v>
      </c>
    </row>
    <row r="80" spans="1:36" s="2" customFormat="1" x14ac:dyDescent="0.15">
      <c r="A80" s="2">
        <v>11</v>
      </c>
      <c r="B80" s="2" t="s">
        <v>199</v>
      </c>
      <c r="C80" s="2">
        <v>6</v>
      </c>
      <c r="D80" s="2">
        <v>6</v>
      </c>
      <c r="E80" s="2">
        <v>1</v>
      </c>
      <c r="F80" s="3">
        <v>290</v>
      </c>
      <c r="G80" s="2">
        <v>0</v>
      </c>
      <c r="H80" s="2">
        <v>0</v>
      </c>
      <c r="I80" s="2">
        <v>500</v>
      </c>
      <c r="J80" s="2">
        <f t="shared" si="30"/>
        <v>300</v>
      </c>
      <c r="K80" s="2">
        <v>500</v>
      </c>
      <c r="L80" s="2">
        <f t="shared" si="30"/>
        <v>300</v>
      </c>
      <c r="M80" s="2">
        <v>500</v>
      </c>
      <c r="N80" s="2">
        <f t="shared" si="31"/>
        <v>300</v>
      </c>
      <c r="O80" s="2">
        <v>500</v>
      </c>
      <c r="P80" s="2">
        <f t="shared" si="32"/>
        <v>300</v>
      </c>
      <c r="Q80" s="2">
        <v>3000</v>
      </c>
      <c r="R80" s="2">
        <v>0</v>
      </c>
      <c r="S80" s="2">
        <v>9945</v>
      </c>
      <c r="T80" s="2">
        <v>1</v>
      </c>
      <c r="U80" s="2">
        <v>6</v>
      </c>
      <c r="V80" s="2">
        <v>0</v>
      </c>
      <c r="W80" s="6" t="s">
        <v>204</v>
      </c>
      <c r="X80" s="6"/>
      <c r="Z80" s="2">
        <v>540</v>
      </c>
      <c r="AA80" s="2">
        <v>0</v>
      </c>
      <c r="AB80" s="2">
        <v>0</v>
      </c>
      <c r="AC80" s="2">
        <v>0</v>
      </c>
      <c r="AD80" s="2">
        <v>1030</v>
      </c>
      <c r="AE80" s="2">
        <v>1070</v>
      </c>
      <c r="AF80" s="2">
        <v>367</v>
      </c>
      <c r="AG80" s="2">
        <v>368</v>
      </c>
      <c r="AH80" s="2">
        <v>369</v>
      </c>
      <c r="AI80" s="2">
        <v>0</v>
      </c>
      <c r="AJ80" s="2" t="s">
        <v>198</v>
      </c>
    </row>
    <row r="81" spans="1:36" s="3" customFormat="1" x14ac:dyDescent="0.15">
      <c r="A81" s="3">
        <v>12</v>
      </c>
      <c r="B81" s="3" t="s">
        <v>205</v>
      </c>
      <c r="C81" s="3">
        <v>0</v>
      </c>
      <c r="D81" s="3">
        <v>6</v>
      </c>
      <c r="E81" s="3">
        <v>1</v>
      </c>
      <c r="F81" s="3">
        <v>50</v>
      </c>
      <c r="G81" s="3">
        <v>0</v>
      </c>
      <c r="H81" s="2">
        <v>0</v>
      </c>
      <c r="I81" s="3">
        <v>5</v>
      </c>
      <c r="J81" s="2">
        <v>0</v>
      </c>
      <c r="K81" s="3">
        <v>5</v>
      </c>
      <c r="L81" s="2">
        <v>0</v>
      </c>
      <c r="M81" s="3">
        <v>5</v>
      </c>
      <c r="N81" s="2">
        <v>0</v>
      </c>
      <c r="O81" s="3">
        <v>5</v>
      </c>
      <c r="P81" s="2">
        <v>0</v>
      </c>
      <c r="Q81" s="3">
        <v>60</v>
      </c>
      <c r="R81" s="3">
        <v>0</v>
      </c>
      <c r="S81" s="3">
        <v>9946</v>
      </c>
      <c r="T81" s="3">
        <v>4</v>
      </c>
      <c r="U81" s="3">
        <v>1</v>
      </c>
      <c r="V81" s="2">
        <v>0</v>
      </c>
      <c r="W81" s="2">
        <v>9946</v>
      </c>
      <c r="X81" s="2">
        <v>8595</v>
      </c>
      <c r="Z81" s="3">
        <v>20000</v>
      </c>
      <c r="AA81" s="3">
        <v>0</v>
      </c>
      <c r="AB81" s="3">
        <v>0</v>
      </c>
      <c r="AC81" s="3">
        <v>0</v>
      </c>
      <c r="AD81" s="3">
        <v>1031</v>
      </c>
      <c r="AE81" s="3">
        <v>1071</v>
      </c>
      <c r="AI81" s="3">
        <v>0</v>
      </c>
      <c r="AJ81" s="3" t="s">
        <v>206</v>
      </c>
    </row>
    <row r="82" spans="1:36" s="3" customFormat="1" x14ac:dyDescent="0.15">
      <c r="A82" s="3">
        <v>12</v>
      </c>
      <c r="B82" s="3" t="s">
        <v>205</v>
      </c>
      <c r="C82" s="3">
        <v>1</v>
      </c>
      <c r="D82" s="3">
        <v>6</v>
      </c>
      <c r="E82" s="3">
        <v>1</v>
      </c>
      <c r="F82" s="3">
        <v>80</v>
      </c>
      <c r="G82" s="3">
        <v>0</v>
      </c>
      <c r="H82" s="2">
        <v>0</v>
      </c>
      <c r="I82" s="3">
        <v>5</v>
      </c>
      <c r="J82" s="2">
        <f>I81</f>
        <v>5</v>
      </c>
      <c r="K82" s="3">
        <v>5</v>
      </c>
      <c r="L82" s="2">
        <f>K81</f>
        <v>5</v>
      </c>
      <c r="M82" s="3">
        <v>5</v>
      </c>
      <c r="N82" s="2">
        <f>M81</f>
        <v>5</v>
      </c>
      <c r="O82" s="3">
        <v>5</v>
      </c>
      <c r="P82" s="2">
        <f>O81</f>
        <v>5</v>
      </c>
      <c r="Q82" s="3">
        <v>60</v>
      </c>
      <c r="R82" s="3">
        <v>0</v>
      </c>
      <c r="S82" s="3">
        <v>9946</v>
      </c>
      <c r="T82" s="3">
        <v>4</v>
      </c>
      <c r="U82" s="3">
        <v>1</v>
      </c>
      <c r="V82" s="2">
        <v>0</v>
      </c>
      <c r="W82" s="7" t="s">
        <v>207</v>
      </c>
      <c r="X82" s="2">
        <v>8595</v>
      </c>
      <c r="Z82" s="3">
        <v>20000</v>
      </c>
      <c r="AA82" s="3">
        <v>0</v>
      </c>
      <c r="AB82" s="3">
        <v>0</v>
      </c>
      <c r="AC82" s="3">
        <v>0</v>
      </c>
      <c r="AD82" s="3">
        <v>1031</v>
      </c>
      <c r="AE82" s="3">
        <v>1071</v>
      </c>
      <c r="AF82" s="3">
        <v>370</v>
      </c>
      <c r="AG82" s="3">
        <v>371</v>
      </c>
      <c r="AH82" s="3">
        <v>372</v>
      </c>
      <c r="AI82" s="3">
        <v>0</v>
      </c>
      <c r="AJ82" s="3" t="s">
        <v>208</v>
      </c>
    </row>
    <row r="83" spans="1:36" s="3" customFormat="1" x14ac:dyDescent="0.15">
      <c r="A83" s="3">
        <v>12</v>
      </c>
      <c r="B83" s="3" t="s">
        <v>20</v>
      </c>
      <c r="C83" s="3">
        <v>2</v>
      </c>
      <c r="D83" s="3">
        <v>6</v>
      </c>
      <c r="E83" s="3">
        <v>1</v>
      </c>
      <c r="F83" s="3">
        <v>110</v>
      </c>
      <c r="G83" s="3">
        <v>0</v>
      </c>
      <c r="H83" s="2">
        <v>0</v>
      </c>
      <c r="I83" s="3">
        <v>10</v>
      </c>
      <c r="J83" s="2">
        <f>I81+I82</f>
        <v>10</v>
      </c>
      <c r="K83" s="3">
        <v>10</v>
      </c>
      <c r="L83" s="2">
        <f>K81+K82</f>
        <v>10</v>
      </c>
      <c r="M83" s="3">
        <v>10</v>
      </c>
      <c r="N83" s="2">
        <f>M81+M82</f>
        <v>10</v>
      </c>
      <c r="O83" s="3">
        <v>10</v>
      </c>
      <c r="P83" s="2">
        <f>O81+O82</f>
        <v>10</v>
      </c>
      <c r="Q83" s="3">
        <v>120</v>
      </c>
      <c r="R83" s="3">
        <v>0</v>
      </c>
      <c r="S83" s="3">
        <v>9946</v>
      </c>
      <c r="T83" s="3">
        <v>4</v>
      </c>
      <c r="U83" s="3">
        <v>2</v>
      </c>
      <c r="V83" s="2">
        <v>0</v>
      </c>
      <c r="W83" s="7" t="s">
        <v>209</v>
      </c>
      <c r="X83" s="2">
        <v>8595</v>
      </c>
      <c r="Z83" s="3">
        <v>50000</v>
      </c>
      <c r="AA83" s="3">
        <v>0</v>
      </c>
      <c r="AB83" s="3">
        <v>0</v>
      </c>
      <c r="AC83" s="3">
        <v>0</v>
      </c>
      <c r="AD83" s="3">
        <v>1031</v>
      </c>
      <c r="AE83" s="3">
        <v>1071</v>
      </c>
      <c r="AF83" s="3">
        <v>370</v>
      </c>
      <c r="AG83" s="3">
        <v>371</v>
      </c>
      <c r="AH83" s="3">
        <v>372</v>
      </c>
      <c r="AI83" s="3">
        <v>0</v>
      </c>
      <c r="AJ83" s="3" t="s">
        <v>208</v>
      </c>
    </row>
    <row r="84" spans="1:36" s="3" customFormat="1" x14ac:dyDescent="0.15">
      <c r="A84" s="3">
        <v>12</v>
      </c>
      <c r="B84" s="3" t="s">
        <v>205</v>
      </c>
      <c r="C84" s="3">
        <v>3</v>
      </c>
      <c r="D84" s="3">
        <v>6</v>
      </c>
      <c r="E84" s="3">
        <v>1</v>
      </c>
      <c r="F84" s="3">
        <v>140</v>
      </c>
      <c r="G84" s="3">
        <v>0</v>
      </c>
      <c r="H84" s="2">
        <v>0</v>
      </c>
      <c r="I84" s="3">
        <v>50</v>
      </c>
      <c r="J84" s="2">
        <f t="shared" ref="J84:L87" si="33">I82+I83</f>
        <v>15</v>
      </c>
      <c r="K84" s="3">
        <v>50</v>
      </c>
      <c r="L84" s="2">
        <f t="shared" si="33"/>
        <v>15</v>
      </c>
      <c r="M84" s="3">
        <v>50</v>
      </c>
      <c r="N84" s="2">
        <f t="shared" ref="N84:N87" si="34">M82+M83</f>
        <v>15</v>
      </c>
      <c r="O84" s="3">
        <v>50</v>
      </c>
      <c r="P84" s="2">
        <f t="shared" ref="P84:P87" si="35">O82+O83</f>
        <v>15</v>
      </c>
      <c r="Q84" s="3">
        <v>300</v>
      </c>
      <c r="R84" s="3">
        <v>0</v>
      </c>
      <c r="S84" s="3">
        <v>9946</v>
      </c>
      <c r="T84" s="3">
        <v>4</v>
      </c>
      <c r="U84" s="3">
        <v>3</v>
      </c>
      <c r="V84" s="2">
        <v>0</v>
      </c>
      <c r="W84" s="7" t="s">
        <v>210</v>
      </c>
      <c r="X84" s="2">
        <v>8595</v>
      </c>
      <c r="Z84" s="3">
        <v>100000</v>
      </c>
      <c r="AA84" s="3">
        <v>0</v>
      </c>
      <c r="AB84" s="3">
        <v>0</v>
      </c>
      <c r="AC84" s="3">
        <v>0</v>
      </c>
      <c r="AD84" s="3">
        <v>1031</v>
      </c>
      <c r="AE84" s="3">
        <v>1071</v>
      </c>
      <c r="AF84" s="3">
        <v>373</v>
      </c>
      <c r="AG84" s="3">
        <v>374</v>
      </c>
      <c r="AH84" s="3">
        <v>375</v>
      </c>
      <c r="AI84" s="3">
        <v>0</v>
      </c>
      <c r="AJ84" s="3" t="s">
        <v>208</v>
      </c>
    </row>
    <row r="85" spans="1:36" s="3" customFormat="1" x14ac:dyDescent="0.15">
      <c r="A85" s="3">
        <v>12</v>
      </c>
      <c r="B85" s="3" t="s">
        <v>20</v>
      </c>
      <c r="C85" s="3">
        <v>4</v>
      </c>
      <c r="D85" s="3">
        <v>6</v>
      </c>
      <c r="E85" s="3">
        <v>1</v>
      </c>
      <c r="F85" s="3">
        <v>170</v>
      </c>
      <c r="G85" s="3">
        <v>0</v>
      </c>
      <c r="H85" s="2">
        <v>0</v>
      </c>
      <c r="I85" s="3">
        <v>100</v>
      </c>
      <c r="J85" s="2">
        <f t="shared" si="33"/>
        <v>60</v>
      </c>
      <c r="K85" s="3">
        <v>100</v>
      </c>
      <c r="L85" s="2">
        <f t="shared" si="33"/>
        <v>60</v>
      </c>
      <c r="M85" s="3">
        <v>100</v>
      </c>
      <c r="N85" s="2">
        <f t="shared" si="34"/>
        <v>60</v>
      </c>
      <c r="O85" s="3">
        <v>100</v>
      </c>
      <c r="P85" s="2">
        <f t="shared" si="35"/>
        <v>60</v>
      </c>
      <c r="Q85" s="3">
        <v>600</v>
      </c>
      <c r="R85" s="3">
        <v>0</v>
      </c>
      <c r="S85" s="3">
        <v>9946</v>
      </c>
      <c r="T85" s="3">
        <v>4</v>
      </c>
      <c r="U85" s="3">
        <v>4</v>
      </c>
      <c r="V85" s="2">
        <v>0</v>
      </c>
      <c r="W85" s="7" t="s">
        <v>211</v>
      </c>
      <c r="X85" s="2">
        <v>8595</v>
      </c>
      <c r="Z85" s="3">
        <v>200000</v>
      </c>
      <c r="AA85" s="3">
        <v>0</v>
      </c>
      <c r="AB85" s="3">
        <v>0</v>
      </c>
      <c r="AC85" s="3">
        <v>0</v>
      </c>
      <c r="AD85" s="3">
        <v>1031</v>
      </c>
      <c r="AE85" s="3">
        <v>1071</v>
      </c>
      <c r="AF85" s="3">
        <v>373</v>
      </c>
      <c r="AG85" s="3">
        <v>374</v>
      </c>
      <c r="AH85" s="3">
        <v>375</v>
      </c>
      <c r="AI85" s="3">
        <v>0</v>
      </c>
      <c r="AJ85" s="3" t="s">
        <v>208</v>
      </c>
    </row>
    <row r="86" spans="1:36" s="3" customFormat="1" x14ac:dyDescent="0.15">
      <c r="A86" s="3">
        <v>12</v>
      </c>
      <c r="B86" s="3" t="s">
        <v>205</v>
      </c>
      <c r="C86" s="3">
        <v>5</v>
      </c>
      <c r="D86" s="3">
        <v>6</v>
      </c>
      <c r="E86" s="3">
        <v>1</v>
      </c>
      <c r="F86" s="3">
        <v>200</v>
      </c>
      <c r="G86" s="3">
        <v>0</v>
      </c>
      <c r="H86" s="2">
        <v>0</v>
      </c>
      <c r="I86" s="3">
        <v>200</v>
      </c>
      <c r="J86" s="2">
        <f t="shared" si="33"/>
        <v>150</v>
      </c>
      <c r="K86" s="3">
        <v>200</v>
      </c>
      <c r="L86" s="2">
        <f t="shared" si="33"/>
        <v>150</v>
      </c>
      <c r="M86" s="3">
        <v>200</v>
      </c>
      <c r="N86" s="2">
        <f t="shared" si="34"/>
        <v>150</v>
      </c>
      <c r="O86" s="3">
        <v>200</v>
      </c>
      <c r="P86" s="2">
        <f t="shared" si="35"/>
        <v>150</v>
      </c>
      <c r="Q86" s="3">
        <v>1200</v>
      </c>
      <c r="R86" s="3">
        <v>0</v>
      </c>
      <c r="S86" s="3">
        <v>9946</v>
      </c>
      <c r="T86" s="3">
        <v>4</v>
      </c>
      <c r="U86" s="3">
        <v>5</v>
      </c>
      <c r="V86" s="2">
        <v>0</v>
      </c>
      <c r="W86" s="7" t="s">
        <v>212</v>
      </c>
      <c r="X86" s="2">
        <v>8595</v>
      </c>
      <c r="Z86" s="3">
        <v>500000</v>
      </c>
      <c r="AA86" s="3">
        <v>0</v>
      </c>
      <c r="AB86" s="3">
        <v>0</v>
      </c>
      <c r="AC86" s="3">
        <v>0</v>
      </c>
      <c r="AD86" s="3">
        <v>1031</v>
      </c>
      <c r="AE86" s="3">
        <v>1071</v>
      </c>
      <c r="AF86" s="3">
        <v>376</v>
      </c>
      <c r="AG86" s="3">
        <v>377</v>
      </c>
      <c r="AH86" s="3">
        <v>378</v>
      </c>
      <c r="AI86" s="3">
        <v>0</v>
      </c>
      <c r="AJ86" s="3" t="s">
        <v>208</v>
      </c>
    </row>
    <row r="87" spans="1:36" s="3" customFormat="1" x14ac:dyDescent="0.15">
      <c r="A87" s="3">
        <v>12</v>
      </c>
      <c r="B87" s="3" t="s">
        <v>20</v>
      </c>
      <c r="C87" s="3">
        <v>6</v>
      </c>
      <c r="D87" s="3">
        <v>6</v>
      </c>
      <c r="E87" s="3">
        <v>1</v>
      </c>
      <c r="F87" s="3">
        <v>230</v>
      </c>
      <c r="G87" s="3">
        <v>0</v>
      </c>
      <c r="H87" s="2">
        <v>0</v>
      </c>
      <c r="I87" s="3">
        <v>500</v>
      </c>
      <c r="J87" s="2">
        <f t="shared" si="33"/>
        <v>300</v>
      </c>
      <c r="K87" s="3">
        <v>500</v>
      </c>
      <c r="L87" s="2">
        <f t="shared" si="33"/>
        <v>300</v>
      </c>
      <c r="M87" s="3">
        <v>500</v>
      </c>
      <c r="N87" s="2">
        <f t="shared" si="34"/>
        <v>300</v>
      </c>
      <c r="O87" s="3">
        <v>500</v>
      </c>
      <c r="P87" s="2">
        <f t="shared" si="35"/>
        <v>300</v>
      </c>
      <c r="Q87" s="3">
        <v>3000</v>
      </c>
      <c r="R87" s="3">
        <v>0</v>
      </c>
      <c r="S87" s="3">
        <v>9946</v>
      </c>
      <c r="T87" s="3">
        <v>4</v>
      </c>
      <c r="U87" s="3">
        <v>6</v>
      </c>
      <c r="V87" s="2">
        <v>0</v>
      </c>
      <c r="W87" s="7" t="s">
        <v>213</v>
      </c>
      <c r="X87" s="2">
        <v>8595</v>
      </c>
      <c r="Z87" s="3">
        <v>1000000</v>
      </c>
      <c r="AA87" s="3">
        <v>0</v>
      </c>
      <c r="AB87" s="3">
        <v>0</v>
      </c>
      <c r="AC87" s="3">
        <v>0</v>
      </c>
      <c r="AD87" s="3">
        <v>1031</v>
      </c>
      <c r="AE87" s="3">
        <v>1071</v>
      </c>
      <c r="AF87" s="3">
        <v>376</v>
      </c>
      <c r="AG87" s="3">
        <v>377</v>
      </c>
      <c r="AH87" s="3">
        <v>378</v>
      </c>
      <c r="AI87" s="3">
        <v>0</v>
      </c>
      <c r="AJ87" s="3" t="s">
        <v>208</v>
      </c>
    </row>
    <row r="88" spans="1:36" s="2" customFormat="1" x14ac:dyDescent="0.15">
      <c r="A88" s="2">
        <v>13</v>
      </c>
      <c r="B88" s="2" t="s">
        <v>214</v>
      </c>
      <c r="C88" s="2">
        <v>0</v>
      </c>
      <c r="D88" s="2">
        <v>6</v>
      </c>
      <c r="E88" s="2">
        <v>1</v>
      </c>
      <c r="F88" s="3">
        <v>50</v>
      </c>
      <c r="G88" s="2">
        <v>0</v>
      </c>
      <c r="H88" s="2">
        <v>0</v>
      </c>
      <c r="I88" s="2">
        <v>5</v>
      </c>
      <c r="J88" s="2">
        <v>0</v>
      </c>
      <c r="K88" s="2">
        <v>5</v>
      </c>
      <c r="L88" s="2">
        <v>0</v>
      </c>
      <c r="M88" s="2">
        <v>5</v>
      </c>
      <c r="N88" s="2">
        <v>0</v>
      </c>
      <c r="O88" s="2">
        <v>5</v>
      </c>
      <c r="P88" s="2">
        <v>0</v>
      </c>
      <c r="Q88" s="2">
        <v>60</v>
      </c>
      <c r="R88" s="2">
        <v>0</v>
      </c>
      <c r="S88" s="2">
        <v>9946</v>
      </c>
      <c r="T88" s="3">
        <v>4</v>
      </c>
      <c r="U88" s="2">
        <v>1</v>
      </c>
      <c r="V88" s="2">
        <v>0</v>
      </c>
      <c r="W88" s="2">
        <v>9946</v>
      </c>
      <c r="X88" s="2">
        <v>8598</v>
      </c>
      <c r="Z88" s="2">
        <v>20000</v>
      </c>
      <c r="AA88" s="2">
        <v>0</v>
      </c>
      <c r="AB88" s="2">
        <v>0</v>
      </c>
      <c r="AC88" s="2">
        <v>0</v>
      </c>
      <c r="AD88" s="2">
        <v>1032</v>
      </c>
      <c r="AE88" s="2">
        <v>1072</v>
      </c>
      <c r="AI88" s="2">
        <v>0</v>
      </c>
      <c r="AJ88" s="2" t="s">
        <v>215</v>
      </c>
    </row>
    <row r="89" spans="1:36" s="2" customFormat="1" x14ac:dyDescent="0.15">
      <c r="A89" s="2">
        <v>13</v>
      </c>
      <c r="B89" s="2" t="s">
        <v>214</v>
      </c>
      <c r="C89" s="2">
        <v>1</v>
      </c>
      <c r="D89" s="2">
        <v>6</v>
      </c>
      <c r="E89" s="2">
        <v>1</v>
      </c>
      <c r="F89" s="3">
        <v>80</v>
      </c>
      <c r="G89" s="2">
        <v>0</v>
      </c>
      <c r="H89" s="2">
        <v>0</v>
      </c>
      <c r="I89" s="2">
        <v>5</v>
      </c>
      <c r="J89" s="2">
        <f>I88</f>
        <v>5</v>
      </c>
      <c r="K89" s="2">
        <v>5</v>
      </c>
      <c r="L89" s="2">
        <f>K88</f>
        <v>5</v>
      </c>
      <c r="M89" s="2">
        <v>5</v>
      </c>
      <c r="N89" s="2">
        <f>M88</f>
        <v>5</v>
      </c>
      <c r="O89" s="2">
        <v>5</v>
      </c>
      <c r="P89" s="2">
        <f>O88</f>
        <v>5</v>
      </c>
      <c r="Q89" s="2">
        <v>60</v>
      </c>
      <c r="R89" s="2">
        <v>0</v>
      </c>
      <c r="S89" s="2">
        <v>9946</v>
      </c>
      <c r="T89" s="3">
        <v>4</v>
      </c>
      <c r="U89" s="2">
        <v>1</v>
      </c>
      <c r="V89" s="2">
        <v>0</v>
      </c>
      <c r="W89" s="7" t="s">
        <v>216</v>
      </c>
      <c r="X89" s="2">
        <v>8598</v>
      </c>
      <c r="Z89" s="2">
        <v>20000</v>
      </c>
      <c r="AA89" s="2">
        <v>0</v>
      </c>
      <c r="AB89" s="2">
        <v>0</v>
      </c>
      <c r="AC89" s="2">
        <v>0</v>
      </c>
      <c r="AD89" s="2">
        <v>1032</v>
      </c>
      <c r="AE89" s="2">
        <v>1072</v>
      </c>
      <c r="AF89" s="3">
        <v>370</v>
      </c>
      <c r="AG89" s="3">
        <v>371</v>
      </c>
      <c r="AH89" s="3">
        <v>372</v>
      </c>
      <c r="AI89" s="2">
        <v>0</v>
      </c>
      <c r="AJ89" s="2" t="s">
        <v>215</v>
      </c>
    </row>
    <row r="90" spans="1:36" s="2" customFormat="1" x14ac:dyDescent="0.15">
      <c r="A90" s="2">
        <v>13</v>
      </c>
      <c r="B90" s="2" t="s">
        <v>41</v>
      </c>
      <c r="C90" s="2">
        <v>2</v>
      </c>
      <c r="D90" s="2">
        <v>6</v>
      </c>
      <c r="E90" s="2">
        <v>1</v>
      </c>
      <c r="F90" s="3">
        <v>110</v>
      </c>
      <c r="G90" s="2">
        <v>0</v>
      </c>
      <c r="H90" s="2">
        <v>0</v>
      </c>
      <c r="I90" s="2">
        <v>10</v>
      </c>
      <c r="J90" s="2">
        <f>I88+I89</f>
        <v>10</v>
      </c>
      <c r="K90" s="2">
        <v>10</v>
      </c>
      <c r="L90" s="2">
        <f>K88+K89</f>
        <v>10</v>
      </c>
      <c r="M90" s="2">
        <v>10</v>
      </c>
      <c r="N90" s="2">
        <f>M88+M89</f>
        <v>10</v>
      </c>
      <c r="O90" s="2">
        <v>10</v>
      </c>
      <c r="P90" s="2">
        <f>O88+O89</f>
        <v>10</v>
      </c>
      <c r="Q90" s="2">
        <v>120</v>
      </c>
      <c r="R90" s="2">
        <v>0</v>
      </c>
      <c r="S90" s="2">
        <v>9946</v>
      </c>
      <c r="T90" s="3">
        <v>4</v>
      </c>
      <c r="U90" s="2">
        <v>2</v>
      </c>
      <c r="V90" s="2">
        <v>0</v>
      </c>
      <c r="W90" s="7" t="s">
        <v>217</v>
      </c>
      <c r="X90" s="2">
        <v>8598</v>
      </c>
      <c r="Z90" s="2">
        <v>50000</v>
      </c>
      <c r="AA90" s="2">
        <v>0</v>
      </c>
      <c r="AB90" s="2">
        <v>0</v>
      </c>
      <c r="AC90" s="2">
        <v>0</v>
      </c>
      <c r="AD90" s="2">
        <v>1032</v>
      </c>
      <c r="AE90" s="2">
        <v>1072</v>
      </c>
      <c r="AF90" s="3">
        <v>370</v>
      </c>
      <c r="AG90" s="3">
        <v>371</v>
      </c>
      <c r="AH90" s="3">
        <v>372</v>
      </c>
      <c r="AI90" s="2">
        <v>0</v>
      </c>
      <c r="AJ90" s="2" t="s">
        <v>215</v>
      </c>
    </row>
    <row r="91" spans="1:36" s="2" customFormat="1" x14ac:dyDescent="0.15">
      <c r="A91" s="2">
        <v>13</v>
      </c>
      <c r="B91" s="2" t="s">
        <v>41</v>
      </c>
      <c r="C91" s="2">
        <v>3</v>
      </c>
      <c r="D91" s="2">
        <v>6</v>
      </c>
      <c r="E91" s="2">
        <v>1</v>
      </c>
      <c r="F91" s="3">
        <v>140</v>
      </c>
      <c r="G91" s="2">
        <v>0</v>
      </c>
      <c r="H91" s="2">
        <v>0</v>
      </c>
      <c r="I91" s="2">
        <v>50</v>
      </c>
      <c r="J91" s="2">
        <f t="shared" ref="J91:L94" si="36">I89+I90</f>
        <v>15</v>
      </c>
      <c r="K91" s="2">
        <v>50</v>
      </c>
      <c r="L91" s="2">
        <f t="shared" si="36"/>
        <v>15</v>
      </c>
      <c r="M91" s="2">
        <v>50</v>
      </c>
      <c r="N91" s="2">
        <f t="shared" ref="N91:N94" si="37">M89+M90</f>
        <v>15</v>
      </c>
      <c r="O91" s="2">
        <v>50</v>
      </c>
      <c r="P91" s="2">
        <f t="shared" ref="P91:P94" si="38">O89+O90</f>
        <v>15</v>
      </c>
      <c r="Q91" s="2">
        <v>300</v>
      </c>
      <c r="R91" s="2">
        <v>0</v>
      </c>
      <c r="S91" s="2">
        <v>9946</v>
      </c>
      <c r="T91" s="3">
        <v>4</v>
      </c>
      <c r="U91" s="2">
        <v>3</v>
      </c>
      <c r="V91" s="2">
        <v>0</v>
      </c>
      <c r="W91" s="7" t="s">
        <v>218</v>
      </c>
      <c r="X91" s="2">
        <v>8598</v>
      </c>
      <c r="Z91" s="2">
        <v>100000</v>
      </c>
      <c r="AA91" s="2">
        <v>0</v>
      </c>
      <c r="AB91" s="2">
        <v>0</v>
      </c>
      <c r="AC91" s="2">
        <v>0</v>
      </c>
      <c r="AD91" s="2">
        <v>1032</v>
      </c>
      <c r="AE91" s="2">
        <v>1072</v>
      </c>
      <c r="AF91" s="3">
        <v>373</v>
      </c>
      <c r="AG91" s="3">
        <v>374</v>
      </c>
      <c r="AH91" s="3">
        <v>375</v>
      </c>
      <c r="AI91" s="2">
        <v>0</v>
      </c>
      <c r="AJ91" s="2" t="s">
        <v>215</v>
      </c>
    </row>
    <row r="92" spans="1:36" s="2" customFormat="1" x14ac:dyDescent="0.15">
      <c r="A92" s="2">
        <v>13</v>
      </c>
      <c r="B92" s="2" t="s">
        <v>41</v>
      </c>
      <c r="C92" s="2">
        <v>4</v>
      </c>
      <c r="D92" s="2">
        <v>6</v>
      </c>
      <c r="E92" s="2">
        <v>1</v>
      </c>
      <c r="F92" s="3">
        <v>170</v>
      </c>
      <c r="G92" s="2">
        <v>0</v>
      </c>
      <c r="H92" s="2">
        <v>0</v>
      </c>
      <c r="I92" s="2">
        <v>100</v>
      </c>
      <c r="J92" s="2">
        <f t="shared" si="36"/>
        <v>60</v>
      </c>
      <c r="K92" s="2">
        <v>100</v>
      </c>
      <c r="L92" s="2">
        <f t="shared" si="36"/>
        <v>60</v>
      </c>
      <c r="M92" s="2">
        <v>100</v>
      </c>
      <c r="N92" s="2">
        <f t="shared" si="37"/>
        <v>60</v>
      </c>
      <c r="O92" s="2">
        <v>100</v>
      </c>
      <c r="P92" s="2">
        <f t="shared" si="38"/>
        <v>60</v>
      </c>
      <c r="Q92" s="2">
        <v>600</v>
      </c>
      <c r="R92" s="2">
        <v>0</v>
      </c>
      <c r="S92" s="2">
        <v>9946</v>
      </c>
      <c r="T92" s="3">
        <v>4</v>
      </c>
      <c r="U92" s="2">
        <v>4</v>
      </c>
      <c r="V92" s="2">
        <v>0</v>
      </c>
      <c r="W92" s="7" t="s">
        <v>219</v>
      </c>
      <c r="X92" s="2">
        <v>8598</v>
      </c>
      <c r="Z92" s="2">
        <v>200000</v>
      </c>
      <c r="AA92" s="2">
        <v>0</v>
      </c>
      <c r="AB92" s="2">
        <v>0</v>
      </c>
      <c r="AC92" s="2">
        <v>0</v>
      </c>
      <c r="AD92" s="2">
        <v>1032</v>
      </c>
      <c r="AE92" s="2">
        <v>1072</v>
      </c>
      <c r="AF92" s="3">
        <v>373</v>
      </c>
      <c r="AG92" s="3">
        <v>374</v>
      </c>
      <c r="AH92" s="3">
        <v>375</v>
      </c>
      <c r="AI92" s="2">
        <v>0</v>
      </c>
      <c r="AJ92" s="2" t="s">
        <v>215</v>
      </c>
    </row>
    <row r="93" spans="1:36" s="2" customFormat="1" x14ac:dyDescent="0.15">
      <c r="A93" s="2">
        <v>13</v>
      </c>
      <c r="B93" s="2" t="s">
        <v>41</v>
      </c>
      <c r="C93" s="2">
        <v>5</v>
      </c>
      <c r="D93" s="2">
        <v>6</v>
      </c>
      <c r="E93" s="2">
        <v>1</v>
      </c>
      <c r="F93" s="3">
        <v>200</v>
      </c>
      <c r="G93" s="2">
        <v>0</v>
      </c>
      <c r="H93" s="2">
        <v>0</v>
      </c>
      <c r="I93" s="2">
        <v>200</v>
      </c>
      <c r="J93" s="2">
        <f t="shared" si="36"/>
        <v>150</v>
      </c>
      <c r="K93" s="2">
        <v>200</v>
      </c>
      <c r="L93" s="2">
        <f t="shared" si="36"/>
        <v>150</v>
      </c>
      <c r="M93" s="2">
        <v>200</v>
      </c>
      <c r="N93" s="2">
        <f t="shared" si="37"/>
        <v>150</v>
      </c>
      <c r="O93" s="2">
        <v>200</v>
      </c>
      <c r="P93" s="2">
        <f t="shared" si="38"/>
        <v>150</v>
      </c>
      <c r="Q93" s="2">
        <v>1200</v>
      </c>
      <c r="R93" s="2">
        <v>0</v>
      </c>
      <c r="S93" s="2">
        <v>9946</v>
      </c>
      <c r="T93" s="3">
        <v>4</v>
      </c>
      <c r="U93" s="2">
        <v>5</v>
      </c>
      <c r="V93" s="2">
        <v>0</v>
      </c>
      <c r="W93" s="7" t="s">
        <v>38</v>
      </c>
      <c r="X93" s="2">
        <v>8598</v>
      </c>
      <c r="Z93" s="2">
        <v>500000</v>
      </c>
      <c r="AA93" s="2">
        <v>0</v>
      </c>
      <c r="AB93" s="2">
        <v>0</v>
      </c>
      <c r="AC93" s="2">
        <v>0</v>
      </c>
      <c r="AD93" s="2">
        <v>1032</v>
      </c>
      <c r="AE93" s="2">
        <v>1072</v>
      </c>
      <c r="AF93" s="3">
        <v>376</v>
      </c>
      <c r="AG93" s="3">
        <v>377</v>
      </c>
      <c r="AH93" s="3">
        <v>378</v>
      </c>
      <c r="AI93" s="2">
        <v>0</v>
      </c>
      <c r="AJ93" s="2" t="s">
        <v>215</v>
      </c>
    </row>
    <row r="94" spans="1:36" s="2" customFormat="1" x14ac:dyDescent="0.15">
      <c r="A94" s="2">
        <v>13</v>
      </c>
      <c r="B94" s="2" t="s">
        <v>41</v>
      </c>
      <c r="C94" s="2">
        <v>6</v>
      </c>
      <c r="D94" s="2">
        <v>6</v>
      </c>
      <c r="E94" s="2">
        <v>1</v>
      </c>
      <c r="F94" s="3">
        <v>230</v>
      </c>
      <c r="G94" s="2">
        <v>0</v>
      </c>
      <c r="H94" s="2">
        <v>0</v>
      </c>
      <c r="I94" s="2">
        <v>500</v>
      </c>
      <c r="J94" s="2">
        <f t="shared" si="36"/>
        <v>300</v>
      </c>
      <c r="K94" s="2">
        <v>500</v>
      </c>
      <c r="L94" s="2">
        <f t="shared" si="36"/>
        <v>300</v>
      </c>
      <c r="M94" s="2">
        <v>500</v>
      </c>
      <c r="N94" s="2">
        <f t="shared" si="37"/>
        <v>300</v>
      </c>
      <c r="O94" s="2">
        <v>500</v>
      </c>
      <c r="P94" s="2">
        <f t="shared" si="38"/>
        <v>300</v>
      </c>
      <c r="Q94" s="2">
        <v>3000</v>
      </c>
      <c r="R94" s="2">
        <v>0</v>
      </c>
      <c r="S94" s="2">
        <v>9946</v>
      </c>
      <c r="T94" s="3">
        <v>4</v>
      </c>
      <c r="U94" s="2">
        <v>6</v>
      </c>
      <c r="V94" s="2">
        <v>0</v>
      </c>
      <c r="W94" s="7" t="s">
        <v>220</v>
      </c>
      <c r="X94" s="2">
        <v>8598</v>
      </c>
      <c r="Z94" s="2">
        <v>1000000</v>
      </c>
      <c r="AA94" s="2">
        <v>0</v>
      </c>
      <c r="AB94" s="2">
        <v>0</v>
      </c>
      <c r="AC94" s="2">
        <v>0</v>
      </c>
      <c r="AD94" s="2">
        <v>1032</v>
      </c>
      <c r="AE94" s="2">
        <v>1072</v>
      </c>
      <c r="AF94" s="3">
        <v>376</v>
      </c>
      <c r="AG94" s="3">
        <v>377</v>
      </c>
      <c r="AH94" s="3">
        <v>378</v>
      </c>
      <c r="AI94" s="2">
        <v>0</v>
      </c>
      <c r="AJ94" s="2" t="s">
        <v>215</v>
      </c>
    </row>
    <row r="95" spans="1:36" s="3" customFormat="1" x14ac:dyDescent="0.15">
      <c r="A95" s="3">
        <v>14</v>
      </c>
      <c r="B95" s="3" t="s">
        <v>221</v>
      </c>
      <c r="C95" s="3">
        <v>0</v>
      </c>
      <c r="D95" s="3">
        <v>6</v>
      </c>
      <c r="E95" s="3">
        <v>1</v>
      </c>
      <c r="F95" s="3">
        <v>50</v>
      </c>
      <c r="G95" s="3">
        <v>0</v>
      </c>
      <c r="H95" s="2">
        <v>0</v>
      </c>
      <c r="I95" s="3">
        <v>5</v>
      </c>
      <c r="J95" s="2">
        <v>0</v>
      </c>
      <c r="K95" s="3">
        <v>5</v>
      </c>
      <c r="L95" s="2">
        <v>0</v>
      </c>
      <c r="M95" s="3">
        <v>5</v>
      </c>
      <c r="N95" s="2">
        <v>0</v>
      </c>
      <c r="O95" s="3">
        <v>5</v>
      </c>
      <c r="P95" s="2">
        <v>0</v>
      </c>
      <c r="Q95" s="3">
        <v>60</v>
      </c>
      <c r="R95" s="3">
        <v>0</v>
      </c>
      <c r="S95" s="3">
        <v>9946</v>
      </c>
      <c r="T95" s="3">
        <v>4</v>
      </c>
      <c r="U95" s="3">
        <v>1</v>
      </c>
      <c r="V95" s="2">
        <v>0</v>
      </c>
      <c r="W95" s="2">
        <v>9946</v>
      </c>
      <c r="X95" s="2">
        <v>4857</v>
      </c>
      <c r="Z95" s="3">
        <v>20000</v>
      </c>
      <c r="AA95" s="3">
        <v>0</v>
      </c>
      <c r="AB95" s="3">
        <v>0</v>
      </c>
      <c r="AC95" s="3">
        <v>0</v>
      </c>
      <c r="AD95" s="3">
        <v>1033</v>
      </c>
      <c r="AE95" s="3">
        <v>1073</v>
      </c>
      <c r="AI95" s="3">
        <v>0</v>
      </c>
      <c r="AJ95" s="3" t="s">
        <v>222</v>
      </c>
    </row>
    <row r="96" spans="1:36" s="3" customFormat="1" x14ac:dyDescent="0.15">
      <c r="A96" s="3">
        <v>14</v>
      </c>
      <c r="B96" s="3" t="s">
        <v>221</v>
      </c>
      <c r="C96" s="3">
        <v>1</v>
      </c>
      <c r="D96" s="3">
        <v>6</v>
      </c>
      <c r="E96" s="3">
        <v>1</v>
      </c>
      <c r="F96" s="3">
        <v>80</v>
      </c>
      <c r="G96" s="3">
        <v>0</v>
      </c>
      <c r="H96" s="2">
        <v>0</v>
      </c>
      <c r="I96" s="3">
        <v>5</v>
      </c>
      <c r="J96" s="2">
        <f>I95</f>
        <v>5</v>
      </c>
      <c r="K96" s="3">
        <v>5</v>
      </c>
      <c r="L96" s="2">
        <f>K95</f>
        <v>5</v>
      </c>
      <c r="M96" s="3">
        <v>5</v>
      </c>
      <c r="N96" s="2">
        <f>M95</f>
        <v>5</v>
      </c>
      <c r="O96" s="3">
        <v>5</v>
      </c>
      <c r="P96" s="2">
        <f>O95</f>
        <v>5</v>
      </c>
      <c r="Q96" s="3">
        <v>60</v>
      </c>
      <c r="R96" s="3">
        <v>0</v>
      </c>
      <c r="S96" s="3">
        <v>9946</v>
      </c>
      <c r="T96" s="3">
        <v>4</v>
      </c>
      <c r="U96" s="3">
        <v>1</v>
      </c>
      <c r="V96" s="2">
        <v>0</v>
      </c>
      <c r="W96" s="7" t="s">
        <v>223</v>
      </c>
      <c r="X96" s="2">
        <v>4857</v>
      </c>
      <c r="Z96" s="3">
        <v>20000</v>
      </c>
      <c r="AA96" s="3">
        <v>0</v>
      </c>
      <c r="AB96" s="3">
        <v>0</v>
      </c>
      <c r="AC96" s="3">
        <v>0</v>
      </c>
      <c r="AD96" s="3">
        <v>1033</v>
      </c>
      <c r="AE96" s="3">
        <v>1073</v>
      </c>
      <c r="AF96" s="3">
        <v>370</v>
      </c>
      <c r="AG96" s="3">
        <v>371</v>
      </c>
      <c r="AH96" s="3">
        <v>372</v>
      </c>
      <c r="AI96" s="3">
        <v>0</v>
      </c>
      <c r="AJ96" s="3" t="s">
        <v>222</v>
      </c>
    </row>
    <row r="97" spans="1:36" s="3" customFormat="1" x14ac:dyDescent="0.15">
      <c r="A97" s="3">
        <v>14</v>
      </c>
      <c r="B97" s="3" t="s">
        <v>224</v>
      </c>
      <c r="C97" s="3">
        <v>2</v>
      </c>
      <c r="D97" s="3">
        <v>6</v>
      </c>
      <c r="E97" s="3">
        <v>1</v>
      </c>
      <c r="F97" s="3">
        <v>110</v>
      </c>
      <c r="G97" s="3">
        <v>0</v>
      </c>
      <c r="H97" s="2">
        <v>0</v>
      </c>
      <c r="I97" s="3">
        <v>10</v>
      </c>
      <c r="J97" s="2">
        <f>I95+I96</f>
        <v>10</v>
      </c>
      <c r="K97" s="3">
        <v>10</v>
      </c>
      <c r="L97" s="2">
        <f>K95+K96</f>
        <v>10</v>
      </c>
      <c r="M97" s="3">
        <v>10</v>
      </c>
      <c r="N97" s="2">
        <f>M95+M96</f>
        <v>10</v>
      </c>
      <c r="O97" s="3">
        <v>10</v>
      </c>
      <c r="P97" s="2">
        <f>O95+O96</f>
        <v>10</v>
      </c>
      <c r="Q97" s="3">
        <v>120</v>
      </c>
      <c r="R97" s="3">
        <v>0</v>
      </c>
      <c r="S97" s="3">
        <v>9946</v>
      </c>
      <c r="T97" s="3">
        <v>4</v>
      </c>
      <c r="U97" s="3">
        <v>2</v>
      </c>
      <c r="V97" s="2">
        <v>0</v>
      </c>
      <c r="W97" s="7" t="s">
        <v>225</v>
      </c>
      <c r="X97" s="2">
        <v>4857</v>
      </c>
      <c r="Z97" s="3">
        <v>50000</v>
      </c>
      <c r="AA97" s="3">
        <v>0</v>
      </c>
      <c r="AB97" s="3">
        <v>0</v>
      </c>
      <c r="AC97" s="3">
        <v>0</v>
      </c>
      <c r="AD97" s="3">
        <v>1033</v>
      </c>
      <c r="AE97" s="3">
        <v>1073</v>
      </c>
      <c r="AF97" s="3">
        <v>370</v>
      </c>
      <c r="AG97" s="3">
        <v>371</v>
      </c>
      <c r="AH97" s="3">
        <v>372</v>
      </c>
      <c r="AI97" s="3">
        <v>0</v>
      </c>
      <c r="AJ97" s="3" t="s">
        <v>222</v>
      </c>
    </row>
    <row r="98" spans="1:36" s="3" customFormat="1" x14ac:dyDescent="0.15">
      <c r="A98" s="3">
        <v>14</v>
      </c>
      <c r="B98" s="3" t="s">
        <v>224</v>
      </c>
      <c r="C98" s="3">
        <v>3</v>
      </c>
      <c r="D98" s="3">
        <v>6</v>
      </c>
      <c r="E98" s="3">
        <v>1</v>
      </c>
      <c r="F98" s="3">
        <v>140</v>
      </c>
      <c r="G98" s="3">
        <v>0</v>
      </c>
      <c r="H98" s="2">
        <v>0</v>
      </c>
      <c r="I98" s="3">
        <v>50</v>
      </c>
      <c r="J98" s="2">
        <f t="shared" ref="J98:L101" si="39">I96+I97</f>
        <v>15</v>
      </c>
      <c r="K98" s="3">
        <v>50</v>
      </c>
      <c r="L98" s="2">
        <f t="shared" si="39"/>
        <v>15</v>
      </c>
      <c r="M98" s="3">
        <v>50</v>
      </c>
      <c r="N98" s="2">
        <f t="shared" ref="N98:N101" si="40">M96+M97</f>
        <v>15</v>
      </c>
      <c r="O98" s="3">
        <v>50</v>
      </c>
      <c r="P98" s="2">
        <f t="shared" ref="P98:P101" si="41">O96+O97</f>
        <v>15</v>
      </c>
      <c r="Q98" s="3">
        <v>300</v>
      </c>
      <c r="R98" s="3">
        <v>0</v>
      </c>
      <c r="S98" s="3">
        <v>9946</v>
      </c>
      <c r="T98" s="3">
        <v>4</v>
      </c>
      <c r="U98" s="3">
        <v>3</v>
      </c>
      <c r="V98" s="2">
        <v>0</v>
      </c>
      <c r="W98" s="7" t="s">
        <v>226</v>
      </c>
      <c r="X98" s="2">
        <v>4857</v>
      </c>
      <c r="Z98" s="3">
        <v>100000</v>
      </c>
      <c r="AA98" s="3">
        <v>0</v>
      </c>
      <c r="AB98" s="3">
        <v>0</v>
      </c>
      <c r="AC98" s="3">
        <v>0</v>
      </c>
      <c r="AD98" s="3">
        <v>1033</v>
      </c>
      <c r="AE98" s="3">
        <v>1073</v>
      </c>
      <c r="AF98" s="3">
        <v>373</v>
      </c>
      <c r="AG98" s="3">
        <v>374</v>
      </c>
      <c r="AH98" s="3">
        <v>375</v>
      </c>
      <c r="AI98" s="3">
        <v>0</v>
      </c>
      <c r="AJ98" s="3" t="s">
        <v>222</v>
      </c>
    </row>
    <row r="99" spans="1:36" s="3" customFormat="1" x14ac:dyDescent="0.15">
      <c r="A99" s="3">
        <v>14</v>
      </c>
      <c r="B99" s="3" t="s">
        <v>224</v>
      </c>
      <c r="C99" s="3">
        <v>4</v>
      </c>
      <c r="D99" s="3">
        <v>6</v>
      </c>
      <c r="E99" s="3">
        <v>1</v>
      </c>
      <c r="F99" s="3">
        <v>170</v>
      </c>
      <c r="G99" s="3">
        <v>0</v>
      </c>
      <c r="H99" s="2">
        <v>0</v>
      </c>
      <c r="I99" s="3">
        <v>100</v>
      </c>
      <c r="J99" s="2">
        <f t="shared" si="39"/>
        <v>60</v>
      </c>
      <c r="K99" s="3">
        <v>100</v>
      </c>
      <c r="L99" s="2">
        <f t="shared" si="39"/>
        <v>60</v>
      </c>
      <c r="M99" s="3">
        <v>100</v>
      </c>
      <c r="N99" s="2">
        <f t="shared" si="40"/>
        <v>60</v>
      </c>
      <c r="O99" s="3">
        <v>100</v>
      </c>
      <c r="P99" s="2">
        <f t="shared" si="41"/>
        <v>60</v>
      </c>
      <c r="Q99" s="3">
        <v>600</v>
      </c>
      <c r="R99" s="3">
        <v>0</v>
      </c>
      <c r="S99" s="3">
        <v>9946</v>
      </c>
      <c r="T99" s="3">
        <v>4</v>
      </c>
      <c r="U99" s="3">
        <v>4</v>
      </c>
      <c r="V99" s="2">
        <v>0</v>
      </c>
      <c r="W99" s="7" t="s">
        <v>227</v>
      </c>
      <c r="X99" s="2">
        <v>4857</v>
      </c>
      <c r="Z99" s="3">
        <v>200000</v>
      </c>
      <c r="AA99" s="3">
        <v>0</v>
      </c>
      <c r="AB99" s="3">
        <v>0</v>
      </c>
      <c r="AC99" s="3">
        <v>0</v>
      </c>
      <c r="AD99" s="3">
        <v>1033</v>
      </c>
      <c r="AE99" s="3">
        <v>1073</v>
      </c>
      <c r="AF99" s="3">
        <v>373</v>
      </c>
      <c r="AG99" s="3">
        <v>374</v>
      </c>
      <c r="AH99" s="3">
        <v>375</v>
      </c>
      <c r="AI99" s="3">
        <v>0</v>
      </c>
      <c r="AJ99" s="3" t="s">
        <v>222</v>
      </c>
    </row>
    <row r="100" spans="1:36" s="3" customFormat="1" x14ac:dyDescent="0.15">
      <c r="A100" s="3">
        <v>14</v>
      </c>
      <c r="B100" s="3" t="s">
        <v>224</v>
      </c>
      <c r="C100" s="3">
        <v>5</v>
      </c>
      <c r="D100" s="3">
        <v>6</v>
      </c>
      <c r="E100" s="3">
        <v>1</v>
      </c>
      <c r="F100" s="3">
        <v>200</v>
      </c>
      <c r="G100" s="3">
        <v>0</v>
      </c>
      <c r="H100" s="2">
        <v>0</v>
      </c>
      <c r="I100" s="3">
        <v>200</v>
      </c>
      <c r="J100" s="2">
        <f t="shared" si="39"/>
        <v>150</v>
      </c>
      <c r="K100" s="3">
        <v>200</v>
      </c>
      <c r="L100" s="2">
        <f t="shared" si="39"/>
        <v>150</v>
      </c>
      <c r="M100" s="3">
        <v>200</v>
      </c>
      <c r="N100" s="2">
        <f t="shared" si="40"/>
        <v>150</v>
      </c>
      <c r="O100" s="3">
        <v>200</v>
      </c>
      <c r="P100" s="2">
        <f t="shared" si="41"/>
        <v>150</v>
      </c>
      <c r="Q100" s="3">
        <v>1200</v>
      </c>
      <c r="R100" s="3">
        <v>0</v>
      </c>
      <c r="S100" s="3">
        <v>9946</v>
      </c>
      <c r="T100" s="3">
        <v>4</v>
      </c>
      <c r="U100" s="3">
        <v>5</v>
      </c>
      <c r="V100" s="2">
        <v>0</v>
      </c>
      <c r="W100" s="7" t="s">
        <v>228</v>
      </c>
      <c r="X100" s="2">
        <v>4857</v>
      </c>
      <c r="Z100" s="3">
        <v>500000</v>
      </c>
      <c r="AA100" s="3">
        <v>0</v>
      </c>
      <c r="AB100" s="3">
        <v>0</v>
      </c>
      <c r="AC100" s="3">
        <v>0</v>
      </c>
      <c r="AD100" s="3">
        <v>1033</v>
      </c>
      <c r="AE100" s="3">
        <v>1073</v>
      </c>
      <c r="AF100" s="3">
        <v>376</v>
      </c>
      <c r="AG100" s="3">
        <v>377</v>
      </c>
      <c r="AH100" s="3">
        <v>378</v>
      </c>
      <c r="AI100" s="3">
        <v>0</v>
      </c>
      <c r="AJ100" s="3" t="s">
        <v>222</v>
      </c>
    </row>
    <row r="101" spans="1:36" s="3" customFormat="1" x14ac:dyDescent="0.15">
      <c r="A101" s="3">
        <v>14</v>
      </c>
      <c r="B101" s="3" t="s">
        <v>224</v>
      </c>
      <c r="C101" s="3">
        <v>6</v>
      </c>
      <c r="D101" s="3">
        <v>6</v>
      </c>
      <c r="E101" s="3">
        <v>1</v>
      </c>
      <c r="F101" s="3">
        <v>230</v>
      </c>
      <c r="G101" s="3">
        <v>0</v>
      </c>
      <c r="H101" s="2">
        <v>0</v>
      </c>
      <c r="I101" s="3">
        <v>500</v>
      </c>
      <c r="J101" s="2">
        <f t="shared" si="39"/>
        <v>300</v>
      </c>
      <c r="K101" s="3">
        <v>500</v>
      </c>
      <c r="L101" s="2">
        <f t="shared" si="39"/>
        <v>300</v>
      </c>
      <c r="M101" s="3">
        <v>500</v>
      </c>
      <c r="N101" s="2">
        <f t="shared" si="40"/>
        <v>300</v>
      </c>
      <c r="O101" s="3">
        <v>500</v>
      </c>
      <c r="P101" s="2">
        <f t="shared" si="41"/>
        <v>300</v>
      </c>
      <c r="Q101" s="3">
        <v>3000</v>
      </c>
      <c r="R101" s="3">
        <v>0</v>
      </c>
      <c r="S101" s="3">
        <v>9946</v>
      </c>
      <c r="T101" s="3">
        <v>4</v>
      </c>
      <c r="U101" s="3">
        <v>6</v>
      </c>
      <c r="V101" s="2">
        <v>0</v>
      </c>
      <c r="W101" s="7" t="s">
        <v>229</v>
      </c>
      <c r="X101" s="2">
        <v>4857</v>
      </c>
      <c r="Z101" s="3">
        <v>1000000</v>
      </c>
      <c r="AA101" s="3">
        <v>0</v>
      </c>
      <c r="AB101" s="3">
        <v>0</v>
      </c>
      <c r="AC101" s="3">
        <v>0</v>
      </c>
      <c r="AD101" s="3">
        <v>1033</v>
      </c>
      <c r="AE101" s="3">
        <v>1073</v>
      </c>
      <c r="AF101" s="3">
        <v>376</v>
      </c>
      <c r="AG101" s="3">
        <v>377</v>
      </c>
      <c r="AH101" s="3">
        <v>378</v>
      </c>
      <c r="AI101" s="3">
        <v>0</v>
      </c>
      <c r="AJ101" s="3" t="s">
        <v>222</v>
      </c>
    </row>
    <row r="102" spans="1:36" s="2" customFormat="1" x14ac:dyDescent="0.15">
      <c r="A102" s="2">
        <v>15</v>
      </c>
      <c r="B102" s="2" t="s">
        <v>231</v>
      </c>
      <c r="C102" s="2">
        <v>0</v>
      </c>
      <c r="D102" s="2">
        <v>6</v>
      </c>
      <c r="E102" s="2">
        <v>1</v>
      </c>
      <c r="F102" s="3">
        <v>50</v>
      </c>
      <c r="G102" s="2">
        <v>0</v>
      </c>
      <c r="H102" s="2">
        <v>0</v>
      </c>
      <c r="I102" s="2">
        <v>5</v>
      </c>
      <c r="J102" s="2">
        <v>0</v>
      </c>
      <c r="K102" s="2">
        <v>5</v>
      </c>
      <c r="L102" s="2">
        <v>0</v>
      </c>
      <c r="M102" s="2">
        <v>5</v>
      </c>
      <c r="N102" s="2">
        <v>0</v>
      </c>
      <c r="O102" s="2">
        <v>5</v>
      </c>
      <c r="P102" s="2">
        <v>0</v>
      </c>
      <c r="Q102" s="2">
        <v>60</v>
      </c>
      <c r="R102" s="2">
        <v>0</v>
      </c>
      <c r="S102" s="2">
        <v>9946</v>
      </c>
      <c r="T102" s="3">
        <v>4</v>
      </c>
      <c r="U102" s="2">
        <v>1</v>
      </c>
      <c r="V102" s="2">
        <v>0</v>
      </c>
      <c r="W102" s="2">
        <v>9946</v>
      </c>
      <c r="X102" s="2">
        <v>8600</v>
      </c>
      <c r="Z102" s="2">
        <v>20000</v>
      </c>
      <c r="AA102" s="2">
        <v>0</v>
      </c>
      <c r="AB102" s="2">
        <v>0</v>
      </c>
      <c r="AC102" s="2">
        <v>0</v>
      </c>
      <c r="AD102" s="2">
        <v>1034</v>
      </c>
      <c r="AE102" s="2">
        <v>1074</v>
      </c>
      <c r="AI102" s="2">
        <v>0</v>
      </c>
      <c r="AJ102" s="2" t="s">
        <v>233</v>
      </c>
    </row>
    <row r="103" spans="1:36" s="2" customFormat="1" x14ac:dyDescent="0.15">
      <c r="A103" s="2">
        <v>15</v>
      </c>
      <c r="B103" s="2" t="s">
        <v>231</v>
      </c>
      <c r="C103" s="2">
        <v>1</v>
      </c>
      <c r="D103" s="2">
        <v>6</v>
      </c>
      <c r="E103" s="2">
        <v>1</v>
      </c>
      <c r="F103" s="3">
        <v>80</v>
      </c>
      <c r="G103" s="2">
        <v>0</v>
      </c>
      <c r="H103" s="2">
        <v>0</v>
      </c>
      <c r="I103" s="2">
        <v>5</v>
      </c>
      <c r="J103" s="2">
        <f>I102</f>
        <v>5</v>
      </c>
      <c r="K103" s="2">
        <v>5</v>
      </c>
      <c r="L103" s="2">
        <f>K102</f>
        <v>5</v>
      </c>
      <c r="M103" s="2">
        <v>5</v>
      </c>
      <c r="N103" s="2">
        <f>M102</f>
        <v>5</v>
      </c>
      <c r="O103" s="2">
        <v>5</v>
      </c>
      <c r="P103" s="2">
        <f>O102</f>
        <v>5</v>
      </c>
      <c r="Q103" s="2">
        <v>60</v>
      </c>
      <c r="R103" s="2">
        <v>0</v>
      </c>
      <c r="S103" s="2">
        <v>9946</v>
      </c>
      <c r="T103" s="3">
        <v>4</v>
      </c>
      <c r="U103" s="2">
        <v>1</v>
      </c>
      <c r="V103" s="2">
        <v>0</v>
      </c>
      <c r="W103" s="7" t="s">
        <v>234</v>
      </c>
      <c r="X103" s="2">
        <v>8600</v>
      </c>
      <c r="Z103" s="2">
        <v>20000</v>
      </c>
      <c r="AA103" s="2">
        <v>0</v>
      </c>
      <c r="AB103" s="2">
        <v>0</v>
      </c>
      <c r="AC103" s="2">
        <v>0</v>
      </c>
      <c r="AD103" s="2">
        <v>1034</v>
      </c>
      <c r="AE103" s="2">
        <v>1074</v>
      </c>
      <c r="AF103" s="3">
        <v>370</v>
      </c>
      <c r="AG103" s="3">
        <v>371</v>
      </c>
      <c r="AH103" s="3">
        <v>372</v>
      </c>
      <c r="AI103" s="2">
        <v>0</v>
      </c>
      <c r="AJ103" s="2" t="s">
        <v>232</v>
      </c>
    </row>
    <row r="104" spans="1:36" s="2" customFormat="1" x14ac:dyDescent="0.15">
      <c r="A104" s="2">
        <v>15</v>
      </c>
      <c r="B104" s="2" t="s">
        <v>230</v>
      </c>
      <c r="C104" s="2">
        <v>2</v>
      </c>
      <c r="D104" s="2">
        <v>6</v>
      </c>
      <c r="E104" s="2">
        <v>1</v>
      </c>
      <c r="F104" s="3">
        <v>110</v>
      </c>
      <c r="G104" s="2">
        <v>0</v>
      </c>
      <c r="H104" s="2">
        <v>0</v>
      </c>
      <c r="I104" s="2">
        <v>10</v>
      </c>
      <c r="J104" s="2">
        <f>I102+I103</f>
        <v>10</v>
      </c>
      <c r="K104" s="2">
        <v>10</v>
      </c>
      <c r="L104" s="2">
        <f>K102+K103</f>
        <v>10</v>
      </c>
      <c r="M104" s="2">
        <v>10</v>
      </c>
      <c r="N104" s="2">
        <f>M102+M103</f>
        <v>10</v>
      </c>
      <c r="O104" s="2">
        <v>10</v>
      </c>
      <c r="P104" s="2">
        <f>O102+O103</f>
        <v>10</v>
      </c>
      <c r="Q104" s="2">
        <v>120</v>
      </c>
      <c r="R104" s="2">
        <v>0</v>
      </c>
      <c r="S104" s="2">
        <v>9946</v>
      </c>
      <c r="T104" s="3">
        <v>4</v>
      </c>
      <c r="U104" s="2">
        <v>2</v>
      </c>
      <c r="V104" s="2">
        <v>0</v>
      </c>
      <c r="W104" s="7" t="s">
        <v>235</v>
      </c>
      <c r="X104" s="2">
        <v>8600</v>
      </c>
      <c r="Z104" s="2">
        <v>50000</v>
      </c>
      <c r="AA104" s="2">
        <v>0</v>
      </c>
      <c r="AB104" s="2">
        <v>0</v>
      </c>
      <c r="AC104" s="2">
        <v>0</v>
      </c>
      <c r="AD104" s="2">
        <v>1034</v>
      </c>
      <c r="AE104" s="2">
        <v>1074</v>
      </c>
      <c r="AF104" s="3">
        <v>370</v>
      </c>
      <c r="AG104" s="3">
        <v>371</v>
      </c>
      <c r="AH104" s="3">
        <v>372</v>
      </c>
      <c r="AI104" s="2">
        <v>0</v>
      </c>
      <c r="AJ104" s="2" t="s">
        <v>232</v>
      </c>
    </row>
    <row r="105" spans="1:36" s="2" customFormat="1" x14ac:dyDescent="0.15">
      <c r="A105" s="2">
        <v>15</v>
      </c>
      <c r="B105" s="2" t="s">
        <v>230</v>
      </c>
      <c r="C105" s="2">
        <v>3</v>
      </c>
      <c r="D105" s="2">
        <v>6</v>
      </c>
      <c r="E105" s="2">
        <v>1</v>
      </c>
      <c r="F105" s="3">
        <v>140</v>
      </c>
      <c r="G105" s="2">
        <v>0</v>
      </c>
      <c r="H105" s="2">
        <v>0</v>
      </c>
      <c r="I105" s="2">
        <v>50</v>
      </c>
      <c r="J105" s="2">
        <f t="shared" ref="J105:L108" si="42">I103+I104</f>
        <v>15</v>
      </c>
      <c r="K105" s="2">
        <v>50</v>
      </c>
      <c r="L105" s="2">
        <f t="shared" si="42"/>
        <v>15</v>
      </c>
      <c r="M105" s="2">
        <v>50</v>
      </c>
      <c r="N105" s="2">
        <f t="shared" ref="N105:N108" si="43">M103+M104</f>
        <v>15</v>
      </c>
      <c r="O105" s="2">
        <v>50</v>
      </c>
      <c r="P105" s="2">
        <f t="shared" ref="P105:P108" si="44">O103+O104</f>
        <v>15</v>
      </c>
      <c r="Q105" s="2">
        <v>300</v>
      </c>
      <c r="R105" s="2">
        <v>0</v>
      </c>
      <c r="S105" s="2">
        <v>9946</v>
      </c>
      <c r="T105" s="3">
        <v>4</v>
      </c>
      <c r="U105" s="2">
        <v>3</v>
      </c>
      <c r="V105" s="2">
        <v>0</v>
      </c>
      <c r="W105" s="7" t="s">
        <v>236</v>
      </c>
      <c r="X105" s="2">
        <v>8600</v>
      </c>
      <c r="Z105" s="2">
        <v>100000</v>
      </c>
      <c r="AA105" s="2">
        <v>0</v>
      </c>
      <c r="AB105" s="2">
        <v>0</v>
      </c>
      <c r="AC105" s="2">
        <v>0</v>
      </c>
      <c r="AD105" s="2">
        <v>1034</v>
      </c>
      <c r="AE105" s="2">
        <v>1074</v>
      </c>
      <c r="AF105" s="3">
        <v>373</v>
      </c>
      <c r="AG105" s="3">
        <v>374</v>
      </c>
      <c r="AH105" s="3">
        <v>375</v>
      </c>
      <c r="AI105" s="2">
        <v>0</v>
      </c>
      <c r="AJ105" s="2" t="s">
        <v>232</v>
      </c>
    </row>
    <row r="106" spans="1:36" s="2" customFormat="1" x14ac:dyDescent="0.15">
      <c r="A106" s="2">
        <v>15</v>
      </c>
      <c r="B106" s="2" t="s">
        <v>230</v>
      </c>
      <c r="C106" s="2">
        <v>4</v>
      </c>
      <c r="D106" s="2">
        <v>6</v>
      </c>
      <c r="E106" s="2">
        <v>1</v>
      </c>
      <c r="F106" s="3">
        <v>170</v>
      </c>
      <c r="G106" s="2">
        <v>0</v>
      </c>
      <c r="H106" s="2">
        <v>0</v>
      </c>
      <c r="I106" s="2">
        <v>100</v>
      </c>
      <c r="J106" s="2">
        <f t="shared" si="42"/>
        <v>60</v>
      </c>
      <c r="K106" s="2">
        <v>100</v>
      </c>
      <c r="L106" s="2">
        <f t="shared" si="42"/>
        <v>60</v>
      </c>
      <c r="M106" s="2">
        <v>100</v>
      </c>
      <c r="N106" s="2">
        <f t="shared" si="43"/>
        <v>60</v>
      </c>
      <c r="O106" s="2">
        <v>100</v>
      </c>
      <c r="P106" s="2">
        <f t="shared" si="44"/>
        <v>60</v>
      </c>
      <c r="Q106" s="2">
        <v>600</v>
      </c>
      <c r="R106" s="2">
        <v>0</v>
      </c>
      <c r="S106" s="2">
        <v>9946</v>
      </c>
      <c r="T106" s="3">
        <v>4</v>
      </c>
      <c r="U106" s="2">
        <v>4</v>
      </c>
      <c r="V106" s="2">
        <v>0</v>
      </c>
      <c r="W106" s="7" t="s">
        <v>237</v>
      </c>
      <c r="X106" s="2">
        <v>8600</v>
      </c>
      <c r="Z106" s="2">
        <v>200000</v>
      </c>
      <c r="AA106" s="2">
        <v>0</v>
      </c>
      <c r="AB106" s="2">
        <v>0</v>
      </c>
      <c r="AC106" s="2">
        <v>0</v>
      </c>
      <c r="AD106" s="2">
        <v>1034</v>
      </c>
      <c r="AE106" s="2">
        <v>1074</v>
      </c>
      <c r="AF106" s="3">
        <v>373</v>
      </c>
      <c r="AG106" s="3">
        <v>374</v>
      </c>
      <c r="AH106" s="3">
        <v>375</v>
      </c>
      <c r="AI106" s="2">
        <v>0</v>
      </c>
      <c r="AJ106" s="2" t="s">
        <v>232</v>
      </c>
    </row>
    <row r="107" spans="1:36" s="2" customFormat="1" x14ac:dyDescent="0.15">
      <c r="A107" s="2">
        <v>15</v>
      </c>
      <c r="B107" s="2" t="s">
        <v>230</v>
      </c>
      <c r="C107" s="2">
        <v>5</v>
      </c>
      <c r="D107" s="2">
        <v>6</v>
      </c>
      <c r="E107" s="2">
        <v>1</v>
      </c>
      <c r="F107" s="3">
        <v>200</v>
      </c>
      <c r="G107" s="2">
        <v>0</v>
      </c>
      <c r="H107" s="2">
        <v>0</v>
      </c>
      <c r="I107" s="2">
        <v>200</v>
      </c>
      <c r="J107" s="2">
        <f t="shared" si="42"/>
        <v>150</v>
      </c>
      <c r="K107" s="2">
        <v>200</v>
      </c>
      <c r="L107" s="2">
        <f t="shared" si="42"/>
        <v>150</v>
      </c>
      <c r="M107" s="2">
        <v>200</v>
      </c>
      <c r="N107" s="2">
        <f t="shared" si="43"/>
        <v>150</v>
      </c>
      <c r="O107" s="2">
        <v>200</v>
      </c>
      <c r="P107" s="2">
        <f t="shared" si="44"/>
        <v>150</v>
      </c>
      <c r="Q107" s="2">
        <v>1200</v>
      </c>
      <c r="R107" s="2">
        <v>0</v>
      </c>
      <c r="S107" s="2">
        <v>9946</v>
      </c>
      <c r="T107" s="3">
        <v>4</v>
      </c>
      <c r="U107" s="2">
        <v>5</v>
      </c>
      <c r="V107" s="2">
        <v>0</v>
      </c>
      <c r="W107" s="7" t="s">
        <v>238</v>
      </c>
      <c r="X107" s="2">
        <v>8600</v>
      </c>
      <c r="Z107" s="2">
        <v>500000</v>
      </c>
      <c r="AA107" s="2">
        <v>0</v>
      </c>
      <c r="AB107" s="2">
        <v>0</v>
      </c>
      <c r="AC107" s="2">
        <v>0</v>
      </c>
      <c r="AD107" s="2">
        <v>1034</v>
      </c>
      <c r="AE107" s="2">
        <v>1074</v>
      </c>
      <c r="AF107" s="3">
        <v>376</v>
      </c>
      <c r="AG107" s="3">
        <v>377</v>
      </c>
      <c r="AH107" s="3">
        <v>378</v>
      </c>
      <c r="AI107" s="2">
        <v>0</v>
      </c>
      <c r="AJ107" s="2" t="s">
        <v>232</v>
      </c>
    </row>
    <row r="108" spans="1:36" s="2" customFormat="1" x14ac:dyDescent="0.15">
      <c r="A108" s="2">
        <v>15</v>
      </c>
      <c r="B108" s="2" t="s">
        <v>230</v>
      </c>
      <c r="C108" s="2">
        <v>6</v>
      </c>
      <c r="D108" s="2">
        <v>6</v>
      </c>
      <c r="E108" s="2">
        <v>1</v>
      </c>
      <c r="F108" s="3">
        <v>230</v>
      </c>
      <c r="G108" s="2">
        <v>0</v>
      </c>
      <c r="H108" s="2">
        <v>0</v>
      </c>
      <c r="I108" s="2">
        <v>500</v>
      </c>
      <c r="J108" s="2">
        <f t="shared" si="42"/>
        <v>300</v>
      </c>
      <c r="K108" s="2">
        <v>500</v>
      </c>
      <c r="L108" s="2">
        <f t="shared" si="42"/>
        <v>300</v>
      </c>
      <c r="M108" s="2">
        <v>500</v>
      </c>
      <c r="N108" s="2">
        <f t="shared" si="43"/>
        <v>300</v>
      </c>
      <c r="O108" s="2">
        <v>500</v>
      </c>
      <c r="P108" s="2">
        <f t="shared" si="44"/>
        <v>300</v>
      </c>
      <c r="Q108" s="2">
        <v>3000</v>
      </c>
      <c r="R108" s="2">
        <v>0</v>
      </c>
      <c r="S108" s="2">
        <v>9946</v>
      </c>
      <c r="T108" s="3">
        <v>4</v>
      </c>
      <c r="U108" s="2">
        <v>6</v>
      </c>
      <c r="V108" s="2">
        <v>0</v>
      </c>
      <c r="W108" s="7" t="s">
        <v>39</v>
      </c>
      <c r="X108" s="2">
        <v>8600</v>
      </c>
      <c r="Z108" s="2">
        <v>1000000</v>
      </c>
      <c r="AA108" s="2">
        <v>0</v>
      </c>
      <c r="AB108" s="2">
        <v>0</v>
      </c>
      <c r="AC108" s="2">
        <v>0</v>
      </c>
      <c r="AD108" s="2">
        <v>1034</v>
      </c>
      <c r="AE108" s="2">
        <v>1074</v>
      </c>
      <c r="AF108" s="3">
        <v>376</v>
      </c>
      <c r="AG108" s="3">
        <v>377</v>
      </c>
      <c r="AH108" s="3">
        <v>378</v>
      </c>
      <c r="AI108" s="2">
        <v>0</v>
      </c>
      <c r="AJ108" s="2" t="s">
        <v>232</v>
      </c>
    </row>
    <row r="109" spans="1:36" s="3" customFormat="1" x14ac:dyDescent="0.15">
      <c r="A109" s="3">
        <v>16</v>
      </c>
      <c r="B109" s="3" t="s">
        <v>42</v>
      </c>
      <c r="C109" s="3">
        <v>0</v>
      </c>
      <c r="D109" s="3">
        <v>6</v>
      </c>
      <c r="E109" s="3">
        <v>1</v>
      </c>
      <c r="F109" s="3">
        <v>50</v>
      </c>
      <c r="G109" s="3">
        <v>0</v>
      </c>
      <c r="H109" s="2">
        <v>0</v>
      </c>
      <c r="I109" s="3">
        <v>5</v>
      </c>
      <c r="J109" s="2">
        <v>0</v>
      </c>
      <c r="K109" s="3">
        <v>5</v>
      </c>
      <c r="L109" s="2">
        <v>0</v>
      </c>
      <c r="M109" s="3">
        <v>5</v>
      </c>
      <c r="N109" s="2">
        <v>0</v>
      </c>
      <c r="O109" s="3">
        <v>5</v>
      </c>
      <c r="P109" s="2">
        <v>0</v>
      </c>
      <c r="Q109" s="3">
        <v>60</v>
      </c>
      <c r="R109" s="3">
        <v>0</v>
      </c>
      <c r="S109" s="3">
        <v>9946</v>
      </c>
      <c r="T109" s="3">
        <v>11</v>
      </c>
      <c r="U109" s="3">
        <v>1</v>
      </c>
      <c r="V109" s="2">
        <v>0</v>
      </c>
      <c r="W109" s="2">
        <v>9946</v>
      </c>
      <c r="X109" s="2"/>
      <c r="Z109" s="3">
        <v>20000</v>
      </c>
      <c r="AA109" s="3">
        <v>0</v>
      </c>
      <c r="AB109" s="3">
        <v>0</v>
      </c>
      <c r="AC109" s="3">
        <v>0</v>
      </c>
      <c r="AD109" s="2">
        <v>1035</v>
      </c>
      <c r="AE109" s="3">
        <v>1075</v>
      </c>
      <c r="AI109" s="3">
        <v>0</v>
      </c>
      <c r="AJ109" s="3" t="s">
        <v>239</v>
      </c>
    </row>
    <row r="110" spans="1:36" s="3" customFormat="1" x14ac:dyDescent="0.15">
      <c r="A110" s="3">
        <v>16</v>
      </c>
      <c r="B110" s="3" t="s">
        <v>42</v>
      </c>
      <c r="C110" s="3">
        <v>1</v>
      </c>
      <c r="D110" s="3">
        <v>6</v>
      </c>
      <c r="E110" s="3">
        <v>1</v>
      </c>
      <c r="F110" s="3">
        <v>80</v>
      </c>
      <c r="G110" s="3">
        <v>0</v>
      </c>
      <c r="H110" s="2">
        <v>0</v>
      </c>
      <c r="I110" s="3">
        <v>5</v>
      </c>
      <c r="J110" s="2">
        <f>I109</f>
        <v>5</v>
      </c>
      <c r="K110" s="3">
        <v>5</v>
      </c>
      <c r="L110" s="2">
        <f>K109</f>
        <v>5</v>
      </c>
      <c r="M110" s="3">
        <v>5</v>
      </c>
      <c r="N110" s="2">
        <f>M109</f>
        <v>5</v>
      </c>
      <c r="O110" s="3">
        <v>5</v>
      </c>
      <c r="P110" s="2">
        <f>O109</f>
        <v>5</v>
      </c>
      <c r="Q110" s="3">
        <v>60</v>
      </c>
      <c r="R110" s="3">
        <v>0</v>
      </c>
      <c r="S110" s="3">
        <v>9946</v>
      </c>
      <c r="T110" s="3">
        <v>11</v>
      </c>
      <c r="U110" s="3">
        <v>1</v>
      </c>
      <c r="V110" s="2">
        <v>0</v>
      </c>
      <c r="W110" s="7" t="s">
        <v>240</v>
      </c>
      <c r="X110" s="7"/>
      <c r="Z110" s="3">
        <v>20000</v>
      </c>
      <c r="AA110" s="3">
        <v>0</v>
      </c>
      <c r="AB110" s="3">
        <v>0</v>
      </c>
      <c r="AC110" s="3">
        <v>0</v>
      </c>
      <c r="AD110" s="2">
        <v>1035</v>
      </c>
      <c r="AE110" s="3">
        <v>1075</v>
      </c>
      <c r="AF110" s="2">
        <v>388</v>
      </c>
      <c r="AG110" s="2">
        <v>389</v>
      </c>
      <c r="AH110" s="2">
        <v>390</v>
      </c>
      <c r="AI110" s="3">
        <v>0</v>
      </c>
      <c r="AJ110" s="3" t="s">
        <v>241</v>
      </c>
    </row>
    <row r="111" spans="1:36" s="3" customFormat="1" x14ac:dyDescent="0.15">
      <c r="A111" s="3">
        <v>16</v>
      </c>
      <c r="B111" s="3" t="s">
        <v>42</v>
      </c>
      <c r="C111" s="3">
        <v>2</v>
      </c>
      <c r="D111" s="3">
        <v>6</v>
      </c>
      <c r="E111" s="3">
        <v>1</v>
      </c>
      <c r="F111" s="3">
        <v>110</v>
      </c>
      <c r="G111" s="3">
        <v>0</v>
      </c>
      <c r="H111" s="2">
        <v>0</v>
      </c>
      <c r="I111" s="3">
        <v>10</v>
      </c>
      <c r="J111" s="2">
        <f>I109+I110</f>
        <v>10</v>
      </c>
      <c r="K111" s="3">
        <v>10</v>
      </c>
      <c r="L111" s="2">
        <f>K109+K110</f>
        <v>10</v>
      </c>
      <c r="M111" s="3">
        <v>10</v>
      </c>
      <c r="N111" s="2">
        <f>M109+M110</f>
        <v>10</v>
      </c>
      <c r="O111" s="3">
        <v>10</v>
      </c>
      <c r="P111" s="2">
        <f>O109+O110</f>
        <v>10</v>
      </c>
      <c r="Q111" s="3">
        <v>120</v>
      </c>
      <c r="R111" s="3">
        <v>0</v>
      </c>
      <c r="S111" s="3">
        <v>9946</v>
      </c>
      <c r="T111" s="3">
        <v>11</v>
      </c>
      <c r="U111" s="3">
        <v>2</v>
      </c>
      <c r="V111" s="2">
        <v>0</v>
      </c>
      <c r="W111" s="7" t="s">
        <v>242</v>
      </c>
      <c r="X111" s="7"/>
      <c r="Z111" s="3">
        <v>50000</v>
      </c>
      <c r="AA111" s="3">
        <v>0</v>
      </c>
      <c r="AB111" s="3">
        <v>0</v>
      </c>
      <c r="AC111" s="3">
        <v>0</v>
      </c>
      <c r="AD111" s="2">
        <v>1035</v>
      </c>
      <c r="AE111" s="3">
        <v>1075</v>
      </c>
      <c r="AF111" s="2">
        <v>388</v>
      </c>
      <c r="AG111" s="2">
        <v>389</v>
      </c>
      <c r="AH111" s="2">
        <v>390</v>
      </c>
      <c r="AI111" s="3">
        <v>0</v>
      </c>
      <c r="AJ111" s="3" t="s">
        <v>241</v>
      </c>
    </row>
    <row r="112" spans="1:36" s="3" customFormat="1" x14ac:dyDescent="0.15">
      <c r="A112" s="3">
        <v>16</v>
      </c>
      <c r="B112" s="3" t="s">
        <v>42</v>
      </c>
      <c r="C112" s="3">
        <v>3</v>
      </c>
      <c r="D112" s="3">
        <v>6</v>
      </c>
      <c r="E112" s="3">
        <v>1</v>
      </c>
      <c r="F112" s="3">
        <v>140</v>
      </c>
      <c r="G112" s="3">
        <v>0</v>
      </c>
      <c r="H112" s="2">
        <v>0</v>
      </c>
      <c r="I112" s="3">
        <v>50</v>
      </c>
      <c r="J112" s="2">
        <f t="shared" ref="J112:L115" si="45">I110+I111</f>
        <v>15</v>
      </c>
      <c r="K112" s="3">
        <v>50</v>
      </c>
      <c r="L112" s="2">
        <f t="shared" si="45"/>
        <v>15</v>
      </c>
      <c r="M112" s="3">
        <v>50</v>
      </c>
      <c r="N112" s="2">
        <f t="shared" ref="N112:N115" si="46">M110+M111</f>
        <v>15</v>
      </c>
      <c r="O112" s="3">
        <v>50</v>
      </c>
      <c r="P112" s="2">
        <f t="shared" ref="P112:P115" si="47">O110+O111</f>
        <v>15</v>
      </c>
      <c r="Q112" s="3">
        <v>300</v>
      </c>
      <c r="R112" s="3">
        <v>0</v>
      </c>
      <c r="S112" s="3">
        <v>9946</v>
      </c>
      <c r="T112" s="3">
        <v>11</v>
      </c>
      <c r="U112" s="3">
        <v>3</v>
      </c>
      <c r="V112" s="2">
        <v>0</v>
      </c>
      <c r="W112" s="7" t="s">
        <v>243</v>
      </c>
      <c r="X112" s="7"/>
      <c r="Z112" s="3">
        <v>100000</v>
      </c>
      <c r="AA112" s="3">
        <v>0</v>
      </c>
      <c r="AB112" s="3">
        <v>0</v>
      </c>
      <c r="AC112" s="3">
        <v>0</v>
      </c>
      <c r="AD112" s="2">
        <v>1035</v>
      </c>
      <c r="AE112" s="3">
        <v>1075</v>
      </c>
      <c r="AF112" s="2">
        <v>391</v>
      </c>
      <c r="AG112" s="2">
        <v>392</v>
      </c>
      <c r="AH112" s="2">
        <v>393</v>
      </c>
      <c r="AI112" s="3">
        <v>0</v>
      </c>
      <c r="AJ112" s="3" t="s">
        <v>241</v>
      </c>
    </row>
    <row r="113" spans="1:36" s="3" customFormat="1" x14ac:dyDescent="0.15">
      <c r="A113" s="3">
        <v>16</v>
      </c>
      <c r="B113" s="3" t="s">
        <v>42</v>
      </c>
      <c r="C113" s="3">
        <v>4</v>
      </c>
      <c r="D113" s="3">
        <v>6</v>
      </c>
      <c r="E113" s="3">
        <v>1</v>
      </c>
      <c r="F113" s="3">
        <v>170</v>
      </c>
      <c r="G113" s="3">
        <v>0</v>
      </c>
      <c r="H113" s="2">
        <v>0</v>
      </c>
      <c r="I113" s="3">
        <v>100</v>
      </c>
      <c r="J113" s="2">
        <f t="shared" si="45"/>
        <v>60</v>
      </c>
      <c r="K113" s="3">
        <v>100</v>
      </c>
      <c r="L113" s="2">
        <f t="shared" si="45"/>
        <v>60</v>
      </c>
      <c r="M113" s="3">
        <v>100</v>
      </c>
      <c r="N113" s="2">
        <f t="shared" si="46"/>
        <v>60</v>
      </c>
      <c r="O113" s="3">
        <v>100</v>
      </c>
      <c r="P113" s="2">
        <f t="shared" si="47"/>
        <v>60</v>
      </c>
      <c r="Q113" s="3">
        <v>600</v>
      </c>
      <c r="R113" s="3">
        <v>0</v>
      </c>
      <c r="S113" s="3">
        <v>9946</v>
      </c>
      <c r="T113" s="3">
        <v>11</v>
      </c>
      <c r="U113" s="3">
        <v>4</v>
      </c>
      <c r="V113" s="2">
        <v>0</v>
      </c>
      <c r="W113" s="7" t="s">
        <v>244</v>
      </c>
      <c r="X113" s="7"/>
      <c r="Z113" s="3">
        <v>200000</v>
      </c>
      <c r="AA113" s="3">
        <v>0</v>
      </c>
      <c r="AB113" s="3">
        <v>0</v>
      </c>
      <c r="AC113" s="3">
        <v>0</v>
      </c>
      <c r="AD113" s="2">
        <v>1035</v>
      </c>
      <c r="AE113" s="3">
        <v>1075</v>
      </c>
      <c r="AF113" s="2">
        <v>391</v>
      </c>
      <c r="AG113" s="2">
        <v>392</v>
      </c>
      <c r="AH113" s="2">
        <v>393</v>
      </c>
      <c r="AI113" s="3">
        <v>0</v>
      </c>
      <c r="AJ113" s="3" t="s">
        <v>241</v>
      </c>
    </row>
    <row r="114" spans="1:36" s="3" customFormat="1" x14ac:dyDescent="0.15">
      <c r="A114" s="3">
        <v>16</v>
      </c>
      <c r="B114" s="3" t="s">
        <v>42</v>
      </c>
      <c r="C114" s="3">
        <v>5</v>
      </c>
      <c r="D114" s="3">
        <v>6</v>
      </c>
      <c r="E114" s="3">
        <v>1</v>
      </c>
      <c r="F114" s="3">
        <v>200</v>
      </c>
      <c r="G114" s="3">
        <v>0</v>
      </c>
      <c r="H114" s="2">
        <v>0</v>
      </c>
      <c r="I114" s="3">
        <v>200</v>
      </c>
      <c r="J114" s="2">
        <f t="shared" si="45"/>
        <v>150</v>
      </c>
      <c r="K114" s="3">
        <v>200</v>
      </c>
      <c r="L114" s="2">
        <f t="shared" si="45"/>
        <v>150</v>
      </c>
      <c r="M114" s="3">
        <v>200</v>
      </c>
      <c r="N114" s="2">
        <f t="shared" si="46"/>
        <v>150</v>
      </c>
      <c r="O114" s="3">
        <v>200</v>
      </c>
      <c r="P114" s="2">
        <f t="shared" si="47"/>
        <v>150</v>
      </c>
      <c r="Q114" s="3">
        <v>1200</v>
      </c>
      <c r="R114" s="3">
        <v>0</v>
      </c>
      <c r="S114" s="3">
        <v>9946</v>
      </c>
      <c r="T114" s="3">
        <v>11</v>
      </c>
      <c r="U114" s="3">
        <v>5</v>
      </c>
      <c r="V114" s="2">
        <v>0</v>
      </c>
      <c r="W114" s="7" t="s">
        <v>245</v>
      </c>
      <c r="X114" s="7"/>
      <c r="Z114" s="3">
        <v>500000</v>
      </c>
      <c r="AA114" s="3">
        <v>0</v>
      </c>
      <c r="AB114" s="3">
        <v>0</v>
      </c>
      <c r="AC114" s="3">
        <v>0</v>
      </c>
      <c r="AD114" s="2">
        <v>1035</v>
      </c>
      <c r="AE114" s="3">
        <v>1075</v>
      </c>
      <c r="AF114" s="2">
        <v>394</v>
      </c>
      <c r="AG114" s="2">
        <v>395</v>
      </c>
      <c r="AH114" s="2">
        <v>396</v>
      </c>
      <c r="AI114" s="3">
        <v>0</v>
      </c>
      <c r="AJ114" s="3" t="s">
        <v>241</v>
      </c>
    </row>
    <row r="115" spans="1:36" s="3" customFormat="1" x14ac:dyDescent="0.15">
      <c r="A115" s="3">
        <v>16</v>
      </c>
      <c r="B115" s="3" t="s">
        <v>42</v>
      </c>
      <c r="C115" s="3">
        <v>6</v>
      </c>
      <c r="D115" s="3">
        <v>6</v>
      </c>
      <c r="E115" s="3">
        <v>1</v>
      </c>
      <c r="F115" s="3">
        <v>230</v>
      </c>
      <c r="G115" s="3">
        <v>0</v>
      </c>
      <c r="H115" s="2">
        <v>0</v>
      </c>
      <c r="I115" s="3">
        <v>500</v>
      </c>
      <c r="J115" s="2">
        <f t="shared" si="45"/>
        <v>300</v>
      </c>
      <c r="K115" s="3">
        <v>500</v>
      </c>
      <c r="L115" s="2">
        <f t="shared" si="45"/>
        <v>300</v>
      </c>
      <c r="M115" s="3">
        <v>500</v>
      </c>
      <c r="N115" s="2">
        <f t="shared" si="46"/>
        <v>300</v>
      </c>
      <c r="O115" s="3">
        <v>500</v>
      </c>
      <c r="P115" s="2">
        <f t="shared" si="47"/>
        <v>300</v>
      </c>
      <c r="Q115" s="3">
        <v>3000</v>
      </c>
      <c r="R115" s="3">
        <v>0</v>
      </c>
      <c r="S115" s="3">
        <v>9946</v>
      </c>
      <c r="T115" s="3">
        <v>11</v>
      </c>
      <c r="U115" s="3">
        <v>6</v>
      </c>
      <c r="V115" s="2">
        <v>0</v>
      </c>
      <c r="W115" s="7" t="s">
        <v>246</v>
      </c>
      <c r="X115" s="7"/>
      <c r="Z115" s="3">
        <v>1000000</v>
      </c>
      <c r="AA115" s="3">
        <v>0</v>
      </c>
      <c r="AB115" s="3">
        <v>0</v>
      </c>
      <c r="AC115" s="3">
        <v>0</v>
      </c>
      <c r="AD115" s="2">
        <v>1035</v>
      </c>
      <c r="AE115" s="3">
        <v>1075</v>
      </c>
      <c r="AF115" s="2">
        <v>394</v>
      </c>
      <c r="AG115" s="2">
        <v>395</v>
      </c>
      <c r="AH115" s="2">
        <v>396</v>
      </c>
      <c r="AI115" s="3">
        <v>0</v>
      </c>
      <c r="AJ115" s="3" t="s">
        <v>241</v>
      </c>
    </row>
    <row r="116" spans="1:36" s="2" customFormat="1" x14ac:dyDescent="0.15">
      <c r="A116" s="2">
        <v>17</v>
      </c>
      <c r="B116" s="2" t="s">
        <v>247</v>
      </c>
      <c r="C116" s="2">
        <v>0</v>
      </c>
      <c r="D116" s="2">
        <v>6</v>
      </c>
      <c r="E116" s="2">
        <v>1</v>
      </c>
      <c r="F116" s="3">
        <v>50</v>
      </c>
      <c r="G116" s="2">
        <v>0</v>
      </c>
      <c r="H116" s="2">
        <v>0</v>
      </c>
      <c r="I116" s="2">
        <v>5</v>
      </c>
      <c r="J116" s="2">
        <v>0</v>
      </c>
      <c r="K116" s="2">
        <v>5</v>
      </c>
      <c r="L116" s="2">
        <v>0</v>
      </c>
      <c r="M116" s="2">
        <v>5</v>
      </c>
      <c r="N116" s="2">
        <v>0</v>
      </c>
      <c r="O116" s="2">
        <v>5</v>
      </c>
      <c r="P116" s="2">
        <v>0</v>
      </c>
      <c r="Q116" s="2">
        <v>60</v>
      </c>
      <c r="R116" s="2">
        <v>0</v>
      </c>
      <c r="S116" s="2">
        <v>9946</v>
      </c>
      <c r="T116" s="2">
        <v>11</v>
      </c>
      <c r="U116" s="2">
        <v>1</v>
      </c>
      <c r="V116" s="2">
        <v>0</v>
      </c>
      <c r="W116" s="2">
        <v>9946</v>
      </c>
      <c r="Z116" s="2">
        <v>20000</v>
      </c>
      <c r="AA116" s="2">
        <v>0</v>
      </c>
      <c r="AB116" s="2">
        <v>0</v>
      </c>
      <c r="AC116" s="2">
        <v>0</v>
      </c>
      <c r="AD116" s="2">
        <v>1036</v>
      </c>
      <c r="AE116" s="2">
        <v>1076</v>
      </c>
      <c r="AI116" s="2">
        <v>0</v>
      </c>
      <c r="AJ116" s="2" t="s">
        <v>248</v>
      </c>
    </row>
    <row r="117" spans="1:36" s="2" customFormat="1" x14ac:dyDescent="0.15">
      <c r="A117" s="2">
        <v>17</v>
      </c>
      <c r="B117" s="2" t="s">
        <v>247</v>
      </c>
      <c r="C117" s="2">
        <v>1</v>
      </c>
      <c r="D117" s="2">
        <v>6</v>
      </c>
      <c r="E117" s="2">
        <v>1</v>
      </c>
      <c r="F117" s="3">
        <v>80</v>
      </c>
      <c r="G117" s="2">
        <v>0</v>
      </c>
      <c r="H117" s="2">
        <v>0</v>
      </c>
      <c r="I117" s="2">
        <v>5</v>
      </c>
      <c r="J117" s="2">
        <f>I116</f>
        <v>5</v>
      </c>
      <c r="K117" s="2">
        <v>5</v>
      </c>
      <c r="L117" s="2">
        <f>K116</f>
        <v>5</v>
      </c>
      <c r="M117" s="2">
        <v>5</v>
      </c>
      <c r="N117" s="2">
        <f>M116</f>
        <v>5</v>
      </c>
      <c r="O117" s="2">
        <v>5</v>
      </c>
      <c r="P117" s="2">
        <f>O116</f>
        <v>5</v>
      </c>
      <c r="Q117" s="2">
        <v>60</v>
      </c>
      <c r="R117" s="2">
        <v>0</v>
      </c>
      <c r="S117" s="2">
        <v>9946</v>
      </c>
      <c r="T117" s="2">
        <v>11</v>
      </c>
      <c r="U117" s="2">
        <v>1</v>
      </c>
      <c r="V117" s="2">
        <v>0</v>
      </c>
      <c r="W117" s="7" t="s">
        <v>249</v>
      </c>
      <c r="X117" s="7"/>
      <c r="Z117" s="2">
        <v>20000</v>
      </c>
      <c r="AA117" s="2">
        <v>0</v>
      </c>
      <c r="AB117" s="2">
        <v>0</v>
      </c>
      <c r="AC117" s="2">
        <v>0</v>
      </c>
      <c r="AD117" s="2">
        <v>1036</v>
      </c>
      <c r="AE117" s="2">
        <v>1076</v>
      </c>
      <c r="AF117" s="2">
        <v>388</v>
      </c>
      <c r="AG117" s="2">
        <v>389</v>
      </c>
      <c r="AH117" s="2">
        <v>390</v>
      </c>
      <c r="AI117" s="2">
        <v>0</v>
      </c>
      <c r="AJ117" s="2" t="s">
        <v>250</v>
      </c>
    </row>
    <row r="118" spans="1:36" s="2" customFormat="1" x14ac:dyDescent="0.15">
      <c r="A118" s="2">
        <v>17</v>
      </c>
      <c r="B118" s="2" t="s">
        <v>247</v>
      </c>
      <c r="C118" s="2">
        <v>2</v>
      </c>
      <c r="D118" s="2">
        <v>6</v>
      </c>
      <c r="E118" s="2">
        <v>1</v>
      </c>
      <c r="F118" s="3">
        <v>110</v>
      </c>
      <c r="G118" s="2">
        <v>0</v>
      </c>
      <c r="H118" s="2">
        <v>0</v>
      </c>
      <c r="I118" s="2">
        <v>10</v>
      </c>
      <c r="J118" s="2">
        <f>I116+I117</f>
        <v>10</v>
      </c>
      <c r="K118" s="2">
        <v>10</v>
      </c>
      <c r="L118" s="2">
        <f>K116+K117</f>
        <v>10</v>
      </c>
      <c r="M118" s="2">
        <v>10</v>
      </c>
      <c r="N118" s="2">
        <f>M116+M117</f>
        <v>10</v>
      </c>
      <c r="O118" s="2">
        <v>10</v>
      </c>
      <c r="P118" s="2">
        <f>O116+O117</f>
        <v>10</v>
      </c>
      <c r="Q118" s="2">
        <v>120</v>
      </c>
      <c r="R118" s="2">
        <v>0</v>
      </c>
      <c r="S118" s="2">
        <v>9946</v>
      </c>
      <c r="T118" s="2">
        <v>11</v>
      </c>
      <c r="U118" s="2">
        <v>2</v>
      </c>
      <c r="V118" s="2">
        <v>0</v>
      </c>
      <c r="W118" s="7" t="s">
        <v>251</v>
      </c>
      <c r="X118" s="7"/>
      <c r="Z118" s="2">
        <v>50000</v>
      </c>
      <c r="AA118" s="2">
        <v>0</v>
      </c>
      <c r="AB118" s="2">
        <v>0</v>
      </c>
      <c r="AC118" s="2">
        <v>0</v>
      </c>
      <c r="AD118" s="2">
        <v>1036</v>
      </c>
      <c r="AE118" s="2">
        <v>1076</v>
      </c>
      <c r="AF118" s="2">
        <v>388</v>
      </c>
      <c r="AG118" s="2">
        <v>389</v>
      </c>
      <c r="AH118" s="2">
        <v>390</v>
      </c>
      <c r="AI118" s="2">
        <v>0</v>
      </c>
      <c r="AJ118" s="2" t="s">
        <v>250</v>
      </c>
    </row>
    <row r="119" spans="1:36" s="2" customFormat="1" x14ac:dyDescent="0.15">
      <c r="A119" s="2">
        <v>17</v>
      </c>
      <c r="B119" s="2" t="s">
        <v>247</v>
      </c>
      <c r="C119" s="2">
        <v>3</v>
      </c>
      <c r="D119" s="2">
        <v>6</v>
      </c>
      <c r="E119" s="2">
        <v>1</v>
      </c>
      <c r="F119" s="3">
        <v>140</v>
      </c>
      <c r="G119" s="2">
        <v>0</v>
      </c>
      <c r="H119" s="2">
        <v>0</v>
      </c>
      <c r="I119" s="2">
        <v>50</v>
      </c>
      <c r="J119" s="2">
        <f t="shared" ref="J119:L122" si="48">I117+I118</f>
        <v>15</v>
      </c>
      <c r="K119" s="2">
        <v>50</v>
      </c>
      <c r="L119" s="2">
        <f t="shared" si="48"/>
        <v>15</v>
      </c>
      <c r="M119" s="2">
        <v>50</v>
      </c>
      <c r="N119" s="2">
        <f t="shared" ref="N119:N122" si="49">M117+M118</f>
        <v>15</v>
      </c>
      <c r="O119" s="2">
        <v>50</v>
      </c>
      <c r="P119" s="2">
        <f t="shared" ref="P119:P122" si="50">O117+O118</f>
        <v>15</v>
      </c>
      <c r="Q119" s="2">
        <v>300</v>
      </c>
      <c r="R119" s="2">
        <v>0</v>
      </c>
      <c r="S119" s="2">
        <v>9946</v>
      </c>
      <c r="T119" s="2">
        <v>11</v>
      </c>
      <c r="U119" s="2">
        <v>3</v>
      </c>
      <c r="V119" s="2">
        <v>0</v>
      </c>
      <c r="W119" s="7" t="s">
        <v>252</v>
      </c>
      <c r="X119" s="7"/>
      <c r="Z119" s="2">
        <v>100000</v>
      </c>
      <c r="AA119" s="2">
        <v>0</v>
      </c>
      <c r="AB119" s="2">
        <v>0</v>
      </c>
      <c r="AC119" s="2">
        <v>0</v>
      </c>
      <c r="AD119" s="2">
        <v>1036</v>
      </c>
      <c r="AE119" s="2">
        <v>1076</v>
      </c>
      <c r="AF119" s="2">
        <v>391</v>
      </c>
      <c r="AG119" s="2">
        <v>392</v>
      </c>
      <c r="AH119" s="2">
        <v>393</v>
      </c>
      <c r="AI119" s="2">
        <v>0</v>
      </c>
      <c r="AJ119" s="2" t="s">
        <v>250</v>
      </c>
    </row>
    <row r="120" spans="1:36" s="2" customFormat="1" x14ac:dyDescent="0.15">
      <c r="A120" s="2">
        <v>17</v>
      </c>
      <c r="B120" s="2" t="s">
        <v>247</v>
      </c>
      <c r="C120" s="2">
        <v>4</v>
      </c>
      <c r="D120" s="2">
        <v>6</v>
      </c>
      <c r="E120" s="2">
        <v>1</v>
      </c>
      <c r="F120" s="3">
        <v>170</v>
      </c>
      <c r="G120" s="2">
        <v>0</v>
      </c>
      <c r="H120" s="2">
        <v>0</v>
      </c>
      <c r="I120" s="2">
        <v>100</v>
      </c>
      <c r="J120" s="2">
        <f t="shared" si="48"/>
        <v>60</v>
      </c>
      <c r="K120" s="2">
        <v>100</v>
      </c>
      <c r="L120" s="2">
        <f t="shared" si="48"/>
        <v>60</v>
      </c>
      <c r="M120" s="2">
        <v>100</v>
      </c>
      <c r="N120" s="2">
        <f t="shared" si="49"/>
        <v>60</v>
      </c>
      <c r="O120" s="2">
        <v>100</v>
      </c>
      <c r="P120" s="2">
        <f t="shared" si="50"/>
        <v>60</v>
      </c>
      <c r="Q120" s="2">
        <v>600</v>
      </c>
      <c r="R120" s="2">
        <v>0</v>
      </c>
      <c r="S120" s="2">
        <v>9946</v>
      </c>
      <c r="T120" s="2">
        <v>11</v>
      </c>
      <c r="U120" s="2">
        <v>4</v>
      </c>
      <c r="V120" s="2">
        <v>0</v>
      </c>
      <c r="W120" s="7" t="s">
        <v>253</v>
      </c>
      <c r="X120" s="7"/>
      <c r="Z120" s="2">
        <v>200000</v>
      </c>
      <c r="AA120" s="2">
        <v>0</v>
      </c>
      <c r="AB120" s="2">
        <v>0</v>
      </c>
      <c r="AC120" s="2">
        <v>0</v>
      </c>
      <c r="AD120" s="2">
        <v>1036</v>
      </c>
      <c r="AE120" s="2">
        <v>1076</v>
      </c>
      <c r="AF120" s="2">
        <v>391</v>
      </c>
      <c r="AG120" s="2">
        <v>392</v>
      </c>
      <c r="AH120" s="2">
        <v>393</v>
      </c>
      <c r="AI120" s="2">
        <v>0</v>
      </c>
      <c r="AJ120" s="2" t="s">
        <v>250</v>
      </c>
    </row>
    <row r="121" spans="1:36" s="2" customFormat="1" x14ac:dyDescent="0.15">
      <c r="A121" s="2">
        <v>17</v>
      </c>
      <c r="B121" s="2" t="s">
        <v>247</v>
      </c>
      <c r="C121" s="2">
        <v>5</v>
      </c>
      <c r="D121" s="2">
        <v>6</v>
      </c>
      <c r="E121" s="2">
        <v>1</v>
      </c>
      <c r="F121" s="3">
        <v>200</v>
      </c>
      <c r="G121" s="2">
        <v>0</v>
      </c>
      <c r="H121" s="2">
        <v>0</v>
      </c>
      <c r="I121" s="2">
        <v>200</v>
      </c>
      <c r="J121" s="2">
        <f t="shared" si="48"/>
        <v>150</v>
      </c>
      <c r="K121" s="2">
        <v>200</v>
      </c>
      <c r="L121" s="2">
        <f t="shared" si="48"/>
        <v>150</v>
      </c>
      <c r="M121" s="2">
        <v>200</v>
      </c>
      <c r="N121" s="2">
        <f t="shared" si="49"/>
        <v>150</v>
      </c>
      <c r="O121" s="2">
        <v>200</v>
      </c>
      <c r="P121" s="2">
        <f t="shared" si="50"/>
        <v>150</v>
      </c>
      <c r="Q121" s="2">
        <v>1200</v>
      </c>
      <c r="R121" s="2">
        <v>0</v>
      </c>
      <c r="S121" s="2">
        <v>9946</v>
      </c>
      <c r="T121" s="2">
        <v>11</v>
      </c>
      <c r="U121" s="2">
        <v>5</v>
      </c>
      <c r="V121" s="2">
        <v>0</v>
      </c>
      <c r="W121" s="7" t="s">
        <v>254</v>
      </c>
      <c r="X121" s="7"/>
      <c r="Z121" s="2">
        <v>500000</v>
      </c>
      <c r="AA121" s="2">
        <v>0</v>
      </c>
      <c r="AB121" s="2">
        <v>0</v>
      </c>
      <c r="AC121" s="2">
        <v>0</v>
      </c>
      <c r="AD121" s="2">
        <v>1036</v>
      </c>
      <c r="AE121" s="2">
        <v>1076</v>
      </c>
      <c r="AF121" s="2">
        <v>394</v>
      </c>
      <c r="AG121" s="2">
        <v>395</v>
      </c>
      <c r="AH121" s="2">
        <v>396</v>
      </c>
      <c r="AI121" s="2">
        <v>0</v>
      </c>
      <c r="AJ121" s="2" t="s">
        <v>250</v>
      </c>
    </row>
    <row r="122" spans="1:36" s="2" customFormat="1" x14ac:dyDescent="0.15">
      <c r="A122" s="2">
        <v>17</v>
      </c>
      <c r="B122" s="2" t="s">
        <v>247</v>
      </c>
      <c r="C122" s="2">
        <v>6</v>
      </c>
      <c r="D122" s="2">
        <v>6</v>
      </c>
      <c r="E122" s="2">
        <v>1</v>
      </c>
      <c r="F122" s="3">
        <v>230</v>
      </c>
      <c r="G122" s="2">
        <v>0</v>
      </c>
      <c r="H122" s="2">
        <v>0</v>
      </c>
      <c r="I122" s="2">
        <v>500</v>
      </c>
      <c r="J122" s="2">
        <f t="shared" si="48"/>
        <v>300</v>
      </c>
      <c r="K122" s="2">
        <v>500</v>
      </c>
      <c r="L122" s="2">
        <f t="shared" si="48"/>
        <v>300</v>
      </c>
      <c r="M122" s="2">
        <v>500</v>
      </c>
      <c r="N122" s="2">
        <f t="shared" si="49"/>
        <v>300</v>
      </c>
      <c r="O122" s="2">
        <v>500</v>
      </c>
      <c r="P122" s="2">
        <f t="shared" si="50"/>
        <v>300</v>
      </c>
      <c r="Q122" s="2">
        <v>3000</v>
      </c>
      <c r="R122" s="2">
        <v>0</v>
      </c>
      <c r="S122" s="2">
        <v>9946</v>
      </c>
      <c r="T122" s="2">
        <v>11</v>
      </c>
      <c r="U122" s="2">
        <v>6</v>
      </c>
      <c r="V122" s="2">
        <v>0</v>
      </c>
      <c r="W122" s="7" t="s">
        <v>255</v>
      </c>
      <c r="X122" s="7"/>
      <c r="Z122" s="2">
        <v>1000000</v>
      </c>
      <c r="AA122" s="2">
        <v>0</v>
      </c>
      <c r="AB122" s="2">
        <v>0</v>
      </c>
      <c r="AC122" s="2">
        <v>0</v>
      </c>
      <c r="AD122" s="2">
        <v>1036</v>
      </c>
      <c r="AE122" s="2">
        <v>1076</v>
      </c>
      <c r="AF122" s="2">
        <v>394</v>
      </c>
      <c r="AG122" s="2">
        <v>395</v>
      </c>
      <c r="AH122" s="2">
        <v>396</v>
      </c>
      <c r="AI122" s="2">
        <v>0</v>
      </c>
      <c r="AJ122" s="2" t="s">
        <v>250</v>
      </c>
    </row>
    <row r="123" spans="1:36" s="3" customFormat="1" x14ac:dyDescent="0.15">
      <c r="A123" s="3">
        <v>18</v>
      </c>
      <c r="B123" s="3" t="s">
        <v>256</v>
      </c>
      <c r="C123" s="3">
        <v>0</v>
      </c>
      <c r="D123" s="3">
        <v>6</v>
      </c>
      <c r="E123" s="3">
        <v>1</v>
      </c>
      <c r="F123" s="3">
        <v>50</v>
      </c>
      <c r="G123" s="3">
        <v>0</v>
      </c>
      <c r="H123" s="2">
        <v>0</v>
      </c>
      <c r="I123" s="3">
        <v>10</v>
      </c>
      <c r="J123" s="2">
        <v>0</v>
      </c>
      <c r="K123" s="3">
        <v>5</v>
      </c>
      <c r="L123" s="2">
        <v>0</v>
      </c>
      <c r="M123" s="3">
        <v>5</v>
      </c>
      <c r="N123" s="2">
        <v>0</v>
      </c>
      <c r="O123" s="3">
        <v>5</v>
      </c>
      <c r="P123" s="2">
        <v>0</v>
      </c>
      <c r="Q123" s="3">
        <v>60</v>
      </c>
      <c r="R123" s="3">
        <v>0</v>
      </c>
      <c r="S123" s="3">
        <v>9946</v>
      </c>
      <c r="T123" s="3">
        <v>7</v>
      </c>
      <c r="U123" s="3">
        <v>1</v>
      </c>
      <c r="V123" s="2">
        <v>0</v>
      </c>
      <c r="W123" s="2">
        <v>9946</v>
      </c>
      <c r="X123" s="2"/>
      <c r="AD123" s="3">
        <v>1037</v>
      </c>
      <c r="AE123" s="3">
        <v>1077</v>
      </c>
      <c r="AJ123" s="2" t="s">
        <v>257</v>
      </c>
    </row>
    <row r="124" spans="1:36" s="3" customFormat="1" x14ac:dyDescent="0.15">
      <c r="A124" s="3">
        <v>18</v>
      </c>
      <c r="B124" s="3" t="s">
        <v>256</v>
      </c>
      <c r="C124" s="3">
        <v>1</v>
      </c>
      <c r="D124" s="3">
        <v>6</v>
      </c>
      <c r="E124" s="3">
        <v>1</v>
      </c>
      <c r="F124" s="3">
        <v>80</v>
      </c>
      <c r="G124" s="3">
        <v>0</v>
      </c>
      <c r="H124" s="2">
        <v>0</v>
      </c>
      <c r="I124" s="3">
        <v>10</v>
      </c>
      <c r="J124" s="2">
        <f>I123</f>
        <v>10</v>
      </c>
      <c r="K124" s="3">
        <v>5</v>
      </c>
      <c r="L124" s="2">
        <f>K123</f>
        <v>5</v>
      </c>
      <c r="M124" s="3">
        <v>5</v>
      </c>
      <c r="N124" s="2">
        <f>M123</f>
        <v>5</v>
      </c>
      <c r="O124" s="3">
        <v>5</v>
      </c>
      <c r="P124" s="2">
        <f>O123</f>
        <v>5</v>
      </c>
      <c r="Q124" s="3">
        <v>60</v>
      </c>
      <c r="R124" s="3">
        <v>0</v>
      </c>
      <c r="S124" s="3">
        <v>9946</v>
      </c>
      <c r="T124" s="3">
        <v>7</v>
      </c>
      <c r="U124" s="3">
        <v>1</v>
      </c>
      <c r="V124" s="2">
        <v>0</v>
      </c>
      <c r="W124" s="6" t="s">
        <v>258</v>
      </c>
      <c r="X124" s="6"/>
      <c r="AD124" s="3">
        <v>1037</v>
      </c>
      <c r="AE124" s="3">
        <v>1077</v>
      </c>
      <c r="AF124" s="3">
        <v>379</v>
      </c>
      <c r="AG124" s="3">
        <v>380</v>
      </c>
      <c r="AH124" s="3">
        <v>381</v>
      </c>
      <c r="AJ124" s="2" t="s">
        <v>257</v>
      </c>
    </row>
    <row r="125" spans="1:36" s="3" customFormat="1" x14ac:dyDescent="0.15">
      <c r="A125" s="3">
        <v>18</v>
      </c>
      <c r="B125" s="3" t="s">
        <v>256</v>
      </c>
      <c r="C125" s="3">
        <v>2</v>
      </c>
      <c r="D125" s="3">
        <v>6</v>
      </c>
      <c r="E125" s="3">
        <v>1</v>
      </c>
      <c r="F125" s="3">
        <v>110</v>
      </c>
      <c r="G125" s="3">
        <v>0</v>
      </c>
      <c r="H125" s="2">
        <v>0</v>
      </c>
      <c r="I125" s="3">
        <v>20</v>
      </c>
      <c r="J125" s="2">
        <f>I123+I124</f>
        <v>20</v>
      </c>
      <c r="K125" s="3">
        <v>10</v>
      </c>
      <c r="L125" s="2">
        <f>K123+K124</f>
        <v>10</v>
      </c>
      <c r="M125" s="3">
        <v>10</v>
      </c>
      <c r="N125" s="2">
        <f>M123+M124</f>
        <v>10</v>
      </c>
      <c r="O125" s="3">
        <v>10</v>
      </c>
      <c r="P125" s="2">
        <f>O123+O124</f>
        <v>10</v>
      </c>
      <c r="Q125" s="3">
        <v>120</v>
      </c>
      <c r="R125" s="3">
        <v>0</v>
      </c>
      <c r="S125" s="3">
        <v>9946</v>
      </c>
      <c r="T125" s="3">
        <v>7</v>
      </c>
      <c r="U125" s="3">
        <v>2</v>
      </c>
      <c r="V125" s="2">
        <v>0</v>
      </c>
      <c r="W125" s="6" t="s">
        <v>259</v>
      </c>
      <c r="X125" s="6"/>
      <c r="AD125" s="3">
        <v>1037</v>
      </c>
      <c r="AE125" s="3">
        <v>1077</v>
      </c>
      <c r="AF125" s="3">
        <v>379</v>
      </c>
      <c r="AG125" s="3">
        <v>380</v>
      </c>
      <c r="AH125" s="3">
        <v>381</v>
      </c>
      <c r="AJ125" s="2" t="s">
        <v>257</v>
      </c>
    </row>
    <row r="126" spans="1:36" s="3" customFormat="1" x14ac:dyDescent="0.15">
      <c r="A126" s="3">
        <v>18</v>
      </c>
      <c r="B126" s="3" t="s">
        <v>256</v>
      </c>
      <c r="C126" s="3">
        <v>3</v>
      </c>
      <c r="D126" s="3">
        <v>6</v>
      </c>
      <c r="E126" s="3">
        <v>1</v>
      </c>
      <c r="F126" s="3">
        <v>140</v>
      </c>
      <c r="G126" s="3">
        <v>0</v>
      </c>
      <c r="H126" s="2">
        <v>0</v>
      </c>
      <c r="I126" s="3">
        <v>30</v>
      </c>
      <c r="J126" s="2">
        <f t="shared" ref="J126:L129" si="51">I124+I125</f>
        <v>30</v>
      </c>
      <c r="K126" s="3">
        <v>50</v>
      </c>
      <c r="L126" s="2">
        <f t="shared" si="51"/>
        <v>15</v>
      </c>
      <c r="M126" s="3">
        <v>50</v>
      </c>
      <c r="N126" s="2">
        <f t="shared" ref="N126:N129" si="52">M124+M125</f>
        <v>15</v>
      </c>
      <c r="O126" s="3">
        <v>50</v>
      </c>
      <c r="P126" s="2">
        <f t="shared" ref="P126:P129" si="53">O124+O125</f>
        <v>15</v>
      </c>
      <c r="Q126" s="3">
        <v>300</v>
      </c>
      <c r="R126" s="3">
        <v>0</v>
      </c>
      <c r="S126" s="3">
        <v>9946</v>
      </c>
      <c r="T126" s="3">
        <v>7</v>
      </c>
      <c r="U126" s="3">
        <v>3</v>
      </c>
      <c r="V126" s="2">
        <v>0</v>
      </c>
      <c r="W126" s="6" t="s">
        <v>260</v>
      </c>
      <c r="X126" s="6"/>
      <c r="AD126" s="3">
        <v>1037</v>
      </c>
      <c r="AE126" s="3">
        <v>1077</v>
      </c>
      <c r="AF126" s="3">
        <v>382</v>
      </c>
      <c r="AG126" s="3">
        <v>383</v>
      </c>
      <c r="AH126" s="3">
        <v>384</v>
      </c>
      <c r="AJ126" s="2" t="s">
        <v>257</v>
      </c>
    </row>
    <row r="127" spans="1:36" s="3" customFormat="1" x14ac:dyDescent="0.15">
      <c r="A127" s="3">
        <v>18</v>
      </c>
      <c r="B127" s="3" t="s">
        <v>256</v>
      </c>
      <c r="C127" s="3">
        <v>4</v>
      </c>
      <c r="D127" s="3">
        <v>6</v>
      </c>
      <c r="E127" s="3">
        <v>1</v>
      </c>
      <c r="F127" s="3">
        <v>170</v>
      </c>
      <c r="G127" s="3">
        <v>0</v>
      </c>
      <c r="H127" s="2">
        <v>0</v>
      </c>
      <c r="I127" s="3">
        <v>40</v>
      </c>
      <c r="J127" s="2">
        <f t="shared" si="51"/>
        <v>50</v>
      </c>
      <c r="K127" s="3">
        <v>100</v>
      </c>
      <c r="L127" s="2">
        <f t="shared" si="51"/>
        <v>60</v>
      </c>
      <c r="M127" s="3">
        <v>100</v>
      </c>
      <c r="N127" s="2">
        <f t="shared" si="52"/>
        <v>60</v>
      </c>
      <c r="O127" s="3">
        <v>100</v>
      </c>
      <c r="P127" s="2">
        <f t="shared" si="53"/>
        <v>60</v>
      </c>
      <c r="Q127" s="3">
        <v>600</v>
      </c>
      <c r="R127" s="3">
        <v>0</v>
      </c>
      <c r="S127" s="3">
        <v>9946</v>
      </c>
      <c r="T127" s="3">
        <v>7</v>
      </c>
      <c r="U127" s="3">
        <v>4</v>
      </c>
      <c r="V127" s="2">
        <v>0</v>
      </c>
      <c r="W127" s="6" t="s">
        <v>261</v>
      </c>
      <c r="X127" s="6"/>
      <c r="AD127" s="3">
        <v>1037</v>
      </c>
      <c r="AE127" s="3">
        <v>1077</v>
      </c>
      <c r="AF127" s="3">
        <v>382</v>
      </c>
      <c r="AG127" s="3">
        <v>383</v>
      </c>
      <c r="AH127" s="3">
        <v>384</v>
      </c>
      <c r="AJ127" s="2" t="s">
        <v>257</v>
      </c>
    </row>
    <row r="128" spans="1:36" s="3" customFormat="1" x14ac:dyDescent="0.15">
      <c r="A128" s="3">
        <v>18</v>
      </c>
      <c r="B128" s="3" t="s">
        <v>256</v>
      </c>
      <c r="C128" s="3">
        <v>5</v>
      </c>
      <c r="D128" s="3">
        <v>6</v>
      </c>
      <c r="E128" s="3">
        <v>1</v>
      </c>
      <c r="F128" s="3">
        <v>200</v>
      </c>
      <c r="G128" s="3">
        <v>0</v>
      </c>
      <c r="H128" s="2">
        <v>0</v>
      </c>
      <c r="I128" s="3">
        <v>50</v>
      </c>
      <c r="J128" s="2">
        <f t="shared" si="51"/>
        <v>70</v>
      </c>
      <c r="K128" s="3">
        <v>200</v>
      </c>
      <c r="L128" s="2">
        <f t="shared" si="51"/>
        <v>150</v>
      </c>
      <c r="M128" s="3">
        <v>200</v>
      </c>
      <c r="N128" s="2">
        <f t="shared" si="52"/>
        <v>150</v>
      </c>
      <c r="O128" s="3">
        <v>200</v>
      </c>
      <c r="P128" s="2">
        <f t="shared" si="53"/>
        <v>150</v>
      </c>
      <c r="Q128" s="3">
        <v>1200</v>
      </c>
      <c r="R128" s="3">
        <v>0</v>
      </c>
      <c r="S128" s="3">
        <v>9946</v>
      </c>
      <c r="T128" s="3">
        <v>7</v>
      </c>
      <c r="U128" s="3">
        <v>5</v>
      </c>
      <c r="V128" s="2">
        <v>0</v>
      </c>
      <c r="W128" s="6" t="s">
        <v>262</v>
      </c>
      <c r="X128" s="6"/>
      <c r="AD128" s="3">
        <v>1037</v>
      </c>
      <c r="AE128" s="3">
        <v>1077</v>
      </c>
      <c r="AF128" s="3">
        <v>385</v>
      </c>
      <c r="AG128" s="3">
        <v>386</v>
      </c>
      <c r="AH128" s="3">
        <v>387</v>
      </c>
      <c r="AJ128" s="2" t="s">
        <v>257</v>
      </c>
    </row>
    <row r="129" spans="1:36" s="3" customFormat="1" x14ac:dyDescent="0.15">
      <c r="A129" s="3">
        <v>18</v>
      </c>
      <c r="B129" s="3" t="s">
        <v>256</v>
      </c>
      <c r="C129" s="3">
        <v>6</v>
      </c>
      <c r="D129" s="3">
        <v>6</v>
      </c>
      <c r="E129" s="3">
        <v>1</v>
      </c>
      <c r="F129" s="3">
        <v>230</v>
      </c>
      <c r="G129" s="3">
        <v>0</v>
      </c>
      <c r="H129" s="2">
        <v>0</v>
      </c>
      <c r="I129" s="3">
        <v>60</v>
      </c>
      <c r="J129" s="2">
        <f t="shared" si="51"/>
        <v>90</v>
      </c>
      <c r="K129" s="3">
        <v>500</v>
      </c>
      <c r="L129" s="2">
        <f t="shared" si="51"/>
        <v>300</v>
      </c>
      <c r="M129" s="3">
        <v>500</v>
      </c>
      <c r="N129" s="2">
        <f t="shared" si="52"/>
        <v>300</v>
      </c>
      <c r="O129" s="3">
        <v>500</v>
      </c>
      <c r="P129" s="2">
        <f t="shared" si="53"/>
        <v>300</v>
      </c>
      <c r="Q129" s="3">
        <v>3000</v>
      </c>
      <c r="R129" s="3">
        <v>0</v>
      </c>
      <c r="S129" s="3">
        <v>9946</v>
      </c>
      <c r="T129" s="3">
        <v>7</v>
      </c>
      <c r="U129" s="3">
        <v>6</v>
      </c>
      <c r="V129" s="2">
        <v>0</v>
      </c>
      <c r="W129" s="6" t="s">
        <v>263</v>
      </c>
      <c r="X129" s="6"/>
      <c r="AD129" s="3">
        <v>1037</v>
      </c>
      <c r="AE129" s="3">
        <v>1077</v>
      </c>
      <c r="AF129" s="3">
        <v>385</v>
      </c>
      <c r="AG129" s="3">
        <v>386</v>
      </c>
      <c r="AH129" s="3">
        <v>387</v>
      </c>
      <c r="AJ129" s="2" t="s">
        <v>257</v>
      </c>
    </row>
    <row r="130" spans="1:36" s="2" customFormat="1" x14ac:dyDescent="0.15">
      <c r="A130" s="2">
        <v>19</v>
      </c>
      <c r="B130" s="2" t="s">
        <v>264</v>
      </c>
      <c r="C130" s="2">
        <v>0</v>
      </c>
      <c r="D130" s="2">
        <v>6</v>
      </c>
      <c r="E130" s="2">
        <v>8</v>
      </c>
      <c r="F130" s="2">
        <v>20</v>
      </c>
      <c r="G130" s="2">
        <v>0</v>
      </c>
      <c r="H130" s="2">
        <v>0</v>
      </c>
      <c r="I130" s="2">
        <v>10</v>
      </c>
      <c r="J130" s="2">
        <v>0</v>
      </c>
      <c r="K130" s="2">
        <v>5</v>
      </c>
      <c r="L130" s="2">
        <v>0</v>
      </c>
      <c r="M130" s="2">
        <v>5</v>
      </c>
      <c r="N130" s="2">
        <v>0</v>
      </c>
      <c r="O130" s="2">
        <v>5</v>
      </c>
      <c r="P130" s="2">
        <v>0</v>
      </c>
      <c r="Q130" s="2">
        <v>60</v>
      </c>
      <c r="R130" s="2">
        <v>0</v>
      </c>
      <c r="S130" s="2" t="s">
        <v>265</v>
      </c>
      <c r="T130" s="2">
        <v>7</v>
      </c>
      <c r="U130" s="2">
        <v>1</v>
      </c>
      <c r="V130" s="2">
        <v>0</v>
      </c>
      <c r="W130" s="2" t="s">
        <v>30</v>
      </c>
      <c r="X130" s="2">
        <v>8586</v>
      </c>
      <c r="AD130" s="2">
        <v>1038</v>
      </c>
      <c r="AE130" s="2">
        <v>1078</v>
      </c>
      <c r="AJ130" s="2" t="s">
        <v>266</v>
      </c>
    </row>
    <row r="131" spans="1:36" s="2" customFormat="1" x14ac:dyDescent="0.15">
      <c r="A131" s="2">
        <v>19</v>
      </c>
      <c r="B131" s="2" t="s">
        <v>264</v>
      </c>
      <c r="C131" s="2">
        <v>1</v>
      </c>
      <c r="D131" s="2">
        <v>6</v>
      </c>
      <c r="E131" s="2">
        <v>8</v>
      </c>
      <c r="F131" s="2">
        <v>30</v>
      </c>
      <c r="G131" s="2">
        <v>0</v>
      </c>
      <c r="H131" s="2">
        <v>0</v>
      </c>
      <c r="I131" s="2">
        <v>10</v>
      </c>
      <c r="J131" s="2">
        <f>I130</f>
        <v>10</v>
      </c>
      <c r="K131" s="2">
        <v>5</v>
      </c>
      <c r="L131" s="2">
        <f>K130</f>
        <v>5</v>
      </c>
      <c r="M131" s="2">
        <v>5</v>
      </c>
      <c r="N131" s="2">
        <f>M130</f>
        <v>5</v>
      </c>
      <c r="O131" s="2">
        <v>5</v>
      </c>
      <c r="P131" s="2">
        <f>O130</f>
        <v>5</v>
      </c>
      <c r="Q131" s="2">
        <v>60</v>
      </c>
      <c r="R131" s="2">
        <v>0</v>
      </c>
      <c r="S131" s="2" t="s">
        <v>267</v>
      </c>
      <c r="T131" s="2">
        <v>7</v>
      </c>
      <c r="U131" s="2">
        <v>1</v>
      </c>
      <c r="V131" s="2">
        <v>0</v>
      </c>
      <c r="W131" s="7" t="s">
        <v>268</v>
      </c>
      <c r="X131" s="2">
        <v>8586</v>
      </c>
      <c r="AD131" s="2">
        <v>1038</v>
      </c>
      <c r="AE131" s="2">
        <v>1078</v>
      </c>
      <c r="AF131" s="2">
        <v>397</v>
      </c>
      <c r="AG131" s="2">
        <v>398</v>
      </c>
      <c r="AH131" s="2">
        <v>399</v>
      </c>
      <c r="AJ131" s="2" t="s">
        <v>266</v>
      </c>
    </row>
    <row r="132" spans="1:36" s="2" customFormat="1" x14ac:dyDescent="0.15">
      <c r="A132" s="2">
        <v>19</v>
      </c>
      <c r="B132" s="2" t="s">
        <v>269</v>
      </c>
      <c r="C132" s="2">
        <v>2</v>
      </c>
      <c r="D132" s="2">
        <v>6</v>
      </c>
      <c r="E132" s="2">
        <v>8</v>
      </c>
      <c r="F132" s="2">
        <v>40</v>
      </c>
      <c r="G132" s="2">
        <v>0</v>
      </c>
      <c r="H132" s="2">
        <v>0</v>
      </c>
      <c r="I132" s="2">
        <v>20</v>
      </c>
      <c r="J132" s="2">
        <f>I130+I131</f>
        <v>20</v>
      </c>
      <c r="K132" s="2">
        <v>10</v>
      </c>
      <c r="L132" s="2">
        <f>K130+K131</f>
        <v>10</v>
      </c>
      <c r="M132" s="2">
        <v>10</v>
      </c>
      <c r="N132" s="2">
        <f>M130+M131</f>
        <v>10</v>
      </c>
      <c r="O132" s="2">
        <v>10</v>
      </c>
      <c r="P132" s="2">
        <f>O130+O131</f>
        <v>10</v>
      </c>
      <c r="Q132" s="2">
        <v>120</v>
      </c>
      <c r="R132" s="2">
        <v>0</v>
      </c>
      <c r="S132" s="2" t="s">
        <v>30</v>
      </c>
      <c r="T132" s="2">
        <v>7</v>
      </c>
      <c r="U132" s="2">
        <v>2</v>
      </c>
      <c r="V132" s="2">
        <v>0</v>
      </c>
      <c r="W132" s="7" t="s">
        <v>270</v>
      </c>
      <c r="X132" s="2">
        <v>8586</v>
      </c>
      <c r="AD132" s="2">
        <v>1038</v>
      </c>
      <c r="AE132" s="2">
        <v>1078</v>
      </c>
      <c r="AF132" s="2">
        <v>397</v>
      </c>
      <c r="AG132" s="2">
        <v>398</v>
      </c>
      <c r="AH132" s="2">
        <v>399</v>
      </c>
      <c r="AJ132" s="2" t="s">
        <v>266</v>
      </c>
    </row>
    <row r="133" spans="1:36" s="2" customFormat="1" x14ac:dyDescent="0.15">
      <c r="A133" s="2">
        <v>19</v>
      </c>
      <c r="B133" s="2" t="s">
        <v>269</v>
      </c>
      <c r="C133" s="2">
        <v>3</v>
      </c>
      <c r="D133" s="2">
        <v>6</v>
      </c>
      <c r="E133" s="2">
        <v>8</v>
      </c>
      <c r="F133" s="2">
        <v>50</v>
      </c>
      <c r="G133" s="2">
        <v>0</v>
      </c>
      <c r="H133" s="2">
        <v>0</v>
      </c>
      <c r="I133" s="2">
        <v>30</v>
      </c>
      <c r="J133" s="2">
        <f t="shared" ref="J133:L136" si="54">I131+I132</f>
        <v>30</v>
      </c>
      <c r="K133" s="2">
        <v>50</v>
      </c>
      <c r="L133" s="2">
        <f t="shared" si="54"/>
        <v>15</v>
      </c>
      <c r="M133" s="2">
        <v>50</v>
      </c>
      <c r="N133" s="2">
        <f t="shared" ref="N133:N136" si="55">M131+M132</f>
        <v>15</v>
      </c>
      <c r="O133" s="2">
        <v>50</v>
      </c>
      <c r="P133" s="2">
        <f t="shared" ref="P133:P136" si="56">O131+O132</f>
        <v>15</v>
      </c>
      <c r="Q133" s="2">
        <v>300</v>
      </c>
      <c r="R133" s="2">
        <v>0</v>
      </c>
      <c r="S133" s="2" t="s">
        <v>30</v>
      </c>
      <c r="T133" s="2">
        <v>7</v>
      </c>
      <c r="U133" s="2">
        <v>3</v>
      </c>
      <c r="V133" s="2">
        <v>0</v>
      </c>
      <c r="W133" s="7" t="s">
        <v>271</v>
      </c>
      <c r="X133" s="2">
        <v>8586</v>
      </c>
      <c r="AD133" s="2">
        <v>1038</v>
      </c>
      <c r="AE133" s="2">
        <v>1078</v>
      </c>
      <c r="AF133" s="2">
        <v>400</v>
      </c>
      <c r="AG133" s="2">
        <v>401</v>
      </c>
      <c r="AH133" s="2">
        <v>402</v>
      </c>
      <c r="AJ133" s="2" t="s">
        <v>266</v>
      </c>
    </row>
    <row r="134" spans="1:36" s="2" customFormat="1" x14ac:dyDescent="0.15">
      <c r="A134" s="2">
        <v>19</v>
      </c>
      <c r="B134" s="2" t="s">
        <v>269</v>
      </c>
      <c r="C134" s="2">
        <v>4</v>
      </c>
      <c r="D134" s="2">
        <v>6</v>
      </c>
      <c r="E134" s="2">
        <v>8</v>
      </c>
      <c r="F134" s="2">
        <v>60</v>
      </c>
      <c r="G134" s="2">
        <v>0</v>
      </c>
      <c r="H134" s="2">
        <v>0</v>
      </c>
      <c r="I134" s="2">
        <v>40</v>
      </c>
      <c r="J134" s="2">
        <f t="shared" si="54"/>
        <v>50</v>
      </c>
      <c r="K134" s="2">
        <v>100</v>
      </c>
      <c r="L134" s="2">
        <f t="shared" si="54"/>
        <v>60</v>
      </c>
      <c r="M134" s="2">
        <v>100</v>
      </c>
      <c r="N134" s="2">
        <f t="shared" si="55"/>
        <v>60</v>
      </c>
      <c r="O134" s="2">
        <v>100</v>
      </c>
      <c r="P134" s="2">
        <f t="shared" si="56"/>
        <v>60</v>
      </c>
      <c r="Q134" s="2">
        <v>600</v>
      </c>
      <c r="R134" s="2">
        <v>0</v>
      </c>
      <c r="S134" s="2" t="s">
        <v>30</v>
      </c>
      <c r="T134" s="2">
        <v>7</v>
      </c>
      <c r="U134" s="2">
        <v>4</v>
      </c>
      <c r="V134" s="2">
        <v>0</v>
      </c>
      <c r="W134" s="7" t="s">
        <v>272</v>
      </c>
      <c r="X134" s="2">
        <v>8586</v>
      </c>
      <c r="AD134" s="2">
        <v>1038</v>
      </c>
      <c r="AE134" s="2">
        <v>1078</v>
      </c>
      <c r="AF134" s="2">
        <v>400</v>
      </c>
      <c r="AG134" s="2">
        <v>401</v>
      </c>
      <c r="AH134" s="2">
        <v>402</v>
      </c>
      <c r="AJ134" s="2" t="s">
        <v>266</v>
      </c>
    </row>
    <row r="135" spans="1:36" s="2" customFormat="1" x14ac:dyDescent="0.15">
      <c r="A135" s="2">
        <v>19</v>
      </c>
      <c r="B135" s="2" t="s">
        <v>269</v>
      </c>
      <c r="C135" s="2">
        <v>5</v>
      </c>
      <c r="D135" s="2">
        <v>6</v>
      </c>
      <c r="E135" s="2">
        <v>8</v>
      </c>
      <c r="F135" s="2">
        <v>70</v>
      </c>
      <c r="G135" s="2">
        <v>0</v>
      </c>
      <c r="H135" s="2">
        <v>0</v>
      </c>
      <c r="I135" s="2">
        <v>50</v>
      </c>
      <c r="J135" s="2">
        <f t="shared" si="54"/>
        <v>70</v>
      </c>
      <c r="K135" s="2">
        <v>200</v>
      </c>
      <c r="L135" s="2">
        <f t="shared" si="54"/>
        <v>150</v>
      </c>
      <c r="M135" s="2">
        <v>200</v>
      </c>
      <c r="N135" s="2">
        <f t="shared" si="55"/>
        <v>150</v>
      </c>
      <c r="O135" s="2">
        <v>200</v>
      </c>
      <c r="P135" s="2">
        <f t="shared" si="56"/>
        <v>150</v>
      </c>
      <c r="Q135" s="2">
        <v>1200</v>
      </c>
      <c r="R135" s="2">
        <v>0</v>
      </c>
      <c r="S135" s="2" t="s">
        <v>30</v>
      </c>
      <c r="T135" s="2">
        <v>7</v>
      </c>
      <c r="U135" s="2">
        <v>5</v>
      </c>
      <c r="V135" s="2">
        <v>0</v>
      </c>
      <c r="W135" s="7" t="s">
        <v>273</v>
      </c>
      <c r="X135" s="2">
        <v>8586</v>
      </c>
      <c r="AD135" s="2">
        <v>1038</v>
      </c>
      <c r="AE135" s="2">
        <v>1078</v>
      </c>
      <c r="AF135" s="2">
        <v>403</v>
      </c>
      <c r="AG135" s="2">
        <v>404</v>
      </c>
      <c r="AH135" s="2">
        <v>405</v>
      </c>
      <c r="AJ135" s="2" t="s">
        <v>266</v>
      </c>
    </row>
    <row r="136" spans="1:36" s="2" customFormat="1" x14ac:dyDescent="0.15">
      <c r="A136" s="2">
        <v>19</v>
      </c>
      <c r="B136" s="2" t="s">
        <v>269</v>
      </c>
      <c r="C136" s="2">
        <v>6</v>
      </c>
      <c r="D136" s="2">
        <v>6</v>
      </c>
      <c r="E136" s="2">
        <v>8</v>
      </c>
      <c r="F136" s="2">
        <v>80</v>
      </c>
      <c r="G136" s="2">
        <v>0</v>
      </c>
      <c r="H136" s="2">
        <v>0</v>
      </c>
      <c r="I136" s="2">
        <v>60</v>
      </c>
      <c r="J136" s="2">
        <f t="shared" si="54"/>
        <v>90</v>
      </c>
      <c r="K136" s="2">
        <v>500</v>
      </c>
      <c r="L136" s="2">
        <f t="shared" si="54"/>
        <v>300</v>
      </c>
      <c r="M136" s="2">
        <v>500</v>
      </c>
      <c r="N136" s="2">
        <f t="shared" si="55"/>
        <v>300</v>
      </c>
      <c r="O136" s="2">
        <v>500</v>
      </c>
      <c r="P136" s="2">
        <f t="shared" si="56"/>
        <v>300</v>
      </c>
      <c r="Q136" s="2">
        <v>3000</v>
      </c>
      <c r="R136" s="2">
        <v>0</v>
      </c>
      <c r="S136" s="2" t="s">
        <v>30</v>
      </c>
      <c r="T136" s="2">
        <v>7</v>
      </c>
      <c r="U136" s="2">
        <v>6</v>
      </c>
      <c r="V136" s="2">
        <v>0</v>
      </c>
      <c r="W136" s="7" t="s">
        <v>274</v>
      </c>
      <c r="X136" s="2">
        <v>8586</v>
      </c>
      <c r="AD136" s="2">
        <v>1038</v>
      </c>
      <c r="AE136" s="2">
        <v>1078</v>
      </c>
      <c r="AF136" s="2">
        <v>403</v>
      </c>
      <c r="AG136" s="2">
        <v>404</v>
      </c>
      <c r="AH136" s="2">
        <v>405</v>
      </c>
      <c r="AJ136" s="2" t="s">
        <v>266</v>
      </c>
    </row>
    <row r="137" spans="1:36" s="3" customFormat="1" x14ac:dyDescent="0.15">
      <c r="A137" s="3">
        <v>20</v>
      </c>
      <c r="B137" s="3" t="s">
        <v>275</v>
      </c>
      <c r="C137" s="3">
        <v>0</v>
      </c>
      <c r="D137" s="3">
        <v>6</v>
      </c>
      <c r="E137" s="3">
        <v>8</v>
      </c>
      <c r="F137" s="2">
        <v>20</v>
      </c>
      <c r="G137" s="3">
        <v>0</v>
      </c>
      <c r="H137" s="2">
        <v>0</v>
      </c>
      <c r="I137" s="3">
        <v>10</v>
      </c>
      <c r="J137" s="2">
        <v>0</v>
      </c>
      <c r="K137" s="3">
        <v>5</v>
      </c>
      <c r="L137" s="2">
        <v>0</v>
      </c>
      <c r="M137" s="3">
        <v>5</v>
      </c>
      <c r="N137" s="2">
        <v>0</v>
      </c>
      <c r="O137" s="3">
        <v>5</v>
      </c>
      <c r="P137" s="2">
        <v>0</v>
      </c>
      <c r="Q137" s="3">
        <v>60</v>
      </c>
      <c r="R137" s="3">
        <v>0</v>
      </c>
      <c r="S137" s="3" t="s">
        <v>30</v>
      </c>
      <c r="T137" s="2">
        <v>7</v>
      </c>
      <c r="U137" s="3">
        <v>1</v>
      </c>
      <c r="V137" s="2">
        <v>0</v>
      </c>
      <c r="W137" s="2" t="s">
        <v>30</v>
      </c>
      <c r="X137" s="2">
        <v>8587</v>
      </c>
      <c r="AD137" s="3">
        <v>1039</v>
      </c>
      <c r="AE137" s="3">
        <v>1079</v>
      </c>
      <c r="AJ137" s="2" t="s">
        <v>266</v>
      </c>
    </row>
    <row r="138" spans="1:36" s="3" customFormat="1" x14ac:dyDescent="0.15">
      <c r="A138" s="3">
        <v>20</v>
      </c>
      <c r="B138" s="3" t="s">
        <v>275</v>
      </c>
      <c r="C138" s="3">
        <v>1</v>
      </c>
      <c r="D138" s="3">
        <v>6</v>
      </c>
      <c r="E138" s="3">
        <v>8</v>
      </c>
      <c r="F138" s="2">
        <v>30</v>
      </c>
      <c r="G138" s="3">
        <v>0</v>
      </c>
      <c r="H138" s="2">
        <v>0</v>
      </c>
      <c r="I138" s="3">
        <v>10</v>
      </c>
      <c r="J138" s="2">
        <f>I137</f>
        <v>10</v>
      </c>
      <c r="K138" s="3">
        <v>5</v>
      </c>
      <c r="L138" s="2">
        <f>K137</f>
        <v>5</v>
      </c>
      <c r="M138" s="3">
        <v>5</v>
      </c>
      <c r="N138" s="2">
        <f>M137</f>
        <v>5</v>
      </c>
      <c r="O138" s="3">
        <v>5</v>
      </c>
      <c r="P138" s="2">
        <f>O137</f>
        <v>5</v>
      </c>
      <c r="Q138" s="3">
        <v>60</v>
      </c>
      <c r="R138" s="3">
        <v>0</v>
      </c>
      <c r="S138" s="3" t="s">
        <v>30</v>
      </c>
      <c r="T138" s="2">
        <v>7</v>
      </c>
      <c r="U138" s="3">
        <v>1</v>
      </c>
      <c r="V138" s="2">
        <v>0</v>
      </c>
      <c r="W138" s="7" t="s">
        <v>276</v>
      </c>
      <c r="X138" s="2">
        <v>8587</v>
      </c>
      <c r="AD138" s="3">
        <v>1039</v>
      </c>
      <c r="AE138" s="3">
        <v>1079</v>
      </c>
      <c r="AF138" s="2">
        <v>397</v>
      </c>
      <c r="AG138" s="2">
        <v>398</v>
      </c>
      <c r="AH138" s="2">
        <v>399</v>
      </c>
      <c r="AJ138" s="2" t="s">
        <v>266</v>
      </c>
    </row>
    <row r="139" spans="1:36" s="3" customFormat="1" x14ac:dyDescent="0.15">
      <c r="A139" s="3">
        <v>20</v>
      </c>
      <c r="B139" s="3" t="s">
        <v>277</v>
      </c>
      <c r="C139" s="3">
        <v>2</v>
      </c>
      <c r="D139" s="3">
        <v>6</v>
      </c>
      <c r="E139" s="3">
        <v>8</v>
      </c>
      <c r="F139" s="2">
        <v>40</v>
      </c>
      <c r="G139" s="3">
        <v>0</v>
      </c>
      <c r="H139" s="2">
        <v>0</v>
      </c>
      <c r="I139" s="3">
        <v>20</v>
      </c>
      <c r="J139" s="2">
        <f>I137+I138</f>
        <v>20</v>
      </c>
      <c r="K139" s="3">
        <v>10</v>
      </c>
      <c r="L139" s="2">
        <f>K137+K138</f>
        <v>10</v>
      </c>
      <c r="M139" s="3">
        <v>10</v>
      </c>
      <c r="N139" s="2">
        <f>M137+M138</f>
        <v>10</v>
      </c>
      <c r="O139" s="3">
        <v>10</v>
      </c>
      <c r="P139" s="2">
        <f>O137+O138</f>
        <v>10</v>
      </c>
      <c r="Q139" s="3">
        <v>120</v>
      </c>
      <c r="R139" s="3">
        <v>0</v>
      </c>
      <c r="S139" s="3" t="s">
        <v>30</v>
      </c>
      <c r="T139" s="2">
        <v>7</v>
      </c>
      <c r="U139" s="3">
        <v>2</v>
      </c>
      <c r="V139" s="2">
        <v>0</v>
      </c>
      <c r="W139" s="7" t="s">
        <v>278</v>
      </c>
      <c r="X139" s="2">
        <v>8587</v>
      </c>
      <c r="AD139" s="3">
        <v>1039</v>
      </c>
      <c r="AE139" s="3">
        <v>1079</v>
      </c>
      <c r="AF139" s="2">
        <v>397</v>
      </c>
      <c r="AG139" s="2">
        <v>398</v>
      </c>
      <c r="AH139" s="2">
        <v>399</v>
      </c>
      <c r="AJ139" s="2" t="s">
        <v>266</v>
      </c>
    </row>
    <row r="140" spans="1:36" s="3" customFormat="1" x14ac:dyDescent="0.15">
      <c r="A140" s="3">
        <v>20</v>
      </c>
      <c r="B140" s="3" t="s">
        <v>277</v>
      </c>
      <c r="C140" s="3">
        <v>3</v>
      </c>
      <c r="D140" s="3">
        <v>6</v>
      </c>
      <c r="E140" s="3">
        <v>8</v>
      </c>
      <c r="F140" s="2">
        <v>50</v>
      </c>
      <c r="G140" s="3">
        <v>0</v>
      </c>
      <c r="H140" s="2">
        <v>0</v>
      </c>
      <c r="I140" s="3">
        <v>30</v>
      </c>
      <c r="J140" s="2">
        <f t="shared" ref="J140:L143" si="57">I138+I139</f>
        <v>30</v>
      </c>
      <c r="K140" s="3">
        <v>50</v>
      </c>
      <c r="L140" s="2">
        <f t="shared" si="57"/>
        <v>15</v>
      </c>
      <c r="M140" s="3">
        <v>50</v>
      </c>
      <c r="N140" s="2">
        <f t="shared" ref="N140:N143" si="58">M138+M139</f>
        <v>15</v>
      </c>
      <c r="O140" s="3">
        <v>50</v>
      </c>
      <c r="P140" s="2">
        <f t="shared" ref="P140:P143" si="59">O138+O139</f>
        <v>15</v>
      </c>
      <c r="Q140" s="3">
        <v>300</v>
      </c>
      <c r="R140" s="3">
        <v>0</v>
      </c>
      <c r="S140" s="3" t="s">
        <v>30</v>
      </c>
      <c r="T140" s="2">
        <v>7</v>
      </c>
      <c r="U140" s="3">
        <v>3</v>
      </c>
      <c r="V140" s="2">
        <v>0</v>
      </c>
      <c r="W140" s="7" t="s">
        <v>279</v>
      </c>
      <c r="X140" s="2">
        <v>8587</v>
      </c>
      <c r="AD140" s="3">
        <v>1039</v>
      </c>
      <c r="AE140" s="3">
        <v>1079</v>
      </c>
      <c r="AF140" s="2">
        <v>400</v>
      </c>
      <c r="AG140" s="2">
        <v>401</v>
      </c>
      <c r="AH140" s="2">
        <v>402</v>
      </c>
      <c r="AJ140" s="2" t="s">
        <v>266</v>
      </c>
    </row>
    <row r="141" spans="1:36" s="3" customFormat="1" x14ac:dyDescent="0.15">
      <c r="A141" s="3">
        <v>20</v>
      </c>
      <c r="B141" s="3" t="s">
        <v>277</v>
      </c>
      <c r="C141" s="3">
        <v>4</v>
      </c>
      <c r="D141" s="3">
        <v>6</v>
      </c>
      <c r="E141" s="3">
        <v>8</v>
      </c>
      <c r="F141" s="2">
        <v>60</v>
      </c>
      <c r="G141" s="3">
        <v>0</v>
      </c>
      <c r="H141" s="2">
        <v>0</v>
      </c>
      <c r="I141" s="3">
        <v>40</v>
      </c>
      <c r="J141" s="2">
        <f t="shared" si="57"/>
        <v>50</v>
      </c>
      <c r="K141" s="3">
        <v>100</v>
      </c>
      <c r="L141" s="2">
        <f t="shared" si="57"/>
        <v>60</v>
      </c>
      <c r="M141" s="3">
        <v>100</v>
      </c>
      <c r="N141" s="2">
        <f t="shared" si="58"/>
        <v>60</v>
      </c>
      <c r="O141" s="3">
        <v>100</v>
      </c>
      <c r="P141" s="2">
        <f t="shared" si="59"/>
        <v>60</v>
      </c>
      <c r="Q141" s="3">
        <v>600</v>
      </c>
      <c r="R141" s="3">
        <v>0</v>
      </c>
      <c r="S141" s="3" t="s">
        <v>30</v>
      </c>
      <c r="T141" s="2">
        <v>7</v>
      </c>
      <c r="U141" s="3">
        <v>4</v>
      </c>
      <c r="V141" s="2">
        <v>0</v>
      </c>
      <c r="W141" s="7" t="s">
        <v>280</v>
      </c>
      <c r="X141" s="2">
        <v>8587</v>
      </c>
      <c r="AD141" s="3">
        <v>1039</v>
      </c>
      <c r="AE141" s="3">
        <v>1079</v>
      </c>
      <c r="AF141" s="2">
        <v>400</v>
      </c>
      <c r="AG141" s="2">
        <v>401</v>
      </c>
      <c r="AH141" s="2">
        <v>402</v>
      </c>
      <c r="AJ141" s="2" t="s">
        <v>266</v>
      </c>
    </row>
    <row r="142" spans="1:36" s="3" customFormat="1" x14ac:dyDescent="0.15">
      <c r="A142" s="3">
        <v>20</v>
      </c>
      <c r="B142" s="3" t="s">
        <v>277</v>
      </c>
      <c r="C142" s="3">
        <v>5</v>
      </c>
      <c r="D142" s="3">
        <v>6</v>
      </c>
      <c r="E142" s="3">
        <v>8</v>
      </c>
      <c r="F142" s="2">
        <v>70</v>
      </c>
      <c r="G142" s="3">
        <v>0</v>
      </c>
      <c r="H142" s="2">
        <v>0</v>
      </c>
      <c r="I142" s="3">
        <v>50</v>
      </c>
      <c r="J142" s="2">
        <f t="shared" si="57"/>
        <v>70</v>
      </c>
      <c r="K142" s="3">
        <v>200</v>
      </c>
      <c r="L142" s="2">
        <f t="shared" si="57"/>
        <v>150</v>
      </c>
      <c r="M142" s="3">
        <v>200</v>
      </c>
      <c r="N142" s="2">
        <f t="shared" si="58"/>
        <v>150</v>
      </c>
      <c r="O142" s="3">
        <v>200</v>
      </c>
      <c r="P142" s="2">
        <f t="shared" si="59"/>
        <v>150</v>
      </c>
      <c r="Q142" s="3">
        <v>1200</v>
      </c>
      <c r="R142" s="3">
        <v>0</v>
      </c>
      <c r="S142" s="3" t="s">
        <v>30</v>
      </c>
      <c r="T142" s="2">
        <v>7</v>
      </c>
      <c r="U142" s="3">
        <v>5</v>
      </c>
      <c r="V142" s="2">
        <v>0</v>
      </c>
      <c r="W142" s="7" t="s">
        <v>281</v>
      </c>
      <c r="X142" s="2">
        <v>8587</v>
      </c>
      <c r="AD142" s="3">
        <v>1039</v>
      </c>
      <c r="AE142" s="3">
        <v>1079</v>
      </c>
      <c r="AF142" s="2">
        <v>403</v>
      </c>
      <c r="AG142" s="2">
        <v>404</v>
      </c>
      <c r="AH142" s="2">
        <v>405</v>
      </c>
      <c r="AJ142" s="2" t="s">
        <v>266</v>
      </c>
    </row>
    <row r="143" spans="1:36" s="3" customFormat="1" x14ac:dyDescent="0.15">
      <c r="A143" s="3">
        <v>20</v>
      </c>
      <c r="B143" s="3" t="s">
        <v>277</v>
      </c>
      <c r="C143" s="3">
        <v>6</v>
      </c>
      <c r="D143" s="3">
        <v>6</v>
      </c>
      <c r="E143" s="3">
        <v>8</v>
      </c>
      <c r="F143" s="2">
        <v>80</v>
      </c>
      <c r="G143" s="3">
        <v>0</v>
      </c>
      <c r="H143" s="2">
        <v>0</v>
      </c>
      <c r="I143" s="3">
        <v>60</v>
      </c>
      <c r="J143" s="2">
        <f t="shared" si="57"/>
        <v>90</v>
      </c>
      <c r="K143" s="3">
        <v>500</v>
      </c>
      <c r="L143" s="2">
        <f t="shared" si="57"/>
        <v>300</v>
      </c>
      <c r="M143" s="3">
        <v>500</v>
      </c>
      <c r="N143" s="2">
        <f t="shared" si="58"/>
        <v>300</v>
      </c>
      <c r="O143" s="3">
        <v>500</v>
      </c>
      <c r="P143" s="2">
        <f t="shared" si="59"/>
        <v>300</v>
      </c>
      <c r="Q143" s="3">
        <v>3000</v>
      </c>
      <c r="R143" s="3">
        <v>0</v>
      </c>
      <c r="S143" s="3" t="s">
        <v>30</v>
      </c>
      <c r="T143" s="2">
        <v>7</v>
      </c>
      <c r="U143" s="3">
        <v>6</v>
      </c>
      <c r="V143" s="2">
        <v>0</v>
      </c>
      <c r="W143" s="7" t="s">
        <v>282</v>
      </c>
      <c r="X143" s="2">
        <v>8587</v>
      </c>
      <c r="AD143" s="3">
        <v>1039</v>
      </c>
      <c r="AE143" s="3">
        <v>1079</v>
      </c>
      <c r="AF143" s="2">
        <v>403</v>
      </c>
      <c r="AG143" s="2">
        <v>404</v>
      </c>
      <c r="AH143" s="2">
        <v>405</v>
      </c>
      <c r="AJ143" s="2" t="s">
        <v>266</v>
      </c>
    </row>
    <row r="144" spans="1:36" s="2" customFormat="1" x14ac:dyDescent="0.15">
      <c r="A144" s="2">
        <v>21</v>
      </c>
      <c r="B144" s="2" t="s">
        <v>283</v>
      </c>
      <c r="C144" s="2">
        <v>0</v>
      </c>
      <c r="D144" s="2">
        <v>6</v>
      </c>
      <c r="E144" s="2">
        <v>8</v>
      </c>
      <c r="F144" s="2">
        <v>20</v>
      </c>
      <c r="G144" s="2">
        <v>0</v>
      </c>
      <c r="H144" s="2">
        <v>0</v>
      </c>
      <c r="I144" s="2">
        <v>10</v>
      </c>
      <c r="J144" s="2">
        <v>0</v>
      </c>
      <c r="K144" s="2">
        <v>5</v>
      </c>
      <c r="L144" s="2">
        <v>0</v>
      </c>
      <c r="M144" s="2">
        <v>5</v>
      </c>
      <c r="N144" s="2">
        <v>0</v>
      </c>
      <c r="O144" s="2">
        <v>5</v>
      </c>
      <c r="P144" s="2">
        <v>0</v>
      </c>
      <c r="Q144" s="2">
        <v>60</v>
      </c>
      <c r="R144" s="2">
        <v>0</v>
      </c>
      <c r="S144" s="2" t="s">
        <v>30</v>
      </c>
      <c r="T144" s="2">
        <v>7</v>
      </c>
      <c r="U144" s="2">
        <v>1</v>
      </c>
      <c r="V144" s="2">
        <v>0</v>
      </c>
      <c r="W144" s="2" t="s">
        <v>30</v>
      </c>
      <c r="X144" s="2">
        <v>8588</v>
      </c>
      <c r="AD144" s="2">
        <v>1040</v>
      </c>
      <c r="AE144" s="2">
        <v>1080</v>
      </c>
      <c r="AJ144" s="2" t="s">
        <v>266</v>
      </c>
    </row>
    <row r="145" spans="1:36" s="2" customFormat="1" x14ac:dyDescent="0.15">
      <c r="A145" s="2">
        <v>21</v>
      </c>
      <c r="B145" s="2" t="s">
        <v>283</v>
      </c>
      <c r="C145" s="2">
        <v>1</v>
      </c>
      <c r="D145" s="2">
        <v>6</v>
      </c>
      <c r="E145" s="2">
        <v>8</v>
      </c>
      <c r="F145" s="2">
        <v>30</v>
      </c>
      <c r="G145" s="2">
        <v>0</v>
      </c>
      <c r="H145" s="2">
        <v>0</v>
      </c>
      <c r="I145" s="2">
        <v>10</v>
      </c>
      <c r="J145" s="2">
        <f>I144</f>
        <v>10</v>
      </c>
      <c r="K145" s="2">
        <v>5</v>
      </c>
      <c r="L145" s="2">
        <f>K144</f>
        <v>5</v>
      </c>
      <c r="M145" s="2">
        <v>5</v>
      </c>
      <c r="N145" s="2">
        <f>M144</f>
        <v>5</v>
      </c>
      <c r="O145" s="2">
        <v>5</v>
      </c>
      <c r="P145" s="2">
        <f>O144</f>
        <v>5</v>
      </c>
      <c r="Q145" s="2">
        <v>60</v>
      </c>
      <c r="R145" s="2">
        <v>0</v>
      </c>
      <c r="S145" s="2" t="s">
        <v>30</v>
      </c>
      <c r="T145" s="2">
        <v>7</v>
      </c>
      <c r="U145" s="2">
        <v>1</v>
      </c>
      <c r="V145" s="2">
        <v>0</v>
      </c>
      <c r="W145" s="7" t="s">
        <v>284</v>
      </c>
      <c r="X145" s="2">
        <v>8588</v>
      </c>
      <c r="AD145" s="2">
        <v>1040</v>
      </c>
      <c r="AE145" s="2">
        <v>1080</v>
      </c>
      <c r="AF145" s="2">
        <v>397</v>
      </c>
      <c r="AG145" s="2">
        <v>398</v>
      </c>
      <c r="AH145" s="2">
        <v>399</v>
      </c>
      <c r="AJ145" s="2" t="s">
        <v>266</v>
      </c>
    </row>
    <row r="146" spans="1:36" s="2" customFormat="1" x14ac:dyDescent="0.15">
      <c r="A146" s="2">
        <v>21</v>
      </c>
      <c r="B146" s="2" t="s">
        <v>285</v>
      </c>
      <c r="C146" s="2">
        <v>2</v>
      </c>
      <c r="D146" s="2">
        <v>6</v>
      </c>
      <c r="E146" s="2">
        <v>8</v>
      </c>
      <c r="F146" s="2">
        <v>40</v>
      </c>
      <c r="G146" s="2">
        <v>0</v>
      </c>
      <c r="H146" s="2">
        <v>0</v>
      </c>
      <c r="I146" s="2">
        <v>20</v>
      </c>
      <c r="J146" s="2">
        <f>I144+I145</f>
        <v>20</v>
      </c>
      <c r="K146" s="2">
        <v>10</v>
      </c>
      <c r="L146" s="2">
        <f>K144+K145</f>
        <v>10</v>
      </c>
      <c r="M146" s="2">
        <v>10</v>
      </c>
      <c r="N146" s="2">
        <f>M144+M145</f>
        <v>10</v>
      </c>
      <c r="O146" s="2">
        <v>10</v>
      </c>
      <c r="P146" s="2">
        <f>O144+O145</f>
        <v>10</v>
      </c>
      <c r="Q146" s="2">
        <v>120</v>
      </c>
      <c r="R146" s="2">
        <v>0</v>
      </c>
      <c r="S146" s="2" t="s">
        <v>30</v>
      </c>
      <c r="T146" s="2">
        <v>7</v>
      </c>
      <c r="U146" s="2">
        <v>2</v>
      </c>
      <c r="V146" s="2">
        <v>0</v>
      </c>
      <c r="W146" s="7" t="s">
        <v>286</v>
      </c>
      <c r="X146" s="2">
        <v>8588</v>
      </c>
      <c r="AD146" s="2">
        <v>1040</v>
      </c>
      <c r="AE146" s="2">
        <v>1080</v>
      </c>
      <c r="AF146" s="2">
        <v>397</v>
      </c>
      <c r="AG146" s="2">
        <v>398</v>
      </c>
      <c r="AH146" s="2">
        <v>399</v>
      </c>
      <c r="AJ146" s="2" t="s">
        <v>266</v>
      </c>
    </row>
    <row r="147" spans="1:36" s="2" customFormat="1" x14ac:dyDescent="0.15">
      <c r="A147" s="2">
        <v>21</v>
      </c>
      <c r="B147" s="2" t="s">
        <v>283</v>
      </c>
      <c r="C147" s="2">
        <v>3</v>
      </c>
      <c r="D147" s="2">
        <v>6</v>
      </c>
      <c r="E147" s="2">
        <v>8</v>
      </c>
      <c r="F147" s="2">
        <v>50</v>
      </c>
      <c r="G147" s="2">
        <v>0</v>
      </c>
      <c r="H147" s="2">
        <v>0</v>
      </c>
      <c r="I147" s="2">
        <v>30</v>
      </c>
      <c r="J147" s="2">
        <f t="shared" ref="J147:L150" si="60">I145+I146</f>
        <v>30</v>
      </c>
      <c r="K147" s="2">
        <v>50</v>
      </c>
      <c r="L147" s="2">
        <f t="shared" si="60"/>
        <v>15</v>
      </c>
      <c r="M147" s="2">
        <v>50</v>
      </c>
      <c r="N147" s="2">
        <f t="shared" ref="N147:N150" si="61">M145+M146</f>
        <v>15</v>
      </c>
      <c r="O147" s="2">
        <v>50</v>
      </c>
      <c r="P147" s="2">
        <f t="shared" ref="P147:P150" si="62">O145+O146</f>
        <v>15</v>
      </c>
      <c r="Q147" s="2">
        <v>300</v>
      </c>
      <c r="R147" s="2">
        <v>0</v>
      </c>
      <c r="S147" s="2" t="s">
        <v>30</v>
      </c>
      <c r="T147" s="2">
        <v>7</v>
      </c>
      <c r="U147" s="2">
        <v>3</v>
      </c>
      <c r="V147" s="2">
        <v>0</v>
      </c>
      <c r="W147" s="7" t="s">
        <v>287</v>
      </c>
      <c r="X147" s="2">
        <v>8588</v>
      </c>
      <c r="AD147" s="2">
        <v>1040</v>
      </c>
      <c r="AE147" s="2">
        <v>1080</v>
      </c>
      <c r="AF147" s="2">
        <v>400</v>
      </c>
      <c r="AG147" s="2">
        <v>401</v>
      </c>
      <c r="AH147" s="2">
        <v>402</v>
      </c>
      <c r="AJ147" s="2" t="s">
        <v>266</v>
      </c>
    </row>
    <row r="148" spans="1:36" s="2" customFormat="1" x14ac:dyDescent="0.15">
      <c r="A148" s="2">
        <v>21</v>
      </c>
      <c r="B148" s="2" t="s">
        <v>283</v>
      </c>
      <c r="C148" s="2">
        <v>4</v>
      </c>
      <c r="D148" s="2">
        <v>6</v>
      </c>
      <c r="E148" s="2">
        <v>8</v>
      </c>
      <c r="F148" s="2">
        <v>60</v>
      </c>
      <c r="G148" s="2">
        <v>0</v>
      </c>
      <c r="H148" s="2">
        <v>0</v>
      </c>
      <c r="I148" s="2">
        <v>40</v>
      </c>
      <c r="J148" s="2">
        <f t="shared" si="60"/>
        <v>50</v>
      </c>
      <c r="K148" s="2">
        <v>100</v>
      </c>
      <c r="L148" s="2">
        <f t="shared" si="60"/>
        <v>60</v>
      </c>
      <c r="M148" s="2">
        <v>100</v>
      </c>
      <c r="N148" s="2">
        <f t="shared" si="61"/>
        <v>60</v>
      </c>
      <c r="O148" s="2">
        <v>100</v>
      </c>
      <c r="P148" s="2">
        <f t="shared" si="62"/>
        <v>60</v>
      </c>
      <c r="Q148" s="2">
        <v>600</v>
      </c>
      <c r="R148" s="2">
        <v>0</v>
      </c>
      <c r="S148" s="2" t="s">
        <v>30</v>
      </c>
      <c r="T148" s="2">
        <v>7</v>
      </c>
      <c r="U148" s="2">
        <v>4</v>
      </c>
      <c r="V148" s="2">
        <v>0</v>
      </c>
      <c r="W148" s="7" t="s">
        <v>288</v>
      </c>
      <c r="X148" s="2">
        <v>8588</v>
      </c>
      <c r="AD148" s="2">
        <v>1040</v>
      </c>
      <c r="AE148" s="2">
        <v>1080</v>
      </c>
      <c r="AF148" s="2">
        <v>400</v>
      </c>
      <c r="AG148" s="2">
        <v>401</v>
      </c>
      <c r="AH148" s="2">
        <v>402</v>
      </c>
      <c r="AJ148" s="2" t="s">
        <v>266</v>
      </c>
    </row>
    <row r="149" spans="1:36" s="2" customFormat="1" x14ac:dyDescent="0.15">
      <c r="A149" s="2">
        <v>21</v>
      </c>
      <c r="B149" s="2" t="s">
        <v>283</v>
      </c>
      <c r="C149" s="2">
        <v>5</v>
      </c>
      <c r="D149" s="2">
        <v>6</v>
      </c>
      <c r="E149" s="2">
        <v>8</v>
      </c>
      <c r="F149" s="2">
        <v>70</v>
      </c>
      <c r="G149" s="2">
        <v>0</v>
      </c>
      <c r="H149" s="2">
        <v>0</v>
      </c>
      <c r="I149" s="2">
        <v>50</v>
      </c>
      <c r="J149" s="2">
        <f t="shared" si="60"/>
        <v>70</v>
      </c>
      <c r="K149" s="2">
        <v>200</v>
      </c>
      <c r="L149" s="2">
        <f t="shared" si="60"/>
        <v>150</v>
      </c>
      <c r="M149" s="2">
        <v>200</v>
      </c>
      <c r="N149" s="2">
        <f t="shared" si="61"/>
        <v>150</v>
      </c>
      <c r="O149" s="2">
        <v>200</v>
      </c>
      <c r="P149" s="2">
        <f t="shared" si="62"/>
        <v>150</v>
      </c>
      <c r="Q149" s="2">
        <v>1200</v>
      </c>
      <c r="R149" s="2">
        <v>0</v>
      </c>
      <c r="S149" s="2" t="s">
        <v>30</v>
      </c>
      <c r="T149" s="2">
        <v>7</v>
      </c>
      <c r="U149" s="2">
        <v>5</v>
      </c>
      <c r="V149" s="2">
        <v>0</v>
      </c>
      <c r="W149" s="7" t="s">
        <v>289</v>
      </c>
      <c r="X149" s="2">
        <v>8588</v>
      </c>
      <c r="AD149" s="2">
        <v>1040</v>
      </c>
      <c r="AE149" s="2">
        <v>1080</v>
      </c>
      <c r="AF149" s="2">
        <v>403</v>
      </c>
      <c r="AG149" s="2">
        <v>404</v>
      </c>
      <c r="AH149" s="2">
        <v>405</v>
      </c>
      <c r="AJ149" s="2" t="s">
        <v>266</v>
      </c>
    </row>
    <row r="150" spans="1:36" s="2" customFormat="1" x14ac:dyDescent="0.15">
      <c r="A150" s="2">
        <v>21</v>
      </c>
      <c r="B150" s="2" t="s">
        <v>283</v>
      </c>
      <c r="C150" s="2">
        <v>6</v>
      </c>
      <c r="D150" s="2">
        <v>6</v>
      </c>
      <c r="E150" s="2">
        <v>8</v>
      </c>
      <c r="F150" s="2">
        <v>80</v>
      </c>
      <c r="G150" s="2">
        <v>0</v>
      </c>
      <c r="H150" s="2">
        <v>0</v>
      </c>
      <c r="I150" s="2">
        <v>60</v>
      </c>
      <c r="J150" s="2">
        <f t="shared" si="60"/>
        <v>90</v>
      </c>
      <c r="K150" s="2">
        <v>500</v>
      </c>
      <c r="L150" s="2">
        <f t="shared" si="60"/>
        <v>300</v>
      </c>
      <c r="M150" s="2">
        <v>500</v>
      </c>
      <c r="N150" s="2">
        <f t="shared" si="61"/>
        <v>300</v>
      </c>
      <c r="O150" s="2">
        <v>500</v>
      </c>
      <c r="P150" s="2">
        <f t="shared" si="62"/>
        <v>300</v>
      </c>
      <c r="Q150" s="2">
        <v>3000</v>
      </c>
      <c r="R150" s="2">
        <v>0</v>
      </c>
      <c r="S150" s="2" t="s">
        <v>30</v>
      </c>
      <c r="T150" s="2">
        <v>7</v>
      </c>
      <c r="U150" s="2">
        <v>6</v>
      </c>
      <c r="V150" s="2">
        <v>0</v>
      </c>
      <c r="W150" s="7" t="s">
        <v>290</v>
      </c>
      <c r="X150" s="2">
        <v>8588</v>
      </c>
      <c r="AD150" s="2">
        <v>1040</v>
      </c>
      <c r="AE150" s="2">
        <v>1080</v>
      </c>
      <c r="AF150" s="2">
        <v>403</v>
      </c>
      <c r="AG150" s="2">
        <v>404</v>
      </c>
      <c r="AH150" s="2">
        <v>405</v>
      </c>
      <c r="AJ150" s="2" t="s">
        <v>266</v>
      </c>
    </row>
    <row r="151" spans="1:36" s="3" customFormat="1" x14ac:dyDescent="0.15">
      <c r="A151" s="3">
        <v>22</v>
      </c>
      <c r="B151" s="3" t="s">
        <v>291</v>
      </c>
      <c r="C151" s="3">
        <v>0</v>
      </c>
      <c r="D151" s="3">
        <v>6</v>
      </c>
      <c r="E151" s="3">
        <v>8</v>
      </c>
      <c r="F151" s="2">
        <v>20</v>
      </c>
      <c r="G151" s="3">
        <v>0</v>
      </c>
      <c r="H151" s="2">
        <v>0</v>
      </c>
      <c r="I151" s="3">
        <v>10</v>
      </c>
      <c r="J151" s="2">
        <v>0</v>
      </c>
      <c r="K151" s="3">
        <v>5</v>
      </c>
      <c r="L151" s="2">
        <v>0</v>
      </c>
      <c r="M151" s="3">
        <v>5</v>
      </c>
      <c r="N151" s="2">
        <v>0</v>
      </c>
      <c r="O151" s="3">
        <v>5</v>
      </c>
      <c r="P151" s="2">
        <v>0</v>
      </c>
      <c r="Q151" s="3">
        <v>60</v>
      </c>
      <c r="R151" s="3">
        <v>0</v>
      </c>
      <c r="S151" s="3" t="s">
        <v>30</v>
      </c>
      <c r="T151" s="2">
        <v>7</v>
      </c>
      <c r="U151" s="3">
        <v>1</v>
      </c>
      <c r="V151" s="2">
        <v>0</v>
      </c>
      <c r="W151" s="2" t="s">
        <v>30</v>
      </c>
      <c r="X151" s="2">
        <v>8589</v>
      </c>
      <c r="AD151" s="3">
        <v>1041</v>
      </c>
      <c r="AE151" s="3">
        <v>1081</v>
      </c>
      <c r="AJ151" s="2" t="s">
        <v>266</v>
      </c>
    </row>
    <row r="152" spans="1:36" s="3" customFormat="1" x14ac:dyDescent="0.15">
      <c r="A152" s="3">
        <v>22</v>
      </c>
      <c r="B152" s="3" t="s">
        <v>291</v>
      </c>
      <c r="C152" s="3">
        <v>1</v>
      </c>
      <c r="D152" s="3">
        <v>6</v>
      </c>
      <c r="E152" s="3">
        <v>8</v>
      </c>
      <c r="F152" s="2">
        <v>30</v>
      </c>
      <c r="G152" s="3">
        <v>0</v>
      </c>
      <c r="H152" s="2">
        <v>0</v>
      </c>
      <c r="I152" s="3">
        <v>10</v>
      </c>
      <c r="J152" s="2">
        <f>I151</f>
        <v>10</v>
      </c>
      <c r="K152" s="3">
        <v>5</v>
      </c>
      <c r="L152" s="2">
        <f>K151</f>
        <v>5</v>
      </c>
      <c r="M152" s="3">
        <v>5</v>
      </c>
      <c r="N152" s="2">
        <f>M151</f>
        <v>5</v>
      </c>
      <c r="O152" s="3">
        <v>5</v>
      </c>
      <c r="P152" s="2">
        <f>O151</f>
        <v>5</v>
      </c>
      <c r="Q152" s="3">
        <v>60</v>
      </c>
      <c r="R152" s="3">
        <v>0</v>
      </c>
      <c r="S152" s="3" t="s">
        <v>30</v>
      </c>
      <c r="T152" s="2">
        <v>7</v>
      </c>
      <c r="U152" s="3">
        <v>1</v>
      </c>
      <c r="V152" s="2">
        <v>0</v>
      </c>
      <c r="W152" s="7" t="s">
        <v>292</v>
      </c>
      <c r="X152" s="2">
        <v>8589</v>
      </c>
      <c r="AD152" s="3">
        <v>1041</v>
      </c>
      <c r="AE152" s="3">
        <v>1081</v>
      </c>
      <c r="AF152" s="2">
        <v>397</v>
      </c>
      <c r="AG152" s="2">
        <v>398</v>
      </c>
      <c r="AH152" s="2">
        <v>399</v>
      </c>
      <c r="AJ152" s="2" t="s">
        <v>266</v>
      </c>
    </row>
    <row r="153" spans="1:36" s="3" customFormat="1" x14ac:dyDescent="0.15">
      <c r="A153" s="3">
        <v>22</v>
      </c>
      <c r="B153" s="3" t="s">
        <v>291</v>
      </c>
      <c r="C153" s="3">
        <v>2</v>
      </c>
      <c r="D153" s="3">
        <v>6</v>
      </c>
      <c r="E153" s="3">
        <v>8</v>
      </c>
      <c r="F153" s="2">
        <v>40</v>
      </c>
      <c r="G153" s="3">
        <v>0</v>
      </c>
      <c r="H153" s="2">
        <v>0</v>
      </c>
      <c r="I153" s="3">
        <v>20</v>
      </c>
      <c r="J153" s="2">
        <f>I151+I152</f>
        <v>20</v>
      </c>
      <c r="K153" s="3">
        <v>10</v>
      </c>
      <c r="L153" s="2">
        <f>K151+K152</f>
        <v>10</v>
      </c>
      <c r="M153" s="3">
        <v>10</v>
      </c>
      <c r="N153" s="2">
        <f>M151+M152</f>
        <v>10</v>
      </c>
      <c r="O153" s="3">
        <v>10</v>
      </c>
      <c r="P153" s="2">
        <f>O151+O152</f>
        <v>10</v>
      </c>
      <c r="Q153" s="3">
        <v>120</v>
      </c>
      <c r="R153" s="3">
        <v>0</v>
      </c>
      <c r="S153" s="3" t="s">
        <v>30</v>
      </c>
      <c r="T153" s="2">
        <v>7</v>
      </c>
      <c r="U153" s="3">
        <v>2</v>
      </c>
      <c r="V153" s="2">
        <v>0</v>
      </c>
      <c r="W153" s="7" t="s">
        <v>293</v>
      </c>
      <c r="X153" s="2">
        <v>8589</v>
      </c>
      <c r="AD153" s="3">
        <v>1041</v>
      </c>
      <c r="AE153" s="3">
        <v>1081</v>
      </c>
      <c r="AF153" s="2">
        <v>397</v>
      </c>
      <c r="AG153" s="2">
        <v>398</v>
      </c>
      <c r="AH153" s="2">
        <v>399</v>
      </c>
      <c r="AJ153" s="2" t="s">
        <v>266</v>
      </c>
    </row>
    <row r="154" spans="1:36" s="3" customFormat="1" x14ac:dyDescent="0.15">
      <c r="A154" s="3">
        <v>22</v>
      </c>
      <c r="B154" s="3" t="s">
        <v>291</v>
      </c>
      <c r="C154" s="3">
        <v>3</v>
      </c>
      <c r="D154" s="3">
        <v>6</v>
      </c>
      <c r="E154" s="3">
        <v>8</v>
      </c>
      <c r="F154" s="2">
        <v>50</v>
      </c>
      <c r="G154" s="3">
        <v>0</v>
      </c>
      <c r="H154" s="2">
        <v>0</v>
      </c>
      <c r="I154" s="3">
        <v>30</v>
      </c>
      <c r="J154" s="2">
        <f t="shared" ref="J154:L157" si="63">I152+I153</f>
        <v>30</v>
      </c>
      <c r="K154" s="3">
        <v>50</v>
      </c>
      <c r="L154" s="2">
        <f t="shared" si="63"/>
        <v>15</v>
      </c>
      <c r="M154" s="3">
        <v>50</v>
      </c>
      <c r="N154" s="2">
        <f t="shared" ref="N154:N157" si="64">M152+M153</f>
        <v>15</v>
      </c>
      <c r="O154" s="3">
        <v>50</v>
      </c>
      <c r="P154" s="2">
        <f t="shared" ref="P154:P157" si="65">O152+O153</f>
        <v>15</v>
      </c>
      <c r="Q154" s="3">
        <v>300</v>
      </c>
      <c r="R154" s="3">
        <v>0</v>
      </c>
      <c r="S154" s="3" t="s">
        <v>30</v>
      </c>
      <c r="T154" s="2">
        <v>7</v>
      </c>
      <c r="U154" s="3">
        <v>3</v>
      </c>
      <c r="V154" s="2">
        <v>0</v>
      </c>
      <c r="W154" s="7" t="s">
        <v>294</v>
      </c>
      <c r="X154" s="2">
        <v>8589</v>
      </c>
      <c r="AD154" s="3">
        <v>1041</v>
      </c>
      <c r="AE154" s="3">
        <v>1081</v>
      </c>
      <c r="AF154" s="2">
        <v>400</v>
      </c>
      <c r="AG154" s="2">
        <v>401</v>
      </c>
      <c r="AH154" s="2">
        <v>402</v>
      </c>
      <c r="AJ154" s="2" t="s">
        <v>266</v>
      </c>
    </row>
    <row r="155" spans="1:36" s="3" customFormat="1" x14ac:dyDescent="0.15">
      <c r="A155" s="3">
        <v>22</v>
      </c>
      <c r="B155" s="3" t="s">
        <v>291</v>
      </c>
      <c r="C155" s="3">
        <v>4</v>
      </c>
      <c r="D155" s="3">
        <v>6</v>
      </c>
      <c r="E155" s="3">
        <v>8</v>
      </c>
      <c r="F155" s="2">
        <v>60</v>
      </c>
      <c r="G155" s="3">
        <v>0</v>
      </c>
      <c r="H155" s="2">
        <v>0</v>
      </c>
      <c r="I155" s="3">
        <v>40</v>
      </c>
      <c r="J155" s="2">
        <f t="shared" si="63"/>
        <v>50</v>
      </c>
      <c r="K155" s="3">
        <v>100</v>
      </c>
      <c r="L155" s="2">
        <f t="shared" si="63"/>
        <v>60</v>
      </c>
      <c r="M155" s="3">
        <v>100</v>
      </c>
      <c r="N155" s="2">
        <f t="shared" si="64"/>
        <v>60</v>
      </c>
      <c r="O155" s="3">
        <v>100</v>
      </c>
      <c r="P155" s="2">
        <f t="shared" si="65"/>
        <v>60</v>
      </c>
      <c r="Q155" s="3">
        <v>600</v>
      </c>
      <c r="R155" s="3">
        <v>0</v>
      </c>
      <c r="S155" s="3" t="s">
        <v>30</v>
      </c>
      <c r="T155" s="2">
        <v>7</v>
      </c>
      <c r="U155" s="3">
        <v>4</v>
      </c>
      <c r="V155" s="2">
        <v>0</v>
      </c>
      <c r="W155" s="7" t="s">
        <v>295</v>
      </c>
      <c r="X155" s="2">
        <v>8589</v>
      </c>
      <c r="AD155" s="3">
        <v>1041</v>
      </c>
      <c r="AE155" s="3">
        <v>1081</v>
      </c>
      <c r="AF155" s="2">
        <v>400</v>
      </c>
      <c r="AG155" s="2">
        <v>401</v>
      </c>
      <c r="AH155" s="2">
        <v>402</v>
      </c>
      <c r="AJ155" s="2" t="s">
        <v>266</v>
      </c>
    </row>
    <row r="156" spans="1:36" s="3" customFormat="1" x14ac:dyDescent="0.15">
      <c r="A156" s="3">
        <v>22</v>
      </c>
      <c r="B156" s="3" t="s">
        <v>291</v>
      </c>
      <c r="C156" s="3">
        <v>5</v>
      </c>
      <c r="D156" s="3">
        <v>6</v>
      </c>
      <c r="E156" s="3">
        <v>8</v>
      </c>
      <c r="F156" s="2">
        <v>70</v>
      </c>
      <c r="G156" s="3">
        <v>0</v>
      </c>
      <c r="H156" s="2">
        <v>0</v>
      </c>
      <c r="I156" s="3">
        <v>50</v>
      </c>
      <c r="J156" s="2">
        <f t="shared" si="63"/>
        <v>70</v>
      </c>
      <c r="K156" s="3">
        <v>200</v>
      </c>
      <c r="L156" s="2">
        <f t="shared" si="63"/>
        <v>150</v>
      </c>
      <c r="M156" s="3">
        <v>200</v>
      </c>
      <c r="N156" s="2">
        <f t="shared" si="64"/>
        <v>150</v>
      </c>
      <c r="O156" s="3">
        <v>200</v>
      </c>
      <c r="P156" s="2">
        <f t="shared" si="65"/>
        <v>150</v>
      </c>
      <c r="Q156" s="3">
        <v>1200</v>
      </c>
      <c r="R156" s="3">
        <v>0</v>
      </c>
      <c r="S156" s="3" t="s">
        <v>30</v>
      </c>
      <c r="T156" s="2">
        <v>7</v>
      </c>
      <c r="U156" s="3">
        <v>5</v>
      </c>
      <c r="V156" s="2">
        <v>0</v>
      </c>
      <c r="W156" s="7" t="s">
        <v>296</v>
      </c>
      <c r="X156" s="2">
        <v>8589</v>
      </c>
      <c r="AD156" s="3">
        <v>1041</v>
      </c>
      <c r="AE156" s="3">
        <v>1081</v>
      </c>
      <c r="AF156" s="2">
        <v>403</v>
      </c>
      <c r="AG156" s="2">
        <v>404</v>
      </c>
      <c r="AH156" s="2">
        <v>405</v>
      </c>
      <c r="AJ156" s="2" t="s">
        <v>266</v>
      </c>
    </row>
    <row r="157" spans="1:36" s="3" customFormat="1" x14ac:dyDescent="0.15">
      <c r="A157" s="3">
        <v>22</v>
      </c>
      <c r="B157" s="3" t="s">
        <v>291</v>
      </c>
      <c r="C157" s="3">
        <v>6</v>
      </c>
      <c r="D157" s="3">
        <v>6</v>
      </c>
      <c r="E157" s="3">
        <v>8</v>
      </c>
      <c r="F157" s="2">
        <v>80</v>
      </c>
      <c r="G157" s="3">
        <v>0</v>
      </c>
      <c r="H157" s="2">
        <v>0</v>
      </c>
      <c r="I157" s="3">
        <v>60</v>
      </c>
      <c r="J157" s="2">
        <f t="shared" si="63"/>
        <v>90</v>
      </c>
      <c r="K157" s="3">
        <v>500</v>
      </c>
      <c r="L157" s="2">
        <f t="shared" si="63"/>
        <v>300</v>
      </c>
      <c r="M157" s="3">
        <v>500</v>
      </c>
      <c r="N157" s="2">
        <f t="shared" si="64"/>
        <v>300</v>
      </c>
      <c r="O157" s="3">
        <v>500</v>
      </c>
      <c r="P157" s="2">
        <f t="shared" si="65"/>
        <v>300</v>
      </c>
      <c r="Q157" s="3">
        <v>3000</v>
      </c>
      <c r="R157" s="3">
        <v>0</v>
      </c>
      <c r="S157" s="3" t="s">
        <v>30</v>
      </c>
      <c r="T157" s="2">
        <v>7</v>
      </c>
      <c r="U157" s="3">
        <v>6</v>
      </c>
      <c r="V157" s="2">
        <v>0</v>
      </c>
      <c r="W157" s="7" t="s">
        <v>297</v>
      </c>
      <c r="X157" s="2">
        <v>8589</v>
      </c>
      <c r="AD157" s="3">
        <v>1041</v>
      </c>
      <c r="AE157" s="3">
        <v>1081</v>
      </c>
      <c r="AF157" s="2">
        <v>403</v>
      </c>
      <c r="AG157" s="2">
        <v>404</v>
      </c>
      <c r="AH157" s="2">
        <v>405</v>
      </c>
      <c r="AJ157" s="2" t="s">
        <v>298</v>
      </c>
    </row>
    <row r="158" spans="1:36" s="2" customFormat="1" x14ac:dyDescent="0.15">
      <c r="A158" s="2">
        <v>23</v>
      </c>
      <c r="B158" s="2" t="s">
        <v>299</v>
      </c>
      <c r="C158" s="2">
        <v>0</v>
      </c>
      <c r="D158" s="2">
        <v>6</v>
      </c>
      <c r="E158" s="2">
        <v>8</v>
      </c>
      <c r="F158" s="2">
        <v>20</v>
      </c>
      <c r="G158" s="2">
        <v>0</v>
      </c>
      <c r="H158" s="2">
        <v>0</v>
      </c>
      <c r="I158" s="2">
        <v>10</v>
      </c>
      <c r="J158" s="2">
        <v>0</v>
      </c>
      <c r="K158" s="2">
        <v>5</v>
      </c>
      <c r="L158" s="2">
        <v>0</v>
      </c>
      <c r="M158" s="2">
        <v>5</v>
      </c>
      <c r="N158" s="2">
        <v>0</v>
      </c>
      <c r="O158" s="2">
        <v>5</v>
      </c>
      <c r="P158" s="2">
        <v>0</v>
      </c>
      <c r="Q158" s="2">
        <v>60</v>
      </c>
      <c r="R158" s="2">
        <v>0</v>
      </c>
      <c r="S158" s="2" t="s">
        <v>30</v>
      </c>
      <c r="T158" s="2">
        <v>7</v>
      </c>
      <c r="U158" s="2">
        <v>1</v>
      </c>
      <c r="V158" s="2">
        <v>0</v>
      </c>
      <c r="W158" s="2" t="s">
        <v>30</v>
      </c>
      <c r="X158" s="2">
        <v>8590</v>
      </c>
      <c r="AD158" s="2">
        <v>1042</v>
      </c>
      <c r="AE158" s="2">
        <v>1082</v>
      </c>
      <c r="AJ158" s="2" t="s">
        <v>298</v>
      </c>
    </row>
    <row r="159" spans="1:36" s="2" customFormat="1" x14ac:dyDescent="0.15">
      <c r="A159" s="2">
        <v>23</v>
      </c>
      <c r="B159" s="2" t="s">
        <v>299</v>
      </c>
      <c r="C159" s="2">
        <v>1</v>
      </c>
      <c r="D159" s="2">
        <v>6</v>
      </c>
      <c r="E159" s="2">
        <v>8</v>
      </c>
      <c r="F159" s="2">
        <v>30</v>
      </c>
      <c r="G159" s="2">
        <v>0</v>
      </c>
      <c r="H159" s="2">
        <v>0</v>
      </c>
      <c r="I159" s="2">
        <v>10</v>
      </c>
      <c r="J159" s="2">
        <f>I158</f>
        <v>10</v>
      </c>
      <c r="K159" s="2">
        <v>5</v>
      </c>
      <c r="L159" s="2">
        <f>K158</f>
        <v>5</v>
      </c>
      <c r="M159" s="2">
        <v>5</v>
      </c>
      <c r="N159" s="2">
        <f>M158</f>
        <v>5</v>
      </c>
      <c r="O159" s="2">
        <v>5</v>
      </c>
      <c r="P159" s="2">
        <f>O158</f>
        <v>5</v>
      </c>
      <c r="Q159" s="2">
        <v>60</v>
      </c>
      <c r="R159" s="2">
        <v>0</v>
      </c>
      <c r="S159" s="2" t="s">
        <v>30</v>
      </c>
      <c r="T159" s="2">
        <v>7</v>
      </c>
      <c r="U159" s="2">
        <v>1</v>
      </c>
      <c r="V159" s="2">
        <v>0</v>
      </c>
      <c r="W159" s="7" t="s">
        <v>300</v>
      </c>
      <c r="X159" s="2">
        <v>8590</v>
      </c>
      <c r="AD159" s="2">
        <v>1042</v>
      </c>
      <c r="AE159" s="2">
        <v>1082</v>
      </c>
      <c r="AF159" s="2">
        <v>397</v>
      </c>
      <c r="AG159" s="2">
        <v>398</v>
      </c>
      <c r="AH159" s="2">
        <v>399</v>
      </c>
      <c r="AJ159" s="2" t="s">
        <v>266</v>
      </c>
    </row>
    <row r="160" spans="1:36" s="2" customFormat="1" x14ac:dyDescent="0.15">
      <c r="A160" s="2">
        <v>23</v>
      </c>
      <c r="B160" s="2" t="s">
        <v>301</v>
      </c>
      <c r="C160" s="2">
        <v>2</v>
      </c>
      <c r="D160" s="2">
        <v>6</v>
      </c>
      <c r="E160" s="2">
        <v>8</v>
      </c>
      <c r="F160" s="2">
        <v>40</v>
      </c>
      <c r="G160" s="2">
        <v>0</v>
      </c>
      <c r="H160" s="2">
        <v>0</v>
      </c>
      <c r="I160" s="2">
        <v>20</v>
      </c>
      <c r="J160" s="2">
        <f>I158+I159</f>
        <v>20</v>
      </c>
      <c r="K160" s="2">
        <v>10</v>
      </c>
      <c r="L160" s="2">
        <f>K158+K159</f>
        <v>10</v>
      </c>
      <c r="M160" s="2">
        <v>10</v>
      </c>
      <c r="N160" s="2">
        <f>M158+M159</f>
        <v>10</v>
      </c>
      <c r="O160" s="2">
        <v>10</v>
      </c>
      <c r="P160" s="2">
        <f>O158+O159</f>
        <v>10</v>
      </c>
      <c r="Q160" s="2">
        <v>120</v>
      </c>
      <c r="R160" s="2">
        <v>0</v>
      </c>
      <c r="S160" s="2" t="s">
        <v>30</v>
      </c>
      <c r="T160" s="2">
        <v>7</v>
      </c>
      <c r="U160" s="2">
        <v>2</v>
      </c>
      <c r="V160" s="2">
        <v>0</v>
      </c>
      <c r="W160" s="7" t="s">
        <v>302</v>
      </c>
      <c r="X160" s="2">
        <v>8590</v>
      </c>
      <c r="AD160" s="2">
        <v>1042</v>
      </c>
      <c r="AE160" s="2">
        <v>1082</v>
      </c>
      <c r="AF160" s="2">
        <v>397</v>
      </c>
      <c r="AG160" s="2">
        <v>398</v>
      </c>
      <c r="AH160" s="2">
        <v>399</v>
      </c>
      <c r="AJ160" s="2" t="s">
        <v>266</v>
      </c>
    </row>
    <row r="161" spans="1:36" s="2" customFormat="1" x14ac:dyDescent="0.15">
      <c r="A161" s="2">
        <v>23</v>
      </c>
      <c r="B161" s="2" t="s">
        <v>301</v>
      </c>
      <c r="C161" s="2">
        <v>3</v>
      </c>
      <c r="D161" s="2">
        <v>6</v>
      </c>
      <c r="E161" s="2">
        <v>8</v>
      </c>
      <c r="F161" s="2">
        <v>50</v>
      </c>
      <c r="G161" s="2">
        <v>0</v>
      </c>
      <c r="H161" s="2">
        <v>0</v>
      </c>
      <c r="I161" s="2">
        <v>30</v>
      </c>
      <c r="J161" s="2">
        <f t="shared" ref="J161:L164" si="66">I159+I160</f>
        <v>30</v>
      </c>
      <c r="K161" s="2">
        <v>50</v>
      </c>
      <c r="L161" s="2">
        <f t="shared" si="66"/>
        <v>15</v>
      </c>
      <c r="M161" s="2">
        <v>50</v>
      </c>
      <c r="N161" s="2">
        <f t="shared" ref="N161:N164" si="67">M159+M160</f>
        <v>15</v>
      </c>
      <c r="O161" s="2">
        <v>50</v>
      </c>
      <c r="P161" s="2">
        <f t="shared" ref="P161:P164" si="68">O159+O160</f>
        <v>15</v>
      </c>
      <c r="Q161" s="2">
        <v>300</v>
      </c>
      <c r="R161" s="2">
        <v>0</v>
      </c>
      <c r="S161" s="2" t="s">
        <v>30</v>
      </c>
      <c r="T161" s="2">
        <v>7</v>
      </c>
      <c r="U161" s="2">
        <v>3</v>
      </c>
      <c r="V161" s="2">
        <v>0</v>
      </c>
      <c r="W161" s="7" t="s">
        <v>303</v>
      </c>
      <c r="X161" s="2">
        <v>8590</v>
      </c>
      <c r="AD161" s="2">
        <v>1042</v>
      </c>
      <c r="AE161" s="2">
        <v>1082</v>
      </c>
      <c r="AF161" s="2">
        <v>400</v>
      </c>
      <c r="AG161" s="2">
        <v>401</v>
      </c>
      <c r="AH161" s="2">
        <v>402</v>
      </c>
      <c r="AJ161" s="2" t="s">
        <v>266</v>
      </c>
    </row>
    <row r="162" spans="1:36" s="2" customFormat="1" x14ac:dyDescent="0.15">
      <c r="A162" s="2">
        <v>23</v>
      </c>
      <c r="B162" s="2" t="s">
        <v>301</v>
      </c>
      <c r="C162" s="2">
        <v>4</v>
      </c>
      <c r="D162" s="2">
        <v>6</v>
      </c>
      <c r="E162" s="2">
        <v>8</v>
      </c>
      <c r="F162" s="2">
        <v>60</v>
      </c>
      <c r="G162" s="2">
        <v>0</v>
      </c>
      <c r="H162" s="2">
        <v>0</v>
      </c>
      <c r="I162" s="2">
        <v>40</v>
      </c>
      <c r="J162" s="2">
        <f t="shared" si="66"/>
        <v>50</v>
      </c>
      <c r="K162" s="2">
        <v>100</v>
      </c>
      <c r="L162" s="2">
        <f t="shared" si="66"/>
        <v>60</v>
      </c>
      <c r="M162" s="2">
        <v>100</v>
      </c>
      <c r="N162" s="2">
        <f t="shared" si="67"/>
        <v>60</v>
      </c>
      <c r="O162" s="2">
        <v>100</v>
      </c>
      <c r="P162" s="2">
        <f t="shared" si="68"/>
        <v>60</v>
      </c>
      <c r="Q162" s="2">
        <v>600</v>
      </c>
      <c r="R162" s="2">
        <v>0</v>
      </c>
      <c r="S162" s="2" t="s">
        <v>30</v>
      </c>
      <c r="T162" s="2">
        <v>7</v>
      </c>
      <c r="U162" s="2">
        <v>4</v>
      </c>
      <c r="V162" s="2">
        <v>0</v>
      </c>
      <c r="W162" s="7" t="s">
        <v>304</v>
      </c>
      <c r="X162" s="2">
        <v>8590</v>
      </c>
      <c r="AD162" s="2">
        <v>1042</v>
      </c>
      <c r="AE162" s="2">
        <v>1082</v>
      </c>
      <c r="AF162" s="2">
        <v>400</v>
      </c>
      <c r="AG162" s="2">
        <v>401</v>
      </c>
      <c r="AH162" s="2">
        <v>402</v>
      </c>
      <c r="AJ162" s="2" t="s">
        <v>266</v>
      </c>
    </row>
    <row r="163" spans="1:36" s="2" customFormat="1" x14ac:dyDescent="0.15">
      <c r="A163" s="2">
        <v>23</v>
      </c>
      <c r="B163" s="2" t="s">
        <v>301</v>
      </c>
      <c r="C163" s="2">
        <v>5</v>
      </c>
      <c r="D163" s="2">
        <v>6</v>
      </c>
      <c r="E163" s="2">
        <v>8</v>
      </c>
      <c r="F163" s="2">
        <v>70</v>
      </c>
      <c r="G163" s="2">
        <v>0</v>
      </c>
      <c r="H163" s="2">
        <v>0</v>
      </c>
      <c r="I163" s="2">
        <v>50</v>
      </c>
      <c r="J163" s="2">
        <f t="shared" si="66"/>
        <v>70</v>
      </c>
      <c r="K163" s="2">
        <v>200</v>
      </c>
      <c r="L163" s="2">
        <f t="shared" si="66"/>
        <v>150</v>
      </c>
      <c r="M163" s="2">
        <v>200</v>
      </c>
      <c r="N163" s="2">
        <f t="shared" si="67"/>
        <v>150</v>
      </c>
      <c r="O163" s="2">
        <v>200</v>
      </c>
      <c r="P163" s="2">
        <f t="shared" si="68"/>
        <v>150</v>
      </c>
      <c r="Q163" s="2">
        <v>1200</v>
      </c>
      <c r="R163" s="2">
        <v>0</v>
      </c>
      <c r="S163" s="2" t="s">
        <v>30</v>
      </c>
      <c r="T163" s="2">
        <v>7</v>
      </c>
      <c r="U163" s="2">
        <v>5</v>
      </c>
      <c r="V163" s="2">
        <v>0</v>
      </c>
      <c r="W163" s="7" t="s">
        <v>305</v>
      </c>
      <c r="X163" s="2">
        <v>8590</v>
      </c>
      <c r="AD163" s="2">
        <v>1042</v>
      </c>
      <c r="AE163" s="2">
        <v>1082</v>
      </c>
      <c r="AF163" s="2">
        <v>403</v>
      </c>
      <c r="AG163" s="2">
        <v>404</v>
      </c>
      <c r="AH163" s="2">
        <v>405</v>
      </c>
      <c r="AJ163" s="2" t="s">
        <v>266</v>
      </c>
    </row>
    <row r="164" spans="1:36" s="2" customFormat="1" x14ac:dyDescent="0.15">
      <c r="A164" s="2">
        <v>23</v>
      </c>
      <c r="B164" s="2" t="s">
        <v>301</v>
      </c>
      <c r="C164" s="2">
        <v>6</v>
      </c>
      <c r="D164" s="2">
        <v>6</v>
      </c>
      <c r="E164" s="2">
        <v>8</v>
      </c>
      <c r="F164" s="2">
        <v>80</v>
      </c>
      <c r="G164" s="2">
        <v>0</v>
      </c>
      <c r="H164" s="2">
        <v>0</v>
      </c>
      <c r="I164" s="2">
        <v>60</v>
      </c>
      <c r="J164" s="2">
        <f t="shared" si="66"/>
        <v>90</v>
      </c>
      <c r="K164" s="2">
        <v>500</v>
      </c>
      <c r="L164" s="2">
        <f t="shared" si="66"/>
        <v>300</v>
      </c>
      <c r="M164" s="2">
        <v>500</v>
      </c>
      <c r="N164" s="2">
        <f t="shared" si="67"/>
        <v>300</v>
      </c>
      <c r="O164" s="2">
        <v>500</v>
      </c>
      <c r="P164" s="2">
        <f t="shared" si="68"/>
        <v>300</v>
      </c>
      <c r="Q164" s="2">
        <v>3000</v>
      </c>
      <c r="R164" s="2">
        <v>0</v>
      </c>
      <c r="S164" s="2" t="s">
        <v>30</v>
      </c>
      <c r="T164" s="2">
        <v>7</v>
      </c>
      <c r="U164" s="2">
        <v>6</v>
      </c>
      <c r="V164" s="2">
        <v>0</v>
      </c>
      <c r="W164" s="7" t="s">
        <v>306</v>
      </c>
      <c r="X164" s="2">
        <v>8590</v>
      </c>
      <c r="AD164" s="2">
        <v>1042</v>
      </c>
      <c r="AE164" s="2">
        <v>1082</v>
      </c>
      <c r="AF164" s="2">
        <v>403</v>
      </c>
      <c r="AG164" s="2">
        <v>404</v>
      </c>
      <c r="AH164" s="2">
        <v>405</v>
      </c>
      <c r="AJ164" s="2" t="s">
        <v>266</v>
      </c>
    </row>
    <row r="165" spans="1:36" s="3" customFormat="1" x14ac:dyDescent="0.15">
      <c r="A165" s="3">
        <v>24</v>
      </c>
      <c r="B165" s="3" t="s">
        <v>307</v>
      </c>
      <c r="C165" s="3">
        <v>0</v>
      </c>
      <c r="D165" s="3">
        <v>6</v>
      </c>
      <c r="E165" s="3">
        <v>1</v>
      </c>
      <c r="F165" s="2">
        <v>20</v>
      </c>
      <c r="G165" s="3">
        <v>0</v>
      </c>
      <c r="H165" s="2">
        <v>0</v>
      </c>
      <c r="I165" s="3">
        <v>10</v>
      </c>
      <c r="J165" s="2">
        <v>0</v>
      </c>
      <c r="K165" s="3">
        <v>5</v>
      </c>
      <c r="L165" s="2">
        <v>0</v>
      </c>
      <c r="M165" s="3">
        <v>5</v>
      </c>
      <c r="N165" s="2">
        <v>0</v>
      </c>
      <c r="O165" s="3">
        <v>5</v>
      </c>
      <c r="P165" s="2">
        <v>0</v>
      </c>
      <c r="Q165" s="3">
        <v>60</v>
      </c>
      <c r="R165" s="3">
        <v>0</v>
      </c>
      <c r="S165" s="3" t="s">
        <v>308</v>
      </c>
      <c r="T165" s="3">
        <v>16</v>
      </c>
      <c r="U165" s="3">
        <v>1</v>
      </c>
      <c r="V165" s="2">
        <v>0</v>
      </c>
      <c r="W165" s="3" t="s">
        <v>308</v>
      </c>
      <c r="AD165" s="3">
        <v>1043</v>
      </c>
      <c r="AE165" s="3">
        <v>1083</v>
      </c>
      <c r="AJ165" s="2" t="s">
        <v>40</v>
      </c>
    </row>
    <row r="166" spans="1:36" s="3" customFormat="1" x14ac:dyDescent="0.15">
      <c r="A166" s="3">
        <v>24</v>
      </c>
      <c r="B166" s="3" t="s">
        <v>307</v>
      </c>
      <c r="C166" s="3">
        <v>1</v>
      </c>
      <c r="D166" s="3">
        <v>6</v>
      </c>
      <c r="E166" s="3">
        <v>1</v>
      </c>
      <c r="F166" s="2">
        <v>30</v>
      </c>
      <c r="G166" s="3">
        <v>0</v>
      </c>
      <c r="H166" s="2">
        <v>0</v>
      </c>
      <c r="I166" s="3">
        <v>10</v>
      </c>
      <c r="J166" s="2">
        <f>I165</f>
        <v>10</v>
      </c>
      <c r="K166" s="3">
        <v>5</v>
      </c>
      <c r="L166" s="2">
        <f>K165</f>
        <v>5</v>
      </c>
      <c r="M166" s="3">
        <v>5</v>
      </c>
      <c r="N166" s="2">
        <f>M165</f>
        <v>5</v>
      </c>
      <c r="O166" s="3">
        <v>5</v>
      </c>
      <c r="P166" s="2">
        <f>O165</f>
        <v>5</v>
      </c>
      <c r="Q166" s="3">
        <v>60</v>
      </c>
      <c r="R166" s="3">
        <v>0</v>
      </c>
      <c r="S166" s="3" t="s">
        <v>309</v>
      </c>
      <c r="T166" s="3">
        <v>16</v>
      </c>
      <c r="U166" s="3">
        <v>1</v>
      </c>
      <c r="V166" s="2">
        <v>0</v>
      </c>
      <c r="W166" s="7" t="s">
        <v>310</v>
      </c>
      <c r="X166" s="7"/>
      <c r="AD166" s="3">
        <v>1043</v>
      </c>
      <c r="AE166" s="3">
        <v>1083</v>
      </c>
      <c r="AF166" s="2">
        <v>397</v>
      </c>
      <c r="AG166" s="2">
        <v>398</v>
      </c>
      <c r="AH166" s="2">
        <v>399</v>
      </c>
      <c r="AJ166" s="2" t="s">
        <v>40</v>
      </c>
    </row>
    <row r="167" spans="1:36" s="3" customFormat="1" x14ac:dyDescent="0.15">
      <c r="A167" s="3">
        <v>24</v>
      </c>
      <c r="B167" s="3" t="s">
        <v>311</v>
      </c>
      <c r="C167" s="3">
        <v>2</v>
      </c>
      <c r="D167" s="3">
        <v>6</v>
      </c>
      <c r="E167" s="3">
        <v>1</v>
      </c>
      <c r="F167" s="2">
        <v>40</v>
      </c>
      <c r="G167" s="3">
        <v>0</v>
      </c>
      <c r="H167" s="2">
        <v>0</v>
      </c>
      <c r="I167" s="3">
        <v>20</v>
      </c>
      <c r="J167" s="2">
        <f>I165+I166</f>
        <v>20</v>
      </c>
      <c r="K167" s="3">
        <v>10</v>
      </c>
      <c r="L167" s="2">
        <f>K165+K166</f>
        <v>10</v>
      </c>
      <c r="M167" s="3">
        <v>10</v>
      </c>
      <c r="N167" s="2">
        <f>M165+M166</f>
        <v>10</v>
      </c>
      <c r="O167" s="3">
        <v>10</v>
      </c>
      <c r="P167" s="2">
        <f>O165+O166</f>
        <v>10</v>
      </c>
      <c r="Q167" s="3">
        <v>120</v>
      </c>
      <c r="R167" s="3">
        <v>0</v>
      </c>
      <c r="S167" s="3" t="s">
        <v>309</v>
      </c>
      <c r="T167" s="3">
        <v>16</v>
      </c>
      <c r="U167" s="3">
        <v>2</v>
      </c>
      <c r="V167" s="2">
        <v>0</v>
      </c>
      <c r="W167" s="7" t="s">
        <v>312</v>
      </c>
      <c r="X167" s="7"/>
      <c r="AD167" s="3">
        <v>1043</v>
      </c>
      <c r="AE167" s="3">
        <v>1083</v>
      </c>
      <c r="AF167" s="2">
        <v>397</v>
      </c>
      <c r="AG167" s="2">
        <v>398</v>
      </c>
      <c r="AH167" s="2">
        <v>399</v>
      </c>
      <c r="AJ167" s="2" t="s">
        <v>40</v>
      </c>
    </row>
    <row r="168" spans="1:36" s="3" customFormat="1" x14ac:dyDescent="0.15">
      <c r="A168" s="3">
        <v>24</v>
      </c>
      <c r="B168" s="3" t="s">
        <v>311</v>
      </c>
      <c r="C168" s="3">
        <v>3</v>
      </c>
      <c r="D168" s="3">
        <v>6</v>
      </c>
      <c r="E168" s="3">
        <v>1</v>
      </c>
      <c r="F168" s="2">
        <v>50</v>
      </c>
      <c r="G168" s="3">
        <v>0</v>
      </c>
      <c r="H168" s="2">
        <v>0</v>
      </c>
      <c r="I168" s="3">
        <v>30</v>
      </c>
      <c r="J168" s="2">
        <f t="shared" ref="J168:L171" si="69">I166+I167</f>
        <v>30</v>
      </c>
      <c r="K168" s="3">
        <v>50</v>
      </c>
      <c r="L168" s="2">
        <f t="shared" si="69"/>
        <v>15</v>
      </c>
      <c r="M168" s="3">
        <v>50</v>
      </c>
      <c r="N168" s="2">
        <f t="shared" ref="N168:N171" si="70">M166+M167</f>
        <v>15</v>
      </c>
      <c r="O168" s="3">
        <v>50</v>
      </c>
      <c r="P168" s="2">
        <f t="shared" ref="P168:P171" si="71">O166+O167</f>
        <v>15</v>
      </c>
      <c r="Q168" s="3">
        <v>300</v>
      </c>
      <c r="R168" s="3">
        <v>0</v>
      </c>
      <c r="S168" s="3" t="s">
        <v>309</v>
      </c>
      <c r="T168" s="3">
        <v>16</v>
      </c>
      <c r="U168" s="3">
        <v>3</v>
      </c>
      <c r="V168" s="2">
        <v>0</v>
      </c>
      <c r="W168" s="7" t="s">
        <v>313</v>
      </c>
      <c r="X168" s="7"/>
      <c r="AD168" s="3">
        <v>1043</v>
      </c>
      <c r="AE168" s="3">
        <v>1083</v>
      </c>
      <c r="AF168" s="2">
        <v>400</v>
      </c>
      <c r="AG168" s="2">
        <v>401</v>
      </c>
      <c r="AH168" s="2">
        <v>402</v>
      </c>
      <c r="AJ168" s="2" t="s">
        <v>40</v>
      </c>
    </row>
    <row r="169" spans="1:36" s="3" customFormat="1" x14ac:dyDescent="0.15">
      <c r="A169" s="3">
        <v>24</v>
      </c>
      <c r="B169" s="3" t="s">
        <v>311</v>
      </c>
      <c r="C169" s="3">
        <v>4</v>
      </c>
      <c r="D169" s="3">
        <v>6</v>
      </c>
      <c r="E169" s="3">
        <v>1</v>
      </c>
      <c r="F169" s="2">
        <v>60</v>
      </c>
      <c r="G169" s="3">
        <v>0</v>
      </c>
      <c r="H169" s="2">
        <v>0</v>
      </c>
      <c r="I169" s="3">
        <v>40</v>
      </c>
      <c r="J169" s="2">
        <f t="shared" si="69"/>
        <v>50</v>
      </c>
      <c r="K169" s="3">
        <v>100</v>
      </c>
      <c r="L169" s="2">
        <f t="shared" si="69"/>
        <v>60</v>
      </c>
      <c r="M169" s="3">
        <v>100</v>
      </c>
      <c r="N169" s="2">
        <f t="shared" si="70"/>
        <v>60</v>
      </c>
      <c r="O169" s="3">
        <v>100</v>
      </c>
      <c r="P169" s="2">
        <f t="shared" si="71"/>
        <v>60</v>
      </c>
      <c r="Q169" s="3">
        <v>600</v>
      </c>
      <c r="R169" s="3">
        <v>0</v>
      </c>
      <c r="S169" s="3" t="s">
        <v>309</v>
      </c>
      <c r="T169" s="3">
        <v>16</v>
      </c>
      <c r="U169" s="3">
        <v>4</v>
      </c>
      <c r="V169" s="2">
        <v>0</v>
      </c>
      <c r="W169" s="7" t="s">
        <v>314</v>
      </c>
      <c r="X169" s="7"/>
      <c r="AD169" s="3">
        <v>1043</v>
      </c>
      <c r="AE169" s="3">
        <v>1083</v>
      </c>
      <c r="AF169" s="2">
        <v>400</v>
      </c>
      <c r="AG169" s="2">
        <v>401</v>
      </c>
      <c r="AH169" s="2">
        <v>402</v>
      </c>
      <c r="AJ169" s="2" t="s">
        <v>40</v>
      </c>
    </row>
    <row r="170" spans="1:36" s="3" customFormat="1" x14ac:dyDescent="0.15">
      <c r="A170" s="3">
        <v>24</v>
      </c>
      <c r="B170" s="3" t="s">
        <v>311</v>
      </c>
      <c r="C170" s="3">
        <v>5</v>
      </c>
      <c r="D170" s="3">
        <v>6</v>
      </c>
      <c r="E170" s="3">
        <v>1</v>
      </c>
      <c r="F170" s="2">
        <v>70</v>
      </c>
      <c r="G170" s="3">
        <v>0</v>
      </c>
      <c r="H170" s="2">
        <v>0</v>
      </c>
      <c r="I170" s="3">
        <v>50</v>
      </c>
      <c r="J170" s="2">
        <f t="shared" si="69"/>
        <v>70</v>
      </c>
      <c r="K170" s="3">
        <v>200</v>
      </c>
      <c r="L170" s="2">
        <f t="shared" si="69"/>
        <v>150</v>
      </c>
      <c r="M170" s="3">
        <v>200</v>
      </c>
      <c r="N170" s="2">
        <f t="shared" si="70"/>
        <v>150</v>
      </c>
      <c r="O170" s="3">
        <v>200</v>
      </c>
      <c r="P170" s="2">
        <f t="shared" si="71"/>
        <v>150</v>
      </c>
      <c r="Q170" s="3">
        <v>1200</v>
      </c>
      <c r="R170" s="3">
        <v>0</v>
      </c>
      <c r="S170" s="3" t="s">
        <v>309</v>
      </c>
      <c r="T170" s="3">
        <v>16</v>
      </c>
      <c r="U170" s="3">
        <v>5</v>
      </c>
      <c r="V170" s="2">
        <v>0</v>
      </c>
      <c r="W170" s="7" t="s">
        <v>315</v>
      </c>
      <c r="X170" s="7"/>
      <c r="AD170" s="3">
        <v>1043</v>
      </c>
      <c r="AE170" s="3">
        <v>1083</v>
      </c>
      <c r="AF170" s="2">
        <v>403</v>
      </c>
      <c r="AG170" s="2">
        <v>404</v>
      </c>
      <c r="AH170" s="2">
        <v>405</v>
      </c>
      <c r="AJ170" s="2" t="s">
        <v>40</v>
      </c>
    </row>
    <row r="171" spans="1:36" s="3" customFormat="1" x14ac:dyDescent="0.15">
      <c r="A171" s="3">
        <v>24</v>
      </c>
      <c r="B171" s="3" t="s">
        <v>311</v>
      </c>
      <c r="C171" s="3">
        <v>6</v>
      </c>
      <c r="D171" s="3">
        <v>6</v>
      </c>
      <c r="E171" s="3">
        <v>1</v>
      </c>
      <c r="F171" s="2">
        <v>80</v>
      </c>
      <c r="G171" s="3">
        <v>0</v>
      </c>
      <c r="H171" s="2">
        <v>0</v>
      </c>
      <c r="I171" s="3">
        <v>60</v>
      </c>
      <c r="J171" s="2">
        <f t="shared" si="69"/>
        <v>90</v>
      </c>
      <c r="K171" s="3">
        <v>500</v>
      </c>
      <c r="L171" s="2">
        <f t="shared" si="69"/>
        <v>300</v>
      </c>
      <c r="M171" s="3">
        <v>500</v>
      </c>
      <c r="N171" s="2">
        <f t="shared" si="70"/>
        <v>300</v>
      </c>
      <c r="O171" s="3">
        <v>500</v>
      </c>
      <c r="P171" s="2">
        <f t="shared" si="71"/>
        <v>300</v>
      </c>
      <c r="Q171" s="3">
        <v>3000</v>
      </c>
      <c r="R171" s="3">
        <v>0</v>
      </c>
      <c r="S171" s="3" t="s">
        <v>309</v>
      </c>
      <c r="T171" s="3">
        <v>16</v>
      </c>
      <c r="U171" s="3">
        <v>6</v>
      </c>
      <c r="V171" s="2">
        <v>0</v>
      </c>
      <c r="W171" s="7" t="s">
        <v>316</v>
      </c>
      <c r="X171" s="7"/>
      <c r="AD171" s="3">
        <v>1043</v>
      </c>
      <c r="AE171" s="3">
        <v>1083</v>
      </c>
      <c r="AF171" s="2">
        <v>403</v>
      </c>
      <c r="AG171" s="2">
        <v>404</v>
      </c>
      <c r="AH171" s="2">
        <v>405</v>
      </c>
      <c r="AJ171" s="2" t="s">
        <v>40</v>
      </c>
    </row>
    <row r="172" spans="1:36" s="2" customFormat="1" x14ac:dyDescent="0.15">
      <c r="A172" s="2">
        <v>25</v>
      </c>
      <c r="B172" s="2" t="s">
        <v>317</v>
      </c>
      <c r="C172" s="2">
        <v>0</v>
      </c>
      <c r="D172" s="2">
        <v>6</v>
      </c>
      <c r="E172" s="2">
        <v>1</v>
      </c>
      <c r="F172" s="2">
        <v>20</v>
      </c>
      <c r="G172" s="2">
        <v>0</v>
      </c>
      <c r="H172" s="2">
        <v>0</v>
      </c>
      <c r="I172" s="2">
        <v>10</v>
      </c>
      <c r="J172" s="2">
        <v>0</v>
      </c>
      <c r="K172" s="2">
        <v>5</v>
      </c>
      <c r="L172" s="2">
        <v>0</v>
      </c>
      <c r="M172" s="2">
        <v>5</v>
      </c>
      <c r="N172" s="2">
        <v>0</v>
      </c>
      <c r="O172" s="2">
        <v>5</v>
      </c>
      <c r="P172" s="2">
        <v>0</v>
      </c>
      <c r="Q172" s="2">
        <v>60</v>
      </c>
      <c r="R172" s="2">
        <v>0</v>
      </c>
      <c r="S172" s="2" t="s">
        <v>309</v>
      </c>
      <c r="T172" s="2">
        <v>16</v>
      </c>
      <c r="U172" s="2">
        <v>1</v>
      </c>
      <c r="V172" s="2">
        <v>0</v>
      </c>
      <c r="W172" s="4">
        <v>6881</v>
      </c>
      <c r="X172" s="4"/>
      <c r="AD172" s="2">
        <v>1044</v>
      </c>
      <c r="AE172" s="2">
        <v>1084</v>
      </c>
      <c r="AJ172" s="2" t="s">
        <v>318</v>
      </c>
    </row>
    <row r="173" spans="1:36" s="2" customFormat="1" x14ac:dyDescent="0.15">
      <c r="A173" s="2">
        <v>25</v>
      </c>
      <c r="B173" s="2" t="s">
        <v>317</v>
      </c>
      <c r="C173" s="2">
        <v>1</v>
      </c>
      <c r="D173" s="2">
        <v>6</v>
      </c>
      <c r="E173" s="2">
        <v>1</v>
      </c>
      <c r="F173" s="2">
        <v>30</v>
      </c>
      <c r="G173" s="2">
        <v>0</v>
      </c>
      <c r="H173" s="2">
        <v>0</v>
      </c>
      <c r="I173" s="2">
        <v>10</v>
      </c>
      <c r="J173" s="2">
        <f>I172</f>
        <v>10</v>
      </c>
      <c r="K173" s="2">
        <v>5</v>
      </c>
      <c r="L173" s="2">
        <f>K172</f>
        <v>5</v>
      </c>
      <c r="M173" s="2">
        <v>5</v>
      </c>
      <c r="N173" s="2">
        <f>M172</f>
        <v>5</v>
      </c>
      <c r="O173" s="2">
        <v>5</v>
      </c>
      <c r="P173" s="2">
        <f>O172</f>
        <v>5</v>
      </c>
      <c r="Q173" s="2">
        <v>60</v>
      </c>
      <c r="R173" s="2">
        <v>0</v>
      </c>
      <c r="S173" s="2" t="s">
        <v>319</v>
      </c>
      <c r="T173" s="2">
        <v>16</v>
      </c>
      <c r="U173" s="2">
        <v>1</v>
      </c>
      <c r="V173" s="2">
        <v>0</v>
      </c>
      <c r="W173" s="4">
        <v>6881</v>
      </c>
      <c r="X173" s="4"/>
      <c r="AD173" s="2">
        <v>1044</v>
      </c>
      <c r="AE173" s="2">
        <v>1084</v>
      </c>
      <c r="AJ173" s="2" t="s">
        <v>318</v>
      </c>
    </row>
    <row r="174" spans="1:36" s="2" customFormat="1" x14ac:dyDescent="0.15">
      <c r="A174" s="2">
        <v>25</v>
      </c>
      <c r="B174" s="2" t="s">
        <v>320</v>
      </c>
      <c r="C174" s="2">
        <v>2</v>
      </c>
      <c r="D174" s="2">
        <v>6</v>
      </c>
      <c r="E174" s="2">
        <v>1</v>
      </c>
      <c r="F174" s="2">
        <v>40</v>
      </c>
      <c r="G174" s="2">
        <v>0</v>
      </c>
      <c r="H174" s="2">
        <v>0</v>
      </c>
      <c r="I174" s="2">
        <v>20</v>
      </c>
      <c r="J174" s="2">
        <f>I172+I173</f>
        <v>20</v>
      </c>
      <c r="K174" s="2">
        <v>10</v>
      </c>
      <c r="L174" s="2">
        <f>K172+K173</f>
        <v>10</v>
      </c>
      <c r="M174" s="2">
        <v>10</v>
      </c>
      <c r="N174" s="2">
        <f>M172+M173</f>
        <v>10</v>
      </c>
      <c r="O174" s="2">
        <v>10</v>
      </c>
      <c r="P174" s="2">
        <f>O172+O173</f>
        <v>10</v>
      </c>
      <c r="Q174" s="2">
        <v>120</v>
      </c>
      <c r="R174" s="2">
        <v>0</v>
      </c>
      <c r="S174" s="2" t="s">
        <v>319</v>
      </c>
      <c r="T174" s="2">
        <v>16</v>
      </c>
      <c r="U174" s="2">
        <v>2</v>
      </c>
      <c r="V174" s="2">
        <v>0</v>
      </c>
      <c r="W174" s="4">
        <v>6882</v>
      </c>
      <c r="X174" s="4"/>
      <c r="AD174" s="2">
        <v>1044</v>
      </c>
      <c r="AE174" s="2">
        <v>1084</v>
      </c>
      <c r="AJ174" s="2" t="s">
        <v>318</v>
      </c>
    </row>
    <row r="175" spans="1:36" s="2" customFormat="1" x14ac:dyDescent="0.15">
      <c r="A175" s="2">
        <v>25</v>
      </c>
      <c r="B175" s="2" t="s">
        <v>320</v>
      </c>
      <c r="C175" s="2">
        <v>3</v>
      </c>
      <c r="D175" s="2">
        <v>6</v>
      </c>
      <c r="E175" s="2">
        <v>1</v>
      </c>
      <c r="F175" s="2">
        <v>50</v>
      </c>
      <c r="G175" s="2">
        <v>0</v>
      </c>
      <c r="H175" s="2">
        <v>0</v>
      </c>
      <c r="I175" s="2">
        <v>30</v>
      </c>
      <c r="J175" s="2">
        <f t="shared" ref="J175:L178" si="72">I173+I174</f>
        <v>30</v>
      </c>
      <c r="K175" s="2">
        <v>50</v>
      </c>
      <c r="L175" s="2">
        <f t="shared" si="72"/>
        <v>15</v>
      </c>
      <c r="M175" s="2">
        <v>50</v>
      </c>
      <c r="N175" s="2">
        <f t="shared" ref="N175:N178" si="73">M173+M174</f>
        <v>15</v>
      </c>
      <c r="O175" s="2">
        <v>50</v>
      </c>
      <c r="P175" s="2">
        <f t="shared" ref="P175:P178" si="74">O173+O174</f>
        <v>15</v>
      </c>
      <c r="Q175" s="2">
        <v>300</v>
      </c>
      <c r="R175" s="2">
        <v>0</v>
      </c>
      <c r="S175" s="2" t="s">
        <v>319</v>
      </c>
      <c r="T175" s="2">
        <v>16</v>
      </c>
      <c r="U175" s="2">
        <v>3</v>
      </c>
      <c r="V175" s="2">
        <v>0</v>
      </c>
      <c r="W175" s="4">
        <v>6883</v>
      </c>
      <c r="X175" s="4"/>
      <c r="AD175" s="2">
        <v>1044</v>
      </c>
      <c r="AE175" s="2">
        <v>1084</v>
      </c>
      <c r="AJ175" s="2" t="s">
        <v>318</v>
      </c>
    </row>
    <row r="176" spans="1:36" s="2" customFormat="1" x14ac:dyDescent="0.15">
      <c r="A176" s="2">
        <v>25</v>
      </c>
      <c r="B176" s="2" t="s">
        <v>320</v>
      </c>
      <c r="C176" s="2">
        <v>4</v>
      </c>
      <c r="D176" s="2">
        <v>6</v>
      </c>
      <c r="E176" s="2">
        <v>1</v>
      </c>
      <c r="F176" s="2">
        <v>60</v>
      </c>
      <c r="G176" s="2">
        <v>0</v>
      </c>
      <c r="H176" s="2">
        <v>0</v>
      </c>
      <c r="I176" s="2">
        <v>40</v>
      </c>
      <c r="J176" s="2">
        <f t="shared" si="72"/>
        <v>50</v>
      </c>
      <c r="K176" s="2">
        <v>100</v>
      </c>
      <c r="L176" s="2">
        <f t="shared" si="72"/>
        <v>60</v>
      </c>
      <c r="M176" s="2">
        <v>100</v>
      </c>
      <c r="N176" s="2">
        <f t="shared" si="73"/>
        <v>60</v>
      </c>
      <c r="O176" s="2">
        <v>100</v>
      </c>
      <c r="P176" s="2">
        <f t="shared" si="74"/>
        <v>60</v>
      </c>
      <c r="Q176" s="2">
        <v>600</v>
      </c>
      <c r="R176" s="2">
        <v>0</v>
      </c>
      <c r="S176" s="2" t="s">
        <v>319</v>
      </c>
      <c r="T176" s="2">
        <v>16</v>
      </c>
      <c r="U176" s="2">
        <v>4</v>
      </c>
      <c r="V176" s="2">
        <v>0</v>
      </c>
      <c r="W176" s="4">
        <v>6884</v>
      </c>
      <c r="X176" s="4"/>
      <c r="AD176" s="2">
        <v>1044</v>
      </c>
      <c r="AE176" s="2">
        <v>1084</v>
      </c>
      <c r="AJ176" s="2" t="s">
        <v>318</v>
      </c>
    </row>
    <row r="177" spans="1:36" s="2" customFormat="1" x14ac:dyDescent="0.15">
      <c r="A177" s="2">
        <v>25</v>
      </c>
      <c r="B177" s="2" t="s">
        <v>320</v>
      </c>
      <c r="C177" s="2">
        <v>5</v>
      </c>
      <c r="D177" s="2">
        <v>6</v>
      </c>
      <c r="E177" s="2">
        <v>1</v>
      </c>
      <c r="F177" s="2">
        <v>70</v>
      </c>
      <c r="G177" s="2">
        <v>0</v>
      </c>
      <c r="H177" s="2">
        <v>0</v>
      </c>
      <c r="I177" s="2">
        <v>50</v>
      </c>
      <c r="J177" s="2">
        <f t="shared" si="72"/>
        <v>70</v>
      </c>
      <c r="K177" s="2">
        <v>200</v>
      </c>
      <c r="L177" s="2">
        <f t="shared" si="72"/>
        <v>150</v>
      </c>
      <c r="M177" s="2">
        <v>200</v>
      </c>
      <c r="N177" s="2">
        <f t="shared" si="73"/>
        <v>150</v>
      </c>
      <c r="O177" s="2">
        <v>200</v>
      </c>
      <c r="P177" s="2">
        <f t="shared" si="74"/>
        <v>150</v>
      </c>
      <c r="Q177" s="2">
        <v>1200</v>
      </c>
      <c r="R177" s="2">
        <v>0</v>
      </c>
      <c r="S177" s="2" t="s">
        <v>319</v>
      </c>
      <c r="T177" s="2">
        <v>16</v>
      </c>
      <c r="U177" s="2">
        <v>5</v>
      </c>
      <c r="V177" s="2">
        <v>0</v>
      </c>
      <c r="W177" s="2">
        <v>6885</v>
      </c>
      <c r="AD177" s="2">
        <v>1044</v>
      </c>
      <c r="AE177" s="2">
        <v>1084</v>
      </c>
      <c r="AJ177" s="2" t="s">
        <v>318</v>
      </c>
    </row>
    <row r="178" spans="1:36" s="2" customFormat="1" x14ac:dyDescent="0.15">
      <c r="A178" s="2">
        <v>25</v>
      </c>
      <c r="B178" s="2" t="s">
        <v>320</v>
      </c>
      <c r="C178" s="2">
        <v>6</v>
      </c>
      <c r="D178" s="2">
        <v>6</v>
      </c>
      <c r="E178" s="2">
        <v>1</v>
      </c>
      <c r="F178" s="2">
        <v>80</v>
      </c>
      <c r="G178" s="2">
        <v>0</v>
      </c>
      <c r="H178" s="2">
        <v>0</v>
      </c>
      <c r="I178" s="2">
        <v>60</v>
      </c>
      <c r="J178" s="2">
        <f t="shared" si="72"/>
        <v>90</v>
      </c>
      <c r="K178" s="2">
        <v>500</v>
      </c>
      <c r="L178" s="2">
        <f t="shared" si="72"/>
        <v>300</v>
      </c>
      <c r="M178" s="2">
        <v>500</v>
      </c>
      <c r="N178" s="2">
        <f t="shared" si="73"/>
        <v>300</v>
      </c>
      <c r="O178" s="2">
        <v>500</v>
      </c>
      <c r="P178" s="2">
        <f t="shared" si="74"/>
        <v>300</v>
      </c>
      <c r="Q178" s="2">
        <v>3000</v>
      </c>
      <c r="R178" s="2">
        <v>0</v>
      </c>
      <c r="S178" s="2" t="s">
        <v>319</v>
      </c>
      <c r="T178" s="2">
        <v>16</v>
      </c>
      <c r="U178" s="2">
        <v>6</v>
      </c>
      <c r="V178" s="2">
        <v>0</v>
      </c>
      <c r="W178" s="4">
        <v>6886</v>
      </c>
      <c r="X178" s="4"/>
      <c r="AD178" s="2">
        <v>1044</v>
      </c>
      <c r="AE178" s="2">
        <v>1084</v>
      </c>
      <c r="AJ178" s="2" t="s">
        <v>318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M15" sqref="M15"/>
    </sheetView>
  </sheetViews>
  <sheetFormatPr defaultRowHeight="13.5" x14ac:dyDescent="0.15"/>
  <sheetData>
    <row r="1" spans="1:10" x14ac:dyDescent="0.15">
      <c r="B1" t="s">
        <v>344</v>
      </c>
      <c r="C1" t="s">
        <v>345</v>
      </c>
      <c r="D1" t="s">
        <v>346</v>
      </c>
      <c r="E1" t="s">
        <v>347</v>
      </c>
      <c r="F1" t="s">
        <v>348</v>
      </c>
      <c r="I1">
        <v>1</v>
      </c>
      <c r="J1" s="12">
        <v>0.04</v>
      </c>
    </row>
    <row r="2" spans="1:10" x14ac:dyDescent="0.15">
      <c r="A2">
        <v>1</v>
      </c>
      <c r="B2">
        <v>10000000</v>
      </c>
      <c r="C2">
        <v>5000000</v>
      </c>
      <c r="D2">
        <v>5000000</v>
      </c>
      <c r="E2">
        <v>5000000</v>
      </c>
      <c r="F2">
        <v>5000000</v>
      </c>
      <c r="G2" t="s">
        <v>337</v>
      </c>
      <c r="I2">
        <v>2</v>
      </c>
      <c r="J2" s="12">
        <v>7.0000000000000007E-2</v>
      </c>
    </row>
    <row r="3" spans="1:10" x14ac:dyDescent="0.15">
      <c r="A3">
        <v>2</v>
      </c>
      <c r="B3">
        <v>3000000</v>
      </c>
      <c r="C3">
        <v>3000000</v>
      </c>
      <c r="D3">
        <v>2500000</v>
      </c>
      <c r="E3">
        <v>2500000</v>
      </c>
      <c r="F3">
        <v>1000000</v>
      </c>
      <c r="G3" t="s">
        <v>326</v>
      </c>
      <c r="I3">
        <v>3</v>
      </c>
      <c r="J3" s="12">
        <v>0.13</v>
      </c>
    </row>
    <row r="4" spans="1:10" x14ac:dyDescent="0.15">
      <c r="A4">
        <v>3</v>
      </c>
      <c r="B4">
        <v>6000000</v>
      </c>
      <c r="C4">
        <v>1500000</v>
      </c>
      <c r="D4">
        <v>3500000</v>
      </c>
      <c r="E4">
        <v>3500000</v>
      </c>
      <c r="F4">
        <v>3500000</v>
      </c>
      <c r="G4" t="s">
        <v>327</v>
      </c>
      <c r="I4">
        <v>4</v>
      </c>
      <c r="J4" s="12">
        <v>0.24</v>
      </c>
    </row>
    <row r="5" spans="1:10" x14ac:dyDescent="0.15">
      <c r="A5">
        <v>4</v>
      </c>
      <c r="B5">
        <v>5000000</v>
      </c>
      <c r="C5">
        <v>7000000</v>
      </c>
      <c r="D5">
        <v>4000000</v>
      </c>
      <c r="E5">
        <v>5000000</v>
      </c>
      <c r="F5">
        <v>3000000</v>
      </c>
      <c r="G5" t="s">
        <v>18</v>
      </c>
      <c r="I5">
        <v>5</v>
      </c>
      <c r="J5" s="12">
        <v>0.4</v>
      </c>
    </row>
    <row r="6" spans="1:10" x14ac:dyDescent="0.15">
      <c r="A6">
        <v>6</v>
      </c>
      <c r="B6">
        <v>4000000</v>
      </c>
      <c r="C6">
        <v>3500000</v>
      </c>
      <c r="D6">
        <v>2500000</v>
      </c>
      <c r="E6">
        <v>2000000</v>
      </c>
      <c r="F6">
        <v>3000000</v>
      </c>
      <c r="G6" t="s">
        <v>148</v>
      </c>
      <c r="I6">
        <v>6</v>
      </c>
      <c r="J6" s="12">
        <v>0.72</v>
      </c>
    </row>
    <row r="7" spans="1:10" x14ac:dyDescent="0.15">
      <c r="A7">
        <v>18</v>
      </c>
      <c r="B7">
        <v>1000000</v>
      </c>
      <c r="C7">
        <v>1000000</v>
      </c>
      <c r="D7">
        <v>1000000</v>
      </c>
      <c r="E7">
        <v>1000000</v>
      </c>
      <c r="F7">
        <v>1000000</v>
      </c>
      <c r="G7" t="s">
        <v>328</v>
      </c>
    </row>
    <row r="8" spans="1:10" x14ac:dyDescent="0.15">
      <c r="A8">
        <v>24</v>
      </c>
      <c r="B8">
        <v>1000000</v>
      </c>
      <c r="C8">
        <v>1000000</v>
      </c>
      <c r="D8">
        <v>1000000</v>
      </c>
      <c r="E8">
        <v>1000000</v>
      </c>
      <c r="F8">
        <v>1000000</v>
      </c>
      <c r="G8" t="s">
        <v>329</v>
      </c>
    </row>
    <row r="9" spans="1:10" x14ac:dyDescent="0.15">
      <c r="A9">
        <v>7</v>
      </c>
      <c r="B9">
        <v>4000000</v>
      </c>
      <c r="C9">
        <v>1000000</v>
      </c>
      <c r="D9">
        <v>5000000</v>
      </c>
      <c r="E9">
        <v>2500000</v>
      </c>
      <c r="F9">
        <v>2500000</v>
      </c>
      <c r="G9" t="s">
        <v>338</v>
      </c>
    </row>
    <row r="10" spans="1:10" x14ac:dyDescent="0.15">
      <c r="A10">
        <v>19</v>
      </c>
      <c r="B10">
        <v>1500000</v>
      </c>
      <c r="C10">
        <v>1000000</v>
      </c>
      <c r="D10">
        <v>1000000</v>
      </c>
      <c r="E10">
        <v>1000000</v>
      </c>
      <c r="F10">
        <v>3000000</v>
      </c>
      <c r="G10" t="s">
        <v>340</v>
      </c>
    </row>
    <row r="11" spans="1:10" x14ac:dyDescent="0.15">
      <c r="A11">
        <v>20</v>
      </c>
      <c r="B11">
        <v>2000000</v>
      </c>
      <c r="C11">
        <v>1000000</v>
      </c>
      <c r="D11">
        <v>1000000</v>
      </c>
      <c r="E11">
        <v>1000000</v>
      </c>
      <c r="F11">
        <v>2500000</v>
      </c>
      <c r="G11" t="s">
        <v>339</v>
      </c>
    </row>
    <row r="12" spans="1:10" x14ac:dyDescent="0.15">
      <c r="A12">
        <v>21</v>
      </c>
      <c r="B12">
        <v>3000000</v>
      </c>
      <c r="C12">
        <v>1000000</v>
      </c>
      <c r="D12">
        <v>1000000</v>
      </c>
      <c r="E12">
        <v>1000000</v>
      </c>
      <c r="F12">
        <v>1500000</v>
      </c>
      <c r="G12" t="s">
        <v>341</v>
      </c>
    </row>
    <row r="13" spans="1:10" x14ac:dyDescent="0.15">
      <c r="A13">
        <v>22</v>
      </c>
      <c r="B13">
        <v>2500000</v>
      </c>
      <c r="C13">
        <v>1000000</v>
      </c>
      <c r="D13">
        <v>1500000</v>
      </c>
      <c r="E13">
        <v>1500000</v>
      </c>
      <c r="F13">
        <v>1000000</v>
      </c>
      <c r="G13" t="s">
        <v>342</v>
      </c>
    </row>
    <row r="14" spans="1:10" x14ac:dyDescent="0.15">
      <c r="A14">
        <v>23</v>
      </c>
      <c r="B14">
        <v>3000000</v>
      </c>
      <c r="C14">
        <v>1000000</v>
      </c>
      <c r="D14">
        <v>1000000</v>
      </c>
      <c r="E14">
        <v>1500000</v>
      </c>
      <c r="F14">
        <v>1000000</v>
      </c>
      <c r="G14" t="s">
        <v>343</v>
      </c>
    </row>
    <row r="15" spans="1:10" x14ac:dyDescent="0.15">
      <c r="A15">
        <v>5</v>
      </c>
      <c r="B15">
        <v>5000000</v>
      </c>
      <c r="C15">
        <v>2000000</v>
      </c>
      <c r="D15">
        <v>1000000</v>
      </c>
      <c r="E15">
        <v>2000000</v>
      </c>
      <c r="F15">
        <v>2000000</v>
      </c>
      <c r="G15" t="s">
        <v>19</v>
      </c>
    </row>
    <row r="16" spans="1:10" x14ac:dyDescent="0.15">
      <c r="A16">
        <v>8</v>
      </c>
      <c r="B16">
        <v>1000000</v>
      </c>
      <c r="C16">
        <v>1000000</v>
      </c>
      <c r="D16">
        <v>1000000</v>
      </c>
      <c r="E16">
        <v>1000000</v>
      </c>
      <c r="F16">
        <v>1000000</v>
      </c>
      <c r="G16" t="s">
        <v>330</v>
      </c>
    </row>
    <row r="17" spans="1:7" x14ac:dyDescent="0.15">
      <c r="A17">
        <v>9</v>
      </c>
      <c r="B17">
        <v>1000000</v>
      </c>
      <c r="C17">
        <v>1000000</v>
      </c>
      <c r="D17">
        <v>1000000</v>
      </c>
      <c r="E17">
        <v>1000000</v>
      </c>
      <c r="F17">
        <v>1000000</v>
      </c>
      <c r="G17" t="s">
        <v>331</v>
      </c>
    </row>
    <row r="18" spans="1:7" x14ac:dyDescent="0.15">
      <c r="A18">
        <v>10</v>
      </c>
      <c r="B18">
        <v>1000000</v>
      </c>
      <c r="C18">
        <v>1000000</v>
      </c>
      <c r="D18">
        <v>1000000</v>
      </c>
      <c r="E18">
        <v>1000000</v>
      </c>
      <c r="F18">
        <v>1000000</v>
      </c>
      <c r="G18" t="s">
        <v>332</v>
      </c>
    </row>
    <row r="19" spans="1:7" x14ac:dyDescent="0.15">
      <c r="A19">
        <v>11</v>
      </c>
      <c r="B19">
        <v>1000000</v>
      </c>
      <c r="C19">
        <v>1000000</v>
      </c>
      <c r="D19">
        <v>1000000</v>
      </c>
      <c r="E19">
        <v>1000000</v>
      </c>
      <c r="F19">
        <v>1000000</v>
      </c>
      <c r="G19" t="s">
        <v>333</v>
      </c>
    </row>
    <row r="20" spans="1:7" x14ac:dyDescent="0.15">
      <c r="A20">
        <v>12</v>
      </c>
      <c r="B20">
        <v>2000000</v>
      </c>
      <c r="C20">
        <v>1000000</v>
      </c>
      <c r="D20">
        <v>1000000</v>
      </c>
      <c r="E20">
        <v>1000000</v>
      </c>
      <c r="F20">
        <v>1000000</v>
      </c>
      <c r="G20" t="s">
        <v>20</v>
      </c>
    </row>
    <row r="21" spans="1:7" x14ac:dyDescent="0.15">
      <c r="A21">
        <v>13</v>
      </c>
      <c r="B21">
        <v>2000000</v>
      </c>
      <c r="C21">
        <v>1000000</v>
      </c>
      <c r="D21">
        <v>1000000</v>
      </c>
      <c r="E21">
        <v>1000000</v>
      </c>
      <c r="F21">
        <v>1000000</v>
      </c>
      <c r="G21" t="s">
        <v>334</v>
      </c>
    </row>
    <row r="22" spans="1:7" x14ac:dyDescent="0.15">
      <c r="A22">
        <v>14</v>
      </c>
      <c r="B22">
        <v>2000000</v>
      </c>
      <c r="C22">
        <v>1000000</v>
      </c>
      <c r="D22">
        <v>1000000</v>
      </c>
      <c r="E22">
        <v>1000000</v>
      </c>
      <c r="F22">
        <v>1000000</v>
      </c>
      <c r="G22" t="s">
        <v>335</v>
      </c>
    </row>
    <row r="23" spans="1:7" x14ac:dyDescent="0.15">
      <c r="A23">
        <v>15</v>
      </c>
      <c r="B23">
        <v>2000000</v>
      </c>
      <c r="C23">
        <v>1000000</v>
      </c>
      <c r="D23">
        <v>1000000</v>
      </c>
      <c r="E23">
        <v>1000000</v>
      </c>
      <c r="F23">
        <v>1000000</v>
      </c>
      <c r="G23" t="s">
        <v>336</v>
      </c>
    </row>
    <row r="24" spans="1:7" x14ac:dyDescent="0.15">
      <c r="A24">
        <v>16</v>
      </c>
      <c r="B24">
        <v>1000000</v>
      </c>
      <c r="C24">
        <v>1000000</v>
      </c>
      <c r="D24">
        <v>1000000</v>
      </c>
      <c r="E24">
        <v>1000000</v>
      </c>
      <c r="F24">
        <v>1000000</v>
      </c>
      <c r="G24" t="s">
        <v>349</v>
      </c>
    </row>
    <row r="25" spans="1:7" x14ac:dyDescent="0.15">
      <c r="A25">
        <v>17</v>
      </c>
      <c r="B25">
        <v>1000000</v>
      </c>
      <c r="C25">
        <v>1000000</v>
      </c>
      <c r="D25">
        <v>1000000</v>
      </c>
      <c r="E25">
        <v>1000000</v>
      </c>
      <c r="F25">
        <v>1000000</v>
      </c>
      <c r="G25" t="s">
        <v>350</v>
      </c>
    </row>
    <row r="26" spans="1:7" x14ac:dyDescent="0.15">
      <c r="A26">
        <v>25</v>
      </c>
      <c r="B26">
        <v>1000000</v>
      </c>
      <c r="C26">
        <v>1000000</v>
      </c>
      <c r="D26">
        <v>1000000</v>
      </c>
      <c r="E26">
        <v>1000000</v>
      </c>
      <c r="F26">
        <v>1000000</v>
      </c>
      <c r="G26" t="s">
        <v>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guild_building</vt:lpstr>
      <vt:lpstr>Define</vt:lpstr>
      <vt:lpstr>Sheet1</vt:lpstr>
      <vt:lpstr>资源索引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2016-03-25T09:24:54Z</dcterms:modified>
</cp:coreProperties>
</file>