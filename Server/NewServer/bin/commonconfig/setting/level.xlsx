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25" windowWidth="21375" windowHeight="10065"/>
  </bookViews>
  <sheets>
    <sheet name="level" sheetId="1" r:id="rId1"/>
    <sheet name="define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14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13" i="1"/>
  <c r="M52" i="1" l="1"/>
  <c r="M53" i="1"/>
  <c r="M54" i="1"/>
  <c r="M55" i="1"/>
  <c r="M56" i="1"/>
  <c r="M51" i="1"/>
  <c r="M50" i="1"/>
  <c r="M57" i="1"/>
  <c r="M58" i="1"/>
  <c r="M59" i="1"/>
  <c r="M60" i="1"/>
  <c r="M61" i="1"/>
  <c r="M62" i="1"/>
  <c r="M6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2" i="3"/>
  <c r="M44" i="1" l="1"/>
  <c r="M45" i="1"/>
  <c r="M46" i="1"/>
  <c r="M47" i="1"/>
  <c r="M48" i="1"/>
  <c r="M49" i="1"/>
  <c r="M43" i="1"/>
  <c r="M39" i="1"/>
  <c r="M40" i="1"/>
  <c r="M41" i="1"/>
  <c r="M42" i="1"/>
  <c r="M38" i="1"/>
  <c r="M34" i="1"/>
  <c r="M35" i="1"/>
  <c r="M36" i="1"/>
  <c r="M37" i="1"/>
  <c r="M3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13" i="1"/>
  <c r="M5" i="1" l="1"/>
  <c r="M6" i="1"/>
  <c r="M7" i="1"/>
  <c r="M8" i="1"/>
  <c r="M9" i="1"/>
  <c r="M10" i="1"/>
  <c r="M11" i="1"/>
  <c r="M12" i="1"/>
  <c r="M4" i="1"/>
</calcChain>
</file>

<file path=xl/sharedStrings.xml><?xml version="1.0" encoding="utf-8"?>
<sst xmlns="http://schemas.openxmlformats.org/spreadsheetml/2006/main" count="53" uniqueCount="35">
  <si>
    <t>MoneyTypeArenaTotalLimit</t>
  </si>
  <si>
    <t>MoneyTypeArenaWeeklyEarnLimit</t>
  </si>
  <si>
    <t>Level</t>
  </si>
  <si>
    <t>MaxExp</t>
  </si>
  <si>
    <t>Pow</t>
  </si>
  <si>
    <t>MoneyType01DailyUseLimit</t>
  </si>
  <si>
    <t>MoneyTypeBFTotalLimit</t>
  </si>
  <si>
    <t>MoneyTypeBFWeeklyEarnLimit</t>
  </si>
  <si>
    <t>DailyExpLimit</t>
  </si>
  <si>
    <t>字段</t>
    <phoneticPr fontId="2" type="noConversion"/>
  </si>
  <si>
    <t>描述</t>
    <phoneticPr fontId="2" type="noConversion"/>
  </si>
  <si>
    <t>说明</t>
    <phoneticPr fontId="2" type="noConversion"/>
  </si>
  <si>
    <t>等级</t>
    <phoneticPr fontId="2" type="noConversion"/>
  </si>
  <si>
    <t>升级经验</t>
    <phoneticPr fontId="2" type="noConversion"/>
  </si>
  <si>
    <t>战斗力</t>
    <phoneticPr fontId="2" type="noConversion"/>
  </si>
  <si>
    <t>绑金每日使用上限</t>
    <phoneticPr fontId="2" type="noConversion"/>
  </si>
  <si>
    <t>每日野外经验值获得上限</t>
    <phoneticPr fontId="2" type="noConversion"/>
  </si>
  <si>
    <t>战场点数上限</t>
    <phoneticPr fontId="2" type="noConversion"/>
  </si>
  <si>
    <t>战场点数周上限</t>
    <phoneticPr fontId="2" type="noConversion"/>
  </si>
  <si>
    <t>竞技场点数上限</t>
    <phoneticPr fontId="2" type="noConversion"/>
  </si>
  <si>
    <t>竞技场点数周上限</t>
    <phoneticPr fontId="2" type="noConversion"/>
  </si>
  <si>
    <t>OfflineExtraExpPerHour</t>
  </si>
  <si>
    <t>OnlineExtraExpPer5Min</t>
  </si>
  <si>
    <t>MaxExtraExp</t>
  </si>
  <si>
    <t>DailyExtraExp</t>
  </si>
  <si>
    <t>Both</t>
  </si>
  <si>
    <t>Server</t>
  </si>
  <si>
    <t>GoldPoolPer5Min</t>
  </si>
  <si>
    <t>Server</t>
    <phoneticPr fontId="2" type="noConversion"/>
  </si>
  <si>
    <t>ExerciseExpPerHour</t>
    <phoneticPr fontId="2" type="noConversion"/>
  </si>
  <si>
    <t>Server</t>
    <phoneticPr fontId="2" type="noConversion"/>
  </si>
  <si>
    <t>MoneyType02DailyEarnLimit</t>
    <phoneticPr fontId="2" type="noConversion"/>
  </si>
  <si>
    <t>Server</t>
    <phoneticPr fontId="2" type="noConversion"/>
  </si>
  <si>
    <t>MoneyTypeArenaTotalLimit</t>
    <phoneticPr fontId="2" type="noConversion"/>
  </si>
  <si>
    <t>MoneyTypeArenaWeeklyEarnLimit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</si>
</sst>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0" fillId="0" borderId="0" xfId="41" applyAlignment="1">
      <alignment vertical="center"/>
    </xf>
    <xf numFmtId="0" fontId="3" fillId="0" borderId="0" xfId="45">
      <alignment vertical="center"/>
    </xf>
  </cellXfs>
  <cellStyles count="106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74"/>
    <cellStyle name="常规 11" xfId="75"/>
    <cellStyle name="常规 12" xfId="76"/>
    <cellStyle name="常规 13" xfId="77"/>
    <cellStyle name="常规 14" xfId="78"/>
    <cellStyle name="常规 15" xfId="79"/>
    <cellStyle name="常规 16" xfId="80"/>
    <cellStyle name="常规 17" xfId="81"/>
    <cellStyle name="常规 18" xfId="82"/>
    <cellStyle name="常规 19" xfId="83"/>
    <cellStyle name="常规 2" xfId="42"/>
    <cellStyle name="常规 2 2" xfId="49"/>
    <cellStyle name="常规 2 2 2" xfId="46"/>
    <cellStyle name="常规 2 2 2 2" xfId="57"/>
    <cellStyle name="常规 2 2 2 2 2" xfId="54"/>
    <cellStyle name="常规 2 2 2 3" xfId="55"/>
    <cellStyle name="常规 2 2 3" xfId="63"/>
    <cellStyle name="常规 2 3" xfId="47"/>
    <cellStyle name="常规 2 4" xfId="48"/>
    <cellStyle name="常规 2 5" xfId="50"/>
    <cellStyle name="常规 2 5 2" xfId="58"/>
    <cellStyle name="常规 2 5 3" xfId="64"/>
    <cellStyle name="常规 2 6" xfId="51"/>
    <cellStyle name="常规 2 6 2" xfId="59"/>
    <cellStyle name="常规 2 6 3" xfId="65"/>
    <cellStyle name="常规 20" xfId="84"/>
    <cellStyle name="常规 21" xfId="85"/>
    <cellStyle name="常规 22" xfId="90"/>
    <cellStyle name="常规 23" xfId="91"/>
    <cellStyle name="常规 24" xfId="96"/>
    <cellStyle name="常规 25" xfId="101"/>
    <cellStyle name="常规 26" xfId="45"/>
    <cellStyle name="常规 27" xfId="41"/>
    <cellStyle name="常规 3" xfId="52"/>
    <cellStyle name="常规 3 2" xfId="60"/>
    <cellStyle name="常规 3 3" xfId="66"/>
    <cellStyle name="常规 3 4" xfId="69"/>
    <cellStyle name="常规 3 5" xfId="86"/>
    <cellStyle name="常规 3 6" xfId="95"/>
    <cellStyle name="常规 3 7" xfId="100"/>
    <cellStyle name="常规 3 8" xfId="105"/>
    <cellStyle name="常规 4" xfId="53"/>
    <cellStyle name="常规 4 2" xfId="61"/>
    <cellStyle name="常规 4 3" xfId="67"/>
    <cellStyle name="常规 4 4" xfId="70"/>
    <cellStyle name="常规 4 5" xfId="87"/>
    <cellStyle name="常规 4 6" xfId="94"/>
    <cellStyle name="常规 4 7" xfId="99"/>
    <cellStyle name="常规 4 8" xfId="104"/>
    <cellStyle name="常规 5" xfId="43"/>
    <cellStyle name="常规 6" xfId="56"/>
    <cellStyle name="常规 7" xfId="62"/>
    <cellStyle name="常规 7 2" xfId="71"/>
    <cellStyle name="常规 7 3" xfId="88"/>
    <cellStyle name="常规 7 4" xfId="93"/>
    <cellStyle name="常规 7 5" xfId="98"/>
    <cellStyle name="常规 7 6" xfId="103"/>
    <cellStyle name="常规 8" xfId="68"/>
    <cellStyle name="常规 8 2" xfId="72"/>
    <cellStyle name="常规 8 3" xfId="89"/>
    <cellStyle name="常规 8 4" xfId="92"/>
    <cellStyle name="常规 8 5" xfId="97"/>
    <cellStyle name="常规 8 6" xfId="102"/>
    <cellStyle name="常规 9" xfId="7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abSelected="1" workbookViewId="0">
      <pane xSplit="1" ySplit="3" topLeftCell="J4" activePane="bottomRight" state="frozenSplit"/>
      <selection pane="topRight" activeCell="B1" sqref="B1"/>
      <selection pane="bottomLeft" activeCell="A3" sqref="A3"/>
      <selection pane="bottomRight" activeCell="L11" sqref="L11"/>
    </sheetView>
  </sheetViews>
  <sheetFormatPr defaultRowHeight="16.5" x14ac:dyDescent="0.3"/>
  <cols>
    <col min="1" max="1" width="5.77734375" bestFit="1" customWidth="1"/>
    <col min="2" max="2" width="11.6640625" bestFit="1" customWidth="1"/>
    <col min="3" max="3" width="5" bestFit="1" customWidth="1"/>
    <col min="4" max="4" width="25.44140625" bestFit="1" customWidth="1"/>
    <col min="5" max="5" width="25.44140625" style="1" customWidth="1"/>
    <col min="6" max="6" width="22.33203125" style="1" bestFit="1" customWidth="1"/>
    <col min="7" max="7" width="28" style="1" bestFit="1" customWidth="1"/>
    <col min="8" max="8" width="22.88671875" style="1" customWidth="1"/>
    <col min="9" max="9" width="20.33203125" style="1" customWidth="1"/>
    <col min="10" max="10" width="12.5546875" bestFit="1" customWidth="1"/>
    <col min="11" max="11" width="21.44140625" customWidth="1"/>
    <col min="12" max="12" width="19.88671875" style="1" customWidth="1"/>
    <col min="13" max="13" width="13.5546875" bestFit="1" customWidth="1"/>
    <col min="14" max="14" width="17" customWidth="1"/>
    <col min="15" max="15" width="16.44140625" bestFit="1" customWidth="1"/>
    <col min="16" max="16" width="18.5546875" bestFit="1" customWidth="1"/>
  </cols>
  <sheetData>
    <row r="1" spans="1:16" x14ac:dyDescent="0.3">
      <c r="A1" t="s">
        <v>2</v>
      </c>
      <c r="B1" t="s">
        <v>3</v>
      </c>
      <c r="C1" s="2" t="s">
        <v>4</v>
      </c>
      <c r="D1" s="1" t="s">
        <v>5</v>
      </c>
      <c r="E1" s="1" t="s">
        <v>31</v>
      </c>
      <c r="F1" s="1" t="s">
        <v>6</v>
      </c>
      <c r="G1" s="1" t="s">
        <v>7</v>
      </c>
      <c r="H1" s="1" t="s">
        <v>0</v>
      </c>
      <c r="I1" s="1" t="s">
        <v>1</v>
      </c>
      <c r="J1" s="1" t="s">
        <v>8</v>
      </c>
      <c r="K1" s="1" t="s">
        <v>21</v>
      </c>
      <c r="L1" s="1" t="s">
        <v>22</v>
      </c>
      <c r="M1" s="1" t="s">
        <v>23</v>
      </c>
      <c r="N1" s="1" t="s">
        <v>24</v>
      </c>
      <c r="O1" t="s">
        <v>27</v>
      </c>
      <c r="P1" s="1" t="s">
        <v>29</v>
      </c>
    </row>
    <row r="2" spans="1:16" s="1" customFormat="1" x14ac:dyDescent="0.3">
      <c r="A2" s="1" t="s">
        <v>25</v>
      </c>
      <c r="B2" s="1" t="s">
        <v>25</v>
      </c>
      <c r="C2" s="1" t="s">
        <v>25</v>
      </c>
      <c r="D2" s="1" t="s">
        <v>26</v>
      </c>
      <c r="E2" s="1" t="s">
        <v>32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28</v>
      </c>
      <c r="P2" s="1" t="s">
        <v>30</v>
      </c>
    </row>
    <row r="3" spans="1:16" x14ac:dyDescent="0.3">
      <c r="A3">
        <v>0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v>0</v>
      </c>
      <c r="K3" s="1">
        <v>0</v>
      </c>
      <c r="L3" s="1">
        <v>0</v>
      </c>
      <c r="M3" s="1">
        <v>0</v>
      </c>
      <c r="N3">
        <v>0</v>
      </c>
      <c r="O3">
        <v>0</v>
      </c>
      <c r="P3">
        <v>0</v>
      </c>
    </row>
    <row r="4" spans="1:16" x14ac:dyDescent="0.3">
      <c r="A4">
        <v>1</v>
      </c>
      <c r="B4" s="1">
        <v>100</v>
      </c>
      <c r="C4" s="1">
        <v>50</v>
      </c>
      <c r="D4" s="3">
        <v>999999999</v>
      </c>
      <c r="E4" s="4">
        <v>10000</v>
      </c>
      <c r="F4" s="4">
        <v>4000</v>
      </c>
      <c r="G4" s="4">
        <v>2000</v>
      </c>
      <c r="H4" s="4">
        <v>100000</v>
      </c>
      <c r="I4" s="4">
        <v>10000</v>
      </c>
      <c r="J4" s="1">
        <v>2000000000</v>
      </c>
      <c r="K4">
        <v>1</v>
      </c>
      <c r="L4" s="1">
        <v>0</v>
      </c>
      <c r="M4">
        <f>N4*3</f>
        <v>3000</v>
      </c>
      <c r="N4">
        <v>1000</v>
      </c>
      <c r="O4" s="1">
        <v>2000000</v>
      </c>
      <c r="P4" s="1">
        <v>200</v>
      </c>
    </row>
    <row r="5" spans="1:16" x14ac:dyDescent="0.3">
      <c r="A5">
        <v>2</v>
      </c>
      <c r="B5" s="1">
        <v>200</v>
      </c>
      <c r="C5" s="1">
        <v>53</v>
      </c>
      <c r="D5" s="3">
        <v>999999999</v>
      </c>
      <c r="E5" s="4">
        <v>10000</v>
      </c>
      <c r="F5" s="4">
        <v>4000</v>
      </c>
      <c r="G5" s="4">
        <v>2000</v>
      </c>
      <c r="H5" s="4">
        <v>100000</v>
      </c>
      <c r="I5" s="4">
        <v>10000</v>
      </c>
      <c r="J5" s="1">
        <v>2000000000</v>
      </c>
      <c r="K5">
        <v>2</v>
      </c>
      <c r="L5" s="1">
        <v>0</v>
      </c>
      <c r="M5" s="1">
        <f t="shared" ref="M5:M12" si="0">N5*3</f>
        <v>3000</v>
      </c>
      <c r="N5" s="1">
        <v>1000</v>
      </c>
      <c r="O5" s="1">
        <v>2000000</v>
      </c>
      <c r="P5" s="1">
        <v>400</v>
      </c>
    </row>
    <row r="6" spans="1:16" x14ac:dyDescent="0.3">
      <c r="A6">
        <v>3</v>
      </c>
      <c r="B6" s="1">
        <v>300</v>
      </c>
      <c r="C6" s="1">
        <v>57</v>
      </c>
      <c r="D6" s="3">
        <v>999999999</v>
      </c>
      <c r="E6" s="3">
        <v>10000</v>
      </c>
      <c r="F6" s="4">
        <v>4000</v>
      </c>
      <c r="G6" s="4">
        <v>2000</v>
      </c>
      <c r="H6" s="4">
        <v>100000</v>
      </c>
      <c r="I6" s="4">
        <v>10000</v>
      </c>
      <c r="J6" s="1">
        <v>2000000000</v>
      </c>
      <c r="K6" s="1">
        <v>3</v>
      </c>
      <c r="L6" s="1">
        <v>0</v>
      </c>
      <c r="M6" s="1">
        <f t="shared" si="0"/>
        <v>3000</v>
      </c>
      <c r="N6" s="1">
        <v>1000</v>
      </c>
      <c r="O6" s="1">
        <v>2000000</v>
      </c>
      <c r="P6" s="1">
        <v>600</v>
      </c>
    </row>
    <row r="7" spans="1:16" x14ac:dyDescent="0.3">
      <c r="A7">
        <v>4</v>
      </c>
      <c r="B7" s="1">
        <v>400</v>
      </c>
      <c r="C7" s="1">
        <v>62</v>
      </c>
      <c r="D7" s="3">
        <v>999999999</v>
      </c>
      <c r="E7" s="3">
        <v>10000</v>
      </c>
      <c r="F7" s="4">
        <v>4000</v>
      </c>
      <c r="G7" s="4">
        <v>2000</v>
      </c>
      <c r="H7" s="4">
        <v>100000</v>
      </c>
      <c r="I7" s="4">
        <v>10000</v>
      </c>
      <c r="J7" s="1">
        <v>2000000000</v>
      </c>
      <c r="K7" s="1">
        <v>4</v>
      </c>
      <c r="L7" s="1">
        <v>0</v>
      </c>
      <c r="M7" s="1">
        <f t="shared" si="0"/>
        <v>3000</v>
      </c>
      <c r="N7" s="1">
        <v>1000</v>
      </c>
      <c r="O7" s="1">
        <v>2000000</v>
      </c>
      <c r="P7" s="1">
        <v>800</v>
      </c>
    </row>
    <row r="8" spans="1:16" x14ac:dyDescent="0.3">
      <c r="A8">
        <v>5</v>
      </c>
      <c r="B8" s="1">
        <v>600</v>
      </c>
      <c r="C8" s="1">
        <v>67</v>
      </c>
      <c r="D8" s="3">
        <v>999999999</v>
      </c>
      <c r="E8" s="3">
        <v>10000</v>
      </c>
      <c r="F8" s="4">
        <v>4000</v>
      </c>
      <c r="G8" s="4">
        <v>2000</v>
      </c>
      <c r="H8" s="4">
        <v>100000</v>
      </c>
      <c r="I8" s="4">
        <v>10000</v>
      </c>
      <c r="J8" s="1">
        <v>2000000000</v>
      </c>
      <c r="K8" s="1">
        <v>5</v>
      </c>
      <c r="L8" s="1">
        <v>0</v>
      </c>
      <c r="M8" s="1">
        <f t="shared" si="0"/>
        <v>3000</v>
      </c>
      <c r="N8" s="1">
        <v>1000</v>
      </c>
      <c r="O8" s="1">
        <v>2000000</v>
      </c>
      <c r="P8" s="1">
        <v>1000</v>
      </c>
    </row>
    <row r="9" spans="1:16" x14ac:dyDescent="0.3">
      <c r="A9">
        <v>6</v>
      </c>
      <c r="B9" s="1">
        <v>900</v>
      </c>
      <c r="C9" s="1">
        <v>72</v>
      </c>
      <c r="D9" s="3">
        <v>999999999</v>
      </c>
      <c r="E9" s="3">
        <v>10000</v>
      </c>
      <c r="F9" s="4">
        <v>4000</v>
      </c>
      <c r="G9" s="4">
        <v>2000</v>
      </c>
      <c r="H9" s="4">
        <v>100000</v>
      </c>
      <c r="I9" s="4">
        <v>10000</v>
      </c>
      <c r="J9" s="1">
        <v>2000000000</v>
      </c>
      <c r="K9" s="1">
        <v>6</v>
      </c>
      <c r="L9" s="1">
        <v>0</v>
      </c>
      <c r="M9" s="1">
        <f t="shared" si="0"/>
        <v>3000</v>
      </c>
      <c r="N9" s="1">
        <v>1000</v>
      </c>
      <c r="O9" s="1">
        <v>2000000</v>
      </c>
      <c r="P9" s="1">
        <v>1200</v>
      </c>
    </row>
    <row r="10" spans="1:16" x14ac:dyDescent="0.3">
      <c r="A10">
        <v>7</v>
      </c>
      <c r="B10" s="1">
        <v>1200</v>
      </c>
      <c r="C10" s="1">
        <v>77</v>
      </c>
      <c r="D10" s="3">
        <v>999999999</v>
      </c>
      <c r="E10" s="3">
        <v>2000000</v>
      </c>
      <c r="F10" s="4">
        <v>4000</v>
      </c>
      <c r="G10" s="4">
        <v>2000</v>
      </c>
      <c r="H10" s="4">
        <v>100000</v>
      </c>
      <c r="I10" s="4">
        <v>10000</v>
      </c>
      <c r="J10" s="1">
        <v>2000000000</v>
      </c>
      <c r="K10" s="1">
        <v>7</v>
      </c>
      <c r="L10" s="1">
        <v>0</v>
      </c>
      <c r="M10" s="1">
        <f t="shared" si="0"/>
        <v>3000</v>
      </c>
      <c r="N10" s="1">
        <v>1000</v>
      </c>
      <c r="O10" s="1">
        <v>2000000</v>
      </c>
      <c r="P10" s="1">
        <v>1400</v>
      </c>
    </row>
    <row r="11" spans="1:16" x14ac:dyDescent="0.3">
      <c r="A11">
        <v>8</v>
      </c>
      <c r="B11" s="1">
        <v>1700</v>
      </c>
      <c r="C11" s="1">
        <v>83</v>
      </c>
      <c r="D11" s="3">
        <v>999999999</v>
      </c>
      <c r="E11" s="3">
        <v>2100000</v>
      </c>
      <c r="F11" s="4">
        <v>4000</v>
      </c>
      <c r="G11" s="4">
        <v>2000</v>
      </c>
      <c r="H11" s="4">
        <v>100000</v>
      </c>
      <c r="I11" s="4">
        <v>10000</v>
      </c>
      <c r="J11" s="1">
        <v>2000000000</v>
      </c>
      <c r="K11" s="1">
        <v>8</v>
      </c>
      <c r="L11" s="1">
        <v>160</v>
      </c>
      <c r="M11" s="1">
        <f t="shared" si="0"/>
        <v>3000</v>
      </c>
      <c r="N11" s="1">
        <v>1000</v>
      </c>
      <c r="O11" s="1">
        <v>2000000</v>
      </c>
      <c r="P11" s="1">
        <v>1600</v>
      </c>
    </row>
    <row r="12" spans="1:16" x14ac:dyDescent="0.3">
      <c r="A12">
        <v>9</v>
      </c>
      <c r="B12" s="1">
        <v>2500</v>
      </c>
      <c r="C12" s="1">
        <v>90</v>
      </c>
      <c r="D12" s="3">
        <v>999999999</v>
      </c>
      <c r="E12" s="3">
        <v>2200000</v>
      </c>
      <c r="F12" s="4">
        <v>4000</v>
      </c>
      <c r="G12" s="4">
        <v>2000</v>
      </c>
      <c r="H12" s="4">
        <v>100000</v>
      </c>
      <c r="I12" s="4">
        <v>10000</v>
      </c>
      <c r="J12" s="1">
        <v>2000000000</v>
      </c>
      <c r="K12" s="1">
        <v>9</v>
      </c>
      <c r="L12" s="1">
        <v>180</v>
      </c>
      <c r="M12" s="1">
        <f t="shared" si="0"/>
        <v>3000</v>
      </c>
      <c r="N12" s="1">
        <v>1000</v>
      </c>
      <c r="O12" s="1">
        <v>2000000</v>
      </c>
      <c r="P12" s="1">
        <v>1800</v>
      </c>
    </row>
    <row r="13" spans="1:16" x14ac:dyDescent="0.3">
      <c r="A13">
        <v>10</v>
      </c>
      <c r="B13" s="4">
        <v>6000</v>
      </c>
      <c r="C13" s="1">
        <v>97</v>
      </c>
      <c r="D13" s="3">
        <v>999999999</v>
      </c>
      <c r="E13" s="3">
        <v>2300000</v>
      </c>
      <c r="F13" s="4">
        <v>4000</v>
      </c>
      <c r="G13" s="4">
        <v>2000</v>
      </c>
      <c r="H13" s="4">
        <v>100000</v>
      </c>
      <c r="I13" s="4">
        <v>10000</v>
      </c>
      <c r="J13" s="1">
        <v>2000000000</v>
      </c>
      <c r="K13" s="1">
        <v>200</v>
      </c>
      <c r="L13" s="1">
        <f>INT(N13*2/24/60*5)</f>
        <v>208</v>
      </c>
      <c r="M13" s="1">
        <f>N13*5</f>
        <v>150000</v>
      </c>
      <c r="N13" s="1">
        <v>30000</v>
      </c>
      <c r="O13" s="1">
        <v>2000000</v>
      </c>
      <c r="P13" s="1">
        <v>2000</v>
      </c>
    </row>
    <row r="14" spans="1:16" x14ac:dyDescent="0.3">
      <c r="A14">
        <v>11</v>
      </c>
      <c r="B14" s="4">
        <v>8000</v>
      </c>
      <c r="C14" s="1">
        <v>104</v>
      </c>
      <c r="D14" s="3">
        <v>999999999</v>
      </c>
      <c r="E14" s="3">
        <v>2400000</v>
      </c>
      <c r="F14" s="4">
        <v>4000</v>
      </c>
      <c r="G14" s="4">
        <v>2000</v>
      </c>
      <c r="H14" s="4">
        <v>100000</v>
      </c>
      <c r="I14" s="4">
        <v>10000</v>
      </c>
      <c r="J14" s="1">
        <v>2000000000</v>
      </c>
      <c r="K14" s="1">
        <v>230</v>
      </c>
      <c r="L14" s="1">
        <f t="shared" ref="L14:L63" si="1">INT(N14*2/24/60*5)</f>
        <v>222</v>
      </c>
      <c r="M14" s="1">
        <f t="shared" ref="M14:M32" si="2">N14*5</f>
        <v>160000</v>
      </c>
      <c r="N14" s="1">
        <v>32000</v>
      </c>
      <c r="O14" s="1">
        <v>2000000</v>
      </c>
      <c r="P14" s="1">
        <v>2200</v>
      </c>
    </row>
    <row r="15" spans="1:16" x14ac:dyDescent="0.3">
      <c r="A15">
        <v>12</v>
      </c>
      <c r="B15" s="4">
        <v>10000</v>
      </c>
      <c r="C15" s="1">
        <v>111</v>
      </c>
      <c r="D15" s="3">
        <v>999999999</v>
      </c>
      <c r="E15" s="3">
        <v>2500000</v>
      </c>
      <c r="F15" s="4">
        <v>4000</v>
      </c>
      <c r="G15" s="4">
        <v>2000</v>
      </c>
      <c r="H15" s="4">
        <v>100000</v>
      </c>
      <c r="I15" s="4">
        <v>10000</v>
      </c>
      <c r="J15" s="1">
        <v>2000000000</v>
      </c>
      <c r="K15" s="1">
        <v>260</v>
      </c>
      <c r="L15" s="1">
        <f t="shared" si="1"/>
        <v>236</v>
      </c>
      <c r="M15" s="1">
        <f t="shared" si="2"/>
        <v>170000</v>
      </c>
      <c r="N15" s="1">
        <v>34000</v>
      </c>
      <c r="O15" s="1">
        <v>2000000</v>
      </c>
      <c r="P15" s="1">
        <v>2700</v>
      </c>
    </row>
    <row r="16" spans="1:16" x14ac:dyDescent="0.3">
      <c r="A16">
        <v>13</v>
      </c>
      <c r="B16" s="4">
        <v>15000</v>
      </c>
      <c r="C16" s="1">
        <v>119</v>
      </c>
      <c r="D16" s="3">
        <v>999999999</v>
      </c>
      <c r="E16" s="3">
        <v>2600000</v>
      </c>
      <c r="F16" s="4">
        <v>4000</v>
      </c>
      <c r="G16" s="4">
        <v>2000</v>
      </c>
      <c r="H16" s="4">
        <v>100000</v>
      </c>
      <c r="I16" s="4">
        <v>10000</v>
      </c>
      <c r="J16" s="1">
        <v>2000000000</v>
      </c>
      <c r="K16" s="1">
        <v>300</v>
      </c>
      <c r="L16" s="1">
        <f t="shared" si="1"/>
        <v>250</v>
      </c>
      <c r="M16" s="1">
        <f t="shared" si="2"/>
        <v>180000</v>
      </c>
      <c r="N16" s="1">
        <v>36000</v>
      </c>
      <c r="O16" s="1">
        <v>2000000</v>
      </c>
      <c r="P16" s="1">
        <v>3000</v>
      </c>
    </row>
    <row r="17" spans="1:16" x14ac:dyDescent="0.3">
      <c r="A17">
        <v>14</v>
      </c>
      <c r="B17" s="4">
        <v>30000</v>
      </c>
      <c r="C17" s="1">
        <v>128</v>
      </c>
      <c r="D17" s="3">
        <v>999999999</v>
      </c>
      <c r="E17" s="3">
        <v>2700000</v>
      </c>
      <c r="F17" s="4">
        <v>4000</v>
      </c>
      <c r="G17" s="4">
        <v>2000</v>
      </c>
      <c r="H17" s="4">
        <v>100000</v>
      </c>
      <c r="I17" s="4">
        <v>10000</v>
      </c>
      <c r="J17" s="1">
        <v>2000000000</v>
      </c>
      <c r="K17" s="1">
        <v>340</v>
      </c>
      <c r="L17" s="1">
        <f t="shared" si="1"/>
        <v>263</v>
      </c>
      <c r="M17" s="1">
        <f t="shared" si="2"/>
        <v>190000</v>
      </c>
      <c r="N17" s="1">
        <v>38000</v>
      </c>
      <c r="O17" s="1">
        <v>2000000</v>
      </c>
      <c r="P17" s="1">
        <v>3300</v>
      </c>
    </row>
    <row r="18" spans="1:16" x14ac:dyDescent="0.3">
      <c r="A18">
        <v>15</v>
      </c>
      <c r="B18" s="4">
        <v>40000</v>
      </c>
      <c r="C18" s="1">
        <v>137</v>
      </c>
      <c r="D18" s="3">
        <v>999999999</v>
      </c>
      <c r="E18" s="3">
        <v>2800000</v>
      </c>
      <c r="F18" s="4">
        <v>4000</v>
      </c>
      <c r="G18" s="4">
        <v>2000</v>
      </c>
      <c r="H18" s="4">
        <v>100000</v>
      </c>
      <c r="I18" s="4">
        <v>10000</v>
      </c>
      <c r="J18" s="1">
        <v>2000000000</v>
      </c>
      <c r="K18" s="1">
        <v>380</v>
      </c>
      <c r="L18" s="1">
        <f t="shared" si="1"/>
        <v>277</v>
      </c>
      <c r="M18" s="1">
        <f t="shared" si="2"/>
        <v>200000</v>
      </c>
      <c r="N18" s="1">
        <v>40000</v>
      </c>
      <c r="O18" s="1">
        <v>2000000</v>
      </c>
      <c r="P18" s="1">
        <v>3600</v>
      </c>
    </row>
    <row r="19" spans="1:16" x14ac:dyDescent="0.3">
      <c r="A19">
        <v>16</v>
      </c>
      <c r="B19" s="4">
        <v>50000</v>
      </c>
      <c r="C19" s="1">
        <v>146</v>
      </c>
      <c r="D19" s="3">
        <v>999999999</v>
      </c>
      <c r="E19" s="3">
        <v>2900000</v>
      </c>
      <c r="F19" s="4">
        <v>4000</v>
      </c>
      <c r="G19" s="4">
        <v>2000</v>
      </c>
      <c r="H19" s="4">
        <v>100000</v>
      </c>
      <c r="I19" s="4">
        <v>10000</v>
      </c>
      <c r="J19" s="1">
        <v>2000000000</v>
      </c>
      <c r="K19" s="1">
        <v>430</v>
      </c>
      <c r="L19" s="1">
        <f t="shared" si="1"/>
        <v>298</v>
      </c>
      <c r="M19" s="1">
        <f t="shared" si="2"/>
        <v>215000</v>
      </c>
      <c r="N19" s="1">
        <v>43000</v>
      </c>
      <c r="O19" s="1">
        <v>2000000</v>
      </c>
      <c r="P19" s="1">
        <v>3900</v>
      </c>
    </row>
    <row r="20" spans="1:16" x14ac:dyDescent="0.3">
      <c r="A20">
        <v>17</v>
      </c>
      <c r="B20" s="4">
        <v>70000</v>
      </c>
      <c r="C20" s="1">
        <v>155</v>
      </c>
      <c r="D20" s="3">
        <v>999999999</v>
      </c>
      <c r="E20" s="3">
        <v>3000000</v>
      </c>
      <c r="F20" s="4">
        <v>4000</v>
      </c>
      <c r="G20" s="4">
        <v>2000</v>
      </c>
      <c r="H20" s="4">
        <v>100000</v>
      </c>
      <c r="I20" s="4">
        <v>10000</v>
      </c>
      <c r="J20" s="1">
        <v>2000000000</v>
      </c>
      <c r="K20" s="1">
        <v>480</v>
      </c>
      <c r="L20" s="1">
        <f t="shared" si="1"/>
        <v>319</v>
      </c>
      <c r="M20" s="1">
        <f t="shared" si="2"/>
        <v>230000</v>
      </c>
      <c r="N20" s="1">
        <v>46000</v>
      </c>
      <c r="O20" s="1">
        <v>2000000</v>
      </c>
      <c r="P20" s="1">
        <v>4200</v>
      </c>
    </row>
    <row r="21" spans="1:16" x14ac:dyDescent="0.3">
      <c r="A21">
        <v>18</v>
      </c>
      <c r="B21" s="4">
        <v>100000</v>
      </c>
      <c r="C21" s="1">
        <v>165</v>
      </c>
      <c r="D21" s="3">
        <v>999999999</v>
      </c>
      <c r="E21" s="3">
        <v>3100000</v>
      </c>
      <c r="F21" s="4">
        <v>4000</v>
      </c>
      <c r="G21" s="4">
        <v>2000</v>
      </c>
      <c r="H21" s="4">
        <v>100000</v>
      </c>
      <c r="I21" s="4">
        <v>10000</v>
      </c>
      <c r="J21" s="1">
        <v>2000000000</v>
      </c>
      <c r="K21" s="1">
        <v>530</v>
      </c>
      <c r="L21" s="1">
        <f t="shared" si="1"/>
        <v>347</v>
      </c>
      <c r="M21" s="1">
        <f t="shared" si="2"/>
        <v>250000</v>
      </c>
      <c r="N21" s="1">
        <v>50000</v>
      </c>
      <c r="O21" s="1">
        <v>2000000</v>
      </c>
      <c r="P21" s="1">
        <v>5500</v>
      </c>
    </row>
    <row r="22" spans="1:16" x14ac:dyDescent="0.3">
      <c r="A22">
        <v>19</v>
      </c>
      <c r="B22" s="4">
        <v>120000</v>
      </c>
      <c r="C22" s="1">
        <v>176</v>
      </c>
      <c r="D22" s="3">
        <v>999999999</v>
      </c>
      <c r="E22" s="3">
        <v>3200000</v>
      </c>
      <c r="F22" s="4">
        <v>4000</v>
      </c>
      <c r="G22" s="4">
        <v>2000</v>
      </c>
      <c r="H22" s="4">
        <v>100000</v>
      </c>
      <c r="I22" s="4">
        <v>10000</v>
      </c>
      <c r="J22" s="1">
        <v>2000000000</v>
      </c>
      <c r="K22" s="1">
        <v>590</v>
      </c>
      <c r="L22" s="1">
        <f t="shared" si="1"/>
        <v>388</v>
      </c>
      <c r="M22" s="1">
        <f t="shared" si="2"/>
        <v>280000</v>
      </c>
      <c r="N22" s="1">
        <v>56000</v>
      </c>
      <c r="O22" s="1">
        <v>2000000</v>
      </c>
      <c r="P22" s="1">
        <v>5800</v>
      </c>
    </row>
    <row r="23" spans="1:16" x14ac:dyDescent="0.3">
      <c r="A23">
        <v>20</v>
      </c>
      <c r="B23" s="4">
        <v>140000</v>
      </c>
      <c r="C23" s="1">
        <v>187</v>
      </c>
      <c r="D23" s="3">
        <v>999999999</v>
      </c>
      <c r="E23" s="3">
        <v>3400000</v>
      </c>
      <c r="F23" s="4">
        <v>4000</v>
      </c>
      <c r="G23" s="4">
        <v>2000</v>
      </c>
      <c r="H23" s="4">
        <v>100000</v>
      </c>
      <c r="I23" s="4">
        <v>10000</v>
      </c>
      <c r="J23" s="1">
        <v>2000000000</v>
      </c>
      <c r="K23" s="1">
        <v>650</v>
      </c>
      <c r="L23" s="1">
        <f t="shared" si="1"/>
        <v>430</v>
      </c>
      <c r="M23" s="1">
        <f t="shared" si="2"/>
        <v>310000</v>
      </c>
      <c r="N23" s="1">
        <v>62000</v>
      </c>
      <c r="O23" s="1">
        <v>2000000</v>
      </c>
      <c r="P23" s="1">
        <v>6200</v>
      </c>
    </row>
    <row r="24" spans="1:16" x14ac:dyDescent="0.3">
      <c r="A24">
        <v>21</v>
      </c>
      <c r="B24" s="4">
        <v>250000</v>
      </c>
      <c r="C24" s="1">
        <v>198</v>
      </c>
      <c r="D24" s="3">
        <v>999999999</v>
      </c>
      <c r="E24" s="3">
        <v>3600000</v>
      </c>
      <c r="F24" s="4">
        <v>4000</v>
      </c>
      <c r="G24" s="4">
        <v>2000</v>
      </c>
      <c r="H24" s="4">
        <v>100000</v>
      </c>
      <c r="I24" s="4">
        <v>10000</v>
      </c>
      <c r="J24" s="1">
        <v>2000000000</v>
      </c>
      <c r="K24" s="1">
        <v>710</v>
      </c>
      <c r="L24" s="1">
        <f t="shared" si="1"/>
        <v>472</v>
      </c>
      <c r="M24" s="1">
        <f t="shared" si="2"/>
        <v>340000</v>
      </c>
      <c r="N24" s="1">
        <v>68000</v>
      </c>
      <c r="O24" s="1">
        <v>2000000</v>
      </c>
      <c r="P24" s="1">
        <v>6600</v>
      </c>
    </row>
    <row r="25" spans="1:16" x14ac:dyDescent="0.3">
      <c r="A25">
        <v>22</v>
      </c>
      <c r="B25" s="4">
        <v>300000</v>
      </c>
      <c r="C25" s="1">
        <v>209</v>
      </c>
      <c r="D25" s="3">
        <v>999999999</v>
      </c>
      <c r="E25" s="3">
        <v>3800000</v>
      </c>
      <c r="F25" s="4">
        <v>4000</v>
      </c>
      <c r="G25" s="4">
        <v>2000</v>
      </c>
      <c r="H25" s="4">
        <v>100000</v>
      </c>
      <c r="I25" s="4">
        <v>10000</v>
      </c>
      <c r="J25" s="1">
        <v>2000000000</v>
      </c>
      <c r="K25" s="1">
        <v>780</v>
      </c>
      <c r="L25" s="1">
        <f t="shared" si="1"/>
        <v>513</v>
      </c>
      <c r="M25" s="1">
        <f t="shared" si="2"/>
        <v>370000</v>
      </c>
      <c r="N25" s="1">
        <v>74000</v>
      </c>
      <c r="O25" s="1">
        <v>2000000</v>
      </c>
      <c r="P25" s="1">
        <v>7000</v>
      </c>
    </row>
    <row r="26" spans="1:16" x14ac:dyDescent="0.3">
      <c r="A26">
        <v>23</v>
      </c>
      <c r="B26" s="1">
        <v>350000</v>
      </c>
      <c r="C26" s="1">
        <v>221</v>
      </c>
      <c r="D26" s="3">
        <v>999999999</v>
      </c>
      <c r="E26" s="3">
        <v>4000000</v>
      </c>
      <c r="F26" s="4">
        <v>4000</v>
      </c>
      <c r="G26" s="4">
        <v>2000</v>
      </c>
      <c r="H26" s="4">
        <v>100000</v>
      </c>
      <c r="I26" s="4">
        <v>10000</v>
      </c>
      <c r="J26" s="1">
        <v>2000000000</v>
      </c>
      <c r="K26" s="1">
        <v>850</v>
      </c>
      <c r="L26" s="1">
        <f t="shared" si="1"/>
        <v>555</v>
      </c>
      <c r="M26" s="1">
        <f t="shared" si="2"/>
        <v>400000</v>
      </c>
      <c r="N26" s="1">
        <v>80000</v>
      </c>
      <c r="O26" s="1">
        <v>2000000</v>
      </c>
      <c r="P26" s="1">
        <v>7400</v>
      </c>
    </row>
    <row r="27" spans="1:16" x14ac:dyDescent="0.3">
      <c r="A27">
        <v>24</v>
      </c>
      <c r="B27" s="1">
        <v>400000</v>
      </c>
      <c r="C27" s="1">
        <v>234</v>
      </c>
      <c r="D27" s="3">
        <v>999999999</v>
      </c>
      <c r="E27" s="3">
        <v>4200000</v>
      </c>
      <c r="F27" s="4">
        <v>4000</v>
      </c>
      <c r="G27" s="4">
        <v>2000</v>
      </c>
      <c r="H27" s="4">
        <v>100000</v>
      </c>
      <c r="I27" s="4">
        <v>10000</v>
      </c>
      <c r="J27" s="1">
        <v>2000000000</v>
      </c>
      <c r="K27" s="1">
        <v>920</v>
      </c>
      <c r="L27" s="1">
        <f t="shared" si="1"/>
        <v>590</v>
      </c>
      <c r="M27" s="1">
        <f t="shared" si="2"/>
        <v>425000</v>
      </c>
      <c r="N27" s="1">
        <v>85000</v>
      </c>
      <c r="O27" s="1">
        <v>2000000</v>
      </c>
      <c r="P27" s="1">
        <v>7800</v>
      </c>
    </row>
    <row r="28" spans="1:16" x14ac:dyDescent="0.3">
      <c r="A28">
        <v>25</v>
      </c>
      <c r="B28" s="1">
        <v>500000</v>
      </c>
      <c r="C28" s="1">
        <v>247</v>
      </c>
      <c r="D28" s="3">
        <v>999999999</v>
      </c>
      <c r="E28" s="3">
        <v>4400000</v>
      </c>
      <c r="F28" s="4">
        <v>4000</v>
      </c>
      <c r="G28" s="4">
        <v>2000</v>
      </c>
      <c r="H28" s="4">
        <v>100000</v>
      </c>
      <c r="I28" s="4">
        <v>10000</v>
      </c>
      <c r="J28" s="1">
        <v>2000000000</v>
      </c>
      <c r="K28" s="1">
        <v>1000</v>
      </c>
      <c r="L28" s="1">
        <f t="shared" si="1"/>
        <v>625</v>
      </c>
      <c r="M28" s="1">
        <f t="shared" si="2"/>
        <v>450000</v>
      </c>
      <c r="N28" s="1">
        <v>90000</v>
      </c>
      <c r="O28" s="1">
        <v>2000000</v>
      </c>
      <c r="P28" s="1">
        <v>8200</v>
      </c>
    </row>
    <row r="29" spans="1:16" x14ac:dyDescent="0.3">
      <c r="A29">
        <v>26</v>
      </c>
      <c r="B29" s="1">
        <v>700000</v>
      </c>
      <c r="C29" s="1">
        <v>260</v>
      </c>
      <c r="D29" s="3">
        <v>999999999</v>
      </c>
      <c r="E29" s="3">
        <v>4600000</v>
      </c>
      <c r="F29" s="4">
        <v>4000</v>
      </c>
      <c r="G29" s="4">
        <v>2000</v>
      </c>
      <c r="H29" s="4">
        <v>100000</v>
      </c>
      <c r="I29" s="4">
        <v>10000</v>
      </c>
      <c r="J29" s="1">
        <v>2000000000</v>
      </c>
      <c r="K29" s="1">
        <v>1000</v>
      </c>
      <c r="L29" s="1">
        <f t="shared" si="1"/>
        <v>659</v>
      </c>
      <c r="M29" s="1">
        <f t="shared" si="2"/>
        <v>475000</v>
      </c>
      <c r="N29" s="1">
        <v>95000</v>
      </c>
      <c r="O29" s="1">
        <v>2000000</v>
      </c>
      <c r="P29" s="1">
        <v>8600</v>
      </c>
    </row>
    <row r="30" spans="1:16" x14ac:dyDescent="0.3">
      <c r="A30">
        <v>27</v>
      </c>
      <c r="B30" s="1">
        <v>1000000</v>
      </c>
      <c r="C30" s="1">
        <v>273</v>
      </c>
      <c r="D30" s="3">
        <v>999999999</v>
      </c>
      <c r="E30" s="3">
        <v>4800000</v>
      </c>
      <c r="F30" s="4">
        <v>4000</v>
      </c>
      <c r="G30" s="4">
        <v>2000</v>
      </c>
      <c r="H30" s="4">
        <v>100000</v>
      </c>
      <c r="I30" s="4">
        <v>10000</v>
      </c>
      <c r="J30" s="1">
        <v>2000000000</v>
      </c>
      <c r="K30" s="1">
        <v>1000</v>
      </c>
      <c r="L30" s="1">
        <f t="shared" si="1"/>
        <v>694</v>
      </c>
      <c r="M30" s="1">
        <f t="shared" si="2"/>
        <v>500000</v>
      </c>
      <c r="N30" s="1">
        <v>100000</v>
      </c>
      <c r="O30" s="1">
        <v>2000000</v>
      </c>
      <c r="P30" s="1">
        <v>9000</v>
      </c>
    </row>
    <row r="31" spans="1:16" x14ac:dyDescent="0.3">
      <c r="A31">
        <v>28</v>
      </c>
      <c r="B31" s="1">
        <v>1400000</v>
      </c>
      <c r="C31" s="1">
        <v>287</v>
      </c>
      <c r="D31" s="3">
        <v>999999999</v>
      </c>
      <c r="E31" s="3">
        <v>5000000</v>
      </c>
      <c r="F31" s="4">
        <v>4000</v>
      </c>
      <c r="G31" s="4">
        <v>2000</v>
      </c>
      <c r="H31" s="4">
        <v>100000</v>
      </c>
      <c r="I31" s="4">
        <v>10000</v>
      </c>
      <c r="J31" s="1">
        <v>2000000000</v>
      </c>
      <c r="K31" s="1">
        <v>1000</v>
      </c>
      <c r="L31" s="1">
        <f t="shared" si="1"/>
        <v>729</v>
      </c>
      <c r="M31" s="1">
        <f t="shared" si="2"/>
        <v>525000</v>
      </c>
      <c r="N31" s="1">
        <v>105000</v>
      </c>
      <c r="O31" s="1">
        <v>2000000</v>
      </c>
      <c r="P31" s="1">
        <v>9400</v>
      </c>
    </row>
    <row r="32" spans="1:16" x14ac:dyDescent="0.3">
      <c r="A32">
        <v>29</v>
      </c>
      <c r="B32" s="1">
        <v>1800000</v>
      </c>
      <c r="C32" s="1">
        <v>302</v>
      </c>
      <c r="D32" s="3">
        <v>999999999</v>
      </c>
      <c r="E32" s="3">
        <v>5200000</v>
      </c>
      <c r="F32" s="4">
        <v>4000</v>
      </c>
      <c r="G32" s="4">
        <v>2000</v>
      </c>
      <c r="H32" s="4">
        <v>100000</v>
      </c>
      <c r="I32" s="4">
        <v>10000</v>
      </c>
      <c r="J32" s="1">
        <v>2000000000</v>
      </c>
      <c r="K32" s="1">
        <v>1000</v>
      </c>
      <c r="L32" s="1">
        <f t="shared" si="1"/>
        <v>763</v>
      </c>
      <c r="M32" s="1">
        <f t="shared" si="2"/>
        <v>550000</v>
      </c>
      <c r="N32" s="1">
        <v>110000</v>
      </c>
      <c r="O32" s="1">
        <v>2000000</v>
      </c>
      <c r="P32" s="1">
        <v>9800</v>
      </c>
    </row>
    <row r="33" spans="1:16" x14ac:dyDescent="0.3">
      <c r="A33">
        <v>30</v>
      </c>
      <c r="B33" s="1">
        <v>2000000</v>
      </c>
      <c r="C33" s="1">
        <v>317</v>
      </c>
      <c r="D33" s="3">
        <v>999999999</v>
      </c>
      <c r="E33" s="3">
        <v>6000000</v>
      </c>
      <c r="F33" s="4">
        <v>4000</v>
      </c>
      <c r="G33" s="4">
        <v>2000</v>
      </c>
      <c r="H33" s="4">
        <v>100000</v>
      </c>
      <c r="I33" s="4">
        <v>10000</v>
      </c>
      <c r="J33" s="1">
        <v>2000000000</v>
      </c>
      <c r="K33" s="1">
        <v>1000</v>
      </c>
      <c r="L33" s="1">
        <f t="shared" si="1"/>
        <v>770</v>
      </c>
      <c r="M33" s="1">
        <f>N33*10</f>
        <v>1110000</v>
      </c>
      <c r="N33" s="1">
        <v>111000</v>
      </c>
      <c r="O33" s="1">
        <v>2000000</v>
      </c>
      <c r="P33" s="1">
        <v>10000</v>
      </c>
    </row>
    <row r="34" spans="1:16" x14ac:dyDescent="0.3">
      <c r="A34">
        <v>31</v>
      </c>
      <c r="B34" s="1">
        <v>2400000</v>
      </c>
      <c r="C34" s="1">
        <v>332</v>
      </c>
      <c r="D34" s="3">
        <v>999999999</v>
      </c>
      <c r="E34" s="4">
        <v>6500000</v>
      </c>
      <c r="F34" s="4">
        <v>4000</v>
      </c>
      <c r="G34" s="4">
        <v>2000</v>
      </c>
      <c r="H34" s="4">
        <v>100000</v>
      </c>
      <c r="I34" s="4">
        <v>10000</v>
      </c>
      <c r="J34" s="1">
        <v>2000000000</v>
      </c>
      <c r="K34" s="1">
        <v>1000</v>
      </c>
      <c r="L34" s="1">
        <f t="shared" si="1"/>
        <v>777</v>
      </c>
      <c r="M34" s="1">
        <f t="shared" ref="M34:M37" si="3">N34*10</f>
        <v>1120000</v>
      </c>
      <c r="N34" s="1">
        <v>112000</v>
      </c>
      <c r="O34" s="1">
        <v>2000000</v>
      </c>
      <c r="P34" s="1">
        <v>10200</v>
      </c>
    </row>
    <row r="35" spans="1:16" x14ac:dyDescent="0.3">
      <c r="A35">
        <v>32</v>
      </c>
      <c r="B35" s="1">
        <v>2800000</v>
      </c>
      <c r="C35" s="1">
        <v>347</v>
      </c>
      <c r="D35" s="3">
        <v>999999999</v>
      </c>
      <c r="E35" s="3">
        <v>7000000</v>
      </c>
      <c r="F35" s="4">
        <v>4000</v>
      </c>
      <c r="G35" s="4">
        <v>2000</v>
      </c>
      <c r="H35" s="4">
        <v>100000</v>
      </c>
      <c r="I35" s="4">
        <v>10000</v>
      </c>
      <c r="J35" s="1">
        <v>2000000000</v>
      </c>
      <c r="K35" s="1">
        <v>1000</v>
      </c>
      <c r="L35" s="1">
        <f t="shared" si="1"/>
        <v>784</v>
      </c>
      <c r="M35" s="1">
        <f t="shared" si="3"/>
        <v>1130000</v>
      </c>
      <c r="N35" s="1">
        <v>113000</v>
      </c>
      <c r="O35" s="1">
        <v>2000000</v>
      </c>
      <c r="P35" s="1">
        <v>10400</v>
      </c>
    </row>
    <row r="36" spans="1:16" x14ac:dyDescent="0.3">
      <c r="A36">
        <v>33</v>
      </c>
      <c r="B36" s="1">
        <v>3200000</v>
      </c>
      <c r="C36" s="1">
        <v>363</v>
      </c>
      <c r="D36" s="3">
        <v>999999999</v>
      </c>
      <c r="E36" s="4">
        <v>7500000</v>
      </c>
      <c r="F36" s="4">
        <v>4000</v>
      </c>
      <c r="G36" s="4">
        <v>2000</v>
      </c>
      <c r="H36" s="4">
        <v>100000</v>
      </c>
      <c r="I36" s="4">
        <v>10000</v>
      </c>
      <c r="J36" s="1">
        <v>2000000000</v>
      </c>
      <c r="K36" s="1">
        <v>1000</v>
      </c>
      <c r="L36" s="1">
        <f t="shared" si="1"/>
        <v>791</v>
      </c>
      <c r="M36" s="1">
        <f t="shared" si="3"/>
        <v>1140000</v>
      </c>
      <c r="N36" s="1">
        <v>114000</v>
      </c>
      <c r="O36" s="1">
        <v>2000000</v>
      </c>
      <c r="P36" s="1">
        <v>10600</v>
      </c>
    </row>
    <row r="37" spans="1:16" x14ac:dyDescent="0.3">
      <c r="A37">
        <v>34</v>
      </c>
      <c r="B37" s="1">
        <v>3600000</v>
      </c>
      <c r="C37" s="1">
        <v>380</v>
      </c>
      <c r="D37" s="3">
        <v>999999999</v>
      </c>
      <c r="E37" s="3">
        <v>8000000</v>
      </c>
      <c r="F37" s="4">
        <v>4000</v>
      </c>
      <c r="G37" s="4">
        <v>2000</v>
      </c>
      <c r="H37" s="4">
        <v>100000</v>
      </c>
      <c r="I37" s="4">
        <v>10000</v>
      </c>
      <c r="J37" s="1">
        <v>2000000000</v>
      </c>
      <c r="K37" s="1">
        <v>1000</v>
      </c>
      <c r="L37" s="1">
        <f t="shared" si="1"/>
        <v>798</v>
      </c>
      <c r="M37" s="1">
        <f t="shared" si="3"/>
        <v>1150000</v>
      </c>
      <c r="N37" s="1">
        <v>115000</v>
      </c>
      <c r="O37" s="1">
        <v>2000000</v>
      </c>
      <c r="P37" s="1">
        <v>10800</v>
      </c>
    </row>
    <row r="38" spans="1:16" x14ac:dyDescent="0.3">
      <c r="A38">
        <v>35</v>
      </c>
      <c r="B38" s="1">
        <v>4000000</v>
      </c>
      <c r="C38" s="1">
        <v>397</v>
      </c>
      <c r="D38" s="3">
        <v>999999999</v>
      </c>
      <c r="E38" s="4">
        <v>8500000</v>
      </c>
      <c r="F38" s="4">
        <v>4000</v>
      </c>
      <c r="G38" s="4">
        <v>2000</v>
      </c>
      <c r="H38" s="4">
        <v>100000</v>
      </c>
      <c r="I38" s="4">
        <v>10000</v>
      </c>
      <c r="J38" s="1">
        <v>2000000000</v>
      </c>
      <c r="K38" s="1">
        <v>1000</v>
      </c>
      <c r="L38" s="1">
        <f t="shared" si="1"/>
        <v>805</v>
      </c>
      <c r="M38" s="1">
        <f>N38*100</f>
        <v>11600000</v>
      </c>
      <c r="N38" s="1">
        <v>116000</v>
      </c>
      <c r="O38" s="1">
        <v>2000000</v>
      </c>
      <c r="P38" s="1">
        <v>11000</v>
      </c>
    </row>
    <row r="39" spans="1:16" x14ac:dyDescent="0.3">
      <c r="A39" s="1">
        <v>36</v>
      </c>
      <c r="B39" s="1">
        <v>4800000</v>
      </c>
      <c r="C39" s="1">
        <v>414</v>
      </c>
      <c r="D39" s="3">
        <v>999999999</v>
      </c>
      <c r="E39" s="3">
        <v>9000000</v>
      </c>
      <c r="F39" s="4">
        <v>4000</v>
      </c>
      <c r="G39" s="4">
        <v>2000</v>
      </c>
      <c r="H39" s="4">
        <v>100000</v>
      </c>
      <c r="I39" s="4">
        <v>10000</v>
      </c>
      <c r="J39" s="1">
        <v>2000000000</v>
      </c>
      <c r="K39" s="1">
        <v>1000</v>
      </c>
      <c r="L39" s="1">
        <f t="shared" si="1"/>
        <v>812</v>
      </c>
      <c r="M39" s="1">
        <f t="shared" ref="M39:M42" si="4">N39*100</f>
        <v>11700000</v>
      </c>
      <c r="N39" s="1">
        <v>117000</v>
      </c>
      <c r="O39" s="1">
        <v>2000000</v>
      </c>
      <c r="P39" s="1">
        <v>11200</v>
      </c>
    </row>
    <row r="40" spans="1:16" x14ac:dyDescent="0.3">
      <c r="A40" s="1">
        <v>37</v>
      </c>
      <c r="B40" s="1">
        <v>5600000</v>
      </c>
      <c r="C40" s="1">
        <v>431</v>
      </c>
      <c r="D40" s="3">
        <v>999999999</v>
      </c>
      <c r="E40" s="4">
        <v>9500000</v>
      </c>
      <c r="F40" s="4">
        <v>4000</v>
      </c>
      <c r="G40" s="4">
        <v>2000</v>
      </c>
      <c r="H40" s="4">
        <v>100000</v>
      </c>
      <c r="I40" s="4">
        <v>10000</v>
      </c>
      <c r="J40" s="1">
        <v>2000000000</v>
      </c>
      <c r="K40" s="1">
        <v>1000</v>
      </c>
      <c r="L40" s="1">
        <f t="shared" si="1"/>
        <v>819</v>
      </c>
      <c r="M40" s="1">
        <f t="shared" si="4"/>
        <v>11800000</v>
      </c>
      <c r="N40" s="1">
        <v>118000</v>
      </c>
      <c r="O40" s="1">
        <v>2000000</v>
      </c>
      <c r="P40" s="1">
        <v>11400</v>
      </c>
    </row>
    <row r="41" spans="1:16" x14ac:dyDescent="0.3">
      <c r="A41" s="1">
        <v>38</v>
      </c>
      <c r="B41" s="1">
        <v>8200000</v>
      </c>
      <c r="C41" s="1">
        <v>449</v>
      </c>
      <c r="D41" s="3">
        <v>999999999</v>
      </c>
      <c r="E41" s="3">
        <v>10000000</v>
      </c>
      <c r="F41" s="4">
        <v>4000</v>
      </c>
      <c r="G41" s="4">
        <v>2000</v>
      </c>
      <c r="H41" s="4">
        <v>100000</v>
      </c>
      <c r="I41" s="4">
        <v>10000</v>
      </c>
      <c r="J41" s="1">
        <v>2000000000</v>
      </c>
      <c r="K41" s="1">
        <v>1000</v>
      </c>
      <c r="L41" s="1">
        <f t="shared" si="1"/>
        <v>826</v>
      </c>
      <c r="M41" s="1">
        <f t="shared" si="4"/>
        <v>11900000</v>
      </c>
      <c r="N41" s="1">
        <v>119000</v>
      </c>
      <c r="O41" s="1">
        <v>2000000</v>
      </c>
      <c r="P41" s="1">
        <v>11600</v>
      </c>
    </row>
    <row r="42" spans="1:16" s="1" customFormat="1" x14ac:dyDescent="0.3">
      <c r="A42" s="1">
        <v>39</v>
      </c>
      <c r="B42" s="1">
        <v>9000000</v>
      </c>
      <c r="C42" s="1">
        <v>468</v>
      </c>
      <c r="D42" s="3">
        <v>999999999</v>
      </c>
      <c r="E42" s="4">
        <v>10500000</v>
      </c>
      <c r="F42" s="4">
        <v>4000</v>
      </c>
      <c r="G42" s="4">
        <v>2000</v>
      </c>
      <c r="H42" s="4">
        <v>100000</v>
      </c>
      <c r="I42" s="4">
        <v>10000</v>
      </c>
      <c r="J42" s="1">
        <v>2000000000</v>
      </c>
      <c r="K42" s="1">
        <v>1000</v>
      </c>
      <c r="L42" s="1">
        <f t="shared" si="1"/>
        <v>833</v>
      </c>
      <c r="M42" s="1">
        <f t="shared" si="4"/>
        <v>12000000</v>
      </c>
      <c r="N42" s="1">
        <v>120000</v>
      </c>
      <c r="O42" s="1">
        <v>2000000</v>
      </c>
      <c r="P42" s="1">
        <v>11800</v>
      </c>
    </row>
    <row r="43" spans="1:16" s="1" customFormat="1" x14ac:dyDescent="0.3">
      <c r="A43" s="1">
        <v>40</v>
      </c>
      <c r="B43" s="1">
        <v>12000000</v>
      </c>
      <c r="C43" s="1">
        <v>487</v>
      </c>
      <c r="D43" s="3">
        <v>999999999</v>
      </c>
      <c r="E43" s="3">
        <v>11000000</v>
      </c>
      <c r="F43" s="4">
        <v>4000</v>
      </c>
      <c r="G43" s="4">
        <v>2000</v>
      </c>
      <c r="H43" s="4">
        <v>100000</v>
      </c>
      <c r="I43" s="4">
        <v>10000</v>
      </c>
      <c r="J43" s="1">
        <v>2000000000</v>
      </c>
      <c r="K43" s="1">
        <v>1000</v>
      </c>
      <c r="L43" s="1">
        <f t="shared" si="1"/>
        <v>840</v>
      </c>
      <c r="M43" s="1">
        <f>N43*500</f>
        <v>60500000</v>
      </c>
      <c r="N43" s="1">
        <v>121000</v>
      </c>
      <c r="O43" s="1">
        <v>2000000</v>
      </c>
      <c r="P43" s="1">
        <v>12000</v>
      </c>
    </row>
    <row r="44" spans="1:16" x14ac:dyDescent="0.3">
      <c r="A44" s="1">
        <v>41</v>
      </c>
      <c r="B44" s="1">
        <v>16000000</v>
      </c>
      <c r="C44" s="1">
        <v>506</v>
      </c>
      <c r="D44" s="3">
        <v>999999999</v>
      </c>
      <c r="E44" s="4">
        <v>11500000</v>
      </c>
      <c r="F44" s="4">
        <v>4000</v>
      </c>
      <c r="G44" s="4">
        <v>2000</v>
      </c>
      <c r="H44" s="4">
        <v>100000</v>
      </c>
      <c r="I44" s="4">
        <v>10000</v>
      </c>
      <c r="J44" s="1">
        <v>2000000000</v>
      </c>
      <c r="K44" s="1">
        <v>1000</v>
      </c>
      <c r="L44" s="1">
        <f t="shared" si="1"/>
        <v>847</v>
      </c>
      <c r="M44" s="1">
        <f t="shared" ref="M44:M63" si="5">N44*500</f>
        <v>61000000</v>
      </c>
      <c r="N44" s="1">
        <v>122000</v>
      </c>
      <c r="O44" s="1">
        <v>2000000</v>
      </c>
      <c r="P44" s="1">
        <v>12200</v>
      </c>
    </row>
    <row r="45" spans="1:16" x14ac:dyDescent="0.3">
      <c r="A45" s="1">
        <v>42</v>
      </c>
      <c r="B45" s="1">
        <v>30000000</v>
      </c>
      <c r="C45" s="1">
        <v>525</v>
      </c>
      <c r="D45" s="3">
        <v>999999999</v>
      </c>
      <c r="E45" s="3">
        <v>12000000</v>
      </c>
      <c r="F45" s="4">
        <v>4000</v>
      </c>
      <c r="G45" s="4">
        <v>2000</v>
      </c>
      <c r="H45" s="4">
        <v>100000</v>
      </c>
      <c r="I45" s="4">
        <v>10000</v>
      </c>
      <c r="J45" s="1">
        <v>2000000000</v>
      </c>
      <c r="K45" s="1">
        <v>1000</v>
      </c>
      <c r="L45" s="1">
        <f t="shared" si="1"/>
        <v>854</v>
      </c>
      <c r="M45" s="1">
        <f t="shared" si="5"/>
        <v>61500000</v>
      </c>
      <c r="N45" s="1">
        <v>123000</v>
      </c>
      <c r="O45" s="1">
        <v>2000000</v>
      </c>
      <c r="P45" s="1">
        <v>12400</v>
      </c>
    </row>
    <row r="46" spans="1:16" x14ac:dyDescent="0.3">
      <c r="A46" s="1">
        <v>43</v>
      </c>
      <c r="B46" s="1">
        <v>50000000</v>
      </c>
      <c r="C46" s="1">
        <v>545</v>
      </c>
      <c r="D46" s="3">
        <v>999999999</v>
      </c>
      <c r="E46" s="4">
        <v>12500000</v>
      </c>
      <c r="F46" s="4">
        <v>4000</v>
      </c>
      <c r="G46" s="4">
        <v>2000</v>
      </c>
      <c r="H46" s="4">
        <v>100000</v>
      </c>
      <c r="I46" s="4">
        <v>10000</v>
      </c>
      <c r="J46" s="1">
        <v>2000000000</v>
      </c>
      <c r="K46" s="1">
        <v>1000</v>
      </c>
      <c r="L46" s="1">
        <f t="shared" si="1"/>
        <v>861</v>
      </c>
      <c r="M46" s="1">
        <f t="shared" si="5"/>
        <v>62000000</v>
      </c>
      <c r="N46" s="1">
        <v>124000</v>
      </c>
      <c r="O46" s="1">
        <v>2000000</v>
      </c>
      <c r="P46" s="1">
        <v>12600</v>
      </c>
    </row>
    <row r="47" spans="1:16" x14ac:dyDescent="0.3">
      <c r="A47" s="1">
        <v>44</v>
      </c>
      <c r="B47" s="1">
        <v>80000000</v>
      </c>
      <c r="C47" s="1">
        <v>566</v>
      </c>
      <c r="D47" s="3">
        <v>999999999</v>
      </c>
      <c r="E47" s="3">
        <v>13000000</v>
      </c>
      <c r="F47" s="4">
        <v>4000</v>
      </c>
      <c r="G47" s="4">
        <v>2000</v>
      </c>
      <c r="H47" s="4">
        <v>100000</v>
      </c>
      <c r="I47" s="4">
        <v>10000</v>
      </c>
      <c r="J47" s="1">
        <v>2000000000</v>
      </c>
      <c r="K47" s="1">
        <v>1000</v>
      </c>
      <c r="L47" s="1">
        <f t="shared" si="1"/>
        <v>868</v>
      </c>
      <c r="M47" s="1">
        <f t="shared" si="5"/>
        <v>62500000</v>
      </c>
      <c r="N47" s="1">
        <v>125000</v>
      </c>
      <c r="O47" s="1">
        <v>2000000</v>
      </c>
      <c r="P47" s="1">
        <v>12800</v>
      </c>
    </row>
    <row r="48" spans="1:16" x14ac:dyDescent="0.3">
      <c r="A48" s="1">
        <v>45</v>
      </c>
      <c r="B48" s="1">
        <v>120000000</v>
      </c>
      <c r="C48" s="1">
        <v>587</v>
      </c>
      <c r="D48" s="3">
        <v>999999999</v>
      </c>
      <c r="E48" s="4">
        <v>13500000</v>
      </c>
      <c r="F48" s="4">
        <v>4000</v>
      </c>
      <c r="G48" s="4">
        <v>2000</v>
      </c>
      <c r="H48" s="4">
        <v>100000</v>
      </c>
      <c r="I48" s="4">
        <v>10000</v>
      </c>
      <c r="J48" s="1">
        <v>2000000000</v>
      </c>
      <c r="K48" s="1">
        <v>1000</v>
      </c>
      <c r="L48" s="1">
        <f t="shared" si="1"/>
        <v>875</v>
      </c>
      <c r="M48" s="1">
        <f t="shared" si="5"/>
        <v>63000000</v>
      </c>
      <c r="N48" s="1">
        <v>126000</v>
      </c>
      <c r="O48" s="1">
        <v>2000000</v>
      </c>
      <c r="P48" s="1">
        <v>13000</v>
      </c>
    </row>
    <row r="49" spans="1:16" s="1" customFormat="1" x14ac:dyDescent="0.3">
      <c r="A49" s="1">
        <v>46</v>
      </c>
      <c r="B49" s="1">
        <v>200000000</v>
      </c>
      <c r="C49" s="1">
        <v>608</v>
      </c>
      <c r="D49" s="3">
        <v>999999999</v>
      </c>
      <c r="E49" s="3">
        <v>14000000</v>
      </c>
      <c r="F49" s="4">
        <v>4000</v>
      </c>
      <c r="G49" s="4">
        <v>2000</v>
      </c>
      <c r="H49" s="4">
        <v>100000</v>
      </c>
      <c r="I49" s="4">
        <v>10000</v>
      </c>
      <c r="J49" s="1">
        <v>2000000000</v>
      </c>
      <c r="K49" s="1">
        <v>1000</v>
      </c>
      <c r="L49" s="1">
        <f t="shared" si="1"/>
        <v>881</v>
      </c>
      <c r="M49" s="1">
        <f t="shared" si="5"/>
        <v>63500000</v>
      </c>
      <c r="N49" s="1">
        <v>127000</v>
      </c>
      <c r="O49" s="1">
        <v>2000000</v>
      </c>
      <c r="P49" s="1">
        <v>13200</v>
      </c>
    </row>
    <row r="50" spans="1:16" s="1" customFormat="1" x14ac:dyDescent="0.3">
      <c r="A50" s="1">
        <v>47</v>
      </c>
      <c r="B50" s="1">
        <v>300000000</v>
      </c>
      <c r="C50" s="1">
        <v>629</v>
      </c>
      <c r="D50" s="3">
        <v>999999999</v>
      </c>
      <c r="E50" s="4">
        <v>14500000</v>
      </c>
      <c r="F50" s="4">
        <v>4000</v>
      </c>
      <c r="G50" s="4">
        <v>2000</v>
      </c>
      <c r="H50" s="4">
        <v>100000</v>
      </c>
      <c r="I50" s="4">
        <v>10000</v>
      </c>
      <c r="J50" s="1">
        <v>2000000000</v>
      </c>
      <c r="K50" s="1">
        <v>1000</v>
      </c>
      <c r="L50" s="1">
        <f t="shared" si="1"/>
        <v>888</v>
      </c>
      <c r="M50" s="1">
        <f t="shared" si="5"/>
        <v>64000000</v>
      </c>
      <c r="N50" s="1">
        <v>128000</v>
      </c>
      <c r="O50" s="1">
        <v>2000000</v>
      </c>
      <c r="P50" s="1">
        <v>13400</v>
      </c>
    </row>
    <row r="51" spans="1:16" s="1" customFormat="1" x14ac:dyDescent="0.3">
      <c r="A51" s="1">
        <v>48</v>
      </c>
      <c r="B51" s="1">
        <v>400000000</v>
      </c>
      <c r="C51" s="1">
        <v>651</v>
      </c>
      <c r="D51" s="3">
        <v>999999999</v>
      </c>
      <c r="E51" s="3">
        <v>15000000</v>
      </c>
      <c r="F51" s="4">
        <v>4000</v>
      </c>
      <c r="G51" s="4">
        <v>2000</v>
      </c>
      <c r="H51" s="4">
        <v>100000</v>
      </c>
      <c r="I51" s="4">
        <v>10000</v>
      </c>
      <c r="J51" s="1">
        <v>2000000000</v>
      </c>
      <c r="K51" s="1">
        <v>1000</v>
      </c>
      <c r="L51" s="1">
        <f t="shared" si="1"/>
        <v>895</v>
      </c>
      <c r="M51" s="1">
        <f t="shared" si="5"/>
        <v>64500000</v>
      </c>
      <c r="N51" s="1">
        <v>129000</v>
      </c>
      <c r="O51" s="1">
        <v>2000000</v>
      </c>
      <c r="P51" s="1">
        <v>13600</v>
      </c>
    </row>
    <row r="52" spans="1:16" s="1" customFormat="1" x14ac:dyDescent="0.3">
      <c r="A52" s="1">
        <v>49</v>
      </c>
      <c r="B52" s="1">
        <v>460000000</v>
      </c>
      <c r="C52" s="1">
        <v>674</v>
      </c>
      <c r="D52" s="3">
        <v>999999999</v>
      </c>
      <c r="E52" s="4">
        <v>15500000</v>
      </c>
      <c r="F52" s="4">
        <v>4000</v>
      </c>
      <c r="G52" s="4">
        <v>2000</v>
      </c>
      <c r="H52" s="4">
        <v>100000</v>
      </c>
      <c r="I52" s="4">
        <v>10000</v>
      </c>
      <c r="J52" s="1">
        <v>2000000000</v>
      </c>
      <c r="K52" s="1">
        <v>1000</v>
      </c>
      <c r="L52" s="1">
        <f t="shared" si="1"/>
        <v>902</v>
      </c>
      <c r="M52" s="1">
        <f t="shared" si="5"/>
        <v>65000000</v>
      </c>
      <c r="N52" s="1">
        <v>130000</v>
      </c>
      <c r="O52" s="1">
        <v>2000000</v>
      </c>
      <c r="P52" s="1">
        <v>13800</v>
      </c>
    </row>
    <row r="53" spans="1:16" s="1" customFormat="1" x14ac:dyDescent="0.3">
      <c r="A53" s="1">
        <v>50</v>
      </c>
      <c r="B53" s="1">
        <v>530000000</v>
      </c>
      <c r="C53" s="1">
        <v>697</v>
      </c>
      <c r="D53" s="3">
        <v>999999999</v>
      </c>
      <c r="E53" s="3">
        <v>16000000</v>
      </c>
      <c r="F53" s="4">
        <v>4000</v>
      </c>
      <c r="G53" s="4">
        <v>2000</v>
      </c>
      <c r="H53" s="4">
        <v>100000</v>
      </c>
      <c r="I53" s="4">
        <v>10000</v>
      </c>
      <c r="J53" s="1">
        <v>2000000000</v>
      </c>
      <c r="K53" s="1">
        <v>1000</v>
      </c>
      <c r="L53" s="1">
        <f t="shared" si="1"/>
        <v>909</v>
      </c>
      <c r="M53" s="1">
        <f t="shared" si="5"/>
        <v>65500000</v>
      </c>
      <c r="N53" s="1">
        <v>131000</v>
      </c>
      <c r="O53" s="1">
        <v>2000000</v>
      </c>
      <c r="P53" s="1">
        <v>14000</v>
      </c>
    </row>
    <row r="54" spans="1:16" s="1" customFormat="1" x14ac:dyDescent="0.3">
      <c r="A54" s="1">
        <v>51</v>
      </c>
      <c r="B54" s="1">
        <v>610000000</v>
      </c>
      <c r="C54" s="1">
        <v>720</v>
      </c>
      <c r="D54" s="3">
        <v>999999999</v>
      </c>
      <c r="E54" s="4">
        <v>16500000</v>
      </c>
      <c r="F54" s="4">
        <v>4000</v>
      </c>
      <c r="G54" s="4">
        <v>2000</v>
      </c>
      <c r="H54" s="4">
        <v>100000</v>
      </c>
      <c r="I54" s="4">
        <v>10000</v>
      </c>
      <c r="J54" s="1">
        <v>2000000000</v>
      </c>
      <c r="K54" s="1">
        <v>1000</v>
      </c>
      <c r="L54" s="1">
        <f t="shared" si="1"/>
        <v>916</v>
      </c>
      <c r="M54" s="1">
        <f t="shared" si="5"/>
        <v>66000000</v>
      </c>
      <c r="N54" s="1">
        <v>132000</v>
      </c>
      <c r="O54" s="1">
        <v>2000000</v>
      </c>
      <c r="P54" s="1">
        <v>14200</v>
      </c>
    </row>
    <row r="55" spans="1:16" s="1" customFormat="1" x14ac:dyDescent="0.3">
      <c r="A55" s="1">
        <v>52</v>
      </c>
      <c r="B55" s="1">
        <v>700000000</v>
      </c>
      <c r="C55" s="1">
        <v>743</v>
      </c>
      <c r="D55" s="3">
        <v>999999999</v>
      </c>
      <c r="E55" s="3">
        <v>17000000</v>
      </c>
      <c r="F55" s="4">
        <v>4000</v>
      </c>
      <c r="G55" s="4">
        <v>2000</v>
      </c>
      <c r="H55" s="4">
        <v>100000</v>
      </c>
      <c r="I55" s="4">
        <v>10000</v>
      </c>
      <c r="J55" s="1">
        <v>2000000000</v>
      </c>
      <c r="K55" s="1">
        <v>1000</v>
      </c>
      <c r="L55" s="1">
        <f t="shared" si="1"/>
        <v>923</v>
      </c>
      <c r="M55" s="1">
        <f t="shared" si="5"/>
        <v>66500000</v>
      </c>
      <c r="N55" s="1">
        <v>133000</v>
      </c>
      <c r="O55" s="1">
        <v>2000000</v>
      </c>
      <c r="P55" s="1">
        <v>14400</v>
      </c>
    </row>
    <row r="56" spans="1:16" s="1" customFormat="1" x14ac:dyDescent="0.3">
      <c r="A56" s="1">
        <v>53</v>
      </c>
      <c r="B56" s="1">
        <v>810000000</v>
      </c>
      <c r="C56" s="1">
        <v>767</v>
      </c>
      <c r="D56" s="3">
        <v>999999999</v>
      </c>
      <c r="E56" s="4">
        <v>17500000</v>
      </c>
      <c r="F56" s="4">
        <v>4000</v>
      </c>
      <c r="G56" s="4">
        <v>2000</v>
      </c>
      <c r="H56" s="4">
        <v>100000</v>
      </c>
      <c r="I56" s="4">
        <v>10000</v>
      </c>
      <c r="J56" s="1">
        <v>2000000000</v>
      </c>
      <c r="K56" s="1">
        <v>1000</v>
      </c>
      <c r="L56" s="1">
        <f t="shared" si="1"/>
        <v>930</v>
      </c>
      <c r="M56" s="1">
        <f t="shared" si="5"/>
        <v>67000000</v>
      </c>
      <c r="N56" s="1">
        <v>134000</v>
      </c>
      <c r="O56" s="1">
        <v>2000000</v>
      </c>
      <c r="P56" s="1">
        <v>14600</v>
      </c>
    </row>
    <row r="57" spans="1:16" s="1" customFormat="1" x14ac:dyDescent="0.3">
      <c r="A57" s="1">
        <v>54</v>
      </c>
      <c r="B57" s="1">
        <v>930000000</v>
      </c>
      <c r="C57" s="1">
        <v>792</v>
      </c>
      <c r="D57" s="3">
        <v>999999999</v>
      </c>
      <c r="E57" s="3">
        <v>18000000</v>
      </c>
      <c r="F57" s="4">
        <v>4000</v>
      </c>
      <c r="G57" s="4">
        <v>2000</v>
      </c>
      <c r="H57" s="4">
        <v>100000</v>
      </c>
      <c r="I57" s="4">
        <v>10000</v>
      </c>
      <c r="J57" s="1">
        <v>2000000000</v>
      </c>
      <c r="K57" s="1">
        <v>1000</v>
      </c>
      <c r="L57" s="1">
        <f t="shared" si="1"/>
        <v>937</v>
      </c>
      <c r="M57" s="1">
        <f t="shared" si="5"/>
        <v>67500000</v>
      </c>
      <c r="N57" s="1">
        <v>135000</v>
      </c>
      <c r="O57" s="1">
        <v>2000000</v>
      </c>
      <c r="P57" s="1">
        <v>14800</v>
      </c>
    </row>
    <row r="58" spans="1:16" s="1" customFormat="1" x14ac:dyDescent="0.3">
      <c r="A58" s="1">
        <v>55</v>
      </c>
      <c r="B58" s="1">
        <v>1070000000</v>
      </c>
      <c r="C58" s="1">
        <v>817</v>
      </c>
      <c r="D58" s="3">
        <v>999999999</v>
      </c>
      <c r="E58" s="4">
        <v>18500000</v>
      </c>
      <c r="F58" s="4">
        <v>4000</v>
      </c>
      <c r="G58" s="4">
        <v>2000</v>
      </c>
      <c r="H58" s="4">
        <v>100000</v>
      </c>
      <c r="I58" s="4">
        <v>10000</v>
      </c>
      <c r="J58" s="1">
        <v>2000000000</v>
      </c>
      <c r="K58" s="1">
        <v>1000</v>
      </c>
      <c r="L58" s="1">
        <f t="shared" si="1"/>
        <v>944</v>
      </c>
      <c r="M58" s="1">
        <f t="shared" si="5"/>
        <v>68000000</v>
      </c>
      <c r="N58" s="1">
        <v>136000</v>
      </c>
      <c r="O58" s="1">
        <v>2000000</v>
      </c>
      <c r="P58" s="1">
        <v>15000</v>
      </c>
    </row>
    <row r="59" spans="1:16" s="1" customFormat="1" x14ac:dyDescent="0.3">
      <c r="A59" s="1">
        <v>56</v>
      </c>
      <c r="B59" s="1">
        <v>1230000000</v>
      </c>
      <c r="C59" s="1">
        <v>842</v>
      </c>
      <c r="D59" s="3">
        <v>999999999</v>
      </c>
      <c r="E59" s="3">
        <v>19000000</v>
      </c>
      <c r="F59" s="4">
        <v>4000</v>
      </c>
      <c r="G59" s="4">
        <v>2000</v>
      </c>
      <c r="H59" s="4">
        <v>100000</v>
      </c>
      <c r="I59" s="4">
        <v>10000</v>
      </c>
      <c r="J59" s="1">
        <v>2000000000</v>
      </c>
      <c r="K59" s="1">
        <v>1000</v>
      </c>
      <c r="L59" s="1">
        <f t="shared" si="1"/>
        <v>951</v>
      </c>
      <c r="M59" s="1">
        <f t="shared" si="5"/>
        <v>68500000</v>
      </c>
      <c r="N59" s="1">
        <v>137000</v>
      </c>
      <c r="O59" s="1">
        <v>2000000</v>
      </c>
      <c r="P59" s="1">
        <v>15200</v>
      </c>
    </row>
    <row r="60" spans="1:16" s="1" customFormat="1" x14ac:dyDescent="0.3">
      <c r="A60" s="1">
        <v>57</v>
      </c>
      <c r="B60" s="1">
        <v>1410000000</v>
      </c>
      <c r="C60" s="1">
        <v>867</v>
      </c>
      <c r="D60" s="3">
        <v>999999999</v>
      </c>
      <c r="E60" s="4">
        <v>19500000</v>
      </c>
      <c r="F60" s="4">
        <v>4000</v>
      </c>
      <c r="G60" s="4">
        <v>2000</v>
      </c>
      <c r="H60" s="4">
        <v>100000</v>
      </c>
      <c r="I60" s="4">
        <v>10000</v>
      </c>
      <c r="J60" s="1">
        <v>2000000000</v>
      </c>
      <c r="K60" s="1">
        <v>1000</v>
      </c>
      <c r="L60" s="1">
        <f t="shared" si="1"/>
        <v>958</v>
      </c>
      <c r="M60" s="1">
        <f t="shared" si="5"/>
        <v>69000000</v>
      </c>
      <c r="N60" s="1">
        <v>138000</v>
      </c>
      <c r="O60" s="1">
        <v>2000000</v>
      </c>
      <c r="P60" s="1">
        <v>15400</v>
      </c>
    </row>
    <row r="61" spans="1:16" s="1" customFormat="1" x14ac:dyDescent="0.3">
      <c r="A61" s="1">
        <v>58</v>
      </c>
      <c r="B61" s="1">
        <v>1620000000</v>
      </c>
      <c r="C61" s="1">
        <v>893</v>
      </c>
      <c r="D61" s="3">
        <v>999999999</v>
      </c>
      <c r="E61" s="3">
        <v>20000000</v>
      </c>
      <c r="F61" s="4">
        <v>4000</v>
      </c>
      <c r="G61" s="4">
        <v>2000</v>
      </c>
      <c r="H61" s="4">
        <v>100000</v>
      </c>
      <c r="I61" s="4">
        <v>10000</v>
      </c>
      <c r="J61" s="1">
        <v>2000000000</v>
      </c>
      <c r="K61" s="1">
        <v>1000</v>
      </c>
      <c r="L61" s="1">
        <f t="shared" si="1"/>
        <v>965</v>
      </c>
      <c r="M61" s="1">
        <f t="shared" si="5"/>
        <v>69500000</v>
      </c>
      <c r="N61" s="1">
        <v>139000</v>
      </c>
      <c r="O61" s="1">
        <v>2000000</v>
      </c>
      <c r="P61" s="1">
        <v>15600</v>
      </c>
    </row>
    <row r="62" spans="1:16" s="1" customFormat="1" x14ac:dyDescent="0.3">
      <c r="A62" s="1">
        <v>59</v>
      </c>
      <c r="B62" s="1">
        <v>1860000000</v>
      </c>
      <c r="C62" s="1">
        <v>920</v>
      </c>
      <c r="D62" s="3">
        <v>999999999</v>
      </c>
      <c r="E62" s="4">
        <v>20500000</v>
      </c>
      <c r="F62" s="4">
        <v>4000</v>
      </c>
      <c r="G62" s="4">
        <v>2000</v>
      </c>
      <c r="H62" s="4">
        <v>100000</v>
      </c>
      <c r="I62" s="4">
        <v>10000</v>
      </c>
      <c r="J62" s="1">
        <v>2000000000</v>
      </c>
      <c r="K62" s="1">
        <v>1000</v>
      </c>
      <c r="L62" s="1">
        <f t="shared" si="1"/>
        <v>972</v>
      </c>
      <c r="M62" s="1">
        <f t="shared" si="5"/>
        <v>70000000</v>
      </c>
      <c r="N62" s="1">
        <v>140000</v>
      </c>
      <c r="O62" s="1">
        <v>2000000</v>
      </c>
      <c r="P62" s="1">
        <v>15800</v>
      </c>
    </row>
    <row r="63" spans="1:16" s="1" customFormat="1" x14ac:dyDescent="0.3">
      <c r="A63" s="1">
        <v>60</v>
      </c>
      <c r="B63" s="1">
        <v>1990000000</v>
      </c>
      <c r="C63" s="1">
        <v>947</v>
      </c>
      <c r="D63" s="3">
        <v>999999999</v>
      </c>
      <c r="E63" s="3">
        <v>21000000</v>
      </c>
      <c r="F63" s="4">
        <v>4000</v>
      </c>
      <c r="G63" s="4">
        <v>2000</v>
      </c>
      <c r="H63" s="4">
        <v>100000</v>
      </c>
      <c r="I63" s="4">
        <v>10000</v>
      </c>
      <c r="J63" s="1">
        <v>2000000000</v>
      </c>
      <c r="K63" s="1">
        <v>1000</v>
      </c>
      <c r="L63" s="1">
        <f t="shared" si="1"/>
        <v>979</v>
      </c>
      <c r="M63" s="1">
        <f t="shared" si="5"/>
        <v>70500000</v>
      </c>
      <c r="N63" s="1">
        <v>141000</v>
      </c>
      <c r="O63" s="1">
        <v>2000000</v>
      </c>
      <c r="P63" s="1">
        <v>16000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RowHeight="16.5" x14ac:dyDescent="0.3"/>
  <cols>
    <col min="1" max="1" width="28.77734375" bestFit="1" customWidth="1"/>
    <col min="2" max="2" width="20.88671875" bestFit="1" customWidth="1"/>
  </cols>
  <sheetData>
    <row r="1" spans="1:3" s="1" customFormat="1" x14ac:dyDescent="0.3">
      <c r="A1" s="1" t="s">
        <v>9</v>
      </c>
      <c r="B1" s="1" t="s">
        <v>10</v>
      </c>
      <c r="C1" s="1" t="s">
        <v>11</v>
      </c>
    </row>
    <row r="2" spans="1:3" x14ac:dyDescent="0.3">
      <c r="A2" s="6" t="s">
        <v>2</v>
      </c>
      <c r="B2" t="s">
        <v>12</v>
      </c>
    </row>
    <row r="3" spans="1:3" x14ac:dyDescent="0.3">
      <c r="A3" s="5" t="s">
        <v>3</v>
      </c>
      <c r="B3" t="s">
        <v>13</v>
      </c>
    </row>
    <row r="4" spans="1:3" x14ac:dyDescent="0.3">
      <c r="A4" s="5" t="s">
        <v>4</v>
      </c>
      <c r="B4" t="s">
        <v>14</v>
      </c>
    </row>
    <row r="5" spans="1:3" x14ac:dyDescent="0.3">
      <c r="A5" s="5" t="s">
        <v>5</v>
      </c>
      <c r="B5" t="s">
        <v>15</v>
      </c>
    </row>
    <row r="6" spans="1:3" x14ac:dyDescent="0.3">
      <c r="A6" s="5" t="s">
        <v>6</v>
      </c>
      <c r="B6" t="s">
        <v>17</v>
      </c>
    </row>
    <row r="7" spans="1:3" x14ac:dyDescent="0.3">
      <c r="A7" s="5" t="s">
        <v>7</v>
      </c>
      <c r="B7" s="1" t="s">
        <v>18</v>
      </c>
    </row>
    <row r="8" spans="1:3" x14ac:dyDescent="0.3">
      <c r="A8" s="5" t="s">
        <v>33</v>
      </c>
      <c r="B8" s="1" t="s">
        <v>19</v>
      </c>
    </row>
    <row r="9" spans="1:3" x14ac:dyDescent="0.3">
      <c r="A9" s="5" t="s">
        <v>34</v>
      </c>
      <c r="B9" s="1" t="s">
        <v>20</v>
      </c>
    </row>
    <row r="10" spans="1:3" x14ac:dyDescent="0.3">
      <c r="A10" s="5" t="s">
        <v>8</v>
      </c>
      <c r="B10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B2" sqref="B2:B61"/>
    </sheetView>
  </sheetViews>
  <sheetFormatPr defaultRowHeight="16.5" x14ac:dyDescent="0.3"/>
  <cols>
    <col min="5" max="5" width="10.5546875" bestFit="1" customWidth="1"/>
  </cols>
  <sheetData>
    <row r="1" spans="1:5" s="1" customFormat="1" x14ac:dyDescent="0.3">
      <c r="A1" s="1">
        <v>0.2</v>
      </c>
      <c r="B1" s="1">
        <v>3</v>
      </c>
      <c r="C1" s="1">
        <v>47</v>
      </c>
    </row>
    <row r="2" spans="1:5" x14ac:dyDescent="0.3">
      <c r="A2" s="1">
        <v>1</v>
      </c>
      <c r="B2">
        <f>INT($A$1*A2^2+$B$1*A2+$C$1)</f>
        <v>50</v>
      </c>
      <c r="D2" s="1"/>
      <c r="E2" s="1"/>
    </row>
    <row r="3" spans="1:5" x14ac:dyDescent="0.3">
      <c r="A3" s="1">
        <v>2</v>
      </c>
      <c r="B3" s="1">
        <f t="shared" ref="B3:B66" si="0">INT($A$1*A3^2+$B$1*A3+$C$1)</f>
        <v>53</v>
      </c>
      <c r="D3" s="1"/>
      <c r="E3" s="1"/>
    </row>
    <row r="4" spans="1:5" x14ac:dyDescent="0.3">
      <c r="A4" s="1">
        <v>3</v>
      </c>
      <c r="B4" s="1">
        <f t="shared" si="0"/>
        <v>57</v>
      </c>
      <c r="D4" s="1"/>
      <c r="E4" s="1"/>
    </row>
    <row r="5" spans="1:5" x14ac:dyDescent="0.3">
      <c r="A5" s="1">
        <v>4</v>
      </c>
      <c r="B5" s="1">
        <f t="shared" si="0"/>
        <v>62</v>
      </c>
      <c r="D5" s="1"/>
      <c r="E5" s="1"/>
    </row>
    <row r="6" spans="1:5" x14ac:dyDescent="0.3">
      <c r="A6" s="1">
        <v>5</v>
      </c>
      <c r="B6" s="1">
        <f t="shared" si="0"/>
        <v>67</v>
      </c>
      <c r="D6" s="1"/>
      <c r="E6" s="1"/>
    </row>
    <row r="7" spans="1:5" x14ac:dyDescent="0.3">
      <c r="A7" s="1">
        <v>6</v>
      </c>
      <c r="B7" s="1">
        <f t="shared" si="0"/>
        <v>72</v>
      </c>
      <c r="D7" s="1"/>
      <c r="E7" s="1"/>
    </row>
    <row r="8" spans="1:5" x14ac:dyDescent="0.3">
      <c r="A8" s="1">
        <v>7</v>
      </c>
      <c r="B8" s="1">
        <f t="shared" si="0"/>
        <v>77</v>
      </c>
    </row>
    <row r="9" spans="1:5" x14ac:dyDescent="0.3">
      <c r="A9" s="1">
        <v>8</v>
      </c>
      <c r="B9" s="1">
        <f t="shared" si="0"/>
        <v>83</v>
      </c>
    </row>
    <row r="10" spans="1:5" x14ac:dyDescent="0.3">
      <c r="A10" s="1">
        <v>9</v>
      </c>
      <c r="B10" s="1">
        <f t="shared" si="0"/>
        <v>90</v>
      </c>
    </row>
    <row r="11" spans="1:5" x14ac:dyDescent="0.3">
      <c r="A11" s="1">
        <v>10</v>
      </c>
      <c r="B11" s="1">
        <f t="shared" si="0"/>
        <v>97</v>
      </c>
    </row>
    <row r="12" spans="1:5" x14ac:dyDescent="0.3">
      <c r="A12" s="1">
        <v>11</v>
      </c>
      <c r="B12" s="1">
        <f t="shared" si="0"/>
        <v>104</v>
      </c>
    </row>
    <row r="13" spans="1:5" x14ac:dyDescent="0.3">
      <c r="A13" s="1">
        <v>12</v>
      </c>
      <c r="B13" s="1">
        <f t="shared" si="0"/>
        <v>111</v>
      </c>
    </row>
    <row r="14" spans="1:5" x14ac:dyDescent="0.3">
      <c r="A14" s="1">
        <v>13</v>
      </c>
      <c r="B14" s="1">
        <f t="shared" si="0"/>
        <v>119</v>
      </c>
    </row>
    <row r="15" spans="1:5" x14ac:dyDescent="0.3">
      <c r="A15" s="1">
        <v>14</v>
      </c>
      <c r="B15" s="1">
        <f t="shared" si="0"/>
        <v>128</v>
      </c>
    </row>
    <row r="16" spans="1:5" x14ac:dyDescent="0.3">
      <c r="A16" s="1">
        <v>15</v>
      </c>
      <c r="B16" s="1">
        <f t="shared" si="0"/>
        <v>137</v>
      </c>
    </row>
    <row r="17" spans="1:2" x14ac:dyDescent="0.3">
      <c r="A17" s="1">
        <v>16</v>
      </c>
      <c r="B17" s="1">
        <f t="shared" si="0"/>
        <v>146</v>
      </c>
    </row>
    <row r="18" spans="1:2" x14ac:dyDescent="0.3">
      <c r="A18" s="1">
        <v>17</v>
      </c>
      <c r="B18" s="1">
        <f t="shared" si="0"/>
        <v>155</v>
      </c>
    </row>
    <row r="19" spans="1:2" x14ac:dyDescent="0.3">
      <c r="A19" s="1">
        <v>18</v>
      </c>
      <c r="B19" s="1">
        <f t="shared" si="0"/>
        <v>165</v>
      </c>
    </row>
    <row r="20" spans="1:2" x14ac:dyDescent="0.3">
      <c r="A20" s="1">
        <v>19</v>
      </c>
      <c r="B20" s="1">
        <f t="shared" si="0"/>
        <v>176</v>
      </c>
    </row>
    <row r="21" spans="1:2" x14ac:dyDescent="0.3">
      <c r="A21" s="1">
        <v>20</v>
      </c>
      <c r="B21" s="1">
        <f t="shared" si="0"/>
        <v>187</v>
      </c>
    </row>
    <row r="22" spans="1:2" x14ac:dyDescent="0.3">
      <c r="A22" s="1">
        <v>21</v>
      </c>
      <c r="B22" s="1">
        <f t="shared" si="0"/>
        <v>198</v>
      </c>
    </row>
    <row r="23" spans="1:2" x14ac:dyDescent="0.3">
      <c r="A23" s="1">
        <v>22</v>
      </c>
      <c r="B23" s="1">
        <f t="shared" si="0"/>
        <v>209</v>
      </c>
    </row>
    <row r="24" spans="1:2" x14ac:dyDescent="0.3">
      <c r="A24" s="1">
        <v>23</v>
      </c>
      <c r="B24" s="1">
        <f t="shared" si="0"/>
        <v>221</v>
      </c>
    </row>
    <row r="25" spans="1:2" x14ac:dyDescent="0.3">
      <c r="A25" s="1">
        <v>24</v>
      </c>
      <c r="B25" s="1">
        <f t="shared" si="0"/>
        <v>234</v>
      </c>
    </row>
    <row r="26" spans="1:2" x14ac:dyDescent="0.3">
      <c r="A26" s="1">
        <v>25</v>
      </c>
      <c r="B26" s="1">
        <f t="shared" si="0"/>
        <v>247</v>
      </c>
    </row>
    <row r="27" spans="1:2" x14ac:dyDescent="0.3">
      <c r="A27" s="1">
        <v>26</v>
      </c>
      <c r="B27" s="1">
        <f t="shared" si="0"/>
        <v>260</v>
      </c>
    </row>
    <row r="28" spans="1:2" x14ac:dyDescent="0.3">
      <c r="A28" s="1">
        <v>27</v>
      </c>
      <c r="B28" s="1">
        <f t="shared" si="0"/>
        <v>273</v>
      </c>
    </row>
    <row r="29" spans="1:2" x14ac:dyDescent="0.3">
      <c r="A29" s="1">
        <v>28</v>
      </c>
      <c r="B29" s="1">
        <f t="shared" si="0"/>
        <v>287</v>
      </c>
    </row>
    <row r="30" spans="1:2" x14ac:dyDescent="0.3">
      <c r="A30" s="1">
        <v>29</v>
      </c>
      <c r="B30" s="1">
        <f t="shared" si="0"/>
        <v>302</v>
      </c>
    </row>
    <row r="31" spans="1:2" x14ac:dyDescent="0.3">
      <c r="A31" s="1">
        <v>30</v>
      </c>
      <c r="B31" s="1">
        <f t="shared" si="0"/>
        <v>317</v>
      </c>
    </row>
    <row r="32" spans="1:2" x14ac:dyDescent="0.3">
      <c r="A32" s="1">
        <v>31</v>
      </c>
      <c r="B32" s="1">
        <f t="shared" si="0"/>
        <v>332</v>
      </c>
    </row>
    <row r="33" spans="1:2" x14ac:dyDescent="0.3">
      <c r="A33" s="1">
        <v>32</v>
      </c>
      <c r="B33" s="1">
        <f t="shared" si="0"/>
        <v>347</v>
      </c>
    </row>
    <row r="34" spans="1:2" x14ac:dyDescent="0.3">
      <c r="A34" s="1">
        <v>33</v>
      </c>
      <c r="B34" s="1">
        <f t="shared" si="0"/>
        <v>363</v>
      </c>
    </row>
    <row r="35" spans="1:2" x14ac:dyDescent="0.3">
      <c r="A35" s="1">
        <v>34</v>
      </c>
      <c r="B35" s="1">
        <f t="shared" si="0"/>
        <v>380</v>
      </c>
    </row>
    <row r="36" spans="1:2" x14ac:dyDescent="0.3">
      <c r="A36" s="1">
        <v>35</v>
      </c>
      <c r="B36" s="1">
        <f t="shared" si="0"/>
        <v>397</v>
      </c>
    </row>
    <row r="37" spans="1:2" x14ac:dyDescent="0.3">
      <c r="A37" s="1">
        <v>36</v>
      </c>
      <c r="B37" s="1">
        <f t="shared" si="0"/>
        <v>414</v>
      </c>
    </row>
    <row r="38" spans="1:2" x14ac:dyDescent="0.3">
      <c r="A38" s="1">
        <v>37</v>
      </c>
      <c r="B38" s="1">
        <f t="shared" si="0"/>
        <v>431</v>
      </c>
    </row>
    <row r="39" spans="1:2" x14ac:dyDescent="0.3">
      <c r="A39" s="1">
        <v>38</v>
      </c>
      <c r="B39" s="1">
        <f t="shared" si="0"/>
        <v>449</v>
      </c>
    </row>
    <row r="40" spans="1:2" x14ac:dyDescent="0.3">
      <c r="A40" s="1">
        <v>39</v>
      </c>
      <c r="B40" s="1">
        <f t="shared" si="0"/>
        <v>468</v>
      </c>
    </row>
    <row r="41" spans="1:2" x14ac:dyDescent="0.3">
      <c r="A41" s="1">
        <v>40</v>
      </c>
      <c r="B41" s="1">
        <f t="shared" si="0"/>
        <v>487</v>
      </c>
    </row>
    <row r="42" spans="1:2" x14ac:dyDescent="0.3">
      <c r="A42" s="1">
        <v>41</v>
      </c>
      <c r="B42" s="1">
        <f t="shared" si="0"/>
        <v>506</v>
      </c>
    </row>
    <row r="43" spans="1:2" x14ac:dyDescent="0.3">
      <c r="A43" s="1">
        <v>42</v>
      </c>
      <c r="B43" s="1">
        <f t="shared" si="0"/>
        <v>525</v>
      </c>
    </row>
    <row r="44" spans="1:2" x14ac:dyDescent="0.3">
      <c r="A44" s="1">
        <v>43</v>
      </c>
      <c r="B44" s="1">
        <f t="shared" si="0"/>
        <v>545</v>
      </c>
    </row>
    <row r="45" spans="1:2" x14ac:dyDescent="0.3">
      <c r="A45" s="1">
        <v>44</v>
      </c>
      <c r="B45" s="1">
        <f t="shared" si="0"/>
        <v>566</v>
      </c>
    </row>
    <row r="46" spans="1:2" x14ac:dyDescent="0.3">
      <c r="A46" s="1">
        <v>45</v>
      </c>
      <c r="B46" s="1">
        <f t="shared" si="0"/>
        <v>587</v>
      </c>
    </row>
    <row r="47" spans="1:2" x14ac:dyDescent="0.3">
      <c r="A47" s="1">
        <v>46</v>
      </c>
      <c r="B47" s="1">
        <f t="shared" si="0"/>
        <v>608</v>
      </c>
    </row>
    <row r="48" spans="1:2" x14ac:dyDescent="0.3">
      <c r="A48" s="1">
        <v>47</v>
      </c>
      <c r="B48" s="1">
        <f t="shared" si="0"/>
        <v>629</v>
      </c>
    </row>
    <row r="49" spans="1:2" x14ac:dyDescent="0.3">
      <c r="A49" s="1">
        <v>48</v>
      </c>
      <c r="B49" s="1">
        <f t="shared" si="0"/>
        <v>651</v>
      </c>
    </row>
    <row r="50" spans="1:2" x14ac:dyDescent="0.3">
      <c r="A50" s="1">
        <v>49</v>
      </c>
      <c r="B50" s="1">
        <f t="shared" si="0"/>
        <v>674</v>
      </c>
    </row>
    <row r="51" spans="1:2" x14ac:dyDescent="0.3">
      <c r="A51" s="1">
        <v>50</v>
      </c>
      <c r="B51" s="1">
        <f t="shared" si="0"/>
        <v>697</v>
      </c>
    </row>
    <row r="52" spans="1:2" x14ac:dyDescent="0.3">
      <c r="A52" s="1">
        <v>51</v>
      </c>
      <c r="B52" s="1">
        <f t="shared" si="0"/>
        <v>720</v>
      </c>
    </row>
    <row r="53" spans="1:2" x14ac:dyDescent="0.3">
      <c r="A53" s="1">
        <v>52</v>
      </c>
      <c r="B53" s="1">
        <f t="shared" si="0"/>
        <v>743</v>
      </c>
    </row>
    <row r="54" spans="1:2" x14ac:dyDescent="0.3">
      <c r="A54" s="1">
        <v>53</v>
      </c>
      <c r="B54" s="1">
        <f t="shared" si="0"/>
        <v>767</v>
      </c>
    </row>
    <row r="55" spans="1:2" x14ac:dyDescent="0.3">
      <c r="A55" s="1">
        <v>54</v>
      </c>
      <c r="B55" s="1">
        <f t="shared" si="0"/>
        <v>792</v>
      </c>
    </row>
    <row r="56" spans="1:2" x14ac:dyDescent="0.3">
      <c r="A56" s="1">
        <v>55</v>
      </c>
      <c r="B56" s="1">
        <f t="shared" si="0"/>
        <v>817</v>
      </c>
    </row>
    <row r="57" spans="1:2" x14ac:dyDescent="0.3">
      <c r="A57" s="1">
        <v>56</v>
      </c>
      <c r="B57" s="1">
        <f t="shared" si="0"/>
        <v>842</v>
      </c>
    </row>
    <row r="58" spans="1:2" x14ac:dyDescent="0.3">
      <c r="A58" s="1">
        <v>57</v>
      </c>
      <c r="B58" s="1">
        <f t="shared" si="0"/>
        <v>867</v>
      </c>
    </row>
    <row r="59" spans="1:2" x14ac:dyDescent="0.3">
      <c r="A59" s="1">
        <v>58</v>
      </c>
      <c r="B59" s="1">
        <f t="shared" si="0"/>
        <v>893</v>
      </c>
    </row>
    <row r="60" spans="1:2" x14ac:dyDescent="0.3">
      <c r="A60" s="1">
        <v>59</v>
      </c>
      <c r="B60" s="1">
        <f t="shared" si="0"/>
        <v>920</v>
      </c>
    </row>
    <row r="61" spans="1:2" x14ac:dyDescent="0.3">
      <c r="A61" s="1">
        <v>60</v>
      </c>
      <c r="B61" s="1">
        <f t="shared" si="0"/>
        <v>947</v>
      </c>
    </row>
    <row r="62" spans="1:2" x14ac:dyDescent="0.3">
      <c r="A62" s="1">
        <v>61</v>
      </c>
      <c r="B62" s="1">
        <f t="shared" si="0"/>
        <v>974</v>
      </c>
    </row>
    <row r="63" spans="1:2" x14ac:dyDescent="0.3">
      <c r="A63" s="1">
        <v>62</v>
      </c>
      <c r="B63" s="1">
        <f t="shared" si="0"/>
        <v>1001</v>
      </c>
    </row>
    <row r="64" spans="1:2" x14ac:dyDescent="0.3">
      <c r="A64" s="1">
        <v>63</v>
      </c>
      <c r="B64" s="1">
        <f t="shared" si="0"/>
        <v>1029</v>
      </c>
    </row>
    <row r="65" spans="1:2" x14ac:dyDescent="0.3">
      <c r="A65" s="1">
        <v>64</v>
      </c>
      <c r="B65" s="1">
        <f t="shared" si="0"/>
        <v>1058</v>
      </c>
    </row>
    <row r="66" spans="1:2" x14ac:dyDescent="0.3">
      <c r="A66" s="1">
        <v>65</v>
      </c>
      <c r="B66" s="1">
        <f t="shared" si="0"/>
        <v>1087</v>
      </c>
    </row>
    <row r="67" spans="1:2" x14ac:dyDescent="0.3">
      <c r="A67" s="1">
        <v>66</v>
      </c>
      <c r="B67" s="1">
        <f t="shared" ref="B67:B81" si="1">INT($A$1*A67^2+$B$1*A67+$C$1)</f>
        <v>1116</v>
      </c>
    </row>
    <row r="68" spans="1:2" x14ac:dyDescent="0.3">
      <c r="A68" s="1">
        <v>67</v>
      </c>
      <c r="B68" s="1">
        <f t="shared" si="1"/>
        <v>1145</v>
      </c>
    </row>
    <row r="69" spans="1:2" x14ac:dyDescent="0.3">
      <c r="A69" s="1">
        <v>68</v>
      </c>
      <c r="B69" s="1">
        <f t="shared" si="1"/>
        <v>1175</v>
      </c>
    </row>
    <row r="70" spans="1:2" x14ac:dyDescent="0.3">
      <c r="A70" s="1">
        <v>69</v>
      </c>
      <c r="B70" s="1">
        <f t="shared" si="1"/>
        <v>1206</v>
      </c>
    </row>
    <row r="71" spans="1:2" x14ac:dyDescent="0.3">
      <c r="A71" s="1">
        <v>70</v>
      </c>
      <c r="B71" s="1">
        <f t="shared" si="1"/>
        <v>1237</v>
      </c>
    </row>
    <row r="72" spans="1:2" x14ac:dyDescent="0.3">
      <c r="A72" s="1">
        <v>71</v>
      </c>
      <c r="B72" s="1">
        <f t="shared" si="1"/>
        <v>1268</v>
      </c>
    </row>
    <row r="73" spans="1:2" x14ac:dyDescent="0.3">
      <c r="A73" s="1">
        <v>72</v>
      </c>
      <c r="B73" s="1">
        <f t="shared" si="1"/>
        <v>1299</v>
      </c>
    </row>
    <row r="74" spans="1:2" x14ac:dyDescent="0.3">
      <c r="A74" s="1">
        <v>73</v>
      </c>
      <c r="B74" s="1">
        <f t="shared" si="1"/>
        <v>1331</v>
      </c>
    </row>
    <row r="75" spans="1:2" x14ac:dyDescent="0.3">
      <c r="A75" s="1">
        <v>74</v>
      </c>
      <c r="B75" s="1">
        <f t="shared" si="1"/>
        <v>1364</v>
      </c>
    </row>
    <row r="76" spans="1:2" x14ac:dyDescent="0.3">
      <c r="A76" s="1">
        <v>75</v>
      </c>
      <c r="B76" s="1">
        <f t="shared" si="1"/>
        <v>1397</v>
      </c>
    </row>
    <row r="77" spans="1:2" x14ac:dyDescent="0.3">
      <c r="A77" s="1">
        <v>76</v>
      </c>
      <c r="B77" s="1">
        <f t="shared" si="1"/>
        <v>1430</v>
      </c>
    </row>
    <row r="78" spans="1:2" x14ac:dyDescent="0.3">
      <c r="A78" s="1">
        <v>77</v>
      </c>
      <c r="B78" s="1">
        <f t="shared" si="1"/>
        <v>1463</v>
      </c>
    </row>
    <row r="79" spans="1:2" x14ac:dyDescent="0.3">
      <c r="A79" s="1">
        <v>78</v>
      </c>
      <c r="B79" s="1">
        <f t="shared" si="1"/>
        <v>1497</v>
      </c>
    </row>
    <row r="80" spans="1:2" x14ac:dyDescent="0.3">
      <c r="A80" s="1">
        <v>79</v>
      </c>
      <c r="B80" s="1">
        <f t="shared" si="1"/>
        <v>1532</v>
      </c>
    </row>
    <row r="81" spans="1:2" x14ac:dyDescent="0.3">
      <c r="A81" s="1">
        <v>80</v>
      </c>
      <c r="B81" s="1">
        <f t="shared" si="1"/>
        <v>1567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余力烨</cp:lastModifiedBy>
  <dcterms:created xsi:type="dcterms:W3CDTF">2012-05-02T06:38:08Z</dcterms:created>
  <dcterms:modified xsi:type="dcterms:W3CDTF">2016-07-06T07:49:14Z</dcterms:modified>
</cp:coreProperties>
</file>