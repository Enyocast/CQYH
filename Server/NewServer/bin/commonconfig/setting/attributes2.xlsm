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80" windowWidth="19440" windowHeight="9810"/>
  </bookViews>
  <sheets>
    <sheet name="计算" sheetId="8" r:id="rId1"/>
    <sheet name="战士" sheetId="7" r:id="rId2"/>
    <sheet name="法师" sheetId="6" r:id="rId3"/>
    <sheet name="刺客" sheetId="4" r:id="rId4"/>
    <sheet name="弓手" sheetId="5" r:id="rId5"/>
    <sheet name="属性转换说明" sheetId="9" r:id="rId6"/>
    <sheet name="Define" sheetId="10" r:id="rId7"/>
  </sheets>
  <externalReferences>
    <externalReference r:id="rId8"/>
  </externalReferences>
  <definedNames>
    <definedName name="_xlnm._FilterDatabase" localSheetId="3" hidden="1">刺客!$A$1:$J$113</definedName>
    <definedName name="_xlnm._FilterDatabase" localSheetId="2" hidden="1">法师!$A$1:$A$144</definedName>
    <definedName name="_xlnm._FilterDatabase" localSheetId="4" hidden="1">弓手!$A$1:$J$113</definedName>
    <definedName name="_xlnm._FilterDatabase" localSheetId="1" hidden="1">战士!$A$1:$A$145</definedName>
  </definedNames>
  <calcPr calcId="145621"/>
</workbook>
</file>

<file path=xl/calcChain.xml><?xml version="1.0" encoding="utf-8"?>
<calcChain xmlns="http://schemas.openxmlformats.org/spreadsheetml/2006/main">
  <c r="H1" i="6" l="1"/>
  <c r="J1" i="6" l="1"/>
  <c r="J1" i="5"/>
  <c r="J1" i="4"/>
  <c r="J1" i="7"/>
  <c r="A35" i="5" l="1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9" i="4"/>
  <c r="A10" i="4"/>
  <c r="A11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17" i="7" l="1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1" i="6"/>
  <c r="A10" i="6"/>
  <c r="A9" i="6"/>
  <c r="A8" i="6"/>
  <c r="A7" i="6"/>
  <c r="A6" i="6"/>
  <c r="A5" i="6"/>
  <c r="A4" i="6"/>
  <c r="A3" i="6"/>
  <c r="A2" i="6"/>
  <c r="I1" i="6"/>
  <c r="G1" i="6"/>
  <c r="F1" i="6"/>
  <c r="E1" i="6"/>
  <c r="D1" i="6"/>
  <c r="C1" i="6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1" i="5"/>
  <c r="A10" i="5"/>
  <c r="A9" i="5"/>
  <c r="A8" i="5"/>
  <c r="A7" i="5"/>
  <c r="A6" i="5"/>
  <c r="A5" i="5"/>
  <c r="A4" i="5"/>
  <c r="A3" i="5"/>
  <c r="A2" i="5"/>
  <c r="I1" i="5"/>
  <c r="H1" i="5"/>
  <c r="G1" i="5"/>
  <c r="F1" i="5"/>
  <c r="E1" i="5"/>
  <c r="D1" i="5"/>
  <c r="C1" i="5"/>
  <c r="A8" i="4"/>
  <c r="A7" i="4"/>
  <c r="A6" i="4"/>
  <c r="A5" i="4"/>
  <c r="A4" i="4"/>
  <c r="A3" i="4"/>
  <c r="A2" i="4"/>
  <c r="I1" i="4"/>
  <c r="H1" i="4"/>
  <c r="G1" i="4"/>
  <c r="F1" i="4"/>
  <c r="E1" i="4"/>
  <c r="D1" i="4"/>
  <c r="C1" i="4"/>
  <c r="A14" i="7"/>
  <c r="A15" i="7"/>
  <c r="A16" i="7"/>
  <c r="A10" i="7"/>
  <c r="A11" i="7"/>
  <c r="A12" i="7"/>
  <c r="A4" i="7" l="1"/>
  <c r="A5" i="7"/>
  <c r="A6" i="7"/>
  <c r="A7" i="7"/>
  <c r="A8" i="7"/>
  <c r="A9" i="7"/>
  <c r="A2" i="7"/>
  <c r="C1" i="7" l="1"/>
  <c r="I1" i="7"/>
  <c r="H1" i="7"/>
  <c r="G1" i="7"/>
  <c r="F1" i="7"/>
  <c r="E1" i="7"/>
  <c r="D1" i="7"/>
</calcChain>
</file>

<file path=xl/comments1.xml><?xml version="1.0" encoding="utf-8"?>
<comments xmlns="http://schemas.openxmlformats.org/spreadsheetml/2006/main">
  <authors>
    <author>傅磊01</author>
  </authors>
  <commentLis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Coefficient scaling factor
100*10000</t>
        </r>
      </text>
    </comment>
  </commentList>
</comments>
</file>

<file path=xl/comments2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Coefficient scaling factor
100*10000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Coefficient scaling factor
100*10000</t>
        </r>
      </text>
    </comment>
  </commentList>
</comments>
</file>

<file path=xl/comments4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Coefficient scaling factor
100*10000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<sst xmlns="http://schemas.openxmlformats.org/spreadsheetml/2006/main" count="1069" uniqueCount="241">
  <si>
    <t>catStrength</t>
    <phoneticPr fontId="2" type="noConversion"/>
  </si>
  <si>
    <t>catAgility</t>
    <phoneticPr fontId="2" type="noConversion"/>
  </si>
  <si>
    <t>catIntellect</t>
    <phoneticPr fontId="2" type="noConversion"/>
  </si>
  <si>
    <t>catStamina</t>
    <phoneticPr fontId="2" type="noConversion"/>
  </si>
  <si>
    <t>catSpirit</t>
  </si>
  <si>
    <t>catValue</t>
    <phoneticPr fontId="2" type="noConversion"/>
  </si>
  <si>
    <t>ConstParam</t>
    <phoneticPr fontId="2" type="noConversion"/>
  </si>
  <si>
    <t>属性</t>
    <phoneticPr fontId="2" type="noConversion"/>
  </si>
  <si>
    <t>catMaxHp</t>
  </si>
  <si>
    <t>catMaxMp</t>
  </si>
  <si>
    <t>catPhyDef</t>
  </si>
  <si>
    <t>catMagDef</t>
  </si>
  <si>
    <t>catHpRecovery</t>
  </si>
  <si>
    <t>catMpRecovery</t>
  </si>
  <si>
    <t>catPhyCritRate</t>
  </si>
  <si>
    <t>catMagCritRate</t>
  </si>
  <si>
    <t>AttrName</t>
    <phoneticPr fontId="2" type="noConversion"/>
  </si>
  <si>
    <t>N/A</t>
    <phoneticPr fontId="2" type="noConversion"/>
  </si>
  <si>
    <t>catMoveSpeed</t>
  </si>
  <si>
    <t>catEarthResist</t>
  </si>
  <si>
    <t>catFireResist</t>
  </si>
  <si>
    <t>catWaterResist</t>
  </si>
  <si>
    <t>catWindResist</t>
  </si>
  <si>
    <t>catThunderResist</t>
  </si>
  <si>
    <t>catLightResist</t>
  </si>
  <si>
    <t>catShadowResist</t>
  </si>
  <si>
    <t>catNatureResist</t>
  </si>
  <si>
    <t>catPhyAtkIgnoreDef</t>
  </si>
  <si>
    <t>catMagAtkIgnoreDef</t>
  </si>
  <si>
    <t>catMpRecoveryPeriod</t>
  </si>
  <si>
    <t>catResistenceOfNegativeAura</t>
  </si>
  <si>
    <t>catResistenceOfHurt</t>
  </si>
  <si>
    <t>catResistenceOfKnockBack</t>
  </si>
  <si>
    <t>catResistenceOfKnockUp</t>
  </si>
  <si>
    <t>catResistenceOfKnockDown</t>
  </si>
  <si>
    <t>catResistenceOfDrag</t>
  </si>
  <si>
    <t>catResistenceOfLightening</t>
  </si>
  <si>
    <t>catResistenceOfBleed</t>
  </si>
  <si>
    <t>catResistenceOfBurn</t>
  </si>
  <si>
    <t>catResistenceOfPoison</t>
  </si>
  <si>
    <t>catResistenceOfBlind</t>
  </si>
  <si>
    <t>catResistenceOfDazzy</t>
  </si>
  <si>
    <t>catResistenceOfStatued</t>
  </si>
  <si>
    <t>catResistenceOfSilence</t>
  </si>
  <si>
    <t>catResistenceOfFreeze</t>
  </si>
  <si>
    <t>catResistenceOfSleep</t>
  </si>
  <si>
    <t>catResistenceOfChaos</t>
  </si>
  <si>
    <t>catResistenceOfShackle</t>
  </si>
  <si>
    <t>catResistenceOfSlowdown</t>
  </si>
  <si>
    <t>catResistenceOfCurse</t>
  </si>
  <si>
    <t>catResistenceOfDisarmed</t>
  </si>
  <si>
    <t>catBlockValue</t>
  </si>
  <si>
    <t>catCombo</t>
  </si>
  <si>
    <t>catDamageAbsorb</t>
  </si>
  <si>
    <t>catAttackRange</t>
  </si>
  <si>
    <t>catMpRecoveryRate</t>
  </si>
  <si>
    <t>catPhyAtkReduceRate</t>
  </si>
  <si>
    <t>catMagAtkReduceRate</t>
  </si>
  <si>
    <t>catAtkSpeedRate</t>
  </si>
  <si>
    <t>catCastSpeedRate</t>
  </si>
  <si>
    <t>catBackDamageModificationRate</t>
  </si>
  <si>
    <t>catBlockCounterRate</t>
  </si>
  <si>
    <t>catParryCounterRate</t>
  </si>
  <si>
    <t>catDodgeCounterRate</t>
  </si>
  <si>
    <t>catHitRate</t>
  </si>
  <si>
    <t>catHumanModificationRate</t>
  </si>
  <si>
    <t>catHumanlikeModificationRate</t>
  </si>
  <si>
    <t>catBeastModificationRate</t>
  </si>
  <si>
    <t>catInsectModificationRate</t>
  </si>
  <si>
    <t>catPlantModificationRate</t>
  </si>
  <si>
    <t>catUndeadModificationRate</t>
  </si>
  <si>
    <t>catMachineModificationRate</t>
  </si>
  <si>
    <t>catDragonModificationRate</t>
  </si>
  <si>
    <t>catDemonModificationRate</t>
  </si>
  <si>
    <t>catElementsModificationRate</t>
  </si>
  <si>
    <t>catBuildingModificationRate</t>
  </si>
  <si>
    <t>catProfAbilityCritRate</t>
  </si>
  <si>
    <t>catQuestExpModRate</t>
  </si>
  <si>
    <t>catQuestCashModRate</t>
  </si>
  <si>
    <t>catQuestDropModRate</t>
  </si>
  <si>
    <t>catPhyAtkHi</t>
  </si>
  <si>
    <t>catPhyAtkLo</t>
  </si>
  <si>
    <t>catMagAtkHi</t>
  </si>
  <si>
    <t>catMagAtkLo</t>
  </si>
  <si>
    <t>catCritDamageModificationRate</t>
  </si>
  <si>
    <t>catBackDamageReductionRate</t>
  </si>
  <si>
    <t>catBlockRate</t>
  </si>
  <si>
    <t>catParryRate</t>
  </si>
  <si>
    <t>catDodgeRate</t>
  </si>
  <si>
    <t>catPhyHitRate</t>
  </si>
  <si>
    <t>catMagHitRate</t>
  </si>
  <si>
    <t>catCooldownReductionRate</t>
  </si>
  <si>
    <t>catEnergyCostModificationRate</t>
  </si>
  <si>
    <t>catCrit</t>
  </si>
  <si>
    <t>catCritResistance</t>
  </si>
  <si>
    <t>catAccurate</t>
  </si>
  <si>
    <t>catDodge</t>
  </si>
  <si>
    <t>catCritDamage</t>
  </si>
  <si>
    <t>catCritDamageResistance</t>
  </si>
  <si>
    <t>catParry</t>
  </si>
  <si>
    <t>catBlock</t>
  </si>
  <si>
    <t>catHit</t>
  </si>
  <si>
    <t>catPhyPenetrationRate</t>
  </si>
  <si>
    <t>catMagPenetrationRate</t>
  </si>
  <si>
    <t>catCombatParam</t>
  </si>
  <si>
    <t>catWaterStrengthen</t>
  </si>
  <si>
    <t>catWindStrengthen</t>
  </si>
  <si>
    <t>catThunderStrengthen</t>
  </si>
  <si>
    <t>catLightStrengthen</t>
  </si>
  <si>
    <t>catShadowStrengthen</t>
  </si>
  <si>
    <t>catNatureStrengthen</t>
  </si>
  <si>
    <t>catEarthStrengthen</t>
  </si>
  <si>
    <t>catFireStrengthen</t>
  </si>
  <si>
    <t>catDamageEnhanceRate</t>
    <phoneticPr fontId="2" type="noConversion"/>
  </si>
  <si>
    <t>catHurtEnhanceRate</t>
    <phoneticPr fontId="2" type="noConversion"/>
  </si>
  <si>
    <t>catPhyDamageEnhanceRate</t>
    <phoneticPr fontId="2" type="noConversion"/>
  </si>
  <si>
    <t>catMagDamageEnhanceRate</t>
    <phoneticPr fontId="2" type="noConversion"/>
  </si>
  <si>
    <t>catPhyHurtEnhanceRate</t>
    <phoneticPr fontId="2" type="noConversion"/>
  </si>
  <si>
    <t>catMagHurtEnhanceRate</t>
    <phoneticPr fontId="2" type="noConversion"/>
  </si>
  <si>
    <t>坐骑移动速度</t>
    <phoneticPr fontId="2" type="noConversion"/>
  </si>
  <si>
    <t>catMountMoveSpeed</t>
  </si>
  <si>
    <t>经验获取加成</t>
  </si>
  <si>
    <t>声望获取加成</t>
  </si>
  <si>
    <t>治疗效果加成</t>
    <phoneticPr fontId="2" type="noConversion"/>
  </si>
  <si>
    <t>catExpLootModRate</t>
  </si>
  <si>
    <t>catItemHealModRate</t>
  </si>
  <si>
    <t>耐久减少</t>
    <phoneticPr fontId="2" type="noConversion"/>
  </si>
  <si>
    <t>catItemDurLoseModRate</t>
  </si>
  <si>
    <t>catReputationModRate</t>
    <phoneticPr fontId="2" type="noConversion"/>
  </si>
  <si>
    <t>幸运值</t>
    <phoneticPr fontId="2" type="noConversion"/>
  </si>
  <si>
    <t>catLuck</t>
    <phoneticPr fontId="2" type="noConversion"/>
  </si>
  <si>
    <t>N/A</t>
    <phoneticPr fontId="2" type="noConversion"/>
  </si>
  <si>
    <t>战士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</si>
  <si>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</si>
  <si>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</si>
  <si>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</si>
  <si>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体质</t>
    <phoneticPr fontId="2" type="noConversion"/>
  </si>
  <si>
    <t>精神</t>
    <phoneticPr fontId="2" type="noConversion"/>
  </si>
  <si>
    <t>属性1</t>
    <phoneticPr fontId="2" type="noConversion"/>
  </si>
  <si>
    <t>属性2</t>
    <phoneticPr fontId="2" type="noConversion"/>
  </si>
  <si>
    <t>抗暴</t>
    <phoneticPr fontId="2" type="noConversion"/>
  </si>
  <si>
    <t>魔抗</t>
    <phoneticPr fontId="2" type="noConversion"/>
  </si>
  <si>
    <t>生命上限</t>
    <phoneticPr fontId="2" type="noConversion"/>
  </si>
  <si>
    <t>法师</t>
    <phoneticPr fontId="2" type="noConversion"/>
  </si>
  <si>
    <t>刺客</t>
    <phoneticPr fontId="2" type="noConversion"/>
  </si>
  <si>
    <t>弓手</t>
    <phoneticPr fontId="2" type="noConversion"/>
  </si>
  <si>
    <t>生命上限</t>
    <phoneticPr fontId="2" type="noConversion"/>
  </si>
  <si>
    <t>物理攻击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</si>
  <si>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</si>
  <si>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</si>
  <si>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</si>
  <si>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体质</t>
    <phoneticPr fontId="2" type="noConversion"/>
  </si>
  <si>
    <t>精神</t>
    <phoneticPr fontId="2" type="noConversion"/>
  </si>
  <si>
    <t>魔法攻击</t>
    <phoneticPr fontId="2" type="noConversion"/>
  </si>
  <si>
    <t>抗暴</t>
    <phoneticPr fontId="2" type="noConversion"/>
  </si>
  <si>
    <t>物理攻击</t>
    <phoneticPr fontId="2" type="noConversion"/>
  </si>
  <si>
    <t>抗暴</t>
    <phoneticPr fontId="2" type="noConversion"/>
  </si>
  <si>
    <t>护甲</t>
    <phoneticPr fontId="2" type="noConversion"/>
  </si>
  <si>
    <t>物理暴击</t>
    <phoneticPr fontId="2" type="noConversion"/>
  </si>
  <si>
    <t>物理暴击</t>
    <phoneticPr fontId="2" type="noConversion"/>
  </si>
  <si>
    <t>魔法暴击</t>
    <phoneticPr fontId="2" type="noConversion"/>
  </si>
  <si>
    <t>护甲穿透</t>
    <phoneticPr fontId="2" type="noConversion"/>
  </si>
  <si>
    <t>护甲穿透</t>
    <phoneticPr fontId="2" type="noConversion"/>
  </si>
  <si>
    <t>魔法穿透</t>
    <phoneticPr fontId="2" type="noConversion"/>
  </si>
  <si>
    <t>魔抗</t>
    <phoneticPr fontId="2" type="noConversion"/>
  </si>
  <si>
    <t>魔抗</t>
    <phoneticPr fontId="2" type="noConversion"/>
  </si>
  <si>
    <t>物理攻击</t>
    <phoneticPr fontId="2" type="noConversion"/>
  </si>
  <si>
    <t>玩家伤害修正</t>
    <phoneticPr fontId="2" type="noConversion"/>
  </si>
  <si>
    <t>catPlayerModificationRate</t>
    <phoneticPr fontId="2" type="noConversion"/>
  </si>
  <si>
    <t>字段名称</t>
  </si>
  <si>
    <t>描述</t>
  </si>
  <si>
    <t>详细说明</t>
  </si>
  <si>
    <t>备注</t>
  </si>
  <si>
    <t>Class</t>
  </si>
  <si>
    <t>职业</t>
  </si>
  <si>
    <t>0   战士
1   法师
2   刺客
3   弓手</t>
  </si>
  <si>
    <t>AttrName</t>
  </si>
  <si>
    <t>属性名称</t>
  </si>
  <si>
    <t>程序段的逻辑名</t>
  </si>
  <si>
    <t>ConstParam</t>
  </si>
  <si>
    <t>属性常数</t>
  </si>
  <si>
    <t>职业出生时的属性值</t>
  </si>
  <si>
    <t>catStrength</t>
  </si>
  <si>
    <t>力量</t>
  </si>
  <si>
    <t>一级属性转化成二级属性的值</t>
  </si>
  <si>
    <t>catAgility</t>
  </si>
  <si>
    <t>敏捷</t>
  </si>
  <si>
    <t>catIntellect</t>
  </si>
  <si>
    <t>智力</t>
  </si>
  <si>
    <t>catStamina</t>
  </si>
  <si>
    <t>体力</t>
  </si>
  <si>
    <t>精神</t>
  </si>
  <si>
    <t>catValue</t>
  </si>
  <si>
    <t>属性成长值</t>
  </si>
  <si>
    <t>升级时的成长系数</t>
  </si>
  <si>
    <t>升级增加的最终值=此值*attribute1的catValue</t>
  </si>
  <si>
    <t>能量回复常数</t>
  </si>
  <si>
    <t>PS：在职业SHEET里修改后，点击计算SHEET里的计算，重新生成一下数据即可</t>
  </si>
  <si>
    <t>Class</t>
    <phoneticPr fontId="2" type="noConversion"/>
  </si>
  <si>
    <t>AttrName</t>
    <phoneticPr fontId="2" type="noConversion"/>
  </si>
  <si>
    <t>ConstParam</t>
    <phoneticPr fontId="2" type="noConversion"/>
  </si>
  <si>
    <t>catValue</t>
    <phoneticPr fontId="2" type="noConversion"/>
  </si>
  <si>
    <t>catCombatParam</t>
    <phoneticPr fontId="2" type="noConversion"/>
  </si>
  <si>
    <t>catMaxPhyDef</t>
  </si>
  <si>
    <t>catMaxMagDef</t>
  </si>
  <si>
    <t>catPhyAtk</t>
  </si>
  <si>
    <t>catMaxPhyAtk</t>
  </si>
  <si>
    <t>catMagAtk</t>
  </si>
  <si>
    <t>catMaxMagAtk</t>
  </si>
  <si>
    <t>catTaoAtk</t>
  </si>
  <si>
    <t>catMaxTaoAtk</t>
  </si>
  <si>
    <t>catMagDodge</t>
  </si>
  <si>
    <t>catCritDmg</t>
  </si>
  <si>
    <t>catCritResist</t>
  </si>
  <si>
    <t>catCritDmgResist</t>
  </si>
  <si>
    <t>catAntiPhyDef</t>
  </si>
  <si>
    <t>catAntiMagDef</t>
  </si>
  <si>
    <t>catLuck</t>
  </si>
  <si>
    <t>catHolyDmg</t>
  </si>
  <si>
    <t>catDmgResist</t>
  </si>
  <si>
    <t>catDmgEnhance</t>
  </si>
  <si>
    <t>catDrugHpRecovery</t>
  </si>
  <si>
    <t>catDrugMpRecovery</t>
  </si>
  <si>
    <t>catAtkSpeed</t>
  </si>
  <si>
    <t>catPoisonDef</t>
  </si>
  <si>
    <t>catPoisonRecovery</t>
  </si>
  <si>
    <t>catPoisonResist</t>
  </si>
  <si>
    <t>catStunResist</t>
  </si>
  <si>
    <t>catHpRecoveryTap</t>
  </si>
  <si>
    <t>catMpRecoveryTap</t>
  </si>
  <si>
    <t>catTapIncrease</t>
  </si>
  <si>
    <t>catRepelResist</t>
  </si>
  <si>
    <t>catHurtResist</t>
  </si>
  <si>
    <t>catDmgAbsorb</t>
  </si>
  <si>
    <t>catExtraDmg</t>
  </si>
  <si>
    <t>clsWarrior</t>
  </si>
  <si>
    <t>clsMage</t>
  </si>
  <si>
    <t>clsRogue</t>
  </si>
  <si>
    <t>clsArcher</t>
  </si>
  <si>
    <t>clsTaoist</t>
    <phoneticPr fontId="2" type="noConversion"/>
  </si>
  <si>
    <t>Both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</si>
</sst>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2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9" tint="0.3999755851924192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9" fillId="0" borderId="0"/>
    <xf numFmtId="0" fontId="1" fillId="0" borderId="0">
      <alignment vertical="center"/>
    </xf>
    <xf numFmtId="0" fontId="11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6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17" fontId="0" fillId="0" borderId="0" xfId="0" applyNumberFormat="1" applyAlignment="1">
      <alignment horizontal="left" vertical="center"/>
    </xf>
    <xf numFmtId="176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76" fontId="5" fillId="0" borderId="0" xfId="0" applyNumberFormat="1" applyFont="1" applyAlignment="1">
      <alignment horizontal="left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4" fillId="0" borderId="0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2" borderId="0" xfId="0" applyFont="1" applyFill="1" applyAlignment="1">
      <alignment horizontal="left"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0" fillId="0" borderId="11" xfId="0" applyBorder="1">
      <alignment vertical="center"/>
    </xf>
    <xf numFmtId="0" fontId="11" fillId="0" borderId="0" xfId="3">
      <alignment vertical="center"/>
    </xf>
    <xf numFmtId="0" fontId="11" fillId="0" borderId="1" xfId="3" applyBorder="1">
      <alignment vertical="center"/>
    </xf>
    <xf numFmtId="0" fontId="11" fillId="3" borderId="1" xfId="3" applyFill="1" applyBorder="1">
      <alignment vertical="center"/>
    </xf>
    <xf numFmtId="0" fontId="11" fillId="0" borderId="1" xfId="3" applyBorder="1" applyAlignment="1">
      <alignment horizontal="left" vertical="center"/>
    </xf>
    <xf numFmtId="0" fontId="11" fillId="0" borderId="1" xfId="3" applyBorder="1" applyAlignment="1">
      <alignment vertical="center" wrapText="1"/>
    </xf>
    <xf numFmtId="0" fontId="11" fillId="0" borderId="0" xfId="3" applyFill="1" applyBorder="1" applyAlignment="1">
      <alignment horizontal="left" vertical="center"/>
    </xf>
    <xf numFmtId="0" fontId="11" fillId="0" borderId="1" xfId="3" applyBorder="1" applyAlignment="1">
      <alignment horizontal="left" vertical="center"/>
    </xf>
  </cellXfs>
  <cellStyles count="4">
    <cellStyle name="常规" xfId="0" builtinId="0"/>
    <cellStyle name="常规 2" xfId="3"/>
    <cellStyle name="常规 3" xfId="2"/>
    <cellStyle name="常规 5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142875</xdr:rowOff>
        </xdr:from>
        <xdr:to>
          <xdr:col>12</xdr:col>
          <xdr:colOff>228600</xdr:colOff>
          <xdr:row>11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计算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14</xdr:row>
          <xdr:rowOff>152400</xdr:rowOff>
        </xdr:from>
        <xdr:to>
          <xdr:col>12</xdr:col>
          <xdr:colOff>314325</xdr:colOff>
          <xdr:row>16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23646;&#24615;&#23545;&#24212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</sheetNames>
    <sheetDataSet>
      <sheetData sheetId="0">
        <row r="1">
          <cell r="A1" t="str">
            <v>英文</v>
          </cell>
          <cell r="B1" t="str">
            <v>中文</v>
          </cell>
        </row>
        <row r="2">
          <cell r="A2" t="str">
            <v>catStrength</v>
          </cell>
          <cell r="B2" t="str">
            <v>力量</v>
          </cell>
        </row>
        <row r="3">
          <cell r="A3" t="str">
            <v>catAgility</v>
          </cell>
          <cell r="B3" t="str">
            <v>敏捷</v>
          </cell>
        </row>
        <row r="4">
          <cell r="A4" t="str">
            <v>catIntellect</v>
          </cell>
          <cell r="B4" t="str">
            <v>智力</v>
          </cell>
        </row>
        <row r="5">
          <cell r="A5" t="str">
            <v>catStamina</v>
          </cell>
          <cell r="B5" t="str">
            <v>体质</v>
          </cell>
        </row>
        <row r="6">
          <cell r="A6" t="str">
            <v>catSpirit</v>
          </cell>
          <cell r="B6" t="str">
            <v>耐力</v>
          </cell>
        </row>
        <row r="7">
          <cell r="A7" t="str">
            <v>catValue</v>
          </cell>
          <cell r="B7" t="str">
            <v>等级常数</v>
          </cell>
        </row>
        <row r="8">
          <cell r="A8" t="str">
            <v>catMaxHp</v>
          </cell>
          <cell r="B8" t="str">
            <v>最大生命值</v>
          </cell>
        </row>
        <row r="9">
          <cell r="A9" t="str">
            <v>catMaxMp</v>
          </cell>
          <cell r="B9" t="str">
            <v>最大能量值</v>
          </cell>
        </row>
        <row r="10">
          <cell r="A10" t="str">
            <v>catPhyAtkHi</v>
          </cell>
          <cell r="B10" t="str">
            <v>最大物理攻击力</v>
          </cell>
        </row>
        <row r="11">
          <cell r="A11" t="str">
            <v>catPhyAtkLo</v>
          </cell>
          <cell r="B11" t="str">
            <v>最小物理攻击力</v>
          </cell>
        </row>
        <row r="12">
          <cell r="A12" t="str">
            <v>catMagAtkHi</v>
          </cell>
          <cell r="B12" t="str">
            <v>最大魔法攻击力</v>
          </cell>
        </row>
        <row r="13">
          <cell r="A13" t="str">
            <v>catMagAtkLo</v>
          </cell>
          <cell r="B13" t="str">
            <v>最小魔法攻击力</v>
          </cell>
        </row>
        <row r="14">
          <cell r="A14" t="str">
            <v>catPhyDef</v>
          </cell>
          <cell r="B14" t="str">
            <v>物理防御力</v>
          </cell>
        </row>
        <row r="15">
          <cell r="A15" t="str">
            <v>catMagDef</v>
          </cell>
          <cell r="B15" t="str">
            <v>魔法防御力</v>
          </cell>
        </row>
        <row r="16">
          <cell r="A16" t="str">
            <v>catMoveSpeed</v>
          </cell>
          <cell r="B16" t="str">
            <v>移动速度</v>
          </cell>
        </row>
        <row r="17">
          <cell r="A17" t="str">
            <v>catHpRecovery</v>
          </cell>
          <cell r="B17" t="str">
            <v>生命恢复速度</v>
          </cell>
        </row>
        <row r="18">
          <cell r="A18" t="str">
            <v>catMpRecovery</v>
          </cell>
          <cell r="B18" t="str">
            <v>能量恢复速度</v>
          </cell>
        </row>
        <row r="19">
          <cell r="A19" t="str">
            <v>catEarthResist</v>
          </cell>
          <cell r="B19" t="str">
            <v>地属性抗性</v>
          </cell>
        </row>
        <row r="20">
          <cell r="A20" t="str">
            <v>catFireResist</v>
          </cell>
          <cell r="B20" t="str">
            <v>火属性抗性</v>
          </cell>
        </row>
        <row r="21">
          <cell r="A21" t="str">
            <v>catWaterResist</v>
          </cell>
          <cell r="B21" t="str">
            <v>水属性抗性</v>
          </cell>
        </row>
        <row r="22">
          <cell r="A22" t="str">
            <v>catWindResist</v>
          </cell>
          <cell r="B22" t="str">
            <v>风属性抗性</v>
          </cell>
        </row>
        <row r="23">
          <cell r="A23" t="str">
            <v>catThunderResist</v>
          </cell>
          <cell r="B23" t="str">
            <v>雷属性抗性</v>
          </cell>
        </row>
        <row r="24">
          <cell r="A24" t="str">
            <v>catLightResist</v>
          </cell>
          <cell r="B24" t="str">
            <v>光属性抗性</v>
          </cell>
        </row>
        <row r="25">
          <cell r="A25" t="str">
            <v>catShadowResist</v>
          </cell>
          <cell r="B25" t="str">
            <v>暗属性抗性</v>
          </cell>
        </row>
        <row r="26">
          <cell r="A26" t="str">
            <v>catNatureResist</v>
          </cell>
          <cell r="B26" t="str">
            <v>自然属性抗性</v>
          </cell>
        </row>
        <row r="27">
          <cell r="A27" t="str">
            <v>catPhyAtkIgnoreDef</v>
          </cell>
          <cell r="B27" t="str">
            <v>物理穿透</v>
          </cell>
        </row>
        <row r="28">
          <cell r="A28" t="str">
            <v>catMagAtkIgnoreDef</v>
          </cell>
          <cell r="B28" t="str">
            <v>魔法穿透</v>
          </cell>
        </row>
        <row r="29">
          <cell r="A29" t="str">
            <v>catMpRecoveryPeriod</v>
          </cell>
          <cell r="B29" t="str">
            <v>能量回复周期</v>
          </cell>
        </row>
        <row r="30">
          <cell r="A30" t="str">
            <v>catResistenceOfNegativeAura</v>
          </cell>
          <cell r="B30" t="str">
            <v>异常状态抗性</v>
          </cell>
        </row>
        <row r="31">
          <cell r="A31" t="str">
            <v>catResistenceOfHurt</v>
          </cell>
          <cell r="B31" t="str">
            <v>受伤抗性</v>
          </cell>
        </row>
        <row r="32">
          <cell r="A32" t="str">
            <v>catResistenceOfKnockBack</v>
          </cell>
          <cell r="B32" t="str">
            <v>击退抗性</v>
          </cell>
        </row>
        <row r="33">
          <cell r="A33" t="str">
            <v>catResistenceOfKnockUp</v>
          </cell>
          <cell r="B33" t="str">
            <v>击飞抗性</v>
          </cell>
        </row>
        <row r="34">
          <cell r="A34" t="str">
            <v>catResistenceOfKnockDown</v>
          </cell>
          <cell r="B34" t="str">
            <v>击倒抗性</v>
          </cell>
        </row>
        <row r="35">
          <cell r="A35" t="str">
            <v>catResistenceOfDrag</v>
          </cell>
          <cell r="B35" t="str">
            <v>拖拽抗性</v>
          </cell>
        </row>
        <row r="36">
          <cell r="A36" t="str">
            <v>catResistenceOfLightening</v>
          </cell>
          <cell r="B36" t="str">
            <v>感电抗性</v>
          </cell>
        </row>
        <row r="37">
          <cell r="A37" t="str">
            <v>catResistenceOfBleed</v>
          </cell>
          <cell r="B37" t="str">
            <v>出血抗性</v>
          </cell>
        </row>
        <row r="38">
          <cell r="A38" t="str">
            <v>catResistenceOfBurn</v>
          </cell>
          <cell r="B38" t="str">
            <v>灼伤抗性</v>
          </cell>
        </row>
        <row r="39">
          <cell r="A39" t="str">
            <v>catResistenceOfPoison</v>
          </cell>
          <cell r="B39" t="str">
            <v>中毒抗性</v>
          </cell>
        </row>
        <row r="40">
          <cell r="A40" t="str">
            <v>catResistenceOfBlind</v>
          </cell>
          <cell r="B40" t="str">
            <v>失明抗性</v>
          </cell>
        </row>
        <row r="41">
          <cell r="A41" t="str">
            <v>catResistenceOfDazzy</v>
          </cell>
          <cell r="B41" t="str">
            <v>眩晕抗性</v>
          </cell>
        </row>
        <row r="42">
          <cell r="A42" t="str">
            <v>catResistenceOfStatued</v>
          </cell>
          <cell r="B42" t="str">
            <v>石化抗性</v>
          </cell>
        </row>
        <row r="43">
          <cell r="A43" t="str">
            <v>catResistenceOfSilence</v>
          </cell>
          <cell r="B43" t="str">
            <v>沉默抗性</v>
          </cell>
        </row>
        <row r="44">
          <cell r="A44" t="str">
            <v>catResistenceOfFreeze</v>
          </cell>
          <cell r="B44" t="str">
            <v>冻结抗性</v>
          </cell>
        </row>
        <row r="45">
          <cell r="A45" t="str">
            <v>catResistenceOfSleep</v>
          </cell>
          <cell r="B45" t="str">
            <v>睡眠抗性</v>
          </cell>
        </row>
        <row r="46">
          <cell r="A46" t="str">
            <v>catResistenceOfChaos</v>
          </cell>
          <cell r="B46" t="str">
            <v>混乱抗性</v>
          </cell>
        </row>
        <row r="47">
          <cell r="A47" t="str">
            <v>catResistenceOfShackle</v>
          </cell>
          <cell r="B47" t="str">
            <v>束缚抗性</v>
          </cell>
        </row>
        <row r="48">
          <cell r="A48" t="str">
            <v>catResistenceOfSlowdown</v>
          </cell>
          <cell r="B48" t="str">
            <v>减速抗性</v>
          </cell>
        </row>
        <row r="49">
          <cell r="A49" t="str">
            <v>catResistenceOfCurse</v>
          </cell>
          <cell r="B49" t="str">
            <v>诅咒抗性</v>
          </cell>
        </row>
        <row r="50">
          <cell r="A50" t="str">
            <v>catResistenceOfDisarmed</v>
          </cell>
          <cell r="B50" t="str">
            <v>缴械抗性</v>
          </cell>
        </row>
        <row r="51">
          <cell r="A51" t="str">
            <v>catBlockValue</v>
          </cell>
          <cell r="B51" t="str">
            <v>格挡值</v>
          </cell>
        </row>
        <row r="52">
          <cell r="A52" t="str">
            <v>catEarthStrengthen</v>
          </cell>
          <cell r="B52" t="str">
            <v>地属性强化</v>
          </cell>
        </row>
        <row r="53">
          <cell r="A53" t="str">
            <v>catFireStrengthen</v>
          </cell>
          <cell r="B53" t="str">
            <v>火属性强化</v>
          </cell>
        </row>
        <row r="54">
          <cell r="A54" t="str">
            <v>catWaterStrengthen</v>
          </cell>
          <cell r="B54" t="str">
            <v>水属性强化</v>
          </cell>
        </row>
        <row r="55">
          <cell r="A55" t="str">
            <v>catWindStrengthen</v>
          </cell>
          <cell r="B55" t="str">
            <v>风属性强化</v>
          </cell>
        </row>
        <row r="56">
          <cell r="A56" t="str">
            <v>catThunderStrengthen</v>
          </cell>
          <cell r="B56" t="str">
            <v>雷属性强化</v>
          </cell>
        </row>
        <row r="57">
          <cell r="A57" t="str">
            <v>catLightStrengthen</v>
          </cell>
          <cell r="B57" t="str">
            <v>光属性强化</v>
          </cell>
        </row>
        <row r="58">
          <cell r="A58" t="str">
            <v>catShadowStrengthen</v>
          </cell>
          <cell r="B58" t="str">
            <v>暗属性强化</v>
          </cell>
        </row>
        <row r="59">
          <cell r="A59" t="str">
            <v>catNatureStrengthen</v>
          </cell>
          <cell r="B59" t="str">
            <v>自然属性强化</v>
          </cell>
        </row>
        <row r="60">
          <cell r="A60" t="str">
            <v>catCombo</v>
          </cell>
          <cell r="B60" t="str">
            <v>连击</v>
          </cell>
        </row>
        <row r="61">
          <cell r="A61" t="str">
            <v>catDamageAbsorb</v>
          </cell>
          <cell r="B61" t="str">
            <v>伤害吸收值</v>
          </cell>
        </row>
        <row r="62">
          <cell r="A62" t="str">
            <v>catAttackRange</v>
          </cell>
          <cell r="B62" t="str">
            <v>攻击距离</v>
          </cell>
        </row>
        <row r="63">
          <cell r="A63" t="str">
            <v>catMpRecoveryRate</v>
          </cell>
          <cell r="B63" t="str">
            <v>能量回复率</v>
          </cell>
        </row>
        <row r="64">
          <cell r="A64" t="str">
            <v>catPhyCritRate</v>
          </cell>
          <cell r="B64" t="str">
            <v>物理爆击率</v>
          </cell>
        </row>
        <row r="65">
          <cell r="A65" t="str">
            <v>catMagCritRate</v>
          </cell>
          <cell r="B65" t="str">
            <v>魔法爆击率</v>
          </cell>
        </row>
        <row r="66">
          <cell r="A66" t="str">
            <v>catPhyAtkReduceRate</v>
          </cell>
          <cell r="B66" t="str">
            <v>物理免伤率</v>
          </cell>
        </row>
        <row r="67">
          <cell r="A67" t="str">
            <v>catMagAtkReduceRate</v>
          </cell>
          <cell r="B67" t="str">
            <v>魔法免伤率</v>
          </cell>
        </row>
        <row r="68">
          <cell r="A68" t="str">
            <v>catAtkSpeedRate</v>
          </cell>
          <cell r="B68" t="str">
            <v>攻击速度</v>
          </cell>
        </row>
        <row r="69">
          <cell r="A69" t="str">
            <v>catCastSpeedRate</v>
          </cell>
          <cell r="B69" t="str">
            <v>施法速度</v>
          </cell>
        </row>
        <row r="70">
          <cell r="A70" t="str">
            <v>catCritDamageModificationRate</v>
          </cell>
          <cell r="B70" t="str">
            <v>暴击伤害倍率</v>
          </cell>
        </row>
        <row r="71">
          <cell r="A71" t="str">
            <v>catBackDamageModificationRate</v>
          </cell>
          <cell r="B71" t="str">
            <v>背击伤害加成</v>
          </cell>
        </row>
        <row r="72">
          <cell r="A72" t="str">
            <v>catBackDamageReductionRate</v>
          </cell>
          <cell r="B72" t="str">
            <v>背击伤害减免</v>
          </cell>
        </row>
        <row r="73">
          <cell r="A73" t="str">
            <v>catBlockRate</v>
          </cell>
          <cell r="B73" t="str">
            <v>格挡率</v>
          </cell>
        </row>
        <row r="74">
          <cell r="A74" t="str">
            <v>catParryRate</v>
          </cell>
          <cell r="B74" t="str">
            <v>招架率</v>
          </cell>
        </row>
        <row r="75">
          <cell r="A75" t="str">
            <v>catDodgeRate</v>
          </cell>
          <cell r="B75" t="str">
            <v>闪避率</v>
          </cell>
        </row>
        <row r="76">
          <cell r="A76" t="str">
            <v>catBlockCounterRate</v>
          </cell>
          <cell r="B76" t="str">
            <v>格挡反击率</v>
          </cell>
        </row>
        <row r="77">
          <cell r="A77" t="str">
            <v>catParryCounterRate</v>
          </cell>
          <cell r="B77" t="str">
            <v>招架反击率</v>
          </cell>
        </row>
        <row r="78">
          <cell r="A78" t="str">
            <v>catDodgeCounterRate</v>
          </cell>
          <cell r="B78" t="str">
            <v>闪避反击率</v>
          </cell>
        </row>
        <row r="79">
          <cell r="A79" t="str">
            <v>catHitRate</v>
          </cell>
          <cell r="B79" t="str">
            <v>命中率</v>
          </cell>
        </row>
        <row r="80">
          <cell r="A80" t="str">
            <v>catPhyHitRate</v>
          </cell>
          <cell r="B80" t="str">
            <v>物理命中率</v>
          </cell>
        </row>
        <row r="81">
          <cell r="A81" t="str">
            <v>catMagHitRate</v>
          </cell>
          <cell r="B81" t="str">
            <v>魔法命中率</v>
          </cell>
        </row>
        <row r="82">
          <cell r="A82" t="str">
            <v>catCooldownReductionRate</v>
          </cell>
          <cell r="B82" t="str">
            <v>冷却减少</v>
          </cell>
        </row>
        <row r="83">
          <cell r="A83" t="str">
            <v>catHumanModificationRate</v>
          </cell>
          <cell r="B83" t="str">
            <v>人形系伤害修正</v>
          </cell>
        </row>
        <row r="84">
          <cell r="A84" t="str">
            <v>catHumanlikeModificationRate</v>
          </cell>
          <cell r="B84" t="str">
            <v>类人系伤害修正</v>
          </cell>
        </row>
        <row r="85">
          <cell r="A85" t="str">
            <v>catBeastModificationRate</v>
          </cell>
          <cell r="B85" t="str">
            <v>野兽系伤害修正</v>
          </cell>
        </row>
        <row r="86">
          <cell r="A86" t="str">
            <v>catInsectModificationRate</v>
          </cell>
          <cell r="B86" t="str">
            <v>昆虫系伤害修正</v>
          </cell>
        </row>
        <row r="87">
          <cell r="A87" t="str">
            <v>catPlantModificationRate</v>
          </cell>
          <cell r="B87" t="str">
            <v>植物系伤害修正</v>
          </cell>
        </row>
        <row r="88">
          <cell r="A88" t="str">
            <v>catUndeadModificationRate</v>
          </cell>
          <cell r="B88" t="str">
            <v>不死系伤害修正</v>
          </cell>
        </row>
        <row r="89">
          <cell r="A89" t="str">
            <v>catMachineModificationRate</v>
          </cell>
          <cell r="B89" t="str">
            <v>机械系伤害修正</v>
          </cell>
        </row>
        <row r="90">
          <cell r="A90" t="str">
            <v>catDragonModificationRate</v>
          </cell>
          <cell r="B90" t="str">
            <v>龙系伤害修正</v>
          </cell>
        </row>
        <row r="91">
          <cell r="A91" t="str">
            <v>catDemonModificationRate</v>
          </cell>
          <cell r="B91" t="str">
            <v>恶魔系伤害修正</v>
          </cell>
        </row>
        <row r="92">
          <cell r="A92" t="str">
            <v>catElementsModificationRate</v>
          </cell>
          <cell r="B92" t="str">
            <v>元素系伤害修正</v>
          </cell>
        </row>
        <row r="93">
          <cell r="A93" t="str">
            <v>catBuildingModificationRate</v>
          </cell>
          <cell r="B93" t="str">
            <v>建筑系伤害修正</v>
          </cell>
        </row>
        <row r="94">
          <cell r="A94" t="str">
            <v>catProfAbilityCritRate</v>
          </cell>
          <cell r="B94" t="str">
            <v>生产技能暴击率</v>
          </cell>
        </row>
        <row r="95">
          <cell r="A95" t="str">
            <v>catQuestExpModRate</v>
          </cell>
          <cell r="B95" t="str">
            <v>任务经验值修正率</v>
          </cell>
        </row>
        <row r="96">
          <cell r="A96" t="str">
            <v>catQuestCashModRate</v>
          </cell>
          <cell r="B96" t="str">
            <v>任务金币奖励修正率</v>
          </cell>
        </row>
        <row r="97">
          <cell r="A97" t="str">
            <v>catQuestDropModRate</v>
          </cell>
          <cell r="B97" t="str">
            <v>任务掉落修正率</v>
          </cell>
        </row>
        <row r="99">
          <cell r="A99" t="str">
            <v>catDamageEnhanceRate</v>
          </cell>
          <cell r="B99" t="str">
            <v>输出伤害增幅</v>
          </cell>
        </row>
        <row r="100">
          <cell r="A100" t="str">
            <v>catHurtEnhanceRate</v>
          </cell>
          <cell r="B100" t="str">
            <v>受到伤害增幅</v>
          </cell>
        </row>
        <row r="101">
          <cell r="A101" t="str">
            <v>catPhyDamageEnhanceRate</v>
          </cell>
          <cell r="B101" t="str">
            <v>输出物理伤害增幅</v>
          </cell>
        </row>
        <row r="102">
          <cell r="A102" t="str">
            <v>catMagDamageEnhanceRate</v>
          </cell>
          <cell r="B102" t="str">
            <v>输出法术伤害增幅</v>
          </cell>
        </row>
        <row r="103">
          <cell r="A103" t="str">
            <v>catPhyHurtEnhanceRate</v>
          </cell>
          <cell r="B103" t="str">
            <v>受到物理伤害增幅</v>
          </cell>
        </row>
        <row r="104">
          <cell r="A104" t="str">
            <v>catMagHurtEnhanceRate</v>
          </cell>
          <cell r="B104" t="str">
            <v>受到法术伤害增幅</v>
          </cell>
        </row>
        <row r="105">
          <cell r="A105" t="str">
            <v>catCrit</v>
          </cell>
          <cell r="B105" t="str">
            <v>暴击</v>
          </cell>
        </row>
        <row r="106">
          <cell r="A106" t="str">
            <v>catCritResistance</v>
          </cell>
          <cell r="B106" t="str">
            <v>韧性</v>
          </cell>
        </row>
        <row r="107">
          <cell r="A107" t="str">
            <v>catAccurate</v>
          </cell>
          <cell r="B107" t="str">
            <v>精准</v>
          </cell>
        </row>
        <row r="108">
          <cell r="A108" t="str">
            <v>catDodge</v>
          </cell>
          <cell r="B108" t="str">
            <v>闪避</v>
          </cell>
        </row>
        <row r="109">
          <cell r="A109" t="str">
            <v>catCritDamage</v>
          </cell>
          <cell r="B109" t="str">
            <v>暴击伤害</v>
          </cell>
        </row>
        <row r="110">
          <cell r="A110" t="str">
            <v>catCritDamageResistance</v>
          </cell>
          <cell r="B110" t="str">
            <v>暴击伤害抵抗</v>
          </cell>
        </row>
        <row r="111">
          <cell r="A111" t="str">
            <v>catParry</v>
          </cell>
          <cell r="B111" t="str">
            <v>招架</v>
          </cell>
        </row>
        <row r="112">
          <cell r="A112" t="str">
            <v>catBlock</v>
          </cell>
          <cell r="B112" t="str">
            <v>格挡</v>
          </cell>
        </row>
        <row r="113">
          <cell r="A113" t="str">
            <v>catHit</v>
          </cell>
          <cell r="B113" t="str">
            <v>命中</v>
          </cell>
        </row>
        <row r="114">
          <cell r="A114" t="str">
            <v>catPhyPenetrationRate</v>
          </cell>
          <cell r="B114" t="str">
            <v>物理穿透率</v>
          </cell>
        </row>
        <row r="115">
          <cell r="A115" t="str">
            <v>catMagPenetrationRate</v>
          </cell>
          <cell r="B115" t="str">
            <v>魔法穿透率</v>
          </cell>
        </row>
        <row r="116">
          <cell r="A116" t="str">
            <v>ConstParam</v>
          </cell>
          <cell r="B116" t="str">
            <v>常数</v>
          </cell>
        </row>
        <row r="117">
          <cell r="A117" t="str">
            <v>catEnergyCostModificationRate</v>
          </cell>
          <cell r="B117" t="str">
            <v>能量消耗加成</v>
          </cell>
        </row>
        <row r="118">
          <cell r="A118" t="str">
            <v>AttrName</v>
          </cell>
          <cell r="B118" t="str">
            <v>属性名</v>
          </cell>
        </row>
        <row r="119">
          <cell r="A119" t="str">
            <v>catCombatParam</v>
          </cell>
          <cell r="B119" t="str">
            <v>能量回复常数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17"/>
  <sheetViews>
    <sheetView tabSelected="1" workbookViewId="0">
      <selection activeCell="H8" sqref="H8"/>
    </sheetView>
  </sheetViews>
  <sheetFormatPr defaultRowHeight="16.5" x14ac:dyDescent="0.3"/>
  <cols>
    <col min="1" max="1" width="8.88671875" style="3"/>
    <col min="2" max="2" width="27.88671875" style="3" customWidth="1"/>
    <col min="3" max="3" width="10.77734375" style="3" customWidth="1"/>
    <col min="4" max="4" width="8.88671875" style="3"/>
    <col min="5" max="5" width="12" style="3" customWidth="1"/>
    <col min="6" max="16384" width="8.88671875" style="3"/>
  </cols>
  <sheetData>
    <row r="1" spans="1:5" ht="17.25" customHeight="1" x14ac:dyDescent="0.3">
      <c r="A1" s="3" t="s">
        <v>198</v>
      </c>
      <c r="B1" s="3" t="s">
        <v>199</v>
      </c>
      <c r="C1" s="3" t="s">
        <v>200</v>
      </c>
      <c r="D1" s="3" t="s">
        <v>201</v>
      </c>
      <c r="E1" s="3" t="s">
        <v>202</v>
      </c>
    </row>
    <row r="2" spans="1:5" ht="17.25" customHeight="1" x14ac:dyDescent="0.3">
      <c r="A2" s="3" t="s">
        <v>240</v>
      </c>
      <c r="B2" s="3" t="s">
        <v>240</v>
      </c>
      <c r="C2" s="3" t="s">
        <v>240</v>
      </c>
      <c r="D2" s="3" t="s">
        <v>240</v>
      </c>
      <c r="E2" s="3" t="s">
        <v>240</v>
      </c>
    </row>
    <row r="3" spans="1:5" ht="17.25" customHeight="1" x14ac:dyDescent="0.3">
      <c r="A3" s="3" t="s">
        <v>235</v>
      </c>
      <c r="B3" s="3" t="s">
        <v>10</v>
      </c>
      <c r="C3" s="3">
        <v>1</v>
      </c>
      <c r="D3" s="3">
        <v>0</v>
      </c>
      <c r="E3" s="3">
        <v>0</v>
      </c>
    </row>
    <row r="4" spans="1:5" x14ac:dyDescent="0.3">
      <c r="A4" s="3" t="s">
        <v>235</v>
      </c>
      <c r="B4" s="3" t="s">
        <v>203</v>
      </c>
      <c r="C4" s="3">
        <v>2</v>
      </c>
      <c r="D4" s="3">
        <v>0</v>
      </c>
      <c r="E4" s="3">
        <v>0</v>
      </c>
    </row>
    <row r="5" spans="1:5" x14ac:dyDescent="0.3">
      <c r="A5" s="3" t="s">
        <v>235</v>
      </c>
      <c r="B5" s="3" t="s">
        <v>11</v>
      </c>
      <c r="C5" s="3">
        <v>1</v>
      </c>
      <c r="D5" s="3">
        <v>0</v>
      </c>
      <c r="E5" s="3">
        <v>0</v>
      </c>
    </row>
    <row r="6" spans="1:5" x14ac:dyDescent="0.3">
      <c r="A6" s="3" t="s">
        <v>235</v>
      </c>
      <c r="B6" s="3" t="s">
        <v>204</v>
      </c>
      <c r="C6" s="3">
        <v>2</v>
      </c>
      <c r="D6" s="3">
        <v>0</v>
      </c>
      <c r="E6" s="3">
        <v>0</v>
      </c>
    </row>
    <row r="7" spans="1:5" x14ac:dyDescent="0.3">
      <c r="A7" s="3" t="s">
        <v>235</v>
      </c>
      <c r="B7" s="3" t="s">
        <v>205</v>
      </c>
      <c r="C7" s="3">
        <v>2</v>
      </c>
      <c r="D7" s="3">
        <v>0</v>
      </c>
      <c r="E7" s="3">
        <v>0</v>
      </c>
    </row>
    <row r="8" spans="1:5" x14ac:dyDescent="0.3">
      <c r="A8" s="3" t="s">
        <v>235</v>
      </c>
      <c r="B8" s="3" t="s">
        <v>206</v>
      </c>
      <c r="C8" s="3">
        <v>3</v>
      </c>
      <c r="D8" s="3">
        <v>0</v>
      </c>
      <c r="E8" s="3">
        <v>0</v>
      </c>
    </row>
    <row r="9" spans="1:5" x14ac:dyDescent="0.3">
      <c r="A9" s="3" t="s">
        <v>235</v>
      </c>
      <c r="B9" s="3" t="s">
        <v>207</v>
      </c>
      <c r="C9" s="3">
        <v>2</v>
      </c>
      <c r="D9" s="3">
        <v>0</v>
      </c>
      <c r="E9" s="3">
        <v>0</v>
      </c>
    </row>
    <row r="10" spans="1:5" x14ac:dyDescent="0.3">
      <c r="A10" s="3" t="s">
        <v>235</v>
      </c>
      <c r="B10" s="3" t="s">
        <v>208</v>
      </c>
      <c r="C10" s="3">
        <v>3</v>
      </c>
      <c r="D10" s="3">
        <v>0</v>
      </c>
      <c r="E10" s="3">
        <v>0</v>
      </c>
    </row>
    <row r="11" spans="1:5" x14ac:dyDescent="0.3">
      <c r="A11" s="3" t="s">
        <v>235</v>
      </c>
      <c r="B11" s="3" t="s">
        <v>209</v>
      </c>
      <c r="C11" s="3">
        <v>2</v>
      </c>
      <c r="D11" s="3">
        <v>0</v>
      </c>
      <c r="E11" s="3">
        <v>0</v>
      </c>
    </row>
    <row r="12" spans="1:5" x14ac:dyDescent="0.3">
      <c r="A12" s="3" t="s">
        <v>235</v>
      </c>
      <c r="B12" s="3" t="s">
        <v>210</v>
      </c>
      <c r="C12" s="3">
        <v>3</v>
      </c>
      <c r="D12" s="3">
        <v>0</v>
      </c>
      <c r="E12" s="3">
        <v>0</v>
      </c>
    </row>
    <row r="13" spans="1:5" x14ac:dyDescent="0.3">
      <c r="A13" s="3" t="s">
        <v>235</v>
      </c>
      <c r="B13" s="3" t="s">
        <v>8</v>
      </c>
      <c r="C13" s="3">
        <v>100</v>
      </c>
      <c r="D13" s="3">
        <v>0</v>
      </c>
      <c r="E13" s="3">
        <v>0</v>
      </c>
    </row>
    <row r="14" spans="1:5" x14ac:dyDescent="0.3">
      <c r="A14" s="3" t="s">
        <v>235</v>
      </c>
      <c r="B14" s="3" t="s">
        <v>9</v>
      </c>
      <c r="C14" s="3">
        <v>100</v>
      </c>
      <c r="D14" s="3">
        <v>0</v>
      </c>
      <c r="E14" s="3">
        <v>0</v>
      </c>
    </row>
    <row r="15" spans="1:5" x14ac:dyDescent="0.3">
      <c r="A15" s="3" t="s">
        <v>235</v>
      </c>
      <c r="B15" s="3" t="s">
        <v>95</v>
      </c>
      <c r="C15" s="3">
        <v>0</v>
      </c>
      <c r="D15" s="3">
        <v>0</v>
      </c>
      <c r="E15" s="3">
        <v>0</v>
      </c>
    </row>
    <row r="16" spans="1:5" x14ac:dyDescent="0.3">
      <c r="A16" s="3" t="s">
        <v>235</v>
      </c>
      <c r="B16" s="3" t="s">
        <v>185</v>
      </c>
      <c r="C16" s="3">
        <v>0</v>
      </c>
      <c r="D16" s="3">
        <v>0</v>
      </c>
      <c r="E16" s="3">
        <v>0</v>
      </c>
    </row>
    <row r="17" spans="1:5" x14ac:dyDescent="0.3">
      <c r="A17" s="3" t="s">
        <v>235</v>
      </c>
      <c r="B17" s="3" t="s">
        <v>211</v>
      </c>
      <c r="C17" s="3">
        <v>0</v>
      </c>
      <c r="D17" s="3">
        <v>0</v>
      </c>
      <c r="E17" s="3">
        <v>0</v>
      </c>
    </row>
    <row r="18" spans="1:5" x14ac:dyDescent="0.3">
      <c r="A18" s="3" t="s">
        <v>235</v>
      </c>
      <c r="B18" s="3" t="s">
        <v>93</v>
      </c>
      <c r="C18" s="3">
        <v>0</v>
      </c>
      <c r="D18" s="3">
        <v>0</v>
      </c>
      <c r="E18" s="3">
        <v>0</v>
      </c>
    </row>
    <row r="19" spans="1:5" x14ac:dyDescent="0.3">
      <c r="A19" s="3" t="s">
        <v>235</v>
      </c>
      <c r="B19" s="3" t="s">
        <v>212</v>
      </c>
      <c r="C19" s="3">
        <v>0</v>
      </c>
      <c r="D19" s="3">
        <v>0</v>
      </c>
      <c r="E19" s="3">
        <v>0</v>
      </c>
    </row>
    <row r="20" spans="1:5" x14ac:dyDescent="0.3">
      <c r="A20" s="3" t="s">
        <v>235</v>
      </c>
      <c r="B20" s="3" t="s">
        <v>213</v>
      </c>
      <c r="C20" s="3">
        <v>0</v>
      </c>
      <c r="D20" s="3">
        <v>0</v>
      </c>
      <c r="E20" s="3">
        <v>0</v>
      </c>
    </row>
    <row r="21" spans="1:5" x14ac:dyDescent="0.3">
      <c r="A21" s="3" t="s">
        <v>235</v>
      </c>
      <c r="B21" s="3" t="s">
        <v>214</v>
      </c>
      <c r="C21" s="3">
        <v>0</v>
      </c>
      <c r="D21" s="3">
        <v>0</v>
      </c>
      <c r="E21" s="3">
        <v>0</v>
      </c>
    </row>
    <row r="22" spans="1:5" x14ac:dyDescent="0.3">
      <c r="A22" s="3" t="s">
        <v>235</v>
      </c>
      <c r="B22" s="3" t="s">
        <v>215</v>
      </c>
      <c r="C22" s="3">
        <v>0</v>
      </c>
      <c r="D22" s="3">
        <v>0</v>
      </c>
      <c r="E22" s="3">
        <v>0</v>
      </c>
    </row>
    <row r="23" spans="1:5" x14ac:dyDescent="0.3">
      <c r="A23" s="3" t="s">
        <v>235</v>
      </c>
      <c r="B23" s="3" t="s">
        <v>216</v>
      </c>
      <c r="C23" s="3">
        <v>0</v>
      </c>
      <c r="D23" s="3">
        <v>0</v>
      </c>
      <c r="E23" s="3">
        <v>0</v>
      </c>
    </row>
    <row r="24" spans="1:5" x14ac:dyDescent="0.3">
      <c r="A24" s="3" t="s">
        <v>235</v>
      </c>
      <c r="B24" s="3" t="s">
        <v>217</v>
      </c>
      <c r="C24" s="3">
        <v>0</v>
      </c>
      <c r="D24" s="3">
        <v>0</v>
      </c>
      <c r="E24" s="3">
        <v>0</v>
      </c>
    </row>
    <row r="25" spans="1:5" x14ac:dyDescent="0.3">
      <c r="A25" s="3" t="s">
        <v>235</v>
      </c>
      <c r="B25" s="3" t="s">
        <v>218</v>
      </c>
      <c r="C25" s="3">
        <v>0</v>
      </c>
      <c r="D25" s="3">
        <v>0</v>
      </c>
      <c r="E25" s="3">
        <v>0</v>
      </c>
    </row>
    <row r="26" spans="1:5" x14ac:dyDescent="0.3">
      <c r="A26" s="3" t="s">
        <v>235</v>
      </c>
      <c r="B26" s="3" t="s">
        <v>219</v>
      </c>
      <c r="C26" s="3">
        <v>0</v>
      </c>
      <c r="D26" s="3">
        <v>0</v>
      </c>
      <c r="E26" s="3">
        <v>0</v>
      </c>
    </row>
    <row r="27" spans="1:5" x14ac:dyDescent="0.3">
      <c r="A27" s="3" t="s">
        <v>235</v>
      </c>
      <c r="B27" s="3" t="s">
        <v>220</v>
      </c>
      <c r="C27" s="3">
        <v>0</v>
      </c>
      <c r="D27" s="3">
        <v>0</v>
      </c>
      <c r="E27" s="3">
        <v>0</v>
      </c>
    </row>
    <row r="28" spans="1:5" x14ac:dyDescent="0.3">
      <c r="A28" s="3" t="s">
        <v>235</v>
      </c>
      <c r="B28" s="3" t="s">
        <v>221</v>
      </c>
      <c r="C28" s="3">
        <v>0</v>
      </c>
      <c r="D28" s="3">
        <v>0</v>
      </c>
      <c r="E28" s="3">
        <v>0</v>
      </c>
    </row>
    <row r="29" spans="1:5" x14ac:dyDescent="0.3">
      <c r="A29" s="3" t="s">
        <v>235</v>
      </c>
      <c r="B29" s="3" t="s">
        <v>222</v>
      </c>
      <c r="C29" s="3">
        <v>0</v>
      </c>
      <c r="D29" s="3">
        <v>0</v>
      </c>
      <c r="E29" s="3">
        <v>0</v>
      </c>
    </row>
    <row r="30" spans="1:5" x14ac:dyDescent="0.3">
      <c r="A30" s="3" t="s">
        <v>235</v>
      </c>
      <c r="B30" s="3" t="s">
        <v>223</v>
      </c>
      <c r="C30" s="3">
        <v>0</v>
      </c>
      <c r="D30" s="3">
        <v>0</v>
      </c>
      <c r="E30" s="3">
        <v>0</v>
      </c>
    </row>
    <row r="31" spans="1:5" x14ac:dyDescent="0.3">
      <c r="A31" s="3" t="s">
        <v>235</v>
      </c>
      <c r="B31" s="3" t="s">
        <v>224</v>
      </c>
      <c r="C31" s="3">
        <v>0</v>
      </c>
      <c r="D31" s="3">
        <v>0</v>
      </c>
      <c r="E31" s="3">
        <v>0</v>
      </c>
    </row>
    <row r="32" spans="1:5" x14ac:dyDescent="0.3">
      <c r="A32" s="3" t="s">
        <v>235</v>
      </c>
      <c r="B32" s="3" t="s">
        <v>225</v>
      </c>
      <c r="C32" s="3">
        <v>0</v>
      </c>
      <c r="D32" s="3">
        <v>0</v>
      </c>
      <c r="E32" s="3">
        <v>0</v>
      </c>
    </row>
    <row r="33" spans="1:5" x14ac:dyDescent="0.3">
      <c r="A33" s="3" t="s">
        <v>235</v>
      </c>
      <c r="B33" s="3" t="s">
        <v>226</v>
      </c>
      <c r="C33" s="3">
        <v>0</v>
      </c>
      <c r="D33" s="3">
        <v>0</v>
      </c>
      <c r="E33" s="3">
        <v>0</v>
      </c>
    </row>
    <row r="34" spans="1:5" x14ac:dyDescent="0.3">
      <c r="A34" s="3" t="s">
        <v>235</v>
      </c>
      <c r="B34" s="3" t="s">
        <v>227</v>
      </c>
      <c r="C34" s="3">
        <v>0</v>
      </c>
      <c r="D34" s="3">
        <v>0</v>
      </c>
      <c r="E34" s="3">
        <v>0</v>
      </c>
    </row>
    <row r="35" spans="1:5" x14ac:dyDescent="0.3">
      <c r="A35" s="3" t="s">
        <v>235</v>
      </c>
      <c r="B35" s="3" t="s">
        <v>12</v>
      </c>
      <c r="C35" s="3">
        <v>75</v>
      </c>
      <c r="D35" s="3">
        <v>0</v>
      </c>
      <c r="E35" s="3">
        <v>0</v>
      </c>
    </row>
    <row r="36" spans="1:5" x14ac:dyDescent="0.3">
      <c r="A36" s="3" t="s">
        <v>235</v>
      </c>
      <c r="B36" s="3" t="s">
        <v>13</v>
      </c>
      <c r="C36" s="3">
        <v>18</v>
      </c>
      <c r="D36" s="3">
        <v>0</v>
      </c>
      <c r="E36" s="3">
        <v>0</v>
      </c>
    </row>
    <row r="37" spans="1:5" x14ac:dyDescent="0.3">
      <c r="A37" s="3" t="s">
        <v>235</v>
      </c>
      <c r="B37" s="3" t="s">
        <v>228</v>
      </c>
      <c r="C37" s="3">
        <v>300</v>
      </c>
      <c r="D37" s="3">
        <v>0</v>
      </c>
      <c r="E37" s="3">
        <v>0</v>
      </c>
    </row>
    <row r="38" spans="1:5" x14ac:dyDescent="0.3">
      <c r="A38" s="3" t="s">
        <v>235</v>
      </c>
      <c r="B38" s="3" t="s">
        <v>229</v>
      </c>
      <c r="C38" s="3">
        <v>800</v>
      </c>
      <c r="D38" s="3">
        <v>0</v>
      </c>
      <c r="E38" s="3">
        <v>0</v>
      </c>
    </row>
    <row r="39" spans="1:5" x14ac:dyDescent="0.3">
      <c r="A39" s="3" t="s">
        <v>235</v>
      </c>
      <c r="B39" s="3" t="s">
        <v>230</v>
      </c>
      <c r="C39" s="3">
        <v>50</v>
      </c>
      <c r="D39" s="3">
        <v>0</v>
      </c>
      <c r="E39" s="3">
        <v>0</v>
      </c>
    </row>
    <row r="40" spans="1:5" x14ac:dyDescent="0.3">
      <c r="A40" s="3" t="s">
        <v>235</v>
      </c>
      <c r="B40" s="3" t="s">
        <v>58</v>
      </c>
      <c r="C40" s="3">
        <v>10000</v>
      </c>
      <c r="D40" s="3">
        <v>0</v>
      </c>
      <c r="E40" s="3">
        <v>0</v>
      </c>
    </row>
    <row r="41" spans="1:5" x14ac:dyDescent="0.3">
      <c r="A41" s="3" t="s">
        <v>235</v>
      </c>
      <c r="B41" s="3" t="s">
        <v>231</v>
      </c>
      <c r="C41" s="3">
        <v>0</v>
      </c>
      <c r="D41" s="3">
        <v>0</v>
      </c>
      <c r="E41" s="3">
        <v>0</v>
      </c>
    </row>
    <row r="42" spans="1:5" x14ac:dyDescent="0.3">
      <c r="A42" s="3" t="s">
        <v>235</v>
      </c>
      <c r="B42" s="3" t="s">
        <v>232</v>
      </c>
      <c r="C42" s="3">
        <v>0</v>
      </c>
      <c r="D42" s="3">
        <v>0</v>
      </c>
      <c r="E42" s="3">
        <v>0</v>
      </c>
    </row>
    <row r="43" spans="1:5" x14ac:dyDescent="0.3">
      <c r="A43" s="3" t="s">
        <v>235</v>
      </c>
      <c r="B43" s="3" t="s">
        <v>233</v>
      </c>
      <c r="C43" s="3">
        <v>0</v>
      </c>
      <c r="D43" s="3">
        <v>0</v>
      </c>
      <c r="E43" s="3">
        <v>0</v>
      </c>
    </row>
    <row r="44" spans="1:5" x14ac:dyDescent="0.3">
      <c r="A44" s="3" t="s">
        <v>235</v>
      </c>
      <c r="B44" s="3" t="s">
        <v>234</v>
      </c>
      <c r="C44" s="3">
        <v>0</v>
      </c>
      <c r="D44" s="3">
        <v>0</v>
      </c>
      <c r="E44" s="3">
        <v>0</v>
      </c>
    </row>
    <row r="45" spans="1:5" x14ac:dyDescent="0.3">
      <c r="A45" s="3" t="s">
        <v>235</v>
      </c>
      <c r="B45" s="3" t="s">
        <v>18</v>
      </c>
      <c r="C45" s="3">
        <v>0</v>
      </c>
      <c r="D45" s="3">
        <v>0</v>
      </c>
      <c r="E45" s="3">
        <v>0</v>
      </c>
    </row>
    <row r="46" spans="1:5" x14ac:dyDescent="0.3">
      <c r="A46" s="3" t="s">
        <v>236</v>
      </c>
      <c r="B46" s="3" t="s">
        <v>10</v>
      </c>
      <c r="C46" s="3">
        <v>1</v>
      </c>
      <c r="D46" s="3">
        <v>0</v>
      </c>
      <c r="E46" s="3">
        <v>0</v>
      </c>
    </row>
    <row r="47" spans="1:5" x14ac:dyDescent="0.3">
      <c r="A47" s="3" t="s">
        <v>236</v>
      </c>
      <c r="B47" s="3" t="s">
        <v>203</v>
      </c>
      <c r="C47" s="3">
        <v>2</v>
      </c>
      <c r="D47" s="3">
        <v>0</v>
      </c>
      <c r="E47" s="3">
        <v>0</v>
      </c>
    </row>
    <row r="48" spans="1:5" x14ac:dyDescent="0.3">
      <c r="A48" s="3" t="s">
        <v>236</v>
      </c>
      <c r="B48" s="3" t="s">
        <v>11</v>
      </c>
      <c r="C48" s="3">
        <v>1</v>
      </c>
      <c r="D48" s="3">
        <v>0</v>
      </c>
      <c r="E48" s="3">
        <v>0</v>
      </c>
    </row>
    <row r="49" spans="1:5" x14ac:dyDescent="0.3">
      <c r="A49" s="3" t="s">
        <v>236</v>
      </c>
      <c r="B49" s="3" t="s">
        <v>204</v>
      </c>
      <c r="C49" s="3">
        <v>2</v>
      </c>
      <c r="D49" s="3">
        <v>0</v>
      </c>
      <c r="E49" s="3">
        <v>0</v>
      </c>
    </row>
    <row r="50" spans="1:5" x14ac:dyDescent="0.3">
      <c r="A50" s="3" t="s">
        <v>236</v>
      </c>
      <c r="B50" s="3" t="s">
        <v>205</v>
      </c>
      <c r="C50" s="3">
        <v>2</v>
      </c>
      <c r="D50" s="3">
        <v>0</v>
      </c>
      <c r="E50" s="3">
        <v>0</v>
      </c>
    </row>
    <row r="51" spans="1:5" x14ac:dyDescent="0.3">
      <c r="A51" s="3" t="s">
        <v>236</v>
      </c>
      <c r="B51" s="3" t="s">
        <v>206</v>
      </c>
      <c r="C51" s="3">
        <v>3</v>
      </c>
      <c r="D51" s="3">
        <v>0</v>
      </c>
      <c r="E51" s="3">
        <v>0</v>
      </c>
    </row>
    <row r="52" spans="1:5" x14ac:dyDescent="0.3">
      <c r="A52" s="3" t="s">
        <v>236</v>
      </c>
      <c r="B52" s="3" t="s">
        <v>207</v>
      </c>
      <c r="C52" s="3">
        <v>2</v>
      </c>
      <c r="D52" s="3">
        <v>0</v>
      </c>
      <c r="E52" s="3">
        <v>0</v>
      </c>
    </row>
    <row r="53" spans="1:5" x14ac:dyDescent="0.3">
      <c r="A53" s="3" t="s">
        <v>236</v>
      </c>
      <c r="B53" s="3" t="s">
        <v>208</v>
      </c>
      <c r="C53" s="3">
        <v>3</v>
      </c>
      <c r="D53" s="3">
        <v>0</v>
      </c>
      <c r="E53" s="3">
        <v>0</v>
      </c>
    </row>
    <row r="54" spans="1:5" x14ac:dyDescent="0.3">
      <c r="A54" s="3" t="s">
        <v>236</v>
      </c>
      <c r="B54" s="3" t="s">
        <v>209</v>
      </c>
      <c r="C54" s="3">
        <v>2</v>
      </c>
      <c r="D54" s="3">
        <v>0</v>
      </c>
      <c r="E54" s="3">
        <v>0</v>
      </c>
    </row>
    <row r="55" spans="1:5" x14ac:dyDescent="0.3">
      <c r="A55" s="3" t="s">
        <v>236</v>
      </c>
      <c r="B55" s="3" t="s">
        <v>210</v>
      </c>
      <c r="C55" s="3">
        <v>3</v>
      </c>
      <c r="D55" s="3">
        <v>0</v>
      </c>
      <c r="E55" s="3">
        <v>0</v>
      </c>
    </row>
    <row r="56" spans="1:5" x14ac:dyDescent="0.3">
      <c r="A56" s="3" t="s">
        <v>236</v>
      </c>
      <c r="B56" s="3" t="s">
        <v>8</v>
      </c>
      <c r="C56" s="3">
        <v>100</v>
      </c>
      <c r="D56" s="3">
        <v>0</v>
      </c>
      <c r="E56" s="3">
        <v>0</v>
      </c>
    </row>
    <row r="57" spans="1:5" x14ac:dyDescent="0.3">
      <c r="A57" s="3" t="s">
        <v>236</v>
      </c>
      <c r="B57" s="3" t="s">
        <v>9</v>
      </c>
      <c r="C57" s="3">
        <v>100</v>
      </c>
      <c r="D57" s="3">
        <v>0</v>
      </c>
      <c r="E57" s="3">
        <v>0</v>
      </c>
    </row>
    <row r="58" spans="1:5" x14ac:dyDescent="0.3">
      <c r="A58" s="3" t="s">
        <v>236</v>
      </c>
      <c r="B58" s="3" t="s">
        <v>95</v>
      </c>
      <c r="C58" s="3">
        <v>0</v>
      </c>
      <c r="D58" s="3">
        <v>0</v>
      </c>
      <c r="E58" s="3">
        <v>0</v>
      </c>
    </row>
    <row r="59" spans="1:5" x14ac:dyDescent="0.3">
      <c r="A59" s="3" t="s">
        <v>236</v>
      </c>
      <c r="B59" s="3" t="s">
        <v>185</v>
      </c>
      <c r="C59" s="3">
        <v>0</v>
      </c>
      <c r="D59" s="3">
        <v>0</v>
      </c>
      <c r="E59" s="3">
        <v>0</v>
      </c>
    </row>
    <row r="60" spans="1:5" x14ac:dyDescent="0.3">
      <c r="A60" s="3" t="s">
        <v>236</v>
      </c>
      <c r="B60" s="3" t="s">
        <v>211</v>
      </c>
      <c r="C60" s="3">
        <v>0</v>
      </c>
      <c r="D60" s="3">
        <v>0</v>
      </c>
      <c r="E60" s="3">
        <v>0</v>
      </c>
    </row>
    <row r="61" spans="1:5" x14ac:dyDescent="0.3">
      <c r="A61" s="3" t="s">
        <v>236</v>
      </c>
      <c r="B61" s="3" t="s">
        <v>93</v>
      </c>
      <c r="C61" s="3">
        <v>0</v>
      </c>
      <c r="D61" s="3">
        <v>0</v>
      </c>
      <c r="E61" s="3">
        <v>0</v>
      </c>
    </row>
    <row r="62" spans="1:5" x14ac:dyDescent="0.3">
      <c r="A62" s="3" t="s">
        <v>236</v>
      </c>
      <c r="B62" s="3" t="s">
        <v>212</v>
      </c>
      <c r="C62" s="3">
        <v>0</v>
      </c>
      <c r="D62" s="3">
        <v>0</v>
      </c>
      <c r="E62" s="3">
        <v>0</v>
      </c>
    </row>
    <row r="63" spans="1:5" x14ac:dyDescent="0.3">
      <c r="A63" s="3" t="s">
        <v>236</v>
      </c>
      <c r="B63" s="3" t="s">
        <v>213</v>
      </c>
      <c r="C63" s="3">
        <v>0</v>
      </c>
      <c r="D63" s="3">
        <v>0</v>
      </c>
      <c r="E63" s="3">
        <v>0</v>
      </c>
    </row>
    <row r="64" spans="1:5" x14ac:dyDescent="0.3">
      <c r="A64" s="3" t="s">
        <v>236</v>
      </c>
      <c r="B64" s="3" t="s">
        <v>214</v>
      </c>
      <c r="C64" s="3">
        <v>0</v>
      </c>
      <c r="D64" s="3">
        <v>0</v>
      </c>
      <c r="E64" s="3">
        <v>0</v>
      </c>
    </row>
    <row r="65" spans="1:5" x14ac:dyDescent="0.3">
      <c r="A65" s="3" t="s">
        <v>236</v>
      </c>
      <c r="B65" s="3" t="s">
        <v>215</v>
      </c>
      <c r="C65" s="3">
        <v>0</v>
      </c>
      <c r="D65" s="3">
        <v>0</v>
      </c>
      <c r="E65" s="3">
        <v>0</v>
      </c>
    </row>
    <row r="66" spans="1:5" x14ac:dyDescent="0.3">
      <c r="A66" s="3" t="s">
        <v>236</v>
      </c>
      <c r="B66" s="3" t="s">
        <v>216</v>
      </c>
      <c r="C66" s="3">
        <v>0</v>
      </c>
      <c r="D66" s="3">
        <v>0</v>
      </c>
      <c r="E66" s="3">
        <v>0</v>
      </c>
    </row>
    <row r="67" spans="1:5" x14ac:dyDescent="0.3">
      <c r="A67" s="3" t="s">
        <v>236</v>
      </c>
      <c r="B67" s="3" t="s">
        <v>217</v>
      </c>
      <c r="C67" s="3">
        <v>0</v>
      </c>
      <c r="D67" s="3">
        <v>0</v>
      </c>
      <c r="E67" s="3">
        <v>0</v>
      </c>
    </row>
    <row r="68" spans="1:5" x14ac:dyDescent="0.3">
      <c r="A68" s="3" t="s">
        <v>236</v>
      </c>
      <c r="B68" s="3" t="s">
        <v>218</v>
      </c>
      <c r="C68" s="3">
        <v>0</v>
      </c>
      <c r="D68" s="3">
        <v>0</v>
      </c>
      <c r="E68" s="3">
        <v>0</v>
      </c>
    </row>
    <row r="69" spans="1:5" x14ac:dyDescent="0.3">
      <c r="A69" s="3" t="s">
        <v>236</v>
      </c>
      <c r="B69" s="3" t="s">
        <v>219</v>
      </c>
      <c r="C69" s="3">
        <v>0</v>
      </c>
      <c r="D69" s="3">
        <v>0</v>
      </c>
      <c r="E69" s="3">
        <v>0</v>
      </c>
    </row>
    <row r="70" spans="1:5" x14ac:dyDescent="0.3">
      <c r="A70" s="3" t="s">
        <v>236</v>
      </c>
      <c r="B70" s="3" t="s">
        <v>220</v>
      </c>
      <c r="C70" s="3">
        <v>0</v>
      </c>
      <c r="D70" s="3">
        <v>0</v>
      </c>
      <c r="E70" s="3">
        <v>0</v>
      </c>
    </row>
    <row r="71" spans="1:5" x14ac:dyDescent="0.3">
      <c r="A71" s="3" t="s">
        <v>236</v>
      </c>
      <c r="B71" s="3" t="s">
        <v>221</v>
      </c>
      <c r="C71" s="3">
        <v>0</v>
      </c>
      <c r="D71" s="3">
        <v>0</v>
      </c>
      <c r="E71" s="3">
        <v>0</v>
      </c>
    </row>
    <row r="72" spans="1:5" x14ac:dyDescent="0.3">
      <c r="A72" s="3" t="s">
        <v>236</v>
      </c>
      <c r="B72" s="3" t="s">
        <v>222</v>
      </c>
      <c r="C72" s="3">
        <v>0</v>
      </c>
      <c r="D72" s="3">
        <v>0</v>
      </c>
      <c r="E72" s="3">
        <v>0</v>
      </c>
    </row>
    <row r="73" spans="1:5" x14ac:dyDescent="0.3">
      <c r="A73" s="3" t="s">
        <v>236</v>
      </c>
      <c r="B73" s="3" t="s">
        <v>223</v>
      </c>
      <c r="C73" s="3">
        <v>0</v>
      </c>
      <c r="D73" s="3">
        <v>0</v>
      </c>
      <c r="E73" s="3">
        <v>0</v>
      </c>
    </row>
    <row r="74" spans="1:5" x14ac:dyDescent="0.3">
      <c r="A74" s="3" t="s">
        <v>236</v>
      </c>
      <c r="B74" s="3" t="s">
        <v>224</v>
      </c>
      <c r="C74" s="3">
        <v>0</v>
      </c>
      <c r="D74" s="3">
        <v>0</v>
      </c>
      <c r="E74" s="3">
        <v>0</v>
      </c>
    </row>
    <row r="75" spans="1:5" x14ac:dyDescent="0.3">
      <c r="A75" s="3" t="s">
        <v>236</v>
      </c>
      <c r="B75" s="3" t="s">
        <v>225</v>
      </c>
      <c r="C75" s="3">
        <v>0</v>
      </c>
      <c r="D75" s="3">
        <v>0</v>
      </c>
      <c r="E75" s="3">
        <v>0</v>
      </c>
    </row>
    <row r="76" spans="1:5" x14ac:dyDescent="0.3">
      <c r="A76" s="3" t="s">
        <v>236</v>
      </c>
      <c r="B76" s="3" t="s">
        <v>226</v>
      </c>
      <c r="C76" s="3">
        <v>0</v>
      </c>
      <c r="D76" s="3">
        <v>0</v>
      </c>
      <c r="E76" s="3">
        <v>0</v>
      </c>
    </row>
    <row r="77" spans="1:5" x14ac:dyDescent="0.3">
      <c r="A77" s="3" t="s">
        <v>236</v>
      </c>
      <c r="B77" s="3" t="s">
        <v>227</v>
      </c>
      <c r="C77" s="3">
        <v>0</v>
      </c>
      <c r="D77" s="3">
        <v>0</v>
      </c>
      <c r="E77" s="3">
        <v>0</v>
      </c>
    </row>
    <row r="78" spans="1:5" x14ac:dyDescent="0.3">
      <c r="A78" s="3" t="s">
        <v>236</v>
      </c>
      <c r="B78" s="3" t="s">
        <v>12</v>
      </c>
      <c r="C78" s="3">
        <v>75</v>
      </c>
      <c r="D78" s="3">
        <v>0</v>
      </c>
      <c r="E78" s="3">
        <v>0</v>
      </c>
    </row>
    <row r="79" spans="1:5" x14ac:dyDescent="0.3">
      <c r="A79" s="3" t="s">
        <v>236</v>
      </c>
      <c r="B79" s="3" t="s">
        <v>13</v>
      </c>
      <c r="C79" s="3">
        <v>18</v>
      </c>
      <c r="D79" s="3">
        <v>0</v>
      </c>
      <c r="E79" s="3">
        <v>0</v>
      </c>
    </row>
    <row r="80" spans="1:5" x14ac:dyDescent="0.3">
      <c r="A80" s="3" t="s">
        <v>236</v>
      </c>
      <c r="B80" s="3" t="s">
        <v>228</v>
      </c>
      <c r="C80" s="3">
        <v>300</v>
      </c>
      <c r="D80" s="3">
        <v>0</v>
      </c>
      <c r="E80" s="3">
        <v>0</v>
      </c>
    </row>
    <row r="81" spans="1:5" x14ac:dyDescent="0.3">
      <c r="A81" s="3" t="s">
        <v>236</v>
      </c>
      <c r="B81" s="3" t="s">
        <v>229</v>
      </c>
      <c r="C81" s="3">
        <v>800</v>
      </c>
      <c r="D81" s="3">
        <v>0</v>
      </c>
      <c r="E81" s="3">
        <v>0</v>
      </c>
    </row>
    <row r="82" spans="1:5" x14ac:dyDescent="0.3">
      <c r="A82" s="3" t="s">
        <v>236</v>
      </c>
      <c r="B82" s="3" t="s">
        <v>230</v>
      </c>
      <c r="C82" s="3">
        <v>50</v>
      </c>
      <c r="D82" s="3">
        <v>0</v>
      </c>
      <c r="E82" s="3">
        <v>0</v>
      </c>
    </row>
    <row r="83" spans="1:5" x14ac:dyDescent="0.3">
      <c r="A83" s="3" t="s">
        <v>236</v>
      </c>
      <c r="B83" s="3" t="s">
        <v>58</v>
      </c>
      <c r="C83" s="3">
        <v>10000</v>
      </c>
      <c r="D83" s="3">
        <v>0</v>
      </c>
      <c r="E83" s="3">
        <v>0</v>
      </c>
    </row>
    <row r="84" spans="1:5" x14ac:dyDescent="0.3">
      <c r="A84" s="3" t="s">
        <v>236</v>
      </c>
      <c r="B84" s="3" t="s">
        <v>231</v>
      </c>
      <c r="C84" s="3">
        <v>0</v>
      </c>
      <c r="D84" s="3">
        <v>0</v>
      </c>
      <c r="E84" s="3">
        <v>0</v>
      </c>
    </row>
    <row r="85" spans="1:5" x14ac:dyDescent="0.3">
      <c r="A85" s="3" t="s">
        <v>236</v>
      </c>
      <c r="B85" s="3" t="s">
        <v>232</v>
      </c>
      <c r="C85" s="3">
        <v>0</v>
      </c>
      <c r="D85" s="3">
        <v>0</v>
      </c>
      <c r="E85" s="3">
        <v>0</v>
      </c>
    </row>
    <row r="86" spans="1:5" x14ac:dyDescent="0.3">
      <c r="A86" s="3" t="s">
        <v>236</v>
      </c>
      <c r="B86" s="3" t="s">
        <v>233</v>
      </c>
      <c r="C86" s="3">
        <v>0</v>
      </c>
      <c r="D86" s="3">
        <v>0</v>
      </c>
      <c r="E86" s="3">
        <v>0</v>
      </c>
    </row>
    <row r="87" spans="1:5" x14ac:dyDescent="0.3">
      <c r="A87" s="3" t="s">
        <v>236</v>
      </c>
      <c r="B87" s="3" t="s">
        <v>234</v>
      </c>
      <c r="C87" s="3">
        <v>0</v>
      </c>
      <c r="D87" s="3">
        <v>0</v>
      </c>
      <c r="E87" s="3">
        <v>0</v>
      </c>
    </row>
    <row r="88" spans="1:5" x14ac:dyDescent="0.3">
      <c r="A88" s="3" t="s">
        <v>236</v>
      </c>
      <c r="B88" s="3" t="s">
        <v>18</v>
      </c>
      <c r="C88" s="3">
        <v>0</v>
      </c>
      <c r="D88" s="3">
        <v>0</v>
      </c>
      <c r="E88" s="3">
        <v>0</v>
      </c>
    </row>
    <row r="89" spans="1:5" x14ac:dyDescent="0.3">
      <c r="A89" s="3" t="s">
        <v>237</v>
      </c>
      <c r="B89" s="3" t="s">
        <v>10</v>
      </c>
      <c r="C89" s="3">
        <v>1</v>
      </c>
      <c r="D89" s="3">
        <v>0</v>
      </c>
      <c r="E89" s="3">
        <v>0</v>
      </c>
    </row>
    <row r="90" spans="1:5" x14ac:dyDescent="0.3">
      <c r="A90" s="3" t="s">
        <v>237</v>
      </c>
      <c r="B90" s="3" t="s">
        <v>203</v>
      </c>
      <c r="C90" s="3">
        <v>2</v>
      </c>
      <c r="D90" s="3">
        <v>0</v>
      </c>
      <c r="E90" s="3">
        <v>0</v>
      </c>
    </row>
    <row r="91" spans="1:5" x14ac:dyDescent="0.3">
      <c r="A91" s="3" t="s">
        <v>237</v>
      </c>
      <c r="B91" s="3" t="s">
        <v>11</v>
      </c>
      <c r="C91" s="3">
        <v>1</v>
      </c>
      <c r="D91" s="3">
        <v>0</v>
      </c>
      <c r="E91" s="3">
        <v>0</v>
      </c>
    </row>
    <row r="92" spans="1:5" x14ac:dyDescent="0.3">
      <c r="A92" s="3" t="s">
        <v>237</v>
      </c>
      <c r="B92" s="3" t="s">
        <v>204</v>
      </c>
      <c r="C92" s="3">
        <v>2</v>
      </c>
      <c r="D92" s="3">
        <v>0</v>
      </c>
      <c r="E92" s="3">
        <v>0</v>
      </c>
    </row>
    <row r="93" spans="1:5" x14ac:dyDescent="0.3">
      <c r="A93" s="3" t="s">
        <v>237</v>
      </c>
      <c r="B93" s="3" t="s">
        <v>205</v>
      </c>
      <c r="C93" s="3">
        <v>2</v>
      </c>
      <c r="D93" s="3">
        <v>0</v>
      </c>
      <c r="E93" s="3">
        <v>0</v>
      </c>
    </row>
    <row r="94" spans="1:5" x14ac:dyDescent="0.3">
      <c r="A94" s="3" t="s">
        <v>237</v>
      </c>
      <c r="B94" s="3" t="s">
        <v>206</v>
      </c>
      <c r="C94" s="3">
        <v>3</v>
      </c>
      <c r="D94" s="3">
        <v>0</v>
      </c>
      <c r="E94" s="3">
        <v>0</v>
      </c>
    </row>
    <row r="95" spans="1:5" x14ac:dyDescent="0.3">
      <c r="A95" s="3" t="s">
        <v>237</v>
      </c>
      <c r="B95" s="3" t="s">
        <v>207</v>
      </c>
      <c r="C95" s="3">
        <v>2</v>
      </c>
      <c r="D95" s="3">
        <v>0</v>
      </c>
      <c r="E95" s="3">
        <v>0</v>
      </c>
    </row>
    <row r="96" spans="1:5" x14ac:dyDescent="0.3">
      <c r="A96" s="3" t="s">
        <v>237</v>
      </c>
      <c r="B96" s="3" t="s">
        <v>208</v>
      </c>
      <c r="C96" s="3">
        <v>3</v>
      </c>
      <c r="D96" s="3">
        <v>0</v>
      </c>
      <c r="E96" s="3">
        <v>0</v>
      </c>
    </row>
    <row r="97" spans="1:5" x14ac:dyDescent="0.3">
      <c r="A97" s="3" t="s">
        <v>237</v>
      </c>
      <c r="B97" s="3" t="s">
        <v>209</v>
      </c>
      <c r="C97" s="3">
        <v>2</v>
      </c>
      <c r="D97" s="3">
        <v>0</v>
      </c>
      <c r="E97" s="3">
        <v>0</v>
      </c>
    </row>
    <row r="98" spans="1:5" x14ac:dyDescent="0.3">
      <c r="A98" s="3" t="s">
        <v>237</v>
      </c>
      <c r="B98" s="3" t="s">
        <v>210</v>
      </c>
      <c r="C98" s="3">
        <v>3</v>
      </c>
      <c r="D98" s="3">
        <v>0</v>
      </c>
      <c r="E98" s="3">
        <v>0</v>
      </c>
    </row>
    <row r="99" spans="1:5" x14ac:dyDescent="0.3">
      <c r="A99" s="3" t="s">
        <v>237</v>
      </c>
      <c r="B99" s="3" t="s">
        <v>8</v>
      </c>
      <c r="C99" s="3">
        <v>100</v>
      </c>
      <c r="D99" s="3">
        <v>0</v>
      </c>
      <c r="E99" s="3">
        <v>0</v>
      </c>
    </row>
    <row r="100" spans="1:5" x14ac:dyDescent="0.3">
      <c r="A100" s="3" t="s">
        <v>237</v>
      </c>
      <c r="B100" s="3" t="s">
        <v>9</v>
      </c>
      <c r="C100" s="3">
        <v>100</v>
      </c>
      <c r="D100" s="3">
        <v>0</v>
      </c>
      <c r="E100" s="3">
        <v>0</v>
      </c>
    </row>
    <row r="101" spans="1:5" x14ac:dyDescent="0.3">
      <c r="A101" s="3" t="s">
        <v>237</v>
      </c>
      <c r="B101" s="3" t="s">
        <v>95</v>
      </c>
      <c r="C101" s="3">
        <v>0</v>
      </c>
      <c r="D101" s="3">
        <v>0</v>
      </c>
      <c r="E101" s="3">
        <v>0</v>
      </c>
    </row>
    <row r="102" spans="1:5" x14ac:dyDescent="0.3">
      <c r="A102" s="3" t="s">
        <v>237</v>
      </c>
      <c r="B102" s="3" t="s">
        <v>185</v>
      </c>
      <c r="C102" s="3">
        <v>0</v>
      </c>
      <c r="D102" s="3">
        <v>0</v>
      </c>
      <c r="E102" s="3">
        <v>0</v>
      </c>
    </row>
    <row r="103" spans="1:5" x14ac:dyDescent="0.3">
      <c r="A103" s="3" t="s">
        <v>237</v>
      </c>
      <c r="B103" s="3" t="s">
        <v>211</v>
      </c>
      <c r="C103" s="3">
        <v>0</v>
      </c>
      <c r="D103" s="3">
        <v>0</v>
      </c>
      <c r="E103" s="3">
        <v>0</v>
      </c>
    </row>
    <row r="104" spans="1:5" x14ac:dyDescent="0.3">
      <c r="A104" s="3" t="s">
        <v>237</v>
      </c>
      <c r="B104" s="3" t="s">
        <v>93</v>
      </c>
      <c r="C104" s="3">
        <v>0</v>
      </c>
      <c r="D104" s="3">
        <v>0</v>
      </c>
      <c r="E104" s="3">
        <v>0</v>
      </c>
    </row>
    <row r="105" spans="1:5" x14ac:dyDescent="0.3">
      <c r="A105" s="3" t="s">
        <v>237</v>
      </c>
      <c r="B105" s="3" t="s">
        <v>212</v>
      </c>
      <c r="C105" s="3">
        <v>0</v>
      </c>
      <c r="D105" s="3">
        <v>0</v>
      </c>
      <c r="E105" s="3">
        <v>0</v>
      </c>
    </row>
    <row r="106" spans="1:5" x14ac:dyDescent="0.3">
      <c r="A106" s="3" t="s">
        <v>237</v>
      </c>
      <c r="B106" s="3" t="s">
        <v>213</v>
      </c>
      <c r="C106" s="3">
        <v>0</v>
      </c>
      <c r="D106" s="3">
        <v>0</v>
      </c>
      <c r="E106" s="3">
        <v>0</v>
      </c>
    </row>
    <row r="107" spans="1:5" x14ac:dyDescent="0.3">
      <c r="A107" s="3" t="s">
        <v>237</v>
      </c>
      <c r="B107" s="3" t="s">
        <v>214</v>
      </c>
      <c r="C107" s="3">
        <v>0</v>
      </c>
      <c r="D107" s="3">
        <v>0</v>
      </c>
      <c r="E107" s="3">
        <v>0</v>
      </c>
    </row>
    <row r="108" spans="1:5" x14ac:dyDescent="0.3">
      <c r="A108" s="3" t="s">
        <v>237</v>
      </c>
      <c r="B108" s="3" t="s">
        <v>215</v>
      </c>
      <c r="C108" s="3">
        <v>0</v>
      </c>
      <c r="D108" s="3">
        <v>0</v>
      </c>
      <c r="E108" s="3">
        <v>0</v>
      </c>
    </row>
    <row r="109" spans="1:5" x14ac:dyDescent="0.3">
      <c r="A109" s="3" t="s">
        <v>237</v>
      </c>
      <c r="B109" s="3" t="s">
        <v>216</v>
      </c>
      <c r="C109" s="3">
        <v>0</v>
      </c>
      <c r="D109" s="3">
        <v>0</v>
      </c>
      <c r="E109" s="3">
        <v>0</v>
      </c>
    </row>
    <row r="110" spans="1:5" x14ac:dyDescent="0.3">
      <c r="A110" s="3" t="s">
        <v>237</v>
      </c>
      <c r="B110" s="3" t="s">
        <v>217</v>
      </c>
      <c r="C110" s="3">
        <v>0</v>
      </c>
      <c r="D110" s="3">
        <v>0</v>
      </c>
      <c r="E110" s="3">
        <v>0</v>
      </c>
    </row>
    <row r="111" spans="1:5" x14ac:dyDescent="0.3">
      <c r="A111" s="3" t="s">
        <v>237</v>
      </c>
      <c r="B111" s="3" t="s">
        <v>218</v>
      </c>
      <c r="C111" s="3">
        <v>0</v>
      </c>
      <c r="D111" s="3">
        <v>0</v>
      </c>
      <c r="E111" s="3">
        <v>0</v>
      </c>
    </row>
    <row r="112" spans="1:5" x14ac:dyDescent="0.3">
      <c r="A112" s="3" t="s">
        <v>237</v>
      </c>
      <c r="B112" s="3" t="s">
        <v>219</v>
      </c>
      <c r="C112" s="3">
        <v>0</v>
      </c>
      <c r="D112" s="3">
        <v>0</v>
      </c>
      <c r="E112" s="3">
        <v>0</v>
      </c>
    </row>
    <row r="113" spans="1:5" x14ac:dyDescent="0.3">
      <c r="A113" s="3" t="s">
        <v>237</v>
      </c>
      <c r="B113" s="3" t="s">
        <v>220</v>
      </c>
      <c r="C113" s="3">
        <v>0</v>
      </c>
      <c r="D113" s="3">
        <v>0</v>
      </c>
      <c r="E113" s="3">
        <v>0</v>
      </c>
    </row>
    <row r="114" spans="1:5" x14ac:dyDescent="0.3">
      <c r="A114" s="3" t="s">
        <v>237</v>
      </c>
      <c r="B114" s="3" t="s">
        <v>221</v>
      </c>
      <c r="C114" s="3">
        <v>0</v>
      </c>
      <c r="D114" s="3">
        <v>0</v>
      </c>
      <c r="E114" s="3">
        <v>0</v>
      </c>
    </row>
    <row r="115" spans="1:5" x14ac:dyDescent="0.3">
      <c r="A115" s="3" t="s">
        <v>237</v>
      </c>
      <c r="B115" s="3" t="s">
        <v>222</v>
      </c>
      <c r="C115" s="3">
        <v>0</v>
      </c>
      <c r="D115" s="3">
        <v>0</v>
      </c>
      <c r="E115" s="3">
        <v>0</v>
      </c>
    </row>
    <row r="116" spans="1:5" x14ac:dyDescent="0.3">
      <c r="A116" s="3" t="s">
        <v>237</v>
      </c>
      <c r="B116" s="3" t="s">
        <v>223</v>
      </c>
      <c r="C116" s="3">
        <v>0</v>
      </c>
      <c r="D116" s="3">
        <v>0</v>
      </c>
      <c r="E116" s="3">
        <v>0</v>
      </c>
    </row>
    <row r="117" spans="1:5" x14ac:dyDescent="0.3">
      <c r="A117" s="3" t="s">
        <v>237</v>
      </c>
      <c r="B117" s="3" t="s">
        <v>224</v>
      </c>
      <c r="C117" s="3">
        <v>0</v>
      </c>
      <c r="D117" s="3">
        <v>0</v>
      </c>
      <c r="E117" s="3">
        <v>0</v>
      </c>
    </row>
    <row r="118" spans="1:5" x14ac:dyDescent="0.3">
      <c r="A118" s="3" t="s">
        <v>237</v>
      </c>
      <c r="B118" s="3" t="s">
        <v>225</v>
      </c>
      <c r="C118" s="3">
        <v>0</v>
      </c>
      <c r="D118" s="3">
        <v>0</v>
      </c>
      <c r="E118" s="3">
        <v>0</v>
      </c>
    </row>
    <row r="119" spans="1:5" x14ac:dyDescent="0.3">
      <c r="A119" s="3" t="s">
        <v>237</v>
      </c>
      <c r="B119" s="3" t="s">
        <v>226</v>
      </c>
      <c r="C119" s="3">
        <v>0</v>
      </c>
      <c r="D119" s="3">
        <v>0</v>
      </c>
      <c r="E119" s="3">
        <v>0</v>
      </c>
    </row>
    <row r="120" spans="1:5" x14ac:dyDescent="0.3">
      <c r="A120" s="3" t="s">
        <v>237</v>
      </c>
      <c r="B120" s="3" t="s">
        <v>227</v>
      </c>
      <c r="C120" s="3">
        <v>0</v>
      </c>
      <c r="D120" s="3">
        <v>0</v>
      </c>
      <c r="E120" s="3">
        <v>0</v>
      </c>
    </row>
    <row r="121" spans="1:5" x14ac:dyDescent="0.3">
      <c r="A121" s="3" t="s">
        <v>237</v>
      </c>
      <c r="B121" s="3" t="s">
        <v>12</v>
      </c>
      <c r="C121" s="3">
        <v>75</v>
      </c>
      <c r="D121" s="3">
        <v>0</v>
      </c>
      <c r="E121" s="3">
        <v>0</v>
      </c>
    </row>
    <row r="122" spans="1:5" x14ac:dyDescent="0.3">
      <c r="A122" s="3" t="s">
        <v>237</v>
      </c>
      <c r="B122" s="3" t="s">
        <v>13</v>
      </c>
      <c r="C122" s="3">
        <v>18</v>
      </c>
      <c r="D122" s="3">
        <v>0</v>
      </c>
      <c r="E122" s="3">
        <v>0</v>
      </c>
    </row>
    <row r="123" spans="1:5" x14ac:dyDescent="0.3">
      <c r="A123" s="3" t="s">
        <v>237</v>
      </c>
      <c r="B123" s="3" t="s">
        <v>228</v>
      </c>
      <c r="C123" s="3">
        <v>300</v>
      </c>
      <c r="D123" s="3">
        <v>0</v>
      </c>
      <c r="E123" s="3">
        <v>0</v>
      </c>
    </row>
    <row r="124" spans="1:5" x14ac:dyDescent="0.3">
      <c r="A124" s="3" t="s">
        <v>237</v>
      </c>
      <c r="B124" s="3" t="s">
        <v>229</v>
      </c>
      <c r="C124" s="3">
        <v>800</v>
      </c>
      <c r="D124" s="3">
        <v>0</v>
      </c>
      <c r="E124" s="3">
        <v>0</v>
      </c>
    </row>
    <row r="125" spans="1:5" x14ac:dyDescent="0.3">
      <c r="A125" s="3" t="s">
        <v>237</v>
      </c>
      <c r="B125" s="3" t="s">
        <v>230</v>
      </c>
      <c r="C125" s="3">
        <v>50</v>
      </c>
      <c r="D125" s="3">
        <v>0</v>
      </c>
      <c r="E125" s="3">
        <v>0</v>
      </c>
    </row>
    <row r="126" spans="1:5" x14ac:dyDescent="0.3">
      <c r="A126" s="3" t="s">
        <v>237</v>
      </c>
      <c r="B126" s="3" t="s">
        <v>58</v>
      </c>
      <c r="C126" s="3">
        <v>10000</v>
      </c>
      <c r="D126" s="3">
        <v>0</v>
      </c>
      <c r="E126" s="3">
        <v>0</v>
      </c>
    </row>
    <row r="127" spans="1:5" x14ac:dyDescent="0.3">
      <c r="A127" s="3" t="s">
        <v>237</v>
      </c>
      <c r="B127" s="3" t="s">
        <v>231</v>
      </c>
      <c r="C127" s="3">
        <v>0</v>
      </c>
      <c r="D127" s="3">
        <v>0</v>
      </c>
      <c r="E127" s="3">
        <v>0</v>
      </c>
    </row>
    <row r="128" spans="1:5" x14ac:dyDescent="0.3">
      <c r="A128" s="3" t="s">
        <v>237</v>
      </c>
      <c r="B128" s="3" t="s">
        <v>232</v>
      </c>
      <c r="C128" s="3">
        <v>0</v>
      </c>
      <c r="D128" s="3">
        <v>0</v>
      </c>
      <c r="E128" s="3">
        <v>0</v>
      </c>
    </row>
    <row r="129" spans="1:5" x14ac:dyDescent="0.3">
      <c r="A129" s="3" t="s">
        <v>237</v>
      </c>
      <c r="B129" s="3" t="s">
        <v>233</v>
      </c>
      <c r="C129" s="3">
        <v>0</v>
      </c>
      <c r="D129" s="3">
        <v>0</v>
      </c>
      <c r="E129" s="3">
        <v>0</v>
      </c>
    </row>
    <row r="130" spans="1:5" x14ac:dyDescent="0.3">
      <c r="A130" s="3" t="s">
        <v>237</v>
      </c>
      <c r="B130" s="3" t="s">
        <v>234</v>
      </c>
      <c r="C130" s="3">
        <v>0</v>
      </c>
      <c r="D130" s="3">
        <v>0</v>
      </c>
      <c r="E130" s="3">
        <v>0</v>
      </c>
    </row>
    <row r="131" spans="1:5" x14ac:dyDescent="0.3">
      <c r="A131" s="3" t="s">
        <v>237</v>
      </c>
      <c r="B131" s="3" t="s">
        <v>18</v>
      </c>
      <c r="C131" s="3">
        <v>0</v>
      </c>
      <c r="D131" s="3">
        <v>0</v>
      </c>
      <c r="E131" s="3">
        <v>0</v>
      </c>
    </row>
    <row r="132" spans="1:5" x14ac:dyDescent="0.3">
      <c r="A132" s="3" t="s">
        <v>238</v>
      </c>
      <c r="B132" s="3" t="s">
        <v>10</v>
      </c>
      <c r="C132" s="3">
        <v>1</v>
      </c>
      <c r="D132" s="3">
        <v>0</v>
      </c>
      <c r="E132" s="3">
        <v>0</v>
      </c>
    </row>
    <row r="133" spans="1:5" x14ac:dyDescent="0.3">
      <c r="A133" s="3" t="s">
        <v>238</v>
      </c>
      <c r="B133" s="3" t="s">
        <v>203</v>
      </c>
      <c r="C133" s="3">
        <v>2</v>
      </c>
      <c r="D133" s="3">
        <v>0</v>
      </c>
      <c r="E133" s="3">
        <v>0</v>
      </c>
    </row>
    <row r="134" spans="1:5" x14ac:dyDescent="0.3">
      <c r="A134" s="3" t="s">
        <v>238</v>
      </c>
      <c r="B134" s="3" t="s">
        <v>11</v>
      </c>
      <c r="C134" s="3">
        <v>1</v>
      </c>
      <c r="D134" s="3">
        <v>0</v>
      </c>
      <c r="E134" s="3">
        <v>0</v>
      </c>
    </row>
    <row r="135" spans="1:5" x14ac:dyDescent="0.3">
      <c r="A135" s="3" t="s">
        <v>238</v>
      </c>
      <c r="B135" s="3" t="s">
        <v>204</v>
      </c>
      <c r="C135" s="3">
        <v>2</v>
      </c>
      <c r="D135" s="3">
        <v>0</v>
      </c>
      <c r="E135" s="3">
        <v>0</v>
      </c>
    </row>
    <row r="136" spans="1:5" x14ac:dyDescent="0.3">
      <c r="A136" s="3" t="s">
        <v>238</v>
      </c>
      <c r="B136" s="3" t="s">
        <v>205</v>
      </c>
      <c r="C136" s="3">
        <v>2</v>
      </c>
      <c r="D136" s="3">
        <v>0</v>
      </c>
      <c r="E136" s="3">
        <v>0</v>
      </c>
    </row>
    <row r="137" spans="1:5" x14ac:dyDescent="0.3">
      <c r="A137" s="3" t="s">
        <v>238</v>
      </c>
      <c r="B137" s="3" t="s">
        <v>206</v>
      </c>
      <c r="C137" s="3">
        <v>3</v>
      </c>
      <c r="D137" s="3">
        <v>0</v>
      </c>
      <c r="E137" s="3">
        <v>0</v>
      </c>
    </row>
    <row r="138" spans="1:5" x14ac:dyDescent="0.3">
      <c r="A138" s="3" t="s">
        <v>238</v>
      </c>
      <c r="B138" s="3" t="s">
        <v>207</v>
      </c>
      <c r="C138" s="3">
        <v>2</v>
      </c>
      <c r="D138" s="3">
        <v>0</v>
      </c>
      <c r="E138" s="3">
        <v>0</v>
      </c>
    </row>
    <row r="139" spans="1:5" x14ac:dyDescent="0.3">
      <c r="A139" s="3" t="s">
        <v>238</v>
      </c>
      <c r="B139" s="3" t="s">
        <v>208</v>
      </c>
      <c r="C139" s="3">
        <v>3</v>
      </c>
      <c r="D139" s="3">
        <v>0</v>
      </c>
      <c r="E139" s="3">
        <v>0</v>
      </c>
    </row>
    <row r="140" spans="1:5" x14ac:dyDescent="0.3">
      <c r="A140" s="3" t="s">
        <v>238</v>
      </c>
      <c r="B140" s="3" t="s">
        <v>209</v>
      </c>
      <c r="C140" s="3">
        <v>2</v>
      </c>
      <c r="D140" s="3">
        <v>0</v>
      </c>
      <c r="E140" s="3">
        <v>0</v>
      </c>
    </row>
    <row r="141" spans="1:5" x14ac:dyDescent="0.3">
      <c r="A141" s="3" t="s">
        <v>238</v>
      </c>
      <c r="B141" s="3" t="s">
        <v>210</v>
      </c>
      <c r="C141" s="3">
        <v>3</v>
      </c>
      <c r="D141" s="3">
        <v>0</v>
      </c>
      <c r="E141" s="3">
        <v>0</v>
      </c>
    </row>
    <row r="142" spans="1:5" x14ac:dyDescent="0.3">
      <c r="A142" s="3" t="s">
        <v>238</v>
      </c>
      <c r="B142" s="3" t="s">
        <v>8</v>
      </c>
      <c r="C142" s="3">
        <v>100</v>
      </c>
      <c r="D142" s="3">
        <v>0</v>
      </c>
      <c r="E142" s="3">
        <v>0</v>
      </c>
    </row>
    <row r="143" spans="1:5" x14ac:dyDescent="0.3">
      <c r="A143" s="3" t="s">
        <v>238</v>
      </c>
      <c r="B143" s="3" t="s">
        <v>9</v>
      </c>
      <c r="C143" s="3">
        <v>100</v>
      </c>
      <c r="D143" s="3">
        <v>0</v>
      </c>
      <c r="E143" s="3">
        <v>0</v>
      </c>
    </row>
    <row r="144" spans="1:5" x14ac:dyDescent="0.3">
      <c r="A144" s="3" t="s">
        <v>238</v>
      </c>
      <c r="B144" s="3" t="s">
        <v>95</v>
      </c>
      <c r="C144" s="3">
        <v>0</v>
      </c>
      <c r="D144" s="3">
        <v>0</v>
      </c>
      <c r="E144" s="3">
        <v>0</v>
      </c>
    </row>
    <row r="145" spans="1:5" x14ac:dyDescent="0.3">
      <c r="A145" s="3" t="s">
        <v>238</v>
      </c>
      <c r="B145" s="3" t="s">
        <v>185</v>
      </c>
      <c r="C145" s="3">
        <v>0</v>
      </c>
      <c r="D145" s="3">
        <v>0</v>
      </c>
      <c r="E145" s="3">
        <v>0</v>
      </c>
    </row>
    <row r="146" spans="1:5" x14ac:dyDescent="0.3">
      <c r="A146" s="3" t="s">
        <v>238</v>
      </c>
      <c r="B146" s="3" t="s">
        <v>211</v>
      </c>
      <c r="C146" s="3">
        <v>0</v>
      </c>
      <c r="D146" s="3">
        <v>0</v>
      </c>
      <c r="E146" s="3">
        <v>0</v>
      </c>
    </row>
    <row r="147" spans="1:5" x14ac:dyDescent="0.3">
      <c r="A147" s="3" t="s">
        <v>238</v>
      </c>
      <c r="B147" s="3" t="s">
        <v>93</v>
      </c>
      <c r="C147" s="3">
        <v>0</v>
      </c>
      <c r="D147" s="3">
        <v>0</v>
      </c>
      <c r="E147" s="3">
        <v>0</v>
      </c>
    </row>
    <row r="148" spans="1:5" x14ac:dyDescent="0.3">
      <c r="A148" s="3" t="s">
        <v>238</v>
      </c>
      <c r="B148" s="3" t="s">
        <v>212</v>
      </c>
      <c r="C148" s="3">
        <v>0</v>
      </c>
      <c r="D148" s="3">
        <v>0</v>
      </c>
      <c r="E148" s="3">
        <v>0</v>
      </c>
    </row>
    <row r="149" spans="1:5" x14ac:dyDescent="0.3">
      <c r="A149" s="3" t="s">
        <v>238</v>
      </c>
      <c r="B149" s="3" t="s">
        <v>213</v>
      </c>
      <c r="C149" s="3">
        <v>0</v>
      </c>
      <c r="D149" s="3">
        <v>0</v>
      </c>
      <c r="E149" s="3">
        <v>0</v>
      </c>
    </row>
    <row r="150" spans="1:5" x14ac:dyDescent="0.3">
      <c r="A150" s="3" t="s">
        <v>238</v>
      </c>
      <c r="B150" s="3" t="s">
        <v>214</v>
      </c>
      <c r="C150" s="3">
        <v>0</v>
      </c>
      <c r="D150" s="3">
        <v>0</v>
      </c>
      <c r="E150" s="3">
        <v>0</v>
      </c>
    </row>
    <row r="151" spans="1:5" x14ac:dyDescent="0.3">
      <c r="A151" s="3" t="s">
        <v>238</v>
      </c>
      <c r="B151" s="3" t="s">
        <v>215</v>
      </c>
      <c r="C151" s="3">
        <v>0</v>
      </c>
      <c r="D151" s="3">
        <v>0</v>
      </c>
      <c r="E151" s="3">
        <v>0</v>
      </c>
    </row>
    <row r="152" spans="1:5" x14ac:dyDescent="0.3">
      <c r="A152" s="3" t="s">
        <v>238</v>
      </c>
      <c r="B152" s="3" t="s">
        <v>216</v>
      </c>
      <c r="C152" s="3">
        <v>0</v>
      </c>
      <c r="D152" s="3">
        <v>0</v>
      </c>
      <c r="E152" s="3">
        <v>0</v>
      </c>
    </row>
    <row r="153" spans="1:5" x14ac:dyDescent="0.3">
      <c r="A153" s="3" t="s">
        <v>238</v>
      </c>
      <c r="B153" s="3" t="s">
        <v>217</v>
      </c>
      <c r="C153" s="3">
        <v>0</v>
      </c>
      <c r="D153" s="3">
        <v>0</v>
      </c>
      <c r="E153" s="3">
        <v>0</v>
      </c>
    </row>
    <row r="154" spans="1:5" x14ac:dyDescent="0.3">
      <c r="A154" s="3" t="s">
        <v>238</v>
      </c>
      <c r="B154" s="3" t="s">
        <v>218</v>
      </c>
      <c r="C154" s="3">
        <v>0</v>
      </c>
      <c r="D154" s="3">
        <v>0</v>
      </c>
      <c r="E154" s="3">
        <v>0</v>
      </c>
    </row>
    <row r="155" spans="1:5" x14ac:dyDescent="0.3">
      <c r="A155" s="3" t="s">
        <v>238</v>
      </c>
      <c r="B155" s="3" t="s">
        <v>219</v>
      </c>
      <c r="C155" s="3">
        <v>0</v>
      </c>
      <c r="D155" s="3">
        <v>0</v>
      </c>
      <c r="E155" s="3">
        <v>0</v>
      </c>
    </row>
    <row r="156" spans="1:5" x14ac:dyDescent="0.3">
      <c r="A156" s="3" t="s">
        <v>238</v>
      </c>
      <c r="B156" s="3" t="s">
        <v>220</v>
      </c>
      <c r="C156" s="3">
        <v>0</v>
      </c>
      <c r="D156" s="3">
        <v>0</v>
      </c>
      <c r="E156" s="3">
        <v>0</v>
      </c>
    </row>
    <row r="157" spans="1:5" x14ac:dyDescent="0.3">
      <c r="A157" s="3" t="s">
        <v>238</v>
      </c>
      <c r="B157" s="3" t="s">
        <v>221</v>
      </c>
      <c r="C157" s="3">
        <v>0</v>
      </c>
      <c r="D157" s="3">
        <v>0</v>
      </c>
      <c r="E157" s="3">
        <v>0</v>
      </c>
    </row>
    <row r="158" spans="1:5" x14ac:dyDescent="0.3">
      <c r="A158" s="3" t="s">
        <v>238</v>
      </c>
      <c r="B158" s="3" t="s">
        <v>222</v>
      </c>
      <c r="C158" s="3">
        <v>0</v>
      </c>
      <c r="D158" s="3">
        <v>0</v>
      </c>
      <c r="E158" s="3">
        <v>0</v>
      </c>
    </row>
    <row r="159" spans="1:5" x14ac:dyDescent="0.3">
      <c r="A159" s="3" t="s">
        <v>238</v>
      </c>
      <c r="B159" s="3" t="s">
        <v>223</v>
      </c>
      <c r="C159" s="3">
        <v>0</v>
      </c>
      <c r="D159" s="3">
        <v>0</v>
      </c>
      <c r="E159" s="3">
        <v>0</v>
      </c>
    </row>
    <row r="160" spans="1:5" x14ac:dyDescent="0.3">
      <c r="A160" s="3" t="s">
        <v>238</v>
      </c>
      <c r="B160" s="3" t="s">
        <v>224</v>
      </c>
      <c r="C160" s="3">
        <v>0</v>
      </c>
      <c r="D160" s="3">
        <v>0</v>
      </c>
      <c r="E160" s="3">
        <v>0</v>
      </c>
    </row>
    <row r="161" spans="1:5" x14ac:dyDescent="0.3">
      <c r="A161" s="3" t="s">
        <v>238</v>
      </c>
      <c r="B161" s="3" t="s">
        <v>225</v>
      </c>
      <c r="C161" s="3">
        <v>0</v>
      </c>
      <c r="D161" s="3">
        <v>0</v>
      </c>
      <c r="E161" s="3">
        <v>0</v>
      </c>
    </row>
    <row r="162" spans="1:5" x14ac:dyDescent="0.3">
      <c r="A162" s="3" t="s">
        <v>238</v>
      </c>
      <c r="B162" s="3" t="s">
        <v>226</v>
      </c>
      <c r="C162" s="3">
        <v>0</v>
      </c>
      <c r="D162" s="3">
        <v>0</v>
      </c>
      <c r="E162" s="3">
        <v>0</v>
      </c>
    </row>
    <row r="163" spans="1:5" x14ac:dyDescent="0.3">
      <c r="A163" s="3" t="s">
        <v>238</v>
      </c>
      <c r="B163" s="3" t="s">
        <v>227</v>
      </c>
      <c r="C163" s="3">
        <v>0</v>
      </c>
      <c r="D163" s="3">
        <v>0</v>
      </c>
      <c r="E163" s="3">
        <v>0</v>
      </c>
    </row>
    <row r="164" spans="1:5" x14ac:dyDescent="0.3">
      <c r="A164" s="3" t="s">
        <v>238</v>
      </c>
      <c r="B164" s="3" t="s">
        <v>12</v>
      </c>
      <c r="C164" s="3">
        <v>75</v>
      </c>
      <c r="D164" s="3">
        <v>0</v>
      </c>
      <c r="E164" s="3">
        <v>0</v>
      </c>
    </row>
    <row r="165" spans="1:5" x14ac:dyDescent="0.3">
      <c r="A165" s="3" t="s">
        <v>238</v>
      </c>
      <c r="B165" s="3" t="s">
        <v>13</v>
      </c>
      <c r="C165" s="3">
        <v>18</v>
      </c>
      <c r="D165" s="3">
        <v>0</v>
      </c>
      <c r="E165" s="3">
        <v>0</v>
      </c>
    </row>
    <row r="166" spans="1:5" x14ac:dyDescent="0.3">
      <c r="A166" s="3" t="s">
        <v>238</v>
      </c>
      <c r="B166" s="3" t="s">
        <v>228</v>
      </c>
      <c r="C166" s="3">
        <v>300</v>
      </c>
      <c r="D166" s="3">
        <v>0</v>
      </c>
      <c r="E166" s="3">
        <v>0</v>
      </c>
    </row>
    <row r="167" spans="1:5" x14ac:dyDescent="0.3">
      <c r="A167" s="3" t="s">
        <v>238</v>
      </c>
      <c r="B167" s="3" t="s">
        <v>229</v>
      </c>
      <c r="C167" s="3">
        <v>800</v>
      </c>
      <c r="D167" s="3">
        <v>0</v>
      </c>
      <c r="E167" s="3">
        <v>0</v>
      </c>
    </row>
    <row r="168" spans="1:5" x14ac:dyDescent="0.3">
      <c r="A168" s="3" t="s">
        <v>238</v>
      </c>
      <c r="B168" s="3" t="s">
        <v>230</v>
      </c>
      <c r="C168" s="3">
        <v>50</v>
      </c>
      <c r="D168" s="3">
        <v>0</v>
      </c>
      <c r="E168" s="3">
        <v>0</v>
      </c>
    </row>
    <row r="169" spans="1:5" x14ac:dyDescent="0.3">
      <c r="A169" s="3" t="s">
        <v>238</v>
      </c>
      <c r="B169" s="3" t="s">
        <v>58</v>
      </c>
      <c r="C169" s="3">
        <v>10000</v>
      </c>
      <c r="D169" s="3">
        <v>0</v>
      </c>
      <c r="E169" s="3">
        <v>0</v>
      </c>
    </row>
    <row r="170" spans="1:5" x14ac:dyDescent="0.3">
      <c r="A170" s="3" t="s">
        <v>238</v>
      </c>
      <c r="B170" s="3" t="s">
        <v>231</v>
      </c>
      <c r="C170" s="3">
        <v>0</v>
      </c>
      <c r="D170" s="3">
        <v>0</v>
      </c>
      <c r="E170" s="3">
        <v>0</v>
      </c>
    </row>
    <row r="171" spans="1:5" x14ac:dyDescent="0.3">
      <c r="A171" s="3" t="s">
        <v>238</v>
      </c>
      <c r="B171" s="3" t="s">
        <v>232</v>
      </c>
      <c r="C171" s="3">
        <v>0</v>
      </c>
      <c r="D171" s="3">
        <v>0</v>
      </c>
      <c r="E171" s="3">
        <v>0</v>
      </c>
    </row>
    <row r="172" spans="1:5" x14ac:dyDescent="0.3">
      <c r="A172" s="3" t="s">
        <v>238</v>
      </c>
      <c r="B172" s="3" t="s">
        <v>233</v>
      </c>
      <c r="C172" s="3">
        <v>0</v>
      </c>
      <c r="D172" s="3">
        <v>0</v>
      </c>
      <c r="E172" s="3">
        <v>0</v>
      </c>
    </row>
    <row r="173" spans="1:5" x14ac:dyDescent="0.3">
      <c r="A173" s="3" t="s">
        <v>238</v>
      </c>
      <c r="B173" s="3" t="s">
        <v>234</v>
      </c>
      <c r="C173" s="3">
        <v>0</v>
      </c>
      <c r="D173" s="3">
        <v>0</v>
      </c>
      <c r="E173" s="3">
        <v>0</v>
      </c>
    </row>
    <row r="174" spans="1:5" x14ac:dyDescent="0.3">
      <c r="A174" s="3" t="s">
        <v>238</v>
      </c>
      <c r="B174" s="3" t="s">
        <v>18</v>
      </c>
      <c r="C174" s="3">
        <v>0</v>
      </c>
      <c r="D174" s="3">
        <v>0</v>
      </c>
      <c r="E174" s="3">
        <v>0</v>
      </c>
    </row>
    <row r="175" spans="1:5" x14ac:dyDescent="0.3">
      <c r="A175" s="3" t="s">
        <v>239</v>
      </c>
      <c r="B175" s="3" t="s">
        <v>10</v>
      </c>
      <c r="C175" s="3">
        <v>1</v>
      </c>
      <c r="D175" s="3">
        <v>0</v>
      </c>
      <c r="E175" s="3">
        <v>0</v>
      </c>
    </row>
    <row r="176" spans="1:5" x14ac:dyDescent="0.3">
      <c r="A176" s="3" t="s">
        <v>239</v>
      </c>
      <c r="B176" s="3" t="s">
        <v>203</v>
      </c>
      <c r="C176" s="3">
        <v>2</v>
      </c>
      <c r="D176" s="3">
        <v>0</v>
      </c>
      <c r="E176" s="3">
        <v>0</v>
      </c>
    </row>
    <row r="177" spans="1:5" x14ac:dyDescent="0.3">
      <c r="A177" s="3" t="s">
        <v>239</v>
      </c>
      <c r="B177" s="3" t="s">
        <v>11</v>
      </c>
      <c r="C177" s="3">
        <v>1</v>
      </c>
      <c r="D177" s="3">
        <v>0</v>
      </c>
      <c r="E177" s="3">
        <v>0</v>
      </c>
    </row>
    <row r="178" spans="1:5" x14ac:dyDescent="0.3">
      <c r="A178" s="3" t="s">
        <v>239</v>
      </c>
      <c r="B178" s="3" t="s">
        <v>204</v>
      </c>
      <c r="C178" s="3">
        <v>2</v>
      </c>
      <c r="D178" s="3">
        <v>0</v>
      </c>
      <c r="E178" s="3">
        <v>0</v>
      </c>
    </row>
    <row r="179" spans="1:5" x14ac:dyDescent="0.3">
      <c r="A179" s="3" t="s">
        <v>239</v>
      </c>
      <c r="B179" s="3" t="s">
        <v>205</v>
      </c>
      <c r="C179" s="3">
        <v>2</v>
      </c>
      <c r="D179" s="3">
        <v>0</v>
      </c>
      <c r="E179" s="3">
        <v>0</v>
      </c>
    </row>
    <row r="180" spans="1:5" x14ac:dyDescent="0.3">
      <c r="A180" s="3" t="s">
        <v>239</v>
      </c>
      <c r="B180" s="3" t="s">
        <v>206</v>
      </c>
      <c r="C180" s="3">
        <v>3</v>
      </c>
      <c r="D180" s="3">
        <v>0</v>
      </c>
      <c r="E180" s="3">
        <v>0</v>
      </c>
    </row>
    <row r="181" spans="1:5" x14ac:dyDescent="0.3">
      <c r="A181" s="3" t="s">
        <v>239</v>
      </c>
      <c r="B181" s="3" t="s">
        <v>207</v>
      </c>
      <c r="C181" s="3">
        <v>2</v>
      </c>
      <c r="D181" s="3">
        <v>0</v>
      </c>
      <c r="E181" s="3">
        <v>0</v>
      </c>
    </row>
    <row r="182" spans="1:5" x14ac:dyDescent="0.3">
      <c r="A182" s="3" t="s">
        <v>239</v>
      </c>
      <c r="B182" s="3" t="s">
        <v>208</v>
      </c>
      <c r="C182" s="3">
        <v>3</v>
      </c>
      <c r="D182" s="3">
        <v>0</v>
      </c>
      <c r="E182" s="3">
        <v>0</v>
      </c>
    </row>
    <row r="183" spans="1:5" x14ac:dyDescent="0.3">
      <c r="A183" s="3" t="s">
        <v>239</v>
      </c>
      <c r="B183" s="3" t="s">
        <v>209</v>
      </c>
      <c r="C183" s="3">
        <v>2</v>
      </c>
      <c r="D183" s="3">
        <v>0</v>
      </c>
      <c r="E183" s="3">
        <v>0</v>
      </c>
    </row>
    <row r="184" spans="1:5" x14ac:dyDescent="0.3">
      <c r="A184" s="3" t="s">
        <v>239</v>
      </c>
      <c r="B184" s="3" t="s">
        <v>210</v>
      </c>
      <c r="C184" s="3">
        <v>3</v>
      </c>
      <c r="D184" s="3">
        <v>0</v>
      </c>
      <c r="E184" s="3">
        <v>0</v>
      </c>
    </row>
    <row r="185" spans="1:5" x14ac:dyDescent="0.3">
      <c r="A185" s="3" t="s">
        <v>239</v>
      </c>
      <c r="B185" s="3" t="s">
        <v>8</v>
      </c>
      <c r="C185" s="3">
        <v>100</v>
      </c>
      <c r="D185" s="3">
        <v>0</v>
      </c>
      <c r="E185" s="3">
        <v>0</v>
      </c>
    </row>
    <row r="186" spans="1:5" x14ac:dyDescent="0.3">
      <c r="A186" s="3" t="s">
        <v>239</v>
      </c>
      <c r="B186" s="3" t="s">
        <v>9</v>
      </c>
      <c r="C186" s="3">
        <v>100</v>
      </c>
      <c r="D186" s="3">
        <v>0</v>
      </c>
      <c r="E186" s="3">
        <v>0</v>
      </c>
    </row>
    <row r="187" spans="1:5" x14ac:dyDescent="0.3">
      <c r="A187" s="3" t="s">
        <v>239</v>
      </c>
      <c r="B187" s="3" t="s">
        <v>95</v>
      </c>
      <c r="C187" s="3">
        <v>0</v>
      </c>
      <c r="D187" s="3">
        <v>0</v>
      </c>
      <c r="E187" s="3">
        <v>0</v>
      </c>
    </row>
    <row r="188" spans="1:5" x14ac:dyDescent="0.3">
      <c r="A188" s="3" t="s">
        <v>239</v>
      </c>
      <c r="B188" s="3" t="s">
        <v>185</v>
      </c>
      <c r="C188" s="3">
        <v>0</v>
      </c>
      <c r="D188" s="3">
        <v>0</v>
      </c>
      <c r="E188" s="3">
        <v>0</v>
      </c>
    </row>
    <row r="189" spans="1:5" x14ac:dyDescent="0.3">
      <c r="A189" s="3" t="s">
        <v>239</v>
      </c>
      <c r="B189" s="3" t="s">
        <v>211</v>
      </c>
      <c r="C189" s="3">
        <v>0</v>
      </c>
      <c r="D189" s="3">
        <v>0</v>
      </c>
      <c r="E189" s="3">
        <v>0</v>
      </c>
    </row>
    <row r="190" spans="1:5" x14ac:dyDescent="0.3">
      <c r="A190" s="3" t="s">
        <v>239</v>
      </c>
      <c r="B190" s="3" t="s">
        <v>93</v>
      </c>
      <c r="C190" s="3">
        <v>0</v>
      </c>
      <c r="D190" s="3">
        <v>0</v>
      </c>
      <c r="E190" s="3">
        <v>0</v>
      </c>
    </row>
    <row r="191" spans="1:5" x14ac:dyDescent="0.3">
      <c r="A191" s="3" t="s">
        <v>239</v>
      </c>
      <c r="B191" s="3" t="s">
        <v>212</v>
      </c>
      <c r="C191" s="3">
        <v>0</v>
      </c>
      <c r="D191" s="3">
        <v>0</v>
      </c>
      <c r="E191" s="3">
        <v>0</v>
      </c>
    </row>
    <row r="192" spans="1:5" x14ac:dyDescent="0.3">
      <c r="A192" s="3" t="s">
        <v>239</v>
      </c>
      <c r="B192" s="3" t="s">
        <v>213</v>
      </c>
      <c r="C192" s="3">
        <v>0</v>
      </c>
      <c r="D192" s="3">
        <v>0</v>
      </c>
      <c r="E192" s="3">
        <v>0</v>
      </c>
    </row>
    <row r="193" spans="1:5" x14ac:dyDescent="0.3">
      <c r="A193" s="3" t="s">
        <v>239</v>
      </c>
      <c r="B193" s="3" t="s">
        <v>214</v>
      </c>
      <c r="C193" s="3">
        <v>0</v>
      </c>
      <c r="D193" s="3">
        <v>0</v>
      </c>
      <c r="E193" s="3">
        <v>0</v>
      </c>
    </row>
    <row r="194" spans="1:5" x14ac:dyDescent="0.3">
      <c r="A194" s="3" t="s">
        <v>239</v>
      </c>
      <c r="B194" s="3" t="s">
        <v>215</v>
      </c>
      <c r="C194" s="3">
        <v>0</v>
      </c>
      <c r="D194" s="3">
        <v>0</v>
      </c>
      <c r="E194" s="3">
        <v>0</v>
      </c>
    </row>
    <row r="195" spans="1:5" x14ac:dyDescent="0.3">
      <c r="A195" s="3" t="s">
        <v>239</v>
      </c>
      <c r="B195" s="3" t="s">
        <v>216</v>
      </c>
      <c r="C195" s="3">
        <v>0</v>
      </c>
      <c r="D195" s="3">
        <v>0</v>
      </c>
      <c r="E195" s="3">
        <v>0</v>
      </c>
    </row>
    <row r="196" spans="1:5" x14ac:dyDescent="0.3">
      <c r="A196" s="3" t="s">
        <v>239</v>
      </c>
      <c r="B196" s="3" t="s">
        <v>217</v>
      </c>
      <c r="C196" s="3">
        <v>0</v>
      </c>
      <c r="D196" s="3">
        <v>0</v>
      </c>
      <c r="E196" s="3">
        <v>0</v>
      </c>
    </row>
    <row r="197" spans="1:5" x14ac:dyDescent="0.3">
      <c r="A197" s="3" t="s">
        <v>239</v>
      </c>
      <c r="B197" s="3" t="s">
        <v>218</v>
      </c>
      <c r="C197" s="3">
        <v>0</v>
      </c>
      <c r="D197" s="3">
        <v>0</v>
      </c>
      <c r="E197" s="3">
        <v>0</v>
      </c>
    </row>
    <row r="198" spans="1:5" x14ac:dyDescent="0.3">
      <c r="A198" s="3" t="s">
        <v>239</v>
      </c>
      <c r="B198" s="3" t="s">
        <v>219</v>
      </c>
      <c r="C198" s="3">
        <v>0</v>
      </c>
      <c r="D198" s="3">
        <v>0</v>
      </c>
      <c r="E198" s="3">
        <v>0</v>
      </c>
    </row>
    <row r="199" spans="1:5" x14ac:dyDescent="0.3">
      <c r="A199" s="3" t="s">
        <v>239</v>
      </c>
      <c r="B199" s="3" t="s">
        <v>220</v>
      </c>
      <c r="C199" s="3">
        <v>0</v>
      </c>
      <c r="D199" s="3">
        <v>0</v>
      </c>
      <c r="E199" s="3">
        <v>0</v>
      </c>
    </row>
    <row r="200" spans="1:5" x14ac:dyDescent="0.3">
      <c r="A200" s="3" t="s">
        <v>239</v>
      </c>
      <c r="B200" s="3" t="s">
        <v>221</v>
      </c>
      <c r="C200" s="3">
        <v>0</v>
      </c>
      <c r="D200" s="3">
        <v>0</v>
      </c>
      <c r="E200" s="3">
        <v>0</v>
      </c>
    </row>
    <row r="201" spans="1:5" x14ac:dyDescent="0.3">
      <c r="A201" s="3" t="s">
        <v>239</v>
      </c>
      <c r="B201" s="3" t="s">
        <v>222</v>
      </c>
      <c r="C201" s="3">
        <v>0</v>
      </c>
      <c r="D201" s="3">
        <v>0</v>
      </c>
      <c r="E201" s="3">
        <v>0</v>
      </c>
    </row>
    <row r="202" spans="1:5" x14ac:dyDescent="0.3">
      <c r="A202" s="3" t="s">
        <v>239</v>
      </c>
      <c r="B202" s="3" t="s">
        <v>223</v>
      </c>
      <c r="C202" s="3">
        <v>0</v>
      </c>
      <c r="D202" s="3">
        <v>0</v>
      </c>
      <c r="E202" s="3">
        <v>0</v>
      </c>
    </row>
    <row r="203" spans="1:5" x14ac:dyDescent="0.3">
      <c r="A203" s="3" t="s">
        <v>239</v>
      </c>
      <c r="B203" s="3" t="s">
        <v>224</v>
      </c>
      <c r="C203" s="3">
        <v>0</v>
      </c>
      <c r="D203" s="3">
        <v>0</v>
      </c>
      <c r="E203" s="3">
        <v>0</v>
      </c>
    </row>
    <row r="204" spans="1:5" x14ac:dyDescent="0.3">
      <c r="A204" s="3" t="s">
        <v>239</v>
      </c>
      <c r="B204" s="3" t="s">
        <v>225</v>
      </c>
      <c r="C204" s="3">
        <v>0</v>
      </c>
      <c r="D204" s="3">
        <v>0</v>
      </c>
      <c r="E204" s="3">
        <v>0</v>
      </c>
    </row>
    <row r="205" spans="1:5" x14ac:dyDescent="0.3">
      <c r="A205" s="3" t="s">
        <v>239</v>
      </c>
      <c r="B205" s="3" t="s">
        <v>226</v>
      </c>
      <c r="C205" s="3">
        <v>0</v>
      </c>
      <c r="D205" s="3">
        <v>0</v>
      </c>
      <c r="E205" s="3">
        <v>0</v>
      </c>
    </row>
    <row r="206" spans="1:5" x14ac:dyDescent="0.3">
      <c r="A206" s="3" t="s">
        <v>239</v>
      </c>
      <c r="B206" s="3" t="s">
        <v>227</v>
      </c>
      <c r="C206" s="3">
        <v>0</v>
      </c>
      <c r="D206" s="3">
        <v>0</v>
      </c>
      <c r="E206" s="3">
        <v>0</v>
      </c>
    </row>
    <row r="207" spans="1:5" x14ac:dyDescent="0.3">
      <c r="A207" s="3" t="s">
        <v>239</v>
      </c>
      <c r="B207" s="3" t="s">
        <v>12</v>
      </c>
      <c r="C207" s="3">
        <v>75</v>
      </c>
      <c r="D207" s="3">
        <v>0</v>
      </c>
      <c r="E207" s="3">
        <v>0</v>
      </c>
    </row>
    <row r="208" spans="1:5" x14ac:dyDescent="0.3">
      <c r="A208" s="3" t="s">
        <v>239</v>
      </c>
      <c r="B208" s="3" t="s">
        <v>13</v>
      </c>
      <c r="C208" s="3">
        <v>18</v>
      </c>
      <c r="D208" s="3">
        <v>0</v>
      </c>
      <c r="E208" s="3">
        <v>0</v>
      </c>
    </row>
    <row r="209" spans="1:5" x14ac:dyDescent="0.3">
      <c r="A209" s="3" t="s">
        <v>239</v>
      </c>
      <c r="B209" s="3" t="s">
        <v>228</v>
      </c>
      <c r="C209" s="3">
        <v>300</v>
      </c>
      <c r="D209" s="3">
        <v>0</v>
      </c>
      <c r="E209" s="3">
        <v>0</v>
      </c>
    </row>
    <row r="210" spans="1:5" x14ac:dyDescent="0.3">
      <c r="A210" s="3" t="s">
        <v>239</v>
      </c>
      <c r="B210" s="3" t="s">
        <v>229</v>
      </c>
      <c r="C210" s="3">
        <v>800</v>
      </c>
      <c r="D210" s="3">
        <v>0</v>
      </c>
      <c r="E210" s="3">
        <v>0</v>
      </c>
    </row>
    <row r="211" spans="1:5" x14ac:dyDescent="0.3">
      <c r="A211" s="3" t="s">
        <v>239</v>
      </c>
      <c r="B211" s="3" t="s">
        <v>230</v>
      </c>
      <c r="C211" s="3">
        <v>50</v>
      </c>
      <c r="D211" s="3">
        <v>0</v>
      </c>
      <c r="E211" s="3">
        <v>0</v>
      </c>
    </row>
    <row r="212" spans="1:5" x14ac:dyDescent="0.3">
      <c r="A212" s="3" t="s">
        <v>239</v>
      </c>
      <c r="B212" s="3" t="s">
        <v>58</v>
      </c>
      <c r="C212" s="3">
        <v>10000</v>
      </c>
      <c r="D212" s="3">
        <v>0</v>
      </c>
      <c r="E212" s="3">
        <v>0</v>
      </c>
    </row>
    <row r="213" spans="1:5" x14ac:dyDescent="0.3">
      <c r="A213" s="3" t="s">
        <v>239</v>
      </c>
      <c r="B213" s="3" t="s">
        <v>231</v>
      </c>
      <c r="C213" s="3">
        <v>0</v>
      </c>
      <c r="D213" s="3">
        <v>0</v>
      </c>
      <c r="E213" s="3">
        <v>0</v>
      </c>
    </row>
    <row r="214" spans="1:5" x14ac:dyDescent="0.3">
      <c r="A214" s="3" t="s">
        <v>239</v>
      </c>
      <c r="B214" s="3" t="s">
        <v>232</v>
      </c>
      <c r="C214" s="3">
        <v>0</v>
      </c>
      <c r="D214" s="3">
        <v>0</v>
      </c>
      <c r="E214" s="3">
        <v>0</v>
      </c>
    </row>
    <row r="215" spans="1:5" x14ac:dyDescent="0.3">
      <c r="A215" s="3" t="s">
        <v>239</v>
      </c>
      <c r="B215" s="3" t="s">
        <v>233</v>
      </c>
      <c r="C215" s="3">
        <v>0</v>
      </c>
      <c r="D215" s="3">
        <v>0</v>
      </c>
      <c r="E215" s="3">
        <v>0</v>
      </c>
    </row>
    <row r="216" spans="1:5" x14ac:dyDescent="0.3">
      <c r="A216" s="3" t="s">
        <v>239</v>
      </c>
      <c r="B216" s="3" t="s">
        <v>234</v>
      </c>
      <c r="C216" s="3">
        <v>0</v>
      </c>
      <c r="D216" s="3">
        <v>0</v>
      </c>
      <c r="E216" s="3">
        <v>0</v>
      </c>
    </row>
    <row r="217" spans="1:5" x14ac:dyDescent="0.3">
      <c r="A217" s="3" t="s">
        <v>239</v>
      </c>
      <c r="B217" s="3" t="s">
        <v>18</v>
      </c>
      <c r="C217" s="3">
        <v>0</v>
      </c>
      <c r="D217" s="3">
        <v>0</v>
      </c>
      <c r="E217" s="3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计算">
                <anchor moveWithCells="1" sizeWithCells="1">
                  <from>
                    <xdr:col>9</xdr:col>
                    <xdr:colOff>285750</xdr:colOff>
                    <xdr:row>6</xdr:row>
                    <xdr:rowOff>142875</xdr:rowOff>
                  </from>
                  <to>
                    <xdr:col>12</xdr:col>
                    <xdr:colOff>228600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清空数据">
                <anchor moveWithCells="1" sizeWithCells="1">
                  <from>
                    <xdr:col>9</xdr:col>
                    <xdr:colOff>333375</xdr:colOff>
                    <xdr:row>14</xdr:row>
                    <xdr:rowOff>152400</xdr:rowOff>
                  </from>
                  <to>
                    <xdr:col>12</xdr:col>
                    <xdr:colOff>314325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45"/>
  <sheetViews>
    <sheetView zoomScaleNormal="100" workbookViewId="0">
      <selection activeCell="C27" sqref="C27"/>
    </sheetView>
  </sheetViews>
  <sheetFormatPr defaultRowHeight="16.5" x14ac:dyDescent="0.3"/>
  <cols>
    <col min="1" max="1" width="17.33203125" style="1" customWidth="1"/>
    <col min="2" max="2" width="29.44140625" style="1" customWidth="1"/>
    <col min="3" max="3" width="12.109375" style="1" customWidth="1"/>
    <col min="4" max="4" width="11.44140625" style="1" customWidth="1"/>
    <col min="5" max="5" width="9.77734375" style="1" customWidth="1"/>
    <col min="6" max="6" width="9.44140625" style="1" customWidth="1"/>
    <col min="7" max="8" width="8.88671875" style="1"/>
    <col min="9" max="9" width="10.88671875" style="1" customWidth="1"/>
    <col min="10" max="10" width="11.21875" style="1" customWidth="1"/>
    <col min="11" max="16384" width="8.88671875" style="1"/>
  </cols>
  <sheetData>
    <row r="1" spans="1:12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2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2" x14ac:dyDescent="0.3">
      <c r="A3" s="2" t="s">
        <v>131</v>
      </c>
      <c r="B3" s="2" t="s">
        <v>131</v>
      </c>
      <c r="C3" s="2" t="s">
        <v>131</v>
      </c>
      <c r="D3" s="2" t="s">
        <v>131</v>
      </c>
      <c r="E3" s="2" t="s">
        <v>131</v>
      </c>
      <c r="F3" s="2" t="s">
        <v>131</v>
      </c>
      <c r="G3" s="2" t="s">
        <v>131</v>
      </c>
      <c r="H3" s="2" t="s">
        <v>131</v>
      </c>
      <c r="I3" s="2" t="s">
        <v>131</v>
      </c>
      <c r="J3" s="2" t="s">
        <v>131</v>
      </c>
    </row>
    <row r="4" spans="1:12" x14ac:dyDescent="0.3">
      <c r="A4" s="2" t="str">
        <f>VLOOKUP(B4,[1]Sheet1!$A$1:$B$500,2,0)</f>
        <v>最大生命值</v>
      </c>
      <c r="B4" s="4" t="s">
        <v>8</v>
      </c>
      <c r="C4" s="1">
        <v>180</v>
      </c>
      <c r="D4" s="1">
        <v>0</v>
      </c>
      <c r="E4" s="1">
        <v>0</v>
      </c>
      <c r="F4" s="1">
        <v>0</v>
      </c>
      <c r="G4" s="7">
        <v>0</v>
      </c>
      <c r="H4" s="1">
        <v>0</v>
      </c>
      <c r="I4" s="1">
        <v>15000</v>
      </c>
      <c r="J4" s="1">
        <v>0</v>
      </c>
    </row>
    <row r="5" spans="1:12" x14ac:dyDescent="0.3">
      <c r="A5" s="2" t="str">
        <f>VLOOKUP(B5,[1]Sheet1!$A$1:$B$500,2,0)</f>
        <v>最大能量值</v>
      </c>
      <c r="B5" s="4" t="s">
        <v>9</v>
      </c>
      <c r="C5" s="1">
        <v>100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</row>
    <row r="6" spans="1:12" s="9" customFormat="1" x14ac:dyDescent="0.3">
      <c r="A6" s="8" t="str">
        <f>VLOOKUP(B6,[1]Sheet1!$A$1:$B$500,2,0)</f>
        <v>最大物理攻击力</v>
      </c>
      <c r="B6" s="9" t="s">
        <v>80</v>
      </c>
      <c r="C6" s="9">
        <v>100000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1000000</v>
      </c>
      <c r="J6" s="9">
        <v>0</v>
      </c>
    </row>
    <row r="7" spans="1:12" s="9" customFormat="1" x14ac:dyDescent="0.3">
      <c r="A7" s="8" t="str">
        <f>VLOOKUP(B7,[1]Sheet1!$A$1:$B$500,2,0)</f>
        <v>最小物理攻击力</v>
      </c>
      <c r="B7" s="9" t="s">
        <v>81</v>
      </c>
      <c r="C7" s="9">
        <v>100000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1000000</v>
      </c>
      <c r="J7" s="9">
        <v>0</v>
      </c>
    </row>
    <row r="8" spans="1:12" s="9" customFormat="1" x14ac:dyDescent="0.3">
      <c r="A8" s="8" t="str">
        <f>VLOOKUP(B8,[1]Sheet1!$A$1:$B$500,2,0)</f>
        <v>最大魔法攻击力</v>
      </c>
      <c r="B8" s="9" t="s">
        <v>82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500000</v>
      </c>
      <c r="J8" s="9">
        <v>0</v>
      </c>
    </row>
    <row r="9" spans="1:12" s="9" customFormat="1" x14ac:dyDescent="0.3">
      <c r="A9" s="8" t="str">
        <f>VLOOKUP(B9,[1]Sheet1!$A$1:$B$500,2,0)</f>
        <v>最小魔法攻击力</v>
      </c>
      <c r="B9" s="10" t="s">
        <v>83</v>
      </c>
      <c r="C9" s="9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9">
        <v>500000</v>
      </c>
      <c r="J9" s="9">
        <v>0</v>
      </c>
    </row>
    <row r="10" spans="1:12" x14ac:dyDescent="0.3">
      <c r="A10" s="2" t="str">
        <f>VLOOKUP(B10,[1]Sheet1!$A$1:$B$500,2,0)</f>
        <v>物理防御力</v>
      </c>
      <c r="B10" s="1" t="s">
        <v>10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2" x14ac:dyDescent="0.3">
      <c r="A11" s="2" t="str">
        <f>VLOOKUP(B11,[1]Sheet1!$A$1:$B$500,2,0)</f>
        <v>魔法防御力</v>
      </c>
      <c r="B11" s="1" t="s">
        <v>11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2" x14ac:dyDescent="0.3">
      <c r="A12" s="2" t="str">
        <f>VLOOKUP(B12,[1]Sheet1!$A$1:$B$500,2,0)</f>
        <v>移动速度</v>
      </c>
      <c r="B12" s="1" t="s">
        <v>18</v>
      </c>
      <c r="C12" s="1">
        <v>500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L12" s="11"/>
    </row>
    <row r="13" spans="1:12" x14ac:dyDescent="0.3">
      <c r="A13" s="2" t="s">
        <v>119</v>
      </c>
      <c r="B13" s="1" t="s">
        <v>120</v>
      </c>
      <c r="C13" s="1">
        <v>580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2" x14ac:dyDescent="0.3">
      <c r="A14" s="2" t="str">
        <f>VLOOKUP(B14,[1]Sheet1!$A$1:$B$500,2,0)</f>
        <v>攻击速度</v>
      </c>
      <c r="B14" s="1" t="s">
        <v>58</v>
      </c>
      <c r="C14" s="1">
        <v>10000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2" x14ac:dyDescent="0.3">
      <c r="A15" s="2" t="str">
        <f>VLOOKUP(B15,[1]Sheet1!$A$1:$B$500,2,0)</f>
        <v>生命恢复速度</v>
      </c>
      <c r="B15" s="1" t="s">
        <v>12</v>
      </c>
      <c r="C15" s="1">
        <v>5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2" x14ac:dyDescent="0.3">
      <c r="A16" s="2" t="str">
        <f>VLOOKUP(B16,[1]Sheet1!$A$1:$B$500,2,0)</f>
        <v>能量恢复速度</v>
      </c>
      <c r="B16" s="1" t="s">
        <v>13</v>
      </c>
      <c r="C16" s="7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7">
        <v>-10000</v>
      </c>
    </row>
    <row r="17" spans="1:10" x14ac:dyDescent="0.3">
      <c r="A17" s="2" t="str">
        <f>VLOOKUP(B17,[1]Sheet1!$A$1:$B$500,2,0)</f>
        <v>暴击</v>
      </c>
      <c r="B17" s="1" t="s">
        <v>93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x14ac:dyDescent="0.3">
      <c r="A18" s="2" t="str">
        <f>VLOOKUP(B18,[1]Sheet1!$A$1:$B$500,2,0)</f>
        <v>韧性</v>
      </c>
      <c r="B18" s="1" t="s">
        <v>94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</row>
    <row r="19" spans="1:10" s="13" customFormat="1" x14ac:dyDescent="0.3">
      <c r="A19" s="12" t="str">
        <f>VLOOKUP(B19,[1]Sheet1!$A$1:$B$500,2,0)</f>
        <v>精准</v>
      </c>
      <c r="B19" s="13" t="s">
        <v>95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s="13" customFormat="1" x14ac:dyDescent="0.3">
      <c r="A20" s="12" t="str">
        <f>VLOOKUP(B20,[1]Sheet1!$A$1:$B$500,2,0)</f>
        <v>闪避</v>
      </c>
      <c r="B20" s="13" t="s">
        <v>96</v>
      </c>
      <c r="C20" s="13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3">
        <v>0</v>
      </c>
      <c r="J20" s="13">
        <v>0</v>
      </c>
    </row>
    <row r="21" spans="1:10" x14ac:dyDescent="0.3">
      <c r="A21" s="2" t="str">
        <f>VLOOKUP(B21,[1]Sheet1!$A$1:$B$500,2,0)</f>
        <v>格挡值</v>
      </c>
      <c r="B21" s="6" t="s">
        <v>51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格挡率</v>
      </c>
      <c r="B22" s="1" t="s">
        <v>86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招架率</v>
      </c>
      <c r="B23" s="1" t="s">
        <v>87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闪避率</v>
      </c>
      <c r="B24" s="1" t="s">
        <v>88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物理免伤率</v>
      </c>
      <c r="B25" s="1" t="s">
        <v>56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魔法免伤率</v>
      </c>
      <c r="B26" s="1" t="s">
        <v>57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物理爆击率</v>
      </c>
      <c r="B27" s="1" t="s">
        <v>14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魔法爆击率</v>
      </c>
      <c r="B28" s="1" t="s">
        <v>15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暴击伤害倍率</v>
      </c>
      <c r="B29" s="1" t="s">
        <v>84</v>
      </c>
      <c r="C29" s="1">
        <v>15000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输出伤害增幅</v>
      </c>
      <c r="B30" s="6" t="s">
        <v>113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受到伤害增幅</v>
      </c>
      <c r="B31" s="1" t="s">
        <v>114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输出物理伤害增幅</v>
      </c>
      <c r="B32" s="1" t="s">
        <v>115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输出法术伤害增幅</v>
      </c>
      <c r="B33" s="1" t="s">
        <v>116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受到物理伤害增幅</v>
      </c>
      <c r="B34" s="1" t="s">
        <v>117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受到法术伤害增幅</v>
      </c>
      <c r="B35" s="1" t="s">
        <v>118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冷却减少</v>
      </c>
      <c r="B36" s="1" t="s">
        <v>91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格挡反击率</v>
      </c>
      <c r="B37" s="1" t="s">
        <v>61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招架反击率</v>
      </c>
      <c r="B38" s="1" t="s">
        <v>62</v>
      </c>
      <c r="C38" s="1">
        <v>5000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闪避反击率</v>
      </c>
      <c r="B39" s="1" t="s">
        <v>63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能量回复率</v>
      </c>
      <c r="B40" s="1" t="s">
        <v>55</v>
      </c>
      <c r="C40" s="7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能量消耗加成</v>
      </c>
      <c r="B41" s="1" t="s">
        <v>92</v>
      </c>
      <c r="C41" s="1">
        <v>10000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能量回复周期</v>
      </c>
      <c r="B42" s="6" t="s">
        <v>29</v>
      </c>
      <c r="C42" s="7">
        <v>4000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命中率</v>
      </c>
      <c r="B43" s="1" t="s">
        <v>64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物理命中率</v>
      </c>
      <c r="B44" s="1" t="s">
        <v>89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魔法命中率</v>
      </c>
      <c r="B45" s="1" t="s">
        <v>90</v>
      </c>
      <c r="C45" s="1">
        <v>10000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背击伤害加成</v>
      </c>
      <c r="B46" s="1" t="s">
        <v>60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伤害吸收值</v>
      </c>
      <c r="B47" s="6" t="s">
        <v>53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攻击距离</v>
      </c>
      <c r="B48" s="6" t="s">
        <v>54</v>
      </c>
      <c r="C48" s="1">
        <v>200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连击</v>
      </c>
      <c r="B49" s="1" t="s">
        <v>52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异常状态抗性</v>
      </c>
      <c r="B50" s="1" t="s">
        <v>30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受伤抗性</v>
      </c>
      <c r="B51" s="1" t="s">
        <v>31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击退抗性</v>
      </c>
      <c r="B52" s="1" t="s">
        <v>32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击飞抗性</v>
      </c>
      <c r="B53" s="1" t="s">
        <v>33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击倒抗性</v>
      </c>
      <c r="B54" s="1" t="s">
        <v>34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拖拽抗性</v>
      </c>
      <c r="B55" s="1" t="s">
        <v>35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感电抗性</v>
      </c>
      <c r="B56" s="1" t="s">
        <v>36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出血抗性</v>
      </c>
      <c r="B57" s="1" t="s">
        <v>37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灼伤抗性</v>
      </c>
      <c r="B58" s="1" t="s">
        <v>38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中毒抗性</v>
      </c>
      <c r="B59" s="1" t="s">
        <v>39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失明抗性</v>
      </c>
      <c r="B60" s="1" t="s">
        <v>40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眩晕抗性</v>
      </c>
      <c r="B61" s="1" t="s">
        <v>41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石化抗性</v>
      </c>
      <c r="B62" s="1" t="s">
        <v>42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沉默抗性</v>
      </c>
      <c r="B63" s="1" t="s">
        <v>43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冻结抗性</v>
      </c>
      <c r="B64" s="1" t="s">
        <v>44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睡眠抗性</v>
      </c>
      <c r="B65" s="1" t="s">
        <v>45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混乱抗性</v>
      </c>
      <c r="B66" s="1" t="s">
        <v>46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束缚抗性</v>
      </c>
      <c r="B67" s="1" t="s">
        <v>47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减速抗性</v>
      </c>
      <c r="B68" s="1" t="s">
        <v>48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诅咒抗性</v>
      </c>
      <c r="B69" s="1" t="s">
        <v>49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缴械抗性</v>
      </c>
      <c r="B70" s="1" t="s">
        <v>50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施法速度</v>
      </c>
      <c r="B71" s="5" t="s">
        <v>59</v>
      </c>
      <c r="C71" s="1">
        <v>10000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背击伤害减免</v>
      </c>
      <c r="B72" s="5" t="s">
        <v>85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</v>
      </c>
      <c r="B73" s="5" t="s">
        <v>97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暴击伤害抵抗</v>
      </c>
      <c r="B74" s="5" t="s">
        <v>98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招架</v>
      </c>
      <c r="B75" s="5" t="s">
        <v>99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格挡</v>
      </c>
      <c r="B76" s="5" t="s">
        <v>100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tr">
        <f>VLOOKUP(B77,[1]Sheet1!$A$1:$B$500,2,0)</f>
        <v>命中</v>
      </c>
      <c r="B77" s="5" t="s">
        <v>101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x14ac:dyDescent="0.3">
      <c r="A78" s="2" t="s">
        <v>129</v>
      </c>
      <c r="B78" s="5" t="s">
        <v>130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</row>
    <row r="79" spans="1:10" s="9" customFormat="1" x14ac:dyDescent="0.3">
      <c r="A79" s="8" t="str">
        <f>VLOOKUP(B79,[1]Sheet1!$A$1:$B$500,2,0)</f>
        <v>物理穿透</v>
      </c>
      <c r="B79" s="24" t="s">
        <v>27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s="9" customFormat="1" x14ac:dyDescent="0.3">
      <c r="A80" s="8" t="str">
        <f>VLOOKUP(B80,[1]Sheet1!$A$1:$B$500,2,0)</f>
        <v>魔法穿透</v>
      </c>
      <c r="B80" s="24" t="s">
        <v>28</v>
      </c>
      <c r="C80" s="9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9">
        <v>0</v>
      </c>
      <c r="J80" s="9">
        <v>0</v>
      </c>
    </row>
    <row r="81" spans="1:10" x14ac:dyDescent="0.3">
      <c r="A81" s="2" t="str">
        <f>VLOOKUP(B81,[1]Sheet1!$A$1:$B$500,2,0)</f>
        <v>物理穿透率</v>
      </c>
      <c r="B81" s="5" t="s">
        <v>102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魔法穿透率</v>
      </c>
      <c r="B82" s="5" t="s">
        <v>103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地属性强化</v>
      </c>
      <c r="B83" s="5" t="s">
        <v>111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火属性强化</v>
      </c>
      <c r="B84" s="5" t="s">
        <v>112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水属性强化</v>
      </c>
      <c r="B85" s="5" t="s">
        <v>105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风属性强化</v>
      </c>
      <c r="B86" s="5" t="s">
        <v>106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雷属性强化</v>
      </c>
      <c r="B87" s="5" t="s">
        <v>107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光属性强化</v>
      </c>
      <c r="B88" s="5" t="s">
        <v>108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暗属性强化</v>
      </c>
      <c r="B89" s="5" t="s">
        <v>109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自然属性强化</v>
      </c>
      <c r="B90" s="5" t="s">
        <v>110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地属性抗性</v>
      </c>
      <c r="B91" s="5" t="s">
        <v>19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火属性抗性</v>
      </c>
      <c r="B92" s="5" t="s">
        <v>20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水属性抗性</v>
      </c>
      <c r="B93" s="5" t="s">
        <v>21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风属性抗性</v>
      </c>
      <c r="B94" s="5" t="s">
        <v>22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雷属性抗性</v>
      </c>
      <c r="B95" s="5" t="s">
        <v>23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光属性抗性</v>
      </c>
      <c r="B96" s="5" t="s">
        <v>24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暗属性抗性</v>
      </c>
      <c r="B97" s="5" t="s">
        <v>25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tr">
        <f>VLOOKUP(B98,[1]Sheet1!$A$1:$B$500,2,0)</f>
        <v>自然属性抗性</v>
      </c>
      <c r="B98" s="5" t="s">
        <v>26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">
        <v>167</v>
      </c>
      <c r="B99" s="5" t="s">
        <v>168</v>
      </c>
      <c r="C99" s="1">
        <v>-2500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人形系伤害修正</v>
      </c>
      <c r="B100" s="5" t="s">
        <v>65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类人系伤害修正</v>
      </c>
      <c r="B101" s="5" t="s">
        <v>66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野兽系伤害修正</v>
      </c>
      <c r="B102" s="5" t="s">
        <v>67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昆虫系伤害修正</v>
      </c>
      <c r="B103" s="5" t="s">
        <v>68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植物系伤害修正</v>
      </c>
      <c r="B104" s="5" t="s">
        <v>69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不死系伤害修正</v>
      </c>
      <c r="B105" s="5" t="s">
        <v>70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机械系伤害修正</v>
      </c>
      <c r="B106" s="5" t="s">
        <v>71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龙系伤害修正</v>
      </c>
      <c r="B107" s="5" t="s">
        <v>72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恶魔系伤害修正</v>
      </c>
      <c r="B108" s="5" t="s">
        <v>73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元素系伤害修正</v>
      </c>
      <c r="B109" s="5" t="s">
        <v>74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建筑系伤害修正</v>
      </c>
      <c r="B110" s="5" t="s">
        <v>75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生产技能暴击率</v>
      </c>
      <c r="B111" s="5" t="s">
        <v>76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任务经验值修正率</v>
      </c>
      <c r="B112" s="5" t="s">
        <v>77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任务金币奖励修正率</v>
      </c>
      <c r="B113" s="5" t="s">
        <v>78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s="2" t="str">
        <f>VLOOKUP(B114,[1]Sheet1!$A$1:$B$500,2,0)</f>
        <v>任务掉落修正率</v>
      </c>
      <c r="B114" s="5" t="s">
        <v>79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121</v>
      </c>
      <c r="B115" t="s">
        <v>124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122</v>
      </c>
      <c r="B116" t="s">
        <v>128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t="s">
        <v>123</v>
      </c>
      <c r="B117" t="s">
        <v>125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 t="s">
        <v>126</v>
      </c>
      <c r="B118" t="s">
        <v>127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</sheetData>
  <autoFilter ref="A1:A145"/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44"/>
  <sheetViews>
    <sheetView workbookViewId="0">
      <selection activeCell="F17" sqref="F17"/>
    </sheetView>
  </sheetViews>
  <sheetFormatPr defaultRowHeight="16.5" x14ac:dyDescent="0.3"/>
  <cols>
    <col min="1" max="1" width="19.21875" style="1" customWidth="1"/>
    <col min="2" max="2" width="27.44140625" style="1" customWidth="1"/>
    <col min="3" max="3" width="11.5546875" style="1" customWidth="1"/>
    <col min="4" max="5" width="8.88671875" style="1"/>
    <col min="6" max="6" width="9.5546875" style="1" bestFit="1" customWidth="1"/>
    <col min="7" max="8" width="8.88671875" style="1"/>
    <col min="9" max="9" width="9.6640625" style="1" customWidth="1"/>
    <col min="10" max="10" width="8.88671875" style="1" customWidth="1"/>
    <col min="11" max="16384" width="8.88671875" style="1"/>
  </cols>
  <sheetData>
    <row r="1" spans="1:10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0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0" x14ac:dyDescent="0.3">
      <c r="A3" s="2" t="str">
        <f>VLOOKUP(B3,[1]Sheet1!$A$1:$B$500,2,0)</f>
        <v>最大生命值</v>
      </c>
      <c r="B3" s="4" t="s">
        <v>8</v>
      </c>
      <c r="C3" s="1">
        <v>60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3000</v>
      </c>
      <c r="J3" s="1">
        <v>0</v>
      </c>
    </row>
    <row r="4" spans="1:10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0" s="9" customFormat="1" x14ac:dyDescent="0.3">
      <c r="A5" s="8" t="str">
        <f>VLOOKUP(B5,[1]Sheet1!$A$1:$B$500,2,0)</f>
        <v>最大物理攻击力</v>
      </c>
      <c r="B5" s="9" t="s">
        <v>80</v>
      </c>
      <c r="C5" s="9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500000</v>
      </c>
      <c r="J5" s="9">
        <v>0</v>
      </c>
    </row>
    <row r="6" spans="1:10" s="9" customFormat="1" x14ac:dyDescent="0.3">
      <c r="A6" s="8" t="str">
        <f>VLOOKUP(B6,[1]Sheet1!$A$1:$B$500,2,0)</f>
        <v>最小物理攻击力</v>
      </c>
      <c r="B6" s="9" t="s">
        <v>81</v>
      </c>
      <c r="C6" s="9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500000</v>
      </c>
      <c r="J6" s="9">
        <v>0</v>
      </c>
    </row>
    <row r="7" spans="1:10" s="9" customFormat="1" x14ac:dyDescent="0.3">
      <c r="A7" s="8" t="str">
        <f>VLOOKUP(B7,[1]Sheet1!$A$1:$B$500,2,0)</f>
        <v>最大魔法攻击力</v>
      </c>
      <c r="B7" s="9" t="s">
        <v>82</v>
      </c>
      <c r="C7" s="9">
        <v>150000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3000000</v>
      </c>
      <c r="J7" s="9">
        <v>0</v>
      </c>
    </row>
    <row r="8" spans="1:10" s="9" customFormat="1" x14ac:dyDescent="0.3">
      <c r="A8" s="8" t="str">
        <f>VLOOKUP(B8,[1]Sheet1!$A$1:$B$500,2,0)</f>
        <v>最小魔法攻击力</v>
      </c>
      <c r="B8" s="10" t="s">
        <v>83</v>
      </c>
      <c r="C8" s="9">
        <v>150000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3000000</v>
      </c>
      <c r="J8" s="9">
        <v>0</v>
      </c>
    </row>
    <row r="9" spans="1:10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0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0" x14ac:dyDescent="0.3">
      <c r="A15" s="2" t="str">
        <f>VLOOKUP(B15,[1]Sheet1!$A$1:$B$500,2,0)</f>
        <v>能量恢复速度</v>
      </c>
      <c r="B15" s="1" t="s">
        <v>13</v>
      </c>
      <c r="C15" s="7">
        <v>6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0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x14ac:dyDescent="0.3">
      <c r="A17" s="2" t="str">
        <f>VLOOKUP(B17,[1]Sheet1!$A$1:$B$500,2,0)</f>
        <v>韧性</v>
      </c>
      <c r="B17" s="1" t="s">
        <v>94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ht="21" customHeight="1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s="9" customFormat="1" x14ac:dyDescent="0.3">
      <c r="A78" s="8" t="str">
        <f>VLOOKUP(B78,[1]Sheet1!$A$1:$B$500,2,0)</f>
        <v>物理穿透</v>
      </c>
      <c r="B78" s="24" t="s">
        <v>27</v>
      </c>
      <c r="C78" s="9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9">
        <v>0</v>
      </c>
      <c r="J78" s="9">
        <v>0</v>
      </c>
    </row>
    <row r="79" spans="1:10" s="9" customFormat="1" x14ac:dyDescent="0.3">
      <c r="A79" s="8" t="str">
        <f>VLOOKUP(B79,[1]Sheet1!$A$1:$B$500,2,0)</f>
        <v>魔法穿透</v>
      </c>
      <c r="B79" s="24" t="s">
        <v>28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A144"/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44"/>
  <sheetViews>
    <sheetView zoomScaleNormal="100" workbookViewId="0">
      <selection activeCell="C11" sqref="C11"/>
    </sheetView>
  </sheetViews>
  <sheetFormatPr defaultRowHeight="16.5" x14ac:dyDescent="0.3"/>
  <cols>
    <col min="1" max="1" width="19.21875" style="1" customWidth="1"/>
    <col min="2" max="2" width="27.21875" style="1" customWidth="1"/>
    <col min="3" max="3" width="13.88671875" style="1" customWidth="1"/>
    <col min="4" max="5" width="9.5546875" style="1" bestFit="1" customWidth="1"/>
    <col min="6" max="8" width="8.88671875" style="1"/>
    <col min="9" max="9" width="9.6640625" style="1" customWidth="1"/>
    <col min="10" max="16384" width="8.88671875" style="1"/>
  </cols>
  <sheetData>
    <row r="1" spans="1:11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1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1" x14ac:dyDescent="0.3">
      <c r="A3" s="2" t="str">
        <f>VLOOKUP(B3,[1]Sheet1!$A$1:$B$500,2,0)</f>
        <v>最大生命值</v>
      </c>
      <c r="B3" s="4" t="s">
        <v>8</v>
      </c>
      <c r="C3" s="1">
        <v>120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9000</v>
      </c>
      <c r="J3" s="1">
        <v>0</v>
      </c>
    </row>
    <row r="4" spans="1:11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1" s="9" customFormat="1" x14ac:dyDescent="0.3">
      <c r="A5" s="8" t="str">
        <f>VLOOKUP(B5,[1]Sheet1!$A$1:$B$500,2,0)</f>
        <v>最大物理攻击力</v>
      </c>
      <c r="B5" s="9" t="s">
        <v>80</v>
      </c>
      <c r="C5" s="9">
        <v>120000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3000000</v>
      </c>
      <c r="J5" s="9">
        <v>0</v>
      </c>
    </row>
    <row r="6" spans="1:11" s="9" customFormat="1" x14ac:dyDescent="0.3">
      <c r="A6" s="8" t="str">
        <f>VLOOKUP(B6,[1]Sheet1!$A$1:$B$500,2,0)</f>
        <v>最小物理攻击力</v>
      </c>
      <c r="B6" s="9" t="s">
        <v>81</v>
      </c>
      <c r="C6" s="9">
        <v>120000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3000000</v>
      </c>
      <c r="J6" s="9">
        <v>0</v>
      </c>
    </row>
    <row r="7" spans="1:11" s="9" customFormat="1" x14ac:dyDescent="0.3">
      <c r="A7" s="8" t="str">
        <f>VLOOKUP(B7,[1]Sheet1!$A$1:$B$500,2,0)</f>
        <v>最大魔法攻击力</v>
      </c>
      <c r="B7" s="9" t="s">
        <v>82</v>
      </c>
      <c r="C7" s="9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500000</v>
      </c>
      <c r="J7" s="9">
        <v>0</v>
      </c>
    </row>
    <row r="8" spans="1:11" s="9" customFormat="1" x14ac:dyDescent="0.3">
      <c r="A8" s="8" t="str">
        <f>VLOOKUP(B8,[1]Sheet1!$A$1:$B$500,2,0)</f>
        <v>最小魔法攻击力</v>
      </c>
      <c r="B8" s="10" t="s">
        <v>83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500000</v>
      </c>
      <c r="J8" s="9">
        <v>0</v>
      </c>
    </row>
    <row r="9" spans="1:11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1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1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1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1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1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1" x14ac:dyDescent="0.3">
      <c r="A15" s="2" t="str">
        <f>VLOOKUP(B15,[1]Sheet1!$A$1:$B$500,2,0)</f>
        <v>能量恢复速度</v>
      </c>
      <c r="B15" s="1" t="s">
        <v>13</v>
      </c>
      <c r="C15" s="7">
        <v>1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7">
        <v>0</v>
      </c>
      <c r="K15" s="7"/>
    </row>
    <row r="16" spans="1:11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x14ac:dyDescent="0.3">
      <c r="A17" s="2" t="str">
        <f>VLOOKUP(B17,[1]Sheet1!$A$1:$B$500,2,0)</f>
        <v>韧性</v>
      </c>
      <c r="B17" s="1" t="s">
        <v>94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s="9" customFormat="1" x14ac:dyDescent="0.3">
      <c r="A78" s="8" t="str">
        <f>VLOOKUP(B78,[1]Sheet1!$A$1:$B$500,2,0)</f>
        <v>物理穿透</v>
      </c>
      <c r="B78" s="24" t="s">
        <v>27</v>
      </c>
      <c r="C78" s="9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9">
        <v>0</v>
      </c>
      <c r="J78" s="9">
        <v>0</v>
      </c>
    </row>
    <row r="79" spans="1:10" s="9" customFormat="1" x14ac:dyDescent="0.3">
      <c r="A79" s="8" t="str">
        <f>VLOOKUP(B79,[1]Sheet1!$A$1:$B$500,2,0)</f>
        <v>魔法穿透</v>
      </c>
      <c r="B79" s="24" t="s">
        <v>28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J113"/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44"/>
  <sheetViews>
    <sheetView workbookViewId="0">
      <selection activeCell="C17" sqref="C17"/>
    </sheetView>
  </sheetViews>
  <sheetFormatPr defaultRowHeight="16.5" x14ac:dyDescent="0.3"/>
  <cols>
    <col min="1" max="1" width="19.21875" style="1" customWidth="1"/>
    <col min="2" max="2" width="22.88671875" style="1" customWidth="1"/>
    <col min="3" max="3" width="13.88671875" style="1" customWidth="1"/>
    <col min="4" max="4" width="11.109375" style="1" customWidth="1"/>
    <col min="5" max="5" width="9.5546875" style="1" bestFit="1" customWidth="1"/>
    <col min="6" max="8" width="8.88671875" style="1"/>
    <col min="9" max="9" width="9.6640625" style="1" customWidth="1"/>
    <col min="10" max="16384" width="8.88671875" style="1"/>
  </cols>
  <sheetData>
    <row r="1" spans="1:10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0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0" x14ac:dyDescent="0.3">
      <c r="A3" s="2" t="str">
        <f>VLOOKUP(B3,[1]Sheet1!$A$1:$B$500,2,0)</f>
        <v>最大生命值</v>
      </c>
      <c r="B3" s="4" t="s">
        <v>8</v>
      </c>
      <c r="C3" s="1">
        <v>90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6000</v>
      </c>
      <c r="J3" s="1">
        <v>0</v>
      </c>
    </row>
    <row r="4" spans="1:10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0" s="9" customFormat="1" x14ac:dyDescent="0.3">
      <c r="A5" s="8" t="str">
        <f>VLOOKUP(B5,[1]Sheet1!$A$1:$B$500,2,0)</f>
        <v>最大物理攻击力</v>
      </c>
      <c r="B5" s="9" t="s">
        <v>80</v>
      </c>
      <c r="C5" s="9">
        <v>130000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2000000</v>
      </c>
      <c r="J5" s="9">
        <v>0</v>
      </c>
    </row>
    <row r="6" spans="1:10" s="9" customFormat="1" x14ac:dyDescent="0.3">
      <c r="A6" s="8" t="str">
        <f>VLOOKUP(B6,[1]Sheet1!$A$1:$B$500,2,0)</f>
        <v>最小物理攻击力</v>
      </c>
      <c r="B6" s="9" t="s">
        <v>81</v>
      </c>
      <c r="C6" s="9">
        <v>130000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2000000</v>
      </c>
      <c r="J6" s="9">
        <v>0</v>
      </c>
    </row>
    <row r="7" spans="1:10" s="9" customFormat="1" x14ac:dyDescent="0.3">
      <c r="A7" s="8" t="str">
        <f>VLOOKUP(B7,[1]Sheet1!$A$1:$B$500,2,0)</f>
        <v>最大魔法攻击力</v>
      </c>
      <c r="B7" s="9" t="s">
        <v>82</v>
      </c>
      <c r="C7" s="9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1000000</v>
      </c>
      <c r="J7" s="9">
        <v>0</v>
      </c>
    </row>
    <row r="8" spans="1:10" s="9" customFormat="1" x14ac:dyDescent="0.3">
      <c r="A8" s="8" t="str">
        <f>VLOOKUP(B8,[1]Sheet1!$A$1:$B$500,2,0)</f>
        <v>最小魔法攻击力</v>
      </c>
      <c r="B8" s="10" t="s">
        <v>83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1000000</v>
      </c>
      <c r="J8" s="9">
        <v>0</v>
      </c>
    </row>
    <row r="9" spans="1:10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0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0" x14ac:dyDescent="0.3">
      <c r="A15" s="2" t="str">
        <f>VLOOKUP(B15,[1]Sheet1!$A$1:$B$500,2,0)</f>
        <v>能量恢复速度</v>
      </c>
      <c r="B15" s="1" t="s">
        <v>13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0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s="6" customFormat="1" x14ac:dyDescent="0.3">
      <c r="A17" s="14" t="str">
        <f>VLOOKUP(B17,[1]Sheet1!$A$1:$B$500,2,0)</f>
        <v>韧性</v>
      </c>
      <c r="B17" s="6" t="s">
        <v>94</v>
      </c>
      <c r="C17" s="6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6">
        <v>0</v>
      </c>
      <c r="J17" s="6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500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x14ac:dyDescent="0.3">
      <c r="A78" s="2" t="str">
        <f>VLOOKUP(B78,[1]Sheet1!$A$1:$B$500,2,0)</f>
        <v>物理穿透</v>
      </c>
      <c r="B78" s="5" t="s">
        <v>27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</row>
    <row r="79" spans="1:10" x14ac:dyDescent="0.3">
      <c r="A79" s="2" t="str">
        <f>VLOOKUP(B79,[1]Sheet1!$A$1:$B$500,2,0)</f>
        <v>魔法穿透</v>
      </c>
      <c r="B79" s="5" t="s">
        <v>28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J113"/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workbookViewId="0">
      <selection activeCell="E17" sqref="E17"/>
    </sheetView>
  </sheetViews>
  <sheetFormatPr defaultRowHeight="16.5" x14ac:dyDescent="0.3"/>
  <cols>
    <col min="2" max="2" width="9.21875" customWidth="1"/>
    <col min="3" max="3" width="10.88671875" customWidth="1"/>
    <col min="4" max="4" width="9.77734375" customWidth="1"/>
    <col min="5" max="5" width="11.21875" customWidth="1"/>
    <col min="6" max="6" width="12" customWidth="1"/>
  </cols>
  <sheetData>
    <row r="1" spans="1:6" x14ac:dyDescent="0.3">
      <c r="A1" s="17" t="s">
        <v>132</v>
      </c>
      <c r="B1" s="15" t="s">
        <v>133</v>
      </c>
      <c r="C1" s="15" t="s">
        <v>134</v>
      </c>
      <c r="D1" s="15" t="s">
        <v>135</v>
      </c>
      <c r="E1" s="15" t="s">
        <v>136</v>
      </c>
      <c r="F1" s="16" t="s">
        <v>137</v>
      </c>
    </row>
    <row r="2" spans="1:6" x14ac:dyDescent="0.3">
      <c r="A2" s="18" t="s">
        <v>138</v>
      </c>
      <c r="B2" s="20" t="s">
        <v>155</v>
      </c>
      <c r="C2" s="20" t="s">
        <v>158</v>
      </c>
      <c r="D2" s="20" t="s">
        <v>140</v>
      </c>
      <c r="E2" s="20" t="s">
        <v>142</v>
      </c>
      <c r="F2" s="21" t="s">
        <v>164</v>
      </c>
    </row>
    <row r="3" spans="1:6" x14ac:dyDescent="0.3">
      <c r="A3" s="19" t="s">
        <v>139</v>
      </c>
      <c r="B3" s="22"/>
      <c r="C3" s="22" t="s">
        <v>161</v>
      </c>
      <c r="D3" s="22"/>
      <c r="E3" s="22"/>
      <c r="F3" s="23"/>
    </row>
    <row r="5" spans="1:6" x14ac:dyDescent="0.3">
      <c r="A5" s="17" t="s">
        <v>143</v>
      </c>
      <c r="B5" s="15" t="s">
        <v>133</v>
      </c>
      <c r="C5" s="15" t="s">
        <v>134</v>
      </c>
      <c r="D5" s="15" t="s">
        <v>135</v>
      </c>
      <c r="E5" s="15" t="s">
        <v>136</v>
      </c>
      <c r="F5" s="16" t="s">
        <v>137</v>
      </c>
    </row>
    <row r="6" spans="1:6" x14ac:dyDescent="0.3">
      <c r="A6" s="18" t="s">
        <v>138</v>
      </c>
      <c r="B6" s="20" t="s">
        <v>156</v>
      </c>
      <c r="C6" s="20" t="s">
        <v>157</v>
      </c>
      <c r="D6" s="20" t="s">
        <v>153</v>
      </c>
      <c r="E6" s="20" t="s">
        <v>146</v>
      </c>
      <c r="F6" s="21" t="s">
        <v>160</v>
      </c>
    </row>
    <row r="7" spans="1:6" x14ac:dyDescent="0.3">
      <c r="A7" s="19" t="s">
        <v>139</v>
      </c>
      <c r="B7" s="22"/>
      <c r="C7" s="22"/>
      <c r="D7" s="22"/>
      <c r="E7" s="22"/>
      <c r="F7" s="23" t="s">
        <v>163</v>
      </c>
    </row>
    <row r="9" spans="1:6" x14ac:dyDescent="0.3">
      <c r="A9" s="17" t="s">
        <v>144</v>
      </c>
      <c r="B9" s="15" t="s">
        <v>133</v>
      </c>
      <c r="C9" s="15" t="s">
        <v>134</v>
      </c>
      <c r="D9" s="15" t="s">
        <v>135</v>
      </c>
      <c r="E9" s="15" t="s">
        <v>136</v>
      </c>
      <c r="F9" s="16" t="s">
        <v>137</v>
      </c>
    </row>
    <row r="10" spans="1:6" x14ac:dyDescent="0.3">
      <c r="A10" s="18" t="s">
        <v>138</v>
      </c>
      <c r="B10" s="20" t="s">
        <v>147</v>
      </c>
      <c r="C10" s="20" t="s">
        <v>158</v>
      </c>
      <c r="D10" s="20" t="s">
        <v>154</v>
      </c>
      <c r="E10" s="20" t="s">
        <v>146</v>
      </c>
      <c r="F10" s="21" t="s">
        <v>141</v>
      </c>
    </row>
    <row r="11" spans="1:6" x14ac:dyDescent="0.3">
      <c r="A11" s="19" t="s">
        <v>139</v>
      </c>
      <c r="B11" s="22"/>
      <c r="C11" s="22" t="s">
        <v>162</v>
      </c>
      <c r="D11" s="22"/>
      <c r="E11" s="22"/>
      <c r="F11" s="23"/>
    </row>
    <row r="13" spans="1:6" x14ac:dyDescent="0.3">
      <c r="A13" s="17" t="s">
        <v>145</v>
      </c>
      <c r="B13" s="15" t="s">
        <v>148</v>
      </c>
      <c r="C13" s="15" t="s">
        <v>149</v>
      </c>
      <c r="D13" s="15" t="s">
        <v>150</v>
      </c>
      <c r="E13" s="15" t="s">
        <v>151</v>
      </c>
      <c r="F13" s="16" t="s">
        <v>152</v>
      </c>
    </row>
    <row r="14" spans="1:6" x14ac:dyDescent="0.3">
      <c r="A14" s="18" t="s">
        <v>138</v>
      </c>
      <c r="B14" s="20" t="s">
        <v>154</v>
      </c>
      <c r="C14" s="26" t="s">
        <v>166</v>
      </c>
      <c r="D14" s="25" t="s">
        <v>165</v>
      </c>
      <c r="E14" s="25" t="s">
        <v>146</v>
      </c>
      <c r="F14" s="26" t="s">
        <v>159</v>
      </c>
    </row>
    <row r="15" spans="1:6" x14ac:dyDescent="0.3">
      <c r="A15" s="19" t="s">
        <v>139</v>
      </c>
      <c r="B15" s="22"/>
      <c r="C15" s="27"/>
      <c r="D15" s="22"/>
      <c r="E15" s="22"/>
      <c r="F15" s="23" t="s">
        <v>161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>
      <selection activeCell="B19" sqref="B19"/>
    </sheetView>
  </sheetViews>
  <sheetFormatPr defaultRowHeight="16.5" x14ac:dyDescent="0.3"/>
  <cols>
    <col min="1" max="1" width="19.6640625" customWidth="1"/>
    <col min="2" max="2" width="30.5546875" customWidth="1"/>
    <col min="3" max="3" width="26.33203125" customWidth="1"/>
    <col min="4" max="4" width="39.44140625" customWidth="1"/>
  </cols>
  <sheetData>
    <row r="1" spans="1:4" x14ac:dyDescent="0.3">
      <c r="A1" s="30" t="s">
        <v>169</v>
      </c>
      <c r="B1" s="30" t="s">
        <v>170</v>
      </c>
      <c r="C1" s="30" t="s">
        <v>171</v>
      </c>
      <c r="D1" s="30" t="s">
        <v>172</v>
      </c>
    </row>
    <row r="2" spans="1:4" ht="66" x14ac:dyDescent="0.3">
      <c r="A2" s="31" t="s">
        <v>173</v>
      </c>
      <c r="B2" s="29" t="s">
        <v>174</v>
      </c>
      <c r="C2" s="32" t="s">
        <v>175</v>
      </c>
      <c r="D2" s="29"/>
    </row>
    <row r="3" spans="1:4" x14ac:dyDescent="0.3">
      <c r="A3" s="31" t="s">
        <v>176</v>
      </c>
      <c r="B3" s="29" t="s">
        <v>177</v>
      </c>
      <c r="C3" s="29"/>
      <c r="D3" s="29" t="s">
        <v>178</v>
      </c>
    </row>
    <row r="4" spans="1:4" x14ac:dyDescent="0.3">
      <c r="A4" s="31" t="s">
        <v>179</v>
      </c>
      <c r="B4" s="29" t="s">
        <v>180</v>
      </c>
      <c r="C4" s="29" t="s">
        <v>181</v>
      </c>
      <c r="D4" s="29"/>
    </row>
    <row r="5" spans="1:4" x14ac:dyDescent="0.3">
      <c r="A5" s="31" t="s">
        <v>182</v>
      </c>
      <c r="B5" s="29" t="s">
        <v>183</v>
      </c>
      <c r="C5" s="34" t="s">
        <v>184</v>
      </c>
      <c r="D5" s="29"/>
    </row>
    <row r="6" spans="1:4" x14ac:dyDescent="0.3">
      <c r="A6" s="31" t="s">
        <v>185</v>
      </c>
      <c r="B6" s="29" t="s">
        <v>186</v>
      </c>
      <c r="C6" s="34"/>
      <c r="D6" s="29"/>
    </row>
    <row r="7" spans="1:4" x14ac:dyDescent="0.3">
      <c r="A7" s="31" t="s">
        <v>187</v>
      </c>
      <c r="B7" s="29" t="s">
        <v>188</v>
      </c>
      <c r="C7" s="34"/>
      <c r="D7" s="29"/>
    </row>
    <row r="8" spans="1:4" x14ac:dyDescent="0.3">
      <c r="A8" s="31" t="s">
        <v>189</v>
      </c>
      <c r="B8" s="29" t="s">
        <v>190</v>
      </c>
      <c r="C8" s="34"/>
      <c r="D8" s="29"/>
    </row>
    <row r="9" spans="1:4" x14ac:dyDescent="0.3">
      <c r="A9" s="31" t="s">
        <v>4</v>
      </c>
      <c r="B9" s="29" t="s">
        <v>191</v>
      </c>
      <c r="C9" s="34"/>
      <c r="D9" s="29"/>
    </row>
    <row r="10" spans="1:4" x14ac:dyDescent="0.3">
      <c r="A10" s="31" t="s">
        <v>192</v>
      </c>
      <c r="B10" s="29" t="s">
        <v>193</v>
      </c>
      <c r="C10" s="29" t="s">
        <v>194</v>
      </c>
      <c r="D10" s="29" t="s">
        <v>195</v>
      </c>
    </row>
    <row r="11" spans="1:4" x14ac:dyDescent="0.3">
      <c r="A11" s="31" t="s">
        <v>104</v>
      </c>
      <c r="B11" s="29" t="s">
        <v>196</v>
      </c>
      <c r="C11" s="29"/>
      <c r="D11" s="29"/>
    </row>
    <row r="14" spans="1:4" x14ac:dyDescent="0.3">
      <c r="A14" s="33" t="s">
        <v>197</v>
      </c>
      <c r="B14" s="28"/>
      <c r="C14" s="28"/>
      <c r="D14" s="28"/>
    </row>
  </sheetData>
  <mergeCells count="1">
    <mergeCell ref="C5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计算</vt:lpstr>
      <vt:lpstr>战士</vt:lpstr>
      <vt:lpstr>法师</vt:lpstr>
      <vt:lpstr>刺客</vt:lpstr>
      <vt:lpstr>弓手</vt:lpstr>
      <vt:lpstr>属性转换说明</vt:lpstr>
      <vt:lpstr>Define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李星佳</dc:creator>
  <cp:lastModifiedBy>陈凯02</cp:lastModifiedBy>
  <dcterms:created xsi:type="dcterms:W3CDTF">2012-05-02T08:01:51Z</dcterms:created>
  <dcterms:modified xsi:type="dcterms:W3CDTF">2016-04-15T05:43:10Z</dcterms:modified>
</cp:coreProperties>
</file>