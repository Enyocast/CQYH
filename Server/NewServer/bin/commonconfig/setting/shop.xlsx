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10" windowWidth="21840" windowHeight="11880"/>
  </bookViews>
  <sheets>
    <sheet name="Sheet2" sheetId="5" r:id="rId1"/>
    <sheet name="define" sheetId="2" r:id="rId2"/>
    <sheet name="Sheet3" sheetId="3" r:id="rId3"/>
    <sheet name="装备道具ID" sheetId="6" r:id="rId4"/>
  </sheets>
  <calcPr calcId="145621"/>
</workbook>
</file>

<file path=xl/calcChain.xml><?xml version="1.0" encoding="utf-8"?>
<calcChain xmlns="http://schemas.openxmlformats.org/spreadsheetml/2006/main">
  <c r="E187" i="5" l="1"/>
  <c r="E188" i="5"/>
  <c r="E189" i="5"/>
  <c r="E190" i="5"/>
  <c r="E191" i="5"/>
  <c r="E192" i="5"/>
  <c r="E193" i="5"/>
  <c r="E194" i="5"/>
  <c r="E195" i="5"/>
  <c r="E196" i="5"/>
  <c r="E197" i="5"/>
  <c r="E198" i="5"/>
  <c r="E199" i="5"/>
  <c r="E229" i="5"/>
  <c r="E297" i="5" l="1"/>
  <c r="E296" i="5"/>
  <c r="E293" i="5"/>
  <c r="E295" i="5" l="1"/>
  <c r="E294" i="5"/>
  <c r="H102" i="5" l="1"/>
  <c r="H101" i="5"/>
  <c r="E102" i="5"/>
  <c r="E101" i="5"/>
  <c r="H65" i="5"/>
  <c r="E65" i="5"/>
  <c r="H64" i="5"/>
  <c r="E64" i="5"/>
  <c r="H43" i="5" l="1"/>
  <c r="E43" i="5"/>
  <c r="H42" i="5"/>
  <c r="E42" i="5"/>
  <c r="E21" i="5"/>
  <c r="E20" i="5"/>
  <c r="H19" i="5" l="1"/>
  <c r="H16" i="5"/>
  <c r="E315" i="5" l="1"/>
  <c r="E306" i="5" l="1"/>
  <c r="E307" i="5"/>
  <c r="E308" i="5"/>
  <c r="E309" i="5"/>
  <c r="E310" i="5"/>
  <c r="E311" i="5"/>
  <c r="E312" i="5"/>
  <c r="E313" i="5"/>
  <c r="E314" i="5"/>
  <c r="E170" i="5" l="1"/>
  <c r="E153" i="5"/>
  <c r="H136" i="5"/>
  <c r="H170" i="5" s="1"/>
  <c r="E136" i="5"/>
  <c r="E80" i="5"/>
  <c r="H153" i="5" l="1"/>
  <c r="E208" i="5"/>
  <c r="E186" i="5"/>
  <c r="E177" i="5"/>
  <c r="E178" i="5"/>
  <c r="E160" i="5"/>
  <c r="E161" i="5"/>
  <c r="H144" i="5"/>
  <c r="H178" i="5" s="1"/>
  <c r="E144" i="5"/>
  <c r="H143" i="5"/>
  <c r="H177" i="5" s="1"/>
  <c r="E143" i="5"/>
  <c r="E88" i="5"/>
  <c r="E87" i="5"/>
  <c r="H161" i="5" l="1"/>
  <c r="H160" i="5"/>
  <c r="E169" i="5"/>
  <c r="E168" i="5"/>
  <c r="E152" i="5"/>
  <c r="E151" i="5"/>
  <c r="H135" i="5"/>
  <c r="H152" i="5" s="1"/>
  <c r="H134" i="5"/>
  <c r="H151" i="5" s="1"/>
  <c r="E135" i="5"/>
  <c r="E134" i="5"/>
  <c r="E79" i="5"/>
  <c r="E78" i="5"/>
  <c r="E209" i="5"/>
  <c r="H168" i="5" l="1"/>
  <c r="H169" i="5"/>
  <c r="H165" i="5"/>
  <c r="H173" i="5"/>
  <c r="E176" i="5"/>
  <c r="E175" i="5"/>
  <c r="E174" i="5"/>
  <c r="E173" i="5"/>
  <c r="E172" i="5"/>
  <c r="E171" i="5"/>
  <c r="E167" i="5"/>
  <c r="E166" i="5"/>
  <c r="E165" i="5"/>
  <c r="E164" i="5"/>
  <c r="E163" i="5"/>
  <c r="E162" i="5"/>
  <c r="H148" i="5"/>
  <c r="H156" i="5"/>
  <c r="E159" i="5"/>
  <c r="E158" i="5"/>
  <c r="E157" i="5"/>
  <c r="E156" i="5"/>
  <c r="E155" i="5"/>
  <c r="E154" i="5"/>
  <c r="E150" i="5"/>
  <c r="E149" i="5"/>
  <c r="E148" i="5"/>
  <c r="E147" i="5"/>
  <c r="E146" i="5"/>
  <c r="E145" i="5"/>
  <c r="E128" i="5"/>
  <c r="E129" i="5"/>
  <c r="E130" i="5"/>
  <c r="E131" i="5"/>
  <c r="E132" i="5"/>
  <c r="E133" i="5"/>
  <c r="E137" i="5"/>
  <c r="E138" i="5"/>
  <c r="E139" i="5"/>
  <c r="E140" i="5"/>
  <c r="E141" i="5"/>
  <c r="E142" i="5"/>
  <c r="H29" i="5"/>
  <c r="H30" i="5"/>
  <c r="H31" i="5"/>
  <c r="H32" i="5"/>
  <c r="H33" i="5"/>
  <c r="H34" i="5"/>
  <c r="H35" i="5"/>
  <c r="H44" i="5"/>
  <c r="H45" i="5"/>
  <c r="H46" i="5"/>
  <c r="H47" i="5"/>
  <c r="H48" i="5"/>
  <c r="H49" i="5"/>
  <c r="H28" i="5"/>
  <c r="E49" i="5"/>
  <c r="E48" i="5"/>
  <c r="E47" i="5"/>
  <c r="E46" i="5"/>
  <c r="E45" i="5"/>
  <c r="E44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H51" i="5" l="1"/>
  <c r="H52" i="5"/>
  <c r="H53" i="5"/>
  <c r="H54" i="5"/>
  <c r="H55" i="5"/>
  <c r="H56" i="5"/>
  <c r="H57" i="5"/>
  <c r="H66" i="5"/>
  <c r="H67" i="5"/>
  <c r="H68" i="5"/>
  <c r="H69" i="5"/>
  <c r="H70" i="5"/>
  <c r="H71" i="5"/>
  <c r="H50" i="5"/>
  <c r="E71" i="5"/>
  <c r="E70" i="5"/>
  <c r="E69" i="5"/>
  <c r="E68" i="5"/>
  <c r="E67" i="5"/>
  <c r="E66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217" i="5" l="1"/>
  <c r="E281" i="5" l="1"/>
  <c r="E280" i="5"/>
  <c r="E279" i="5"/>
  <c r="E278" i="5"/>
  <c r="E277" i="5"/>
  <c r="E276" i="5"/>
  <c r="E275" i="5" l="1"/>
  <c r="E274" i="5"/>
  <c r="E273" i="5"/>
  <c r="E242" i="5" l="1"/>
  <c r="H75" i="5" l="1"/>
  <c r="H77" i="5" l="1"/>
  <c r="H74" i="5"/>
  <c r="H18" i="5"/>
  <c r="H17" i="5"/>
  <c r="H15" i="5"/>
  <c r="H14" i="5"/>
  <c r="H36" i="5" l="1"/>
  <c r="H58" i="5"/>
  <c r="H38" i="5"/>
  <c r="H60" i="5"/>
  <c r="H40" i="5"/>
  <c r="H62" i="5"/>
  <c r="H37" i="5"/>
  <c r="H59" i="5"/>
  <c r="H39" i="5"/>
  <c r="H61" i="5"/>
  <c r="H41" i="5"/>
  <c r="H63" i="5"/>
  <c r="H125" i="5"/>
  <c r="H126" i="5"/>
  <c r="H127" i="5"/>
  <c r="H124" i="5"/>
  <c r="H122" i="5"/>
  <c r="H123" i="5"/>
  <c r="H121" i="5"/>
  <c r="H119" i="5"/>
  <c r="H120" i="5"/>
  <c r="H118" i="5"/>
  <c r="H117" i="5"/>
  <c r="H116" i="5"/>
  <c r="H114" i="5"/>
  <c r="H115" i="5"/>
  <c r="H113" i="5"/>
  <c r="E288" i="5" l="1"/>
  <c r="E301" i="5"/>
  <c r="H301" i="5"/>
  <c r="E228" i="5" l="1"/>
  <c r="E225" i="5" l="1"/>
  <c r="E222" i="5"/>
  <c r="H302" i="5" l="1"/>
  <c r="H303" i="5"/>
  <c r="H304" i="5"/>
  <c r="H305" i="5"/>
  <c r="H300" i="5"/>
  <c r="H299" i="5"/>
  <c r="H298" i="5"/>
  <c r="H141" i="5" l="1"/>
  <c r="H142" i="5"/>
  <c r="H140" i="5"/>
  <c r="H138" i="5"/>
  <c r="H137" i="5"/>
  <c r="H130" i="5"/>
  <c r="H128" i="5"/>
  <c r="H110" i="5"/>
  <c r="H109" i="5"/>
  <c r="H107" i="5"/>
  <c r="H108" i="5"/>
  <c r="H106" i="5"/>
  <c r="H104" i="5"/>
  <c r="H105" i="5"/>
  <c r="H103" i="5"/>
  <c r="H90" i="5"/>
  <c r="H91" i="5"/>
  <c r="H92" i="5"/>
  <c r="H93" i="5"/>
  <c r="H94" i="5"/>
  <c r="H95" i="5"/>
  <c r="H96" i="5"/>
  <c r="E112" i="5"/>
  <c r="E111" i="5"/>
  <c r="E110" i="5"/>
  <c r="E109" i="5"/>
  <c r="H89" i="5"/>
  <c r="H132" i="5"/>
  <c r="H112" i="5"/>
  <c r="H129" i="5"/>
  <c r="H100" i="5"/>
  <c r="H99" i="5"/>
  <c r="H98" i="5"/>
  <c r="H97" i="5"/>
  <c r="H162" i="5" l="1"/>
  <c r="H145" i="5"/>
  <c r="H171" i="5"/>
  <c r="H154" i="5"/>
  <c r="H176" i="5"/>
  <c r="H159" i="5"/>
  <c r="H163" i="5"/>
  <c r="H146" i="5"/>
  <c r="H166" i="5"/>
  <c r="H149" i="5"/>
  <c r="H164" i="5"/>
  <c r="H147" i="5"/>
  <c r="H172" i="5"/>
  <c r="H155" i="5"/>
  <c r="H174" i="5"/>
  <c r="H157" i="5"/>
  <c r="H175" i="5"/>
  <c r="H158" i="5"/>
  <c r="H111" i="5"/>
  <c r="H13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2" i="5"/>
  <c r="E23" i="5"/>
  <c r="E24" i="5"/>
  <c r="E25" i="5"/>
  <c r="E26" i="5"/>
  <c r="E27" i="5"/>
  <c r="E72" i="5"/>
  <c r="E73" i="5"/>
  <c r="E74" i="5"/>
  <c r="E75" i="5"/>
  <c r="E76" i="5"/>
  <c r="E77" i="5"/>
  <c r="E81" i="5"/>
  <c r="E82" i="5"/>
  <c r="E83" i="5"/>
  <c r="E84" i="5"/>
  <c r="E85" i="5"/>
  <c r="E86" i="5"/>
  <c r="E89" i="5"/>
  <c r="E90" i="5"/>
  <c r="E91" i="5"/>
  <c r="E92" i="5"/>
  <c r="E93" i="5"/>
  <c r="E94" i="5"/>
  <c r="E95" i="5"/>
  <c r="E96" i="5"/>
  <c r="E97" i="5"/>
  <c r="E98" i="5"/>
  <c r="E99" i="5"/>
  <c r="E100" i="5"/>
  <c r="E103" i="5"/>
  <c r="E104" i="5"/>
  <c r="E105" i="5"/>
  <c r="E106" i="5"/>
  <c r="E107" i="5"/>
  <c r="E108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79" i="5"/>
  <c r="E180" i="5"/>
  <c r="E181" i="5"/>
  <c r="E182" i="5"/>
  <c r="E183" i="5"/>
  <c r="E184" i="5"/>
  <c r="E185" i="5"/>
  <c r="E200" i="5"/>
  <c r="E201" i="5"/>
  <c r="E202" i="5"/>
  <c r="E203" i="5"/>
  <c r="E204" i="5"/>
  <c r="E205" i="5"/>
  <c r="E206" i="5"/>
  <c r="E207" i="5"/>
  <c r="E210" i="5"/>
  <c r="E211" i="5"/>
  <c r="E212" i="5"/>
  <c r="E213" i="5"/>
  <c r="E214" i="5"/>
  <c r="E215" i="5"/>
  <c r="E221" i="5"/>
  <c r="E223" i="5"/>
  <c r="E224" i="5"/>
  <c r="E226" i="5"/>
  <c r="E227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82" i="5"/>
  <c r="E283" i="5"/>
  <c r="E284" i="5"/>
  <c r="E285" i="5"/>
  <c r="E286" i="5"/>
  <c r="E287" i="5"/>
  <c r="E289" i="5"/>
  <c r="E290" i="5"/>
  <c r="E291" i="5"/>
  <c r="E292" i="5"/>
  <c r="E298" i="5"/>
  <c r="E299" i="5"/>
  <c r="E300" i="5"/>
  <c r="E302" i="5"/>
  <c r="E303" i="5"/>
  <c r="E304" i="5"/>
  <c r="E305" i="5"/>
  <c r="E316" i="5"/>
  <c r="E317" i="5"/>
  <c r="E318" i="5"/>
  <c r="E319" i="5"/>
  <c r="E320" i="5"/>
  <c r="E4" i="5"/>
  <c r="H167" i="5" l="1"/>
  <c r="H150" i="5"/>
</calcChain>
</file>

<file path=xl/sharedStrings.xml><?xml version="1.0" encoding="utf-8"?>
<sst xmlns="http://schemas.openxmlformats.org/spreadsheetml/2006/main" count="2086" uniqueCount="1281">
  <si>
    <t>武器商店（1级）</t>
  </si>
  <si>
    <t>防具商店（1级）</t>
  </si>
  <si>
    <t>披风商店（1-50级）</t>
  </si>
  <si>
    <t>竞技场商店</t>
  </si>
  <si>
    <t>战场商店</t>
  </si>
  <si>
    <t>50级装备商店</t>
  </si>
  <si>
    <t>坐骑商店</t>
  </si>
  <si>
    <t>MONEYTYPE_02</t>
  </si>
  <si>
    <t>MONEYTYPE_BF</t>
  </si>
  <si>
    <t>MONEYTYPE_MORAL</t>
  </si>
  <si>
    <t>MONEYTYPE_01</t>
    <phoneticPr fontId="2" type="noConversion"/>
  </si>
  <si>
    <t>MONEYTYPE_ARENA</t>
    <phoneticPr fontId="2" type="noConversion"/>
  </si>
  <si>
    <t>ShopID</t>
  </si>
  <si>
    <t>ShopName</t>
  </si>
  <si>
    <t>ItemID</t>
  </si>
  <si>
    <t>ItemCount</t>
  </si>
  <si>
    <t>CostItemID1</t>
  </si>
  <si>
    <t>CostValue1</t>
  </si>
  <si>
    <t>CostItemID2</t>
  </si>
  <si>
    <t>CostValue2</t>
  </si>
  <si>
    <t>RequireForceID</t>
  </si>
  <si>
    <t>Reputation</t>
  </si>
  <si>
    <t>RequireGuildBuildingID</t>
  </si>
  <si>
    <t>BuildingLevel</t>
  </si>
  <si>
    <t>字段</t>
    <phoneticPr fontId="2" type="noConversion"/>
  </si>
  <si>
    <t>描述</t>
    <phoneticPr fontId="2" type="noConversion"/>
  </si>
  <si>
    <t>说明</t>
    <phoneticPr fontId="2" type="noConversion"/>
  </si>
  <si>
    <t>商店id</t>
    <phoneticPr fontId="2" type="noConversion"/>
  </si>
  <si>
    <t>商店名</t>
    <phoneticPr fontId="2" type="noConversion"/>
  </si>
  <si>
    <t>道具id</t>
    <phoneticPr fontId="2" type="noConversion"/>
  </si>
  <si>
    <t>道具数量</t>
    <phoneticPr fontId="2" type="noConversion"/>
  </si>
  <si>
    <t>货币1</t>
    <phoneticPr fontId="2" type="noConversion"/>
  </si>
  <si>
    <t>绑金</t>
    <phoneticPr fontId="2" type="noConversion"/>
  </si>
  <si>
    <t>道义值</t>
    <phoneticPr fontId="2" type="noConversion"/>
  </si>
  <si>
    <t>金币</t>
    <phoneticPr fontId="2" type="noConversion"/>
  </si>
  <si>
    <t>战场点数</t>
    <phoneticPr fontId="2" type="noConversion"/>
  </si>
  <si>
    <t>竞技场点数</t>
    <phoneticPr fontId="2" type="noConversion"/>
  </si>
  <si>
    <t>货币数量</t>
    <phoneticPr fontId="2" type="noConversion"/>
  </si>
  <si>
    <t>货币2</t>
    <phoneticPr fontId="2" type="noConversion"/>
  </si>
  <si>
    <t>货币数量</t>
    <phoneticPr fontId="2" type="noConversion"/>
  </si>
  <si>
    <t>需求声望类型</t>
    <phoneticPr fontId="2" type="noConversion"/>
  </si>
  <si>
    <t>消耗声望数量</t>
    <phoneticPr fontId="2" type="noConversion"/>
  </si>
  <si>
    <t>需求建筑编号</t>
    <phoneticPr fontId="2" type="noConversion"/>
  </si>
  <si>
    <t>需求建筑等级</t>
    <phoneticPr fontId="2" type="noConversion"/>
  </si>
  <si>
    <t>公会</t>
    <phoneticPr fontId="2" type="noConversion"/>
  </si>
  <si>
    <t>公会</t>
    <phoneticPr fontId="2" type="noConversion"/>
  </si>
  <si>
    <t>Server</t>
  </si>
  <si>
    <t>随身商店</t>
  </si>
  <si>
    <t>药剂商店</t>
  </si>
  <si>
    <t>MONEYTYPE_ARENA</t>
  </si>
  <si>
    <t>成就商店</t>
  </si>
  <si>
    <t>MONEYTYPE_ACHIEVEMENTPTS</t>
  </si>
  <si>
    <t>师徒商店</t>
  </si>
  <si>
    <t>公会商店</t>
  </si>
  <si>
    <t>技能书店</t>
  </si>
  <si>
    <t>红名村药剂商店</t>
    <phoneticPr fontId="2" type="noConversion"/>
  </si>
  <si>
    <t>红名村师徒商店</t>
    <phoneticPr fontId="2" type="noConversion"/>
  </si>
  <si>
    <t>MONEYTYPE_02</t>
    <phoneticPr fontId="2" type="noConversion"/>
  </si>
  <si>
    <t>戒指商店</t>
    <phoneticPr fontId="2" type="noConversion"/>
  </si>
  <si>
    <t>项链商店</t>
    <phoneticPr fontId="2" type="noConversion"/>
  </si>
  <si>
    <t>手镯商店</t>
    <phoneticPr fontId="2" type="noConversion"/>
  </si>
  <si>
    <t>新手、比奇杂货商店</t>
    <phoneticPr fontId="2" type="noConversion"/>
  </si>
  <si>
    <t>盟重杂货商店</t>
    <phoneticPr fontId="2" type="noConversion"/>
  </si>
  <si>
    <t>战士第二套（男）</t>
  </si>
  <si>
    <t>熟铜护腿</t>
  </si>
  <si>
    <t>轻型盔甲</t>
  </si>
  <si>
    <t>道士第一套（女）</t>
  </si>
  <si>
    <t>纶巾6</t>
  </si>
  <si>
    <t>皮质头盔</t>
  </si>
  <si>
    <t>第一套头</t>
    <phoneticPr fontId="2" type="noConversion"/>
  </si>
  <si>
    <t>法师第二套（女）</t>
  </si>
  <si>
    <t>虹霞衣6</t>
  </si>
  <si>
    <t>赤纹护腿6</t>
  </si>
  <si>
    <t>魔法头盔6</t>
  </si>
  <si>
    <t>道士第二套（女）</t>
  </si>
  <si>
    <t>雪灵道袍6</t>
  </si>
  <si>
    <t>秘色裹腿6</t>
  </si>
  <si>
    <t>尖角冠6</t>
  </si>
  <si>
    <t>战士第三套（男）</t>
  </si>
  <si>
    <t>中型盔甲</t>
  </si>
  <si>
    <t>铜甲护腿</t>
  </si>
  <si>
    <t>骷髅头盔</t>
  </si>
  <si>
    <t>法师第三套（女）</t>
  </si>
  <si>
    <t>绢丝法衣6</t>
  </si>
  <si>
    <t>匠制护腿6</t>
  </si>
  <si>
    <t>轻巧法冠6</t>
  </si>
  <si>
    <t>道士第三套（女）</t>
  </si>
  <si>
    <t>青灵道袍6</t>
  </si>
  <si>
    <t>暗纹护腿6</t>
  </si>
  <si>
    <t>浩然头冠6</t>
  </si>
  <si>
    <t>新手村武器商店</t>
    <phoneticPr fontId="2" type="noConversion"/>
  </si>
  <si>
    <t>MoneyType</t>
    <phoneticPr fontId="2" type="noConversion"/>
  </si>
  <si>
    <t>Server</t>
    <phoneticPr fontId="2" type="noConversion"/>
  </si>
  <si>
    <t>Server</t>
    <phoneticPr fontId="2" type="noConversion"/>
  </si>
  <si>
    <t>ItemName</t>
    <phoneticPr fontId="2" type="noConversion"/>
  </si>
  <si>
    <t>绑金</t>
  </si>
  <si>
    <t>金币</t>
  </si>
  <si>
    <t>经验</t>
  </si>
  <si>
    <t>金创药(小量)</t>
  </si>
  <si>
    <t>金创药(中量)</t>
  </si>
  <si>
    <t>强效金创药</t>
  </si>
  <si>
    <t>超强金创药（占位）</t>
  </si>
  <si>
    <t>金创药（占位）</t>
  </si>
  <si>
    <t>小金创药(绑定)</t>
  </si>
  <si>
    <t>中金创药(绑定)</t>
  </si>
  <si>
    <t>魔法药(小量)</t>
  </si>
  <si>
    <t>魔法药(中量)</t>
  </si>
  <si>
    <t>强效魔法药</t>
  </si>
  <si>
    <t>超强魔法药(占位）</t>
  </si>
  <si>
    <t>新手药水(绑定)</t>
  </si>
  <si>
    <t>太阳水</t>
  </si>
  <si>
    <t>强效太阳水</t>
  </si>
  <si>
    <t>疗伤药</t>
  </si>
  <si>
    <t>金创药(小)包</t>
  </si>
  <si>
    <t>金创药(中)包</t>
  </si>
  <si>
    <t>超级金创药</t>
  </si>
  <si>
    <t>魔法药(小)包</t>
  </si>
  <si>
    <t>魔法药(中)包</t>
  </si>
  <si>
    <t>超级魔法药</t>
  </si>
  <si>
    <t>太阳水包</t>
  </si>
  <si>
    <t>强效太阳水包</t>
  </si>
  <si>
    <t>气血石</t>
  </si>
  <si>
    <t>幻魔石</t>
  </si>
  <si>
    <t>魔血石</t>
  </si>
  <si>
    <t>肉</t>
  </si>
  <si>
    <t>鹿血</t>
  </si>
  <si>
    <t>先祖典籍</t>
  </si>
  <si>
    <t>魂瓶</t>
  </si>
  <si>
    <t>白银VIP</t>
  </si>
  <si>
    <t>黄金VIP</t>
  </si>
  <si>
    <t>钻石VIP</t>
  </si>
  <si>
    <t>千里传音</t>
  </si>
  <si>
    <t>蛋糕烟花</t>
  </si>
  <si>
    <t>进击幻彩灵石1级</t>
  </si>
  <si>
    <t>进击幻彩灵石2级</t>
  </si>
  <si>
    <t>进击幻彩灵石3级</t>
  </si>
  <si>
    <t>进击幻彩灵石4级</t>
  </si>
  <si>
    <t>进击幻彩灵石5级</t>
  </si>
  <si>
    <t>进击幻彩灵石6级</t>
  </si>
  <si>
    <t>进击幻彩灵石7级</t>
  </si>
  <si>
    <t>进击幻彩灵石8级</t>
  </si>
  <si>
    <t>进击幻彩灵石9级</t>
  </si>
  <si>
    <t>进击幻彩灵石10级</t>
  </si>
  <si>
    <t>抵御幻彩灵石1级</t>
  </si>
  <si>
    <t>抵御幻彩灵石2级</t>
  </si>
  <si>
    <t>抵御幻彩灵石3级</t>
  </si>
  <si>
    <t>抵御幻彩灵石4级</t>
  </si>
  <si>
    <t>抵御幻彩灵石5级</t>
  </si>
  <si>
    <t>抵御幻彩灵石6级</t>
  </si>
  <si>
    <t>抵御幻彩灵石7级</t>
  </si>
  <si>
    <t>抵御幻彩灵石8级</t>
  </si>
  <si>
    <t>抵御幻彩灵石9级</t>
  </si>
  <si>
    <t>抵御幻彩灵石10级</t>
  </si>
  <si>
    <t>狂热幻彩灵石1级</t>
  </si>
  <si>
    <t>狂热幻彩灵石2级</t>
  </si>
  <si>
    <t>狂热幻彩灵石3级</t>
  </si>
  <si>
    <t>狂热幻彩灵石4级</t>
  </si>
  <si>
    <t>狂热幻彩灵石5级</t>
  </si>
  <si>
    <t>狂热幻彩灵石6级</t>
  </si>
  <si>
    <t>狂热幻彩灵石7级</t>
  </si>
  <si>
    <t>狂热幻彩灵石8级</t>
  </si>
  <si>
    <t>狂热幻彩灵石9级</t>
  </si>
  <si>
    <t>狂热幻彩灵石10级</t>
  </si>
  <si>
    <t>强壮朱砂灵石1级(绑定)</t>
  </si>
  <si>
    <t>强体药石</t>
  </si>
  <si>
    <t>修身药石</t>
  </si>
  <si>
    <t>炼体药石</t>
  </si>
  <si>
    <t>圣体药石</t>
  </si>
  <si>
    <t>金身药石</t>
  </si>
  <si>
    <t>次级铭文精华</t>
  </si>
  <si>
    <t>中级铭文精华</t>
  </si>
  <si>
    <t>基本剑术</t>
  </si>
  <si>
    <t>攻杀剑术</t>
  </si>
  <si>
    <t>刺杀剑术</t>
  </si>
  <si>
    <t>半月弯刀</t>
  </si>
  <si>
    <t>野蛮冲撞</t>
  </si>
  <si>
    <t>烈火剑法</t>
  </si>
  <si>
    <t>狮子吼</t>
  </si>
  <si>
    <t>逐日剑法</t>
  </si>
  <si>
    <t>火球术</t>
  </si>
  <si>
    <t>抗拒火环</t>
  </si>
  <si>
    <t>诱惑之光</t>
  </si>
  <si>
    <t>地狱火</t>
  </si>
  <si>
    <t>雷电术</t>
  </si>
  <si>
    <t>瞬息移动</t>
  </si>
  <si>
    <t>爆裂火焰</t>
  </si>
  <si>
    <t>火墙</t>
  </si>
  <si>
    <t>疾光电影</t>
  </si>
  <si>
    <t>地狱雷光</t>
  </si>
  <si>
    <t>魔法盾</t>
  </si>
  <si>
    <t>圣言术</t>
  </si>
  <si>
    <t>冰咆哮</t>
  </si>
  <si>
    <t>寒冰掌</t>
  </si>
  <si>
    <t>大火球</t>
  </si>
  <si>
    <t>灭天火</t>
  </si>
  <si>
    <t>流星火雨</t>
  </si>
  <si>
    <t>治愈术</t>
  </si>
  <si>
    <t>精神力战法</t>
  </si>
  <si>
    <t>施毒术</t>
  </si>
  <si>
    <t>灵魂火符</t>
  </si>
  <si>
    <t>召唤骷髅</t>
  </si>
  <si>
    <t>隐身术</t>
  </si>
  <si>
    <t>集体隐身术</t>
  </si>
  <si>
    <t>幽灵盾</t>
  </si>
  <si>
    <t>神圣战甲术</t>
  </si>
  <si>
    <t>困魔咒</t>
  </si>
  <si>
    <t>气功波</t>
  </si>
  <si>
    <t>群体治愈术</t>
  </si>
  <si>
    <t>召唤神兽</t>
  </si>
  <si>
    <t>无极真气</t>
  </si>
  <si>
    <t>噬血术</t>
  </si>
  <si>
    <t>神龙摆尾</t>
  </si>
  <si>
    <t>御守</t>
  </si>
  <si>
    <t>鬼影缠身</t>
  </si>
  <si>
    <t>狰狞</t>
  </si>
  <si>
    <t>狂风破</t>
  </si>
  <si>
    <t>龙影</t>
  </si>
  <si>
    <t>毒刃</t>
  </si>
  <si>
    <t>隐雾</t>
  </si>
  <si>
    <t>真气烈风</t>
  </si>
  <si>
    <t>结网</t>
  </si>
  <si>
    <t>乱舞</t>
  </si>
  <si>
    <t>新月</t>
  </si>
  <si>
    <t>影袭</t>
  </si>
  <si>
    <t>摄魂</t>
  </si>
  <si>
    <t>嗜血</t>
  </si>
  <si>
    <t>鬼狱</t>
  </si>
  <si>
    <t>天魔掌</t>
  </si>
  <si>
    <t>鬼手</t>
  </si>
  <si>
    <t>龙血归心</t>
  </si>
  <si>
    <t>冲击矢</t>
  </si>
  <si>
    <t>震裂箭</t>
  </si>
  <si>
    <t>飞虹箭</t>
  </si>
  <si>
    <t>猎手天赋</t>
  </si>
  <si>
    <t>箭雨</t>
  </si>
  <si>
    <t>咬魂</t>
  </si>
  <si>
    <t>连珠箭</t>
  </si>
  <si>
    <t>通灵</t>
  </si>
  <si>
    <t>陷阱</t>
  </si>
  <si>
    <t>狙击</t>
  </si>
  <si>
    <t>迅猛踢</t>
  </si>
  <si>
    <t>战术标记</t>
  </si>
  <si>
    <t>震天雷</t>
  </si>
  <si>
    <t>空中射击</t>
  </si>
  <si>
    <t>束缚打击</t>
  </si>
  <si>
    <t>奔驰</t>
  </si>
  <si>
    <t>爆破</t>
  </si>
  <si>
    <t>紧急回避</t>
  </si>
  <si>
    <t>蓄势箭</t>
  </si>
  <si>
    <t>灰色药粉(少量)</t>
  </si>
  <si>
    <t>灰色药粉(中量)</t>
  </si>
  <si>
    <t>灰色药粉(大量)</t>
  </si>
  <si>
    <t>超级灰色药粉</t>
  </si>
  <si>
    <t>黄色药粉(少量)</t>
  </si>
  <si>
    <t>黄色药粉(中量)</t>
  </si>
  <si>
    <t>黄色药粉(大量)</t>
  </si>
  <si>
    <t>超级黄色药粉</t>
  </si>
  <si>
    <t>护身符</t>
  </si>
  <si>
    <t>护身符(大)</t>
  </si>
  <si>
    <t>超级护身符</t>
  </si>
  <si>
    <t>比奇回城卷</t>
  </si>
  <si>
    <t>沃玛号角</t>
  </si>
  <si>
    <t>祝福油</t>
  </si>
  <si>
    <t>公会回城石</t>
  </si>
  <si>
    <t>随机传送卷</t>
  </si>
  <si>
    <t>比奇回城卷(绑定)</t>
  </si>
  <si>
    <t>盟重回城卷</t>
  </si>
  <si>
    <t>比奇回城卷包</t>
  </si>
  <si>
    <t>随机传送卷包</t>
  </si>
  <si>
    <t>盟重回城卷包</t>
  </si>
  <si>
    <t>初级攻城车</t>
  </si>
  <si>
    <t>中级攻城车</t>
  </si>
  <si>
    <t>高级攻城车</t>
  </si>
  <si>
    <t>神秘卷轴</t>
  </si>
  <si>
    <t>木柴</t>
  </si>
  <si>
    <t>搜索地图</t>
  </si>
  <si>
    <t>修补建筑的石头</t>
  </si>
  <si>
    <t>修补建筑的木头</t>
  </si>
  <si>
    <t>剑齿虎的毛皮</t>
  </si>
  <si>
    <t>伐木斧</t>
  </si>
  <si>
    <t>虚空魔晶</t>
  </si>
  <si>
    <t>魔兽之血</t>
  </si>
  <si>
    <t>有价值的神殿遗物</t>
  </si>
  <si>
    <t>老师的遗物</t>
  </si>
  <si>
    <t>猛犸人的象牙</t>
  </si>
  <si>
    <t>黑矮人的魔法金属</t>
  </si>
  <si>
    <t>淬毒的魔能弹</t>
  </si>
  <si>
    <t>黑矮人王冠</t>
  </si>
  <si>
    <t>黑矮人的战锤</t>
  </si>
  <si>
    <t>黑矮人的连弩</t>
  </si>
  <si>
    <t>解除诅咒的药水</t>
  </si>
  <si>
    <t>黑暗法师的血液</t>
  </si>
  <si>
    <t>价值连城的魔导器</t>
  </si>
  <si>
    <t>黑暗粉尘</t>
  </si>
  <si>
    <t>死亡之牙</t>
  </si>
  <si>
    <t>泰坦神殿地图</t>
  </si>
  <si>
    <t>泰坦的灵魂</t>
  </si>
  <si>
    <t>泰坦之力</t>
  </si>
  <si>
    <t>来自哥哥的信</t>
  </si>
  <si>
    <t>骸骨箭矢</t>
  </si>
  <si>
    <t>来自弟弟的信</t>
  </si>
  <si>
    <t>传送阵碎片</t>
  </si>
  <si>
    <t>未知药剂</t>
  </si>
  <si>
    <t>封印钥匙</t>
  </si>
  <si>
    <t>冰甲白熊的血液</t>
  </si>
  <si>
    <t>冰原血地龙的粘液</t>
  </si>
  <si>
    <t>冰甲白熊的毛皮</t>
  </si>
  <si>
    <t>冰原血地龙的利齿</t>
  </si>
  <si>
    <t>法阵拓印件</t>
  </si>
  <si>
    <t>月花草</t>
  </si>
  <si>
    <t>火灵蕊</t>
  </si>
  <si>
    <t>炎魔丹</t>
  </si>
  <si>
    <t>藏身点的情报</t>
  </si>
  <si>
    <t>确认的情报</t>
  </si>
  <si>
    <t>向导的地图</t>
  </si>
  <si>
    <t>铁线黑蛇草</t>
  </si>
  <si>
    <t>修补沙船的木头</t>
  </si>
  <si>
    <t>泯心丹</t>
  </si>
  <si>
    <t>烈阳果</t>
  </si>
  <si>
    <t>空的补给箱</t>
  </si>
  <si>
    <t>便当盒</t>
  </si>
  <si>
    <t>疗伤草</t>
  </si>
  <si>
    <t>显影粉尘</t>
  </si>
  <si>
    <t>破烂的刀剑</t>
  </si>
  <si>
    <t>破烂的弓弩</t>
  </si>
  <si>
    <t>军用刀剑</t>
  </si>
  <si>
    <t>军用弓弩</t>
  </si>
  <si>
    <t>沙民的头饰</t>
  </si>
  <si>
    <t>沙船的设计图</t>
  </si>
  <si>
    <t>沙虫的利齿</t>
  </si>
  <si>
    <t>虫笛</t>
  </si>
  <si>
    <t>沙虫幼虫</t>
  </si>
  <si>
    <t>仪式短刃</t>
  </si>
  <si>
    <t>解毒草药</t>
  </si>
  <si>
    <t>解毒药</t>
  </si>
  <si>
    <t>土元素核心</t>
  </si>
  <si>
    <t>草药</t>
  </si>
  <si>
    <t>蟹螯</t>
  </si>
  <si>
    <t>地图碎片</t>
  </si>
  <si>
    <t>海蜥蜴人的鳞片</t>
  </si>
  <si>
    <t>海族的武器</t>
  </si>
  <si>
    <t>法师袍子</t>
  </si>
  <si>
    <t>地狱犬皮毛</t>
  </si>
  <si>
    <t>雪狐皮毛</t>
  </si>
  <si>
    <t>珍珠</t>
  </si>
  <si>
    <t>噩梦蠕虫的触须</t>
  </si>
  <si>
    <t>冷静药剂</t>
  </si>
  <si>
    <t>催化药剂</t>
  </si>
  <si>
    <t>散落的货物</t>
  </si>
  <si>
    <t>“金针”</t>
  </si>
  <si>
    <t>羊毛</t>
  </si>
  <si>
    <t>魔犬之血</t>
  </si>
  <si>
    <t>土灵核心</t>
  </si>
  <si>
    <t>食人蜥蜴的鳞片</t>
  </si>
  <si>
    <t>僵尸的腿骨粉末</t>
  </si>
  <si>
    <t>任务卷轴</t>
  </si>
  <si>
    <t>补给物资</t>
  </si>
  <si>
    <t>云翔的书信</t>
  </si>
  <si>
    <t>上古卷轴</t>
  </si>
  <si>
    <t>剑齿虎皮套</t>
  </si>
  <si>
    <t>疗伤草药</t>
  </si>
  <si>
    <t>熊掌</t>
  </si>
  <si>
    <t>货物</t>
  </si>
  <si>
    <t>疗毒草药</t>
  </si>
  <si>
    <t>幼熊熊掌</t>
  </si>
  <si>
    <t>魔化之血</t>
  </si>
  <si>
    <t>黑暗晶体</t>
  </si>
  <si>
    <t>冰魔之心</t>
  </si>
  <si>
    <t>元素精魄</t>
  </si>
  <si>
    <t>雪精灵的心脏</t>
  </si>
  <si>
    <t>前线药剂箱</t>
  </si>
  <si>
    <t>腐烂的蚌肉</t>
  </si>
  <si>
    <t>黑鲛长矛</t>
  </si>
  <si>
    <t>新手武器</t>
  </si>
  <si>
    <t>装满火药的大桶</t>
  </si>
  <si>
    <t>石目的作战计划</t>
  </si>
  <si>
    <t>库奇的地图</t>
  </si>
  <si>
    <t>金牙的财物</t>
  </si>
  <si>
    <t>香甜的蟹肉</t>
  </si>
  <si>
    <t>神秘的石盘</t>
  </si>
  <si>
    <t>幻魔晶石</t>
  </si>
  <si>
    <t>发光的鳞片</t>
  </si>
  <si>
    <t>冰冷的黑色晶核</t>
  </si>
  <si>
    <t>魔晶碎片</t>
  </si>
  <si>
    <t>灵能晶核</t>
  </si>
  <si>
    <t>龙典</t>
  </si>
  <si>
    <t>遗物</t>
  </si>
  <si>
    <t>商人的货物</t>
  </si>
  <si>
    <t>治疗精神病古方的药物一</t>
  </si>
  <si>
    <t>治疗精神病古方的药物二</t>
  </si>
  <si>
    <t>红蛇的**</t>
  </si>
  <si>
    <t>黄蛇的**</t>
  </si>
  <si>
    <t>魔虫的**</t>
  </si>
  <si>
    <t>塔斯的信物</t>
  </si>
  <si>
    <t>操虫师的药引</t>
  </si>
  <si>
    <t>沙地金笋</t>
  </si>
  <si>
    <t>蛇胆</t>
  </si>
  <si>
    <t>**酒</t>
  </si>
  <si>
    <t>银蛇水银</t>
  </si>
  <si>
    <t>硫磺</t>
  </si>
  <si>
    <t>丹砂</t>
  </si>
  <si>
    <t>普通水银</t>
  </si>
  <si>
    <t>大黑神丸</t>
  </si>
  <si>
    <t>魔盔之卵</t>
  </si>
  <si>
    <t>解药1</t>
  </si>
  <si>
    <t>恐蛇胆</t>
  </si>
  <si>
    <t>解药2</t>
  </si>
  <si>
    <t>治疗玲雅的药剂</t>
  </si>
  <si>
    <t>法杖</t>
  </si>
  <si>
    <t>翔</t>
  </si>
  <si>
    <t>鸡</t>
  </si>
  <si>
    <t>马</t>
  </si>
  <si>
    <t>魔树根</t>
  </si>
  <si>
    <t>蝙蝠爪</t>
  </si>
  <si>
    <t>蟹钳</t>
  </si>
  <si>
    <t>骷髅戒指</t>
  </si>
  <si>
    <t>碎裂的龟壳</t>
  </si>
  <si>
    <t>矿石</t>
  </si>
  <si>
    <t>魔魂草</t>
  </si>
  <si>
    <t>毒龙草</t>
  </si>
  <si>
    <t>奇异石头</t>
  </si>
  <si>
    <t>魔虫的翔</t>
  </si>
  <si>
    <t>蛇卵</t>
  </si>
  <si>
    <t>仙人掌瓣</t>
  </si>
  <si>
    <t>木材</t>
  </si>
  <si>
    <t>奇怪的矿石</t>
  </si>
  <si>
    <t>英雄的纪念</t>
  </si>
  <si>
    <t>五龙卫之书</t>
  </si>
  <si>
    <t>瘟疫的蔓延</t>
  </si>
  <si>
    <t>迟来的真相</t>
  </si>
  <si>
    <t>矿工日记</t>
  </si>
  <si>
    <t>和尚日记</t>
  </si>
  <si>
    <t>道士日记</t>
  </si>
  <si>
    <t>副官日记(上)</t>
  </si>
  <si>
    <t>副官日记(下)</t>
  </si>
  <si>
    <t>菱铁矿</t>
  </si>
  <si>
    <t>尖锐的长牙</t>
  </si>
  <si>
    <t>铁牛的护身符(上)</t>
  </si>
  <si>
    <t>铁牛的护身符(中)</t>
  </si>
  <si>
    <t>铁牛的护身符(下)</t>
  </si>
  <si>
    <t>朴小克手记</t>
  </si>
  <si>
    <t>藏匿的宝贝</t>
  </si>
  <si>
    <t>海边的贝壳</t>
  </si>
  <si>
    <t>永不凋谢的睡莲</t>
  </si>
  <si>
    <t>奇怪的石板</t>
  </si>
  <si>
    <t>鲜艳的花</t>
  </si>
  <si>
    <t>紫菀花</t>
  </si>
  <si>
    <t>甘绿草</t>
  </si>
  <si>
    <t>传奇七星草</t>
  </si>
  <si>
    <t>我</t>
  </si>
  <si>
    <t>爱</t>
  </si>
  <si>
    <t>传</t>
  </si>
  <si>
    <t>奇</t>
  </si>
  <si>
    <t>永</t>
  </si>
  <si>
    <t>恒</t>
  </si>
  <si>
    <t>攻杀印2级卷轴01</t>
  </si>
  <si>
    <t>森罗印2级卷轴01</t>
  </si>
  <si>
    <t>巨力印2级卷轴01</t>
  </si>
  <si>
    <t>速攻印2级卷轴01</t>
  </si>
  <si>
    <t>复活丹</t>
  </si>
  <si>
    <t>赎罪符03</t>
  </si>
  <si>
    <t>赎罪符04</t>
  </si>
  <si>
    <t>初级装备精华</t>
  </si>
  <si>
    <t>次级装备精华</t>
  </si>
  <si>
    <t>中级装备精华</t>
  </si>
  <si>
    <t>高级装备精华</t>
  </si>
  <si>
    <t>顶级装备精华</t>
  </si>
  <si>
    <t>蓝色灵气</t>
  </si>
  <si>
    <t>紫色灵气</t>
  </si>
  <si>
    <t>橙色灵气</t>
  </si>
  <si>
    <t>绑定初级装备精华</t>
  </si>
  <si>
    <t>绑定次级装备精华</t>
  </si>
  <si>
    <t>绑定中级装备精华</t>
  </si>
  <si>
    <t>绑定高级装备精华</t>
  </si>
  <si>
    <t>绑定顶级装备精华</t>
  </si>
  <si>
    <t>进击幻彩灵石2级卷轴</t>
  </si>
  <si>
    <t>进击幻彩灵石3级卷轴</t>
  </si>
  <si>
    <t>进击幻彩灵石4级卷轴</t>
  </si>
  <si>
    <t>进击幻彩灵石5级卷轴</t>
  </si>
  <si>
    <t>进击幻彩灵石6级卷轴</t>
  </si>
  <si>
    <t>进击幻彩灵石7级卷轴</t>
  </si>
  <si>
    <t>进击幻彩灵石8级卷轴</t>
  </si>
  <si>
    <t>进击幻彩灵石9级卷轴</t>
  </si>
  <si>
    <t>进击幻彩灵石10级卷轴</t>
  </si>
  <si>
    <t>抵御幻彩灵石2级卷轴</t>
  </si>
  <si>
    <t>抵御幻彩灵石3级卷轴</t>
  </si>
  <si>
    <t>抵御幻彩灵石4级卷轴</t>
  </si>
  <si>
    <t>抵御幻彩灵石5级卷轴</t>
  </si>
  <si>
    <t>抵御幻彩灵石6级卷轴</t>
  </si>
  <si>
    <t>抵御幻彩灵石7级卷轴</t>
  </si>
  <si>
    <t>抵御幻彩灵石8级卷轴</t>
  </si>
  <si>
    <t>抵御幻彩灵石9级卷轴</t>
  </si>
  <si>
    <t>抵御幻彩灵石10级卷轴</t>
  </si>
  <si>
    <t>狂热幻彩灵石2级卷轴</t>
  </si>
  <si>
    <t>狂热幻彩灵石3级卷轴</t>
  </si>
  <si>
    <t>狂热幻彩灵石4级卷轴</t>
  </si>
  <si>
    <t>狂热幻彩灵石5级卷轴</t>
  </si>
  <si>
    <t>狂热幻彩灵石6级卷轴</t>
  </si>
  <si>
    <t>狂热幻彩灵石7级卷轴</t>
  </si>
  <si>
    <t>狂热幻彩灵石8级卷轴</t>
  </si>
  <si>
    <t>狂热幻彩灵石9级卷轴</t>
  </si>
  <si>
    <t>狂热幻彩灵石10级卷轴</t>
  </si>
  <si>
    <t>新手礼包(3级)</t>
  </si>
  <si>
    <t>师徒礼包</t>
  </si>
  <si>
    <t>战场礼包</t>
  </si>
  <si>
    <t>新手礼包(10级)</t>
  </si>
  <si>
    <t>新手礼包(20级)</t>
  </si>
  <si>
    <t>活跃礼包</t>
  </si>
  <si>
    <t>声望灵石礼包01</t>
  </si>
  <si>
    <t>声望灵石礼包02</t>
  </si>
  <si>
    <t>快速霜鸣兽</t>
  </si>
  <si>
    <t>疾速霜鸣兽</t>
  </si>
  <si>
    <t>神速霜鸣兽</t>
  </si>
  <si>
    <t>奇遇礼包</t>
  </si>
  <si>
    <t>竞技场青铜宝箱</t>
  </si>
  <si>
    <t>竞技场白银宝箱</t>
  </si>
  <si>
    <t>竞技场黄金宝箱</t>
  </si>
  <si>
    <t>竞技场钻石宝箱</t>
  </si>
  <si>
    <t>比奇勇士礼包</t>
  </si>
  <si>
    <t>比奇霸主礼包</t>
  </si>
  <si>
    <t>道义书卷1</t>
  </si>
  <si>
    <t>道义书卷2</t>
  </si>
  <si>
    <t>道义书卷3</t>
  </si>
  <si>
    <t>道义书卷4</t>
  </si>
  <si>
    <t>道义书卷5</t>
  </si>
  <si>
    <t>道义书卷6</t>
  </si>
  <si>
    <t>道义书卷7</t>
  </si>
  <si>
    <t>道义书卷8</t>
  </si>
  <si>
    <t>道义书卷9</t>
  </si>
  <si>
    <t>道义书卷10</t>
  </si>
  <si>
    <t>道义书卷11</t>
  </si>
  <si>
    <t>道义书卷12</t>
  </si>
  <si>
    <t>道义书卷13</t>
  </si>
  <si>
    <t>道义书卷14</t>
  </si>
  <si>
    <t>3级测试礼包</t>
  </si>
  <si>
    <t>10级测试礼包</t>
  </si>
  <si>
    <t>15级测试礼包</t>
  </si>
  <si>
    <t>20级测试礼包</t>
  </si>
  <si>
    <t>测试礼盒一</t>
  </si>
  <si>
    <t>测试礼盒二</t>
  </si>
  <si>
    <t>测试礼盒三</t>
  </si>
  <si>
    <t>测试礼盒四</t>
  </si>
  <si>
    <t>测试礼盒五</t>
  </si>
  <si>
    <t>测试礼盒六</t>
  </si>
  <si>
    <t>测试礼盒七</t>
  </si>
  <si>
    <t>宝石礼包</t>
  </si>
  <si>
    <t>10级问卷调查礼包</t>
  </si>
  <si>
    <t>20级问卷调查礼包</t>
  </si>
  <si>
    <t>30级问卷调查礼包</t>
  </si>
  <si>
    <t>问卷调查礼包</t>
  </si>
  <si>
    <t>师徒升级礼包101</t>
  </si>
  <si>
    <t>师徒升级礼包102</t>
  </si>
  <si>
    <t>师徒升级礼包103</t>
  </si>
  <si>
    <t>师徒升级礼包104</t>
  </si>
  <si>
    <t>师徒升级礼包105</t>
  </si>
  <si>
    <t>师徒升级礼包106</t>
  </si>
  <si>
    <t>师徒升级礼包107</t>
  </si>
  <si>
    <t>师徒升级礼包108</t>
  </si>
  <si>
    <t>师徒升级礼包109</t>
  </si>
  <si>
    <t>出师徒弟小礼包</t>
  </si>
  <si>
    <t>出师徒弟大礼包</t>
  </si>
  <si>
    <t>师徒升级礼包201</t>
  </si>
  <si>
    <t>师徒升级礼包202</t>
  </si>
  <si>
    <t>师徒升级礼包203</t>
  </si>
  <si>
    <t>师徒升级礼包204</t>
  </si>
  <si>
    <t>师徒升级礼包205</t>
  </si>
  <si>
    <t>师徒升级礼包206</t>
  </si>
  <si>
    <t>师徒升级礼包207</t>
  </si>
  <si>
    <t>师徒升级礼包208</t>
  </si>
  <si>
    <t>师徒升级礼包209</t>
  </si>
  <si>
    <t>出师师父礼包</t>
  </si>
  <si>
    <t>15级贺信</t>
  </si>
  <si>
    <t>20级贺信</t>
  </si>
  <si>
    <t>25级贺信</t>
  </si>
  <si>
    <t>30级贺信</t>
  </si>
  <si>
    <t>35级贺信</t>
  </si>
  <si>
    <t>40级贺信</t>
  </si>
  <si>
    <t>15级祝福礼盒</t>
  </si>
  <si>
    <t>20级祝福礼盒</t>
  </si>
  <si>
    <t>25级祝福礼盒</t>
  </si>
  <si>
    <t>30级祝福礼盒</t>
  </si>
  <si>
    <t>35级祝福礼盒</t>
  </si>
  <si>
    <t>40级祝福礼盒</t>
  </si>
  <si>
    <t>15级传世礼盒</t>
  </si>
  <si>
    <t>20级传世礼盒</t>
  </si>
  <si>
    <t>25级传世礼盒</t>
  </si>
  <si>
    <t>30级传世礼盒</t>
  </si>
  <si>
    <t>35级传世礼盒</t>
  </si>
  <si>
    <t>40级传世礼盒</t>
  </si>
  <si>
    <t>贺信回馈1</t>
  </si>
  <si>
    <t>贺信回馈2</t>
  </si>
  <si>
    <t>贺信回馈3</t>
  </si>
  <si>
    <t>四海礼盒回馈1</t>
  </si>
  <si>
    <t>四海礼盒回馈2</t>
  </si>
  <si>
    <t>四海礼盒回馈3</t>
  </si>
  <si>
    <t>龙锦贡礼回馈1</t>
  </si>
  <si>
    <t>龙锦贡礼回馈2</t>
  </si>
  <si>
    <t>龙锦贡礼回馈3</t>
  </si>
  <si>
    <t>尊师酒</t>
  </si>
  <si>
    <t>丹青卷</t>
  </si>
  <si>
    <t>贺信</t>
  </si>
  <si>
    <t>四海礼盒</t>
  </si>
  <si>
    <t>龙锦贡礼</t>
  </si>
  <si>
    <t>悬赏礼包</t>
  </si>
  <si>
    <t>伤不起</t>
  </si>
  <si>
    <t>充满正能量</t>
  </si>
  <si>
    <t>Only·You</t>
  </si>
  <si>
    <t>玛法功臣</t>
  </si>
  <si>
    <t>我爱传奇永恒礼包</t>
  </si>
  <si>
    <t>公会扶持礼包</t>
  </si>
  <si>
    <t>木剑</t>
  </si>
  <si>
    <t>匕首</t>
  </si>
  <si>
    <t>乌木剑</t>
  </si>
  <si>
    <t>青铜剑</t>
  </si>
  <si>
    <t>短剑</t>
  </si>
  <si>
    <t>铁剑</t>
  </si>
  <si>
    <t>鹤嘴锄</t>
  </si>
  <si>
    <t>青铜斧</t>
  </si>
  <si>
    <t>海魂</t>
  </si>
  <si>
    <t>八荒</t>
  </si>
  <si>
    <t>半月</t>
  </si>
  <si>
    <t>凌风</t>
  </si>
  <si>
    <t>偃月</t>
  </si>
  <si>
    <t>破魂</t>
  </si>
  <si>
    <t>降魔</t>
  </si>
  <si>
    <t>斩马刀</t>
  </si>
  <si>
    <t>修罗</t>
  </si>
  <si>
    <t>魔杖</t>
  </si>
  <si>
    <t>炼狱</t>
  </si>
  <si>
    <t>凝霜</t>
  </si>
  <si>
    <t>银蛇</t>
  </si>
  <si>
    <t>井中月</t>
  </si>
  <si>
    <t>血饮</t>
  </si>
  <si>
    <t>无极棍</t>
  </si>
  <si>
    <t>裁决</t>
  </si>
  <si>
    <t>屠龙</t>
  </si>
  <si>
    <t>龙纹剑</t>
  </si>
  <si>
    <t>骨玉权杖</t>
  </si>
  <si>
    <t>嗜魂法杖</t>
  </si>
  <si>
    <t>命运之刃</t>
  </si>
  <si>
    <t>逍遥扇</t>
  </si>
  <si>
    <t>怒斩</t>
  </si>
  <si>
    <t>龙牙</t>
  </si>
  <si>
    <t>祈祷之刃</t>
  </si>
  <si>
    <t>金项链</t>
  </si>
  <si>
    <t>传统项链</t>
  </si>
  <si>
    <t>黄色水晶项链</t>
  </si>
  <si>
    <t>黑檀项链</t>
  </si>
  <si>
    <t>黑色水晶项链</t>
  </si>
  <si>
    <t>白金项链</t>
  </si>
  <si>
    <t>白色虎齿项链</t>
  </si>
  <si>
    <t>灯笼项链</t>
  </si>
  <si>
    <t>琥珀项链</t>
  </si>
  <si>
    <t>魔鬼项链</t>
  </si>
  <si>
    <t>凤凰明珠</t>
  </si>
  <si>
    <t>蓝翡翠项链</t>
  </si>
  <si>
    <t>竹笛</t>
  </si>
  <si>
    <t>放大镜</t>
  </si>
  <si>
    <t>幽灵项链</t>
  </si>
  <si>
    <t>绿色项链</t>
  </si>
  <si>
    <t>灵魂项链</t>
  </si>
  <si>
    <t>恶魔铃铛</t>
  </si>
  <si>
    <t>生命项链</t>
  </si>
  <si>
    <t>天珠项链</t>
  </si>
  <si>
    <t>技巧项链</t>
  </si>
  <si>
    <t>探测项链</t>
  </si>
  <si>
    <t>狂风项链</t>
  </si>
  <si>
    <t>记忆项链</t>
  </si>
  <si>
    <t>祈祷项链</t>
  </si>
  <si>
    <t>圣战项链</t>
  </si>
  <si>
    <t>法神项链</t>
  </si>
  <si>
    <t>天尊项链</t>
  </si>
  <si>
    <t>魔血项链</t>
  </si>
  <si>
    <t>虹魔项链</t>
  </si>
  <si>
    <t>古铜戒指</t>
  </si>
  <si>
    <t>玻璃戒指</t>
  </si>
  <si>
    <t>六角戒指</t>
  </si>
  <si>
    <t>牛角戒指</t>
  </si>
  <si>
    <t>蓝色水晶戒指</t>
  </si>
  <si>
    <t>生铁戒指</t>
  </si>
  <si>
    <t>珍珠戒指</t>
  </si>
  <si>
    <t>黑色水晶戒指</t>
  </si>
  <si>
    <t>蛇眼戒指</t>
  </si>
  <si>
    <t>金戒指</t>
  </si>
  <si>
    <t>道德戒指</t>
  </si>
  <si>
    <t>魅力戒指</t>
  </si>
  <si>
    <t>降妖除魔戒指</t>
  </si>
  <si>
    <t>铂金戒指</t>
  </si>
  <si>
    <t>珊瑚戒指</t>
  </si>
  <si>
    <t>红宝石戒指</t>
  </si>
  <si>
    <t>龙之戒指</t>
  </si>
  <si>
    <t>力量戒指</t>
  </si>
  <si>
    <t>紫碧螺</t>
  </si>
  <si>
    <t>泰坦戒指</t>
  </si>
  <si>
    <t>狂风戒指</t>
  </si>
  <si>
    <t>传送戒指</t>
  </si>
  <si>
    <t>护身戒指</t>
  </si>
  <si>
    <t>防御戒指</t>
  </si>
  <si>
    <t>麻痹戒指</t>
  </si>
  <si>
    <t>超负载戒指</t>
  </si>
  <si>
    <t>火焰戒指</t>
  </si>
  <si>
    <t>复活戒指</t>
  </si>
  <si>
    <t>隐身戒指</t>
  </si>
  <si>
    <t>记忆戒指</t>
  </si>
  <si>
    <t>祈祷戒指</t>
  </si>
  <si>
    <t>圣战戒指</t>
  </si>
  <si>
    <t>法神戒指</t>
  </si>
  <si>
    <t>天尊戒指</t>
  </si>
  <si>
    <t>魔血戒指</t>
  </si>
  <si>
    <t>虹魔戒指</t>
  </si>
  <si>
    <t>铁手镯</t>
  </si>
  <si>
    <t>小手镯</t>
  </si>
  <si>
    <t>银手镯</t>
  </si>
  <si>
    <t>大手镯</t>
  </si>
  <si>
    <t>钢手镯</t>
  </si>
  <si>
    <t>魔法手镯</t>
  </si>
  <si>
    <t>道士手镯</t>
  </si>
  <si>
    <t>黑檀手镯</t>
  </si>
  <si>
    <t>金手镯</t>
  </si>
  <si>
    <t>三眼手镯</t>
  </si>
  <si>
    <t>思贝儿手镯</t>
  </si>
  <si>
    <t>骑士手镯</t>
  </si>
  <si>
    <t>辟邪手镯</t>
  </si>
  <si>
    <t>心灵手镯</t>
  </si>
  <si>
    <t>龙之手镯</t>
  </si>
  <si>
    <t>皮制手套</t>
  </si>
  <si>
    <t>坚固手套</t>
  </si>
  <si>
    <t>死神手套</t>
  </si>
  <si>
    <t>幽灵手套</t>
  </si>
  <si>
    <t>阎罗手套</t>
  </si>
  <si>
    <t>记忆手镯</t>
  </si>
  <si>
    <t>祈祷手镯</t>
  </si>
  <si>
    <t>圣战手镯</t>
  </si>
  <si>
    <t>法神手镯</t>
  </si>
  <si>
    <t>天尊手镯</t>
  </si>
  <si>
    <t>魔力手镯</t>
  </si>
  <si>
    <t>魔血手镯</t>
  </si>
  <si>
    <t>虹魔手镯</t>
  </si>
  <si>
    <t>新手木剑</t>
  </si>
  <si>
    <t>布衣1</t>
  </si>
  <si>
    <t>青铜头盔61</t>
  </si>
  <si>
    <t>粗麻护肩61</t>
  </si>
  <si>
    <t>布衣61</t>
  </si>
  <si>
    <t>麻布腰带61</t>
  </si>
  <si>
    <t>粗布护腕61</t>
  </si>
  <si>
    <t>布鞋61</t>
  </si>
  <si>
    <t>黑铁头盔</t>
  </si>
  <si>
    <t>法宝</t>
  </si>
  <si>
    <t>飞剑</t>
  </si>
  <si>
    <t>青铜头盔</t>
  </si>
  <si>
    <t>粗麻护肩</t>
  </si>
  <si>
    <t>布衣</t>
  </si>
  <si>
    <t>麻布腰带</t>
  </si>
  <si>
    <t>粗布护腕</t>
  </si>
  <si>
    <t>布鞋</t>
  </si>
  <si>
    <t>粗铁肩甲</t>
  </si>
  <si>
    <t>生铁腰带</t>
  </si>
  <si>
    <t>劣铜护腕</t>
  </si>
  <si>
    <t>轻铁靴</t>
  </si>
  <si>
    <t>魔法头盔</t>
  </si>
  <si>
    <t>鹿皮靴</t>
  </si>
  <si>
    <t>精铁肩甲</t>
  </si>
  <si>
    <t>兽皮腰带</t>
  </si>
  <si>
    <t>老兵护腕</t>
  </si>
  <si>
    <t>重铁肩甲</t>
  </si>
  <si>
    <t>重盔甲</t>
  </si>
  <si>
    <t>铁腰带</t>
  </si>
  <si>
    <t>精钢护腕</t>
  </si>
  <si>
    <t>魔法长袍</t>
  </si>
  <si>
    <t>道士头盔</t>
  </si>
  <si>
    <t>灵魂战衣</t>
  </si>
  <si>
    <t>虎卫肩甲</t>
  </si>
  <si>
    <t>战神盔甲</t>
  </si>
  <si>
    <t>青铜腰带</t>
  </si>
  <si>
    <t>震击护腕</t>
  </si>
  <si>
    <t>恶魔长袍</t>
  </si>
  <si>
    <t>紫绸靴</t>
  </si>
  <si>
    <t>幽灵战衣</t>
  </si>
  <si>
    <t>圣战头盔</t>
  </si>
  <si>
    <t>天魔神甲</t>
  </si>
  <si>
    <t>钢铁腰带</t>
  </si>
  <si>
    <t>法神头盔</t>
  </si>
  <si>
    <t>天尊头盔</t>
  </si>
  <si>
    <t>天尊道袍</t>
  </si>
  <si>
    <t>避魂靴</t>
  </si>
  <si>
    <t>布衣6</t>
  </si>
  <si>
    <t>轻型盔甲6</t>
  </si>
  <si>
    <t>中型盔甲6</t>
  </si>
  <si>
    <t>重盔甲6</t>
  </si>
  <si>
    <t>魔法长袍6</t>
  </si>
  <si>
    <t>灵魂战衣6</t>
  </si>
  <si>
    <t>战神盔甲6</t>
  </si>
  <si>
    <t>恶魔长袍6</t>
  </si>
  <si>
    <t>幽灵战衣6</t>
  </si>
  <si>
    <t>逐日肩甲</t>
  </si>
  <si>
    <t>圣战宝甲</t>
  </si>
  <si>
    <t>杀戮护腕</t>
  </si>
  <si>
    <t>霓裳羽衣</t>
  </si>
  <si>
    <t>天师长袍</t>
  </si>
  <si>
    <t>战士铭文石</t>
  </si>
  <si>
    <t>法师铭文石</t>
  </si>
  <si>
    <t>道士铭文石</t>
  </si>
  <si>
    <t>战士铭文石(绑定)</t>
  </si>
  <si>
    <t>法师铭文石(绑定)</t>
  </si>
  <si>
    <t>道士铭文石(绑定)</t>
  </si>
  <si>
    <t>尸王之泪</t>
  </si>
  <si>
    <t>沃玛教主之牙</t>
  </si>
  <si>
    <t>触龙神之足</t>
  </si>
  <si>
    <t>铜矿3</t>
  </si>
  <si>
    <t>铜矿4</t>
  </si>
  <si>
    <t>铜矿5</t>
  </si>
  <si>
    <t>铜矿6</t>
  </si>
  <si>
    <t>铜矿7</t>
  </si>
  <si>
    <t>铜矿8</t>
  </si>
  <si>
    <t>铜矿9</t>
  </si>
  <si>
    <t>铜矿10</t>
  </si>
  <si>
    <t>铜矿11</t>
  </si>
  <si>
    <t>铜矿12</t>
  </si>
  <si>
    <t>铜矿13</t>
  </si>
  <si>
    <t>铜矿14</t>
  </si>
  <si>
    <t>铜矿15</t>
  </si>
  <si>
    <t>铜矿16</t>
  </si>
  <si>
    <t>铜矿17</t>
  </si>
  <si>
    <t>铜矿18</t>
  </si>
  <si>
    <t>铜矿19</t>
  </si>
  <si>
    <t>铜矿20</t>
  </si>
  <si>
    <t>铜矿21</t>
  </si>
  <si>
    <t>铜矿22</t>
  </si>
  <si>
    <t>铜矿23</t>
  </si>
  <si>
    <t>铜矿24</t>
  </si>
  <si>
    <t>铜矿25</t>
  </si>
  <si>
    <t>铜矿26</t>
  </si>
  <si>
    <t>铁矿3</t>
  </si>
  <si>
    <t>铁矿4</t>
  </si>
  <si>
    <t>铁矿5</t>
  </si>
  <si>
    <t>铁矿6</t>
  </si>
  <si>
    <t>铁矿7</t>
  </si>
  <si>
    <t>铁矿8</t>
  </si>
  <si>
    <t>铁矿9</t>
  </si>
  <si>
    <t>铁矿10</t>
  </si>
  <si>
    <t>铁矿11</t>
  </si>
  <si>
    <t>铁矿12</t>
  </si>
  <si>
    <t>铁矿13</t>
  </si>
  <si>
    <t>铁矿14</t>
  </si>
  <si>
    <t>铁矿15</t>
  </si>
  <si>
    <t>铁矿16</t>
  </si>
  <si>
    <t>铁矿17</t>
  </si>
  <si>
    <t>铁矿18</t>
  </si>
  <si>
    <t>铁矿19</t>
  </si>
  <si>
    <t>铁矿20</t>
  </si>
  <si>
    <t>铁矿21</t>
  </si>
  <si>
    <t>铁矿22</t>
  </si>
  <si>
    <t>铁矿23</t>
  </si>
  <si>
    <t>铁矿24</t>
  </si>
  <si>
    <t>铁矿25</t>
  </si>
  <si>
    <t>铁矿26</t>
  </si>
  <si>
    <t>银矿3</t>
  </si>
  <si>
    <t>银矿4</t>
  </si>
  <si>
    <t>银矿5</t>
  </si>
  <si>
    <t>银矿6</t>
  </si>
  <si>
    <t>银矿7</t>
  </si>
  <si>
    <t>银矿8</t>
  </si>
  <si>
    <t>银矿9</t>
  </si>
  <si>
    <t>银矿10</t>
  </si>
  <si>
    <t>银矿11</t>
  </si>
  <si>
    <t>银矿12</t>
  </si>
  <si>
    <t>银矿13</t>
  </si>
  <si>
    <t>银矿14</t>
  </si>
  <si>
    <t>银矿15</t>
  </si>
  <si>
    <t>银矿16</t>
  </si>
  <si>
    <t>银矿17</t>
  </si>
  <si>
    <t>银矿18</t>
  </si>
  <si>
    <t>银矿19</t>
  </si>
  <si>
    <t>银矿20</t>
  </si>
  <si>
    <t>银矿21</t>
  </si>
  <si>
    <t>银矿22</t>
  </si>
  <si>
    <t>银矿23</t>
  </si>
  <si>
    <t>银矿24</t>
  </si>
  <si>
    <t>银矿25</t>
  </si>
  <si>
    <t>银矿26</t>
  </si>
  <si>
    <t>金矿3</t>
  </si>
  <si>
    <t>金矿4</t>
  </si>
  <si>
    <t>金矿5</t>
  </si>
  <si>
    <t>金矿6</t>
  </si>
  <si>
    <t>金矿7</t>
  </si>
  <si>
    <t>金矿8</t>
  </si>
  <si>
    <t>金矿9</t>
  </si>
  <si>
    <t>金矿10</t>
  </si>
  <si>
    <t>金矿11</t>
  </si>
  <si>
    <t>金矿12</t>
  </si>
  <si>
    <t>金矿13</t>
  </si>
  <si>
    <t>金矿14</t>
  </si>
  <si>
    <t>金矿15</t>
  </si>
  <si>
    <t>金矿16</t>
  </si>
  <si>
    <t>金矿17</t>
  </si>
  <si>
    <t>金矿18</t>
  </si>
  <si>
    <t>金矿19</t>
  </si>
  <si>
    <t>金矿20</t>
  </si>
  <si>
    <t>金矿21</t>
  </si>
  <si>
    <t>金矿22</t>
  </si>
  <si>
    <t>金矿23</t>
  </si>
  <si>
    <t>金矿24</t>
  </si>
  <si>
    <t>金矿25</t>
  </si>
  <si>
    <t>金矿26</t>
  </si>
  <si>
    <t>罗刹</t>
  </si>
  <si>
    <t>赤血魔剑</t>
  </si>
  <si>
    <t>记忆头盔</t>
  </si>
  <si>
    <t>祈祷头盔</t>
  </si>
  <si>
    <t>新手村武器商店</t>
  </si>
  <si>
    <t>Index</t>
    <phoneticPr fontId="2" type="noConversion"/>
  </si>
  <si>
    <t>偃月</t>
    <phoneticPr fontId="2" type="noConversion"/>
  </si>
  <si>
    <t>初级红名符</t>
  </si>
  <si>
    <t>中级红名符</t>
  </si>
  <si>
    <t>高级红名符</t>
  </si>
  <si>
    <t>幽灵船药剂商店</t>
    <phoneticPr fontId="2" type="noConversion"/>
  </si>
  <si>
    <t>野外药剂商店</t>
    <phoneticPr fontId="2" type="noConversion"/>
  </si>
  <si>
    <t>野外杂货商店</t>
    <phoneticPr fontId="2" type="noConversion"/>
  </si>
  <si>
    <t>幽灵船杂货商店</t>
    <phoneticPr fontId="2" type="noConversion"/>
  </si>
  <si>
    <t>肉干</t>
  </si>
  <si>
    <t>龙卫灵匣</t>
  </si>
  <si>
    <t>聚灵匣</t>
  </si>
  <si>
    <t>礼花</t>
  </si>
  <si>
    <t>驭朱灵石1级</t>
  </si>
  <si>
    <t>驭朱灵石2级</t>
  </si>
  <si>
    <t>驭朱灵石3级</t>
  </si>
  <si>
    <t>驭朱灵石4级</t>
  </si>
  <si>
    <t>驭朱灵石5级</t>
  </si>
  <si>
    <t>驭朱灵石6级</t>
  </si>
  <si>
    <t>驭朱灵石7级</t>
  </si>
  <si>
    <t>驭朱灵石8级</t>
  </si>
  <si>
    <t>驭朱灵石9级</t>
  </si>
  <si>
    <t>驭朱灵石10级</t>
  </si>
  <si>
    <t>命朱灵石1级</t>
  </si>
  <si>
    <t>命朱灵石2级</t>
  </si>
  <si>
    <t>命朱灵石3级</t>
  </si>
  <si>
    <t>命朱灵石4级</t>
  </si>
  <si>
    <t>命朱灵石5级</t>
  </si>
  <si>
    <t>命朱灵石6级</t>
  </si>
  <si>
    <t>命朱灵石7级</t>
  </si>
  <si>
    <t>命朱灵石8级</t>
  </si>
  <si>
    <t>命朱灵石9级</t>
  </si>
  <si>
    <t>命朱灵石10级</t>
  </si>
  <si>
    <t>新日灵石1级</t>
  </si>
  <si>
    <t>新日灵石2级</t>
  </si>
  <si>
    <t>新日灵石3级</t>
  </si>
  <si>
    <t>新日灵石4级</t>
  </si>
  <si>
    <t>新日灵石5级</t>
  </si>
  <si>
    <t>新日灵石6级</t>
  </si>
  <si>
    <t>新日灵石7级</t>
  </si>
  <si>
    <t>新日灵石8级</t>
  </si>
  <si>
    <t>新日灵石9级</t>
  </si>
  <si>
    <t>新日灵石10级</t>
  </si>
  <si>
    <t>守日灵石1级</t>
  </si>
  <si>
    <t>守日灵石2级</t>
  </si>
  <si>
    <t>守日灵石3级</t>
  </si>
  <si>
    <t>守日灵石4级</t>
  </si>
  <si>
    <t>守日灵石5级</t>
  </si>
  <si>
    <t>守日灵石6级</t>
  </si>
  <si>
    <t>守日灵石7级</t>
  </si>
  <si>
    <t>守日灵石8级</t>
  </si>
  <si>
    <t>守日灵石9级</t>
  </si>
  <si>
    <t>守日灵石10级</t>
  </si>
  <si>
    <t>透蓝灵石1级</t>
  </si>
  <si>
    <t>透蓝灵石2级</t>
  </si>
  <si>
    <t>透蓝灵石3级</t>
  </si>
  <si>
    <t>透蓝灵石4级</t>
  </si>
  <si>
    <t>透蓝灵石5级</t>
  </si>
  <si>
    <t>透蓝灵石6级</t>
  </si>
  <si>
    <t>透蓝灵石7级</t>
  </si>
  <si>
    <t>透蓝灵石8级</t>
  </si>
  <si>
    <t>透蓝灵石9级</t>
  </si>
  <si>
    <t>透蓝灵石10级</t>
  </si>
  <si>
    <t>蔚蓝灵石1级</t>
  </si>
  <si>
    <t>蔚蓝灵石2级</t>
  </si>
  <si>
    <t>蔚蓝灵石3级</t>
  </si>
  <si>
    <t>蔚蓝灵石4级</t>
  </si>
  <si>
    <t>蔚蓝灵石5级</t>
  </si>
  <si>
    <t>蔚蓝灵石6级</t>
  </si>
  <si>
    <t>蔚蓝灵石7级</t>
  </si>
  <si>
    <t>蔚蓝灵石8级</t>
  </si>
  <si>
    <t>蔚蓝灵石9级</t>
  </si>
  <si>
    <t>蔚蓝灵石10级</t>
  </si>
  <si>
    <t>盈绿灵石1级</t>
  </si>
  <si>
    <t>盈绿灵石2级</t>
  </si>
  <si>
    <t>盈绿灵石3级</t>
  </si>
  <si>
    <t>盈绿灵石4级</t>
  </si>
  <si>
    <t>盈绿灵石5级</t>
  </si>
  <si>
    <t>盈绿灵石6级</t>
  </si>
  <si>
    <t>盈绿灵石7级</t>
  </si>
  <si>
    <t>盈绿灵石8级</t>
  </si>
  <si>
    <t>盈绿灵石9级</t>
  </si>
  <si>
    <t>盈绿灵石10级</t>
  </si>
  <si>
    <t>精绿灵石1级</t>
  </si>
  <si>
    <t>精绿灵石2级</t>
  </si>
  <si>
    <t>精绿灵石3级</t>
  </si>
  <si>
    <t>精绿灵石4级</t>
  </si>
  <si>
    <t>精绿灵石5级</t>
  </si>
  <si>
    <t>精绿灵石6级</t>
  </si>
  <si>
    <t>精绿灵石7级</t>
  </si>
  <si>
    <t>精绿灵石8级</t>
  </si>
  <si>
    <t>精绿灵石9级</t>
  </si>
  <si>
    <t>精绿灵石10级</t>
  </si>
  <si>
    <t>韧紫灵石1级</t>
  </si>
  <si>
    <t>韧紫灵石2级</t>
  </si>
  <si>
    <t>韧紫灵石3级</t>
  </si>
  <si>
    <t>韧紫灵石4级</t>
  </si>
  <si>
    <t>韧紫灵石5级</t>
  </si>
  <si>
    <t>韧紫灵石6级</t>
  </si>
  <si>
    <t>韧紫灵石7级</t>
  </si>
  <si>
    <t>韧紫灵石8级</t>
  </si>
  <si>
    <t>韧紫灵石9级</t>
  </si>
  <si>
    <t>韧紫灵石10级</t>
  </si>
  <si>
    <t>纯紫灵石1级</t>
  </si>
  <si>
    <t>纯紫灵石2级</t>
  </si>
  <si>
    <t>纯紫灵石3级</t>
  </si>
  <si>
    <t>纯紫灵石4级</t>
  </si>
  <si>
    <t>纯紫灵石5级</t>
  </si>
  <si>
    <t>纯紫灵石6级</t>
  </si>
  <si>
    <t>纯紫灵石7级</t>
  </si>
  <si>
    <t>纯紫灵石8级</t>
  </si>
  <si>
    <t>纯紫灵石9级</t>
  </si>
  <si>
    <t>纯紫灵石10级</t>
  </si>
  <si>
    <t>沙巴克回城卷</t>
  </si>
  <si>
    <t>沙巴克回城卷包</t>
  </si>
  <si>
    <t>比奇回城石</t>
  </si>
  <si>
    <t>盟重回城石</t>
  </si>
  <si>
    <t>玲月传</t>
  </si>
  <si>
    <t>阿九传</t>
  </si>
  <si>
    <t>南苍公传</t>
  </si>
  <si>
    <t>茂盛绿叶植物</t>
  </si>
  <si>
    <t>古旧命运之刃</t>
  </si>
  <si>
    <t>祖玛头像</t>
  </si>
  <si>
    <t>鹿肉</t>
  </si>
  <si>
    <t>圣战遗书</t>
  </si>
  <si>
    <t>法神遗书</t>
  </si>
  <si>
    <t>天尊遗书</t>
  </si>
  <si>
    <t>石身残片</t>
  </si>
  <si>
    <t>夜明珠</t>
  </si>
  <si>
    <t>琉璃珠</t>
  </si>
  <si>
    <t>装备碎片</t>
  </si>
  <si>
    <t>蚕丝</t>
  </si>
  <si>
    <t>矿渣</t>
  </si>
  <si>
    <t>黑铁矿石3</t>
  </si>
  <si>
    <t>黑铁矿石4</t>
  </si>
  <si>
    <t>黑铁矿石5</t>
  </si>
  <si>
    <t>黑铁矿石6</t>
  </si>
  <si>
    <t>黑铁矿石7</t>
  </si>
  <si>
    <t>黑铁矿石8</t>
  </si>
  <si>
    <t>黑铁矿石9</t>
  </si>
  <si>
    <t>黑铁矿石10</t>
  </si>
  <si>
    <t>黑铁矿石11</t>
  </si>
  <si>
    <t>黑铁矿石12</t>
  </si>
  <si>
    <t>黑铁矿石13</t>
  </si>
  <si>
    <t>黑铁矿石14</t>
  </si>
  <si>
    <t>黑铁矿石15</t>
  </si>
  <si>
    <t>黑铁矿石16</t>
  </si>
  <si>
    <t>黑铁矿石17</t>
  </si>
  <si>
    <t>黑铁矿石18</t>
  </si>
  <si>
    <t>黑铁矿石19</t>
  </si>
  <si>
    <t>黑铁矿石20</t>
  </si>
  <si>
    <t>黑铁矿石21</t>
  </si>
  <si>
    <t>黑铁矿石22</t>
  </si>
  <si>
    <t>黑铁矿石23</t>
  </si>
  <si>
    <t>黑铁矿石24</t>
  </si>
  <si>
    <t>黑铁矿石25</t>
  </si>
  <si>
    <t>黑铁矿石26</t>
  </si>
  <si>
    <t>(绑定)黑铁矿石20</t>
  </si>
  <si>
    <t>粮食包</t>
  </si>
  <si>
    <t>木材包</t>
  </si>
  <si>
    <t>石料包</t>
  </si>
  <si>
    <t>铁料包</t>
  </si>
  <si>
    <t>战时粮食包</t>
  </si>
  <si>
    <t>战时木材包</t>
  </si>
  <si>
    <t>战时石料包</t>
  </si>
  <si>
    <t>战时铁料包</t>
  </si>
  <si>
    <t>御朱灵石2级卷轴</t>
  </si>
  <si>
    <t>御朱灵石3级卷轴</t>
  </si>
  <si>
    <t>御朱灵石4级卷轴</t>
  </si>
  <si>
    <t>御朱灵石5级卷轴</t>
  </si>
  <si>
    <t>御朱灵石6级卷轴</t>
  </si>
  <si>
    <t>御朱灵石7级卷轴</t>
  </si>
  <si>
    <t>御朱灵石8级卷轴</t>
  </si>
  <si>
    <t>御朱灵石9级卷轴</t>
  </si>
  <si>
    <t>御朱灵石10级卷轴</t>
  </si>
  <si>
    <t>命朱灵石2级卷轴</t>
  </si>
  <si>
    <t>命朱灵石3级卷轴</t>
  </si>
  <si>
    <t>命朱灵石4级卷轴</t>
  </si>
  <si>
    <t>命朱灵石5级卷轴</t>
  </si>
  <si>
    <t>命朱灵石6级卷轴</t>
  </si>
  <si>
    <t>命朱灵石7级卷轴</t>
  </si>
  <si>
    <t>命朱灵石8级卷轴</t>
  </si>
  <si>
    <t>命朱灵石9级卷轴</t>
  </si>
  <si>
    <t>命朱灵石10级卷轴</t>
  </si>
  <si>
    <t>新日灵石2级卷轴</t>
  </si>
  <si>
    <t>新日灵石3级卷轴</t>
  </si>
  <si>
    <t>新日灵石4级卷轴</t>
  </si>
  <si>
    <t>新日灵石5级卷轴</t>
  </si>
  <si>
    <t>新日灵石6级卷轴</t>
  </si>
  <si>
    <t>新日灵石7级卷轴</t>
  </si>
  <si>
    <t>新日灵石8级卷轴</t>
  </si>
  <si>
    <t>新日灵石9级卷轴</t>
  </si>
  <si>
    <t>新日灵石10级卷轴</t>
  </si>
  <si>
    <t>守日灵石2级卷轴</t>
  </si>
  <si>
    <t>守日灵石3级卷轴</t>
  </si>
  <si>
    <t>守日灵石4级卷轴</t>
  </si>
  <si>
    <t>守日灵石5级卷轴</t>
  </si>
  <si>
    <t>守日灵石6级卷轴</t>
  </si>
  <si>
    <t>守日灵石7级卷轴</t>
  </si>
  <si>
    <t>守日灵石8级卷轴</t>
  </si>
  <si>
    <t>守日灵石9级卷轴</t>
  </si>
  <si>
    <t>守日灵石10级卷轴</t>
  </si>
  <si>
    <t>透蓝灵石2级卷轴</t>
  </si>
  <si>
    <t>透蓝灵石3级卷轴</t>
  </si>
  <si>
    <t>透蓝灵石4级卷轴</t>
  </si>
  <si>
    <t>透蓝灵石5级卷轴</t>
  </si>
  <si>
    <t>透蓝灵石6级卷轴</t>
  </si>
  <si>
    <t>透蓝灵石7级卷轴</t>
  </si>
  <si>
    <t>透蓝灵石8级卷轴</t>
  </si>
  <si>
    <t>透蓝灵石9级卷轴</t>
  </si>
  <si>
    <t>透蓝灵石10级卷轴</t>
  </si>
  <si>
    <t>蔚蓝灵石2级卷轴</t>
  </si>
  <si>
    <t>蔚蓝灵石3级卷轴</t>
  </si>
  <si>
    <t>蔚蓝灵石4级卷轴</t>
  </si>
  <si>
    <t>蔚蓝灵石5级卷轴</t>
  </si>
  <si>
    <t>蔚蓝灵石6级卷轴</t>
  </si>
  <si>
    <t>蔚蓝灵石7级卷轴</t>
  </si>
  <si>
    <t>蔚蓝灵石8级卷轴</t>
  </si>
  <si>
    <t>蔚蓝灵石9级卷轴</t>
  </si>
  <si>
    <t>蔚蓝灵石10级卷轴</t>
  </si>
  <si>
    <t>盈绿灵石2级卷轴</t>
  </si>
  <si>
    <t>盈绿灵石3级卷轴</t>
  </si>
  <si>
    <t>盈绿灵石4级卷轴</t>
  </si>
  <si>
    <t>盈绿灵石5级卷轴</t>
  </si>
  <si>
    <t>盈绿灵石6级卷轴</t>
  </si>
  <si>
    <t>盈绿灵石7级卷轴</t>
  </si>
  <si>
    <t>盈绿灵石8级卷轴</t>
  </si>
  <si>
    <t>盈绿灵石9级卷轴</t>
  </si>
  <si>
    <t>盈绿灵石10级卷轴</t>
  </si>
  <si>
    <t>精绿灵石2级卷轴</t>
  </si>
  <si>
    <t>精绿灵石3级卷轴</t>
  </si>
  <si>
    <t>精绿灵石4级卷轴</t>
  </si>
  <si>
    <t>精绿灵石5级卷轴</t>
  </si>
  <si>
    <t>精绿灵石6级卷轴</t>
  </si>
  <si>
    <t>精绿灵石7级卷轴</t>
  </si>
  <si>
    <t>精绿灵石8级卷轴</t>
  </si>
  <si>
    <t>精绿灵石9级卷轴</t>
  </si>
  <si>
    <t>精绿灵石10级卷轴</t>
  </si>
  <si>
    <t>韧紫灵石2级卷轴</t>
  </si>
  <si>
    <t>韧紫灵石3级卷轴</t>
  </si>
  <si>
    <t>韧紫灵石4级卷轴</t>
  </si>
  <si>
    <t>韧紫灵石5级卷轴</t>
  </si>
  <si>
    <t>韧紫灵石6级卷轴</t>
  </si>
  <si>
    <t>韧紫灵石7级卷轴</t>
  </si>
  <si>
    <t>韧紫灵石8级卷轴</t>
  </si>
  <si>
    <t>韧紫灵石9级卷轴</t>
  </si>
  <si>
    <t>韧紫灵石10级卷轴</t>
  </si>
  <si>
    <t>纯紫灵石2级卷轴</t>
  </si>
  <si>
    <t>纯紫灵石3级卷轴</t>
  </si>
  <si>
    <t>纯紫灵石4级卷轴</t>
  </si>
  <si>
    <t>纯紫灵石5级卷轴</t>
  </si>
  <si>
    <t>纯紫灵石6级卷轴</t>
  </si>
  <si>
    <t>纯紫灵石7级卷轴</t>
  </si>
  <si>
    <t>纯紫灵石8级卷轴</t>
  </si>
  <si>
    <t>纯紫灵石9级卷轴</t>
  </si>
  <si>
    <t>纯紫灵石10级卷轴</t>
  </si>
  <si>
    <t>战士披风1级卷轴</t>
  </si>
  <si>
    <t>战士披风2级卷轴</t>
  </si>
  <si>
    <t>战士披风3级卷轴</t>
  </si>
  <si>
    <t>法师披风1级卷轴</t>
  </si>
  <si>
    <t>法师披风2级卷轴</t>
  </si>
  <si>
    <t>法师披风3级卷轴</t>
  </si>
  <si>
    <t>道士披风1级卷轴</t>
  </si>
  <si>
    <t>道士披风2级卷轴</t>
  </si>
  <si>
    <t>道士披风3级卷轴</t>
  </si>
  <si>
    <t>皇室宝箱</t>
  </si>
  <si>
    <t>道义书卷15</t>
  </si>
  <si>
    <t>道义书卷16</t>
  </si>
  <si>
    <t>道义书卷17</t>
  </si>
  <si>
    <t>道义书卷18</t>
  </si>
  <si>
    <t>道义书卷19</t>
  </si>
  <si>
    <t>道义书卷20</t>
  </si>
  <si>
    <t>道义书卷21</t>
  </si>
  <si>
    <t>金创药礼包</t>
  </si>
  <si>
    <t>披风礼包</t>
  </si>
  <si>
    <t>太阳水礼包</t>
  </si>
  <si>
    <t>灵石礼包</t>
  </si>
  <si>
    <t>铭文礼包</t>
  </si>
  <si>
    <t>武器升级礼包</t>
  </si>
  <si>
    <t>金币礼包</t>
  </si>
  <si>
    <t>特戒大礼包</t>
  </si>
  <si>
    <t>技能礼包</t>
  </si>
  <si>
    <t>超级金创药礼包</t>
  </si>
  <si>
    <t>超级魔法药礼包</t>
  </si>
  <si>
    <t>强效太阳水礼包</t>
  </si>
  <si>
    <t>祝福油礼包</t>
  </si>
  <si>
    <t>17173礼包</t>
  </si>
  <si>
    <t>新浪礼包</t>
  </si>
  <si>
    <t>多玩礼包</t>
  </si>
  <si>
    <t>龙卫之乡经验包</t>
  </si>
  <si>
    <t>巨木之森经验包</t>
  </si>
  <si>
    <t>英雄土城经验包</t>
  </si>
  <si>
    <t>昔日龙脉经验包</t>
  </si>
  <si>
    <t>沃玛珍宝经验包</t>
  </si>
  <si>
    <t>毒虫迷宫经验包</t>
  </si>
  <si>
    <t>猪妖秘宝经验包</t>
  </si>
  <si>
    <t>公会礼包</t>
  </si>
  <si>
    <t>感恩礼包</t>
  </si>
  <si>
    <t>补偿礼包</t>
  </si>
  <si>
    <t>药水礼包</t>
  </si>
  <si>
    <t>装备礼包</t>
  </si>
  <si>
    <t>经验礼包</t>
  </si>
  <si>
    <t>神秘礼包</t>
  </si>
  <si>
    <t>惊喜礼包</t>
  </si>
  <si>
    <t>古朴的乌木剑</t>
  </si>
  <si>
    <t>开天</t>
  </si>
  <si>
    <t>玄天</t>
  </si>
  <si>
    <t>镇天</t>
  </si>
  <si>
    <t>开石刀</t>
  </si>
  <si>
    <t>躲避项链</t>
  </si>
  <si>
    <t>雷霆项链</t>
  </si>
  <si>
    <t>烈焰项链</t>
  </si>
  <si>
    <t>光芒项链</t>
  </si>
  <si>
    <t>雷霆戒指</t>
  </si>
  <si>
    <t>烈焰魔戒</t>
  </si>
  <si>
    <t>光芒道戒</t>
  </si>
  <si>
    <t>夏普儿手镯</t>
  </si>
  <si>
    <t>雷霆护腕</t>
  </si>
  <si>
    <t>烈焰护腕</t>
  </si>
  <si>
    <t>光芒护腕</t>
  </si>
  <si>
    <t>龙之叹息</t>
  </si>
  <si>
    <t>天魔之怒</t>
  </si>
  <si>
    <t>战士新背饰1级</t>
  </si>
  <si>
    <t>战士新背饰2级</t>
  </si>
  <si>
    <t>战士新背饰3级</t>
  </si>
  <si>
    <t>法师新背饰1级</t>
  </si>
  <si>
    <t>法师新背饰2级</t>
  </si>
  <si>
    <t>法师新背饰3级</t>
  </si>
  <si>
    <t>道士新背饰1级</t>
  </si>
  <si>
    <t>道士新背饰2级</t>
  </si>
  <si>
    <t>道士新背饰3级</t>
  </si>
  <si>
    <t>布鞋6</t>
  </si>
  <si>
    <t>法神披风</t>
  </si>
  <si>
    <t>雷霆战甲</t>
  </si>
  <si>
    <t>雷霆战甲6</t>
  </si>
  <si>
    <t>烈焰魔衣</t>
  </si>
  <si>
    <t>烈焰魔衣6</t>
  </si>
  <si>
    <t>光芒道袍</t>
  </si>
  <si>
    <t>光芒道袍6</t>
  </si>
  <si>
    <t>雷霆腰带</t>
  </si>
  <si>
    <t>烈焰腰带</t>
  </si>
  <si>
    <t>光芒腰带</t>
  </si>
  <si>
    <t>雷霆战靴</t>
  </si>
  <si>
    <t>烈焰魔靴</t>
  </si>
  <si>
    <t>光芒道靴</t>
  </si>
  <si>
    <t>ShopTypeSell</t>
    <phoneticPr fontId="2" type="noConversion"/>
  </si>
  <si>
    <t>Server</t>
    <phoneticPr fontId="2" type="noConversion"/>
  </si>
  <si>
    <t>玄铁锄</t>
    <phoneticPr fontId="2" type="noConversion"/>
  </si>
  <si>
    <t>随机传送石</t>
    <phoneticPr fontId="2" type="noConversion"/>
  </si>
  <si>
    <t>疗伤药包</t>
    <phoneticPr fontId="2" type="noConversion"/>
  </si>
  <si>
    <t>竞技场擂台积分商店</t>
    <phoneticPr fontId="2" type="noConversion"/>
  </si>
  <si>
    <t>MONEYTYPE_03</t>
    <phoneticPr fontId="2" type="noConversion"/>
  </si>
  <si>
    <t>修行不缀</t>
  </si>
  <si>
    <t>17173称号礼包</t>
  </si>
  <si>
    <t>擂台小将</t>
  </si>
  <si>
    <t>擂台霸主</t>
  </si>
  <si>
    <t>技能书店</t>
    <phoneticPr fontId="2" type="noConversion"/>
  </si>
  <si>
    <t>技能书残卷</t>
    <phoneticPr fontId="2" type="noConversion"/>
  </si>
  <si>
    <t>点金锄</t>
  </si>
  <si>
    <t>水晶锄</t>
  </si>
  <si>
    <t>倚天剑</t>
  </si>
  <si>
    <t>布鞋卷轴</t>
  </si>
  <si>
    <t>鹿皮靴卷轴</t>
  </si>
  <si>
    <t>兽皮腰带卷轴</t>
  </si>
  <si>
    <t>铁腰带卷轴</t>
  </si>
  <si>
    <t>高级装备碎片</t>
  </si>
  <si>
    <t>技能书残卷</t>
  </si>
  <si>
    <t>苍月锦</t>
  </si>
  <si>
    <t>棉线</t>
  </si>
  <si>
    <t>银杏绸</t>
  </si>
  <si>
    <t>兽皮</t>
  </si>
  <si>
    <t>麻布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</si>
</sst>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宋体"/>
      <family val="2"/>
      <charset val="134"/>
      <scheme val="minor"/>
    </font>
    <font>
      <sz val="9"/>
      <color theme="0" tint="-0.249977111117893"/>
      <name val="宋体"/>
      <family val="3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06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8" borderId="8" applyNumberFormat="0" applyFont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1" fillId="0" borderId="0" xfId="2">
      <alignment vertical="center"/>
    </xf>
    <xf numFmtId="0" fontId="0" fillId="0" borderId="0" xfId="0" applyFill="1" applyBorder="1">
      <alignment vertical="center"/>
    </xf>
    <xf numFmtId="0" fontId="21" fillId="33" borderId="10" xfId="0" applyNumberFormat="1" applyFont="1" applyFill="1" applyBorder="1">
      <alignment vertical="center"/>
    </xf>
    <xf numFmtId="0" fontId="21" fillId="34" borderId="10" xfId="0" applyNumberFormat="1" applyFont="1" applyFill="1" applyBorder="1">
      <alignment vertical="center"/>
    </xf>
    <xf numFmtId="0" fontId="21" fillId="35" borderId="10" xfId="0" applyNumberFormat="1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34" borderId="10" xfId="0" applyNumberFormat="1" applyFont="1" applyFill="1" applyBorder="1">
      <alignment vertical="center"/>
    </xf>
    <xf numFmtId="0" fontId="2" fillId="35" borderId="10" xfId="0" applyNumberFormat="1" applyFont="1" applyFill="1" applyBorder="1">
      <alignment vertical="center"/>
    </xf>
    <xf numFmtId="0" fontId="22" fillId="33" borderId="10" xfId="0" applyNumberFormat="1" applyFont="1" applyFill="1" applyBorder="1">
      <alignment vertical="center"/>
    </xf>
    <xf numFmtId="0" fontId="23" fillId="33" borderId="10" xfId="0" applyNumberFormat="1" applyFont="1" applyFill="1" applyBorder="1">
      <alignment vertical="center"/>
    </xf>
    <xf numFmtId="0" fontId="24" fillId="35" borderId="10" xfId="0" applyNumberFormat="1" applyFont="1" applyFill="1" applyBorder="1">
      <alignment vertical="center"/>
    </xf>
    <xf numFmtId="0" fontId="22" fillId="34" borderId="10" xfId="0" applyNumberFormat="1" applyFont="1" applyFill="1" applyBorder="1">
      <alignment vertical="center"/>
    </xf>
    <xf numFmtId="0" fontId="23" fillId="34" borderId="10" xfId="0" applyNumberFormat="1" applyFont="1" applyFill="1" applyBorder="1">
      <alignment vertical="center"/>
    </xf>
    <xf numFmtId="0" fontId="22" fillId="35" borderId="10" xfId="0" applyNumberFormat="1" applyFont="1" applyFill="1" applyBorder="1">
      <alignment vertical="center"/>
    </xf>
    <xf numFmtId="0" fontId="23" fillId="35" borderId="10" xfId="0" applyNumberFormat="1" applyFont="1" applyFill="1" applyBorder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0" fillId="0" borderId="0" xfId="0" applyFill="1">
      <alignment vertical="center"/>
    </xf>
    <xf numFmtId="0" fontId="25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106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10" xfId="73"/>
    <cellStyle name="常规 11" xfId="74"/>
    <cellStyle name="常规 12" xfId="75"/>
    <cellStyle name="常规 13" xfId="76"/>
    <cellStyle name="常规 14" xfId="77"/>
    <cellStyle name="常规 15" xfId="78"/>
    <cellStyle name="常规 16" xfId="79"/>
    <cellStyle name="常规 17" xfId="80"/>
    <cellStyle name="常规 18" xfId="81"/>
    <cellStyle name="常规 19" xfId="82"/>
    <cellStyle name="常规 2" xfId="1"/>
    <cellStyle name="常规 2 2" xfId="2"/>
    <cellStyle name="常规 2 2 2" xfId="46"/>
    <cellStyle name="常规 2 2 2 2" xfId="56"/>
    <cellStyle name="常规 2 2 2 2 2" xfId="53"/>
    <cellStyle name="常规 2 2 2 3" xfId="54"/>
    <cellStyle name="常规 2 2 3" xfId="62"/>
    <cellStyle name="常规 2 3" xfId="47"/>
    <cellStyle name="常规 2 4" xfId="48"/>
    <cellStyle name="常规 2 5" xfId="49"/>
    <cellStyle name="常规 2 5 2" xfId="57"/>
    <cellStyle name="常规 2 5 3" xfId="63"/>
    <cellStyle name="常规 2 6" xfId="50"/>
    <cellStyle name="常规 2 6 2" xfId="58"/>
    <cellStyle name="常规 2 6 3" xfId="64"/>
    <cellStyle name="常规 20" xfId="83"/>
    <cellStyle name="常规 21" xfId="84"/>
    <cellStyle name="常规 22" xfId="89"/>
    <cellStyle name="常规 23" xfId="90"/>
    <cellStyle name="常规 24" xfId="95"/>
    <cellStyle name="常规 25" xfId="100"/>
    <cellStyle name="常规 26" xfId="45"/>
    <cellStyle name="常规 3" xfId="51"/>
    <cellStyle name="常规 3 2" xfId="59"/>
    <cellStyle name="常规 3 3" xfId="65"/>
    <cellStyle name="常规 3 4" xfId="68"/>
    <cellStyle name="常规 3 5" xfId="85"/>
    <cellStyle name="常规 3 6" xfId="94"/>
    <cellStyle name="常规 3 7" xfId="99"/>
    <cellStyle name="常规 3 8" xfId="104"/>
    <cellStyle name="常规 4" xfId="52"/>
    <cellStyle name="常规 4 2" xfId="60"/>
    <cellStyle name="常规 4 3" xfId="66"/>
    <cellStyle name="常规 4 4" xfId="69"/>
    <cellStyle name="常规 4 5" xfId="86"/>
    <cellStyle name="常规 4 6" xfId="93"/>
    <cellStyle name="常规 4 7" xfId="98"/>
    <cellStyle name="常规 4 8" xfId="103"/>
    <cellStyle name="常规 5" xfId="43"/>
    <cellStyle name="常规 6" xfId="55"/>
    <cellStyle name="常规 7" xfId="61"/>
    <cellStyle name="常规 7 2" xfId="70"/>
    <cellStyle name="常规 7 3" xfId="87"/>
    <cellStyle name="常规 7 4" xfId="92"/>
    <cellStyle name="常规 7 5" xfId="97"/>
    <cellStyle name="常规 7 6" xfId="102"/>
    <cellStyle name="常规 8" xfId="67"/>
    <cellStyle name="常规 8 2" xfId="71"/>
    <cellStyle name="常规 8 3" xfId="88"/>
    <cellStyle name="常规 8 4" xfId="91"/>
    <cellStyle name="常规 8 5" xfId="96"/>
    <cellStyle name="常规 8 6" xfId="101"/>
    <cellStyle name="常规 9" xfId="72"/>
    <cellStyle name="好" xfId="8" builtinId="26" customBuiltin="1"/>
    <cellStyle name="汇总" xfId="18" builtinId="25" customBuiltin="1"/>
    <cellStyle name="计算" xfId="13" builtinId="22" customBuiltin="1"/>
    <cellStyle name="检查单元格" xfId="15" builtinId="23" customBuiltin="1"/>
    <cellStyle name="解释性文本" xfId="17" builtinId="53" customBuiltin="1"/>
    <cellStyle name="警告文本" xfId="16" builtinId="11" customBuiltin="1"/>
    <cellStyle name="链接单元格" xfId="14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10" builtinId="28" customBuiltin="1"/>
    <cellStyle name="输出" xfId="12" builtinId="21" customBuiltin="1"/>
    <cellStyle name="输入" xfId="11" builtinId="20" customBuiltin="1"/>
    <cellStyle name="注释" xfId="105" builtinId="10" customBuiltin="1"/>
    <cellStyle name="注释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3"/>
  <sheetViews>
    <sheetView tabSelected="1" topLeftCell="A220" workbookViewId="0">
      <selection activeCell="H231" sqref="H231"/>
    </sheetView>
  </sheetViews>
  <sheetFormatPr defaultRowHeight="13.5"/>
  <cols>
    <col min="2" max="2" width="9" style="21"/>
    <col min="3" max="3" width="14.875" customWidth="1"/>
    <col min="4" max="4" width="9.5" bestFit="1" customWidth="1"/>
    <col min="5" max="5" width="16.5" style="21" customWidth="1"/>
    <col min="7" max="7" width="21.625" customWidth="1"/>
    <col min="9" max="14" width="7.625" customWidth="1"/>
    <col min="15" max="15" width="12.5" style="21" customWidth="1"/>
    <col min="16" max="16" width="9.625" style="21" customWidth="1"/>
  </cols>
  <sheetData>
    <row r="1" spans="1:16">
      <c r="A1" t="s">
        <v>12</v>
      </c>
      <c r="B1" s="21" t="s">
        <v>909</v>
      </c>
      <c r="C1" t="s">
        <v>13</v>
      </c>
      <c r="D1" t="s">
        <v>14</v>
      </c>
      <c r="E1" s="21" t="s">
        <v>94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s="21" t="s">
        <v>91</v>
      </c>
      <c r="P1" s="21" t="s">
        <v>1254</v>
      </c>
    </row>
    <row r="2" spans="1:16">
      <c r="A2" t="s">
        <v>46</v>
      </c>
      <c r="B2" s="21" t="s">
        <v>46</v>
      </c>
      <c r="C2" t="s">
        <v>46</v>
      </c>
      <c r="D2" t="s">
        <v>46</v>
      </c>
      <c r="E2" s="21" t="s">
        <v>93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s="21" t="s">
        <v>92</v>
      </c>
      <c r="P2" s="21" t="s">
        <v>1255</v>
      </c>
    </row>
    <row r="3" spans="1:16">
      <c r="A3">
        <v>0</v>
      </c>
      <c r="B3" s="21">
        <v>0</v>
      </c>
      <c r="D3">
        <v>0</v>
      </c>
      <c r="E3" s="21">
        <v>0</v>
      </c>
      <c r="F3">
        <v>0</v>
      </c>
      <c r="G3">
        <v>-1</v>
      </c>
      <c r="H3">
        <v>0</v>
      </c>
      <c r="I3">
        <v>-1</v>
      </c>
      <c r="J3">
        <v>0</v>
      </c>
      <c r="K3">
        <v>-1</v>
      </c>
      <c r="L3">
        <v>0</v>
      </c>
      <c r="M3">
        <v>0</v>
      </c>
      <c r="N3">
        <v>0</v>
      </c>
      <c r="O3" s="21">
        <v>-1</v>
      </c>
      <c r="P3" s="21">
        <v>0</v>
      </c>
    </row>
    <row r="4" spans="1:16">
      <c r="A4">
        <v>1</v>
      </c>
      <c r="B4" s="21">
        <v>1</v>
      </c>
      <c r="C4" t="s">
        <v>47</v>
      </c>
      <c r="D4">
        <v>301</v>
      </c>
      <c r="E4" s="21" t="str">
        <f>VLOOKUP(D4,装备道具ID!$A$1:$B$1221,2,FALSE)</f>
        <v>金创药(小量)</v>
      </c>
      <c r="F4">
        <v>1</v>
      </c>
      <c r="G4" s="1" t="s">
        <v>7</v>
      </c>
      <c r="H4">
        <v>80</v>
      </c>
      <c r="I4" s="1"/>
      <c r="O4" s="21">
        <v>-1</v>
      </c>
      <c r="P4" s="21">
        <v>1</v>
      </c>
    </row>
    <row r="5" spans="1:16">
      <c r="A5">
        <v>1</v>
      </c>
      <c r="B5" s="21">
        <v>2</v>
      </c>
      <c r="C5" t="s">
        <v>47</v>
      </c>
      <c r="D5">
        <v>302</v>
      </c>
      <c r="E5" s="21" t="str">
        <f>VLOOKUP(D5,装备道具ID!$A$1:$B$1221,2,FALSE)</f>
        <v>金创药(中量)</v>
      </c>
      <c r="F5">
        <v>1</v>
      </c>
      <c r="G5" s="1" t="s">
        <v>7</v>
      </c>
      <c r="H5">
        <v>260</v>
      </c>
      <c r="I5" s="1"/>
      <c r="O5" s="21">
        <v>-1</v>
      </c>
      <c r="P5" s="21">
        <v>1</v>
      </c>
    </row>
    <row r="6" spans="1:16">
      <c r="A6">
        <v>4</v>
      </c>
      <c r="B6" s="21">
        <v>1</v>
      </c>
      <c r="C6" t="s">
        <v>48</v>
      </c>
      <c r="D6">
        <v>301</v>
      </c>
      <c r="E6" s="21" t="str">
        <f>VLOOKUP(D6,装备道具ID!$A$1:$B$1221,2,FALSE)</f>
        <v>金创药(小量)</v>
      </c>
      <c r="F6">
        <v>1</v>
      </c>
      <c r="G6" s="1" t="s">
        <v>7</v>
      </c>
      <c r="H6" s="1">
        <v>80</v>
      </c>
      <c r="I6" s="1"/>
      <c r="O6" s="21">
        <v>-1</v>
      </c>
      <c r="P6" s="21">
        <v>1</v>
      </c>
    </row>
    <row r="7" spans="1:16">
      <c r="A7">
        <v>4</v>
      </c>
      <c r="B7" s="21">
        <v>2</v>
      </c>
      <c r="C7" t="s">
        <v>48</v>
      </c>
      <c r="D7">
        <v>302</v>
      </c>
      <c r="E7" s="21" t="str">
        <f>VLOOKUP(D7,装备道具ID!$A$1:$B$1221,2,FALSE)</f>
        <v>金创药(中量)</v>
      </c>
      <c r="F7">
        <v>1</v>
      </c>
      <c r="G7" s="1" t="s">
        <v>7</v>
      </c>
      <c r="H7" s="1">
        <v>260</v>
      </c>
      <c r="O7" s="21">
        <v>-1</v>
      </c>
      <c r="P7" s="21">
        <v>1</v>
      </c>
    </row>
    <row r="8" spans="1:16">
      <c r="A8">
        <v>4</v>
      </c>
      <c r="B8" s="21">
        <v>3</v>
      </c>
      <c r="C8" t="s">
        <v>48</v>
      </c>
      <c r="D8">
        <v>303</v>
      </c>
      <c r="E8" s="21" t="str">
        <f>VLOOKUP(D8,装备道具ID!$A$1:$B$1221,2,FALSE)</f>
        <v>强效金创药</v>
      </c>
      <c r="F8">
        <v>1</v>
      </c>
      <c r="G8" s="1" t="s">
        <v>7</v>
      </c>
      <c r="H8" s="1">
        <v>700</v>
      </c>
      <c r="O8" s="21">
        <v>-1</v>
      </c>
      <c r="P8" s="21">
        <v>1</v>
      </c>
    </row>
    <row r="9" spans="1:16" s="11" customFormat="1">
      <c r="A9" s="11">
        <v>4</v>
      </c>
      <c r="B9" s="21">
        <v>4</v>
      </c>
      <c r="C9" s="11" t="s">
        <v>48</v>
      </c>
      <c r="D9" s="11">
        <v>321</v>
      </c>
      <c r="E9" s="21" t="str">
        <f>VLOOKUP(D9,装备道具ID!$A$1:$B$1221,2,FALSE)</f>
        <v>魔法药(小量)</v>
      </c>
      <c r="F9" s="11">
        <v>1</v>
      </c>
      <c r="G9" s="11" t="s">
        <v>7</v>
      </c>
      <c r="H9" s="11">
        <v>80</v>
      </c>
      <c r="O9" s="21">
        <v>-1</v>
      </c>
      <c r="P9" s="21">
        <v>1</v>
      </c>
    </row>
    <row r="10" spans="1:16" s="11" customFormat="1">
      <c r="A10" s="11">
        <v>4</v>
      </c>
      <c r="B10" s="21">
        <v>5</v>
      </c>
      <c r="C10" s="11" t="s">
        <v>48</v>
      </c>
      <c r="D10" s="11">
        <v>322</v>
      </c>
      <c r="E10" s="21" t="str">
        <f>VLOOKUP(D10,装备道具ID!$A$1:$B$1221,2,FALSE)</f>
        <v>魔法药(中量)</v>
      </c>
      <c r="F10" s="11">
        <v>1</v>
      </c>
      <c r="G10" s="11" t="s">
        <v>7</v>
      </c>
      <c r="H10" s="11">
        <v>260</v>
      </c>
      <c r="O10" s="21">
        <v>-1</v>
      </c>
      <c r="P10" s="21">
        <v>1</v>
      </c>
    </row>
    <row r="11" spans="1:16" s="11" customFormat="1">
      <c r="A11" s="11">
        <v>4</v>
      </c>
      <c r="B11" s="21">
        <v>6</v>
      </c>
      <c r="C11" s="11" t="s">
        <v>48</v>
      </c>
      <c r="D11" s="11">
        <v>323</v>
      </c>
      <c r="E11" s="21" t="str">
        <f>VLOOKUP(D11,装备道具ID!$A$1:$B$1221,2,FALSE)</f>
        <v>强效魔法药</v>
      </c>
      <c r="F11" s="11">
        <v>1</v>
      </c>
      <c r="G11" s="11" t="s">
        <v>7</v>
      </c>
      <c r="H11" s="11">
        <v>700</v>
      </c>
      <c r="O11" s="21">
        <v>-1</v>
      </c>
      <c r="P11" s="21">
        <v>1</v>
      </c>
    </row>
    <row r="12" spans="1:16" s="21" customFormat="1">
      <c r="A12" s="21">
        <v>4</v>
      </c>
      <c r="B12" s="21">
        <v>7</v>
      </c>
      <c r="C12" s="21" t="s">
        <v>48</v>
      </c>
      <c r="D12" s="21">
        <v>351</v>
      </c>
      <c r="E12" s="21" t="str">
        <f>VLOOKUP(D12,装备道具ID!$A$1:$B$1221,2,FALSE)</f>
        <v>太阳水</v>
      </c>
      <c r="F12" s="21">
        <v>1</v>
      </c>
      <c r="G12" s="21" t="s">
        <v>7</v>
      </c>
      <c r="H12" s="21">
        <v>1000</v>
      </c>
      <c r="O12" s="21">
        <v>-1</v>
      </c>
      <c r="P12" s="21">
        <v>1</v>
      </c>
    </row>
    <row r="13" spans="1:16" s="21" customFormat="1">
      <c r="A13" s="21">
        <v>4</v>
      </c>
      <c r="B13" s="21">
        <v>8</v>
      </c>
      <c r="C13" s="21" t="s">
        <v>48</v>
      </c>
      <c r="D13" s="21">
        <v>352</v>
      </c>
      <c r="E13" s="21" t="str">
        <f>VLOOKUP(D13,装备道具ID!$A$1:$B$1221,2,FALSE)</f>
        <v>强效太阳水</v>
      </c>
      <c r="F13" s="21">
        <v>1</v>
      </c>
      <c r="G13" s="21" t="s">
        <v>7</v>
      </c>
      <c r="H13" s="21">
        <v>2500</v>
      </c>
      <c r="O13" s="21">
        <v>-1</v>
      </c>
      <c r="P13" s="21">
        <v>1</v>
      </c>
    </row>
    <row r="14" spans="1:16" s="21" customFormat="1">
      <c r="A14" s="21">
        <v>4</v>
      </c>
      <c r="B14" s="21">
        <v>9</v>
      </c>
      <c r="C14" s="21" t="s">
        <v>48</v>
      </c>
      <c r="D14" s="21">
        <v>361</v>
      </c>
      <c r="E14" s="21" t="str">
        <f>VLOOKUP(D14,装备道具ID!$A$1:$B$1221,2,FALSE)</f>
        <v>金创药(小)包</v>
      </c>
      <c r="F14" s="21">
        <v>1</v>
      </c>
      <c r="G14" s="21" t="s">
        <v>7</v>
      </c>
      <c r="H14" s="33">
        <f>H6*8</f>
        <v>640</v>
      </c>
      <c r="O14" s="21">
        <v>-1</v>
      </c>
      <c r="P14" s="21">
        <v>1</v>
      </c>
    </row>
    <row r="15" spans="1:16" s="21" customFormat="1">
      <c r="A15" s="21">
        <v>4</v>
      </c>
      <c r="B15" s="21">
        <v>10</v>
      </c>
      <c r="C15" s="21" t="s">
        <v>48</v>
      </c>
      <c r="D15" s="21">
        <v>362</v>
      </c>
      <c r="E15" s="21" t="str">
        <f>VLOOKUP(D15,装备道具ID!$A$1:$B$1221,2,FALSE)</f>
        <v>金创药(中)包</v>
      </c>
      <c r="F15" s="21">
        <v>1</v>
      </c>
      <c r="G15" s="21" t="s">
        <v>7</v>
      </c>
      <c r="H15" s="33">
        <f>H7*8</f>
        <v>2080</v>
      </c>
      <c r="O15" s="21">
        <v>-1</v>
      </c>
      <c r="P15" s="21">
        <v>1</v>
      </c>
    </row>
    <row r="16" spans="1:16" s="21" customFormat="1">
      <c r="A16" s="21">
        <v>4</v>
      </c>
      <c r="B16" s="21">
        <v>11</v>
      </c>
      <c r="C16" s="21" t="s">
        <v>48</v>
      </c>
      <c r="D16" s="21">
        <v>363</v>
      </c>
      <c r="E16" s="21" t="str">
        <f>VLOOKUP(D16,装备道具ID!$A$1:$B$1221,2,FALSE)</f>
        <v>超级金创药</v>
      </c>
      <c r="F16" s="21">
        <v>1</v>
      </c>
      <c r="G16" s="21" t="s">
        <v>7</v>
      </c>
      <c r="H16" s="33">
        <f>H8*8+400</f>
        <v>6000</v>
      </c>
      <c r="O16" s="21">
        <v>-1</v>
      </c>
      <c r="P16" s="21">
        <v>1</v>
      </c>
    </row>
    <row r="17" spans="1:16" s="21" customFormat="1">
      <c r="A17" s="21">
        <v>4</v>
      </c>
      <c r="B17" s="21">
        <v>12</v>
      </c>
      <c r="C17" s="21" t="s">
        <v>48</v>
      </c>
      <c r="D17" s="21">
        <v>371</v>
      </c>
      <c r="E17" s="21" t="str">
        <f>VLOOKUP(D17,装备道具ID!$A$1:$B$1221,2,FALSE)</f>
        <v>魔法药(小)包</v>
      </c>
      <c r="F17" s="21">
        <v>1</v>
      </c>
      <c r="G17" s="21" t="s">
        <v>7</v>
      </c>
      <c r="H17" s="33">
        <f>H9*8</f>
        <v>640</v>
      </c>
      <c r="O17" s="21">
        <v>-1</v>
      </c>
      <c r="P17" s="21">
        <v>1</v>
      </c>
    </row>
    <row r="18" spans="1:16" s="21" customFormat="1">
      <c r="A18" s="21">
        <v>4</v>
      </c>
      <c r="B18" s="21">
        <v>13</v>
      </c>
      <c r="C18" s="21" t="s">
        <v>48</v>
      </c>
      <c r="D18" s="21">
        <v>372</v>
      </c>
      <c r="E18" s="21" t="str">
        <f>VLOOKUP(D18,装备道具ID!$A$1:$B$1221,2,FALSE)</f>
        <v>魔法药(中)包</v>
      </c>
      <c r="F18" s="21">
        <v>1</v>
      </c>
      <c r="G18" s="21" t="s">
        <v>7</v>
      </c>
      <c r="H18" s="33">
        <f>H10*8</f>
        <v>2080</v>
      </c>
      <c r="O18" s="21">
        <v>-1</v>
      </c>
      <c r="P18" s="21">
        <v>1</v>
      </c>
    </row>
    <row r="19" spans="1:16" s="21" customFormat="1">
      <c r="A19" s="21">
        <v>4</v>
      </c>
      <c r="B19" s="21">
        <v>14</v>
      </c>
      <c r="C19" s="21" t="s">
        <v>48</v>
      </c>
      <c r="D19" s="21">
        <v>373</v>
      </c>
      <c r="E19" s="21" t="str">
        <f>VLOOKUP(D19,装备道具ID!$A$1:$B$1221,2,FALSE)</f>
        <v>超级魔法药</v>
      </c>
      <c r="F19" s="21">
        <v>1</v>
      </c>
      <c r="G19" s="21" t="s">
        <v>7</v>
      </c>
      <c r="H19" s="33">
        <f>H11*8+400</f>
        <v>6000</v>
      </c>
      <c r="O19" s="21">
        <v>-1</v>
      </c>
      <c r="P19" s="21">
        <v>1</v>
      </c>
    </row>
    <row r="20" spans="1:16" s="21" customFormat="1">
      <c r="A20" s="21">
        <v>4</v>
      </c>
      <c r="B20" s="21">
        <v>15</v>
      </c>
      <c r="C20" s="21" t="s">
        <v>48</v>
      </c>
      <c r="D20" s="21">
        <v>381</v>
      </c>
      <c r="E20" s="21" t="str">
        <f>VLOOKUP(D20,装备道具ID!$A$1:$B$1221,2,FALSE)</f>
        <v>太阳水包</v>
      </c>
      <c r="F20" s="21">
        <v>1</v>
      </c>
      <c r="G20" s="21" t="s">
        <v>7</v>
      </c>
      <c r="H20" s="21">
        <v>7000</v>
      </c>
      <c r="O20" s="21">
        <v>-1</v>
      </c>
      <c r="P20" s="21">
        <v>1</v>
      </c>
    </row>
    <row r="21" spans="1:16" s="21" customFormat="1">
      <c r="A21" s="21">
        <v>4</v>
      </c>
      <c r="B21" s="21">
        <v>16</v>
      </c>
      <c r="C21" s="21" t="s">
        <v>48</v>
      </c>
      <c r="D21" s="21">
        <v>382</v>
      </c>
      <c r="E21" s="21" t="str">
        <f>VLOOKUP(D21,装备道具ID!$A$1:$B$1221,2,FALSE)</f>
        <v>强效太阳水包</v>
      </c>
      <c r="F21" s="21">
        <v>1</v>
      </c>
      <c r="G21" s="21" t="s">
        <v>7</v>
      </c>
      <c r="H21" s="21">
        <v>17000</v>
      </c>
      <c r="O21" s="21">
        <v>-1</v>
      </c>
      <c r="P21" s="21">
        <v>1</v>
      </c>
    </row>
    <row r="22" spans="1:16" s="1" customFormat="1">
      <c r="A22" s="1">
        <v>4</v>
      </c>
      <c r="B22" s="21">
        <v>17</v>
      </c>
      <c r="C22" s="1" t="s">
        <v>48</v>
      </c>
      <c r="D22" s="1">
        <v>40001</v>
      </c>
      <c r="E22" s="21" t="str">
        <f>VLOOKUP(D22,装备道具ID!$A$1:$B$1221,2,FALSE)</f>
        <v>灰色药粉(少量)</v>
      </c>
      <c r="F22" s="1">
        <v>1</v>
      </c>
      <c r="G22" s="1" t="s">
        <v>7</v>
      </c>
      <c r="H22" s="9">
        <v>5000</v>
      </c>
      <c r="O22" s="21">
        <v>-1</v>
      </c>
      <c r="P22" s="21">
        <v>1</v>
      </c>
    </row>
    <row r="23" spans="1:16" s="1" customFormat="1">
      <c r="A23" s="1">
        <v>4</v>
      </c>
      <c r="B23" s="21">
        <v>18</v>
      </c>
      <c r="C23" s="1" t="s">
        <v>48</v>
      </c>
      <c r="D23" s="1">
        <v>40002</v>
      </c>
      <c r="E23" s="21" t="str">
        <f>VLOOKUP(D23,装备道具ID!$A$1:$B$1221,2,FALSE)</f>
        <v>灰色药粉(中量)</v>
      </c>
      <c r="F23" s="1">
        <v>1</v>
      </c>
      <c r="G23" s="1" t="s">
        <v>7</v>
      </c>
      <c r="H23" s="9">
        <v>11000</v>
      </c>
      <c r="O23" s="21">
        <v>-1</v>
      </c>
      <c r="P23" s="21">
        <v>1</v>
      </c>
    </row>
    <row r="24" spans="1:16" s="1" customFormat="1">
      <c r="A24" s="1">
        <v>4</v>
      </c>
      <c r="B24" s="21">
        <v>19</v>
      </c>
      <c r="C24" s="1" t="s">
        <v>48</v>
      </c>
      <c r="D24" s="1">
        <v>40003</v>
      </c>
      <c r="E24" s="21" t="str">
        <f>VLOOKUP(D24,装备道具ID!$A$1:$B$1221,2,FALSE)</f>
        <v>灰色药粉(大量)</v>
      </c>
      <c r="F24" s="1">
        <v>1</v>
      </c>
      <c r="G24" s="1" t="s">
        <v>7</v>
      </c>
      <c r="H24" s="9">
        <v>18000</v>
      </c>
      <c r="O24" s="21">
        <v>-1</v>
      </c>
      <c r="P24" s="21">
        <v>1</v>
      </c>
    </row>
    <row r="25" spans="1:16" s="1" customFormat="1">
      <c r="A25" s="1">
        <v>4</v>
      </c>
      <c r="B25" s="21">
        <v>20</v>
      </c>
      <c r="C25" s="1" t="s">
        <v>48</v>
      </c>
      <c r="D25" s="1">
        <v>40011</v>
      </c>
      <c r="E25" s="21" t="str">
        <f>VLOOKUP(D25,装备道具ID!$A$1:$B$1221,2,FALSE)</f>
        <v>黄色药粉(少量)</v>
      </c>
      <c r="F25" s="1">
        <v>1</v>
      </c>
      <c r="G25" s="1" t="s">
        <v>7</v>
      </c>
      <c r="H25" s="9">
        <v>5000</v>
      </c>
      <c r="O25" s="21">
        <v>-1</v>
      </c>
      <c r="P25" s="21">
        <v>1</v>
      </c>
    </row>
    <row r="26" spans="1:16" s="1" customFormat="1">
      <c r="A26" s="1">
        <v>4</v>
      </c>
      <c r="B26" s="21">
        <v>21</v>
      </c>
      <c r="C26" s="1" t="s">
        <v>48</v>
      </c>
      <c r="D26" s="1">
        <v>40012</v>
      </c>
      <c r="E26" s="21" t="str">
        <f>VLOOKUP(D26,装备道具ID!$A$1:$B$1221,2,FALSE)</f>
        <v>黄色药粉(中量)</v>
      </c>
      <c r="F26" s="1">
        <v>1</v>
      </c>
      <c r="G26" s="1" t="s">
        <v>7</v>
      </c>
      <c r="H26" s="9">
        <v>11000</v>
      </c>
      <c r="O26" s="21">
        <v>-1</v>
      </c>
      <c r="P26" s="21">
        <v>1</v>
      </c>
    </row>
    <row r="27" spans="1:16" s="1" customFormat="1">
      <c r="A27" s="1">
        <v>4</v>
      </c>
      <c r="B27" s="21">
        <v>22</v>
      </c>
      <c r="C27" s="1" t="s">
        <v>48</v>
      </c>
      <c r="D27" s="1">
        <v>40013</v>
      </c>
      <c r="E27" s="21" t="str">
        <f>VLOOKUP(D27,装备道具ID!$A$1:$B$1221,2,FALSE)</f>
        <v>黄色药粉(大量)</v>
      </c>
      <c r="F27" s="1">
        <v>1</v>
      </c>
      <c r="G27" s="1" t="s">
        <v>7</v>
      </c>
      <c r="H27" s="9">
        <v>18000</v>
      </c>
      <c r="O27" s="21">
        <v>-1</v>
      </c>
      <c r="P27" s="21">
        <v>1</v>
      </c>
    </row>
    <row r="28" spans="1:16" s="21" customFormat="1">
      <c r="A28" s="21">
        <v>34</v>
      </c>
      <c r="B28" s="21">
        <v>1</v>
      </c>
      <c r="C28" s="21" t="s">
        <v>915</v>
      </c>
      <c r="D28" s="21">
        <v>301</v>
      </c>
      <c r="E28" s="21" t="str">
        <f>VLOOKUP(D28,装备道具ID!$A$1:$B$1221,2,FALSE)</f>
        <v>金创药(小量)</v>
      </c>
      <c r="F28" s="21">
        <v>1</v>
      </c>
      <c r="G28" s="21" t="s">
        <v>7</v>
      </c>
      <c r="H28" s="21">
        <f t="shared" ref="H28:H49" si="0">H6*1.5</f>
        <v>120</v>
      </c>
      <c r="O28" s="21">
        <v>-1</v>
      </c>
      <c r="P28" s="21">
        <v>1</v>
      </c>
    </row>
    <row r="29" spans="1:16" s="21" customFormat="1">
      <c r="A29" s="21">
        <v>34</v>
      </c>
      <c r="B29" s="21">
        <v>2</v>
      </c>
      <c r="C29" s="21" t="s">
        <v>915</v>
      </c>
      <c r="D29" s="21">
        <v>302</v>
      </c>
      <c r="E29" s="21" t="str">
        <f>VLOOKUP(D29,装备道具ID!$A$1:$B$1221,2,FALSE)</f>
        <v>金创药(中量)</v>
      </c>
      <c r="F29" s="21">
        <v>1</v>
      </c>
      <c r="G29" s="21" t="s">
        <v>7</v>
      </c>
      <c r="H29" s="21">
        <f t="shared" si="0"/>
        <v>390</v>
      </c>
      <c r="O29" s="21">
        <v>-1</v>
      </c>
      <c r="P29" s="21">
        <v>1</v>
      </c>
    </row>
    <row r="30" spans="1:16" s="21" customFormat="1">
      <c r="A30" s="21">
        <v>34</v>
      </c>
      <c r="B30" s="21">
        <v>3</v>
      </c>
      <c r="C30" s="21" t="s">
        <v>915</v>
      </c>
      <c r="D30" s="21">
        <v>303</v>
      </c>
      <c r="E30" s="21" t="str">
        <f>VLOOKUP(D30,装备道具ID!$A$1:$B$1221,2,FALSE)</f>
        <v>强效金创药</v>
      </c>
      <c r="F30" s="21">
        <v>1</v>
      </c>
      <c r="G30" s="21" t="s">
        <v>7</v>
      </c>
      <c r="H30" s="21">
        <f t="shared" si="0"/>
        <v>1050</v>
      </c>
      <c r="O30" s="21">
        <v>-1</v>
      </c>
      <c r="P30" s="21">
        <v>1</v>
      </c>
    </row>
    <row r="31" spans="1:16" s="21" customFormat="1">
      <c r="A31" s="21">
        <v>34</v>
      </c>
      <c r="B31" s="21">
        <v>4</v>
      </c>
      <c r="C31" s="21" t="s">
        <v>915</v>
      </c>
      <c r="D31" s="21">
        <v>321</v>
      </c>
      <c r="E31" s="21" t="str">
        <f>VLOOKUP(D31,装备道具ID!$A$1:$B$1221,2,FALSE)</f>
        <v>魔法药(小量)</v>
      </c>
      <c r="F31" s="21">
        <v>1</v>
      </c>
      <c r="G31" s="21" t="s">
        <v>7</v>
      </c>
      <c r="H31" s="21">
        <f t="shared" si="0"/>
        <v>120</v>
      </c>
      <c r="O31" s="21">
        <v>-1</v>
      </c>
      <c r="P31" s="21">
        <v>1</v>
      </c>
    </row>
    <row r="32" spans="1:16" s="21" customFormat="1">
      <c r="A32" s="21">
        <v>34</v>
      </c>
      <c r="B32" s="21">
        <v>5</v>
      </c>
      <c r="C32" s="21" t="s">
        <v>915</v>
      </c>
      <c r="D32" s="21">
        <v>322</v>
      </c>
      <c r="E32" s="21" t="str">
        <f>VLOOKUP(D32,装备道具ID!$A$1:$B$1221,2,FALSE)</f>
        <v>魔法药(中量)</v>
      </c>
      <c r="F32" s="21">
        <v>1</v>
      </c>
      <c r="G32" s="21" t="s">
        <v>7</v>
      </c>
      <c r="H32" s="21">
        <f t="shared" si="0"/>
        <v>390</v>
      </c>
      <c r="O32" s="21">
        <v>-1</v>
      </c>
      <c r="P32" s="21">
        <v>1</v>
      </c>
    </row>
    <row r="33" spans="1:16" s="21" customFormat="1">
      <c r="A33" s="21">
        <v>34</v>
      </c>
      <c r="B33" s="21">
        <v>6</v>
      </c>
      <c r="C33" s="21" t="s">
        <v>915</v>
      </c>
      <c r="D33" s="21">
        <v>323</v>
      </c>
      <c r="E33" s="21" t="str">
        <f>VLOOKUP(D33,装备道具ID!$A$1:$B$1221,2,FALSE)</f>
        <v>强效魔法药</v>
      </c>
      <c r="F33" s="21">
        <v>1</v>
      </c>
      <c r="G33" s="21" t="s">
        <v>7</v>
      </c>
      <c r="H33" s="21">
        <f t="shared" si="0"/>
        <v>1050</v>
      </c>
      <c r="O33" s="21">
        <v>-1</v>
      </c>
      <c r="P33" s="21">
        <v>1</v>
      </c>
    </row>
    <row r="34" spans="1:16" s="21" customFormat="1">
      <c r="A34" s="21">
        <v>34</v>
      </c>
      <c r="B34" s="21">
        <v>7</v>
      </c>
      <c r="C34" s="21" t="s">
        <v>915</v>
      </c>
      <c r="D34" s="21">
        <v>351</v>
      </c>
      <c r="E34" s="21" t="str">
        <f>VLOOKUP(D34,装备道具ID!$A$1:$B$1221,2,FALSE)</f>
        <v>太阳水</v>
      </c>
      <c r="F34" s="21">
        <v>1</v>
      </c>
      <c r="G34" s="21" t="s">
        <v>7</v>
      </c>
      <c r="H34" s="21">
        <f t="shared" si="0"/>
        <v>1500</v>
      </c>
      <c r="O34" s="21">
        <v>-1</v>
      </c>
      <c r="P34" s="21">
        <v>1</v>
      </c>
    </row>
    <row r="35" spans="1:16" s="21" customFormat="1">
      <c r="A35" s="21">
        <v>34</v>
      </c>
      <c r="B35" s="21">
        <v>8</v>
      </c>
      <c r="C35" s="21" t="s">
        <v>915</v>
      </c>
      <c r="D35" s="21">
        <v>352</v>
      </c>
      <c r="E35" s="21" t="str">
        <f>VLOOKUP(D35,装备道具ID!$A$1:$B$1221,2,FALSE)</f>
        <v>强效太阳水</v>
      </c>
      <c r="F35" s="21">
        <v>1</v>
      </c>
      <c r="G35" s="21" t="s">
        <v>7</v>
      </c>
      <c r="H35" s="21">
        <f t="shared" si="0"/>
        <v>3750</v>
      </c>
      <c r="O35" s="21">
        <v>-1</v>
      </c>
      <c r="P35" s="21">
        <v>1</v>
      </c>
    </row>
    <row r="36" spans="1:16" s="21" customFormat="1">
      <c r="A36" s="21">
        <v>34</v>
      </c>
      <c r="B36" s="21">
        <v>9</v>
      </c>
      <c r="C36" s="21" t="s">
        <v>915</v>
      </c>
      <c r="D36" s="21">
        <v>361</v>
      </c>
      <c r="E36" s="21" t="str">
        <f>VLOOKUP(D36,装备道具ID!$A$1:$B$1221,2,FALSE)</f>
        <v>金创药(小)包</v>
      </c>
      <c r="F36" s="21">
        <v>1</v>
      </c>
      <c r="G36" s="21" t="s">
        <v>7</v>
      </c>
      <c r="H36" s="21">
        <f t="shared" si="0"/>
        <v>960</v>
      </c>
      <c r="O36" s="21">
        <v>-1</v>
      </c>
      <c r="P36" s="21">
        <v>1</v>
      </c>
    </row>
    <row r="37" spans="1:16" s="21" customFormat="1">
      <c r="A37" s="21">
        <v>34</v>
      </c>
      <c r="B37" s="21">
        <v>10</v>
      </c>
      <c r="C37" s="21" t="s">
        <v>915</v>
      </c>
      <c r="D37" s="21">
        <v>362</v>
      </c>
      <c r="E37" s="21" t="str">
        <f>VLOOKUP(D37,装备道具ID!$A$1:$B$1221,2,FALSE)</f>
        <v>金创药(中)包</v>
      </c>
      <c r="F37" s="21">
        <v>1</v>
      </c>
      <c r="G37" s="21" t="s">
        <v>7</v>
      </c>
      <c r="H37" s="21">
        <f t="shared" si="0"/>
        <v>3120</v>
      </c>
      <c r="O37" s="21">
        <v>-1</v>
      </c>
      <c r="P37" s="21">
        <v>1</v>
      </c>
    </row>
    <row r="38" spans="1:16" s="21" customFormat="1">
      <c r="A38" s="21">
        <v>34</v>
      </c>
      <c r="B38" s="21">
        <v>11</v>
      </c>
      <c r="C38" s="21" t="s">
        <v>915</v>
      </c>
      <c r="D38" s="21">
        <v>363</v>
      </c>
      <c r="E38" s="21" t="str">
        <f>VLOOKUP(D38,装备道具ID!$A$1:$B$1221,2,FALSE)</f>
        <v>超级金创药</v>
      </c>
      <c r="F38" s="21">
        <v>1</v>
      </c>
      <c r="G38" s="21" t="s">
        <v>7</v>
      </c>
      <c r="H38" s="21">
        <f t="shared" si="0"/>
        <v>9000</v>
      </c>
      <c r="O38" s="21">
        <v>-1</v>
      </c>
      <c r="P38" s="21">
        <v>1</v>
      </c>
    </row>
    <row r="39" spans="1:16" s="21" customFormat="1">
      <c r="A39" s="21">
        <v>34</v>
      </c>
      <c r="B39" s="21">
        <v>12</v>
      </c>
      <c r="C39" s="21" t="s">
        <v>915</v>
      </c>
      <c r="D39" s="21">
        <v>371</v>
      </c>
      <c r="E39" s="21" t="str">
        <f>VLOOKUP(D39,装备道具ID!$A$1:$B$1221,2,FALSE)</f>
        <v>魔法药(小)包</v>
      </c>
      <c r="F39" s="21">
        <v>1</v>
      </c>
      <c r="G39" s="21" t="s">
        <v>7</v>
      </c>
      <c r="H39" s="21">
        <f t="shared" si="0"/>
        <v>960</v>
      </c>
      <c r="O39" s="21">
        <v>-1</v>
      </c>
      <c r="P39" s="21">
        <v>1</v>
      </c>
    </row>
    <row r="40" spans="1:16" s="21" customFormat="1">
      <c r="A40" s="21">
        <v>34</v>
      </c>
      <c r="B40" s="21">
        <v>13</v>
      </c>
      <c r="C40" s="21" t="s">
        <v>915</v>
      </c>
      <c r="D40" s="21">
        <v>372</v>
      </c>
      <c r="E40" s="21" t="str">
        <f>VLOOKUP(D40,装备道具ID!$A$1:$B$1221,2,FALSE)</f>
        <v>魔法药(中)包</v>
      </c>
      <c r="F40" s="21">
        <v>1</v>
      </c>
      <c r="G40" s="21" t="s">
        <v>7</v>
      </c>
      <c r="H40" s="21">
        <f t="shared" si="0"/>
        <v>3120</v>
      </c>
      <c r="O40" s="21">
        <v>-1</v>
      </c>
      <c r="P40" s="21">
        <v>1</v>
      </c>
    </row>
    <row r="41" spans="1:16" s="21" customFormat="1">
      <c r="A41" s="21">
        <v>34</v>
      </c>
      <c r="B41" s="21">
        <v>14</v>
      </c>
      <c r="C41" s="21" t="s">
        <v>915</v>
      </c>
      <c r="D41" s="21">
        <v>373</v>
      </c>
      <c r="E41" s="21" t="str">
        <f>VLOOKUP(D41,装备道具ID!$A$1:$B$1221,2,FALSE)</f>
        <v>超级魔法药</v>
      </c>
      <c r="F41" s="21">
        <v>1</v>
      </c>
      <c r="G41" s="21" t="s">
        <v>7</v>
      </c>
      <c r="H41" s="21">
        <f t="shared" si="0"/>
        <v>9000</v>
      </c>
      <c r="O41" s="21">
        <v>-1</v>
      </c>
      <c r="P41" s="21">
        <v>1</v>
      </c>
    </row>
    <row r="42" spans="1:16" s="21" customFormat="1">
      <c r="A42" s="21">
        <v>34</v>
      </c>
      <c r="B42" s="21">
        <v>15</v>
      </c>
      <c r="C42" s="21" t="s">
        <v>915</v>
      </c>
      <c r="D42" s="21">
        <v>381</v>
      </c>
      <c r="E42" s="21" t="str">
        <f>VLOOKUP(D42,装备道具ID!$A$1:$B$1221,2,FALSE)</f>
        <v>太阳水包</v>
      </c>
      <c r="F42" s="21">
        <v>1</v>
      </c>
      <c r="G42" s="21" t="s">
        <v>7</v>
      </c>
      <c r="H42" s="21">
        <f t="shared" si="0"/>
        <v>10500</v>
      </c>
      <c r="O42" s="21">
        <v>-1</v>
      </c>
      <c r="P42" s="21">
        <v>1</v>
      </c>
    </row>
    <row r="43" spans="1:16" s="21" customFormat="1">
      <c r="A43" s="21">
        <v>34</v>
      </c>
      <c r="B43" s="21">
        <v>16</v>
      </c>
      <c r="C43" s="21" t="s">
        <v>915</v>
      </c>
      <c r="D43" s="21">
        <v>382</v>
      </c>
      <c r="E43" s="21" t="str">
        <f>VLOOKUP(D43,装备道具ID!$A$1:$B$1221,2,FALSE)</f>
        <v>强效太阳水包</v>
      </c>
      <c r="F43" s="21">
        <v>1</v>
      </c>
      <c r="G43" s="21" t="s">
        <v>7</v>
      </c>
      <c r="H43" s="21">
        <f t="shared" si="0"/>
        <v>25500</v>
      </c>
      <c r="O43" s="21">
        <v>-1</v>
      </c>
      <c r="P43" s="21">
        <v>1</v>
      </c>
    </row>
    <row r="44" spans="1:16" s="21" customFormat="1">
      <c r="A44" s="21">
        <v>34</v>
      </c>
      <c r="B44" s="21">
        <v>17</v>
      </c>
      <c r="C44" s="21" t="s">
        <v>915</v>
      </c>
      <c r="D44" s="21">
        <v>40001</v>
      </c>
      <c r="E44" s="21" t="str">
        <f>VLOOKUP(D44,装备道具ID!$A$1:$B$1221,2,FALSE)</f>
        <v>灰色药粉(少量)</v>
      </c>
      <c r="F44" s="21">
        <v>1</v>
      </c>
      <c r="G44" s="21" t="s">
        <v>7</v>
      </c>
      <c r="H44" s="21">
        <f t="shared" si="0"/>
        <v>7500</v>
      </c>
      <c r="O44" s="21">
        <v>-1</v>
      </c>
      <c r="P44" s="21">
        <v>1</v>
      </c>
    </row>
    <row r="45" spans="1:16" s="21" customFormat="1">
      <c r="A45" s="21">
        <v>34</v>
      </c>
      <c r="B45" s="21">
        <v>18</v>
      </c>
      <c r="C45" s="21" t="s">
        <v>915</v>
      </c>
      <c r="D45" s="21">
        <v>40002</v>
      </c>
      <c r="E45" s="21" t="str">
        <f>VLOOKUP(D45,装备道具ID!$A$1:$B$1221,2,FALSE)</f>
        <v>灰色药粉(中量)</v>
      </c>
      <c r="F45" s="21">
        <v>1</v>
      </c>
      <c r="G45" s="21" t="s">
        <v>7</v>
      </c>
      <c r="H45" s="21">
        <f t="shared" si="0"/>
        <v>16500</v>
      </c>
      <c r="O45" s="21">
        <v>-1</v>
      </c>
      <c r="P45" s="21">
        <v>1</v>
      </c>
    </row>
    <row r="46" spans="1:16" s="21" customFormat="1">
      <c r="A46" s="21">
        <v>34</v>
      </c>
      <c r="B46" s="21">
        <v>19</v>
      </c>
      <c r="C46" s="21" t="s">
        <v>915</v>
      </c>
      <c r="D46" s="21">
        <v>40003</v>
      </c>
      <c r="E46" s="21" t="str">
        <f>VLOOKUP(D46,装备道具ID!$A$1:$B$1221,2,FALSE)</f>
        <v>灰色药粉(大量)</v>
      </c>
      <c r="F46" s="21">
        <v>1</v>
      </c>
      <c r="G46" s="21" t="s">
        <v>7</v>
      </c>
      <c r="H46" s="21">
        <f t="shared" si="0"/>
        <v>27000</v>
      </c>
      <c r="O46" s="21">
        <v>-1</v>
      </c>
      <c r="P46" s="21">
        <v>1</v>
      </c>
    </row>
    <row r="47" spans="1:16" s="21" customFormat="1">
      <c r="A47" s="21">
        <v>34</v>
      </c>
      <c r="B47" s="21">
        <v>20</v>
      </c>
      <c r="C47" s="21" t="s">
        <v>915</v>
      </c>
      <c r="D47" s="21">
        <v>40011</v>
      </c>
      <c r="E47" s="21" t="str">
        <f>VLOOKUP(D47,装备道具ID!$A$1:$B$1221,2,FALSE)</f>
        <v>黄色药粉(少量)</v>
      </c>
      <c r="F47" s="21">
        <v>1</v>
      </c>
      <c r="G47" s="21" t="s">
        <v>7</v>
      </c>
      <c r="H47" s="21">
        <f t="shared" si="0"/>
        <v>7500</v>
      </c>
      <c r="O47" s="21">
        <v>-1</v>
      </c>
      <c r="P47" s="21">
        <v>1</v>
      </c>
    </row>
    <row r="48" spans="1:16" s="21" customFormat="1">
      <c r="A48" s="21">
        <v>34</v>
      </c>
      <c r="B48" s="21">
        <v>21</v>
      </c>
      <c r="C48" s="21" t="s">
        <v>915</v>
      </c>
      <c r="D48" s="21">
        <v>40012</v>
      </c>
      <c r="E48" s="21" t="str">
        <f>VLOOKUP(D48,装备道具ID!$A$1:$B$1221,2,FALSE)</f>
        <v>黄色药粉(中量)</v>
      </c>
      <c r="F48" s="21">
        <v>1</v>
      </c>
      <c r="G48" s="21" t="s">
        <v>7</v>
      </c>
      <c r="H48" s="21">
        <f t="shared" si="0"/>
        <v>16500</v>
      </c>
      <c r="O48" s="21">
        <v>-1</v>
      </c>
      <c r="P48" s="21">
        <v>1</v>
      </c>
    </row>
    <row r="49" spans="1:16" s="21" customFormat="1">
      <c r="A49" s="21">
        <v>34</v>
      </c>
      <c r="B49" s="21">
        <v>22</v>
      </c>
      <c r="C49" s="21" t="s">
        <v>915</v>
      </c>
      <c r="D49" s="21">
        <v>40013</v>
      </c>
      <c r="E49" s="21" t="str">
        <f>VLOOKUP(D49,装备道具ID!$A$1:$B$1221,2,FALSE)</f>
        <v>黄色药粉(大量)</v>
      </c>
      <c r="F49" s="21">
        <v>1</v>
      </c>
      <c r="G49" s="21" t="s">
        <v>7</v>
      </c>
      <c r="H49" s="21">
        <f t="shared" si="0"/>
        <v>27000</v>
      </c>
      <c r="O49" s="21">
        <v>-1</v>
      </c>
      <c r="P49" s="21">
        <v>1</v>
      </c>
    </row>
    <row r="50" spans="1:16" s="21" customFormat="1">
      <c r="A50" s="21">
        <v>24</v>
      </c>
      <c r="B50" s="21">
        <v>1</v>
      </c>
      <c r="C50" s="21" t="s">
        <v>914</v>
      </c>
      <c r="D50" s="21">
        <v>301</v>
      </c>
      <c r="E50" s="21" t="str">
        <f>VLOOKUP(D50,装备道具ID!$A$1:$B$1221,2,FALSE)</f>
        <v>金创药(小量)</v>
      </c>
      <c r="F50" s="21">
        <v>1</v>
      </c>
      <c r="G50" s="21" t="s">
        <v>7</v>
      </c>
      <c r="H50" s="21">
        <f t="shared" ref="H50:H71" si="1">H6*2</f>
        <v>160</v>
      </c>
      <c r="O50" s="21">
        <v>-1</v>
      </c>
      <c r="P50" s="21">
        <v>1</v>
      </c>
    </row>
    <row r="51" spans="1:16" s="21" customFormat="1">
      <c r="A51" s="21">
        <v>24</v>
      </c>
      <c r="B51" s="21">
        <v>2</v>
      </c>
      <c r="C51" s="21" t="s">
        <v>914</v>
      </c>
      <c r="D51" s="21">
        <v>302</v>
      </c>
      <c r="E51" s="21" t="str">
        <f>VLOOKUP(D51,装备道具ID!$A$1:$B$1221,2,FALSE)</f>
        <v>金创药(中量)</v>
      </c>
      <c r="F51" s="21">
        <v>1</v>
      </c>
      <c r="G51" s="21" t="s">
        <v>7</v>
      </c>
      <c r="H51" s="21">
        <f t="shared" si="1"/>
        <v>520</v>
      </c>
      <c r="O51" s="21">
        <v>-1</v>
      </c>
      <c r="P51" s="21">
        <v>1</v>
      </c>
    </row>
    <row r="52" spans="1:16" s="21" customFormat="1">
      <c r="A52" s="21">
        <v>24</v>
      </c>
      <c r="B52" s="21">
        <v>3</v>
      </c>
      <c r="C52" s="21" t="s">
        <v>914</v>
      </c>
      <c r="D52" s="21">
        <v>303</v>
      </c>
      <c r="E52" s="21" t="str">
        <f>VLOOKUP(D52,装备道具ID!$A$1:$B$1221,2,FALSE)</f>
        <v>强效金创药</v>
      </c>
      <c r="F52" s="21">
        <v>1</v>
      </c>
      <c r="G52" s="21" t="s">
        <v>7</v>
      </c>
      <c r="H52" s="21">
        <f t="shared" si="1"/>
        <v>1400</v>
      </c>
      <c r="O52" s="21">
        <v>-1</v>
      </c>
      <c r="P52" s="21">
        <v>1</v>
      </c>
    </row>
    <row r="53" spans="1:16" s="21" customFormat="1">
      <c r="A53" s="21">
        <v>24</v>
      </c>
      <c r="B53" s="21">
        <v>4</v>
      </c>
      <c r="C53" s="21" t="s">
        <v>914</v>
      </c>
      <c r="D53" s="21">
        <v>321</v>
      </c>
      <c r="E53" s="21" t="str">
        <f>VLOOKUP(D53,装备道具ID!$A$1:$B$1221,2,FALSE)</f>
        <v>魔法药(小量)</v>
      </c>
      <c r="F53" s="21">
        <v>1</v>
      </c>
      <c r="G53" s="21" t="s">
        <v>7</v>
      </c>
      <c r="H53" s="21">
        <f t="shared" si="1"/>
        <v>160</v>
      </c>
      <c r="O53" s="21">
        <v>-1</v>
      </c>
      <c r="P53" s="21">
        <v>1</v>
      </c>
    </row>
    <row r="54" spans="1:16" s="21" customFormat="1">
      <c r="A54" s="21">
        <v>24</v>
      </c>
      <c r="B54" s="21">
        <v>5</v>
      </c>
      <c r="C54" s="21" t="s">
        <v>914</v>
      </c>
      <c r="D54" s="21">
        <v>322</v>
      </c>
      <c r="E54" s="21" t="str">
        <f>VLOOKUP(D54,装备道具ID!$A$1:$B$1221,2,FALSE)</f>
        <v>魔法药(中量)</v>
      </c>
      <c r="F54" s="21">
        <v>1</v>
      </c>
      <c r="G54" s="21" t="s">
        <v>7</v>
      </c>
      <c r="H54" s="21">
        <f t="shared" si="1"/>
        <v>520</v>
      </c>
      <c r="O54" s="21">
        <v>-1</v>
      </c>
      <c r="P54" s="21">
        <v>1</v>
      </c>
    </row>
    <row r="55" spans="1:16" s="21" customFormat="1">
      <c r="A55" s="21">
        <v>24</v>
      </c>
      <c r="B55" s="21">
        <v>6</v>
      </c>
      <c r="C55" s="21" t="s">
        <v>914</v>
      </c>
      <c r="D55" s="21">
        <v>323</v>
      </c>
      <c r="E55" s="21" t="str">
        <f>VLOOKUP(D55,装备道具ID!$A$1:$B$1221,2,FALSE)</f>
        <v>强效魔法药</v>
      </c>
      <c r="F55" s="21">
        <v>1</v>
      </c>
      <c r="G55" s="21" t="s">
        <v>7</v>
      </c>
      <c r="H55" s="21">
        <f t="shared" si="1"/>
        <v>1400</v>
      </c>
      <c r="O55" s="21">
        <v>-1</v>
      </c>
      <c r="P55" s="21">
        <v>1</v>
      </c>
    </row>
    <row r="56" spans="1:16" s="21" customFormat="1">
      <c r="A56" s="21">
        <v>24</v>
      </c>
      <c r="B56" s="21">
        <v>7</v>
      </c>
      <c r="C56" s="21" t="s">
        <v>914</v>
      </c>
      <c r="D56" s="21">
        <v>351</v>
      </c>
      <c r="E56" s="21" t="str">
        <f>VLOOKUP(D56,装备道具ID!$A$1:$B$1221,2,FALSE)</f>
        <v>太阳水</v>
      </c>
      <c r="F56" s="21">
        <v>1</v>
      </c>
      <c r="G56" s="21" t="s">
        <v>7</v>
      </c>
      <c r="H56" s="21">
        <f t="shared" si="1"/>
        <v>2000</v>
      </c>
      <c r="O56" s="21">
        <v>-1</v>
      </c>
      <c r="P56" s="21">
        <v>1</v>
      </c>
    </row>
    <row r="57" spans="1:16" s="21" customFormat="1">
      <c r="A57" s="21">
        <v>24</v>
      </c>
      <c r="B57" s="21">
        <v>8</v>
      </c>
      <c r="C57" s="21" t="s">
        <v>914</v>
      </c>
      <c r="D57" s="21">
        <v>352</v>
      </c>
      <c r="E57" s="21" t="str">
        <f>VLOOKUP(D57,装备道具ID!$A$1:$B$1221,2,FALSE)</f>
        <v>强效太阳水</v>
      </c>
      <c r="F57" s="21">
        <v>1</v>
      </c>
      <c r="G57" s="21" t="s">
        <v>7</v>
      </c>
      <c r="H57" s="21">
        <f t="shared" si="1"/>
        <v>5000</v>
      </c>
      <c r="O57" s="21">
        <v>-1</v>
      </c>
      <c r="P57" s="21">
        <v>1</v>
      </c>
    </row>
    <row r="58" spans="1:16" s="21" customFormat="1">
      <c r="A58" s="21">
        <v>24</v>
      </c>
      <c r="B58" s="21">
        <v>9</v>
      </c>
      <c r="C58" s="21" t="s">
        <v>914</v>
      </c>
      <c r="D58" s="21">
        <v>361</v>
      </c>
      <c r="E58" s="21" t="str">
        <f>VLOOKUP(D58,装备道具ID!$A$1:$B$1221,2,FALSE)</f>
        <v>金创药(小)包</v>
      </c>
      <c r="F58" s="21">
        <v>1</v>
      </c>
      <c r="G58" s="21" t="s">
        <v>7</v>
      </c>
      <c r="H58" s="21">
        <f t="shared" si="1"/>
        <v>1280</v>
      </c>
      <c r="O58" s="21">
        <v>-1</v>
      </c>
      <c r="P58" s="21">
        <v>1</v>
      </c>
    </row>
    <row r="59" spans="1:16" s="21" customFormat="1">
      <c r="A59" s="21">
        <v>24</v>
      </c>
      <c r="B59" s="21">
        <v>10</v>
      </c>
      <c r="C59" s="21" t="s">
        <v>914</v>
      </c>
      <c r="D59" s="21">
        <v>362</v>
      </c>
      <c r="E59" s="21" t="str">
        <f>VLOOKUP(D59,装备道具ID!$A$1:$B$1221,2,FALSE)</f>
        <v>金创药(中)包</v>
      </c>
      <c r="F59" s="21">
        <v>1</v>
      </c>
      <c r="G59" s="21" t="s">
        <v>7</v>
      </c>
      <c r="H59" s="21">
        <f t="shared" si="1"/>
        <v>4160</v>
      </c>
      <c r="O59" s="21">
        <v>-1</v>
      </c>
      <c r="P59" s="21">
        <v>1</v>
      </c>
    </row>
    <row r="60" spans="1:16" s="21" customFormat="1">
      <c r="A60" s="21">
        <v>24</v>
      </c>
      <c r="B60" s="21">
        <v>11</v>
      </c>
      <c r="C60" s="21" t="s">
        <v>914</v>
      </c>
      <c r="D60" s="21">
        <v>363</v>
      </c>
      <c r="E60" s="21" t="str">
        <f>VLOOKUP(D60,装备道具ID!$A$1:$B$1221,2,FALSE)</f>
        <v>超级金创药</v>
      </c>
      <c r="F60" s="21">
        <v>1</v>
      </c>
      <c r="G60" s="21" t="s">
        <v>7</v>
      </c>
      <c r="H60" s="21">
        <f t="shared" si="1"/>
        <v>12000</v>
      </c>
      <c r="O60" s="21">
        <v>-1</v>
      </c>
      <c r="P60" s="21">
        <v>1</v>
      </c>
    </row>
    <row r="61" spans="1:16" s="21" customFormat="1">
      <c r="A61" s="21">
        <v>24</v>
      </c>
      <c r="B61" s="21">
        <v>12</v>
      </c>
      <c r="C61" s="21" t="s">
        <v>914</v>
      </c>
      <c r="D61" s="21">
        <v>371</v>
      </c>
      <c r="E61" s="21" t="str">
        <f>VLOOKUP(D61,装备道具ID!$A$1:$B$1221,2,FALSE)</f>
        <v>魔法药(小)包</v>
      </c>
      <c r="F61" s="21">
        <v>1</v>
      </c>
      <c r="G61" s="21" t="s">
        <v>7</v>
      </c>
      <c r="H61" s="21">
        <f t="shared" si="1"/>
        <v>1280</v>
      </c>
      <c r="O61" s="21">
        <v>-1</v>
      </c>
      <c r="P61" s="21">
        <v>1</v>
      </c>
    </row>
    <row r="62" spans="1:16" s="21" customFormat="1">
      <c r="A62" s="21">
        <v>24</v>
      </c>
      <c r="B62" s="21">
        <v>13</v>
      </c>
      <c r="C62" s="21" t="s">
        <v>914</v>
      </c>
      <c r="D62" s="21">
        <v>372</v>
      </c>
      <c r="E62" s="21" t="str">
        <f>VLOOKUP(D62,装备道具ID!$A$1:$B$1221,2,FALSE)</f>
        <v>魔法药(中)包</v>
      </c>
      <c r="F62" s="21">
        <v>1</v>
      </c>
      <c r="G62" s="21" t="s">
        <v>7</v>
      </c>
      <c r="H62" s="21">
        <f t="shared" si="1"/>
        <v>4160</v>
      </c>
      <c r="O62" s="21">
        <v>-1</v>
      </c>
      <c r="P62" s="21">
        <v>1</v>
      </c>
    </row>
    <row r="63" spans="1:16" s="21" customFormat="1">
      <c r="A63" s="21">
        <v>24</v>
      </c>
      <c r="B63" s="21">
        <v>14</v>
      </c>
      <c r="C63" s="21" t="s">
        <v>914</v>
      </c>
      <c r="D63" s="21">
        <v>373</v>
      </c>
      <c r="E63" s="21" t="str">
        <f>VLOOKUP(D63,装备道具ID!$A$1:$B$1221,2,FALSE)</f>
        <v>超级魔法药</v>
      </c>
      <c r="F63" s="21">
        <v>1</v>
      </c>
      <c r="G63" s="21" t="s">
        <v>7</v>
      </c>
      <c r="H63" s="21">
        <f t="shared" si="1"/>
        <v>12000</v>
      </c>
      <c r="O63" s="21">
        <v>-1</v>
      </c>
      <c r="P63" s="21">
        <v>1</v>
      </c>
    </row>
    <row r="64" spans="1:16" s="21" customFormat="1">
      <c r="A64" s="21">
        <v>24</v>
      </c>
      <c r="B64" s="21">
        <v>15</v>
      </c>
      <c r="C64" s="21" t="s">
        <v>914</v>
      </c>
      <c r="D64" s="21">
        <v>381</v>
      </c>
      <c r="E64" s="21" t="str">
        <f>VLOOKUP(D64,装备道具ID!$A$1:$B$1221,2,FALSE)</f>
        <v>太阳水包</v>
      </c>
      <c r="F64" s="21">
        <v>1</v>
      </c>
      <c r="G64" s="21" t="s">
        <v>7</v>
      </c>
      <c r="H64" s="21">
        <f t="shared" si="1"/>
        <v>14000</v>
      </c>
      <c r="O64" s="21">
        <v>-1</v>
      </c>
      <c r="P64" s="21">
        <v>1</v>
      </c>
    </row>
    <row r="65" spans="1:16" s="21" customFormat="1">
      <c r="A65" s="21">
        <v>24</v>
      </c>
      <c r="B65" s="21">
        <v>16</v>
      </c>
      <c r="C65" s="21" t="s">
        <v>914</v>
      </c>
      <c r="D65" s="21">
        <v>382</v>
      </c>
      <c r="E65" s="21" t="str">
        <f>VLOOKUP(D65,装备道具ID!$A$1:$B$1221,2,FALSE)</f>
        <v>强效太阳水包</v>
      </c>
      <c r="F65" s="21">
        <v>1</v>
      </c>
      <c r="G65" s="21" t="s">
        <v>7</v>
      </c>
      <c r="H65" s="21">
        <f t="shared" si="1"/>
        <v>34000</v>
      </c>
      <c r="O65" s="21">
        <v>-1</v>
      </c>
      <c r="P65" s="21">
        <v>1</v>
      </c>
    </row>
    <row r="66" spans="1:16" s="21" customFormat="1">
      <c r="A66" s="21">
        <v>24</v>
      </c>
      <c r="B66" s="21">
        <v>17</v>
      </c>
      <c r="C66" s="21" t="s">
        <v>914</v>
      </c>
      <c r="D66" s="21">
        <v>40001</v>
      </c>
      <c r="E66" s="21" t="str">
        <f>VLOOKUP(D66,装备道具ID!$A$1:$B$1221,2,FALSE)</f>
        <v>灰色药粉(少量)</v>
      </c>
      <c r="F66" s="21">
        <v>1</v>
      </c>
      <c r="G66" s="21" t="s">
        <v>7</v>
      </c>
      <c r="H66" s="21">
        <f t="shared" si="1"/>
        <v>10000</v>
      </c>
      <c r="O66" s="21">
        <v>-1</v>
      </c>
      <c r="P66" s="21">
        <v>1</v>
      </c>
    </row>
    <row r="67" spans="1:16" s="21" customFormat="1">
      <c r="A67" s="21">
        <v>24</v>
      </c>
      <c r="B67" s="21">
        <v>18</v>
      </c>
      <c r="C67" s="21" t="s">
        <v>914</v>
      </c>
      <c r="D67" s="21">
        <v>40002</v>
      </c>
      <c r="E67" s="21" t="str">
        <f>VLOOKUP(D67,装备道具ID!$A$1:$B$1221,2,FALSE)</f>
        <v>灰色药粉(中量)</v>
      </c>
      <c r="F67" s="21">
        <v>1</v>
      </c>
      <c r="G67" s="21" t="s">
        <v>7</v>
      </c>
      <c r="H67" s="21">
        <f t="shared" si="1"/>
        <v>22000</v>
      </c>
      <c r="O67" s="21">
        <v>-1</v>
      </c>
      <c r="P67" s="21">
        <v>1</v>
      </c>
    </row>
    <row r="68" spans="1:16" s="21" customFormat="1">
      <c r="A68" s="21">
        <v>24</v>
      </c>
      <c r="B68" s="21">
        <v>19</v>
      </c>
      <c r="C68" s="21" t="s">
        <v>914</v>
      </c>
      <c r="D68" s="21">
        <v>40003</v>
      </c>
      <c r="E68" s="21" t="str">
        <f>VLOOKUP(D68,装备道具ID!$A$1:$B$1221,2,FALSE)</f>
        <v>灰色药粉(大量)</v>
      </c>
      <c r="F68" s="21">
        <v>1</v>
      </c>
      <c r="G68" s="21" t="s">
        <v>7</v>
      </c>
      <c r="H68" s="21">
        <f t="shared" si="1"/>
        <v>36000</v>
      </c>
      <c r="O68" s="21">
        <v>-1</v>
      </c>
      <c r="P68" s="21">
        <v>1</v>
      </c>
    </row>
    <row r="69" spans="1:16" s="21" customFormat="1">
      <c r="A69" s="21">
        <v>24</v>
      </c>
      <c r="B69" s="21">
        <v>20</v>
      </c>
      <c r="C69" s="21" t="s">
        <v>914</v>
      </c>
      <c r="D69" s="21">
        <v>40011</v>
      </c>
      <c r="E69" s="21" t="str">
        <f>VLOOKUP(D69,装备道具ID!$A$1:$B$1221,2,FALSE)</f>
        <v>黄色药粉(少量)</v>
      </c>
      <c r="F69" s="21">
        <v>1</v>
      </c>
      <c r="G69" s="21" t="s">
        <v>7</v>
      </c>
      <c r="H69" s="21">
        <f t="shared" si="1"/>
        <v>10000</v>
      </c>
      <c r="O69" s="21">
        <v>-1</v>
      </c>
      <c r="P69" s="21">
        <v>1</v>
      </c>
    </row>
    <row r="70" spans="1:16" s="21" customFormat="1">
      <c r="A70" s="21">
        <v>24</v>
      </c>
      <c r="B70" s="21">
        <v>21</v>
      </c>
      <c r="C70" s="21" t="s">
        <v>914</v>
      </c>
      <c r="D70" s="21">
        <v>40012</v>
      </c>
      <c r="E70" s="21" t="str">
        <f>VLOOKUP(D70,装备道具ID!$A$1:$B$1221,2,FALSE)</f>
        <v>黄色药粉(中量)</v>
      </c>
      <c r="F70" s="21">
        <v>1</v>
      </c>
      <c r="G70" s="21" t="s">
        <v>7</v>
      </c>
      <c r="H70" s="21">
        <f t="shared" si="1"/>
        <v>22000</v>
      </c>
      <c r="O70" s="21">
        <v>-1</v>
      </c>
      <c r="P70" s="21">
        <v>1</v>
      </c>
    </row>
    <row r="71" spans="1:16" s="21" customFormat="1">
      <c r="A71" s="21">
        <v>24</v>
      </c>
      <c r="B71" s="21">
        <v>22</v>
      </c>
      <c r="C71" s="21" t="s">
        <v>914</v>
      </c>
      <c r="D71" s="21">
        <v>40013</v>
      </c>
      <c r="E71" s="21" t="str">
        <f>VLOOKUP(D71,装备道具ID!$A$1:$B$1221,2,FALSE)</f>
        <v>黄色药粉(大量)</v>
      </c>
      <c r="F71" s="21">
        <v>1</v>
      </c>
      <c r="G71" s="21" t="s">
        <v>7</v>
      </c>
      <c r="H71" s="21">
        <f t="shared" si="1"/>
        <v>36000</v>
      </c>
      <c r="O71" s="21">
        <v>-1</v>
      </c>
      <c r="P71" s="21">
        <v>1</v>
      </c>
    </row>
    <row r="72" spans="1:16">
      <c r="A72">
        <v>5</v>
      </c>
      <c r="B72" s="21">
        <v>1</v>
      </c>
      <c r="C72" s="21" t="s">
        <v>61</v>
      </c>
      <c r="D72">
        <v>80001</v>
      </c>
      <c r="E72" s="21" t="str">
        <f>VLOOKUP(D72,装备道具ID!$A$1:$B$1221,2,FALSE)</f>
        <v>比奇回城卷</v>
      </c>
      <c r="F72">
        <v>1</v>
      </c>
      <c r="G72" t="s">
        <v>7</v>
      </c>
      <c r="H72" s="34">
        <v>800</v>
      </c>
      <c r="O72" s="21">
        <v>-1</v>
      </c>
      <c r="P72" s="21">
        <v>2</v>
      </c>
    </row>
    <row r="73" spans="1:16">
      <c r="A73">
        <v>5</v>
      </c>
      <c r="B73" s="21">
        <v>2</v>
      </c>
      <c r="C73" s="21" t="s">
        <v>61</v>
      </c>
      <c r="D73">
        <v>80005</v>
      </c>
      <c r="E73" s="21" t="str">
        <f>VLOOKUP(D73,装备道具ID!$A$1:$B$1221,2,FALSE)</f>
        <v>随机传送卷</v>
      </c>
      <c r="F73">
        <v>1</v>
      </c>
      <c r="G73" t="s">
        <v>7</v>
      </c>
      <c r="H73" s="34">
        <v>100</v>
      </c>
      <c r="O73" s="21">
        <v>-1</v>
      </c>
      <c r="P73" s="21">
        <v>2</v>
      </c>
    </row>
    <row r="74" spans="1:16" s="21" customFormat="1">
      <c r="A74" s="21">
        <v>5</v>
      </c>
      <c r="B74" s="21">
        <v>3</v>
      </c>
      <c r="C74" s="21" t="s">
        <v>61</v>
      </c>
      <c r="D74" s="21">
        <v>80101</v>
      </c>
      <c r="E74" s="21" t="str">
        <f>VLOOKUP(D74,装备道具ID!$A$1:$B$1221,2,FALSE)</f>
        <v>比奇回城卷包</v>
      </c>
      <c r="F74" s="21">
        <v>1</v>
      </c>
      <c r="G74" s="21" t="s">
        <v>7</v>
      </c>
      <c r="H74" s="33">
        <f>H72*8+1000</f>
        <v>7400</v>
      </c>
      <c r="O74" s="21">
        <v>-1</v>
      </c>
      <c r="P74" s="21">
        <v>2</v>
      </c>
    </row>
    <row r="75" spans="1:16" s="35" customFormat="1">
      <c r="A75" s="35">
        <v>5</v>
      </c>
      <c r="B75" s="21">
        <v>4</v>
      </c>
      <c r="C75" s="35" t="s">
        <v>61</v>
      </c>
      <c r="D75" s="35">
        <v>80105</v>
      </c>
      <c r="E75" s="35" t="str">
        <f>VLOOKUP(D75,装备道具ID!$A$1:$B$1221,2,FALSE)</f>
        <v>随机传送卷包</v>
      </c>
      <c r="F75" s="35">
        <v>1</v>
      </c>
      <c r="G75" s="35" t="s">
        <v>7</v>
      </c>
      <c r="H75" s="36">
        <f>H73*8</f>
        <v>800</v>
      </c>
      <c r="O75" s="35">
        <v>-1</v>
      </c>
      <c r="P75" s="35">
        <v>2</v>
      </c>
    </row>
    <row r="76" spans="1:16" s="35" customFormat="1">
      <c r="A76" s="35">
        <v>5</v>
      </c>
      <c r="B76" s="21">
        <v>5</v>
      </c>
      <c r="C76" s="35" t="s">
        <v>61</v>
      </c>
      <c r="D76" s="35">
        <v>80007</v>
      </c>
      <c r="E76" s="35" t="str">
        <f>VLOOKUP(D76,装备道具ID!$A$1:$B$1221,2,FALSE)</f>
        <v>盟重回城卷</v>
      </c>
      <c r="F76" s="35">
        <v>1</v>
      </c>
      <c r="G76" s="35" t="s">
        <v>7</v>
      </c>
      <c r="H76" s="37">
        <v>800</v>
      </c>
      <c r="O76" s="35">
        <v>-1</v>
      </c>
      <c r="P76" s="35">
        <v>2</v>
      </c>
    </row>
    <row r="77" spans="1:16" s="35" customFormat="1">
      <c r="A77" s="35">
        <v>5</v>
      </c>
      <c r="B77" s="21">
        <v>6</v>
      </c>
      <c r="C77" s="35" t="s">
        <v>61</v>
      </c>
      <c r="D77" s="35">
        <v>80107</v>
      </c>
      <c r="E77" s="35" t="str">
        <f>VLOOKUP(D77,装备道具ID!$A$1:$B$1221,2,FALSE)</f>
        <v>盟重回城卷包</v>
      </c>
      <c r="F77" s="35">
        <v>1</v>
      </c>
      <c r="G77" s="35" t="s">
        <v>7</v>
      </c>
      <c r="H77" s="36">
        <f>H76*8+1000</f>
        <v>7400</v>
      </c>
      <c r="O77" s="35">
        <v>-1</v>
      </c>
      <c r="P77" s="35">
        <v>2</v>
      </c>
    </row>
    <row r="78" spans="1:16" s="35" customFormat="1">
      <c r="A78" s="35">
        <v>5</v>
      </c>
      <c r="B78" s="21">
        <v>7</v>
      </c>
      <c r="C78" s="35" t="s">
        <v>61</v>
      </c>
      <c r="D78" s="35">
        <v>80201</v>
      </c>
      <c r="E78" s="35" t="str">
        <f>VLOOKUP(D78,装备道具ID!$A$1:$B$1221,2,FALSE)</f>
        <v>比奇回城石</v>
      </c>
      <c r="F78" s="35">
        <v>1</v>
      </c>
      <c r="G78" s="35" t="s">
        <v>7</v>
      </c>
      <c r="H78" s="37">
        <v>200000</v>
      </c>
      <c r="O78" s="35">
        <v>-1</v>
      </c>
      <c r="P78" s="35">
        <v>2</v>
      </c>
    </row>
    <row r="79" spans="1:16" s="35" customFormat="1">
      <c r="A79" s="35">
        <v>5</v>
      </c>
      <c r="B79" s="21">
        <v>8</v>
      </c>
      <c r="C79" s="35" t="s">
        <v>61</v>
      </c>
      <c r="D79" s="35">
        <v>80202</v>
      </c>
      <c r="E79" s="35" t="str">
        <f>VLOOKUP(D79,装备道具ID!$A$1:$B$1221,2,FALSE)</f>
        <v>盟重回城石</v>
      </c>
      <c r="F79" s="35">
        <v>1</v>
      </c>
      <c r="G79" s="35" t="s">
        <v>7</v>
      </c>
      <c r="H79" s="37">
        <v>200000</v>
      </c>
      <c r="O79" s="35">
        <v>-1</v>
      </c>
      <c r="P79" s="35">
        <v>2</v>
      </c>
    </row>
    <row r="80" spans="1:16" s="35" customFormat="1">
      <c r="A80" s="35">
        <v>5</v>
      </c>
      <c r="B80" s="21">
        <v>9</v>
      </c>
      <c r="C80" s="35" t="s">
        <v>61</v>
      </c>
      <c r="D80" s="35">
        <v>80203</v>
      </c>
      <c r="E80" s="35" t="str">
        <f>VLOOKUP(D80,装备道具ID!$A$1:$B$1221,2,FALSE)</f>
        <v>随机传送石</v>
      </c>
      <c r="F80" s="35">
        <v>1</v>
      </c>
      <c r="G80" s="35" t="s">
        <v>7</v>
      </c>
      <c r="H80" s="37">
        <v>200000</v>
      </c>
      <c r="O80" s="35">
        <v>-1</v>
      </c>
      <c r="P80" s="35">
        <v>2</v>
      </c>
    </row>
    <row r="81" spans="1:16" s="35" customFormat="1">
      <c r="A81" s="35">
        <v>5</v>
      </c>
      <c r="B81" s="21">
        <v>10</v>
      </c>
      <c r="C81" s="35" t="s">
        <v>61</v>
      </c>
      <c r="D81" s="35">
        <v>100002</v>
      </c>
      <c r="E81" s="35" t="str">
        <f>VLOOKUP(D81,装备道具ID!$A$1:$B$1221,2,FALSE)</f>
        <v>初级红名符</v>
      </c>
      <c r="F81" s="35">
        <v>1</v>
      </c>
      <c r="G81" s="35" t="s">
        <v>57</v>
      </c>
      <c r="H81" s="37">
        <v>15000</v>
      </c>
      <c r="O81" s="35">
        <v>-1</v>
      </c>
      <c r="P81" s="35">
        <v>2</v>
      </c>
    </row>
    <row r="82" spans="1:16">
      <c r="A82">
        <v>5</v>
      </c>
      <c r="B82" s="21">
        <v>11</v>
      </c>
      <c r="C82" s="21" t="s">
        <v>61</v>
      </c>
      <c r="D82">
        <v>100003</v>
      </c>
      <c r="E82" s="21" t="str">
        <f>VLOOKUP(D82,装备道具ID!$A$1:$B$1221,2,FALSE)</f>
        <v>中级红名符</v>
      </c>
      <c r="F82">
        <v>1</v>
      </c>
      <c r="G82" t="s">
        <v>7</v>
      </c>
      <c r="H82" s="34">
        <v>120000</v>
      </c>
      <c r="O82" s="21">
        <v>-1</v>
      </c>
      <c r="P82" s="21">
        <v>2</v>
      </c>
    </row>
    <row r="83" spans="1:16" s="1" customFormat="1">
      <c r="A83" s="1">
        <v>5</v>
      </c>
      <c r="B83" s="21">
        <v>12</v>
      </c>
      <c r="C83" s="21" t="s">
        <v>61</v>
      </c>
      <c r="D83" s="1">
        <v>114003</v>
      </c>
      <c r="E83" s="21" t="str">
        <f>VLOOKUP(D83,装备道具ID!$A$1:$B$1221,2,FALSE)</f>
        <v>黑铁矿石3</v>
      </c>
      <c r="F83" s="1">
        <v>1</v>
      </c>
      <c r="G83" s="1" t="s">
        <v>7</v>
      </c>
      <c r="H83" s="34">
        <v>1000</v>
      </c>
      <c r="O83" s="21">
        <v>-1</v>
      </c>
      <c r="P83" s="21">
        <v>2</v>
      </c>
    </row>
    <row r="84" spans="1:16" s="1" customFormat="1">
      <c r="A84" s="1">
        <v>5</v>
      </c>
      <c r="B84" s="21">
        <v>13</v>
      </c>
      <c r="C84" s="21" t="s">
        <v>61</v>
      </c>
      <c r="D84" s="5">
        <v>40101</v>
      </c>
      <c r="E84" s="14" t="str">
        <f>VLOOKUP(D84,装备道具ID!$A$1:$B$1221,2,FALSE)</f>
        <v>护身符</v>
      </c>
      <c r="F84" s="1">
        <v>1</v>
      </c>
      <c r="G84" s="1" t="s">
        <v>7</v>
      </c>
      <c r="H84" s="34">
        <v>500</v>
      </c>
      <c r="O84" s="21">
        <v>-1</v>
      </c>
      <c r="P84" s="21">
        <v>2</v>
      </c>
    </row>
    <row r="85" spans="1:16" s="1" customFormat="1">
      <c r="A85" s="1">
        <v>5</v>
      </c>
      <c r="B85" s="21">
        <v>14</v>
      </c>
      <c r="C85" s="21" t="s">
        <v>61</v>
      </c>
      <c r="D85" s="5">
        <v>40102</v>
      </c>
      <c r="E85" s="14" t="str">
        <f>VLOOKUP(D85,装备道具ID!$A$1:$B$1221,2,FALSE)</f>
        <v>护身符(大)</v>
      </c>
      <c r="F85" s="1">
        <v>1</v>
      </c>
      <c r="G85" s="1" t="s">
        <v>7</v>
      </c>
      <c r="H85" s="34">
        <v>1100</v>
      </c>
      <c r="O85" s="21">
        <v>-1</v>
      </c>
      <c r="P85" s="21">
        <v>2</v>
      </c>
    </row>
    <row r="86" spans="1:16" s="1" customFormat="1">
      <c r="A86" s="1">
        <v>5</v>
      </c>
      <c r="B86" s="21">
        <v>15</v>
      </c>
      <c r="C86" s="21" t="s">
        <v>61</v>
      </c>
      <c r="D86" s="5">
        <v>40103</v>
      </c>
      <c r="E86" s="14" t="str">
        <f>VLOOKUP(D86,装备道具ID!$A$1:$B$1221,2,FALSE)</f>
        <v>超级护身符</v>
      </c>
      <c r="F86" s="1">
        <v>1</v>
      </c>
      <c r="G86" s="1" t="s">
        <v>7</v>
      </c>
      <c r="H86" s="34">
        <v>5000</v>
      </c>
      <c r="O86" s="21">
        <v>-1</v>
      </c>
      <c r="P86" s="21">
        <v>2</v>
      </c>
    </row>
    <row r="87" spans="1:16" s="21" customFormat="1">
      <c r="A87" s="21">
        <v>5</v>
      </c>
      <c r="B87" s="21">
        <v>16</v>
      </c>
      <c r="C87" s="21" t="s">
        <v>61</v>
      </c>
      <c r="D87" s="14">
        <v>2201</v>
      </c>
      <c r="E87" s="14" t="str">
        <f>VLOOKUP(D87,装备道具ID!$A$1:$B$1221,2,FALSE)</f>
        <v>千里传音</v>
      </c>
      <c r="F87" s="21">
        <v>1</v>
      </c>
      <c r="G87" s="21" t="s">
        <v>7</v>
      </c>
      <c r="H87" s="34">
        <v>100000</v>
      </c>
      <c r="O87" s="21">
        <v>-1</v>
      </c>
      <c r="P87" s="21">
        <v>2</v>
      </c>
    </row>
    <row r="88" spans="1:16" s="21" customFormat="1">
      <c r="A88" s="21">
        <v>5</v>
      </c>
      <c r="B88" s="21">
        <v>17</v>
      </c>
      <c r="C88" s="21" t="s">
        <v>61</v>
      </c>
      <c r="D88" s="14">
        <v>2212</v>
      </c>
      <c r="E88" s="14" t="str">
        <f>VLOOKUP(D88,装备道具ID!$A$1:$B$1221,2,FALSE)</f>
        <v>礼花</v>
      </c>
      <c r="F88" s="21">
        <v>1</v>
      </c>
      <c r="G88" s="21" t="s">
        <v>7</v>
      </c>
      <c r="H88" s="34">
        <v>30000</v>
      </c>
      <c r="O88" s="21">
        <v>-1</v>
      </c>
      <c r="P88" s="21">
        <v>2</v>
      </c>
    </row>
    <row r="89" spans="1:16" s="1" customFormat="1">
      <c r="A89" s="1">
        <v>6</v>
      </c>
      <c r="B89" s="21">
        <v>1</v>
      </c>
      <c r="C89" s="1" t="s">
        <v>55</v>
      </c>
      <c r="D89" s="21">
        <v>301</v>
      </c>
      <c r="E89" s="21" t="str">
        <f>VLOOKUP(D89,装备道具ID!$A$1:$B$1221,2,FALSE)</f>
        <v>金创药(小量)</v>
      </c>
      <c r="F89" s="21">
        <v>1</v>
      </c>
      <c r="G89" s="21" t="s">
        <v>7</v>
      </c>
      <c r="H89" s="33">
        <f t="shared" ref="H89:H98" si="2">H6*1.5</f>
        <v>120</v>
      </c>
      <c r="J89" s="21"/>
      <c r="O89" s="21">
        <v>-1</v>
      </c>
      <c r="P89" s="21">
        <v>0</v>
      </c>
    </row>
    <row r="90" spans="1:16" s="1" customFormat="1">
      <c r="A90" s="1">
        <v>6</v>
      </c>
      <c r="B90" s="21">
        <v>2</v>
      </c>
      <c r="C90" s="1" t="s">
        <v>55</v>
      </c>
      <c r="D90" s="21">
        <v>302</v>
      </c>
      <c r="E90" s="21" t="str">
        <f>VLOOKUP(D90,装备道具ID!$A$1:$B$1221,2,FALSE)</f>
        <v>金创药(中量)</v>
      </c>
      <c r="F90" s="21">
        <v>1</v>
      </c>
      <c r="G90" s="21" t="s">
        <v>7</v>
      </c>
      <c r="H90" s="33">
        <f t="shared" si="2"/>
        <v>390</v>
      </c>
      <c r="I90" s="21"/>
      <c r="J90" s="21"/>
      <c r="O90" s="21">
        <v>-1</v>
      </c>
      <c r="P90" s="21">
        <v>0</v>
      </c>
    </row>
    <row r="91" spans="1:16" s="1" customFormat="1">
      <c r="A91" s="1">
        <v>6</v>
      </c>
      <c r="B91" s="21">
        <v>3</v>
      </c>
      <c r="C91" s="1" t="s">
        <v>55</v>
      </c>
      <c r="D91" s="21">
        <v>303</v>
      </c>
      <c r="E91" s="21" t="str">
        <f>VLOOKUP(D91,装备道具ID!$A$1:$B$1221,2,FALSE)</f>
        <v>强效金创药</v>
      </c>
      <c r="F91" s="21">
        <v>1</v>
      </c>
      <c r="G91" s="21" t="s">
        <v>7</v>
      </c>
      <c r="H91" s="33">
        <f t="shared" si="2"/>
        <v>1050</v>
      </c>
      <c r="I91" s="21"/>
      <c r="J91" s="21"/>
      <c r="O91" s="21">
        <v>-1</v>
      </c>
      <c r="P91" s="21">
        <v>0</v>
      </c>
    </row>
    <row r="92" spans="1:16" s="21" customFormat="1">
      <c r="A92" s="21">
        <v>6</v>
      </c>
      <c r="B92" s="21">
        <v>4</v>
      </c>
      <c r="C92" s="21" t="s">
        <v>55</v>
      </c>
      <c r="D92" s="21">
        <v>321</v>
      </c>
      <c r="E92" s="21" t="str">
        <f>VLOOKUP(D92,装备道具ID!$A$1:$B$1221,2,FALSE)</f>
        <v>魔法药(小量)</v>
      </c>
      <c r="F92" s="21">
        <v>1</v>
      </c>
      <c r="G92" s="21" t="s">
        <v>7</v>
      </c>
      <c r="H92" s="33">
        <f t="shared" si="2"/>
        <v>120</v>
      </c>
      <c r="O92" s="21">
        <v>-1</v>
      </c>
      <c r="P92" s="21">
        <v>0</v>
      </c>
    </row>
    <row r="93" spans="1:16" s="21" customFormat="1">
      <c r="A93" s="21">
        <v>6</v>
      </c>
      <c r="B93" s="21">
        <v>5</v>
      </c>
      <c r="C93" s="21" t="s">
        <v>55</v>
      </c>
      <c r="D93" s="21">
        <v>322</v>
      </c>
      <c r="E93" s="21" t="str">
        <f>VLOOKUP(D93,装备道具ID!$A$1:$B$1221,2,FALSE)</f>
        <v>魔法药(中量)</v>
      </c>
      <c r="F93" s="21">
        <v>1</v>
      </c>
      <c r="G93" s="21" t="s">
        <v>7</v>
      </c>
      <c r="H93" s="33">
        <f t="shared" si="2"/>
        <v>390</v>
      </c>
      <c r="O93" s="21">
        <v>-1</v>
      </c>
      <c r="P93" s="21">
        <v>0</v>
      </c>
    </row>
    <row r="94" spans="1:16" s="21" customFormat="1">
      <c r="A94" s="21">
        <v>6</v>
      </c>
      <c r="B94" s="21">
        <v>6</v>
      </c>
      <c r="C94" s="21" t="s">
        <v>55</v>
      </c>
      <c r="D94" s="21">
        <v>323</v>
      </c>
      <c r="E94" s="21" t="str">
        <f>VLOOKUP(D94,装备道具ID!$A$1:$B$1221,2,FALSE)</f>
        <v>强效魔法药</v>
      </c>
      <c r="F94" s="21">
        <v>1</v>
      </c>
      <c r="G94" s="21" t="s">
        <v>7</v>
      </c>
      <c r="H94" s="33">
        <f t="shared" si="2"/>
        <v>1050</v>
      </c>
      <c r="O94" s="21">
        <v>-1</v>
      </c>
      <c r="P94" s="21">
        <v>0</v>
      </c>
    </row>
    <row r="95" spans="1:16" s="21" customFormat="1">
      <c r="A95" s="21">
        <v>6</v>
      </c>
      <c r="B95" s="21">
        <v>7</v>
      </c>
      <c r="C95" s="21" t="s">
        <v>55</v>
      </c>
      <c r="D95" s="21">
        <v>351</v>
      </c>
      <c r="E95" s="21" t="str">
        <f>VLOOKUP(D95,装备道具ID!$A$1:$B$1221,2,FALSE)</f>
        <v>太阳水</v>
      </c>
      <c r="F95" s="21">
        <v>1</v>
      </c>
      <c r="G95" s="21" t="s">
        <v>7</v>
      </c>
      <c r="H95" s="33">
        <f t="shared" si="2"/>
        <v>1500</v>
      </c>
      <c r="O95" s="21">
        <v>-1</v>
      </c>
      <c r="P95" s="21">
        <v>0</v>
      </c>
    </row>
    <row r="96" spans="1:16" s="21" customFormat="1">
      <c r="A96" s="21">
        <v>6</v>
      </c>
      <c r="B96" s="21">
        <v>8</v>
      </c>
      <c r="C96" s="21" t="s">
        <v>55</v>
      </c>
      <c r="D96" s="21">
        <v>352</v>
      </c>
      <c r="E96" s="21" t="str">
        <f>VLOOKUP(D96,装备道具ID!$A$1:$B$1221,2,FALSE)</f>
        <v>强效太阳水</v>
      </c>
      <c r="F96" s="21">
        <v>1</v>
      </c>
      <c r="G96" s="21" t="s">
        <v>7</v>
      </c>
      <c r="H96" s="33">
        <f t="shared" si="2"/>
        <v>3750</v>
      </c>
      <c r="O96" s="21">
        <v>-1</v>
      </c>
      <c r="P96" s="21">
        <v>0</v>
      </c>
    </row>
    <row r="97" spans="1:16" s="21" customFormat="1">
      <c r="A97" s="21">
        <v>6</v>
      </c>
      <c r="B97" s="21">
        <v>9</v>
      </c>
      <c r="C97" s="21" t="s">
        <v>55</v>
      </c>
      <c r="D97" s="21">
        <v>361</v>
      </c>
      <c r="E97" s="21" t="str">
        <f>VLOOKUP(D97,装备道具ID!$A$1:$B$1221,2,FALSE)</f>
        <v>金创药(小)包</v>
      </c>
      <c r="F97" s="21">
        <v>1</v>
      </c>
      <c r="G97" s="21" t="s">
        <v>7</v>
      </c>
      <c r="H97" s="33">
        <f t="shared" si="2"/>
        <v>960</v>
      </c>
      <c r="O97" s="21">
        <v>-1</v>
      </c>
      <c r="P97" s="21">
        <v>0</v>
      </c>
    </row>
    <row r="98" spans="1:16" s="21" customFormat="1">
      <c r="A98" s="21">
        <v>6</v>
      </c>
      <c r="B98" s="21">
        <v>10</v>
      </c>
      <c r="C98" s="21" t="s">
        <v>55</v>
      </c>
      <c r="D98" s="21">
        <v>362</v>
      </c>
      <c r="E98" s="21" t="str">
        <f>VLOOKUP(D98,装备道具ID!$A$1:$B$1221,2,FALSE)</f>
        <v>金创药(中)包</v>
      </c>
      <c r="F98" s="21">
        <v>1</v>
      </c>
      <c r="G98" s="21" t="s">
        <v>7</v>
      </c>
      <c r="H98" s="33">
        <f t="shared" si="2"/>
        <v>3120</v>
      </c>
      <c r="O98" s="21">
        <v>-1</v>
      </c>
      <c r="P98" s="21">
        <v>0</v>
      </c>
    </row>
    <row r="99" spans="1:16" s="21" customFormat="1">
      <c r="A99" s="21">
        <v>6</v>
      </c>
      <c r="B99" s="21">
        <v>11</v>
      </c>
      <c r="C99" s="21" t="s">
        <v>55</v>
      </c>
      <c r="D99" s="21">
        <v>371</v>
      </c>
      <c r="E99" s="21" t="str">
        <f>VLOOKUP(D99,装备道具ID!$A$1:$B$1221,2,FALSE)</f>
        <v>魔法药(小)包</v>
      </c>
      <c r="F99" s="21">
        <v>1</v>
      </c>
      <c r="G99" s="21" t="s">
        <v>7</v>
      </c>
      <c r="H99" s="33">
        <f>H17*1.5</f>
        <v>960</v>
      </c>
      <c r="O99" s="21">
        <v>-1</v>
      </c>
      <c r="P99" s="21">
        <v>0</v>
      </c>
    </row>
    <row r="100" spans="1:16" s="21" customFormat="1">
      <c r="A100" s="21">
        <v>6</v>
      </c>
      <c r="B100" s="21">
        <v>12</v>
      </c>
      <c r="C100" s="21" t="s">
        <v>55</v>
      </c>
      <c r="D100" s="21">
        <v>372</v>
      </c>
      <c r="E100" s="21" t="str">
        <f>VLOOKUP(D100,装备道具ID!$A$1:$B$1221,2,FALSE)</f>
        <v>魔法药(中)包</v>
      </c>
      <c r="F100" s="21">
        <v>1</v>
      </c>
      <c r="G100" s="21" t="s">
        <v>7</v>
      </c>
      <c r="H100" s="33">
        <f>H18*1.5</f>
        <v>3120</v>
      </c>
      <c r="O100" s="21">
        <v>-1</v>
      </c>
      <c r="P100" s="21">
        <v>0</v>
      </c>
    </row>
    <row r="101" spans="1:16" s="21" customFormat="1">
      <c r="A101" s="21">
        <v>6</v>
      </c>
      <c r="B101" s="21">
        <v>13</v>
      </c>
      <c r="C101" s="21" t="s">
        <v>55</v>
      </c>
      <c r="D101" s="21">
        <v>381</v>
      </c>
      <c r="E101" s="21" t="str">
        <f>VLOOKUP(D101,装备道具ID!$A$1:$B$1221,2,FALSE)</f>
        <v>太阳水包</v>
      </c>
      <c r="F101" s="21">
        <v>1</v>
      </c>
      <c r="G101" s="21" t="s">
        <v>7</v>
      </c>
      <c r="H101" s="33">
        <f t="shared" ref="H101:H108" si="3">H20*1.5</f>
        <v>10500</v>
      </c>
      <c r="O101" s="21">
        <v>-1</v>
      </c>
      <c r="P101" s="21">
        <v>0</v>
      </c>
    </row>
    <row r="102" spans="1:16" s="21" customFormat="1">
      <c r="A102" s="21">
        <v>6</v>
      </c>
      <c r="B102" s="21">
        <v>14</v>
      </c>
      <c r="C102" s="21" t="s">
        <v>55</v>
      </c>
      <c r="D102" s="21">
        <v>382</v>
      </c>
      <c r="E102" s="21" t="str">
        <f>VLOOKUP(D102,装备道具ID!$A$1:$B$1221,2,FALSE)</f>
        <v>强效太阳水包</v>
      </c>
      <c r="F102" s="21">
        <v>1</v>
      </c>
      <c r="G102" s="21" t="s">
        <v>7</v>
      </c>
      <c r="H102" s="33">
        <f t="shared" si="3"/>
        <v>25500</v>
      </c>
      <c r="O102" s="21">
        <v>-1</v>
      </c>
      <c r="P102" s="21">
        <v>0</v>
      </c>
    </row>
    <row r="103" spans="1:16" s="21" customFormat="1">
      <c r="A103" s="21">
        <v>6</v>
      </c>
      <c r="B103" s="21">
        <v>15</v>
      </c>
      <c r="C103" s="21" t="s">
        <v>55</v>
      </c>
      <c r="D103" s="21">
        <v>40001</v>
      </c>
      <c r="E103" s="21" t="str">
        <f>VLOOKUP(D103,装备道具ID!$A$1:$B$1221,2,FALSE)</f>
        <v>灰色药粉(少量)</v>
      </c>
      <c r="F103" s="21">
        <v>1</v>
      </c>
      <c r="G103" s="21" t="s">
        <v>7</v>
      </c>
      <c r="H103" s="33">
        <f t="shared" si="3"/>
        <v>7500</v>
      </c>
      <c r="O103" s="21">
        <v>-1</v>
      </c>
      <c r="P103" s="21">
        <v>0</v>
      </c>
    </row>
    <row r="104" spans="1:16" s="21" customFormat="1">
      <c r="A104" s="21">
        <v>6</v>
      </c>
      <c r="B104" s="21">
        <v>16</v>
      </c>
      <c r="C104" s="21" t="s">
        <v>55</v>
      </c>
      <c r="D104" s="21">
        <v>40002</v>
      </c>
      <c r="E104" s="21" t="str">
        <f>VLOOKUP(D104,装备道具ID!$A$1:$B$1221,2,FALSE)</f>
        <v>灰色药粉(中量)</v>
      </c>
      <c r="F104" s="21">
        <v>1</v>
      </c>
      <c r="G104" s="21" t="s">
        <v>7</v>
      </c>
      <c r="H104" s="33">
        <f t="shared" si="3"/>
        <v>16500</v>
      </c>
      <c r="O104" s="21">
        <v>-1</v>
      </c>
      <c r="P104" s="21">
        <v>0</v>
      </c>
    </row>
    <row r="105" spans="1:16" s="21" customFormat="1">
      <c r="A105" s="21">
        <v>6</v>
      </c>
      <c r="B105" s="21">
        <v>17</v>
      </c>
      <c r="C105" s="21" t="s">
        <v>55</v>
      </c>
      <c r="D105" s="21">
        <v>40003</v>
      </c>
      <c r="E105" s="21" t="str">
        <f>VLOOKUP(D105,装备道具ID!$A$1:$B$1221,2,FALSE)</f>
        <v>灰色药粉(大量)</v>
      </c>
      <c r="F105" s="21">
        <v>1</v>
      </c>
      <c r="G105" s="21" t="s">
        <v>7</v>
      </c>
      <c r="H105" s="33">
        <f t="shared" si="3"/>
        <v>27000</v>
      </c>
      <c r="O105" s="21">
        <v>-1</v>
      </c>
      <c r="P105" s="21">
        <v>0</v>
      </c>
    </row>
    <row r="106" spans="1:16" s="21" customFormat="1">
      <c r="A106" s="21">
        <v>6</v>
      </c>
      <c r="B106" s="21">
        <v>18</v>
      </c>
      <c r="C106" s="21" t="s">
        <v>55</v>
      </c>
      <c r="D106" s="21">
        <v>40011</v>
      </c>
      <c r="E106" s="21" t="str">
        <f>VLOOKUP(D106,装备道具ID!$A$1:$B$1221,2,FALSE)</f>
        <v>黄色药粉(少量)</v>
      </c>
      <c r="F106" s="21">
        <v>1</v>
      </c>
      <c r="G106" s="21" t="s">
        <v>7</v>
      </c>
      <c r="H106" s="33">
        <f t="shared" si="3"/>
        <v>7500</v>
      </c>
      <c r="O106" s="21">
        <v>-1</v>
      </c>
      <c r="P106" s="21">
        <v>0</v>
      </c>
    </row>
    <row r="107" spans="1:16" s="21" customFormat="1">
      <c r="A107" s="21">
        <v>6</v>
      </c>
      <c r="B107" s="21">
        <v>19</v>
      </c>
      <c r="C107" s="21" t="s">
        <v>55</v>
      </c>
      <c r="D107" s="21">
        <v>40012</v>
      </c>
      <c r="E107" s="21" t="str">
        <f>VLOOKUP(D107,装备道具ID!$A$1:$B$1221,2,FALSE)</f>
        <v>黄色药粉(中量)</v>
      </c>
      <c r="F107" s="21">
        <v>1</v>
      </c>
      <c r="G107" s="21" t="s">
        <v>7</v>
      </c>
      <c r="H107" s="33">
        <f t="shared" si="3"/>
        <v>16500</v>
      </c>
      <c r="O107" s="21">
        <v>-1</v>
      </c>
      <c r="P107" s="21">
        <v>0</v>
      </c>
    </row>
    <row r="108" spans="1:16" s="21" customFormat="1">
      <c r="A108" s="21">
        <v>6</v>
      </c>
      <c r="B108" s="21">
        <v>20</v>
      </c>
      <c r="C108" s="21" t="s">
        <v>55</v>
      </c>
      <c r="D108" s="21">
        <v>40013</v>
      </c>
      <c r="E108" s="21" t="str">
        <f>VLOOKUP(D108,装备道具ID!$A$1:$B$1221,2,FALSE)</f>
        <v>黄色药粉(大量)</v>
      </c>
      <c r="F108" s="21">
        <v>1</v>
      </c>
      <c r="G108" s="21" t="s">
        <v>7</v>
      </c>
      <c r="H108" s="33">
        <f t="shared" si="3"/>
        <v>27000</v>
      </c>
      <c r="O108" s="21">
        <v>-1</v>
      </c>
      <c r="P108" s="21">
        <v>0</v>
      </c>
    </row>
    <row r="109" spans="1:16" s="21" customFormat="1">
      <c r="A109" s="21">
        <v>6</v>
      </c>
      <c r="B109" s="21">
        <v>21</v>
      </c>
      <c r="C109" s="21" t="s">
        <v>55</v>
      </c>
      <c r="D109" s="21">
        <v>80007</v>
      </c>
      <c r="E109" s="21" t="str">
        <f>VLOOKUP(D109,装备道具ID!$A$1:$B$1221,2,FALSE)</f>
        <v>盟重回城卷</v>
      </c>
      <c r="F109" s="21">
        <v>1</v>
      </c>
      <c r="G109" s="21" t="s">
        <v>7</v>
      </c>
      <c r="H109" s="33">
        <f>H76*1.5</f>
        <v>1200</v>
      </c>
      <c r="O109" s="21">
        <v>-1</v>
      </c>
      <c r="P109" s="21">
        <v>0</v>
      </c>
    </row>
    <row r="110" spans="1:16" s="21" customFormat="1">
      <c r="A110" s="21">
        <v>6</v>
      </c>
      <c r="B110" s="21">
        <v>22</v>
      </c>
      <c r="C110" s="21" t="s">
        <v>55</v>
      </c>
      <c r="D110" s="21">
        <v>80005</v>
      </c>
      <c r="E110" s="21" t="str">
        <f>VLOOKUP(D110,装备道具ID!$A$1:$B$1221,2,FALSE)</f>
        <v>随机传送卷</v>
      </c>
      <c r="F110" s="21">
        <v>1</v>
      </c>
      <c r="G110" s="21" t="s">
        <v>7</v>
      </c>
      <c r="H110" s="33">
        <f>H73*1.5</f>
        <v>150</v>
      </c>
      <c r="O110" s="21">
        <v>-1</v>
      </c>
      <c r="P110" s="21">
        <v>0</v>
      </c>
    </row>
    <row r="111" spans="1:16" s="21" customFormat="1">
      <c r="A111" s="21">
        <v>6</v>
      </c>
      <c r="B111" s="21">
        <v>23</v>
      </c>
      <c r="C111" s="21" t="s">
        <v>55</v>
      </c>
      <c r="D111" s="21">
        <v>80107</v>
      </c>
      <c r="E111" s="21" t="str">
        <f>VLOOKUP(D111,装备道具ID!$A$1:$B$1221,2,FALSE)</f>
        <v>盟重回城卷包</v>
      </c>
      <c r="F111" s="21">
        <v>1</v>
      </c>
      <c r="G111" s="21" t="s">
        <v>7</v>
      </c>
      <c r="H111" s="33">
        <f>H77*1.5</f>
        <v>11100</v>
      </c>
      <c r="O111" s="21">
        <v>-1</v>
      </c>
      <c r="P111" s="21">
        <v>0</v>
      </c>
    </row>
    <row r="112" spans="1:16" s="21" customFormat="1">
      <c r="A112" s="21">
        <v>6</v>
      </c>
      <c r="B112" s="21">
        <v>24</v>
      </c>
      <c r="C112" s="21" t="s">
        <v>55</v>
      </c>
      <c r="D112" s="21">
        <v>80105</v>
      </c>
      <c r="E112" s="21" t="str">
        <f>VLOOKUP(D112,装备道具ID!$A$1:$B$1221,2,FALSE)</f>
        <v>随机传送卷包</v>
      </c>
      <c r="F112" s="21">
        <v>1</v>
      </c>
      <c r="G112" s="21" t="s">
        <v>7</v>
      </c>
      <c r="H112" s="33">
        <f>H75*1.5</f>
        <v>1200</v>
      </c>
      <c r="O112" s="21">
        <v>-1</v>
      </c>
      <c r="P112" s="21">
        <v>0</v>
      </c>
    </row>
    <row r="113" spans="1:16" s="21" customFormat="1">
      <c r="A113" s="21">
        <v>6</v>
      </c>
      <c r="B113" s="21">
        <v>25</v>
      </c>
      <c r="C113" s="21" t="s">
        <v>55</v>
      </c>
      <c r="D113" s="14">
        <v>99900001</v>
      </c>
      <c r="E113" s="14" t="str">
        <f>VLOOKUP(D113,装备道具ID!$A$1:$B$1221,2,FALSE)</f>
        <v>木剑</v>
      </c>
      <c r="F113" s="21">
        <v>1</v>
      </c>
      <c r="G113" s="21" t="s">
        <v>7</v>
      </c>
      <c r="H113" s="33">
        <f>H179*1.5</f>
        <v>75</v>
      </c>
      <c r="O113" s="21">
        <v>-1</v>
      </c>
      <c r="P113" s="21">
        <v>0</v>
      </c>
    </row>
    <row r="114" spans="1:16" s="21" customFormat="1">
      <c r="A114" s="21">
        <v>6</v>
      </c>
      <c r="B114" s="21">
        <v>26</v>
      </c>
      <c r="C114" s="21" t="s">
        <v>55</v>
      </c>
      <c r="D114" s="21">
        <v>99900002</v>
      </c>
      <c r="E114" s="21" t="str">
        <f>VLOOKUP(D114,装备道具ID!$A$1:$B$1221,2,FALSE)</f>
        <v>匕首</v>
      </c>
      <c r="F114" s="21">
        <v>1</v>
      </c>
      <c r="G114" s="21" t="s">
        <v>7</v>
      </c>
      <c r="H114" s="33">
        <f t="shared" ref="H114:H115" si="4">H180*1.5</f>
        <v>750</v>
      </c>
      <c r="O114" s="21">
        <v>-1</v>
      </c>
      <c r="P114" s="21">
        <v>0</v>
      </c>
    </row>
    <row r="115" spans="1:16" s="21" customFormat="1">
      <c r="A115" s="21">
        <v>6</v>
      </c>
      <c r="B115" s="21">
        <v>27</v>
      </c>
      <c r="C115" s="21" t="s">
        <v>55</v>
      </c>
      <c r="D115" s="21">
        <v>99900003</v>
      </c>
      <c r="E115" s="21" t="str">
        <f>VLOOKUP(D115,装备道具ID!$A$1:$B$1221,2,FALSE)</f>
        <v>乌木剑</v>
      </c>
      <c r="F115" s="21">
        <v>1</v>
      </c>
      <c r="G115" s="21" t="s">
        <v>7</v>
      </c>
      <c r="H115" s="33">
        <f t="shared" si="4"/>
        <v>6000</v>
      </c>
      <c r="O115" s="21">
        <v>-1</v>
      </c>
      <c r="P115" s="21">
        <v>0</v>
      </c>
    </row>
    <row r="116" spans="1:16" s="21" customFormat="1">
      <c r="A116" s="21">
        <v>6</v>
      </c>
      <c r="B116" s="21">
        <v>28</v>
      </c>
      <c r="C116" s="21" t="s">
        <v>55</v>
      </c>
      <c r="D116" s="21">
        <v>99980113</v>
      </c>
      <c r="E116" s="21" t="str">
        <f>VLOOKUP(D116,装备道具ID!$A$1:$B$1221,2,FALSE)</f>
        <v>布衣</v>
      </c>
      <c r="F116" s="21">
        <v>1</v>
      </c>
      <c r="G116" s="21" t="s">
        <v>7</v>
      </c>
      <c r="H116" s="33">
        <f>H221*1.5</f>
        <v>180</v>
      </c>
      <c r="O116" s="21">
        <v>-1</v>
      </c>
      <c r="P116" s="21">
        <v>0</v>
      </c>
    </row>
    <row r="117" spans="1:16" s="21" customFormat="1">
      <c r="A117" s="21">
        <v>6</v>
      </c>
      <c r="B117" s="21">
        <v>29</v>
      </c>
      <c r="C117" s="21" t="s">
        <v>55</v>
      </c>
      <c r="D117" s="21">
        <v>99990113</v>
      </c>
      <c r="E117" s="21" t="str">
        <f>VLOOKUP(D117,装备道具ID!$A$1:$B$1221,2,FALSE)</f>
        <v>布衣6</v>
      </c>
      <c r="F117" s="21">
        <v>1</v>
      </c>
      <c r="G117" s="21" t="s">
        <v>7</v>
      </c>
      <c r="H117" s="33">
        <f>H222*1.5</f>
        <v>180</v>
      </c>
      <c r="O117" s="21">
        <v>-1</v>
      </c>
      <c r="P117" s="21">
        <v>0</v>
      </c>
    </row>
    <row r="118" spans="1:16" s="21" customFormat="1">
      <c r="A118" s="21">
        <v>6</v>
      </c>
      <c r="B118" s="21">
        <v>30</v>
      </c>
      <c r="C118" s="21" t="s">
        <v>55</v>
      </c>
      <c r="D118" s="21">
        <v>99930001</v>
      </c>
      <c r="E118" s="21" t="str">
        <f>VLOOKUP(D118,装备道具ID!$A$1:$B$1221,2,FALSE)</f>
        <v>古铜戒指</v>
      </c>
      <c r="G118" s="21" t="s">
        <v>7</v>
      </c>
      <c r="H118" s="33">
        <f>H230*1.5</f>
        <v>750</v>
      </c>
      <c r="O118" s="21">
        <v>-1</v>
      </c>
      <c r="P118" s="21">
        <v>0</v>
      </c>
    </row>
    <row r="119" spans="1:16" s="21" customFormat="1">
      <c r="A119" s="21">
        <v>6</v>
      </c>
      <c r="B119" s="21">
        <v>31</v>
      </c>
      <c r="C119" s="21" t="s">
        <v>55</v>
      </c>
      <c r="D119" s="21">
        <v>99930003</v>
      </c>
      <c r="E119" s="21" t="str">
        <f>VLOOKUP(D119,装备道具ID!$A$1:$B$1221,2,FALSE)</f>
        <v>六角戒指</v>
      </c>
      <c r="F119" s="21">
        <v>1</v>
      </c>
      <c r="G119" s="21" t="s">
        <v>7</v>
      </c>
      <c r="H119" s="33">
        <f t="shared" ref="H119:H120" si="5">H231*1.5</f>
        <v>1200</v>
      </c>
      <c r="O119" s="21">
        <v>-1</v>
      </c>
      <c r="P119" s="21">
        <v>0</v>
      </c>
    </row>
    <row r="120" spans="1:16" s="21" customFormat="1">
      <c r="A120" s="21">
        <v>6</v>
      </c>
      <c r="B120" s="21">
        <v>32</v>
      </c>
      <c r="C120" s="21" t="s">
        <v>55</v>
      </c>
      <c r="D120" s="21">
        <v>99930002</v>
      </c>
      <c r="E120" s="21" t="str">
        <f>VLOOKUP(D120,装备道具ID!$A$1:$B$1221,2,FALSE)</f>
        <v>玻璃戒指</v>
      </c>
      <c r="F120" s="21">
        <v>1</v>
      </c>
      <c r="G120" s="21" t="s">
        <v>7</v>
      </c>
      <c r="H120" s="33">
        <f t="shared" si="5"/>
        <v>1200</v>
      </c>
      <c r="O120" s="21">
        <v>-1</v>
      </c>
      <c r="P120" s="21">
        <v>0</v>
      </c>
    </row>
    <row r="121" spans="1:16" s="21" customFormat="1">
      <c r="A121" s="21">
        <v>6</v>
      </c>
      <c r="B121" s="21">
        <v>33</v>
      </c>
      <c r="C121" s="21" t="s">
        <v>55</v>
      </c>
      <c r="D121" s="21">
        <v>99940002</v>
      </c>
      <c r="E121" s="21" t="str">
        <f>VLOOKUP(D121,装备道具ID!$A$1:$B$1221,2,FALSE)</f>
        <v>小手镯</v>
      </c>
      <c r="F121" s="21">
        <v>1</v>
      </c>
      <c r="G121" s="21" t="s">
        <v>7</v>
      </c>
      <c r="H121" s="33">
        <f>H243*1.5</f>
        <v>1500</v>
      </c>
      <c r="O121" s="21">
        <v>-1</v>
      </c>
      <c r="P121" s="21">
        <v>0</v>
      </c>
    </row>
    <row r="122" spans="1:16" s="21" customFormat="1">
      <c r="A122" s="21">
        <v>6</v>
      </c>
      <c r="B122" s="21">
        <v>34</v>
      </c>
      <c r="C122" s="21" t="s">
        <v>55</v>
      </c>
      <c r="D122" s="21">
        <v>99940003</v>
      </c>
      <c r="E122" s="21" t="str">
        <f>VLOOKUP(D122,装备道具ID!$A$1:$B$1221,2,FALSE)</f>
        <v>银手镯</v>
      </c>
      <c r="F122" s="21">
        <v>1</v>
      </c>
      <c r="G122" s="21" t="s">
        <v>7</v>
      </c>
      <c r="H122" s="33">
        <f t="shared" ref="H122:H123" si="6">H244*1.5</f>
        <v>2250</v>
      </c>
      <c r="O122" s="21">
        <v>-1</v>
      </c>
      <c r="P122" s="21">
        <v>0</v>
      </c>
    </row>
    <row r="123" spans="1:16" s="21" customFormat="1">
      <c r="A123" s="21">
        <v>6</v>
      </c>
      <c r="B123" s="21">
        <v>35</v>
      </c>
      <c r="C123" s="21" t="s">
        <v>55</v>
      </c>
      <c r="D123" s="21">
        <v>99940001</v>
      </c>
      <c r="E123" s="21" t="str">
        <f>VLOOKUP(D123,装备道具ID!$A$1:$B$1221,2,FALSE)</f>
        <v>铁手镯</v>
      </c>
      <c r="F123" s="21">
        <v>1</v>
      </c>
      <c r="G123" s="21" t="s">
        <v>7</v>
      </c>
      <c r="H123" s="33">
        <f t="shared" si="6"/>
        <v>1200</v>
      </c>
      <c r="O123" s="21">
        <v>-1</v>
      </c>
      <c r="P123" s="21">
        <v>0</v>
      </c>
    </row>
    <row r="124" spans="1:16" s="21" customFormat="1">
      <c r="A124" s="21">
        <v>6</v>
      </c>
      <c r="B124" s="21">
        <v>36</v>
      </c>
      <c r="C124" s="21" t="s">
        <v>55</v>
      </c>
      <c r="D124" s="21">
        <v>99920001</v>
      </c>
      <c r="E124" s="21" t="str">
        <f>VLOOKUP(D124,装备道具ID!$A$1:$B$1221,2,FALSE)</f>
        <v>金项链</v>
      </c>
      <c r="F124" s="21">
        <v>1</v>
      </c>
      <c r="G124" s="21" t="s">
        <v>7</v>
      </c>
      <c r="H124" s="33">
        <f>H254*1.5</f>
        <v>750</v>
      </c>
      <c r="O124" s="21">
        <v>-1</v>
      </c>
      <c r="P124" s="21">
        <v>0</v>
      </c>
    </row>
    <row r="125" spans="1:16" s="21" customFormat="1">
      <c r="A125" s="21">
        <v>6</v>
      </c>
      <c r="B125" s="21">
        <v>37</v>
      </c>
      <c r="C125" s="21" t="s">
        <v>55</v>
      </c>
      <c r="D125" s="21">
        <v>99920004</v>
      </c>
      <c r="E125" s="21" t="str">
        <f>VLOOKUP(D125,装备道具ID!$A$1:$B$1221,2,FALSE)</f>
        <v>黑檀项链</v>
      </c>
      <c r="F125" s="21">
        <v>1</v>
      </c>
      <c r="G125" s="21" t="s">
        <v>7</v>
      </c>
      <c r="H125" s="33">
        <f t="shared" ref="H125:H127" si="7">H255*1.5</f>
        <v>1800</v>
      </c>
      <c r="O125" s="21">
        <v>-1</v>
      </c>
      <c r="P125" s="21">
        <v>0</v>
      </c>
    </row>
    <row r="126" spans="1:16" s="21" customFormat="1">
      <c r="A126" s="21">
        <v>6</v>
      </c>
      <c r="B126" s="21">
        <v>38</v>
      </c>
      <c r="C126" s="21" t="s">
        <v>55</v>
      </c>
      <c r="D126" s="21">
        <v>99920003</v>
      </c>
      <c r="E126" s="21" t="str">
        <f>VLOOKUP(D126,装备道具ID!$A$1:$B$1221,2,FALSE)</f>
        <v>黄色水晶项链</v>
      </c>
      <c r="F126" s="21">
        <v>1</v>
      </c>
      <c r="G126" s="21" t="s">
        <v>7</v>
      </c>
      <c r="H126" s="33">
        <f t="shared" si="7"/>
        <v>1800</v>
      </c>
      <c r="O126" s="21">
        <v>-1</v>
      </c>
      <c r="P126" s="21">
        <v>0</v>
      </c>
    </row>
    <row r="127" spans="1:16" s="21" customFormat="1">
      <c r="A127" s="21">
        <v>6</v>
      </c>
      <c r="B127" s="21">
        <v>39</v>
      </c>
      <c r="C127" s="21" t="s">
        <v>55</v>
      </c>
      <c r="D127" s="21">
        <v>99920005</v>
      </c>
      <c r="E127" s="21" t="str">
        <f>VLOOKUP(D127,装备道具ID!$A$1:$B$1221,2,FALSE)</f>
        <v>黑色水晶项链</v>
      </c>
      <c r="F127" s="21">
        <v>1</v>
      </c>
      <c r="G127" s="21" t="s">
        <v>7</v>
      </c>
      <c r="H127" s="33">
        <f t="shared" si="7"/>
        <v>2250</v>
      </c>
      <c r="O127" s="21">
        <v>-1</v>
      </c>
      <c r="P127" s="21">
        <v>0</v>
      </c>
    </row>
    <row r="128" spans="1:16" s="35" customFormat="1">
      <c r="A128" s="35">
        <v>15</v>
      </c>
      <c r="B128" s="35">
        <v>1</v>
      </c>
      <c r="C128" s="35" t="s">
        <v>62</v>
      </c>
      <c r="D128" s="35">
        <v>80001</v>
      </c>
      <c r="E128" s="35" t="str">
        <f>VLOOKUP(D128,装备道具ID!$A$1:$B$1221,2,FALSE)</f>
        <v>比奇回城卷</v>
      </c>
      <c r="F128" s="35">
        <v>1</v>
      </c>
      <c r="G128" s="35" t="s">
        <v>7</v>
      </c>
      <c r="H128" s="36">
        <f>H72</f>
        <v>800</v>
      </c>
      <c r="O128" s="35">
        <v>-1</v>
      </c>
      <c r="P128" s="35">
        <v>2</v>
      </c>
    </row>
    <row r="129" spans="1:16" s="35" customFormat="1">
      <c r="A129" s="35">
        <v>15</v>
      </c>
      <c r="B129" s="35">
        <v>2</v>
      </c>
      <c r="C129" s="35" t="s">
        <v>62</v>
      </c>
      <c r="D129" s="35">
        <v>80101</v>
      </c>
      <c r="E129" s="35" t="str">
        <f>VLOOKUP(D129,装备道具ID!$A$1:$B$1221,2,FALSE)</f>
        <v>比奇回城卷包</v>
      </c>
      <c r="F129" s="35">
        <v>1</v>
      </c>
      <c r="G129" s="35" t="s">
        <v>7</v>
      </c>
      <c r="H129" s="36">
        <f>H74</f>
        <v>7400</v>
      </c>
      <c r="O129" s="35">
        <v>-1</v>
      </c>
      <c r="P129" s="35">
        <v>2</v>
      </c>
    </row>
    <row r="130" spans="1:16" s="21" customFormat="1">
      <c r="A130" s="21">
        <v>15</v>
      </c>
      <c r="B130" s="35">
        <v>3</v>
      </c>
      <c r="C130" s="21" t="s">
        <v>62</v>
      </c>
      <c r="D130" s="21">
        <v>80007</v>
      </c>
      <c r="E130" s="21" t="str">
        <f>VLOOKUP(D130,装备道具ID!$A$1:$B$1221,2,FALSE)</f>
        <v>盟重回城卷</v>
      </c>
      <c r="F130" s="21">
        <v>1</v>
      </c>
      <c r="G130" s="21" t="s">
        <v>7</v>
      </c>
      <c r="H130" s="33">
        <f>H76</f>
        <v>800</v>
      </c>
      <c r="O130" s="21">
        <v>-1</v>
      </c>
      <c r="P130" s="21">
        <v>2</v>
      </c>
    </row>
    <row r="131" spans="1:16" s="21" customFormat="1">
      <c r="A131" s="21">
        <v>15</v>
      </c>
      <c r="B131" s="35">
        <v>4</v>
      </c>
      <c r="C131" s="21" t="s">
        <v>62</v>
      </c>
      <c r="D131" s="21">
        <v>80005</v>
      </c>
      <c r="E131" s="21" t="str">
        <f>VLOOKUP(D131,装备道具ID!$A$1:$B$1221,2,FALSE)</f>
        <v>随机传送卷</v>
      </c>
      <c r="F131" s="21">
        <v>1</v>
      </c>
      <c r="G131" s="21" t="s">
        <v>7</v>
      </c>
      <c r="H131" s="33">
        <v>100</v>
      </c>
      <c r="O131" s="21">
        <v>-1</v>
      </c>
      <c r="P131" s="21">
        <v>2</v>
      </c>
    </row>
    <row r="132" spans="1:16" s="21" customFormat="1">
      <c r="A132" s="21">
        <v>15</v>
      </c>
      <c r="B132" s="35">
        <v>5</v>
      </c>
      <c r="C132" s="21" t="s">
        <v>62</v>
      </c>
      <c r="D132" s="21">
        <v>80107</v>
      </c>
      <c r="E132" s="21" t="str">
        <f>VLOOKUP(D132,装备道具ID!$A$1:$B$1221,2,FALSE)</f>
        <v>盟重回城卷包</v>
      </c>
      <c r="F132" s="21">
        <v>1</v>
      </c>
      <c r="G132" s="21" t="s">
        <v>7</v>
      </c>
      <c r="H132" s="33">
        <f>H77</f>
        <v>7400</v>
      </c>
      <c r="O132" s="21">
        <v>-1</v>
      </c>
      <c r="P132" s="21">
        <v>2</v>
      </c>
    </row>
    <row r="133" spans="1:16" s="21" customFormat="1">
      <c r="A133" s="21">
        <v>15</v>
      </c>
      <c r="B133" s="35">
        <v>6</v>
      </c>
      <c r="C133" s="21" t="s">
        <v>62</v>
      </c>
      <c r="D133" s="21">
        <v>80105</v>
      </c>
      <c r="E133" s="21" t="str">
        <f>VLOOKUP(D133,装备道具ID!$A$1:$B$1221,2,FALSE)</f>
        <v>随机传送卷包</v>
      </c>
      <c r="F133" s="21">
        <v>1</v>
      </c>
      <c r="G133" s="21" t="s">
        <v>7</v>
      </c>
      <c r="H133" s="33">
        <f>H75</f>
        <v>800</v>
      </c>
      <c r="O133" s="21">
        <v>-1</v>
      </c>
      <c r="P133" s="21">
        <v>2</v>
      </c>
    </row>
    <row r="134" spans="1:16" s="21" customFormat="1">
      <c r="A134" s="21">
        <v>15</v>
      </c>
      <c r="B134" s="35">
        <v>7</v>
      </c>
      <c r="C134" s="21" t="s">
        <v>62</v>
      </c>
      <c r="D134" s="21">
        <v>80201</v>
      </c>
      <c r="E134" s="21" t="str">
        <f>VLOOKUP(D134,装备道具ID!$A$1:$B$1221,2,FALSE)</f>
        <v>比奇回城石</v>
      </c>
      <c r="F134" s="21">
        <v>1</v>
      </c>
      <c r="G134" s="21" t="s">
        <v>7</v>
      </c>
      <c r="H134" s="33">
        <f>H78</f>
        <v>200000</v>
      </c>
      <c r="O134" s="21">
        <v>-1</v>
      </c>
      <c r="P134" s="21">
        <v>2</v>
      </c>
    </row>
    <row r="135" spans="1:16" s="21" customFormat="1">
      <c r="A135" s="21">
        <v>15</v>
      </c>
      <c r="B135" s="35">
        <v>8</v>
      </c>
      <c r="C135" s="21" t="s">
        <v>62</v>
      </c>
      <c r="D135" s="21">
        <v>80202</v>
      </c>
      <c r="E135" s="21" t="str">
        <f>VLOOKUP(D135,装备道具ID!$A$1:$B$1221,2,FALSE)</f>
        <v>盟重回城石</v>
      </c>
      <c r="F135" s="21">
        <v>1</v>
      </c>
      <c r="G135" s="21" t="s">
        <v>7</v>
      </c>
      <c r="H135" s="33">
        <f>H79</f>
        <v>200000</v>
      </c>
      <c r="O135" s="21">
        <v>-1</v>
      </c>
      <c r="P135" s="21">
        <v>2</v>
      </c>
    </row>
    <row r="136" spans="1:16" s="21" customFormat="1">
      <c r="A136" s="21">
        <v>15</v>
      </c>
      <c r="B136" s="35">
        <v>9</v>
      </c>
      <c r="C136" s="21" t="s">
        <v>62</v>
      </c>
      <c r="D136" s="21">
        <v>80203</v>
      </c>
      <c r="E136" s="21" t="str">
        <f>VLOOKUP(D136,装备道具ID!$A$1:$B$1221,2,FALSE)</f>
        <v>随机传送石</v>
      </c>
      <c r="F136" s="21">
        <v>1</v>
      </c>
      <c r="G136" s="21" t="s">
        <v>7</v>
      </c>
      <c r="H136" s="33">
        <f>H80</f>
        <v>200000</v>
      </c>
      <c r="O136" s="21">
        <v>-1</v>
      </c>
      <c r="P136" s="21">
        <v>2</v>
      </c>
    </row>
    <row r="137" spans="1:16" s="21" customFormat="1">
      <c r="A137" s="21">
        <v>15</v>
      </c>
      <c r="B137" s="35">
        <v>10</v>
      </c>
      <c r="C137" s="21" t="s">
        <v>62</v>
      </c>
      <c r="D137" s="21">
        <v>100002</v>
      </c>
      <c r="E137" s="21" t="str">
        <f>VLOOKUP(D137,装备道具ID!$A$1:$B$1221,2,FALSE)</f>
        <v>初级红名符</v>
      </c>
      <c r="F137" s="21">
        <v>1</v>
      </c>
      <c r="G137" s="21" t="s">
        <v>57</v>
      </c>
      <c r="H137" s="33">
        <f>H81</f>
        <v>15000</v>
      </c>
      <c r="O137" s="21">
        <v>-1</v>
      </c>
      <c r="P137" s="21">
        <v>2</v>
      </c>
    </row>
    <row r="138" spans="1:16" s="21" customFormat="1">
      <c r="A138" s="21">
        <v>15</v>
      </c>
      <c r="B138" s="35">
        <v>11</v>
      </c>
      <c r="C138" s="21" t="s">
        <v>62</v>
      </c>
      <c r="D138" s="21">
        <v>100003</v>
      </c>
      <c r="E138" s="21" t="str">
        <f>VLOOKUP(D138,装备道具ID!$A$1:$B$1221,2,FALSE)</f>
        <v>中级红名符</v>
      </c>
      <c r="F138" s="21">
        <v>1</v>
      </c>
      <c r="G138" s="21" t="s">
        <v>7</v>
      </c>
      <c r="H138" s="33">
        <f>H82</f>
        <v>120000</v>
      </c>
      <c r="O138" s="21">
        <v>-1</v>
      </c>
      <c r="P138" s="21">
        <v>2</v>
      </c>
    </row>
    <row r="139" spans="1:16" s="21" customFormat="1">
      <c r="A139" s="21">
        <v>15</v>
      </c>
      <c r="B139" s="35">
        <v>12</v>
      </c>
      <c r="C139" s="21" t="s">
        <v>62</v>
      </c>
      <c r="D139" s="21">
        <v>114003</v>
      </c>
      <c r="E139" s="21" t="str">
        <f>VLOOKUP(D139,装备道具ID!$A$1:$B$1221,2,FALSE)</f>
        <v>黑铁矿石3</v>
      </c>
      <c r="F139" s="21">
        <v>1</v>
      </c>
      <c r="G139" s="21" t="s">
        <v>7</v>
      </c>
      <c r="H139" s="33">
        <v>1000</v>
      </c>
      <c r="O139" s="21">
        <v>-1</v>
      </c>
      <c r="P139" s="21">
        <v>2</v>
      </c>
    </row>
    <row r="140" spans="1:16" s="21" customFormat="1">
      <c r="A140" s="21">
        <v>15</v>
      </c>
      <c r="B140" s="35">
        <v>13</v>
      </c>
      <c r="C140" s="21" t="s">
        <v>62</v>
      </c>
      <c r="D140" s="14">
        <v>40101</v>
      </c>
      <c r="E140" s="14" t="str">
        <f>VLOOKUP(D140,装备道具ID!$A$1:$B$1221,2,FALSE)</f>
        <v>护身符</v>
      </c>
      <c r="F140" s="21">
        <v>1</v>
      </c>
      <c r="G140" s="21" t="s">
        <v>7</v>
      </c>
      <c r="H140" s="33">
        <f>H84</f>
        <v>500</v>
      </c>
      <c r="O140" s="21">
        <v>-1</v>
      </c>
      <c r="P140" s="21">
        <v>2</v>
      </c>
    </row>
    <row r="141" spans="1:16" s="21" customFormat="1">
      <c r="A141" s="21">
        <v>15</v>
      </c>
      <c r="B141" s="35">
        <v>14</v>
      </c>
      <c r="C141" s="21" t="s">
        <v>62</v>
      </c>
      <c r="D141" s="14">
        <v>40102</v>
      </c>
      <c r="E141" s="14" t="str">
        <f>VLOOKUP(D141,装备道具ID!$A$1:$B$1221,2,FALSE)</f>
        <v>护身符(大)</v>
      </c>
      <c r="F141" s="21">
        <v>1</v>
      </c>
      <c r="G141" s="21" t="s">
        <v>7</v>
      </c>
      <c r="H141" s="33">
        <f>H85</f>
        <v>1100</v>
      </c>
      <c r="O141" s="21">
        <v>-1</v>
      </c>
      <c r="P141" s="21">
        <v>2</v>
      </c>
    </row>
    <row r="142" spans="1:16" s="21" customFormat="1">
      <c r="A142" s="21">
        <v>15</v>
      </c>
      <c r="B142" s="35">
        <v>15</v>
      </c>
      <c r="C142" s="21" t="s">
        <v>62</v>
      </c>
      <c r="D142" s="14">
        <v>40103</v>
      </c>
      <c r="E142" s="14" t="str">
        <f>VLOOKUP(D142,装备道具ID!$A$1:$B$1221,2,FALSE)</f>
        <v>超级护身符</v>
      </c>
      <c r="F142" s="21">
        <v>1</v>
      </c>
      <c r="G142" s="21" t="s">
        <v>7</v>
      </c>
      <c r="H142" s="33">
        <f>H86</f>
        <v>5000</v>
      </c>
      <c r="O142" s="21">
        <v>-1</v>
      </c>
      <c r="P142" s="21">
        <v>2</v>
      </c>
    </row>
    <row r="143" spans="1:16" s="21" customFormat="1">
      <c r="A143" s="21">
        <v>15</v>
      </c>
      <c r="B143" s="35">
        <v>16</v>
      </c>
      <c r="C143" s="21" t="s">
        <v>62</v>
      </c>
      <c r="D143" s="14">
        <v>2201</v>
      </c>
      <c r="E143" s="14" t="str">
        <f>VLOOKUP(D143,装备道具ID!$A$1:$B$1221,2,FALSE)</f>
        <v>千里传音</v>
      </c>
      <c r="F143" s="21">
        <v>1</v>
      </c>
      <c r="G143" s="21" t="s">
        <v>7</v>
      </c>
      <c r="H143" s="33">
        <f>H87</f>
        <v>100000</v>
      </c>
      <c r="O143" s="21">
        <v>-1</v>
      </c>
      <c r="P143" s="21">
        <v>2</v>
      </c>
    </row>
    <row r="144" spans="1:16" s="21" customFormat="1">
      <c r="A144" s="21">
        <v>15</v>
      </c>
      <c r="B144" s="35">
        <v>17</v>
      </c>
      <c r="C144" s="21" t="s">
        <v>62</v>
      </c>
      <c r="D144" s="14">
        <v>2212</v>
      </c>
      <c r="E144" s="14" t="str">
        <f>VLOOKUP(D144,装备道具ID!$A$1:$B$1221,2,FALSE)</f>
        <v>礼花</v>
      </c>
      <c r="F144" s="21">
        <v>1</v>
      </c>
      <c r="G144" s="21" t="s">
        <v>7</v>
      </c>
      <c r="H144" s="33">
        <f>H88</f>
        <v>30000</v>
      </c>
      <c r="O144" s="21">
        <v>-1</v>
      </c>
      <c r="P144" s="21">
        <v>2</v>
      </c>
    </row>
    <row r="145" spans="1:16" s="35" customFormat="1">
      <c r="A145" s="35">
        <v>35</v>
      </c>
      <c r="B145" s="35">
        <v>1</v>
      </c>
      <c r="C145" s="35" t="s">
        <v>916</v>
      </c>
      <c r="D145" s="35">
        <v>80001</v>
      </c>
      <c r="E145" s="35" t="str">
        <f>VLOOKUP(D145,装备道具ID!$A$1:$B$1221,2,FALSE)</f>
        <v>比奇回城卷</v>
      </c>
      <c r="F145" s="35">
        <v>1</v>
      </c>
      <c r="G145" s="35" t="s">
        <v>7</v>
      </c>
      <c r="H145" s="36">
        <f t="shared" ref="H145:H161" si="8">H128*1.5</f>
        <v>1200</v>
      </c>
      <c r="O145" s="35">
        <v>-1</v>
      </c>
      <c r="P145" s="35">
        <v>2</v>
      </c>
    </row>
    <row r="146" spans="1:16" s="35" customFormat="1">
      <c r="A146" s="35">
        <v>35</v>
      </c>
      <c r="B146" s="35">
        <v>2</v>
      </c>
      <c r="C146" s="35" t="s">
        <v>916</v>
      </c>
      <c r="D146" s="35">
        <v>80101</v>
      </c>
      <c r="E146" s="35" t="str">
        <f>VLOOKUP(D146,装备道具ID!$A$1:$B$1221,2,FALSE)</f>
        <v>比奇回城卷包</v>
      </c>
      <c r="F146" s="35">
        <v>1</v>
      </c>
      <c r="G146" s="35" t="s">
        <v>7</v>
      </c>
      <c r="H146" s="36">
        <f t="shared" si="8"/>
        <v>11100</v>
      </c>
      <c r="O146" s="35">
        <v>-1</v>
      </c>
      <c r="P146" s="35">
        <v>2</v>
      </c>
    </row>
    <row r="147" spans="1:16" s="21" customFormat="1">
      <c r="A147" s="21">
        <v>35</v>
      </c>
      <c r="B147" s="35">
        <v>3</v>
      </c>
      <c r="C147" s="21" t="s">
        <v>916</v>
      </c>
      <c r="D147" s="21">
        <v>80007</v>
      </c>
      <c r="E147" s="21" t="str">
        <f>VLOOKUP(D147,装备道具ID!$A$1:$B$1221,2,FALSE)</f>
        <v>盟重回城卷</v>
      </c>
      <c r="F147" s="21">
        <v>1</v>
      </c>
      <c r="G147" s="21" t="s">
        <v>7</v>
      </c>
      <c r="H147" s="36">
        <f t="shared" si="8"/>
        <v>1200</v>
      </c>
      <c r="O147" s="21">
        <v>-1</v>
      </c>
      <c r="P147" s="21">
        <v>2</v>
      </c>
    </row>
    <row r="148" spans="1:16" s="21" customFormat="1">
      <c r="A148" s="21">
        <v>35</v>
      </c>
      <c r="B148" s="35">
        <v>4</v>
      </c>
      <c r="C148" s="21" t="s">
        <v>916</v>
      </c>
      <c r="D148" s="21">
        <v>80005</v>
      </c>
      <c r="E148" s="21" t="str">
        <f>VLOOKUP(D148,装备道具ID!$A$1:$B$1221,2,FALSE)</f>
        <v>随机传送卷</v>
      </c>
      <c r="F148" s="21">
        <v>1</v>
      </c>
      <c r="G148" s="21" t="s">
        <v>7</v>
      </c>
      <c r="H148" s="36">
        <f t="shared" si="8"/>
        <v>150</v>
      </c>
      <c r="O148" s="21">
        <v>-1</v>
      </c>
      <c r="P148" s="21">
        <v>2</v>
      </c>
    </row>
    <row r="149" spans="1:16" s="21" customFormat="1">
      <c r="A149" s="21">
        <v>35</v>
      </c>
      <c r="B149" s="35">
        <v>5</v>
      </c>
      <c r="C149" s="21" t="s">
        <v>916</v>
      </c>
      <c r="D149" s="21">
        <v>80107</v>
      </c>
      <c r="E149" s="21" t="str">
        <f>VLOOKUP(D149,装备道具ID!$A$1:$B$1221,2,FALSE)</f>
        <v>盟重回城卷包</v>
      </c>
      <c r="F149" s="21">
        <v>1</v>
      </c>
      <c r="G149" s="21" t="s">
        <v>7</v>
      </c>
      <c r="H149" s="36">
        <f t="shared" si="8"/>
        <v>11100</v>
      </c>
      <c r="O149" s="21">
        <v>-1</v>
      </c>
      <c r="P149" s="21">
        <v>2</v>
      </c>
    </row>
    <row r="150" spans="1:16" s="21" customFormat="1">
      <c r="A150" s="21">
        <v>35</v>
      </c>
      <c r="B150" s="35">
        <v>6</v>
      </c>
      <c r="C150" s="21" t="s">
        <v>916</v>
      </c>
      <c r="D150" s="21">
        <v>80105</v>
      </c>
      <c r="E150" s="21" t="str">
        <f>VLOOKUP(D150,装备道具ID!$A$1:$B$1221,2,FALSE)</f>
        <v>随机传送卷包</v>
      </c>
      <c r="F150" s="21">
        <v>1</v>
      </c>
      <c r="G150" s="21" t="s">
        <v>7</v>
      </c>
      <c r="H150" s="36">
        <f t="shared" si="8"/>
        <v>1200</v>
      </c>
      <c r="O150" s="21">
        <v>-1</v>
      </c>
      <c r="P150" s="21">
        <v>2</v>
      </c>
    </row>
    <row r="151" spans="1:16" s="21" customFormat="1">
      <c r="A151" s="21">
        <v>35</v>
      </c>
      <c r="B151" s="35">
        <v>7</v>
      </c>
      <c r="C151" s="21" t="s">
        <v>916</v>
      </c>
      <c r="D151" s="21">
        <v>80201</v>
      </c>
      <c r="E151" s="21" t="str">
        <f>VLOOKUP(D151,装备道具ID!$A$1:$B$1221,2,FALSE)</f>
        <v>比奇回城石</v>
      </c>
      <c r="F151" s="21">
        <v>1</v>
      </c>
      <c r="G151" s="21" t="s">
        <v>7</v>
      </c>
      <c r="H151" s="36">
        <f t="shared" si="8"/>
        <v>300000</v>
      </c>
      <c r="O151" s="21">
        <v>-1</v>
      </c>
      <c r="P151" s="21">
        <v>2</v>
      </c>
    </row>
    <row r="152" spans="1:16" s="21" customFormat="1">
      <c r="A152" s="21">
        <v>35</v>
      </c>
      <c r="B152" s="35">
        <v>8</v>
      </c>
      <c r="C152" s="21" t="s">
        <v>916</v>
      </c>
      <c r="D152" s="21">
        <v>80202</v>
      </c>
      <c r="E152" s="21" t="str">
        <f>VLOOKUP(D152,装备道具ID!$A$1:$B$1221,2,FALSE)</f>
        <v>盟重回城石</v>
      </c>
      <c r="F152" s="21">
        <v>1</v>
      </c>
      <c r="G152" s="21" t="s">
        <v>7</v>
      </c>
      <c r="H152" s="36">
        <f t="shared" si="8"/>
        <v>300000</v>
      </c>
      <c r="O152" s="21">
        <v>-1</v>
      </c>
      <c r="P152" s="21">
        <v>2</v>
      </c>
    </row>
    <row r="153" spans="1:16" s="21" customFormat="1">
      <c r="A153" s="21">
        <v>35</v>
      </c>
      <c r="B153" s="35">
        <v>9</v>
      </c>
      <c r="C153" s="21" t="s">
        <v>916</v>
      </c>
      <c r="D153" s="21">
        <v>80203</v>
      </c>
      <c r="E153" s="21" t="str">
        <f>VLOOKUP(D153,装备道具ID!$A$1:$B$1221,2,FALSE)</f>
        <v>随机传送石</v>
      </c>
      <c r="F153" s="21">
        <v>1</v>
      </c>
      <c r="G153" s="21" t="s">
        <v>7</v>
      </c>
      <c r="H153" s="36">
        <f t="shared" si="8"/>
        <v>300000</v>
      </c>
      <c r="O153" s="21">
        <v>-1</v>
      </c>
      <c r="P153" s="21">
        <v>2</v>
      </c>
    </row>
    <row r="154" spans="1:16" s="21" customFormat="1">
      <c r="A154" s="21">
        <v>35</v>
      </c>
      <c r="B154" s="35">
        <v>10</v>
      </c>
      <c r="C154" s="21" t="s">
        <v>916</v>
      </c>
      <c r="D154" s="21">
        <v>100002</v>
      </c>
      <c r="E154" s="21" t="str">
        <f>VLOOKUP(D154,装备道具ID!$A$1:$B$1221,2,FALSE)</f>
        <v>初级红名符</v>
      </c>
      <c r="F154" s="21">
        <v>1</v>
      </c>
      <c r="G154" s="21" t="s">
        <v>57</v>
      </c>
      <c r="H154" s="36">
        <f t="shared" si="8"/>
        <v>22500</v>
      </c>
      <c r="O154" s="21">
        <v>-1</v>
      </c>
      <c r="P154" s="21">
        <v>2</v>
      </c>
    </row>
    <row r="155" spans="1:16" s="21" customFormat="1">
      <c r="A155" s="21">
        <v>35</v>
      </c>
      <c r="B155" s="35">
        <v>11</v>
      </c>
      <c r="C155" s="21" t="s">
        <v>916</v>
      </c>
      <c r="D155" s="21">
        <v>100003</v>
      </c>
      <c r="E155" s="21" t="str">
        <f>VLOOKUP(D155,装备道具ID!$A$1:$B$1221,2,FALSE)</f>
        <v>中级红名符</v>
      </c>
      <c r="F155" s="21">
        <v>1</v>
      </c>
      <c r="G155" s="21" t="s">
        <v>7</v>
      </c>
      <c r="H155" s="36">
        <f t="shared" si="8"/>
        <v>180000</v>
      </c>
      <c r="O155" s="21">
        <v>-1</v>
      </c>
      <c r="P155" s="21">
        <v>2</v>
      </c>
    </row>
    <row r="156" spans="1:16" s="21" customFormat="1">
      <c r="A156" s="21">
        <v>35</v>
      </c>
      <c r="B156" s="35">
        <v>12</v>
      </c>
      <c r="C156" s="21" t="s">
        <v>916</v>
      </c>
      <c r="D156" s="21">
        <v>114003</v>
      </c>
      <c r="E156" s="21" t="str">
        <f>VLOOKUP(D156,装备道具ID!$A$1:$B$1221,2,FALSE)</f>
        <v>黑铁矿石3</v>
      </c>
      <c r="F156" s="21">
        <v>1</v>
      </c>
      <c r="G156" s="21" t="s">
        <v>7</v>
      </c>
      <c r="H156" s="36">
        <f t="shared" si="8"/>
        <v>1500</v>
      </c>
      <c r="O156" s="21">
        <v>-1</v>
      </c>
      <c r="P156" s="21">
        <v>2</v>
      </c>
    </row>
    <row r="157" spans="1:16" s="21" customFormat="1">
      <c r="A157" s="21">
        <v>35</v>
      </c>
      <c r="B157" s="35">
        <v>13</v>
      </c>
      <c r="C157" s="21" t="s">
        <v>916</v>
      </c>
      <c r="D157" s="14">
        <v>40101</v>
      </c>
      <c r="E157" s="14" t="str">
        <f>VLOOKUP(D157,装备道具ID!$A$1:$B$1221,2,FALSE)</f>
        <v>护身符</v>
      </c>
      <c r="F157" s="21">
        <v>1</v>
      </c>
      <c r="G157" s="21" t="s">
        <v>7</v>
      </c>
      <c r="H157" s="36">
        <f t="shared" si="8"/>
        <v>750</v>
      </c>
      <c r="O157" s="21">
        <v>-1</v>
      </c>
      <c r="P157" s="21">
        <v>2</v>
      </c>
    </row>
    <row r="158" spans="1:16" s="21" customFormat="1">
      <c r="A158" s="21">
        <v>35</v>
      </c>
      <c r="B158" s="35">
        <v>14</v>
      </c>
      <c r="C158" s="21" t="s">
        <v>916</v>
      </c>
      <c r="D158" s="14">
        <v>40102</v>
      </c>
      <c r="E158" s="14" t="str">
        <f>VLOOKUP(D158,装备道具ID!$A$1:$B$1221,2,FALSE)</f>
        <v>护身符(大)</v>
      </c>
      <c r="F158" s="21">
        <v>1</v>
      </c>
      <c r="G158" s="21" t="s">
        <v>7</v>
      </c>
      <c r="H158" s="36">
        <f t="shared" si="8"/>
        <v>1650</v>
      </c>
      <c r="O158" s="21">
        <v>-1</v>
      </c>
      <c r="P158" s="21">
        <v>2</v>
      </c>
    </row>
    <row r="159" spans="1:16" s="21" customFormat="1">
      <c r="A159" s="21">
        <v>35</v>
      </c>
      <c r="B159" s="35">
        <v>15</v>
      </c>
      <c r="C159" s="21" t="s">
        <v>916</v>
      </c>
      <c r="D159" s="14">
        <v>40103</v>
      </c>
      <c r="E159" s="14" t="str">
        <f>VLOOKUP(D159,装备道具ID!$A$1:$B$1221,2,FALSE)</f>
        <v>超级护身符</v>
      </c>
      <c r="F159" s="21">
        <v>1</v>
      </c>
      <c r="G159" s="21" t="s">
        <v>7</v>
      </c>
      <c r="H159" s="36">
        <f t="shared" si="8"/>
        <v>7500</v>
      </c>
      <c r="O159" s="21">
        <v>-1</v>
      </c>
      <c r="P159" s="21">
        <v>2</v>
      </c>
    </row>
    <row r="160" spans="1:16" s="21" customFormat="1">
      <c r="A160" s="21">
        <v>35</v>
      </c>
      <c r="B160" s="35">
        <v>16</v>
      </c>
      <c r="C160" s="21" t="s">
        <v>916</v>
      </c>
      <c r="D160" s="14">
        <v>2201</v>
      </c>
      <c r="E160" s="14" t="str">
        <f>VLOOKUP(D160,装备道具ID!$A$1:$B$1221,2,FALSE)</f>
        <v>千里传音</v>
      </c>
      <c r="F160" s="21">
        <v>1</v>
      </c>
      <c r="G160" s="21" t="s">
        <v>7</v>
      </c>
      <c r="H160" s="36">
        <f t="shared" si="8"/>
        <v>150000</v>
      </c>
      <c r="O160" s="21">
        <v>-1</v>
      </c>
      <c r="P160" s="21">
        <v>2</v>
      </c>
    </row>
    <row r="161" spans="1:16" s="21" customFormat="1">
      <c r="A161" s="21">
        <v>35</v>
      </c>
      <c r="B161" s="35">
        <v>17</v>
      </c>
      <c r="C161" s="21" t="s">
        <v>916</v>
      </c>
      <c r="D161" s="14">
        <v>2212</v>
      </c>
      <c r="E161" s="14" t="str">
        <f>VLOOKUP(D161,装备道具ID!$A$1:$B$1221,2,FALSE)</f>
        <v>礼花</v>
      </c>
      <c r="F161" s="21">
        <v>1</v>
      </c>
      <c r="G161" s="21" t="s">
        <v>7</v>
      </c>
      <c r="H161" s="36">
        <f t="shared" si="8"/>
        <v>45000</v>
      </c>
      <c r="O161" s="21">
        <v>-1</v>
      </c>
      <c r="P161" s="21">
        <v>2</v>
      </c>
    </row>
    <row r="162" spans="1:16" s="35" customFormat="1">
      <c r="A162" s="35">
        <v>25</v>
      </c>
      <c r="B162" s="35">
        <v>1</v>
      </c>
      <c r="C162" s="35" t="s">
        <v>917</v>
      </c>
      <c r="D162" s="35">
        <v>80001</v>
      </c>
      <c r="E162" s="35" t="str">
        <f>VLOOKUP(D162,装备道具ID!$A$1:$B$1221,2,FALSE)</f>
        <v>比奇回城卷</v>
      </c>
      <c r="F162" s="35">
        <v>1</v>
      </c>
      <c r="G162" s="35" t="s">
        <v>7</v>
      </c>
      <c r="H162" s="36">
        <f t="shared" ref="H162:H170" si="9">H128*2</f>
        <v>1600</v>
      </c>
      <c r="O162" s="35">
        <v>-1</v>
      </c>
      <c r="P162" s="35">
        <v>2</v>
      </c>
    </row>
    <row r="163" spans="1:16" s="35" customFormat="1">
      <c r="A163" s="35">
        <v>25</v>
      </c>
      <c r="B163" s="35">
        <v>2</v>
      </c>
      <c r="C163" s="35" t="s">
        <v>917</v>
      </c>
      <c r="D163" s="35">
        <v>80101</v>
      </c>
      <c r="E163" s="35" t="str">
        <f>VLOOKUP(D163,装备道具ID!$A$1:$B$1221,2,FALSE)</f>
        <v>比奇回城卷包</v>
      </c>
      <c r="F163" s="35">
        <v>1</v>
      </c>
      <c r="G163" s="35" t="s">
        <v>7</v>
      </c>
      <c r="H163" s="36">
        <f t="shared" si="9"/>
        <v>14800</v>
      </c>
      <c r="O163" s="35">
        <v>-1</v>
      </c>
      <c r="P163" s="35">
        <v>2</v>
      </c>
    </row>
    <row r="164" spans="1:16" s="21" customFormat="1">
      <c r="A164" s="21">
        <v>25</v>
      </c>
      <c r="B164" s="35">
        <v>3</v>
      </c>
      <c r="C164" s="21" t="s">
        <v>917</v>
      </c>
      <c r="D164" s="21">
        <v>80007</v>
      </c>
      <c r="E164" s="21" t="str">
        <f>VLOOKUP(D164,装备道具ID!$A$1:$B$1221,2,FALSE)</f>
        <v>盟重回城卷</v>
      </c>
      <c r="F164" s="21">
        <v>1</v>
      </c>
      <c r="G164" s="21" t="s">
        <v>7</v>
      </c>
      <c r="H164" s="36">
        <f t="shared" si="9"/>
        <v>1600</v>
      </c>
      <c r="O164" s="21">
        <v>-1</v>
      </c>
      <c r="P164" s="21">
        <v>2</v>
      </c>
    </row>
    <row r="165" spans="1:16" s="21" customFormat="1">
      <c r="A165" s="21">
        <v>25</v>
      </c>
      <c r="B165" s="35">
        <v>4</v>
      </c>
      <c r="C165" s="21" t="s">
        <v>917</v>
      </c>
      <c r="D165" s="21">
        <v>80005</v>
      </c>
      <c r="E165" s="21" t="str">
        <f>VLOOKUP(D165,装备道具ID!$A$1:$B$1221,2,FALSE)</f>
        <v>随机传送卷</v>
      </c>
      <c r="F165" s="21">
        <v>1</v>
      </c>
      <c r="G165" s="21" t="s">
        <v>7</v>
      </c>
      <c r="H165" s="36">
        <f t="shared" si="9"/>
        <v>200</v>
      </c>
      <c r="O165" s="21">
        <v>-1</v>
      </c>
      <c r="P165" s="21">
        <v>2</v>
      </c>
    </row>
    <row r="166" spans="1:16" s="21" customFormat="1">
      <c r="A166" s="21">
        <v>25</v>
      </c>
      <c r="B166" s="35">
        <v>5</v>
      </c>
      <c r="C166" s="21" t="s">
        <v>917</v>
      </c>
      <c r="D166" s="21">
        <v>80107</v>
      </c>
      <c r="E166" s="21" t="str">
        <f>VLOOKUP(D166,装备道具ID!$A$1:$B$1221,2,FALSE)</f>
        <v>盟重回城卷包</v>
      </c>
      <c r="F166" s="21">
        <v>1</v>
      </c>
      <c r="G166" s="21" t="s">
        <v>7</v>
      </c>
      <c r="H166" s="36">
        <f t="shared" si="9"/>
        <v>14800</v>
      </c>
      <c r="O166" s="21">
        <v>-1</v>
      </c>
      <c r="P166" s="21">
        <v>2</v>
      </c>
    </row>
    <row r="167" spans="1:16" s="21" customFormat="1">
      <c r="A167" s="21">
        <v>25</v>
      </c>
      <c r="B167" s="35">
        <v>6</v>
      </c>
      <c r="C167" s="21" t="s">
        <v>917</v>
      </c>
      <c r="D167" s="21">
        <v>80105</v>
      </c>
      <c r="E167" s="21" t="str">
        <f>VLOOKUP(D167,装备道具ID!$A$1:$B$1221,2,FALSE)</f>
        <v>随机传送卷包</v>
      </c>
      <c r="F167" s="21">
        <v>1</v>
      </c>
      <c r="G167" s="21" t="s">
        <v>7</v>
      </c>
      <c r="H167" s="36">
        <f t="shared" si="9"/>
        <v>1600</v>
      </c>
      <c r="O167" s="21">
        <v>-1</v>
      </c>
      <c r="P167" s="21">
        <v>2</v>
      </c>
    </row>
    <row r="168" spans="1:16" s="21" customFormat="1">
      <c r="A168" s="21">
        <v>25</v>
      </c>
      <c r="B168" s="35">
        <v>7</v>
      </c>
      <c r="C168" s="21" t="s">
        <v>917</v>
      </c>
      <c r="D168" s="21">
        <v>80201</v>
      </c>
      <c r="E168" s="21" t="str">
        <f>VLOOKUP(D168,装备道具ID!$A$1:$B$1221,2,FALSE)</f>
        <v>比奇回城石</v>
      </c>
      <c r="F168" s="21">
        <v>1</v>
      </c>
      <c r="G168" s="21" t="s">
        <v>7</v>
      </c>
      <c r="H168" s="36">
        <f t="shared" si="9"/>
        <v>400000</v>
      </c>
      <c r="O168" s="21">
        <v>-1</v>
      </c>
      <c r="P168" s="21">
        <v>2</v>
      </c>
    </row>
    <row r="169" spans="1:16" s="21" customFormat="1">
      <c r="A169" s="21">
        <v>25</v>
      </c>
      <c r="B169" s="35">
        <v>8</v>
      </c>
      <c r="C169" s="21" t="s">
        <v>917</v>
      </c>
      <c r="D169" s="21">
        <v>80202</v>
      </c>
      <c r="E169" s="21" t="str">
        <f>VLOOKUP(D169,装备道具ID!$A$1:$B$1221,2,FALSE)</f>
        <v>盟重回城石</v>
      </c>
      <c r="F169" s="21">
        <v>1</v>
      </c>
      <c r="G169" s="21" t="s">
        <v>7</v>
      </c>
      <c r="H169" s="36">
        <f t="shared" si="9"/>
        <v>400000</v>
      </c>
      <c r="O169" s="21">
        <v>-1</v>
      </c>
      <c r="P169" s="21">
        <v>2</v>
      </c>
    </row>
    <row r="170" spans="1:16" s="21" customFormat="1">
      <c r="A170" s="21">
        <v>25</v>
      </c>
      <c r="B170" s="35">
        <v>9</v>
      </c>
      <c r="C170" s="21" t="s">
        <v>917</v>
      </c>
      <c r="D170" s="21">
        <v>80203</v>
      </c>
      <c r="E170" s="21" t="str">
        <f>VLOOKUP(D170,装备道具ID!$A$1:$B$1221,2,FALSE)</f>
        <v>随机传送石</v>
      </c>
      <c r="F170" s="21">
        <v>1</v>
      </c>
      <c r="G170" s="21" t="s">
        <v>7</v>
      </c>
      <c r="H170" s="36">
        <f t="shared" si="9"/>
        <v>400000</v>
      </c>
      <c r="O170" s="21">
        <v>-1</v>
      </c>
      <c r="P170" s="21">
        <v>2</v>
      </c>
    </row>
    <row r="171" spans="1:16" s="21" customFormat="1">
      <c r="A171" s="21">
        <v>25</v>
      </c>
      <c r="B171" s="35">
        <v>10</v>
      </c>
      <c r="C171" s="21" t="s">
        <v>917</v>
      </c>
      <c r="D171" s="21">
        <v>100002</v>
      </c>
      <c r="E171" s="21" t="str">
        <f>VLOOKUP(D171,装备道具ID!$A$1:$B$1221,2,FALSE)</f>
        <v>初级红名符</v>
      </c>
      <c r="F171" s="21">
        <v>1</v>
      </c>
      <c r="G171" s="21" t="s">
        <v>57</v>
      </c>
      <c r="H171" s="36">
        <f t="shared" ref="H171:H178" si="10">H137*2</f>
        <v>30000</v>
      </c>
      <c r="O171" s="21">
        <v>-1</v>
      </c>
      <c r="P171" s="21">
        <v>2</v>
      </c>
    </row>
    <row r="172" spans="1:16" s="21" customFormat="1">
      <c r="A172" s="21">
        <v>25</v>
      </c>
      <c r="B172" s="35">
        <v>11</v>
      </c>
      <c r="C172" s="21" t="s">
        <v>917</v>
      </c>
      <c r="D172" s="21">
        <v>100003</v>
      </c>
      <c r="E172" s="21" t="str">
        <f>VLOOKUP(D172,装备道具ID!$A$1:$B$1221,2,FALSE)</f>
        <v>中级红名符</v>
      </c>
      <c r="F172" s="21">
        <v>1</v>
      </c>
      <c r="G172" s="21" t="s">
        <v>7</v>
      </c>
      <c r="H172" s="36">
        <f t="shared" si="10"/>
        <v>240000</v>
      </c>
      <c r="O172" s="21">
        <v>-1</v>
      </c>
      <c r="P172" s="21">
        <v>2</v>
      </c>
    </row>
    <row r="173" spans="1:16" s="21" customFormat="1">
      <c r="A173" s="21">
        <v>25</v>
      </c>
      <c r="B173" s="35">
        <v>12</v>
      </c>
      <c r="C173" s="21" t="s">
        <v>917</v>
      </c>
      <c r="D173" s="21">
        <v>114003</v>
      </c>
      <c r="E173" s="21" t="str">
        <f>VLOOKUP(D173,装备道具ID!$A$1:$B$1221,2,FALSE)</f>
        <v>黑铁矿石3</v>
      </c>
      <c r="F173" s="21">
        <v>1</v>
      </c>
      <c r="G173" s="21" t="s">
        <v>7</v>
      </c>
      <c r="H173" s="36">
        <f t="shared" si="10"/>
        <v>2000</v>
      </c>
      <c r="O173" s="21">
        <v>-1</v>
      </c>
      <c r="P173" s="21">
        <v>2</v>
      </c>
    </row>
    <row r="174" spans="1:16" s="21" customFormat="1">
      <c r="A174" s="21">
        <v>25</v>
      </c>
      <c r="B174" s="35">
        <v>13</v>
      </c>
      <c r="C174" s="21" t="s">
        <v>917</v>
      </c>
      <c r="D174" s="14">
        <v>40101</v>
      </c>
      <c r="E174" s="14" t="str">
        <f>VLOOKUP(D174,装备道具ID!$A$1:$B$1221,2,FALSE)</f>
        <v>护身符</v>
      </c>
      <c r="F174" s="21">
        <v>1</v>
      </c>
      <c r="G174" s="21" t="s">
        <v>7</v>
      </c>
      <c r="H174" s="36">
        <f t="shared" si="10"/>
        <v>1000</v>
      </c>
      <c r="O174" s="21">
        <v>-1</v>
      </c>
      <c r="P174" s="21">
        <v>2</v>
      </c>
    </row>
    <row r="175" spans="1:16" s="21" customFormat="1">
      <c r="A175" s="21">
        <v>25</v>
      </c>
      <c r="B175" s="35">
        <v>14</v>
      </c>
      <c r="C175" s="21" t="s">
        <v>917</v>
      </c>
      <c r="D175" s="14">
        <v>40102</v>
      </c>
      <c r="E175" s="14" t="str">
        <f>VLOOKUP(D175,装备道具ID!$A$1:$B$1221,2,FALSE)</f>
        <v>护身符(大)</v>
      </c>
      <c r="F175" s="21">
        <v>1</v>
      </c>
      <c r="G175" s="21" t="s">
        <v>7</v>
      </c>
      <c r="H175" s="36">
        <f t="shared" si="10"/>
        <v>2200</v>
      </c>
      <c r="O175" s="21">
        <v>-1</v>
      </c>
      <c r="P175" s="21">
        <v>2</v>
      </c>
    </row>
    <row r="176" spans="1:16" s="21" customFormat="1">
      <c r="A176" s="21">
        <v>25</v>
      </c>
      <c r="B176" s="35">
        <v>15</v>
      </c>
      <c r="C176" s="21" t="s">
        <v>917</v>
      </c>
      <c r="D176" s="14">
        <v>40103</v>
      </c>
      <c r="E176" s="14" t="str">
        <f>VLOOKUP(D176,装备道具ID!$A$1:$B$1221,2,FALSE)</f>
        <v>超级护身符</v>
      </c>
      <c r="F176" s="21">
        <v>1</v>
      </c>
      <c r="G176" s="21" t="s">
        <v>7</v>
      </c>
      <c r="H176" s="36">
        <f t="shared" si="10"/>
        <v>10000</v>
      </c>
      <c r="O176" s="21">
        <v>-1</v>
      </c>
      <c r="P176" s="21">
        <v>2</v>
      </c>
    </row>
    <row r="177" spans="1:16" s="21" customFormat="1">
      <c r="A177" s="21">
        <v>25</v>
      </c>
      <c r="B177" s="35">
        <v>16</v>
      </c>
      <c r="C177" s="21" t="s">
        <v>917</v>
      </c>
      <c r="D177" s="14">
        <v>2201</v>
      </c>
      <c r="E177" s="14" t="str">
        <f>VLOOKUP(D177,装备道具ID!$A$1:$B$1221,2,FALSE)</f>
        <v>千里传音</v>
      </c>
      <c r="F177" s="21">
        <v>1</v>
      </c>
      <c r="G177" s="21" t="s">
        <v>7</v>
      </c>
      <c r="H177" s="36">
        <f t="shared" si="10"/>
        <v>200000</v>
      </c>
      <c r="O177" s="21">
        <v>-1</v>
      </c>
      <c r="P177" s="21">
        <v>2</v>
      </c>
    </row>
    <row r="178" spans="1:16" s="21" customFormat="1">
      <c r="A178" s="21">
        <v>25</v>
      </c>
      <c r="B178" s="35">
        <v>17</v>
      </c>
      <c r="C178" s="21" t="s">
        <v>917</v>
      </c>
      <c r="D178" s="14">
        <v>2212</v>
      </c>
      <c r="E178" s="14" t="str">
        <f>VLOOKUP(D178,装备道具ID!$A$1:$B$1221,2,FALSE)</f>
        <v>礼花</v>
      </c>
      <c r="F178" s="21">
        <v>1</v>
      </c>
      <c r="G178" s="21" t="s">
        <v>7</v>
      </c>
      <c r="H178" s="36">
        <f t="shared" si="10"/>
        <v>60000</v>
      </c>
      <c r="O178" s="21">
        <v>-1</v>
      </c>
      <c r="P178" s="21">
        <v>2</v>
      </c>
    </row>
    <row r="179" spans="1:16">
      <c r="A179">
        <v>1001</v>
      </c>
      <c r="B179" s="35">
        <v>1</v>
      </c>
      <c r="C179" t="s">
        <v>0</v>
      </c>
      <c r="D179" s="14">
        <v>99900001</v>
      </c>
      <c r="E179" s="14" t="str">
        <f>VLOOKUP(D179,装备道具ID!$A$1:$B$1221,2,FALSE)</f>
        <v>木剑</v>
      </c>
      <c r="F179">
        <v>1</v>
      </c>
      <c r="G179" t="s">
        <v>7</v>
      </c>
      <c r="H179">
        <v>50</v>
      </c>
      <c r="O179" s="21">
        <v>-1</v>
      </c>
      <c r="P179" s="21">
        <v>4</v>
      </c>
    </row>
    <row r="180" spans="1:16">
      <c r="A180">
        <v>1001</v>
      </c>
      <c r="B180" s="35">
        <v>2</v>
      </c>
      <c r="C180" t="s">
        <v>0</v>
      </c>
      <c r="D180" s="14">
        <v>99900002</v>
      </c>
      <c r="E180" s="14" t="str">
        <f>VLOOKUP(D180,装备道具ID!$A$1:$B$1221,2,FALSE)</f>
        <v>匕首</v>
      </c>
      <c r="F180">
        <v>1</v>
      </c>
      <c r="G180" t="s">
        <v>7</v>
      </c>
      <c r="H180">
        <v>500</v>
      </c>
      <c r="O180" s="21">
        <v>-1</v>
      </c>
      <c r="P180" s="21">
        <v>4</v>
      </c>
    </row>
    <row r="181" spans="1:16">
      <c r="A181">
        <v>1001</v>
      </c>
      <c r="B181" s="35">
        <v>3</v>
      </c>
      <c r="C181" t="s">
        <v>0</v>
      </c>
      <c r="D181" s="14">
        <v>99900003</v>
      </c>
      <c r="E181" s="14" t="str">
        <f>VLOOKUP(D181,装备道具ID!$A$1:$B$1221,2,FALSE)</f>
        <v>乌木剑</v>
      </c>
      <c r="F181">
        <v>1</v>
      </c>
      <c r="G181" t="s">
        <v>7</v>
      </c>
      <c r="H181">
        <v>4000</v>
      </c>
      <c r="O181" s="21">
        <v>-1</v>
      </c>
      <c r="P181" s="21">
        <v>4</v>
      </c>
    </row>
    <row r="182" spans="1:16" s="21" customFormat="1">
      <c r="A182" s="21">
        <v>1001</v>
      </c>
      <c r="B182" s="35">
        <v>4</v>
      </c>
      <c r="C182" s="21" t="s">
        <v>0</v>
      </c>
      <c r="D182" s="14">
        <v>99900004</v>
      </c>
      <c r="E182" s="14" t="str">
        <f>VLOOKUP(D182,装备道具ID!$A$1:$B$1221,2,FALSE)</f>
        <v>青铜剑</v>
      </c>
      <c r="F182" s="21">
        <v>1</v>
      </c>
      <c r="G182" s="21" t="s">
        <v>7</v>
      </c>
      <c r="H182" s="21">
        <v>900</v>
      </c>
      <c r="O182" s="21">
        <v>-1</v>
      </c>
      <c r="P182" s="21">
        <v>4</v>
      </c>
    </row>
    <row r="183" spans="1:16" s="21" customFormat="1">
      <c r="A183" s="21">
        <v>1001</v>
      </c>
      <c r="B183" s="35">
        <v>5</v>
      </c>
      <c r="C183" s="21" t="s">
        <v>0</v>
      </c>
      <c r="D183" s="14">
        <v>99900005</v>
      </c>
      <c r="E183" s="14" t="str">
        <f>VLOOKUP(D183,装备道具ID!$A$1:$B$1221,2,FALSE)</f>
        <v>短剑</v>
      </c>
      <c r="F183" s="21">
        <v>1</v>
      </c>
      <c r="G183" s="21" t="s">
        <v>7</v>
      </c>
      <c r="H183" s="21">
        <v>1000</v>
      </c>
      <c r="O183" s="21">
        <v>-1</v>
      </c>
      <c r="P183" s="21">
        <v>4</v>
      </c>
    </row>
    <row r="184" spans="1:16" s="21" customFormat="1">
      <c r="A184" s="21">
        <v>1001</v>
      </c>
      <c r="B184" s="35">
        <v>6</v>
      </c>
      <c r="C184" s="21" t="s">
        <v>0</v>
      </c>
      <c r="D184" s="14">
        <v>99900006</v>
      </c>
      <c r="E184" s="14" t="str">
        <f>VLOOKUP(D184,装备道具ID!$A$1:$B$1221,2,FALSE)</f>
        <v>铁剑</v>
      </c>
      <c r="F184" s="21">
        <v>1</v>
      </c>
      <c r="G184" s="21" t="s">
        <v>7</v>
      </c>
      <c r="H184" s="21">
        <v>1200</v>
      </c>
      <c r="O184" s="21">
        <v>-1</v>
      </c>
      <c r="P184" s="21">
        <v>4</v>
      </c>
    </row>
    <row r="185" spans="1:16" s="11" customFormat="1">
      <c r="A185" s="12">
        <v>1001</v>
      </c>
      <c r="B185" s="35">
        <v>7</v>
      </c>
      <c r="C185" s="12" t="s">
        <v>0</v>
      </c>
      <c r="D185" s="14">
        <v>99900007</v>
      </c>
      <c r="E185" s="14" t="str">
        <f>VLOOKUP(D185,装备道具ID!$A$1:$B$1221,2,FALSE)</f>
        <v>鹤嘴锄</v>
      </c>
      <c r="F185" s="12">
        <v>1</v>
      </c>
      <c r="G185" s="12" t="s">
        <v>7</v>
      </c>
      <c r="H185" s="13">
        <v>700</v>
      </c>
      <c r="O185" s="21">
        <v>-1</v>
      </c>
      <c r="P185" s="21">
        <v>4</v>
      </c>
    </row>
    <row r="186" spans="1:16" s="21" customFormat="1">
      <c r="A186" s="21">
        <v>1001</v>
      </c>
      <c r="B186" s="35">
        <v>8</v>
      </c>
      <c r="C186" s="21" t="s">
        <v>0</v>
      </c>
      <c r="D186" s="14">
        <v>99900041</v>
      </c>
      <c r="E186" s="14" t="str">
        <f>VLOOKUP(D186,装备道具ID!$A$1:$B$1221,2,FALSE)</f>
        <v>玄铁锄</v>
      </c>
      <c r="F186" s="21">
        <v>1</v>
      </c>
      <c r="G186" s="21" t="s">
        <v>7</v>
      </c>
      <c r="H186" s="21">
        <v>14000</v>
      </c>
      <c r="O186" s="21">
        <v>-1</v>
      </c>
      <c r="P186" s="21">
        <v>4</v>
      </c>
    </row>
    <row r="187" spans="1:16" s="21" customFormat="1">
      <c r="A187" s="21">
        <v>1001</v>
      </c>
      <c r="B187" s="35">
        <v>9</v>
      </c>
      <c r="C187" s="21" t="s">
        <v>0</v>
      </c>
      <c r="D187" s="14">
        <v>99900040</v>
      </c>
      <c r="E187" s="14" t="str">
        <f>VLOOKUP(D187,装备道具ID!$A$1:$B$1221,2,FALSE)</f>
        <v>开石刀</v>
      </c>
      <c r="F187" s="21">
        <v>1</v>
      </c>
      <c r="G187" s="21" t="s">
        <v>7</v>
      </c>
      <c r="H187" s="21">
        <v>1300</v>
      </c>
      <c r="O187" s="21">
        <v>-1</v>
      </c>
      <c r="P187" s="21">
        <v>4</v>
      </c>
    </row>
    <row r="188" spans="1:16" s="21" customFormat="1">
      <c r="A188" s="21">
        <v>1001</v>
      </c>
      <c r="B188" s="35">
        <v>10</v>
      </c>
      <c r="C188" s="21" t="s">
        <v>0</v>
      </c>
      <c r="D188" s="14">
        <v>99900008</v>
      </c>
      <c r="E188" s="14" t="str">
        <f>VLOOKUP(D188,装备道具ID!$A$1:$B$1221,2,FALSE)</f>
        <v>青铜斧</v>
      </c>
      <c r="F188" s="21">
        <v>1</v>
      </c>
      <c r="G188" s="21" t="s">
        <v>7</v>
      </c>
      <c r="H188" s="21">
        <v>1500</v>
      </c>
      <c r="O188" s="21">
        <v>-1</v>
      </c>
      <c r="P188" s="21">
        <v>4</v>
      </c>
    </row>
    <row r="189" spans="1:16" s="21" customFormat="1">
      <c r="A189" s="21">
        <v>1001</v>
      </c>
      <c r="B189" s="35">
        <v>11</v>
      </c>
      <c r="C189" s="21" t="s">
        <v>0</v>
      </c>
      <c r="D189" s="14">
        <v>99900009</v>
      </c>
      <c r="E189" s="14" t="str">
        <f>VLOOKUP(D189,装备道具ID!$A$1:$B$1221,2,FALSE)</f>
        <v>海魂</v>
      </c>
      <c r="F189" s="21">
        <v>1</v>
      </c>
      <c r="G189" s="21" t="s">
        <v>7</v>
      </c>
      <c r="H189" s="21">
        <v>3000</v>
      </c>
      <c r="O189" s="21">
        <v>-1</v>
      </c>
      <c r="P189" s="21">
        <v>4</v>
      </c>
    </row>
    <row r="190" spans="1:16" s="21" customFormat="1">
      <c r="A190" s="21">
        <v>1001</v>
      </c>
      <c r="B190" s="35">
        <v>12</v>
      </c>
      <c r="C190" s="21" t="s">
        <v>0</v>
      </c>
      <c r="D190" s="14">
        <v>99900012</v>
      </c>
      <c r="E190" s="14" t="str">
        <f>VLOOKUP(D190,装备道具ID!$A$1:$B$1221,2,FALSE)</f>
        <v>凌风</v>
      </c>
      <c r="F190" s="21">
        <v>1</v>
      </c>
      <c r="G190" s="21" t="s">
        <v>7</v>
      </c>
      <c r="H190" s="21">
        <v>5000</v>
      </c>
      <c r="O190" s="21">
        <v>-1</v>
      </c>
      <c r="P190" s="21">
        <v>4</v>
      </c>
    </row>
    <row r="191" spans="1:16" s="11" customFormat="1">
      <c r="A191" s="12">
        <v>1001</v>
      </c>
      <c r="B191" s="35">
        <v>13</v>
      </c>
      <c r="C191" s="12" t="s">
        <v>0</v>
      </c>
      <c r="D191" s="12">
        <v>99900014</v>
      </c>
      <c r="E191" s="14" t="str">
        <f>VLOOKUP(D191,装备道具ID!$A$1:$B$1221,2,FALSE)</f>
        <v>破魂</v>
      </c>
      <c r="F191" s="12">
        <v>1</v>
      </c>
      <c r="G191" s="12" t="s">
        <v>7</v>
      </c>
      <c r="H191" s="13">
        <v>5000</v>
      </c>
      <c r="O191" s="21">
        <v>-1</v>
      </c>
      <c r="P191" s="21">
        <v>4</v>
      </c>
    </row>
    <row r="192" spans="1:16" s="11" customFormat="1">
      <c r="A192" s="12">
        <v>1001</v>
      </c>
      <c r="B192" s="35">
        <v>14</v>
      </c>
      <c r="C192" s="12" t="s">
        <v>0</v>
      </c>
      <c r="D192" s="12">
        <v>99900010</v>
      </c>
      <c r="E192" s="14" t="str">
        <f>VLOOKUP(D192,装备道具ID!$A$1:$B$1221,2,FALSE)</f>
        <v>八荒</v>
      </c>
      <c r="F192" s="12">
        <v>1</v>
      </c>
      <c r="G192" s="12" t="s">
        <v>7</v>
      </c>
      <c r="H192" s="13">
        <v>5000</v>
      </c>
      <c r="O192" s="21">
        <v>-1</v>
      </c>
      <c r="P192" s="21">
        <v>4</v>
      </c>
    </row>
    <row r="193" spans="1:16" s="11" customFormat="1">
      <c r="A193" s="12">
        <v>1001</v>
      </c>
      <c r="B193" s="35">
        <v>15</v>
      </c>
      <c r="C193" s="12" t="s">
        <v>0</v>
      </c>
      <c r="D193" s="12">
        <v>99900011</v>
      </c>
      <c r="E193" s="14" t="str">
        <f>VLOOKUP(D193,装备道具ID!$A$1:$B$1221,2,FALSE)</f>
        <v>半月</v>
      </c>
      <c r="F193" s="12">
        <v>1</v>
      </c>
      <c r="G193" s="12" t="s">
        <v>7</v>
      </c>
      <c r="H193" s="13">
        <v>4000</v>
      </c>
      <c r="O193" s="21">
        <v>-1</v>
      </c>
      <c r="P193" s="21">
        <v>4</v>
      </c>
    </row>
    <row r="194" spans="1:16" s="21" customFormat="1">
      <c r="A194" s="21">
        <v>1001</v>
      </c>
      <c r="B194" s="35">
        <v>16</v>
      </c>
      <c r="C194" s="21" t="s">
        <v>0</v>
      </c>
      <c r="D194" s="21">
        <v>99900015</v>
      </c>
      <c r="E194" s="14" t="str">
        <f>VLOOKUP(D194,装备道具ID!$A$1:$B$1221,2,FALSE)</f>
        <v>降魔</v>
      </c>
      <c r="F194" s="21">
        <v>1</v>
      </c>
      <c r="G194" s="21" t="s">
        <v>7</v>
      </c>
      <c r="H194" s="21">
        <v>10000</v>
      </c>
      <c r="O194" s="21">
        <v>-1</v>
      </c>
      <c r="P194" s="21">
        <v>4</v>
      </c>
    </row>
    <row r="195" spans="1:16" s="21" customFormat="1">
      <c r="A195" s="21">
        <v>1001</v>
      </c>
      <c r="B195" s="35">
        <v>17</v>
      </c>
      <c r="C195" s="21" t="s">
        <v>0</v>
      </c>
      <c r="D195" s="21">
        <v>99900016</v>
      </c>
      <c r="E195" s="14" t="str">
        <f>VLOOKUP(D195,装备道具ID!$A$1:$B$1221,2,FALSE)</f>
        <v>斩马刀</v>
      </c>
      <c r="F195" s="21">
        <v>1</v>
      </c>
      <c r="G195" s="21" t="s">
        <v>7</v>
      </c>
      <c r="H195" s="21">
        <v>6000</v>
      </c>
      <c r="O195" s="21">
        <v>-1</v>
      </c>
      <c r="P195" s="21">
        <v>4</v>
      </c>
    </row>
    <row r="196" spans="1:16" s="21" customFormat="1">
      <c r="A196" s="21">
        <v>1001</v>
      </c>
      <c r="B196" s="35">
        <v>18</v>
      </c>
      <c r="C196" s="21" t="s">
        <v>0</v>
      </c>
      <c r="D196" s="21">
        <v>99900013</v>
      </c>
      <c r="E196" s="14" t="str">
        <f>VLOOKUP(D196,装备道具ID!$A$1:$B$1221,2,FALSE)</f>
        <v>偃月</v>
      </c>
      <c r="F196" s="21">
        <v>1</v>
      </c>
      <c r="G196" s="21" t="s">
        <v>7</v>
      </c>
      <c r="H196" s="21">
        <v>10000</v>
      </c>
      <c r="O196" s="21">
        <v>-1</v>
      </c>
      <c r="P196" s="21">
        <v>4</v>
      </c>
    </row>
    <row r="197" spans="1:16" s="21" customFormat="1">
      <c r="A197" s="21">
        <v>1001</v>
      </c>
      <c r="B197" s="35">
        <v>19</v>
      </c>
      <c r="C197" s="21" t="s">
        <v>0</v>
      </c>
      <c r="D197" s="21">
        <v>99900017</v>
      </c>
      <c r="E197" s="14" t="str">
        <f>VLOOKUP(D197,装备道具ID!$A$1:$B$1221,2,FALSE)</f>
        <v>修罗</v>
      </c>
      <c r="F197" s="21">
        <v>1</v>
      </c>
      <c r="G197" s="21" t="s">
        <v>7</v>
      </c>
      <c r="H197" s="21">
        <v>10000</v>
      </c>
      <c r="O197" s="21">
        <v>-1</v>
      </c>
      <c r="P197" s="21">
        <v>4</v>
      </c>
    </row>
    <row r="198" spans="1:16" s="21" customFormat="1">
      <c r="A198" s="21">
        <v>1001</v>
      </c>
      <c r="B198" s="35">
        <v>20</v>
      </c>
      <c r="C198" s="21" t="s">
        <v>0</v>
      </c>
      <c r="D198" s="21">
        <v>99900020</v>
      </c>
      <c r="E198" s="14" t="str">
        <f>VLOOKUP(D198,装备道具ID!$A$1:$B$1221,2,FALSE)</f>
        <v>凝霜</v>
      </c>
      <c r="F198" s="21">
        <v>1</v>
      </c>
      <c r="G198" s="21" t="s">
        <v>7</v>
      </c>
      <c r="H198" s="21">
        <v>8000</v>
      </c>
      <c r="O198" s="21">
        <v>-1</v>
      </c>
      <c r="P198" s="21">
        <v>4</v>
      </c>
    </row>
    <row r="199" spans="1:16" s="21" customFormat="1">
      <c r="A199" s="21">
        <v>1001</v>
      </c>
      <c r="B199" s="35">
        <v>21</v>
      </c>
      <c r="C199" s="21" t="s">
        <v>0</v>
      </c>
      <c r="D199" s="21">
        <v>111008</v>
      </c>
      <c r="E199" s="14" t="str">
        <f>VLOOKUP(D199,装备道具ID!$A$1:$B$1221,2,FALSE)</f>
        <v>高级装备碎片</v>
      </c>
      <c r="F199" s="21">
        <v>1</v>
      </c>
      <c r="G199" s="21" t="s">
        <v>7</v>
      </c>
      <c r="H199" s="21">
        <v>4200</v>
      </c>
      <c r="O199" s="21">
        <v>-1</v>
      </c>
      <c r="P199" s="21">
        <v>4</v>
      </c>
    </row>
    <row r="200" spans="1:16" s="31" customFormat="1">
      <c r="A200" s="21">
        <v>1011</v>
      </c>
      <c r="B200" s="35">
        <v>1</v>
      </c>
      <c r="C200" s="21" t="s">
        <v>90</v>
      </c>
      <c r="D200" s="31">
        <v>89900001</v>
      </c>
      <c r="E200" s="31" t="str">
        <f>VLOOKUP(D200,装备道具ID!$A$1:$B$1221,2,FALSE)</f>
        <v>新手木剑</v>
      </c>
      <c r="F200" s="31">
        <v>1</v>
      </c>
      <c r="G200" s="21" t="s">
        <v>7</v>
      </c>
      <c r="H200" s="31">
        <v>2</v>
      </c>
      <c r="O200" s="21">
        <v>-1</v>
      </c>
      <c r="P200" s="21">
        <v>4</v>
      </c>
    </row>
    <row r="201" spans="1:16" s="21" customFormat="1">
      <c r="A201" s="21">
        <v>1011</v>
      </c>
      <c r="B201" s="35">
        <v>2</v>
      </c>
      <c r="C201" s="21" t="s">
        <v>90</v>
      </c>
      <c r="D201" s="14">
        <v>99900001</v>
      </c>
      <c r="E201" s="14" t="str">
        <f>VLOOKUP(D201,装备道具ID!$A$1:$B$1221,2,FALSE)</f>
        <v>木剑</v>
      </c>
      <c r="F201" s="21">
        <v>1</v>
      </c>
      <c r="G201" s="21" t="s">
        <v>7</v>
      </c>
      <c r="H201" s="21">
        <v>50</v>
      </c>
      <c r="O201" s="21">
        <v>-1</v>
      </c>
      <c r="P201" s="21">
        <v>4</v>
      </c>
    </row>
    <row r="202" spans="1:16" s="21" customFormat="1">
      <c r="A202" s="21">
        <v>1011</v>
      </c>
      <c r="B202" s="35">
        <v>3</v>
      </c>
      <c r="C202" s="21" t="s">
        <v>90</v>
      </c>
      <c r="D202" s="14">
        <v>99900002</v>
      </c>
      <c r="E202" s="14" t="str">
        <f>VLOOKUP(D202,装备道具ID!$A$1:$B$1221,2,FALSE)</f>
        <v>匕首</v>
      </c>
      <c r="F202" s="21">
        <v>1</v>
      </c>
      <c r="G202" s="21" t="s">
        <v>7</v>
      </c>
      <c r="H202" s="21">
        <v>500</v>
      </c>
      <c r="O202" s="21">
        <v>-1</v>
      </c>
      <c r="P202" s="21">
        <v>4</v>
      </c>
    </row>
    <row r="203" spans="1:16" s="21" customFormat="1">
      <c r="A203" s="21">
        <v>1011</v>
      </c>
      <c r="B203" s="35">
        <v>4</v>
      </c>
      <c r="C203" s="21" t="s">
        <v>90</v>
      </c>
      <c r="D203" s="14">
        <v>99900003</v>
      </c>
      <c r="E203" s="14" t="str">
        <f>VLOOKUP(D203,装备道具ID!$A$1:$B$1221,2,FALSE)</f>
        <v>乌木剑</v>
      </c>
      <c r="F203" s="21">
        <v>1</v>
      </c>
      <c r="G203" s="21" t="s">
        <v>7</v>
      </c>
      <c r="H203" s="21">
        <v>4000</v>
      </c>
      <c r="O203" s="21">
        <v>-1</v>
      </c>
      <c r="P203" s="21">
        <v>4</v>
      </c>
    </row>
    <row r="204" spans="1:16" s="21" customFormat="1">
      <c r="A204" s="21">
        <v>1011</v>
      </c>
      <c r="B204" s="35">
        <v>5</v>
      </c>
      <c r="C204" s="21" t="s">
        <v>90</v>
      </c>
      <c r="D204" s="14">
        <v>99900004</v>
      </c>
      <c r="E204" s="14" t="str">
        <f>VLOOKUP(D204,装备道具ID!$A$1:$B$1221,2,FALSE)</f>
        <v>青铜剑</v>
      </c>
      <c r="F204" s="21">
        <v>1</v>
      </c>
      <c r="G204" s="21" t="s">
        <v>7</v>
      </c>
      <c r="H204" s="21">
        <v>900</v>
      </c>
      <c r="O204" s="21">
        <v>-1</v>
      </c>
      <c r="P204" s="21">
        <v>4</v>
      </c>
    </row>
    <row r="205" spans="1:16" s="21" customFormat="1">
      <c r="A205" s="21">
        <v>1011</v>
      </c>
      <c r="B205" s="35">
        <v>6</v>
      </c>
      <c r="C205" s="21" t="s">
        <v>90</v>
      </c>
      <c r="D205" s="14">
        <v>99900005</v>
      </c>
      <c r="E205" s="14" t="str">
        <f>VLOOKUP(D205,装备道具ID!$A$1:$B$1221,2,FALSE)</f>
        <v>短剑</v>
      </c>
      <c r="F205" s="21">
        <v>1</v>
      </c>
      <c r="G205" s="21" t="s">
        <v>7</v>
      </c>
      <c r="H205" s="21">
        <v>1000</v>
      </c>
      <c r="O205" s="21">
        <v>-1</v>
      </c>
      <c r="P205" s="21">
        <v>4</v>
      </c>
    </row>
    <row r="206" spans="1:16" s="21" customFormat="1">
      <c r="A206" s="21">
        <v>1011</v>
      </c>
      <c r="B206" s="35">
        <v>7</v>
      </c>
      <c r="C206" s="21" t="s">
        <v>90</v>
      </c>
      <c r="D206" s="14">
        <v>99900006</v>
      </c>
      <c r="E206" s="14" t="str">
        <f>VLOOKUP(D206,装备道具ID!$A$1:$B$1221,2,FALSE)</f>
        <v>铁剑</v>
      </c>
      <c r="F206" s="21">
        <v>1</v>
      </c>
      <c r="G206" s="21" t="s">
        <v>7</v>
      </c>
      <c r="H206" s="21">
        <v>1200</v>
      </c>
      <c r="O206" s="21">
        <v>-1</v>
      </c>
      <c r="P206" s="21">
        <v>4</v>
      </c>
    </row>
    <row r="207" spans="1:16" s="21" customFormat="1">
      <c r="A207" s="21">
        <v>1011</v>
      </c>
      <c r="B207" s="35">
        <v>8</v>
      </c>
      <c r="C207" s="21" t="s">
        <v>90</v>
      </c>
      <c r="D207" s="14">
        <v>99900007</v>
      </c>
      <c r="E207" s="14" t="str">
        <f>VLOOKUP(D207,装备道具ID!$A$1:$B$1221,2,FALSE)</f>
        <v>鹤嘴锄</v>
      </c>
      <c r="F207" s="21">
        <v>1</v>
      </c>
      <c r="G207" s="21" t="s">
        <v>7</v>
      </c>
      <c r="H207" s="21">
        <v>700</v>
      </c>
      <c r="O207" s="21">
        <v>-1</v>
      </c>
      <c r="P207" s="21">
        <v>4</v>
      </c>
    </row>
    <row r="208" spans="1:16" s="21" customFormat="1">
      <c r="A208" s="21">
        <v>1011</v>
      </c>
      <c r="B208" s="35">
        <v>9</v>
      </c>
      <c r="C208" s="21" t="s">
        <v>90</v>
      </c>
      <c r="D208" s="14">
        <v>99900041</v>
      </c>
      <c r="E208" s="14" t="str">
        <f>VLOOKUP(D208,装备道具ID!$A$1:$B$1221,2,FALSE)</f>
        <v>玄铁锄</v>
      </c>
      <c r="F208" s="21">
        <v>1</v>
      </c>
      <c r="G208" s="21" t="s">
        <v>7</v>
      </c>
      <c r="H208" s="21">
        <v>14000</v>
      </c>
      <c r="O208" s="21">
        <v>-1</v>
      </c>
      <c r="P208" s="21">
        <v>4</v>
      </c>
    </row>
    <row r="209" spans="1:16" s="21" customFormat="1">
      <c r="A209" s="21">
        <v>1011</v>
      </c>
      <c r="B209" s="35">
        <v>10</v>
      </c>
      <c r="C209" s="21" t="s">
        <v>90</v>
      </c>
      <c r="D209" s="14">
        <v>99900040</v>
      </c>
      <c r="E209" s="14" t="str">
        <f>VLOOKUP(D209,装备道具ID!$A$1:$B$1221,2,FALSE)</f>
        <v>开石刀</v>
      </c>
      <c r="F209" s="21">
        <v>1</v>
      </c>
      <c r="G209" s="21" t="s">
        <v>7</v>
      </c>
      <c r="H209" s="21">
        <v>1300</v>
      </c>
      <c r="O209" s="21">
        <v>-1</v>
      </c>
      <c r="P209" s="21">
        <v>4</v>
      </c>
    </row>
    <row r="210" spans="1:16" s="21" customFormat="1">
      <c r="A210" s="21">
        <v>1011</v>
      </c>
      <c r="B210" s="35">
        <v>11</v>
      </c>
      <c r="C210" s="21" t="s">
        <v>90</v>
      </c>
      <c r="D210" s="14">
        <v>99900008</v>
      </c>
      <c r="E210" s="14" t="str">
        <f>VLOOKUP(D210,装备道具ID!$A$1:$B$1221,2,FALSE)</f>
        <v>青铜斧</v>
      </c>
      <c r="F210" s="21">
        <v>1</v>
      </c>
      <c r="G210" s="21" t="s">
        <v>7</v>
      </c>
      <c r="H210" s="21">
        <v>1500</v>
      </c>
      <c r="O210" s="21">
        <v>-1</v>
      </c>
      <c r="P210" s="21">
        <v>4</v>
      </c>
    </row>
    <row r="211" spans="1:16" s="21" customFormat="1">
      <c r="A211" s="21">
        <v>1011</v>
      </c>
      <c r="B211" s="35">
        <v>12</v>
      </c>
      <c r="C211" s="21" t="s">
        <v>90</v>
      </c>
      <c r="D211" s="14">
        <v>99900009</v>
      </c>
      <c r="E211" s="14" t="str">
        <f>VLOOKUP(D211,装备道具ID!$A$1:$B$1221,2,FALSE)</f>
        <v>海魂</v>
      </c>
      <c r="F211" s="21">
        <v>1</v>
      </c>
      <c r="G211" s="21" t="s">
        <v>7</v>
      </c>
      <c r="H211" s="21">
        <v>3000</v>
      </c>
      <c r="O211" s="21">
        <v>-1</v>
      </c>
      <c r="P211" s="21">
        <v>4</v>
      </c>
    </row>
    <row r="212" spans="1:16" s="21" customFormat="1">
      <c r="A212" s="21">
        <v>1011</v>
      </c>
      <c r="B212" s="35">
        <v>13</v>
      </c>
      <c r="C212" s="21" t="s">
        <v>90</v>
      </c>
      <c r="D212" s="14">
        <v>99900012</v>
      </c>
      <c r="E212" s="14" t="str">
        <f>VLOOKUP(D212,装备道具ID!$A$1:$B$1221,2,FALSE)</f>
        <v>凌风</v>
      </c>
      <c r="F212" s="21">
        <v>1</v>
      </c>
      <c r="G212" s="21" t="s">
        <v>7</v>
      </c>
      <c r="H212" s="21">
        <v>5000</v>
      </c>
      <c r="O212" s="21">
        <v>-1</v>
      </c>
      <c r="P212" s="21">
        <v>4</v>
      </c>
    </row>
    <row r="213" spans="1:16" s="21" customFormat="1">
      <c r="A213" s="21">
        <v>1011</v>
      </c>
      <c r="B213" s="35">
        <v>14</v>
      </c>
      <c r="C213" s="21" t="s">
        <v>90</v>
      </c>
      <c r="D213" s="21">
        <v>99900014</v>
      </c>
      <c r="E213" s="21" t="str">
        <f>VLOOKUP(D213,装备道具ID!$A$1:$B$1221,2,FALSE)</f>
        <v>破魂</v>
      </c>
      <c r="F213" s="21">
        <v>1</v>
      </c>
      <c r="G213" s="21" t="s">
        <v>7</v>
      </c>
      <c r="H213" s="21">
        <v>5000</v>
      </c>
      <c r="O213" s="21">
        <v>-1</v>
      </c>
      <c r="P213" s="21">
        <v>4</v>
      </c>
    </row>
    <row r="214" spans="1:16" s="21" customFormat="1">
      <c r="A214" s="21">
        <v>1011</v>
      </c>
      <c r="B214" s="35">
        <v>15</v>
      </c>
      <c r="C214" s="21" t="s">
        <v>90</v>
      </c>
      <c r="D214" s="21">
        <v>99900010</v>
      </c>
      <c r="E214" s="21" t="str">
        <f>VLOOKUP(D214,装备道具ID!$A$1:$B$1221,2,FALSE)</f>
        <v>八荒</v>
      </c>
      <c r="F214" s="21">
        <v>1</v>
      </c>
      <c r="G214" s="21" t="s">
        <v>7</v>
      </c>
      <c r="H214" s="21">
        <v>5000</v>
      </c>
      <c r="O214" s="21">
        <v>-1</v>
      </c>
      <c r="P214" s="21">
        <v>4</v>
      </c>
    </row>
    <row r="215" spans="1:16" s="21" customFormat="1">
      <c r="A215" s="21">
        <v>1011</v>
      </c>
      <c r="B215" s="35">
        <v>16</v>
      </c>
      <c r="C215" s="21" t="s">
        <v>90</v>
      </c>
      <c r="D215" s="21">
        <v>99900011</v>
      </c>
      <c r="E215" s="21" t="str">
        <f>VLOOKUP(D215,装备道具ID!$A$1:$B$1221,2,FALSE)</f>
        <v>半月</v>
      </c>
      <c r="F215" s="21">
        <v>1</v>
      </c>
      <c r="G215" s="21" t="s">
        <v>7</v>
      </c>
      <c r="H215" s="21">
        <v>4000</v>
      </c>
      <c r="O215" s="21">
        <v>-1</v>
      </c>
      <c r="P215" s="21">
        <v>4</v>
      </c>
    </row>
    <row r="216" spans="1:16" s="21" customFormat="1">
      <c r="A216" s="21">
        <v>1011</v>
      </c>
      <c r="B216" s="35">
        <v>17</v>
      </c>
      <c r="C216" s="21" t="s">
        <v>908</v>
      </c>
      <c r="D216" s="21">
        <v>99900015</v>
      </c>
      <c r="E216" s="21" t="s">
        <v>624</v>
      </c>
      <c r="F216" s="21">
        <v>1</v>
      </c>
      <c r="G216" s="21" t="s">
        <v>7</v>
      </c>
      <c r="H216" s="21">
        <v>10000</v>
      </c>
      <c r="O216" s="21">
        <v>-1</v>
      </c>
      <c r="P216" s="21">
        <v>4</v>
      </c>
    </row>
    <row r="217" spans="1:16" s="21" customFormat="1">
      <c r="A217" s="21">
        <v>1011</v>
      </c>
      <c r="B217" s="35">
        <v>18</v>
      </c>
      <c r="C217" s="21" t="s">
        <v>90</v>
      </c>
      <c r="D217" s="21">
        <v>99900016</v>
      </c>
      <c r="E217" s="21" t="str">
        <f>VLOOKUP(D217,装备道具ID!$A$1:$B$1221,2,FALSE)</f>
        <v>斩马刀</v>
      </c>
      <c r="F217" s="21">
        <v>1</v>
      </c>
      <c r="G217" s="21" t="s">
        <v>7</v>
      </c>
      <c r="H217" s="21">
        <v>6000</v>
      </c>
      <c r="O217" s="21">
        <v>-1</v>
      </c>
      <c r="P217" s="21">
        <v>4</v>
      </c>
    </row>
    <row r="218" spans="1:16" s="21" customFormat="1">
      <c r="A218" s="21">
        <v>1011</v>
      </c>
      <c r="B218" s="35">
        <v>19</v>
      </c>
      <c r="C218" s="21" t="s">
        <v>908</v>
      </c>
      <c r="D218" s="21">
        <v>99900013</v>
      </c>
      <c r="E218" s="21" t="s">
        <v>910</v>
      </c>
      <c r="F218" s="21">
        <v>1</v>
      </c>
      <c r="G218" s="21" t="s">
        <v>7</v>
      </c>
      <c r="H218" s="21">
        <v>10000</v>
      </c>
      <c r="O218" s="21">
        <v>-1</v>
      </c>
      <c r="P218" s="21">
        <v>4</v>
      </c>
    </row>
    <row r="219" spans="1:16" s="21" customFormat="1">
      <c r="A219" s="21">
        <v>1011</v>
      </c>
      <c r="B219" s="35">
        <v>20</v>
      </c>
      <c r="C219" s="21" t="s">
        <v>908</v>
      </c>
      <c r="D219" s="21">
        <v>99900017</v>
      </c>
      <c r="E219" s="21" t="s">
        <v>626</v>
      </c>
      <c r="F219" s="21">
        <v>1</v>
      </c>
      <c r="G219" s="21" t="s">
        <v>7</v>
      </c>
      <c r="H219" s="21">
        <v>10000</v>
      </c>
      <c r="O219" s="21">
        <v>-1</v>
      </c>
      <c r="P219" s="21">
        <v>4</v>
      </c>
    </row>
    <row r="220" spans="1:16" s="21" customFormat="1">
      <c r="A220" s="21">
        <v>1011</v>
      </c>
      <c r="B220" s="35">
        <v>21</v>
      </c>
      <c r="C220" s="21" t="s">
        <v>908</v>
      </c>
      <c r="D220" s="21">
        <v>99900020</v>
      </c>
      <c r="E220" s="21" t="s">
        <v>629</v>
      </c>
      <c r="F220" s="21">
        <v>1</v>
      </c>
      <c r="G220" s="21" t="s">
        <v>7</v>
      </c>
      <c r="H220" s="21">
        <v>8000</v>
      </c>
      <c r="O220" s="21">
        <v>-1</v>
      </c>
      <c r="P220" s="21">
        <v>4</v>
      </c>
    </row>
    <row r="221" spans="1:16">
      <c r="A221" s="21">
        <v>1101</v>
      </c>
      <c r="B221" s="35">
        <v>1</v>
      </c>
      <c r="C221" s="21" t="s">
        <v>1</v>
      </c>
      <c r="D221" s="21">
        <v>99980113</v>
      </c>
      <c r="E221" s="21" t="str">
        <f>VLOOKUP(D221,装备道具ID!$A$1:$B$1221,2,FALSE)</f>
        <v>布衣</v>
      </c>
      <c r="F221" s="21">
        <v>1</v>
      </c>
      <c r="G221" s="21" t="s">
        <v>7</v>
      </c>
      <c r="H221" s="21">
        <v>120</v>
      </c>
      <c r="O221" s="21">
        <v>-1</v>
      </c>
      <c r="P221" s="21">
        <v>5</v>
      </c>
    </row>
    <row r="222" spans="1:16" s="21" customFormat="1">
      <c r="A222" s="21">
        <v>1101</v>
      </c>
      <c r="B222" s="35">
        <v>2</v>
      </c>
      <c r="C222" s="21" t="s">
        <v>1</v>
      </c>
      <c r="D222" s="21">
        <v>99990113</v>
      </c>
      <c r="E222" s="21" t="str">
        <f>VLOOKUP(D222,装备道具ID!$A$1:$B$1221,2,FALSE)</f>
        <v>布衣6</v>
      </c>
      <c r="F222" s="21">
        <v>1</v>
      </c>
      <c r="G222" s="21" t="s">
        <v>7</v>
      </c>
      <c r="H222" s="21">
        <v>120</v>
      </c>
      <c r="O222" s="21">
        <v>-1</v>
      </c>
      <c r="P222" s="21">
        <v>5</v>
      </c>
    </row>
    <row r="223" spans="1:16" s="20" customFormat="1">
      <c r="A223" s="21">
        <v>1101</v>
      </c>
      <c r="B223" s="35">
        <v>3</v>
      </c>
      <c r="C223" s="21" t="s">
        <v>1</v>
      </c>
      <c r="D223" s="21">
        <v>99990111</v>
      </c>
      <c r="E223" s="21" t="str">
        <f>VLOOKUP(D223,装备道具ID!$A$1:$B$1221,2,FALSE)</f>
        <v>青铜头盔</v>
      </c>
      <c r="F223" s="21">
        <v>1</v>
      </c>
      <c r="G223" s="21" t="s">
        <v>7</v>
      </c>
      <c r="H223" s="21">
        <v>1000</v>
      </c>
      <c r="O223" s="21">
        <v>-1</v>
      </c>
      <c r="P223" s="21">
        <v>5</v>
      </c>
    </row>
    <row r="224" spans="1:16" s="21" customFormat="1">
      <c r="A224" s="21">
        <v>1101</v>
      </c>
      <c r="B224" s="35">
        <v>4</v>
      </c>
      <c r="C224" s="21" t="s">
        <v>1</v>
      </c>
      <c r="D224" s="21">
        <v>99980213</v>
      </c>
      <c r="E224" s="21" t="str">
        <f>VLOOKUP(D224,装备道具ID!$A$1:$B$1221,2,FALSE)</f>
        <v>轻型盔甲</v>
      </c>
      <c r="F224" s="21">
        <v>1</v>
      </c>
      <c r="G224" s="21" t="s">
        <v>7</v>
      </c>
      <c r="H224" s="14">
        <v>3000</v>
      </c>
      <c r="O224" s="32">
        <v>-1</v>
      </c>
      <c r="P224" s="32">
        <v>5</v>
      </c>
    </row>
    <row r="225" spans="1:16" s="21" customFormat="1">
      <c r="A225" s="21">
        <v>1101</v>
      </c>
      <c r="B225" s="35">
        <v>5</v>
      </c>
      <c r="C225" s="21" t="s">
        <v>1</v>
      </c>
      <c r="D225" s="21">
        <v>99990213</v>
      </c>
      <c r="E225" s="21" t="str">
        <f>VLOOKUP(D225,装备道具ID!$A$1:$B$1221,2,FALSE)</f>
        <v>轻型盔甲6</v>
      </c>
      <c r="F225" s="21">
        <v>1</v>
      </c>
      <c r="G225" s="21" t="s">
        <v>7</v>
      </c>
      <c r="H225" s="14">
        <v>3000</v>
      </c>
      <c r="O225" s="32">
        <v>-1</v>
      </c>
      <c r="P225" s="32">
        <v>5</v>
      </c>
    </row>
    <row r="226" spans="1:16" s="21" customFormat="1">
      <c r="A226" s="21">
        <v>1101</v>
      </c>
      <c r="B226" s="35">
        <v>6</v>
      </c>
      <c r="C226" s="21" t="s">
        <v>1</v>
      </c>
      <c r="D226" s="21">
        <v>99990211</v>
      </c>
      <c r="E226" s="21" t="str">
        <f>VLOOKUP(D226,装备道具ID!$A$1:$B$1221,2,FALSE)</f>
        <v>魔法头盔</v>
      </c>
      <c r="F226" s="21">
        <v>1</v>
      </c>
      <c r="G226" s="21" t="s">
        <v>7</v>
      </c>
      <c r="H226" s="14">
        <v>2000</v>
      </c>
      <c r="O226" s="21">
        <v>-1</v>
      </c>
      <c r="P226" s="21">
        <v>5</v>
      </c>
    </row>
    <row r="227" spans="1:16" s="21" customFormat="1">
      <c r="A227" s="21">
        <v>1101</v>
      </c>
      <c r="B227" s="35">
        <v>7</v>
      </c>
      <c r="C227" s="21" t="s">
        <v>1</v>
      </c>
      <c r="D227" s="21">
        <v>99980313</v>
      </c>
      <c r="E227" s="21" t="str">
        <f>VLOOKUP(D227,装备道具ID!$A$1:$B$1221,2,FALSE)</f>
        <v>中型盔甲</v>
      </c>
      <c r="F227" s="21">
        <v>1</v>
      </c>
      <c r="G227" s="21" t="s">
        <v>7</v>
      </c>
      <c r="H227" s="21">
        <v>6000</v>
      </c>
      <c r="O227" s="21">
        <v>-1</v>
      </c>
      <c r="P227" s="21">
        <v>5</v>
      </c>
    </row>
    <row r="228" spans="1:16" s="21" customFormat="1">
      <c r="A228" s="21">
        <v>1101</v>
      </c>
      <c r="B228" s="35">
        <v>8</v>
      </c>
      <c r="C228" s="21" t="s">
        <v>1</v>
      </c>
      <c r="D228" s="21">
        <v>99990313</v>
      </c>
      <c r="E228" s="21" t="str">
        <f>VLOOKUP(D228,装备道具ID!$A$1:$B$1221,2,FALSE)</f>
        <v>中型盔甲6</v>
      </c>
      <c r="F228" s="21">
        <v>1</v>
      </c>
      <c r="G228" s="21" t="s">
        <v>7</v>
      </c>
      <c r="H228" s="21">
        <v>6000</v>
      </c>
      <c r="O228" s="21">
        <v>-1</v>
      </c>
      <c r="P228" s="21">
        <v>5</v>
      </c>
    </row>
    <row r="229" spans="1:16" s="21" customFormat="1">
      <c r="A229" s="21">
        <v>1101</v>
      </c>
      <c r="B229" s="35">
        <v>9</v>
      </c>
      <c r="C229" s="21" t="s">
        <v>1</v>
      </c>
      <c r="D229" s="21">
        <v>111008</v>
      </c>
      <c r="E229" s="21" t="str">
        <f>VLOOKUP(D229,装备道具ID!$A$1:$B$1221,2,FALSE)</f>
        <v>高级装备碎片</v>
      </c>
      <c r="F229" s="21">
        <v>1</v>
      </c>
      <c r="G229" s="21" t="s">
        <v>7</v>
      </c>
      <c r="H229" s="21">
        <v>4200</v>
      </c>
      <c r="O229" s="21">
        <v>-1</v>
      </c>
      <c r="P229" s="21">
        <v>5</v>
      </c>
    </row>
    <row r="230" spans="1:16" s="1" customFormat="1">
      <c r="A230" s="1">
        <v>1201</v>
      </c>
      <c r="B230" s="35">
        <v>1</v>
      </c>
      <c r="C230" s="1" t="s">
        <v>58</v>
      </c>
      <c r="D230" s="15">
        <v>99930001</v>
      </c>
      <c r="E230" s="21" t="str">
        <f>VLOOKUP(D230,装备道具ID!$A$1:$B$1221,2,FALSE)</f>
        <v>古铜戒指</v>
      </c>
      <c r="G230" s="1" t="s">
        <v>7</v>
      </c>
      <c r="H230" s="16">
        <v>500</v>
      </c>
      <c r="O230" s="21">
        <v>-1</v>
      </c>
      <c r="P230" s="21">
        <v>6</v>
      </c>
    </row>
    <row r="231" spans="1:16" s="1" customFormat="1">
      <c r="A231" s="1">
        <v>1201</v>
      </c>
      <c r="B231" s="35">
        <v>2</v>
      </c>
      <c r="C231" s="1" t="s">
        <v>58</v>
      </c>
      <c r="D231" s="15">
        <v>99930003</v>
      </c>
      <c r="E231" s="21" t="str">
        <f>VLOOKUP(D231,装备道具ID!$A$1:$B$1221,2,FALSE)</f>
        <v>六角戒指</v>
      </c>
      <c r="F231" s="1">
        <v>1</v>
      </c>
      <c r="G231" s="1" t="s">
        <v>7</v>
      </c>
      <c r="H231" s="16">
        <v>800</v>
      </c>
      <c r="O231" s="21">
        <v>-1</v>
      </c>
      <c r="P231" s="21">
        <v>6</v>
      </c>
    </row>
    <row r="232" spans="1:16" s="1" customFormat="1">
      <c r="A232" s="1">
        <v>1201</v>
      </c>
      <c r="B232" s="35">
        <v>3</v>
      </c>
      <c r="C232" s="1" t="s">
        <v>58</v>
      </c>
      <c r="D232" s="15">
        <v>99930002</v>
      </c>
      <c r="E232" s="21" t="str">
        <f>VLOOKUP(D232,装备道具ID!$A$1:$B$1221,2,FALSE)</f>
        <v>玻璃戒指</v>
      </c>
      <c r="F232" s="1">
        <v>1</v>
      </c>
      <c r="G232" s="1" t="s">
        <v>7</v>
      </c>
      <c r="H232" s="16">
        <v>800</v>
      </c>
      <c r="O232" s="21">
        <v>-1</v>
      </c>
      <c r="P232" s="21">
        <v>6</v>
      </c>
    </row>
    <row r="233" spans="1:16" s="1" customFormat="1">
      <c r="A233" s="1">
        <v>1201</v>
      </c>
      <c r="B233" s="35">
        <v>4</v>
      </c>
      <c r="C233" s="1" t="s">
        <v>58</v>
      </c>
      <c r="D233" s="15">
        <v>99930004</v>
      </c>
      <c r="E233" s="21" t="str">
        <f>VLOOKUP(D233,装备道具ID!$A$1:$B$1221,2,FALSE)</f>
        <v>牛角戒指</v>
      </c>
      <c r="F233" s="1">
        <v>1</v>
      </c>
      <c r="G233" s="1" t="s">
        <v>7</v>
      </c>
      <c r="H233" s="16">
        <v>1000</v>
      </c>
      <c r="O233" s="21">
        <v>-1</v>
      </c>
      <c r="P233" s="21">
        <v>6</v>
      </c>
    </row>
    <row r="234" spans="1:16" s="1" customFormat="1">
      <c r="A234" s="1">
        <v>1201</v>
      </c>
      <c r="B234" s="35">
        <v>5</v>
      </c>
      <c r="C234" s="1" t="s">
        <v>58</v>
      </c>
      <c r="D234" s="15">
        <v>99930005</v>
      </c>
      <c r="E234" s="21" t="str">
        <f>VLOOKUP(D234,装备道具ID!$A$1:$B$1221,2,FALSE)</f>
        <v>蓝色水晶戒指</v>
      </c>
      <c r="F234" s="1">
        <v>1</v>
      </c>
      <c r="G234" s="1" t="s">
        <v>7</v>
      </c>
      <c r="H234" s="16">
        <v>1500</v>
      </c>
      <c r="O234" s="21">
        <v>-1</v>
      </c>
      <c r="P234" s="21">
        <v>6</v>
      </c>
    </row>
    <row r="235" spans="1:16" s="13" customFormat="1">
      <c r="A235" s="15">
        <v>1201</v>
      </c>
      <c r="B235" s="35">
        <v>6</v>
      </c>
      <c r="C235" s="15" t="s">
        <v>58</v>
      </c>
      <c r="D235" s="15">
        <v>99930006</v>
      </c>
      <c r="E235" s="21" t="str">
        <f>VLOOKUP(D235,装备道具ID!$A$1:$B$1221,2,FALSE)</f>
        <v>生铁戒指</v>
      </c>
      <c r="F235" s="15">
        <v>1</v>
      </c>
      <c r="G235" s="15" t="s">
        <v>7</v>
      </c>
      <c r="H235" s="16">
        <v>3000</v>
      </c>
      <c r="O235" s="21">
        <v>-1</v>
      </c>
      <c r="P235" s="21">
        <v>6</v>
      </c>
    </row>
    <row r="236" spans="1:16" s="13" customFormat="1">
      <c r="A236" s="15">
        <v>1201</v>
      </c>
      <c r="B236" s="35">
        <v>7</v>
      </c>
      <c r="C236" s="15" t="s">
        <v>58</v>
      </c>
      <c r="D236" s="15">
        <v>99930010</v>
      </c>
      <c r="E236" s="21" t="str">
        <f>VLOOKUP(D236,装备道具ID!$A$1:$B$1221,2,FALSE)</f>
        <v>金戒指</v>
      </c>
      <c r="F236" s="15">
        <v>1</v>
      </c>
      <c r="G236" s="15" t="s">
        <v>7</v>
      </c>
      <c r="H236" s="16">
        <v>8000</v>
      </c>
      <c r="O236" s="21">
        <v>-1</v>
      </c>
      <c r="P236" s="21">
        <v>6</v>
      </c>
    </row>
    <row r="237" spans="1:16" s="13" customFormat="1">
      <c r="A237" s="15">
        <v>1201</v>
      </c>
      <c r="B237" s="35">
        <v>8</v>
      </c>
      <c r="C237" s="15" t="s">
        <v>58</v>
      </c>
      <c r="D237" s="15">
        <v>99930012</v>
      </c>
      <c r="E237" s="21" t="str">
        <f>VLOOKUP(D237,装备道具ID!$A$1:$B$1221,2,FALSE)</f>
        <v>魅力戒指</v>
      </c>
      <c r="F237" s="15">
        <v>1</v>
      </c>
      <c r="G237" s="15" t="s">
        <v>7</v>
      </c>
      <c r="H237" s="16">
        <v>4000</v>
      </c>
      <c r="O237" s="21">
        <v>-1</v>
      </c>
      <c r="P237" s="21">
        <v>6</v>
      </c>
    </row>
    <row r="238" spans="1:16" s="13" customFormat="1">
      <c r="A238" s="15">
        <v>1201</v>
      </c>
      <c r="B238" s="35">
        <v>9</v>
      </c>
      <c r="C238" s="15" t="s">
        <v>58</v>
      </c>
      <c r="D238" s="15">
        <v>99930011</v>
      </c>
      <c r="E238" s="21" t="str">
        <f>VLOOKUP(D238,装备道具ID!$A$1:$B$1221,2,FALSE)</f>
        <v>道德戒指</v>
      </c>
      <c r="F238" s="15">
        <v>1</v>
      </c>
      <c r="G238" s="15" t="s">
        <v>7</v>
      </c>
      <c r="H238" s="16">
        <v>4000</v>
      </c>
      <c r="O238" s="21">
        <v>-1</v>
      </c>
      <c r="P238" s="21">
        <v>6</v>
      </c>
    </row>
    <row r="239" spans="1:16" s="13" customFormat="1">
      <c r="A239" s="15">
        <v>1201</v>
      </c>
      <c r="B239" s="35">
        <v>10</v>
      </c>
      <c r="C239" s="15" t="s">
        <v>58</v>
      </c>
      <c r="D239" s="15">
        <v>99930008</v>
      </c>
      <c r="E239" s="21" t="str">
        <f>VLOOKUP(D239,装备道具ID!$A$1:$B$1221,2,FALSE)</f>
        <v>黑色水晶戒指</v>
      </c>
      <c r="F239" s="15">
        <v>1</v>
      </c>
      <c r="G239" s="15" t="s">
        <v>7</v>
      </c>
      <c r="H239" s="16">
        <v>2000</v>
      </c>
      <c r="O239" s="21">
        <v>-1</v>
      </c>
      <c r="P239" s="21">
        <v>6</v>
      </c>
    </row>
    <row r="240" spans="1:16" s="13" customFormat="1">
      <c r="A240" s="15">
        <v>1201</v>
      </c>
      <c r="B240" s="35">
        <v>11</v>
      </c>
      <c r="C240" s="15" t="s">
        <v>58</v>
      </c>
      <c r="D240" s="15">
        <v>99930009</v>
      </c>
      <c r="E240" s="21" t="str">
        <f>VLOOKUP(D240,装备道具ID!$A$1:$B$1221,2,FALSE)</f>
        <v>蛇眼戒指</v>
      </c>
      <c r="F240" s="15">
        <v>1</v>
      </c>
      <c r="G240" s="15" t="s">
        <v>7</v>
      </c>
      <c r="H240" s="16">
        <v>2000</v>
      </c>
      <c r="O240" s="21">
        <v>-1</v>
      </c>
      <c r="P240" s="21">
        <v>6</v>
      </c>
    </row>
    <row r="241" spans="1:16" s="13" customFormat="1">
      <c r="A241" s="15">
        <v>1201</v>
      </c>
      <c r="B241" s="35">
        <v>12</v>
      </c>
      <c r="C241" s="15" t="s">
        <v>58</v>
      </c>
      <c r="D241" s="15">
        <v>99930007</v>
      </c>
      <c r="E241" s="21" t="str">
        <f>VLOOKUP(D241,装备道具ID!$A$1:$B$1221,2,FALSE)</f>
        <v>珍珠戒指</v>
      </c>
      <c r="F241" s="15">
        <v>1</v>
      </c>
      <c r="G241" s="15" t="s">
        <v>7</v>
      </c>
      <c r="H241" s="16">
        <v>2000</v>
      </c>
      <c r="O241" s="21">
        <v>-1</v>
      </c>
      <c r="P241" s="21">
        <v>6</v>
      </c>
    </row>
    <row r="242" spans="1:16" s="13" customFormat="1">
      <c r="A242" s="15">
        <v>1201</v>
      </c>
      <c r="B242" s="35">
        <v>13</v>
      </c>
      <c r="C242" s="15" t="s">
        <v>58</v>
      </c>
      <c r="D242" s="15">
        <v>99930015</v>
      </c>
      <c r="E242" s="21" t="str">
        <f>VLOOKUP(D242,装备道具ID!$A$1:$B$1221,2,FALSE)</f>
        <v>骷髅戒指</v>
      </c>
      <c r="F242" s="15">
        <v>1</v>
      </c>
      <c r="G242" s="15" t="s">
        <v>7</v>
      </c>
      <c r="H242" s="16">
        <v>5000</v>
      </c>
      <c r="O242" s="21">
        <v>-1</v>
      </c>
      <c r="P242" s="21">
        <v>6</v>
      </c>
    </row>
    <row r="243" spans="1:16" s="1" customFormat="1">
      <c r="A243" s="1">
        <v>1202</v>
      </c>
      <c r="B243" s="35">
        <v>1</v>
      </c>
      <c r="C243" s="1" t="s">
        <v>60</v>
      </c>
      <c r="D243" s="17">
        <v>99940002</v>
      </c>
      <c r="E243" s="21" t="str">
        <f>VLOOKUP(D243,装备道具ID!$A$1:$B$1221,2,FALSE)</f>
        <v>小手镯</v>
      </c>
      <c r="F243" s="1">
        <v>1</v>
      </c>
      <c r="G243" s="1" t="s">
        <v>7</v>
      </c>
      <c r="H243" s="18">
        <v>1000</v>
      </c>
      <c r="O243" s="21">
        <v>-1</v>
      </c>
      <c r="P243" s="21">
        <v>6</v>
      </c>
    </row>
    <row r="244" spans="1:16">
      <c r="A244" s="1">
        <v>1202</v>
      </c>
      <c r="B244" s="35">
        <v>2</v>
      </c>
      <c r="C244" t="s">
        <v>60</v>
      </c>
      <c r="D244" s="17">
        <v>99940003</v>
      </c>
      <c r="E244" s="21" t="str">
        <f>VLOOKUP(D244,装备道具ID!$A$1:$B$1221,2,FALSE)</f>
        <v>银手镯</v>
      </c>
      <c r="F244">
        <v>1</v>
      </c>
      <c r="G244" t="s">
        <v>7</v>
      </c>
      <c r="H244" s="18">
        <v>1500</v>
      </c>
      <c r="O244" s="21">
        <v>-1</v>
      </c>
      <c r="P244" s="21">
        <v>6</v>
      </c>
    </row>
    <row r="245" spans="1:16">
      <c r="A245" s="18">
        <v>1202</v>
      </c>
      <c r="B245" s="35">
        <v>3</v>
      </c>
      <c r="C245" s="18" t="s">
        <v>60</v>
      </c>
      <c r="D245" s="17">
        <v>99940001</v>
      </c>
      <c r="E245" s="21" t="str">
        <f>VLOOKUP(D245,装备道具ID!$A$1:$B$1221,2,FALSE)</f>
        <v>铁手镯</v>
      </c>
      <c r="F245">
        <v>1</v>
      </c>
      <c r="G245" t="s">
        <v>7</v>
      </c>
      <c r="H245" s="18">
        <v>800</v>
      </c>
      <c r="O245" s="21">
        <v>-1</v>
      </c>
      <c r="P245" s="21">
        <v>6</v>
      </c>
    </row>
    <row r="246" spans="1:16">
      <c r="A246" s="18">
        <v>1202</v>
      </c>
      <c r="B246" s="35">
        <v>4</v>
      </c>
      <c r="C246" s="18" t="s">
        <v>60</v>
      </c>
      <c r="D246" s="17">
        <v>99940005</v>
      </c>
      <c r="E246" s="21" t="str">
        <f>VLOOKUP(D246,装备道具ID!$A$1:$B$1221,2,FALSE)</f>
        <v>钢手镯</v>
      </c>
      <c r="F246">
        <v>1</v>
      </c>
      <c r="G246" t="s">
        <v>7</v>
      </c>
      <c r="H246" s="18">
        <v>2000</v>
      </c>
      <c r="O246" s="21">
        <v>-1</v>
      </c>
      <c r="P246" s="21">
        <v>6</v>
      </c>
    </row>
    <row r="247" spans="1:16" s="16" customFormat="1">
      <c r="A247" s="18">
        <v>1202</v>
      </c>
      <c r="B247" s="35">
        <v>5</v>
      </c>
      <c r="C247" s="18" t="s">
        <v>60</v>
      </c>
      <c r="D247" s="17">
        <v>99940017</v>
      </c>
      <c r="E247" s="21" t="str">
        <f>VLOOKUP(D247,装备道具ID!$A$1:$B$1221,2,FALSE)</f>
        <v>皮制手套</v>
      </c>
      <c r="F247" s="18">
        <v>1</v>
      </c>
      <c r="G247" s="18" t="s">
        <v>7</v>
      </c>
      <c r="H247" s="18">
        <v>1500</v>
      </c>
      <c r="O247" s="21">
        <v>-1</v>
      </c>
      <c r="P247" s="21">
        <v>6</v>
      </c>
    </row>
    <row r="248" spans="1:16" s="16" customFormat="1">
      <c r="A248" s="18">
        <v>1202</v>
      </c>
      <c r="B248" s="35">
        <v>6</v>
      </c>
      <c r="C248" s="18" t="s">
        <v>60</v>
      </c>
      <c r="D248" s="17">
        <v>99940004</v>
      </c>
      <c r="E248" s="21" t="str">
        <f>VLOOKUP(D248,装备道具ID!$A$1:$B$1221,2,FALSE)</f>
        <v>大手镯</v>
      </c>
      <c r="F248" s="18">
        <v>1</v>
      </c>
      <c r="G248" s="18" t="s">
        <v>7</v>
      </c>
      <c r="H248" s="18">
        <v>5000</v>
      </c>
      <c r="O248" s="21">
        <v>-1</v>
      </c>
      <c r="P248" s="21">
        <v>6</v>
      </c>
    </row>
    <row r="249" spans="1:16" s="16" customFormat="1">
      <c r="A249" s="18">
        <v>1202</v>
      </c>
      <c r="B249" s="35">
        <v>7</v>
      </c>
      <c r="C249" s="18" t="s">
        <v>60</v>
      </c>
      <c r="D249" s="17">
        <v>99940018</v>
      </c>
      <c r="E249" s="21" t="str">
        <f>VLOOKUP(D249,装备道具ID!$A$1:$B$1221,2,FALSE)</f>
        <v>坚固手套</v>
      </c>
      <c r="F249" s="18">
        <v>1</v>
      </c>
      <c r="G249" s="18" t="s">
        <v>7</v>
      </c>
      <c r="H249" s="18">
        <v>7000</v>
      </c>
      <c r="O249" s="21">
        <v>-1</v>
      </c>
      <c r="P249" s="21">
        <v>6</v>
      </c>
    </row>
    <row r="250" spans="1:16" s="16" customFormat="1">
      <c r="A250" s="18">
        <v>1202</v>
      </c>
      <c r="B250" s="35">
        <v>8</v>
      </c>
      <c r="C250" s="18" t="s">
        <v>60</v>
      </c>
      <c r="D250" s="17">
        <v>99940027</v>
      </c>
      <c r="E250" s="21" t="str">
        <f>VLOOKUP(D250,装备道具ID!$A$1:$B$1221,2,FALSE)</f>
        <v>魔力手镯</v>
      </c>
      <c r="F250" s="18">
        <v>1</v>
      </c>
      <c r="G250" s="18" t="s">
        <v>7</v>
      </c>
      <c r="H250" s="18">
        <v>8000</v>
      </c>
      <c r="O250" s="21">
        <v>-1</v>
      </c>
      <c r="P250" s="21">
        <v>6</v>
      </c>
    </row>
    <row r="251" spans="1:16" s="16" customFormat="1">
      <c r="A251" s="18">
        <v>1202</v>
      </c>
      <c r="B251" s="35">
        <v>9</v>
      </c>
      <c r="C251" s="18" t="s">
        <v>60</v>
      </c>
      <c r="D251" s="17">
        <v>99940009</v>
      </c>
      <c r="E251" s="21" t="str">
        <f>VLOOKUP(D251,装备道具ID!$A$1:$B$1221,2,FALSE)</f>
        <v>金手镯</v>
      </c>
      <c r="F251" s="18">
        <v>1</v>
      </c>
      <c r="G251" s="18" t="s">
        <v>7</v>
      </c>
      <c r="H251" s="18">
        <v>7000</v>
      </c>
      <c r="O251" s="21">
        <v>-1</v>
      </c>
      <c r="P251" s="21">
        <v>6</v>
      </c>
    </row>
    <row r="252" spans="1:16" s="16" customFormat="1">
      <c r="A252" s="18">
        <v>1202</v>
      </c>
      <c r="B252" s="35">
        <v>10</v>
      </c>
      <c r="C252" s="18" t="s">
        <v>60</v>
      </c>
      <c r="D252" s="17">
        <v>99940007</v>
      </c>
      <c r="E252" s="21" t="str">
        <f>VLOOKUP(D252,装备道具ID!$A$1:$B$1221,2,FALSE)</f>
        <v>道士手镯</v>
      </c>
      <c r="F252" s="18">
        <v>1</v>
      </c>
      <c r="G252" s="18" t="s">
        <v>7</v>
      </c>
      <c r="H252" s="18">
        <v>4000</v>
      </c>
      <c r="O252" s="21">
        <v>-1</v>
      </c>
      <c r="P252" s="21">
        <v>6</v>
      </c>
    </row>
    <row r="253" spans="1:16" s="16" customFormat="1">
      <c r="A253" s="18">
        <v>1202</v>
      </c>
      <c r="B253" s="35">
        <v>11</v>
      </c>
      <c r="C253" s="18" t="s">
        <v>60</v>
      </c>
      <c r="D253" s="17">
        <v>99940008</v>
      </c>
      <c r="E253" s="21" t="str">
        <f>VLOOKUP(D253,装备道具ID!$A$1:$B$1221,2,FALSE)</f>
        <v>黑檀手镯</v>
      </c>
      <c r="F253" s="18">
        <v>1</v>
      </c>
      <c r="G253" s="18" t="s">
        <v>7</v>
      </c>
      <c r="H253" s="18">
        <v>4000</v>
      </c>
      <c r="O253" s="21">
        <v>-1</v>
      </c>
      <c r="P253" s="21">
        <v>6</v>
      </c>
    </row>
    <row r="254" spans="1:16" s="1" customFormat="1">
      <c r="A254" s="1">
        <v>1203</v>
      </c>
      <c r="B254" s="35">
        <v>1</v>
      </c>
      <c r="C254" s="1" t="s">
        <v>59</v>
      </c>
      <c r="D254" s="19">
        <v>99920001</v>
      </c>
      <c r="E254" s="21" t="str">
        <f>VLOOKUP(D254,装备道具ID!$A$1:$B$1221,2,FALSE)</f>
        <v>金项链</v>
      </c>
      <c r="F254" s="1">
        <v>1</v>
      </c>
      <c r="G254" s="1" t="s">
        <v>7</v>
      </c>
      <c r="H254" s="20">
        <v>500</v>
      </c>
      <c r="O254" s="21">
        <v>-1</v>
      </c>
      <c r="P254" s="21">
        <v>6</v>
      </c>
    </row>
    <row r="255" spans="1:16" s="1" customFormat="1">
      <c r="A255" s="1">
        <v>1203</v>
      </c>
      <c r="B255" s="35">
        <v>2</v>
      </c>
      <c r="C255" s="1" t="s">
        <v>59</v>
      </c>
      <c r="D255" s="19">
        <v>99920004</v>
      </c>
      <c r="E255" s="21" t="str">
        <f>VLOOKUP(D255,装备道具ID!$A$1:$B$1221,2,FALSE)</f>
        <v>黑檀项链</v>
      </c>
      <c r="F255" s="1">
        <v>1</v>
      </c>
      <c r="G255" s="1" t="s">
        <v>7</v>
      </c>
      <c r="H255" s="20">
        <v>1200</v>
      </c>
      <c r="O255" s="21">
        <v>-1</v>
      </c>
      <c r="P255" s="21">
        <v>6</v>
      </c>
    </row>
    <row r="256" spans="1:16" s="1" customFormat="1">
      <c r="A256" s="1">
        <v>1203</v>
      </c>
      <c r="B256" s="35">
        <v>3</v>
      </c>
      <c r="C256" s="1" t="s">
        <v>59</v>
      </c>
      <c r="D256" s="19">
        <v>99920003</v>
      </c>
      <c r="E256" s="21" t="str">
        <f>VLOOKUP(D256,装备道具ID!$A$1:$B$1221,2,FALSE)</f>
        <v>黄色水晶项链</v>
      </c>
      <c r="F256" s="1">
        <v>1</v>
      </c>
      <c r="G256" s="1" t="s">
        <v>7</v>
      </c>
      <c r="H256" s="20">
        <v>1200</v>
      </c>
      <c r="O256" s="21">
        <v>-1</v>
      </c>
      <c r="P256" s="21">
        <v>6</v>
      </c>
    </row>
    <row r="257" spans="1:16" s="1" customFormat="1">
      <c r="A257" s="1">
        <v>1203</v>
      </c>
      <c r="B257" s="35">
        <v>4</v>
      </c>
      <c r="C257" s="1" t="s">
        <v>59</v>
      </c>
      <c r="D257" s="19">
        <v>99920005</v>
      </c>
      <c r="E257" s="21" t="str">
        <f>VLOOKUP(D257,装备道具ID!$A$1:$B$1221,2,FALSE)</f>
        <v>黑色水晶项链</v>
      </c>
      <c r="F257" s="1">
        <v>1</v>
      </c>
      <c r="G257" s="1" t="s">
        <v>7</v>
      </c>
      <c r="H257" s="20">
        <v>1500</v>
      </c>
      <c r="O257" s="21">
        <v>-1</v>
      </c>
      <c r="P257" s="21">
        <v>6</v>
      </c>
    </row>
    <row r="258" spans="1:16" s="18" customFormat="1">
      <c r="A258" s="20">
        <v>1203</v>
      </c>
      <c r="B258" s="35">
        <v>5</v>
      </c>
      <c r="C258" s="20" t="s">
        <v>59</v>
      </c>
      <c r="D258" s="19">
        <v>99920009</v>
      </c>
      <c r="E258" s="21" t="str">
        <f>VLOOKUP(D258,装备道具ID!$A$1:$B$1221,2,FALSE)</f>
        <v>灯笼项链</v>
      </c>
      <c r="F258" s="20">
        <v>1</v>
      </c>
      <c r="G258" s="20" t="s">
        <v>7</v>
      </c>
      <c r="H258" s="20">
        <v>3000</v>
      </c>
      <c r="O258" s="21">
        <v>-1</v>
      </c>
      <c r="P258" s="21">
        <v>6</v>
      </c>
    </row>
    <row r="259" spans="1:16" s="18" customFormat="1">
      <c r="A259" s="20">
        <v>1203</v>
      </c>
      <c r="B259" s="35">
        <v>6</v>
      </c>
      <c r="C259" s="20" t="s">
        <v>59</v>
      </c>
      <c r="D259" s="19">
        <v>99920007</v>
      </c>
      <c r="E259" s="21" t="str">
        <f>VLOOKUP(D259,装备道具ID!$A$1:$B$1221,2,FALSE)</f>
        <v>白色虎齿项链</v>
      </c>
      <c r="F259" s="20">
        <v>1</v>
      </c>
      <c r="G259" s="20" t="s">
        <v>7</v>
      </c>
      <c r="H259" s="20">
        <v>3000</v>
      </c>
      <c r="O259" s="21">
        <v>-1</v>
      </c>
      <c r="P259" s="21">
        <v>6</v>
      </c>
    </row>
    <row r="260" spans="1:16" s="18" customFormat="1">
      <c r="A260" s="20">
        <v>1203</v>
      </c>
      <c r="B260" s="35">
        <v>7</v>
      </c>
      <c r="C260" s="20" t="s">
        <v>59</v>
      </c>
      <c r="D260" s="19">
        <v>99920006</v>
      </c>
      <c r="E260" s="21" t="str">
        <f>VLOOKUP(D260,装备道具ID!$A$1:$B$1221,2,FALSE)</f>
        <v>白金项链</v>
      </c>
      <c r="F260" s="20">
        <v>1</v>
      </c>
      <c r="G260" s="20" t="s">
        <v>7</v>
      </c>
      <c r="H260" s="20">
        <v>2000</v>
      </c>
      <c r="O260" s="21">
        <v>-1</v>
      </c>
      <c r="P260" s="21">
        <v>6</v>
      </c>
    </row>
    <row r="261" spans="1:16" s="18" customFormat="1">
      <c r="A261" s="20">
        <v>1203</v>
      </c>
      <c r="B261" s="35">
        <v>8</v>
      </c>
      <c r="C261" s="20" t="s">
        <v>59</v>
      </c>
      <c r="D261" s="19">
        <v>99920002</v>
      </c>
      <c r="E261" s="21" t="str">
        <f>VLOOKUP(D261,装备道具ID!$A$1:$B$1221,2,FALSE)</f>
        <v>传统项链</v>
      </c>
      <c r="F261" s="20">
        <v>1</v>
      </c>
      <c r="G261" s="20" t="s">
        <v>7</v>
      </c>
      <c r="H261" s="20">
        <v>1000</v>
      </c>
      <c r="O261" s="21">
        <v>-1</v>
      </c>
      <c r="P261" s="21">
        <v>6</v>
      </c>
    </row>
    <row r="262" spans="1:16" s="18" customFormat="1">
      <c r="A262" s="20">
        <v>1203</v>
      </c>
      <c r="B262" s="35">
        <v>9</v>
      </c>
      <c r="C262" s="20" t="s">
        <v>59</v>
      </c>
      <c r="D262" s="19">
        <v>99920011</v>
      </c>
      <c r="E262" s="21" t="str">
        <f>VLOOKUP(D262,装备道具ID!$A$1:$B$1221,2,FALSE)</f>
        <v>魔鬼项链</v>
      </c>
      <c r="F262" s="20">
        <v>1</v>
      </c>
      <c r="G262" s="20" t="s">
        <v>7</v>
      </c>
      <c r="H262" s="20">
        <v>2500</v>
      </c>
      <c r="O262" s="21">
        <v>-1</v>
      </c>
      <c r="P262" s="21">
        <v>6</v>
      </c>
    </row>
    <row r="263" spans="1:16" s="18" customFormat="1">
      <c r="A263" s="20">
        <v>1203</v>
      </c>
      <c r="B263" s="35">
        <v>10</v>
      </c>
      <c r="C263" s="20" t="s">
        <v>59</v>
      </c>
      <c r="D263" s="19">
        <v>99920012</v>
      </c>
      <c r="E263" s="21" t="str">
        <f>VLOOKUP(D263,装备道具ID!$A$1:$B$1221,2,FALSE)</f>
        <v>凤凰明珠</v>
      </c>
      <c r="F263" s="20">
        <v>1</v>
      </c>
      <c r="G263" s="20" t="s">
        <v>7</v>
      </c>
      <c r="H263" s="20">
        <v>2000</v>
      </c>
      <c r="I263" s="21"/>
      <c r="O263" s="21">
        <v>-1</v>
      </c>
      <c r="P263" s="21">
        <v>6</v>
      </c>
    </row>
    <row r="264" spans="1:16" s="18" customFormat="1">
      <c r="A264" s="20">
        <v>1203</v>
      </c>
      <c r="B264" s="35">
        <v>11</v>
      </c>
      <c r="C264" s="20" t="s">
        <v>59</v>
      </c>
      <c r="D264" s="19">
        <v>99920010</v>
      </c>
      <c r="E264" s="21" t="str">
        <f>VLOOKUP(D264,装备道具ID!$A$1:$B$1221,2,FALSE)</f>
        <v>琥珀项链</v>
      </c>
      <c r="F264" s="20">
        <v>1</v>
      </c>
      <c r="G264" s="20" t="s">
        <v>7</v>
      </c>
      <c r="H264" s="20">
        <v>2000</v>
      </c>
      <c r="I264" s="21"/>
      <c r="O264" s="21">
        <v>-1</v>
      </c>
      <c r="P264" s="21">
        <v>6</v>
      </c>
    </row>
    <row r="265" spans="1:16">
      <c r="A265">
        <v>1301</v>
      </c>
      <c r="B265" s="35">
        <v>1</v>
      </c>
      <c r="C265" t="s">
        <v>2</v>
      </c>
      <c r="D265">
        <v>301</v>
      </c>
      <c r="E265" s="21" t="str">
        <f>VLOOKUP(D265,装备道具ID!$A$1:$B$1221,2,FALSE)</f>
        <v>金创药(小量)</v>
      </c>
      <c r="F265">
        <v>1</v>
      </c>
      <c r="G265" t="s">
        <v>7</v>
      </c>
      <c r="H265">
        <v>120</v>
      </c>
      <c r="I265" s="21"/>
      <c r="O265" s="21">
        <v>-1</v>
      </c>
      <c r="P265" s="21">
        <v>2</v>
      </c>
    </row>
    <row r="266" spans="1:16">
      <c r="A266">
        <v>1401</v>
      </c>
      <c r="B266" s="35">
        <v>1</v>
      </c>
      <c r="C266" t="s">
        <v>3</v>
      </c>
      <c r="D266" s="1">
        <v>301</v>
      </c>
      <c r="E266" s="21" t="str">
        <f>VLOOKUP(D266,装备道具ID!$A$1:$B$1221,2,FALSE)</f>
        <v>金创药(小量)</v>
      </c>
      <c r="F266">
        <v>1</v>
      </c>
      <c r="G266" t="s">
        <v>49</v>
      </c>
      <c r="H266">
        <v>6000</v>
      </c>
      <c r="I266" s="21"/>
      <c r="O266" s="21" t="s">
        <v>49</v>
      </c>
      <c r="P266" s="21">
        <v>2</v>
      </c>
    </row>
    <row r="267" spans="1:16">
      <c r="A267">
        <v>1501</v>
      </c>
      <c r="B267" s="35">
        <v>1</v>
      </c>
      <c r="C267" t="s">
        <v>4</v>
      </c>
      <c r="D267" s="1">
        <v>301</v>
      </c>
      <c r="E267" s="21" t="str">
        <f>VLOOKUP(D267,装备道具ID!$A$1:$B$1221,2,FALSE)</f>
        <v>金创药(小量)</v>
      </c>
      <c r="F267">
        <v>1</v>
      </c>
      <c r="G267" t="s">
        <v>8</v>
      </c>
      <c r="H267" s="10">
        <v>120</v>
      </c>
      <c r="I267" s="21"/>
      <c r="O267" s="21" t="s">
        <v>8</v>
      </c>
      <c r="P267" s="21">
        <v>2</v>
      </c>
    </row>
    <row r="268" spans="1:16">
      <c r="A268">
        <v>1601</v>
      </c>
      <c r="B268" s="35">
        <v>1</v>
      </c>
      <c r="C268" t="s">
        <v>5</v>
      </c>
      <c r="D268" s="1">
        <v>301</v>
      </c>
      <c r="E268" s="21" t="str">
        <f>VLOOKUP(D268,装备道具ID!$A$1:$B$1221,2,FALSE)</f>
        <v>金创药(小量)</v>
      </c>
      <c r="F268">
        <v>1</v>
      </c>
      <c r="G268" t="s">
        <v>7</v>
      </c>
      <c r="H268" s="10">
        <v>120</v>
      </c>
      <c r="I268" s="21"/>
      <c r="O268" s="21">
        <v>-1</v>
      </c>
      <c r="P268" s="21">
        <v>2</v>
      </c>
    </row>
    <row r="269" spans="1:16">
      <c r="A269">
        <v>1701</v>
      </c>
      <c r="B269" s="35">
        <v>1</v>
      </c>
      <c r="C269" t="s">
        <v>6</v>
      </c>
      <c r="D269">
        <v>1010001</v>
      </c>
      <c r="E269" s="21" t="str">
        <f>VLOOKUP(D269,装备道具ID!$A$1:$B$1221,2,FALSE)</f>
        <v>快速霜鸣兽</v>
      </c>
      <c r="F269">
        <v>1</v>
      </c>
      <c r="G269" t="s">
        <v>7</v>
      </c>
      <c r="H269">
        <v>100</v>
      </c>
      <c r="I269" s="21"/>
      <c r="O269" s="21">
        <v>-1</v>
      </c>
      <c r="P269" s="21">
        <v>2</v>
      </c>
    </row>
    <row r="270" spans="1:16">
      <c r="A270">
        <v>1701</v>
      </c>
      <c r="B270" s="35">
        <v>2</v>
      </c>
      <c r="C270" t="s">
        <v>6</v>
      </c>
      <c r="D270">
        <v>1010002</v>
      </c>
      <c r="E270" s="21" t="str">
        <f>VLOOKUP(D270,装备道具ID!$A$1:$B$1221,2,FALSE)</f>
        <v>疾速霜鸣兽</v>
      </c>
      <c r="F270">
        <v>1</v>
      </c>
      <c r="G270" t="s">
        <v>7</v>
      </c>
      <c r="H270">
        <v>1000</v>
      </c>
      <c r="I270" s="21"/>
      <c r="O270" s="21">
        <v>-1</v>
      </c>
      <c r="P270" s="21">
        <v>2</v>
      </c>
    </row>
    <row r="271" spans="1:16">
      <c r="A271">
        <v>1701</v>
      </c>
      <c r="B271" s="35">
        <v>3</v>
      </c>
      <c r="C271" t="s">
        <v>6</v>
      </c>
      <c r="D271">
        <v>1010003</v>
      </c>
      <c r="E271" s="21" t="str">
        <f>VLOOKUP(D271,装备道具ID!$A$1:$B$1221,2,FALSE)</f>
        <v>神速霜鸣兽</v>
      </c>
      <c r="F271">
        <v>1</v>
      </c>
      <c r="G271" t="s">
        <v>7</v>
      </c>
      <c r="H271">
        <v>10000</v>
      </c>
      <c r="I271" s="21"/>
      <c r="O271" s="21">
        <v>-1</v>
      </c>
      <c r="P271" s="21">
        <v>2</v>
      </c>
    </row>
    <row r="272" spans="1:16">
      <c r="A272">
        <v>1801</v>
      </c>
      <c r="B272" s="35">
        <v>1</v>
      </c>
      <c r="C272" t="s">
        <v>50</v>
      </c>
      <c r="D272">
        <v>80003</v>
      </c>
      <c r="E272" s="21" t="str">
        <f>VLOOKUP(D272,装备道具ID!$A$1:$B$1221,2,FALSE)</f>
        <v>祝福油</v>
      </c>
      <c r="F272">
        <v>1</v>
      </c>
      <c r="G272" t="s">
        <v>51</v>
      </c>
      <c r="H272">
        <v>10000</v>
      </c>
      <c r="I272" s="21"/>
      <c r="O272" s="21" t="s">
        <v>51</v>
      </c>
      <c r="P272" s="21">
        <v>2</v>
      </c>
    </row>
    <row r="273" spans="1:16" s="21" customFormat="1">
      <c r="A273" s="21">
        <v>1801</v>
      </c>
      <c r="B273" s="35">
        <v>2</v>
      </c>
      <c r="C273" s="21" t="s">
        <v>50</v>
      </c>
      <c r="D273" s="21">
        <v>21001</v>
      </c>
      <c r="E273" s="21" t="str">
        <f>VLOOKUP(D273,装备道具ID!$A$1:$B$1221,2,FALSE)</f>
        <v>战士铭文石</v>
      </c>
      <c r="F273" s="21">
        <v>1</v>
      </c>
      <c r="G273" s="21" t="s">
        <v>51</v>
      </c>
      <c r="H273" s="21">
        <v>10000</v>
      </c>
      <c r="O273" s="21" t="s">
        <v>51</v>
      </c>
      <c r="P273" s="21">
        <v>2</v>
      </c>
    </row>
    <row r="274" spans="1:16" s="21" customFormat="1">
      <c r="A274" s="21">
        <v>1801</v>
      </c>
      <c r="B274" s="35">
        <v>3</v>
      </c>
      <c r="C274" s="21" t="s">
        <v>50</v>
      </c>
      <c r="D274" s="21">
        <v>21002</v>
      </c>
      <c r="E274" s="21" t="str">
        <f>VLOOKUP(D274,装备道具ID!$A$1:$B$1221,2,FALSE)</f>
        <v>法师铭文石</v>
      </c>
      <c r="F274" s="21">
        <v>1</v>
      </c>
      <c r="G274" s="21" t="s">
        <v>51</v>
      </c>
      <c r="H274" s="21">
        <v>10000</v>
      </c>
      <c r="O274" s="21" t="s">
        <v>51</v>
      </c>
      <c r="P274" s="21">
        <v>2</v>
      </c>
    </row>
    <row r="275" spans="1:16" s="21" customFormat="1">
      <c r="A275" s="21">
        <v>1801</v>
      </c>
      <c r="B275" s="35">
        <v>4</v>
      </c>
      <c r="C275" s="21" t="s">
        <v>50</v>
      </c>
      <c r="D275" s="21">
        <v>21003</v>
      </c>
      <c r="E275" s="21" t="str">
        <f>VLOOKUP(D275,装备道具ID!$A$1:$B$1221,2,FALSE)</f>
        <v>道士铭文石</v>
      </c>
      <c r="F275" s="21">
        <v>1</v>
      </c>
      <c r="G275" s="21" t="s">
        <v>51</v>
      </c>
      <c r="H275" s="21">
        <v>10000</v>
      </c>
      <c r="O275" s="21" t="s">
        <v>51</v>
      </c>
      <c r="P275" s="21">
        <v>2</v>
      </c>
    </row>
    <row r="276" spans="1:16" s="21" customFormat="1">
      <c r="A276" s="21">
        <v>1801</v>
      </c>
      <c r="B276" s="35">
        <v>5</v>
      </c>
      <c r="C276" s="21" t="s">
        <v>50</v>
      </c>
      <c r="D276" s="21">
        <v>10110</v>
      </c>
      <c r="E276" s="21" t="str">
        <f>VLOOKUP(D276,装备道具ID!$A$1:$B$1221,2,FALSE)</f>
        <v>驭朱灵石1级</v>
      </c>
      <c r="F276" s="21">
        <v>1</v>
      </c>
      <c r="G276" s="21" t="s">
        <v>51</v>
      </c>
      <c r="H276" s="21">
        <v>10000</v>
      </c>
      <c r="O276" s="21" t="s">
        <v>51</v>
      </c>
      <c r="P276" s="21">
        <v>2</v>
      </c>
    </row>
    <row r="277" spans="1:16" s="21" customFormat="1">
      <c r="A277" s="21">
        <v>1801</v>
      </c>
      <c r="B277" s="35">
        <v>6</v>
      </c>
      <c r="C277" s="21" t="s">
        <v>50</v>
      </c>
      <c r="D277" s="21">
        <v>10120</v>
      </c>
      <c r="E277" s="21" t="str">
        <f>VLOOKUP(D277,装备道具ID!$A$1:$B$1221,2,FALSE)</f>
        <v>命朱灵石1级</v>
      </c>
      <c r="F277" s="21">
        <v>1</v>
      </c>
      <c r="G277" s="21" t="s">
        <v>51</v>
      </c>
      <c r="H277" s="21">
        <v>10000</v>
      </c>
      <c r="O277" s="21" t="s">
        <v>51</v>
      </c>
      <c r="P277" s="21">
        <v>2</v>
      </c>
    </row>
    <row r="278" spans="1:16" s="21" customFormat="1">
      <c r="A278" s="21">
        <v>1801</v>
      </c>
      <c r="B278" s="35">
        <v>7</v>
      </c>
      <c r="C278" s="21" t="s">
        <v>50</v>
      </c>
      <c r="D278" s="21">
        <v>10220</v>
      </c>
      <c r="E278" s="21" t="str">
        <f>VLOOKUP(D278,装备道具ID!$A$1:$B$1221,2,FALSE)</f>
        <v>守日灵石1级</v>
      </c>
      <c r="F278" s="21">
        <v>1</v>
      </c>
      <c r="G278" s="21" t="s">
        <v>51</v>
      </c>
      <c r="H278" s="21">
        <v>10000</v>
      </c>
      <c r="O278" s="21" t="s">
        <v>51</v>
      </c>
      <c r="P278" s="21">
        <v>2</v>
      </c>
    </row>
    <row r="279" spans="1:16" s="21" customFormat="1">
      <c r="A279" s="21">
        <v>1801</v>
      </c>
      <c r="B279" s="35">
        <v>8</v>
      </c>
      <c r="C279" s="21" t="s">
        <v>50</v>
      </c>
      <c r="D279" s="21">
        <v>10320</v>
      </c>
      <c r="E279" s="21" t="str">
        <f>VLOOKUP(D279,装备道具ID!$A$1:$B$1221,2,FALSE)</f>
        <v>蔚蓝灵石1级</v>
      </c>
      <c r="F279" s="21">
        <v>1</v>
      </c>
      <c r="G279" s="21" t="s">
        <v>51</v>
      </c>
      <c r="H279" s="21">
        <v>10000</v>
      </c>
      <c r="O279" s="21" t="s">
        <v>51</v>
      </c>
      <c r="P279" s="21">
        <v>2</v>
      </c>
    </row>
    <row r="280" spans="1:16" s="21" customFormat="1">
      <c r="A280" s="21">
        <v>1801</v>
      </c>
      <c r="B280" s="35">
        <v>9</v>
      </c>
      <c r="C280" s="21" t="s">
        <v>50</v>
      </c>
      <c r="D280" s="21">
        <v>10420</v>
      </c>
      <c r="E280" s="21" t="str">
        <f>VLOOKUP(D280,装备道具ID!$A$1:$B$1221,2,FALSE)</f>
        <v>精绿灵石1级</v>
      </c>
      <c r="F280" s="21">
        <v>1</v>
      </c>
      <c r="G280" s="21" t="s">
        <v>51</v>
      </c>
      <c r="H280" s="21">
        <v>10000</v>
      </c>
      <c r="O280" s="21" t="s">
        <v>51</v>
      </c>
      <c r="P280" s="21">
        <v>2</v>
      </c>
    </row>
    <row r="281" spans="1:16" s="21" customFormat="1">
      <c r="A281" s="21">
        <v>1801</v>
      </c>
      <c r="B281" s="35">
        <v>10</v>
      </c>
      <c r="C281" s="21" t="s">
        <v>50</v>
      </c>
      <c r="D281" s="21">
        <v>10520</v>
      </c>
      <c r="E281" s="21" t="str">
        <f>VLOOKUP(D281,装备道具ID!$A$1:$B$1221,2,FALSE)</f>
        <v>纯紫灵石1级</v>
      </c>
      <c r="F281" s="21">
        <v>1</v>
      </c>
      <c r="G281" s="21" t="s">
        <v>51</v>
      </c>
      <c r="H281" s="21">
        <v>10000</v>
      </c>
      <c r="O281" s="21" t="s">
        <v>51</v>
      </c>
      <c r="P281" s="21">
        <v>2</v>
      </c>
    </row>
    <row r="282" spans="1:16">
      <c r="A282">
        <v>1901</v>
      </c>
      <c r="B282" s="35">
        <v>1</v>
      </c>
      <c r="C282" t="s">
        <v>52</v>
      </c>
      <c r="D282">
        <v>303</v>
      </c>
      <c r="E282" s="21" t="str">
        <f>VLOOKUP(D282,装备道具ID!$A$1:$B$1221,2,FALSE)</f>
        <v>强效金创药</v>
      </c>
      <c r="F282">
        <v>1</v>
      </c>
      <c r="G282" t="s">
        <v>9</v>
      </c>
      <c r="H282">
        <v>7000</v>
      </c>
      <c r="J282" s="21"/>
      <c r="K282" s="21"/>
      <c r="O282" s="21" t="s">
        <v>9</v>
      </c>
      <c r="P282" s="21">
        <v>2</v>
      </c>
    </row>
    <row r="283" spans="1:16">
      <c r="A283">
        <v>1901</v>
      </c>
      <c r="B283" s="35">
        <v>2</v>
      </c>
      <c r="C283" t="s">
        <v>52</v>
      </c>
      <c r="D283">
        <v>323</v>
      </c>
      <c r="E283" s="21" t="str">
        <f>VLOOKUP(D283,装备道具ID!$A$1:$B$1221,2,FALSE)</f>
        <v>强效魔法药</v>
      </c>
      <c r="F283">
        <v>1</v>
      </c>
      <c r="G283" t="s">
        <v>9</v>
      </c>
      <c r="H283">
        <v>7000</v>
      </c>
      <c r="J283" s="21"/>
      <c r="K283" s="21"/>
      <c r="O283" s="21" t="s">
        <v>9</v>
      </c>
      <c r="P283" s="21">
        <v>2</v>
      </c>
    </row>
    <row r="284" spans="1:16" s="21" customFormat="1">
      <c r="A284" s="21">
        <v>1901</v>
      </c>
      <c r="B284" s="35">
        <v>3</v>
      </c>
      <c r="C284" s="21" t="s">
        <v>52</v>
      </c>
      <c r="D284" s="21">
        <v>363</v>
      </c>
      <c r="E284" s="21" t="str">
        <f>VLOOKUP(D284,装备道具ID!$A$1:$B$1221,2,FALSE)</f>
        <v>超级金创药</v>
      </c>
      <c r="F284" s="21">
        <v>1</v>
      </c>
      <c r="G284" s="21" t="s">
        <v>9</v>
      </c>
      <c r="H284" s="21">
        <v>60000</v>
      </c>
      <c r="O284" s="21" t="s">
        <v>9</v>
      </c>
      <c r="P284" s="21">
        <v>2</v>
      </c>
    </row>
    <row r="285" spans="1:16" s="21" customFormat="1">
      <c r="A285" s="21">
        <v>1901</v>
      </c>
      <c r="B285" s="35">
        <v>4</v>
      </c>
      <c r="C285" s="21" t="s">
        <v>52</v>
      </c>
      <c r="D285" s="21">
        <v>373</v>
      </c>
      <c r="E285" s="21" t="str">
        <f>VLOOKUP(D285,装备道具ID!$A$1:$B$1221,2,FALSE)</f>
        <v>超级魔法药</v>
      </c>
      <c r="F285" s="21">
        <v>1</v>
      </c>
      <c r="G285" s="21" t="s">
        <v>9</v>
      </c>
      <c r="H285" s="21">
        <v>60000</v>
      </c>
      <c r="O285" s="21" t="s">
        <v>9</v>
      </c>
      <c r="P285" s="21">
        <v>2</v>
      </c>
    </row>
    <row r="286" spans="1:16" s="21" customFormat="1">
      <c r="A286" s="21">
        <v>1901</v>
      </c>
      <c r="B286" s="35">
        <v>5</v>
      </c>
      <c r="C286" s="21" t="s">
        <v>52</v>
      </c>
      <c r="D286" s="21">
        <v>382</v>
      </c>
      <c r="E286" s="21" t="str">
        <f>VLOOKUP(D286,装备道具ID!$A$1:$B$1221,2,FALSE)</f>
        <v>强效太阳水包</v>
      </c>
      <c r="F286" s="21">
        <v>1</v>
      </c>
      <c r="G286" s="21" t="s">
        <v>9</v>
      </c>
      <c r="H286" s="21">
        <v>270000</v>
      </c>
      <c r="O286" s="21" t="s">
        <v>9</v>
      </c>
      <c r="P286" s="21">
        <v>2</v>
      </c>
    </row>
    <row r="287" spans="1:16">
      <c r="A287">
        <v>1901</v>
      </c>
      <c r="B287" s="35">
        <v>6</v>
      </c>
      <c r="C287" t="s">
        <v>52</v>
      </c>
      <c r="D287">
        <v>80003</v>
      </c>
      <c r="E287" s="21" t="str">
        <f>VLOOKUP(D287,装备道具ID!$A$1:$B$1221,2,FALSE)</f>
        <v>祝福油</v>
      </c>
      <c r="F287">
        <v>1</v>
      </c>
      <c r="G287" t="s">
        <v>9</v>
      </c>
      <c r="H287">
        <v>3000000</v>
      </c>
      <c r="J287" s="21"/>
      <c r="K287" s="21"/>
      <c r="O287" s="21" t="s">
        <v>9</v>
      </c>
      <c r="P287" s="21">
        <v>2</v>
      </c>
    </row>
    <row r="288" spans="1:16">
      <c r="A288">
        <v>1901</v>
      </c>
      <c r="B288" s="35">
        <v>7</v>
      </c>
      <c r="C288" t="s">
        <v>52</v>
      </c>
      <c r="D288">
        <v>114003</v>
      </c>
      <c r="E288" s="21" t="str">
        <f>VLOOKUP(D288,装备道具ID!$A$1:$B$1221,2,FALSE)</f>
        <v>黑铁矿石3</v>
      </c>
      <c r="F288">
        <v>1</v>
      </c>
      <c r="G288" t="s">
        <v>9</v>
      </c>
      <c r="H288">
        <v>15000</v>
      </c>
      <c r="J288" s="21"/>
      <c r="K288" s="21"/>
      <c r="O288" s="21" t="s">
        <v>9</v>
      </c>
      <c r="P288" s="21">
        <v>2</v>
      </c>
    </row>
    <row r="289" spans="1:16">
      <c r="A289">
        <v>1901</v>
      </c>
      <c r="B289" s="35">
        <v>8</v>
      </c>
      <c r="C289" t="s">
        <v>52</v>
      </c>
      <c r="D289">
        <v>80001</v>
      </c>
      <c r="E289" s="21" t="str">
        <f>VLOOKUP(D289,装备道具ID!$A$1:$B$1221,2,FALSE)</f>
        <v>比奇回城卷</v>
      </c>
      <c r="F289">
        <v>1</v>
      </c>
      <c r="G289" t="s">
        <v>9</v>
      </c>
      <c r="H289">
        <v>8000</v>
      </c>
      <c r="J289" s="21"/>
      <c r="K289" s="21"/>
      <c r="O289" s="21" t="s">
        <v>9</v>
      </c>
      <c r="P289" s="21">
        <v>2</v>
      </c>
    </row>
    <row r="290" spans="1:16">
      <c r="A290">
        <v>1901</v>
      </c>
      <c r="B290" s="35">
        <v>9</v>
      </c>
      <c r="C290" t="s">
        <v>52</v>
      </c>
      <c r="D290">
        <v>80005</v>
      </c>
      <c r="E290" s="21" t="str">
        <f>VLOOKUP(D290,装备道具ID!$A$1:$B$1221,2,FALSE)</f>
        <v>随机传送卷</v>
      </c>
      <c r="F290">
        <v>1</v>
      </c>
      <c r="G290" t="s">
        <v>9</v>
      </c>
      <c r="H290">
        <v>1000</v>
      </c>
      <c r="J290" s="21"/>
      <c r="K290" s="21"/>
      <c r="O290" s="21" t="s">
        <v>9</v>
      </c>
      <c r="P290" s="21">
        <v>2</v>
      </c>
    </row>
    <row r="291" spans="1:16">
      <c r="A291">
        <v>1901</v>
      </c>
      <c r="B291" s="35">
        <v>10</v>
      </c>
      <c r="C291" t="s">
        <v>52</v>
      </c>
      <c r="D291">
        <v>100002</v>
      </c>
      <c r="E291" s="21" t="str">
        <f>VLOOKUP(D291,装备道具ID!$A$1:$B$1221,2,FALSE)</f>
        <v>初级红名符</v>
      </c>
      <c r="F291">
        <v>1</v>
      </c>
      <c r="G291" t="s">
        <v>9</v>
      </c>
      <c r="H291">
        <v>75000</v>
      </c>
      <c r="J291" s="21"/>
      <c r="K291" s="21"/>
      <c r="O291" s="21" t="s">
        <v>9</v>
      </c>
      <c r="P291" s="21">
        <v>2</v>
      </c>
    </row>
    <row r="292" spans="1:16">
      <c r="A292">
        <v>1901</v>
      </c>
      <c r="B292" s="35">
        <v>11</v>
      </c>
      <c r="C292" t="s">
        <v>52</v>
      </c>
      <c r="D292">
        <v>100003</v>
      </c>
      <c r="E292" s="21" t="str">
        <f>VLOOKUP(D292,装备道具ID!$A$1:$B$1221,2,FALSE)</f>
        <v>中级红名符</v>
      </c>
      <c r="F292">
        <v>1</v>
      </c>
      <c r="G292" t="s">
        <v>9</v>
      </c>
      <c r="H292">
        <v>600000</v>
      </c>
      <c r="J292" s="21"/>
      <c r="K292" s="21"/>
      <c r="O292" s="21" t="s">
        <v>9</v>
      </c>
      <c r="P292" s="21">
        <v>2</v>
      </c>
    </row>
    <row r="293" spans="1:16" s="21" customFormat="1">
      <c r="A293" s="21">
        <v>1901</v>
      </c>
      <c r="B293" s="35">
        <v>12</v>
      </c>
      <c r="C293" s="21" t="s">
        <v>52</v>
      </c>
      <c r="D293" s="21">
        <v>99900042</v>
      </c>
      <c r="E293" s="21" t="str">
        <f>VLOOKUP(D293,装备道具ID!$A$1:$B$1221,2,FALSE)</f>
        <v>点金锄</v>
      </c>
      <c r="F293" s="21">
        <v>1</v>
      </c>
      <c r="G293" s="21" t="s">
        <v>9</v>
      </c>
      <c r="H293" s="21">
        <v>400000</v>
      </c>
      <c r="O293" s="21" t="s">
        <v>9</v>
      </c>
      <c r="P293" s="21">
        <v>2</v>
      </c>
    </row>
    <row r="294" spans="1:16" s="21" customFormat="1">
      <c r="A294" s="21">
        <v>1901</v>
      </c>
      <c r="B294" s="35">
        <v>13</v>
      </c>
      <c r="C294" s="21" t="s">
        <v>52</v>
      </c>
      <c r="D294" s="21">
        <v>200111</v>
      </c>
      <c r="E294" s="21" t="str">
        <f>VLOOKUP(D294,装备道具ID!$A$1:$B$1221,2,FALSE)</f>
        <v>布鞋卷轴</v>
      </c>
      <c r="F294" s="21">
        <v>1</v>
      </c>
      <c r="G294" s="21" t="s">
        <v>9</v>
      </c>
      <c r="H294" s="21">
        <v>700000</v>
      </c>
      <c r="O294" s="21" t="s">
        <v>9</v>
      </c>
      <c r="P294" s="21">
        <v>2</v>
      </c>
    </row>
    <row r="295" spans="1:16" s="21" customFormat="1">
      <c r="A295" s="21">
        <v>1901</v>
      </c>
      <c r="B295" s="35">
        <v>14</v>
      </c>
      <c r="C295" s="21" t="s">
        <v>52</v>
      </c>
      <c r="D295" s="21">
        <v>200121</v>
      </c>
      <c r="E295" s="21" t="str">
        <f>VLOOKUP(D295,装备道具ID!$A$1:$B$1221,2,FALSE)</f>
        <v>鹿皮靴卷轴</v>
      </c>
      <c r="F295" s="21">
        <v>1</v>
      </c>
      <c r="G295" s="21" t="s">
        <v>9</v>
      </c>
      <c r="H295" s="21">
        <v>2100000</v>
      </c>
      <c r="O295" s="21" t="s">
        <v>9</v>
      </c>
      <c r="P295" s="21">
        <v>2</v>
      </c>
    </row>
    <row r="296" spans="1:16" s="21" customFormat="1">
      <c r="A296" s="21">
        <v>1901</v>
      </c>
      <c r="B296" s="35">
        <v>15</v>
      </c>
      <c r="C296" s="21" t="s">
        <v>52</v>
      </c>
      <c r="D296" s="21">
        <v>200211</v>
      </c>
      <c r="E296" s="21" t="str">
        <f>VLOOKUP(D296,装备道具ID!$A$1:$B$1221,2,FALSE)</f>
        <v>兽皮腰带卷轴</v>
      </c>
      <c r="F296" s="21">
        <v>1</v>
      </c>
      <c r="G296" s="21" t="s">
        <v>9</v>
      </c>
      <c r="H296" s="21">
        <v>700000</v>
      </c>
      <c r="O296" s="21" t="s">
        <v>9</v>
      </c>
      <c r="P296" s="21">
        <v>2</v>
      </c>
    </row>
    <row r="297" spans="1:16" s="21" customFormat="1">
      <c r="A297" s="21">
        <v>1901</v>
      </c>
      <c r="B297" s="35">
        <v>16</v>
      </c>
      <c r="C297" s="21" t="s">
        <v>52</v>
      </c>
      <c r="D297" s="21">
        <v>200221</v>
      </c>
      <c r="E297" s="21" t="str">
        <f>VLOOKUP(D297,装备道具ID!$A$1:$B$1221,2,FALSE)</f>
        <v>铁腰带卷轴</v>
      </c>
      <c r="F297" s="21">
        <v>1</v>
      </c>
      <c r="G297" s="21" t="s">
        <v>9</v>
      </c>
      <c r="H297" s="21">
        <v>2100000</v>
      </c>
      <c r="O297" s="21" t="s">
        <v>9</v>
      </c>
      <c r="P297" s="21">
        <v>2</v>
      </c>
    </row>
    <row r="298" spans="1:16" s="1" customFormat="1">
      <c r="A298" s="1">
        <v>1902</v>
      </c>
      <c r="B298" s="35">
        <v>1</v>
      </c>
      <c r="C298" s="1" t="s">
        <v>56</v>
      </c>
      <c r="D298" s="1">
        <v>303</v>
      </c>
      <c r="E298" s="21" t="str">
        <f>VLOOKUP(D298,装备道具ID!$A$1:$B$1221,2,FALSE)</f>
        <v>强效金创药</v>
      </c>
      <c r="F298" s="1">
        <v>1</v>
      </c>
      <c r="G298" s="1" t="s">
        <v>9</v>
      </c>
      <c r="H298" s="33">
        <f>H282*1.5</f>
        <v>10500</v>
      </c>
      <c r="O298" s="21" t="s">
        <v>9</v>
      </c>
      <c r="P298" s="21">
        <v>2</v>
      </c>
    </row>
    <row r="299" spans="1:16" s="1" customFormat="1">
      <c r="A299" s="1">
        <v>1902</v>
      </c>
      <c r="B299" s="35">
        <v>2</v>
      </c>
      <c r="C299" s="1" t="s">
        <v>56</v>
      </c>
      <c r="D299" s="1">
        <v>323</v>
      </c>
      <c r="E299" s="21" t="str">
        <f>VLOOKUP(D299,装备道具ID!$A$1:$B$1221,2,FALSE)</f>
        <v>强效魔法药</v>
      </c>
      <c r="F299" s="1">
        <v>1</v>
      </c>
      <c r="G299" s="1" t="s">
        <v>9</v>
      </c>
      <c r="H299" s="33">
        <f>H283*1.5</f>
        <v>10500</v>
      </c>
      <c r="O299" s="21" t="s">
        <v>9</v>
      </c>
      <c r="P299" s="21">
        <v>2</v>
      </c>
    </row>
    <row r="300" spans="1:16" s="1" customFormat="1">
      <c r="A300" s="1">
        <v>1902</v>
      </c>
      <c r="B300" s="35">
        <v>3</v>
      </c>
      <c r="C300" s="1" t="s">
        <v>56</v>
      </c>
      <c r="D300" s="1">
        <v>80003</v>
      </c>
      <c r="E300" s="21" t="str">
        <f>VLOOKUP(D300,装备道具ID!$A$1:$B$1221,2,FALSE)</f>
        <v>祝福油</v>
      </c>
      <c r="F300" s="1">
        <v>1</v>
      </c>
      <c r="G300" s="1" t="s">
        <v>9</v>
      </c>
      <c r="H300" s="33">
        <f t="shared" ref="H300:H305" si="11">H287*1.5</f>
        <v>4500000</v>
      </c>
      <c r="O300" s="21" t="s">
        <v>9</v>
      </c>
      <c r="P300" s="21">
        <v>2</v>
      </c>
    </row>
    <row r="301" spans="1:16" s="1" customFormat="1">
      <c r="A301" s="1">
        <v>1902</v>
      </c>
      <c r="B301" s="35">
        <v>4</v>
      </c>
      <c r="C301" s="1" t="s">
        <v>56</v>
      </c>
      <c r="D301" s="1">
        <v>114003</v>
      </c>
      <c r="E301" s="21" t="str">
        <f>VLOOKUP(D301,装备道具ID!$A$1:$B$1221,2,FALSE)</f>
        <v>黑铁矿石3</v>
      </c>
      <c r="F301" s="1">
        <v>1</v>
      </c>
      <c r="G301" s="1" t="s">
        <v>9</v>
      </c>
      <c r="H301" s="33">
        <f t="shared" si="11"/>
        <v>22500</v>
      </c>
      <c r="O301" s="21" t="s">
        <v>9</v>
      </c>
      <c r="P301" s="21">
        <v>2</v>
      </c>
    </row>
    <row r="302" spans="1:16" s="1" customFormat="1">
      <c r="A302" s="1">
        <v>1902</v>
      </c>
      <c r="B302" s="35">
        <v>5</v>
      </c>
      <c r="C302" s="1" t="s">
        <v>56</v>
      </c>
      <c r="D302" s="1">
        <v>80001</v>
      </c>
      <c r="E302" s="21" t="str">
        <f>VLOOKUP(D302,装备道具ID!$A$1:$B$1221,2,FALSE)</f>
        <v>比奇回城卷</v>
      </c>
      <c r="F302" s="1">
        <v>1</v>
      </c>
      <c r="G302" s="1" t="s">
        <v>9</v>
      </c>
      <c r="H302" s="33">
        <f t="shared" si="11"/>
        <v>12000</v>
      </c>
      <c r="O302" s="21" t="s">
        <v>9</v>
      </c>
      <c r="P302" s="21">
        <v>2</v>
      </c>
    </row>
    <row r="303" spans="1:16" s="1" customFormat="1">
      <c r="A303" s="1">
        <v>1902</v>
      </c>
      <c r="B303" s="35">
        <v>6</v>
      </c>
      <c r="C303" s="1" t="s">
        <v>56</v>
      </c>
      <c r="D303" s="1">
        <v>80005</v>
      </c>
      <c r="E303" s="21" t="str">
        <f>VLOOKUP(D303,装备道具ID!$A$1:$B$1221,2,FALSE)</f>
        <v>随机传送卷</v>
      </c>
      <c r="F303" s="1">
        <v>1</v>
      </c>
      <c r="G303" s="1" t="s">
        <v>9</v>
      </c>
      <c r="H303" s="33">
        <f t="shared" si="11"/>
        <v>1500</v>
      </c>
      <c r="O303" s="21" t="s">
        <v>9</v>
      </c>
      <c r="P303" s="21">
        <v>2</v>
      </c>
    </row>
    <row r="304" spans="1:16" s="1" customFormat="1">
      <c r="A304" s="1">
        <v>1902</v>
      </c>
      <c r="B304" s="35">
        <v>7</v>
      </c>
      <c r="C304" s="1" t="s">
        <v>56</v>
      </c>
      <c r="D304" s="1">
        <v>100002</v>
      </c>
      <c r="E304" s="21" t="str">
        <f>VLOOKUP(D304,装备道具ID!$A$1:$B$1221,2,FALSE)</f>
        <v>初级红名符</v>
      </c>
      <c r="F304" s="1">
        <v>1</v>
      </c>
      <c r="G304" s="1" t="s">
        <v>9</v>
      </c>
      <c r="H304" s="33">
        <f t="shared" si="11"/>
        <v>112500</v>
      </c>
      <c r="O304" s="21" t="s">
        <v>9</v>
      </c>
      <c r="P304" s="21">
        <v>2</v>
      </c>
    </row>
    <row r="305" spans="1:16" s="1" customFormat="1">
      <c r="A305" s="1">
        <v>1902</v>
      </c>
      <c r="B305" s="35">
        <v>8</v>
      </c>
      <c r="C305" s="1" t="s">
        <v>56</v>
      </c>
      <c r="D305" s="1">
        <v>100003</v>
      </c>
      <c r="E305" s="21" t="str">
        <f>VLOOKUP(D305,装备道具ID!$A$1:$B$1221,2,FALSE)</f>
        <v>中级红名符</v>
      </c>
      <c r="F305" s="1">
        <v>1</v>
      </c>
      <c r="G305" s="1" t="s">
        <v>9</v>
      </c>
      <c r="H305" s="33">
        <f t="shared" si="11"/>
        <v>900000</v>
      </c>
      <c r="O305" s="21" t="s">
        <v>9</v>
      </c>
      <c r="P305" s="21">
        <v>2</v>
      </c>
    </row>
    <row r="306" spans="1:16" s="21" customFormat="1">
      <c r="A306" s="21">
        <v>2001</v>
      </c>
      <c r="B306" s="35">
        <v>1</v>
      </c>
      <c r="C306" s="21" t="s">
        <v>1259</v>
      </c>
      <c r="D306" s="21">
        <v>99990315</v>
      </c>
      <c r="E306" s="21" t="str">
        <f>VLOOKUP(D306,装备道具ID!$A$1:$B$1221,2,FALSE)</f>
        <v>兽皮腰带</v>
      </c>
      <c r="F306" s="21">
        <v>1</v>
      </c>
      <c r="G306" s="21" t="s">
        <v>1260</v>
      </c>
      <c r="H306" s="34">
        <v>12000</v>
      </c>
      <c r="O306" s="21">
        <v>-1</v>
      </c>
      <c r="P306" s="21">
        <v>2</v>
      </c>
    </row>
    <row r="307" spans="1:16" s="21" customFormat="1">
      <c r="A307" s="21">
        <v>2001</v>
      </c>
      <c r="B307" s="35">
        <v>2</v>
      </c>
      <c r="C307" s="21" t="s">
        <v>1259</v>
      </c>
      <c r="D307" s="21">
        <v>99990317</v>
      </c>
      <c r="E307" s="21" t="str">
        <f>VLOOKUP(D307,装备道具ID!$A$1:$B$1221,2,FALSE)</f>
        <v>布鞋</v>
      </c>
      <c r="F307" s="21">
        <v>1</v>
      </c>
      <c r="G307" s="21" t="s">
        <v>1260</v>
      </c>
      <c r="H307" s="34">
        <v>12000</v>
      </c>
      <c r="O307" s="21">
        <v>-1</v>
      </c>
      <c r="P307" s="21">
        <v>2</v>
      </c>
    </row>
    <row r="308" spans="1:16" s="21" customFormat="1">
      <c r="A308" s="21">
        <v>2001</v>
      </c>
      <c r="B308" s="35">
        <v>3</v>
      </c>
      <c r="C308" s="21" t="s">
        <v>1259</v>
      </c>
      <c r="D308" s="21">
        <v>80003</v>
      </c>
      <c r="E308" s="21" t="str">
        <f>VLOOKUP(D308,装备道具ID!$A$1:$B$1221,2,FALSE)</f>
        <v>祝福油</v>
      </c>
      <c r="F308" s="21">
        <v>1</v>
      </c>
      <c r="G308" s="21" t="s">
        <v>1260</v>
      </c>
      <c r="H308" s="34">
        <v>1500</v>
      </c>
      <c r="O308" s="21">
        <v>-1</v>
      </c>
      <c r="P308" s="21">
        <v>2</v>
      </c>
    </row>
    <row r="309" spans="1:16" s="21" customFormat="1">
      <c r="A309" s="21">
        <v>2001</v>
      </c>
      <c r="B309" s="35">
        <v>4</v>
      </c>
      <c r="C309" s="21" t="s">
        <v>1259</v>
      </c>
      <c r="D309" s="21">
        <v>80201</v>
      </c>
      <c r="E309" s="21" t="str">
        <f>VLOOKUP(D309,装备道具ID!$A$1:$B$1221,2,FALSE)</f>
        <v>比奇回城石</v>
      </c>
      <c r="F309" s="21">
        <v>1</v>
      </c>
      <c r="G309" s="21" t="s">
        <v>1260</v>
      </c>
      <c r="H309" s="34">
        <v>500</v>
      </c>
      <c r="O309" s="21">
        <v>-1</v>
      </c>
      <c r="P309" s="21">
        <v>2</v>
      </c>
    </row>
    <row r="310" spans="1:16" s="21" customFormat="1">
      <c r="A310" s="21">
        <v>2001</v>
      </c>
      <c r="B310" s="35">
        <v>5</v>
      </c>
      <c r="C310" s="21" t="s">
        <v>1259</v>
      </c>
      <c r="D310" s="21">
        <v>80202</v>
      </c>
      <c r="E310" s="21" t="str">
        <f>VLOOKUP(D310,装备道具ID!$A$1:$B$1221,2,FALSE)</f>
        <v>盟重回城石</v>
      </c>
      <c r="F310" s="21">
        <v>1</v>
      </c>
      <c r="G310" s="21" t="s">
        <v>1260</v>
      </c>
      <c r="H310" s="34">
        <v>500</v>
      </c>
      <c r="O310" s="21">
        <v>-1</v>
      </c>
      <c r="P310" s="21">
        <v>2</v>
      </c>
    </row>
    <row r="311" spans="1:16" s="21" customFormat="1">
      <c r="A311" s="21">
        <v>2001</v>
      </c>
      <c r="B311" s="35">
        <v>6</v>
      </c>
      <c r="C311" s="21" t="s">
        <v>1259</v>
      </c>
      <c r="D311" s="21">
        <v>80203</v>
      </c>
      <c r="E311" s="21" t="str">
        <f>VLOOKUP(D311,装备道具ID!$A$1:$B$1221,2,FALSE)</f>
        <v>随机传送石</v>
      </c>
      <c r="F311" s="21">
        <v>1</v>
      </c>
      <c r="G311" s="21" t="s">
        <v>1260</v>
      </c>
      <c r="H311" s="34">
        <v>500</v>
      </c>
      <c r="O311" s="21">
        <v>-1</v>
      </c>
      <c r="P311" s="21">
        <v>2</v>
      </c>
    </row>
    <row r="312" spans="1:16" s="21" customFormat="1">
      <c r="A312" s="21">
        <v>2001</v>
      </c>
      <c r="B312" s="35">
        <v>7</v>
      </c>
      <c r="C312" s="21" t="s">
        <v>1259</v>
      </c>
      <c r="D312" s="21">
        <v>382</v>
      </c>
      <c r="E312" s="21" t="str">
        <f>VLOOKUP(D312,装备道具ID!$A$1:$B$1221,2,FALSE)</f>
        <v>强效太阳水包</v>
      </c>
      <c r="F312" s="21">
        <v>1</v>
      </c>
      <c r="G312" s="21" t="s">
        <v>1260</v>
      </c>
      <c r="H312" s="34">
        <v>60</v>
      </c>
      <c r="O312" s="21">
        <v>-1</v>
      </c>
      <c r="P312" s="21">
        <v>2</v>
      </c>
    </row>
    <row r="313" spans="1:16" s="21" customFormat="1">
      <c r="A313" s="21">
        <v>2001</v>
      </c>
      <c r="B313" s="35">
        <v>8</v>
      </c>
      <c r="C313" s="21" t="s">
        <v>1259</v>
      </c>
      <c r="D313" s="21">
        <v>353</v>
      </c>
      <c r="E313" s="21" t="str">
        <f>VLOOKUP(D313,装备道具ID!$A$1:$B$1221,2,FALSE)</f>
        <v>疗伤药</v>
      </c>
      <c r="F313" s="21">
        <v>1</v>
      </c>
      <c r="G313" s="21" t="s">
        <v>1260</v>
      </c>
      <c r="H313" s="34">
        <v>40</v>
      </c>
      <c r="O313" s="21">
        <v>-1</v>
      </c>
      <c r="P313" s="21">
        <v>2</v>
      </c>
    </row>
    <row r="314" spans="1:16" s="21" customFormat="1">
      <c r="A314" s="21">
        <v>2001</v>
      </c>
      <c r="B314" s="35">
        <v>9</v>
      </c>
      <c r="C314" s="21" t="s">
        <v>1259</v>
      </c>
      <c r="D314" s="21">
        <v>2201</v>
      </c>
      <c r="E314" s="21" t="str">
        <f>VLOOKUP(D314,装备道具ID!$A$1:$B$1221,2,FALSE)</f>
        <v>千里传音</v>
      </c>
      <c r="F314" s="21">
        <v>1</v>
      </c>
      <c r="G314" s="21" t="s">
        <v>1260</v>
      </c>
      <c r="H314" s="34">
        <v>300</v>
      </c>
      <c r="O314" s="21">
        <v>-1</v>
      </c>
      <c r="P314" s="21">
        <v>2</v>
      </c>
    </row>
    <row r="315" spans="1:16" s="21" customFormat="1">
      <c r="A315" s="21">
        <v>2001</v>
      </c>
      <c r="B315" s="35">
        <v>10</v>
      </c>
      <c r="C315" s="21" t="s">
        <v>1259</v>
      </c>
      <c r="D315" s="21">
        <v>1410096</v>
      </c>
      <c r="E315" s="21" t="str">
        <f>VLOOKUP(D315,装备道具ID!$A$1:$B$1221,2,FALSE)</f>
        <v>擂台小将</v>
      </c>
      <c r="F315" s="21">
        <v>1</v>
      </c>
      <c r="G315" s="21" t="s">
        <v>1260</v>
      </c>
      <c r="H315" s="34">
        <v>2000</v>
      </c>
      <c r="O315" s="21">
        <v>-1</v>
      </c>
      <c r="P315" s="21">
        <v>2</v>
      </c>
    </row>
    <row r="316" spans="1:16">
      <c r="A316">
        <v>3001</v>
      </c>
      <c r="B316" s="35">
        <v>1</v>
      </c>
      <c r="C316" t="s">
        <v>53</v>
      </c>
      <c r="D316">
        <v>301</v>
      </c>
      <c r="E316" s="21" t="str">
        <f>VLOOKUP(D316,装备道具ID!$A$1:$B$1221,2,FALSE)</f>
        <v>金创药(小量)</v>
      </c>
      <c r="F316">
        <v>1</v>
      </c>
      <c r="G316" s="1" t="s">
        <v>7</v>
      </c>
      <c r="H316">
        <v>80</v>
      </c>
      <c r="O316" s="21">
        <v>-1</v>
      </c>
      <c r="P316" s="21">
        <v>2</v>
      </c>
    </row>
    <row r="317" spans="1:16">
      <c r="A317">
        <v>3001</v>
      </c>
      <c r="B317" s="35">
        <v>2</v>
      </c>
      <c r="C317" t="s">
        <v>53</v>
      </c>
      <c r="D317">
        <v>302</v>
      </c>
      <c r="E317" s="21" t="str">
        <f>VLOOKUP(D317,装备道具ID!$A$1:$B$1221,2,FALSE)</f>
        <v>金创药(中量)</v>
      </c>
      <c r="F317">
        <v>1</v>
      </c>
      <c r="G317" s="1" t="s">
        <v>7</v>
      </c>
      <c r="H317">
        <v>260</v>
      </c>
      <c r="O317" s="21">
        <v>-1</v>
      </c>
      <c r="P317" s="21">
        <v>2</v>
      </c>
    </row>
    <row r="318" spans="1:16">
      <c r="A318">
        <v>3001</v>
      </c>
      <c r="B318" s="35">
        <v>3</v>
      </c>
      <c r="C318" t="s">
        <v>53</v>
      </c>
      <c r="D318">
        <v>81001</v>
      </c>
      <c r="E318" s="21" t="str">
        <f>VLOOKUP(D318,装备道具ID!$A$1:$B$1221,2,FALSE)</f>
        <v>初级攻城车</v>
      </c>
      <c r="F318">
        <v>1</v>
      </c>
      <c r="G318" s="1" t="s">
        <v>7</v>
      </c>
      <c r="H318">
        <v>5000</v>
      </c>
      <c r="O318" s="35">
        <v>-1</v>
      </c>
      <c r="P318" s="35">
        <v>2</v>
      </c>
    </row>
    <row r="319" spans="1:16">
      <c r="A319">
        <v>3001</v>
      </c>
      <c r="B319" s="35">
        <v>4</v>
      </c>
      <c r="C319" t="s">
        <v>53</v>
      </c>
      <c r="D319">
        <v>81002</v>
      </c>
      <c r="E319" s="21" t="str">
        <f>VLOOKUP(D319,装备道具ID!$A$1:$B$1221,2,FALSE)</f>
        <v>中级攻城车</v>
      </c>
      <c r="F319">
        <v>1</v>
      </c>
      <c r="G319" s="1" t="s">
        <v>7</v>
      </c>
      <c r="H319">
        <v>10000</v>
      </c>
      <c r="O319" s="35">
        <v>-1</v>
      </c>
      <c r="P319" s="35">
        <v>2</v>
      </c>
    </row>
    <row r="320" spans="1:16">
      <c r="A320">
        <v>3001</v>
      </c>
      <c r="B320" s="35">
        <v>5</v>
      </c>
      <c r="C320" t="s">
        <v>53</v>
      </c>
      <c r="D320">
        <v>81003</v>
      </c>
      <c r="E320" s="21" t="str">
        <f>VLOOKUP(D320,装备道具ID!$A$1:$B$1221,2,FALSE)</f>
        <v>高级攻城车</v>
      </c>
      <c r="F320">
        <v>1</v>
      </c>
      <c r="G320" s="1" t="s">
        <v>7</v>
      </c>
      <c r="H320">
        <v>20000</v>
      </c>
      <c r="O320" s="35">
        <v>-1</v>
      </c>
      <c r="P320" s="35">
        <v>2</v>
      </c>
    </row>
    <row r="321" spans="1:16">
      <c r="A321">
        <v>5000</v>
      </c>
      <c r="B321" s="35">
        <v>1</v>
      </c>
      <c r="C321" t="s">
        <v>54</v>
      </c>
      <c r="D321" s="1">
        <v>31031</v>
      </c>
      <c r="E321" s="21" t="s">
        <v>171</v>
      </c>
      <c r="F321">
        <v>1</v>
      </c>
      <c r="G321" s="1" t="s">
        <v>7</v>
      </c>
      <c r="H321" s="11">
        <v>50</v>
      </c>
      <c r="O321" s="35">
        <v>-1</v>
      </c>
      <c r="P321" s="35">
        <v>3</v>
      </c>
    </row>
    <row r="322" spans="1:16">
      <c r="A322">
        <v>5000</v>
      </c>
      <c r="B322" s="35">
        <v>2</v>
      </c>
      <c r="C322" t="s">
        <v>54</v>
      </c>
      <c r="D322" s="1">
        <v>32531</v>
      </c>
      <c r="E322" s="21" t="s">
        <v>179</v>
      </c>
      <c r="F322">
        <v>1</v>
      </c>
      <c r="G322" s="1" t="s">
        <v>7</v>
      </c>
      <c r="H322" s="11">
        <v>50</v>
      </c>
      <c r="O322" s="35">
        <v>-1</v>
      </c>
      <c r="P322" s="35">
        <v>3</v>
      </c>
    </row>
    <row r="323" spans="1:16">
      <c r="A323">
        <v>5000</v>
      </c>
      <c r="B323" s="35">
        <v>3</v>
      </c>
      <c r="C323" t="s">
        <v>54</v>
      </c>
      <c r="D323" s="1">
        <v>33002</v>
      </c>
      <c r="E323" s="21" t="s">
        <v>196</v>
      </c>
      <c r="F323">
        <v>1</v>
      </c>
      <c r="G323" s="1" t="s">
        <v>7</v>
      </c>
      <c r="H323" s="11">
        <v>50</v>
      </c>
      <c r="O323" s="35">
        <v>-1</v>
      </c>
      <c r="P323" s="35">
        <v>3</v>
      </c>
    </row>
    <row r="324" spans="1:16" s="11" customFormat="1">
      <c r="A324" s="11">
        <v>5000</v>
      </c>
      <c r="B324" s="35">
        <v>4</v>
      </c>
      <c r="C324" s="11" t="s">
        <v>54</v>
      </c>
      <c r="D324" s="11">
        <v>33001</v>
      </c>
      <c r="E324" s="21" t="s">
        <v>197</v>
      </c>
      <c r="F324" s="11">
        <v>1</v>
      </c>
      <c r="G324" s="11" t="s">
        <v>7</v>
      </c>
      <c r="H324" s="11">
        <v>500</v>
      </c>
      <c r="O324" s="35">
        <v>-1</v>
      </c>
      <c r="P324" s="35">
        <v>3</v>
      </c>
    </row>
    <row r="325" spans="1:16" s="21" customFormat="1">
      <c r="A325" s="21">
        <v>5000</v>
      </c>
      <c r="B325" s="35">
        <v>5</v>
      </c>
      <c r="C325" s="21" t="s">
        <v>54</v>
      </c>
      <c r="D325" s="21">
        <v>32532</v>
      </c>
      <c r="E325" s="21" t="s">
        <v>180</v>
      </c>
      <c r="F325" s="21">
        <v>1</v>
      </c>
      <c r="G325" s="21" t="s">
        <v>7</v>
      </c>
      <c r="H325" s="21">
        <v>500</v>
      </c>
      <c r="O325" s="35">
        <v>-1</v>
      </c>
      <c r="P325" s="35">
        <v>3</v>
      </c>
    </row>
    <row r="326" spans="1:16" s="21" customFormat="1">
      <c r="A326" s="21">
        <v>5000</v>
      </c>
      <c r="B326" s="35">
        <v>6</v>
      </c>
      <c r="C326" s="21" t="s">
        <v>54</v>
      </c>
      <c r="D326" s="21">
        <v>32541</v>
      </c>
      <c r="E326" s="21" t="s">
        <v>181</v>
      </c>
      <c r="F326" s="21">
        <v>1</v>
      </c>
      <c r="G326" s="21" t="s">
        <v>7</v>
      </c>
      <c r="H326" s="21">
        <v>1000</v>
      </c>
      <c r="O326" s="35">
        <v>-1</v>
      </c>
      <c r="P326" s="35">
        <v>3</v>
      </c>
    </row>
    <row r="327" spans="1:16" s="21" customFormat="1">
      <c r="A327" s="21">
        <v>5000</v>
      </c>
      <c r="B327" s="35">
        <v>7</v>
      </c>
      <c r="C327" s="21" t="s">
        <v>54</v>
      </c>
      <c r="D327" s="21">
        <v>33004</v>
      </c>
      <c r="E327" s="21" t="s">
        <v>198</v>
      </c>
      <c r="F327" s="21">
        <v>1</v>
      </c>
      <c r="G327" s="21" t="s">
        <v>7</v>
      </c>
      <c r="H327" s="21">
        <v>1000</v>
      </c>
      <c r="O327" s="35">
        <v>-1</v>
      </c>
      <c r="P327" s="35">
        <v>3</v>
      </c>
    </row>
    <row r="328" spans="1:16" s="21" customFormat="1">
      <c r="A328" s="21">
        <v>5000</v>
      </c>
      <c r="B328" s="35">
        <v>8</v>
      </c>
      <c r="C328" s="21" t="s">
        <v>54</v>
      </c>
      <c r="D328" s="21">
        <v>32544</v>
      </c>
      <c r="E328" s="21" t="s">
        <v>182</v>
      </c>
      <c r="F328" s="21">
        <v>1</v>
      </c>
      <c r="G328" s="21" t="s">
        <v>7</v>
      </c>
      <c r="H328" s="21">
        <v>1000</v>
      </c>
      <c r="O328" s="35">
        <v>-1</v>
      </c>
      <c r="P328" s="35">
        <v>3</v>
      </c>
    </row>
    <row r="329" spans="1:16" s="21" customFormat="1">
      <c r="A329" s="21">
        <v>5000</v>
      </c>
      <c r="B329" s="35">
        <v>9</v>
      </c>
      <c r="C329" s="21" t="s">
        <v>54</v>
      </c>
      <c r="D329" s="21">
        <v>32533</v>
      </c>
      <c r="E329" s="21" t="s">
        <v>183</v>
      </c>
      <c r="F329" s="21">
        <v>1</v>
      </c>
      <c r="G329" s="21" t="s">
        <v>7</v>
      </c>
      <c r="H329" s="21">
        <v>1000</v>
      </c>
      <c r="O329" s="35">
        <v>-1</v>
      </c>
      <c r="P329" s="35">
        <v>3</v>
      </c>
    </row>
    <row r="330" spans="1:16" s="21" customFormat="1">
      <c r="A330" s="21">
        <v>5000</v>
      </c>
      <c r="B330" s="35">
        <v>10</v>
      </c>
      <c r="C330" s="21" t="s">
        <v>54</v>
      </c>
      <c r="D330" s="21">
        <v>33005</v>
      </c>
      <c r="E330" s="21" t="s">
        <v>199</v>
      </c>
      <c r="F330" s="21">
        <v>1</v>
      </c>
      <c r="G330" s="21" t="s">
        <v>7</v>
      </c>
      <c r="H330" s="21">
        <v>1000</v>
      </c>
      <c r="O330" s="35">
        <v>-1</v>
      </c>
      <c r="P330" s="35">
        <v>3</v>
      </c>
    </row>
    <row r="331" spans="1:16" s="21" customFormat="1">
      <c r="A331" s="21">
        <v>5000</v>
      </c>
      <c r="B331" s="35">
        <v>11</v>
      </c>
      <c r="C331" s="21" t="s">
        <v>54</v>
      </c>
      <c r="D331" s="21">
        <v>31032</v>
      </c>
      <c r="E331" s="21" t="s">
        <v>172</v>
      </c>
      <c r="F331" s="21">
        <v>1</v>
      </c>
      <c r="G331" s="21" t="s">
        <v>7</v>
      </c>
      <c r="H331" s="21">
        <v>2000</v>
      </c>
      <c r="O331" s="35">
        <v>-1</v>
      </c>
      <c r="P331" s="35">
        <v>3</v>
      </c>
    </row>
    <row r="332" spans="1:16" s="21" customFormat="1">
      <c r="A332" s="21">
        <v>5000</v>
      </c>
      <c r="B332" s="35">
        <v>12</v>
      </c>
      <c r="C332" s="21" t="s">
        <v>54</v>
      </c>
      <c r="D332" s="21">
        <v>32538</v>
      </c>
      <c r="E332" s="21" t="s">
        <v>184</v>
      </c>
      <c r="F332" s="21">
        <v>1</v>
      </c>
      <c r="G332" s="21" t="s">
        <v>7</v>
      </c>
      <c r="H332" s="21">
        <v>2000</v>
      </c>
      <c r="O332" s="35">
        <v>-1</v>
      </c>
      <c r="P332" s="35">
        <v>3</v>
      </c>
    </row>
    <row r="333" spans="1:16" s="11" customFormat="1">
      <c r="A333" s="11">
        <v>5000</v>
      </c>
      <c r="B333" s="35">
        <v>13</v>
      </c>
      <c r="C333" s="11" t="s">
        <v>54</v>
      </c>
      <c r="D333" s="11">
        <v>32549</v>
      </c>
      <c r="E333" s="21" t="s">
        <v>193</v>
      </c>
      <c r="F333" s="11">
        <v>1</v>
      </c>
      <c r="G333" s="11" t="s">
        <v>7</v>
      </c>
      <c r="H333" s="11">
        <v>2000</v>
      </c>
      <c r="K333" s="21"/>
      <c r="O333" s="35">
        <v>-1</v>
      </c>
      <c r="P333" s="35">
        <v>3</v>
      </c>
    </row>
    <row r="334" spans="1:16" s="21" customFormat="1">
      <c r="A334" s="21">
        <v>5000</v>
      </c>
      <c r="B334" s="35">
        <v>14</v>
      </c>
      <c r="C334" s="21" t="s">
        <v>54</v>
      </c>
      <c r="D334" s="21">
        <v>33003</v>
      </c>
      <c r="E334" s="21" t="s">
        <v>200</v>
      </c>
      <c r="F334" s="21">
        <v>1</v>
      </c>
      <c r="G334" s="21" t="s">
        <v>7</v>
      </c>
      <c r="H334" s="21">
        <v>2000</v>
      </c>
      <c r="O334" s="35">
        <v>-1</v>
      </c>
      <c r="P334" s="35">
        <v>3</v>
      </c>
    </row>
    <row r="335" spans="1:16" s="11" customFormat="1">
      <c r="A335" s="11">
        <v>5000</v>
      </c>
      <c r="B335" s="35">
        <v>15</v>
      </c>
      <c r="C335" s="11" t="s">
        <v>54</v>
      </c>
      <c r="D335" s="11">
        <v>33009</v>
      </c>
      <c r="E335" s="21" t="s">
        <v>201</v>
      </c>
      <c r="F335" s="11">
        <v>1</v>
      </c>
      <c r="G335" s="11" t="s">
        <v>7</v>
      </c>
      <c r="H335" s="11">
        <v>2000</v>
      </c>
      <c r="K335" s="21"/>
      <c r="O335" s="35">
        <v>-1</v>
      </c>
      <c r="P335" s="35">
        <v>3</v>
      </c>
    </row>
    <row r="336" spans="1:16" s="11" customFormat="1">
      <c r="A336" s="11">
        <v>5000</v>
      </c>
      <c r="B336" s="35">
        <v>16</v>
      </c>
      <c r="C336" s="11" t="s">
        <v>54</v>
      </c>
      <c r="D336" s="11">
        <v>33014</v>
      </c>
      <c r="E336" s="21" t="s">
        <v>202</v>
      </c>
      <c r="F336" s="11">
        <v>1</v>
      </c>
      <c r="G336" s="11" t="s">
        <v>7</v>
      </c>
      <c r="H336" s="11">
        <v>3000</v>
      </c>
      <c r="K336" s="21"/>
      <c r="O336" s="35">
        <v>-1</v>
      </c>
      <c r="P336" s="35">
        <v>3</v>
      </c>
    </row>
    <row r="337" spans="1:16" s="21" customFormat="1">
      <c r="A337" s="21">
        <v>5000</v>
      </c>
      <c r="B337" s="35">
        <v>17</v>
      </c>
      <c r="C337" s="21" t="s">
        <v>54</v>
      </c>
      <c r="D337" s="21">
        <v>32545</v>
      </c>
      <c r="E337" s="21" t="s">
        <v>185</v>
      </c>
      <c r="F337" s="21">
        <v>1</v>
      </c>
      <c r="G337" s="21" t="s">
        <v>7</v>
      </c>
      <c r="H337" s="21">
        <v>3000</v>
      </c>
      <c r="O337" s="35">
        <v>-1</v>
      </c>
      <c r="P337" s="35">
        <v>3</v>
      </c>
    </row>
    <row r="338" spans="1:16" s="21" customFormat="1">
      <c r="A338" s="21">
        <v>5000</v>
      </c>
      <c r="B338" s="35">
        <v>18</v>
      </c>
      <c r="C338" s="21" t="s">
        <v>54</v>
      </c>
      <c r="D338" s="21">
        <v>33006</v>
      </c>
      <c r="E338" s="21" t="s">
        <v>203</v>
      </c>
      <c r="F338" s="21">
        <v>1</v>
      </c>
      <c r="G338" s="21" t="s">
        <v>7</v>
      </c>
      <c r="H338" s="21">
        <v>5000</v>
      </c>
      <c r="O338" s="35">
        <v>-1</v>
      </c>
      <c r="P338" s="35">
        <v>3</v>
      </c>
    </row>
    <row r="339" spans="1:16">
      <c r="A339">
        <v>5000</v>
      </c>
      <c r="B339" s="35">
        <v>19</v>
      </c>
      <c r="C339" t="s">
        <v>54</v>
      </c>
      <c r="D339">
        <v>32534</v>
      </c>
      <c r="E339" s="21" t="s">
        <v>186</v>
      </c>
      <c r="F339">
        <v>1</v>
      </c>
      <c r="G339" t="s">
        <v>7</v>
      </c>
      <c r="H339">
        <v>3000</v>
      </c>
      <c r="O339" s="35">
        <v>-1</v>
      </c>
      <c r="P339" s="35">
        <v>3</v>
      </c>
    </row>
    <row r="340" spans="1:16" s="21" customFormat="1">
      <c r="A340" s="21">
        <v>5000</v>
      </c>
      <c r="B340" s="35">
        <v>20</v>
      </c>
      <c r="C340" s="21" t="s">
        <v>54</v>
      </c>
      <c r="D340" s="21">
        <v>31033</v>
      </c>
      <c r="E340" s="21" t="s">
        <v>173</v>
      </c>
      <c r="F340" s="21">
        <v>1</v>
      </c>
      <c r="G340" s="21" t="s">
        <v>7</v>
      </c>
      <c r="H340" s="21">
        <v>5000</v>
      </c>
      <c r="O340" s="35">
        <v>-1</v>
      </c>
      <c r="P340" s="35">
        <v>3</v>
      </c>
    </row>
    <row r="341" spans="1:16" s="21" customFormat="1">
      <c r="A341" s="21">
        <v>5000</v>
      </c>
      <c r="B341" s="35">
        <v>21</v>
      </c>
      <c r="C341" s="21" t="s">
        <v>54</v>
      </c>
      <c r="D341" s="21">
        <v>33007</v>
      </c>
      <c r="E341" s="21" t="s">
        <v>204</v>
      </c>
      <c r="F341" s="21">
        <v>1</v>
      </c>
      <c r="G341" s="21" t="s">
        <v>7</v>
      </c>
      <c r="H341" s="21">
        <v>10000</v>
      </c>
      <c r="O341" s="35">
        <v>-1</v>
      </c>
      <c r="P341" s="35">
        <v>3</v>
      </c>
    </row>
    <row r="342" spans="1:16" s="21" customFormat="1">
      <c r="A342" s="21">
        <v>5000</v>
      </c>
      <c r="B342" s="35">
        <v>22</v>
      </c>
      <c r="C342" s="21" t="s">
        <v>54</v>
      </c>
      <c r="D342" s="21">
        <v>32536</v>
      </c>
      <c r="E342" s="21" t="s">
        <v>187</v>
      </c>
      <c r="F342" s="21">
        <v>1</v>
      </c>
      <c r="G342" s="21" t="s">
        <v>7</v>
      </c>
      <c r="H342" s="21">
        <v>10000</v>
      </c>
      <c r="O342" s="35">
        <v>-1</v>
      </c>
      <c r="P342" s="35">
        <v>3</v>
      </c>
    </row>
    <row r="343" spans="1:16">
      <c r="A343">
        <v>5000</v>
      </c>
      <c r="B343" s="35">
        <v>23</v>
      </c>
      <c r="C343" t="s">
        <v>1265</v>
      </c>
      <c r="D343">
        <v>111003</v>
      </c>
      <c r="E343" s="21" t="s">
        <v>1266</v>
      </c>
      <c r="F343">
        <v>1</v>
      </c>
      <c r="G343" s="21" t="s">
        <v>7</v>
      </c>
      <c r="H343">
        <v>210</v>
      </c>
      <c r="O343" s="35">
        <v>-1</v>
      </c>
      <c r="P343" s="35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4" sqref="C14"/>
    </sheetView>
  </sheetViews>
  <sheetFormatPr defaultRowHeight="13.5"/>
  <cols>
    <col min="1" max="1" width="25" bestFit="1" customWidth="1"/>
    <col min="2" max="2" width="13" bestFit="1" customWidth="1"/>
    <col min="3" max="3" width="17.25" bestFit="1" customWidth="1"/>
    <col min="4" max="4" width="11" bestFit="1" customWidth="1"/>
  </cols>
  <sheetData>
    <row r="1" spans="1:4" s="1" customFormat="1">
      <c r="A1" s="1" t="s">
        <v>24</v>
      </c>
      <c r="B1" s="1" t="s">
        <v>25</v>
      </c>
      <c r="C1" s="1" t="s">
        <v>26</v>
      </c>
    </row>
    <row r="2" spans="1:4">
      <c r="A2" s="4" t="s">
        <v>12</v>
      </c>
      <c r="B2" t="s">
        <v>27</v>
      </c>
    </row>
    <row r="3" spans="1:4">
      <c r="A3" s="3" t="s">
        <v>13</v>
      </c>
      <c r="B3" t="s">
        <v>28</v>
      </c>
    </row>
    <row r="4" spans="1:4">
      <c r="A4" s="3" t="s">
        <v>14</v>
      </c>
      <c r="B4" s="2" t="s">
        <v>29</v>
      </c>
    </row>
    <row r="5" spans="1:4">
      <c r="A5" s="3" t="s">
        <v>15</v>
      </c>
      <c r="B5" t="s">
        <v>30</v>
      </c>
    </row>
    <row r="6" spans="1:4">
      <c r="A6" s="38" t="s">
        <v>16</v>
      </c>
      <c r="B6" s="39" t="s">
        <v>31</v>
      </c>
      <c r="C6" s="1" t="s">
        <v>10</v>
      </c>
      <c r="D6" t="s">
        <v>32</v>
      </c>
    </row>
    <row r="7" spans="1:4" s="1" customFormat="1">
      <c r="A7" s="38"/>
      <c r="B7" s="39"/>
      <c r="C7" s="1" t="s">
        <v>7</v>
      </c>
      <c r="D7" s="1" t="s">
        <v>34</v>
      </c>
    </row>
    <row r="8" spans="1:4" s="1" customFormat="1">
      <c r="A8" s="38"/>
      <c r="B8" s="39"/>
      <c r="C8" s="1" t="s">
        <v>9</v>
      </c>
      <c r="D8" s="1" t="s">
        <v>33</v>
      </c>
    </row>
    <row r="9" spans="1:4" s="1" customFormat="1">
      <c r="A9" s="38"/>
      <c r="B9" s="39"/>
      <c r="C9" s="1" t="s">
        <v>11</v>
      </c>
      <c r="D9" s="1" t="s">
        <v>36</v>
      </c>
    </row>
    <row r="10" spans="1:4" s="1" customFormat="1">
      <c r="A10" s="38"/>
      <c r="B10" s="39"/>
      <c r="C10" s="1" t="s">
        <v>8</v>
      </c>
      <c r="D10" s="1" t="s">
        <v>35</v>
      </c>
    </row>
    <row r="11" spans="1:4">
      <c r="A11" s="3" t="s">
        <v>17</v>
      </c>
      <c r="B11" t="s">
        <v>37</v>
      </c>
    </row>
    <row r="12" spans="1:4">
      <c r="A12" s="3" t="s">
        <v>18</v>
      </c>
      <c r="B12" t="s">
        <v>38</v>
      </c>
    </row>
    <row r="13" spans="1:4">
      <c r="A13" s="3" t="s">
        <v>19</v>
      </c>
      <c r="B13" t="s">
        <v>39</v>
      </c>
    </row>
    <row r="14" spans="1:4">
      <c r="A14" s="3" t="s">
        <v>20</v>
      </c>
      <c r="B14" t="s">
        <v>40</v>
      </c>
    </row>
    <row r="15" spans="1:4">
      <c r="A15" s="3" t="s">
        <v>21</v>
      </c>
      <c r="B15" t="s">
        <v>41</v>
      </c>
    </row>
    <row r="16" spans="1:4">
      <c r="A16" s="3" t="s">
        <v>22</v>
      </c>
      <c r="B16" t="s">
        <v>42</v>
      </c>
      <c r="C16" t="s">
        <v>44</v>
      </c>
    </row>
    <row r="17" spans="1:3">
      <c r="A17" s="3" t="s">
        <v>23</v>
      </c>
      <c r="B17" t="s">
        <v>43</v>
      </c>
      <c r="C17" t="s">
        <v>45</v>
      </c>
    </row>
  </sheetData>
  <mergeCells count="2">
    <mergeCell ref="A6:A10"/>
    <mergeCell ref="B6:B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E32" sqref="E32"/>
    </sheetView>
  </sheetViews>
  <sheetFormatPr defaultRowHeight="13.5"/>
  <cols>
    <col min="2" max="2" width="16.25" bestFit="1" customWidth="1"/>
    <col min="3" max="3" width="9.5" bestFit="1" customWidth="1"/>
    <col min="5" max="5" width="13.875" bestFit="1" customWidth="1"/>
    <col min="8" max="8" width="13.875" bestFit="1" customWidth="1"/>
  </cols>
  <sheetData>
    <row r="1" spans="1:11">
      <c r="A1" s="21">
        <v>1101</v>
      </c>
      <c r="B1" s="21" t="s">
        <v>1</v>
      </c>
      <c r="C1" s="6">
        <v>99980113</v>
      </c>
      <c r="D1" s="21">
        <v>1</v>
      </c>
      <c r="E1" s="21" t="s">
        <v>7</v>
      </c>
      <c r="F1" s="21">
        <v>3000</v>
      </c>
    </row>
    <row r="2" spans="1:11">
      <c r="A2" s="21">
        <v>1101</v>
      </c>
      <c r="B2" s="21" t="s">
        <v>1</v>
      </c>
      <c r="C2" s="6">
        <v>99980114</v>
      </c>
      <c r="D2" s="21">
        <v>1</v>
      </c>
      <c r="E2" s="21" t="s">
        <v>7</v>
      </c>
      <c r="F2" s="21">
        <v>3000</v>
      </c>
    </row>
    <row r="3" spans="1:11">
      <c r="A3" s="21">
        <v>1101</v>
      </c>
      <c r="B3" s="21" t="s">
        <v>1</v>
      </c>
      <c r="C3" s="7">
        <v>99990123</v>
      </c>
      <c r="D3" s="21">
        <v>1</v>
      </c>
      <c r="E3" s="21" t="s">
        <v>7</v>
      </c>
      <c r="F3" s="21">
        <v>3000</v>
      </c>
    </row>
    <row r="4" spans="1:11">
      <c r="A4" s="21">
        <v>1101</v>
      </c>
      <c r="B4" s="21" t="s">
        <v>1</v>
      </c>
      <c r="C4" s="7">
        <v>99990124</v>
      </c>
      <c r="D4" s="21">
        <v>1</v>
      </c>
      <c r="E4" s="21" t="s">
        <v>7</v>
      </c>
      <c r="F4" s="21">
        <v>3000</v>
      </c>
    </row>
    <row r="5" spans="1:11">
      <c r="A5" s="21">
        <v>1101</v>
      </c>
      <c r="B5" s="21" t="s">
        <v>1</v>
      </c>
      <c r="C5" s="8">
        <v>99990133</v>
      </c>
      <c r="D5" s="21">
        <v>1</v>
      </c>
      <c r="E5" s="21" t="s">
        <v>7</v>
      </c>
      <c r="F5" s="21">
        <v>3000</v>
      </c>
    </row>
    <row r="6" spans="1:11">
      <c r="A6" s="21">
        <v>1101</v>
      </c>
      <c r="B6" s="21" t="s">
        <v>1</v>
      </c>
      <c r="C6" s="8">
        <v>99990134</v>
      </c>
      <c r="D6" s="21">
        <v>1</v>
      </c>
      <c r="E6" s="21" t="s">
        <v>7</v>
      </c>
      <c r="F6" s="21">
        <v>3000</v>
      </c>
    </row>
    <row r="7" spans="1:11">
      <c r="A7" s="21">
        <v>1101</v>
      </c>
      <c r="B7" s="21" t="s">
        <v>1</v>
      </c>
      <c r="C7" s="21">
        <v>99980111</v>
      </c>
      <c r="D7" s="21">
        <v>1</v>
      </c>
      <c r="E7" s="21" t="s">
        <v>7</v>
      </c>
      <c r="F7" s="21">
        <v>1000</v>
      </c>
      <c r="H7" t="s">
        <v>69</v>
      </c>
    </row>
    <row r="8" spans="1:11">
      <c r="A8" s="21">
        <v>1101</v>
      </c>
      <c r="B8" s="21" t="s">
        <v>1</v>
      </c>
      <c r="C8" s="22">
        <v>99990121</v>
      </c>
      <c r="D8" s="21">
        <v>1</v>
      </c>
      <c r="E8" s="21" t="s">
        <v>7</v>
      </c>
      <c r="F8" s="21">
        <v>1000</v>
      </c>
      <c r="H8" s="21" t="s">
        <v>69</v>
      </c>
    </row>
    <row r="9" spans="1:11">
      <c r="A9" s="21">
        <v>1101</v>
      </c>
      <c r="B9" s="21" t="s">
        <v>1</v>
      </c>
      <c r="C9" s="23">
        <v>99990131</v>
      </c>
      <c r="D9" s="21">
        <v>1</v>
      </c>
      <c r="E9" s="21" t="s">
        <v>7</v>
      </c>
      <c r="F9" s="21">
        <v>1000</v>
      </c>
      <c r="H9" s="23" t="s">
        <v>66</v>
      </c>
      <c r="I9" s="23">
        <v>99990131</v>
      </c>
      <c r="J9" s="26">
        <v>3182</v>
      </c>
      <c r="K9" s="26" t="s">
        <v>67</v>
      </c>
    </row>
    <row r="10" spans="1:11">
      <c r="A10" s="21">
        <v>1101</v>
      </c>
      <c r="B10" s="21" t="s">
        <v>1</v>
      </c>
      <c r="C10" s="6">
        <v>99980213</v>
      </c>
      <c r="D10" s="21">
        <v>1</v>
      </c>
      <c r="E10" s="21" t="s">
        <v>7</v>
      </c>
      <c r="F10" s="14">
        <v>6000</v>
      </c>
      <c r="H10" s="6" t="s">
        <v>63</v>
      </c>
      <c r="I10" s="6">
        <v>99980213</v>
      </c>
      <c r="J10" s="24">
        <v>3194</v>
      </c>
      <c r="K10" s="25" t="s">
        <v>65</v>
      </c>
    </row>
    <row r="11" spans="1:11">
      <c r="A11" s="21">
        <v>1101</v>
      </c>
      <c r="B11" s="21" t="s">
        <v>1</v>
      </c>
      <c r="C11" s="6">
        <v>99980214</v>
      </c>
      <c r="D11" s="21">
        <v>1</v>
      </c>
      <c r="E11" s="21" t="s">
        <v>7</v>
      </c>
      <c r="F11" s="14">
        <v>6000</v>
      </c>
      <c r="H11" s="6" t="s">
        <v>63</v>
      </c>
      <c r="I11" s="6">
        <v>99980214</v>
      </c>
      <c r="J11" s="24">
        <v>4068</v>
      </c>
      <c r="K11" s="6" t="s">
        <v>64</v>
      </c>
    </row>
    <row r="12" spans="1:11">
      <c r="A12" s="21">
        <v>1101</v>
      </c>
      <c r="B12" s="21" t="s">
        <v>1</v>
      </c>
      <c r="C12" s="6">
        <v>99980211</v>
      </c>
      <c r="D12" s="21">
        <v>1</v>
      </c>
      <c r="E12" s="21" t="s">
        <v>7</v>
      </c>
      <c r="F12" s="14">
        <v>4000</v>
      </c>
      <c r="H12" s="6" t="s">
        <v>63</v>
      </c>
      <c r="I12" s="6">
        <v>99980211</v>
      </c>
      <c r="J12" s="24">
        <v>3182</v>
      </c>
      <c r="K12" s="25" t="s">
        <v>68</v>
      </c>
    </row>
    <row r="13" spans="1:11">
      <c r="A13" s="21">
        <v>1101</v>
      </c>
      <c r="B13" s="21" t="s">
        <v>1</v>
      </c>
      <c r="C13" s="7">
        <v>99990223</v>
      </c>
      <c r="D13" s="21">
        <v>1</v>
      </c>
      <c r="E13" s="21" t="s">
        <v>7</v>
      </c>
      <c r="F13" s="14">
        <v>6000</v>
      </c>
      <c r="H13" s="7" t="s">
        <v>70</v>
      </c>
      <c r="I13" s="7">
        <v>99990223</v>
      </c>
      <c r="J13" s="27">
        <v>3158</v>
      </c>
      <c r="K13" s="28" t="s">
        <v>71</v>
      </c>
    </row>
    <row r="14" spans="1:11">
      <c r="A14" s="21">
        <v>1101</v>
      </c>
      <c r="B14" s="21" t="s">
        <v>1</v>
      </c>
      <c r="C14" s="7">
        <v>99990224</v>
      </c>
      <c r="D14" s="21">
        <v>1</v>
      </c>
      <c r="E14" s="21" t="s">
        <v>7</v>
      </c>
      <c r="F14" s="14">
        <v>6000</v>
      </c>
      <c r="H14" s="7" t="s">
        <v>70</v>
      </c>
      <c r="I14" s="7">
        <v>99990224</v>
      </c>
      <c r="J14" s="27">
        <v>4068</v>
      </c>
      <c r="K14" s="7" t="s">
        <v>72</v>
      </c>
    </row>
    <row r="15" spans="1:11">
      <c r="A15" s="21">
        <v>1101</v>
      </c>
      <c r="B15" s="21" t="s">
        <v>1</v>
      </c>
      <c r="C15" s="7">
        <v>99990221</v>
      </c>
      <c r="D15" s="21">
        <v>1</v>
      </c>
      <c r="E15" s="21" t="s">
        <v>7</v>
      </c>
      <c r="F15" s="14">
        <v>4000</v>
      </c>
      <c r="H15" s="7" t="s">
        <v>70</v>
      </c>
      <c r="I15" s="7">
        <v>99990221</v>
      </c>
      <c r="J15" s="27">
        <v>3182</v>
      </c>
      <c r="K15" s="28" t="s">
        <v>73</v>
      </c>
    </row>
    <row r="16" spans="1:11">
      <c r="A16" s="21">
        <v>1101</v>
      </c>
      <c r="B16" s="21" t="s">
        <v>1</v>
      </c>
      <c r="C16" s="8">
        <v>99990233</v>
      </c>
      <c r="D16" s="21">
        <v>1</v>
      </c>
      <c r="E16" s="21" t="s">
        <v>7</v>
      </c>
      <c r="F16" s="14">
        <v>6000</v>
      </c>
      <c r="H16" s="8" t="s">
        <v>74</v>
      </c>
      <c r="I16" s="8">
        <v>99990233</v>
      </c>
      <c r="J16" s="29">
        <v>4046</v>
      </c>
      <c r="K16" s="30" t="s">
        <v>75</v>
      </c>
    </row>
    <row r="17" spans="1:12">
      <c r="A17" s="21">
        <v>1101</v>
      </c>
      <c r="B17" s="21" t="s">
        <v>1</v>
      </c>
      <c r="C17" s="8">
        <v>99990234</v>
      </c>
      <c r="D17" s="21">
        <v>1</v>
      </c>
      <c r="E17" s="21" t="s">
        <v>7</v>
      </c>
      <c r="F17" s="14">
        <v>6000</v>
      </c>
      <c r="H17" s="8" t="s">
        <v>74</v>
      </c>
      <c r="I17" s="8">
        <v>99990234</v>
      </c>
      <c r="J17" s="29">
        <v>4068</v>
      </c>
      <c r="K17" s="8" t="s">
        <v>76</v>
      </c>
    </row>
    <row r="18" spans="1:12">
      <c r="A18" s="21">
        <v>1101</v>
      </c>
      <c r="B18" s="21" t="s">
        <v>1</v>
      </c>
      <c r="C18" s="8">
        <v>99990231</v>
      </c>
      <c r="D18" s="21">
        <v>1</v>
      </c>
      <c r="E18" s="21" t="s">
        <v>7</v>
      </c>
      <c r="F18" s="14">
        <v>4000</v>
      </c>
      <c r="H18" s="8" t="s">
        <v>74</v>
      </c>
      <c r="I18" s="8">
        <v>99990231</v>
      </c>
      <c r="J18" s="29">
        <v>3182</v>
      </c>
      <c r="K18" s="30" t="s">
        <v>77</v>
      </c>
    </row>
    <row r="19" spans="1:12">
      <c r="A19" s="21">
        <v>1101</v>
      </c>
      <c r="B19" s="21" t="s">
        <v>1</v>
      </c>
      <c r="C19" s="6">
        <v>99980313</v>
      </c>
      <c r="D19" s="21">
        <v>1</v>
      </c>
      <c r="E19" s="21" t="s">
        <v>7</v>
      </c>
      <c r="F19" s="21">
        <v>12000</v>
      </c>
      <c r="H19" s="6" t="s">
        <v>78</v>
      </c>
      <c r="I19" s="6">
        <v>99980313</v>
      </c>
      <c r="J19" s="24">
        <v>3195</v>
      </c>
      <c r="K19" s="25" t="s">
        <v>79</v>
      </c>
      <c r="L19">
        <v>12000</v>
      </c>
    </row>
    <row r="20" spans="1:12">
      <c r="A20" s="21">
        <v>1101</v>
      </c>
      <c r="B20" s="21" t="s">
        <v>1</v>
      </c>
      <c r="C20" s="6">
        <v>99980314</v>
      </c>
      <c r="D20" s="21">
        <v>1</v>
      </c>
      <c r="E20" s="21" t="s">
        <v>7</v>
      </c>
      <c r="F20" s="21">
        <v>12000</v>
      </c>
      <c r="H20" s="6" t="s">
        <v>78</v>
      </c>
      <c r="I20" s="6">
        <v>99980314</v>
      </c>
      <c r="J20" s="24">
        <v>4069</v>
      </c>
      <c r="K20" s="6" t="s">
        <v>80</v>
      </c>
      <c r="L20" s="21">
        <v>12000</v>
      </c>
    </row>
    <row r="21" spans="1:12">
      <c r="A21" s="21">
        <v>1101</v>
      </c>
      <c r="B21" s="21" t="s">
        <v>1</v>
      </c>
      <c r="C21" s="6">
        <v>99980311</v>
      </c>
      <c r="D21" s="21">
        <v>1</v>
      </c>
      <c r="E21" s="21" t="s">
        <v>7</v>
      </c>
      <c r="F21" s="21">
        <v>10000</v>
      </c>
      <c r="H21" s="6" t="s">
        <v>78</v>
      </c>
      <c r="I21" s="6">
        <v>99980311</v>
      </c>
      <c r="J21" s="24">
        <v>3182</v>
      </c>
      <c r="K21" s="25" t="s">
        <v>81</v>
      </c>
      <c r="L21">
        <v>10000</v>
      </c>
    </row>
    <row r="22" spans="1:12">
      <c r="A22" s="21">
        <v>1101</v>
      </c>
      <c r="B22" s="21" t="s">
        <v>1</v>
      </c>
      <c r="C22" s="7">
        <v>99990323</v>
      </c>
      <c r="D22" s="21">
        <v>1</v>
      </c>
      <c r="E22" s="21" t="s">
        <v>7</v>
      </c>
      <c r="F22" s="21">
        <v>12000</v>
      </c>
      <c r="H22" s="7" t="s">
        <v>82</v>
      </c>
      <c r="I22" s="7">
        <v>99990323</v>
      </c>
      <c r="J22" s="27">
        <v>3159</v>
      </c>
      <c r="K22" s="28" t="s">
        <v>83</v>
      </c>
    </row>
    <row r="23" spans="1:12">
      <c r="A23" s="21">
        <v>1101</v>
      </c>
      <c r="B23" s="21" t="s">
        <v>1</v>
      </c>
      <c r="C23" s="7">
        <v>99990324</v>
      </c>
      <c r="D23" s="21">
        <v>1</v>
      </c>
      <c r="E23" s="21" t="s">
        <v>7</v>
      </c>
      <c r="F23" s="21">
        <v>12000</v>
      </c>
      <c r="H23" s="7" t="s">
        <v>82</v>
      </c>
      <c r="I23" s="7">
        <v>99990324</v>
      </c>
      <c r="J23" s="27">
        <v>4075</v>
      </c>
      <c r="K23" s="7" t="s">
        <v>84</v>
      </c>
    </row>
    <row r="24" spans="1:12">
      <c r="A24" s="21">
        <v>1101</v>
      </c>
      <c r="B24" s="21" t="s">
        <v>1</v>
      </c>
      <c r="C24" s="7">
        <v>99990321</v>
      </c>
      <c r="D24" s="21">
        <v>1</v>
      </c>
      <c r="E24" s="21" t="s">
        <v>7</v>
      </c>
      <c r="F24" s="21">
        <v>10000</v>
      </c>
      <c r="H24" s="7" t="s">
        <v>82</v>
      </c>
      <c r="I24" s="7">
        <v>99990321</v>
      </c>
      <c r="J24" s="27">
        <v>3182</v>
      </c>
      <c r="K24" s="28" t="s">
        <v>85</v>
      </c>
    </row>
    <row r="25" spans="1:12">
      <c r="A25" s="21">
        <v>1101</v>
      </c>
      <c r="B25" s="21" t="s">
        <v>1</v>
      </c>
      <c r="C25" s="8">
        <v>99990333</v>
      </c>
      <c r="D25" s="21">
        <v>1</v>
      </c>
      <c r="E25" s="21" t="s">
        <v>7</v>
      </c>
      <c r="F25" s="21">
        <v>12000</v>
      </c>
      <c r="H25" s="8" t="s">
        <v>86</v>
      </c>
      <c r="I25" s="8">
        <v>99990333</v>
      </c>
      <c r="J25" s="29">
        <v>4047</v>
      </c>
      <c r="K25" s="30" t="s">
        <v>87</v>
      </c>
    </row>
    <row r="26" spans="1:12">
      <c r="A26" s="21">
        <v>1101</v>
      </c>
      <c r="B26" s="21" t="s">
        <v>1</v>
      </c>
      <c r="C26" s="8">
        <v>99990334</v>
      </c>
      <c r="D26" s="21">
        <v>1</v>
      </c>
      <c r="E26" s="21" t="s">
        <v>7</v>
      </c>
      <c r="F26" s="21">
        <v>12000</v>
      </c>
      <c r="H26" s="8" t="s">
        <v>86</v>
      </c>
      <c r="I26" s="8">
        <v>99990334</v>
      </c>
      <c r="J26" s="29">
        <v>4069</v>
      </c>
      <c r="K26" s="8" t="s">
        <v>88</v>
      </c>
    </row>
    <row r="27" spans="1:12">
      <c r="A27" s="21">
        <v>1101</v>
      </c>
      <c r="B27" s="21" t="s">
        <v>1</v>
      </c>
      <c r="C27" s="8">
        <v>99990331</v>
      </c>
      <c r="D27" s="21">
        <v>1</v>
      </c>
      <c r="E27" s="21" t="s">
        <v>7</v>
      </c>
      <c r="F27" s="21">
        <v>10000</v>
      </c>
      <c r="H27" s="8" t="s">
        <v>86</v>
      </c>
      <c r="I27" s="8">
        <v>99990331</v>
      </c>
      <c r="J27" s="29">
        <v>3182</v>
      </c>
      <c r="K27" s="30" t="s">
        <v>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8"/>
  <sheetViews>
    <sheetView topLeftCell="A491" workbookViewId="0">
      <selection activeCell="E512" sqref="E512"/>
    </sheetView>
  </sheetViews>
  <sheetFormatPr defaultRowHeight="13.5"/>
  <cols>
    <col min="1" max="1" width="12.625" customWidth="1"/>
    <col min="2" max="2" width="38.375" customWidth="1"/>
  </cols>
  <sheetData>
    <row r="1" spans="1:2">
      <c r="A1">
        <v>0</v>
      </c>
      <c r="B1" t="s">
        <v>95</v>
      </c>
    </row>
    <row r="2" spans="1:2">
      <c r="A2">
        <v>1</v>
      </c>
      <c r="B2" t="s">
        <v>96</v>
      </c>
    </row>
    <row r="3" spans="1:2">
      <c r="A3">
        <v>10</v>
      </c>
      <c r="B3" t="s">
        <v>97</v>
      </c>
    </row>
    <row r="4" spans="1:2">
      <c r="A4">
        <v>301</v>
      </c>
      <c r="B4" t="s">
        <v>98</v>
      </c>
    </row>
    <row r="5" spans="1:2">
      <c r="A5">
        <v>302</v>
      </c>
      <c r="B5" t="s">
        <v>99</v>
      </c>
    </row>
    <row r="6" spans="1:2">
      <c r="A6">
        <v>303</v>
      </c>
      <c r="B6" t="s">
        <v>100</v>
      </c>
    </row>
    <row r="7" spans="1:2">
      <c r="A7">
        <v>304</v>
      </c>
      <c r="B7" t="s">
        <v>101</v>
      </c>
    </row>
    <row r="8" spans="1:2">
      <c r="A8">
        <v>305</v>
      </c>
      <c r="B8" t="s">
        <v>102</v>
      </c>
    </row>
    <row r="9" spans="1:2">
      <c r="A9">
        <v>311</v>
      </c>
      <c r="B9" t="s">
        <v>103</v>
      </c>
    </row>
    <row r="10" spans="1:2">
      <c r="A10">
        <v>312</v>
      </c>
      <c r="B10" t="s">
        <v>104</v>
      </c>
    </row>
    <row r="11" spans="1:2">
      <c r="A11">
        <v>321</v>
      </c>
      <c r="B11" t="s">
        <v>105</v>
      </c>
    </row>
    <row r="12" spans="1:2">
      <c r="A12">
        <v>322</v>
      </c>
      <c r="B12" t="s">
        <v>106</v>
      </c>
    </row>
    <row r="13" spans="1:2">
      <c r="A13">
        <v>323</v>
      </c>
      <c r="B13" t="s">
        <v>107</v>
      </c>
    </row>
    <row r="14" spans="1:2">
      <c r="A14">
        <v>324</v>
      </c>
      <c r="B14" t="s">
        <v>108</v>
      </c>
    </row>
    <row r="15" spans="1:2">
      <c r="A15">
        <v>331</v>
      </c>
      <c r="B15" t="s">
        <v>109</v>
      </c>
    </row>
    <row r="16" spans="1:2">
      <c r="A16">
        <v>351</v>
      </c>
      <c r="B16" t="s">
        <v>110</v>
      </c>
    </row>
    <row r="17" spans="1:2">
      <c r="A17">
        <v>352</v>
      </c>
      <c r="B17" t="s">
        <v>111</v>
      </c>
    </row>
    <row r="18" spans="1:2">
      <c r="A18">
        <v>353</v>
      </c>
      <c r="B18" t="s">
        <v>112</v>
      </c>
    </row>
    <row r="19" spans="1:2">
      <c r="A19">
        <v>361</v>
      </c>
      <c r="B19" t="s">
        <v>113</v>
      </c>
    </row>
    <row r="20" spans="1:2">
      <c r="A20">
        <v>362</v>
      </c>
      <c r="B20" t="s">
        <v>114</v>
      </c>
    </row>
    <row r="21" spans="1:2">
      <c r="A21">
        <v>363</v>
      </c>
      <c r="B21" t="s">
        <v>115</v>
      </c>
    </row>
    <row r="22" spans="1:2">
      <c r="A22">
        <v>371</v>
      </c>
      <c r="B22" t="s">
        <v>116</v>
      </c>
    </row>
    <row r="23" spans="1:2">
      <c r="A23">
        <v>372</v>
      </c>
      <c r="B23" t="s">
        <v>117</v>
      </c>
    </row>
    <row r="24" spans="1:2">
      <c r="A24">
        <v>373</v>
      </c>
      <c r="B24" t="s">
        <v>118</v>
      </c>
    </row>
    <row r="25" spans="1:2">
      <c r="A25">
        <v>381</v>
      </c>
      <c r="B25" t="s">
        <v>119</v>
      </c>
    </row>
    <row r="26" spans="1:2">
      <c r="A26">
        <v>382</v>
      </c>
      <c r="B26" t="s">
        <v>120</v>
      </c>
    </row>
    <row r="27" spans="1:2">
      <c r="A27">
        <v>383</v>
      </c>
      <c r="B27" t="s">
        <v>1258</v>
      </c>
    </row>
    <row r="28" spans="1:2">
      <c r="A28">
        <v>401</v>
      </c>
      <c r="B28" t="s">
        <v>121</v>
      </c>
    </row>
    <row r="29" spans="1:2">
      <c r="A29">
        <v>411</v>
      </c>
      <c r="B29" t="s">
        <v>122</v>
      </c>
    </row>
    <row r="30" spans="1:2">
      <c r="A30">
        <v>421</v>
      </c>
      <c r="B30" t="s">
        <v>123</v>
      </c>
    </row>
    <row r="31" spans="1:2">
      <c r="A31">
        <v>501</v>
      </c>
      <c r="B31" t="s">
        <v>124</v>
      </c>
    </row>
    <row r="32" spans="1:2">
      <c r="A32">
        <v>502</v>
      </c>
      <c r="B32" t="s">
        <v>125</v>
      </c>
    </row>
    <row r="33" spans="1:2">
      <c r="A33">
        <v>601</v>
      </c>
      <c r="B33" t="s">
        <v>918</v>
      </c>
    </row>
    <row r="34" spans="1:2">
      <c r="A34">
        <v>1201</v>
      </c>
      <c r="B34" t="s">
        <v>126</v>
      </c>
    </row>
    <row r="35" spans="1:2">
      <c r="A35">
        <v>2001</v>
      </c>
      <c r="B35" t="s">
        <v>127</v>
      </c>
    </row>
    <row r="36" spans="1:2">
      <c r="A36">
        <v>2011</v>
      </c>
      <c r="B36" t="s">
        <v>919</v>
      </c>
    </row>
    <row r="37" spans="1:2">
      <c r="A37">
        <v>2012</v>
      </c>
      <c r="B37" t="s">
        <v>920</v>
      </c>
    </row>
    <row r="38" spans="1:2">
      <c r="A38">
        <v>2101</v>
      </c>
      <c r="B38" t="s">
        <v>128</v>
      </c>
    </row>
    <row r="39" spans="1:2">
      <c r="A39">
        <v>2102</v>
      </c>
      <c r="B39" t="s">
        <v>129</v>
      </c>
    </row>
    <row r="40" spans="1:2">
      <c r="A40">
        <v>2103</v>
      </c>
      <c r="B40" t="s">
        <v>130</v>
      </c>
    </row>
    <row r="41" spans="1:2">
      <c r="A41">
        <v>2201</v>
      </c>
      <c r="B41" t="s">
        <v>131</v>
      </c>
    </row>
    <row r="42" spans="1:2">
      <c r="A42">
        <v>2211</v>
      </c>
      <c r="B42" t="s">
        <v>132</v>
      </c>
    </row>
    <row r="43" spans="1:2">
      <c r="A43">
        <v>2212</v>
      </c>
      <c r="B43" t="s">
        <v>921</v>
      </c>
    </row>
    <row r="44" spans="1:2">
      <c r="A44">
        <v>10110</v>
      </c>
      <c r="B44" t="s">
        <v>922</v>
      </c>
    </row>
    <row r="45" spans="1:2">
      <c r="A45">
        <v>10111</v>
      </c>
      <c r="B45" t="s">
        <v>923</v>
      </c>
    </row>
    <row r="46" spans="1:2">
      <c r="A46">
        <v>10112</v>
      </c>
      <c r="B46" t="s">
        <v>924</v>
      </c>
    </row>
    <row r="47" spans="1:2">
      <c r="A47">
        <v>10113</v>
      </c>
      <c r="B47" t="s">
        <v>925</v>
      </c>
    </row>
    <row r="48" spans="1:2">
      <c r="A48">
        <v>10114</v>
      </c>
      <c r="B48" t="s">
        <v>926</v>
      </c>
    </row>
    <row r="49" spans="1:2">
      <c r="A49">
        <v>10115</v>
      </c>
      <c r="B49" t="s">
        <v>927</v>
      </c>
    </row>
    <row r="50" spans="1:2">
      <c r="A50">
        <v>10116</v>
      </c>
      <c r="B50" t="s">
        <v>928</v>
      </c>
    </row>
    <row r="51" spans="1:2">
      <c r="A51">
        <v>10117</v>
      </c>
      <c r="B51" t="s">
        <v>929</v>
      </c>
    </row>
    <row r="52" spans="1:2">
      <c r="A52">
        <v>10118</v>
      </c>
      <c r="B52" t="s">
        <v>930</v>
      </c>
    </row>
    <row r="53" spans="1:2">
      <c r="A53">
        <v>10119</v>
      </c>
      <c r="B53" t="s">
        <v>931</v>
      </c>
    </row>
    <row r="54" spans="1:2">
      <c r="A54">
        <v>10120</v>
      </c>
      <c r="B54" t="s">
        <v>932</v>
      </c>
    </row>
    <row r="55" spans="1:2">
      <c r="A55">
        <v>10121</v>
      </c>
      <c r="B55" t="s">
        <v>933</v>
      </c>
    </row>
    <row r="56" spans="1:2">
      <c r="A56">
        <v>10122</v>
      </c>
      <c r="B56" t="s">
        <v>934</v>
      </c>
    </row>
    <row r="57" spans="1:2">
      <c r="A57">
        <v>10123</v>
      </c>
      <c r="B57" t="s">
        <v>935</v>
      </c>
    </row>
    <row r="58" spans="1:2">
      <c r="A58">
        <v>10124</v>
      </c>
      <c r="B58" t="s">
        <v>936</v>
      </c>
    </row>
    <row r="59" spans="1:2">
      <c r="A59">
        <v>10125</v>
      </c>
      <c r="B59" t="s">
        <v>937</v>
      </c>
    </row>
    <row r="60" spans="1:2">
      <c r="A60">
        <v>10126</v>
      </c>
      <c r="B60" t="s">
        <v>938</v>
      </c>
    </row>
    <row r="61" spans="1:2">
      <c r="A61">
        <v>10127</v>
      </c>
      <c r="B61" t="s">
        <v>939</v>
      </c>
    </row>
    <row r="62" spans="1:2">
      <c r="A62">
        <v>10128</v>
      </c>
      <c r="B62" t="s">
        <v>940</v>
      </c>
    </row>
    <row r="63" spans="1:2">
      <c r="A63">
        <v>10129</v>
      </c>
      <c r="B63" t="s">
        <v>941</v>
      </c>
    </row>
    <row r="64" spans="1:2">
      <c r="A64">
        <v>10210</v>
      </c>
      <c r="B64" t="s">
        <v>942</v>
      </c>
    </row>
    <row r="65" spans="1:2">
      <c r="A65">
        <v>10211</v>
      </c>
      <c r="B65" t="s">
        <v>943</v>
      </c>
    </row>
    <row r="66" spans="1:2">
      <c r="A66">
        <v>10212</v>
      </c>
      <c r="B66" t="s">
        <v>944</v>
      </c>
    </row>
    <row r="67" spans="1:2">
      <c r="A67">
        <v>10213</v>
      </c>
      <c r="B67" t="s">
        <v>945</v>
      </c>
    </row>
    <row r="68" spans="1:2">
      <c r="A68">
        <v>10214</v>
      </c>
      <c r="B68" t="s">
        <v>946</v>
      </c>
    </row>
    <row r="69" spans="1:2">
      <c r="A69">
        <v>10215</v>
      </c>
      <c r="B69" t="s">
        <v>947</v>
      </c>
    </row>
    <row r="70" spans="1:2">
      <c r="A70">
        <v>10216</v>
      </c>
      <c r="B70" t="s">
        <v>948</v>
      </c>
    </row>
    <row r="71" spans="1:2">
      <c r="A71">
        <v>10217</v>
      </c>
      <c r="B71" t="s">
        <v>949</v>
      </c>
    </row>
    <row r="72" spans="1:2">
      <c r="A72">
        <v>10218</v>
      </c>
      <c r="B72" t="s">
        <v>950</v>
      </c>
    </row>
    <row r="73" spans="1:2">
      <c r="A73">
        <v>10219</v>
      </c>
      <c r="B73" t="s">
        <v>951</v>
      </c>
    </row>
    <row r="74" spans="1:2">
      <c r="A74">
        <v>10220</v>
      </c>
      <c r="B74" t="s">
        <v>952</v>
      </c>
    </row>
    <row r="75" spans="1:2">
      <c r="A75">
        <v>10221</v>
      </c>
      <c r="B75" t="s">
        <v>953</v>
      </c>
    </row>
    <row r="76" spans="1:2">
      <c r="A76">
        <v>10222</v>
      </c>
      <c r="B76" t="s">
        <v>954</v>
      </c>
    </row>
    <row r="77" spans="1:2">
      <c r="A77">
        <v>10223</v>
      </c>
      <c r="B77" t="s">
        <v>955</v>
      </c>
    </row>
    <row r="78" spans="1:2">
      <c r="A78">
        <v>10224</v>
      </c>
      <c r="B78" t="s">
        <v>956</v>
      </c>
    </row>
    <row r="79" spans="1:2">
      <c r="A79">
        <v>10225</v>
      </c>
      <c r="B79" t="s">
        <v>957</v>
      </c>
    </row>
    <row r="80" spans="1:2">
      <c r="A80">
        <v>10226</v>
      </c>
      <c r="B80" t="s">
        <v>958</v>
      </c>
    </row>
    <row r="81" spans="1:2">
      <c r="A81">
        <v>10227</v>
      </c>
      <c r="B81" t="s">
        <v>959</v>
      </c>
    </row>
    <row r="82" spans="1:2">
      <c r="A82">
        <v>10228</v>
      </c>
      <c r="B82" t="s">
        <v>960</v>
      </c>
    </row>
    <row r="83" spans="1:2">
      <c r="A83">
        <v>10229</v>
      </c>
      <c r="B83" t="s">
        <v>961</v>
      </c>
    </row>
    <row r="84" spans="1:2">
      <c r="A84">
        <v>10310</v>
      </c>
      <c r="B84" t="s">
        <v>962</v>
      </c>
    </row>
    <row r="85" spans="1:2">
      <c r="A85">
        <v>10311</v>
      </c>
      <c r="B85" t="s">
        <v>963</v>
      </c>
    </row>
    <row r="86" spans="1:2">
      <c r="A86">
        <v>10312</v>
      </c>
      <c r="B86" t="s">
        <v>964</v>
      </c>
    </row>
    <row r="87" spans="1:2">
      <c r="A87">
        <v>10313</v>
      </c>
      <c r="B87" t="s">
        <v>965</v>
      </c>
    </row>
    <row r="88" spans="1:2">
      <c r="A88">
        <v>10314</v>
      </c>
      <c r="B88" t="s">
        <v>966</v>
      </c>
    </row>
    <row r="89" spans="1:2">
      <c r="A89">
        <v>10315</v>
      </c>
      <c r="B89" t="s">
        <v>967</v>
      </c>
    </row>
    <row r="90" spans="1:2">
      <c r="A90">
        <v>10316</v>
      </c>
      <c r="B90" t="s">
        <v>968</v>
      </c>
    </row>
    <row r="91" spans="1:2">
      <c r="A91">
        <v>10317</v>
      </c>
      <c r="B91" t="s">
        <v>969</v>
      </c>
    </row>
    <row r="92" spans="1:2">
      <c r="A92">
        <v>10318</v>
      </c>
      <c r="B92" t="s">
        <v>970</v>
      </c>
    </row>
    <row r="93" spans="1:2">
      <c r="A93">
        <v>10319</v>
      </c>
      <c r="B93" t="s">
        <v>971</v>
      </c>
    </row>
    <row r="94" spans="1:2">
      <c r="A94">
        <v>10320</v>
      </c>
      <c r="B94" t="s">
        <v>972</v>
      </c>
    </row>
    <row r="95" spans="1:2">
      <c r="A95">
        <v>10321</v>
      </c>
      <c r="B95" t="s">
        <v>973</v>
      </c>
    </row>
    <row r="96" spans="1:2">
      <c r="A96">
        <v>10322</v>
      </c>
      <c r="B96" t="s">
        <v>974</v>
      </c>
    </row>
    <row r="97" spans="1:2">
      <c r="A97">
        <v>10323</v>
      </c>
      <c r="B97" t="s">
        <v>975</v>
      </c>
    </row>
    <row r="98" spans="1:2">
      <c r="A98">
        <v>10324</v>
      </c>
      <c r="B98" t="s">
        <v>976</v>
      </c>
    </row>
    <row r="99" spans="1:2">
      <c r="A99">
        <v>10325</v>
      </c>
      <c r="B99" t="s">
        <v>977</v>
      </c>
    </row>
    <row r="100" spans="1:2">
      <c r="A100">
        <v>10326</v>
      </c>
      <c r="B100" t="s">
        <v>978</v>
      </c>
    </row>
    <row r="101" spans="1:2">
      <c r="A101">
        <v>10327</v>
      </c>
      <c r="B101" t="s">
        <v>979</v>
      </c>
    </row>
    <row r="102" spans="1:2">
      <c r="A102">
        <v>10328</v>
      </c>
      <c r="B102" t="s">
        <v>980</v>
      </c>
    </row>
    <row r="103" spans="1:2">
      <c r="A103">
        <v>10329</v>
      </c>
      <c r="B103" t="s">
        <v>981</v>
      </c>
    </row>
    <row r="104" spans="1:2">
      <c r="A104">
        <v>10410</v>
      </c>
      <c r="B104" t="s">
        <v>982</v>
      </c>
    </row>
    <row r="105" spans="1:2">
      <c r="A105">
        <v>10411</v>
      </c>
      <c r="B105" t="s">
        <v>983</v>
      </c>
    </row>
    <row r="106" spans="1:2">
      <c r="A106">
        <v>10412</v>
      </c>
      <c r="B106" t="s">
        <v>984</v>
      </c>
    </row>
    <row r="107" spans="1:2">
      <c r="A107">
        <v>10413</v>
      </c>
      <c r="B107" t="s">
        <v>985</v>
      </c>
    </row>
    <row r="108" spans="1:2">
      <c r="A108">
        <v>10414</v>
      </c>
      <c r="B108" t="s">
        <v>986</v>
      </c>
    </row>
    <row r="109" spans="1:2">
      <c r="A109">
        <v>10415</v>
      </c>
      <c r="B109" t="s">
        <v>987</v>
      </c>
    </row>
    <row r="110" spans="1:2">
      <c r="A110">
        <v>10416</v>
      </c>
      <c r="B110" t="s">
        <v>988</v>
      </c>
    </row>
    <row r="111" spans="1:2">
      <c r="A111">
        <v>10417</v>
      </c>
      <c r="B111" t="s">
        <v>989</v>
      </c>
    </row>
    <row r="112" spans="1:2">
      <c r="A112">
        <v>10418</v>
      </c>
      <c r="B112" t="s">
        <v>990</v>
      </c>
    </row>
    <row r="113" spans="1:2">
      <c r="A113">
        <v>10419</v>
      </c>
      <c r="B113" t="s">
        <v>991</v>
      </c>
    </row>
    <row r="114" spans="1:2">
      <c r="A114">
        <v>10420</v>
      </c>
      <c r="B114" t="s">
        <v>992</v>
      </c>
    </row>
    <row r="115" spans="1:2">
      <c r="A115">
        <v>10421</v>
      </c>
      <c r="B115" t="s">
        <v>993</v>
      </c>
    </row>
    <row r="116" spans="1:2">
      <c r="A116">
        <v>10422</v>
      </c>
      <c r="B116" t="s">
        <v>994</v>
      </c>
    </row>
    <row r="117" spans="1:2">
      <c r="A117">
        <v>10423</v>
      </c>
      <c r="B117" t="s">
        <v>995</v>
      </c>
    </row>
    <row r="118" spans="1:2">
      <c r="A118">
        <v>10424</v>
      </c>
      <c r="B118" t="s">
        <v>996</v>
      </c>
    </row>
    <row r="119" spans="1:2">
      <c r="A119">
        <v>10425</v>
      </c>
      <c r="B119" t="s">
        <v>997</v>
      </c>
    </row>
    <row r="120" spans="1:2">
      <c r="A120">
        <v>10426</v>
      </c>
      <c r="B120" t="s">
        <v>998</v>
      </c>
    </row>
    <row r="121" spans="1:2">
      <c r="A121">
        <v>10427</v>
      </c>
      <c r="B121" t="s">
        <v>999</v>
      </c>
    </row>
    <row r="122" spans="1:2">
      <c r="A122">
        <v>10428</v>
      </c>
      <c r="B122" t="s">
        <v>1000</v>
      </c>
    </row>
    <row r="123" spans="1:2">
      <c r="A123">
        <v>10429</v>
      </c>
      <c r="B123" t="s">
        <v>1001</v>
      </c>
    </row>
    <row r="124" spans="1:2">
      <c r="A124">
        <v>10510</v>
      </c>
      <c r="B124" t="s">
        <v>1002</v>
      </c>
    </row>
    <row r="125" spans="1:2">
      <c r="A125">
        <v>10511</v>
      </c>
      <c r="B125" t="s">
        <v>1003</v>
      </c>
    </row>
    <row r="126" spans="1:2">
      <c r="A126">
        <v>10512</v>
      </c>
      <c r="B126" t="s">
        <v>1004</v>
      </c>
    </row>
    <row r="127" spans="1:2">
      <c r="A127">
        <v>10513</v>
      </c>
      <c r="B127" t="s">
        <v>1005</v>
      </c>
    </row>
    <row r="128" spans="1:2">
      <c r="A128">
        <v>10514</v>
      </c>
      <c r="B128" t="s">
        <v>1006</v>
      </c>
    </row>
    <row r="129" spans="1:2">
      <c r="A129">
        <v>10515</v>
      </c>
      <c r="B129" t="s">
        <v>1007</v>
      </c>
    </row>
    <row r="130" spans="1:2">
      <c r="A130">
        <v>10516</v>
      </c>
      <c r="B130" t="s">
        <v>1008</v>
      </c>
    </row>
    <row r="131" spans="1:2">
      <c r="A131">
        <v>10517</v>
      </c>
      <c r="B131" t="s">
        <v>1009</v>
      </c>
    </row>
    <row r="132" spans="1:2">
      <c r="A132">
        <v>10518</v>
      </c>
      <c r="B132" t="s">
        <v>1010</v>
      </c>
    </row>
    <row r="133" spans="1:2">
      <c r="A133">
        <v>10519</v>
      </c>
      <c r="B133" t="s">
        <v>1011</v>
      </c>
    </row>
    <row r="134" spans="1:2">
      <c r="A134">
        <v>10520</v>
      </c>
      <c r="B134" t="s">
        <v>1012</v>
      </c>
    </row>
    <row r="135" spans="1:2">
      <c r="A135">
        <v>10521</v>
      </c>
      <c r="B135" t="s">
        <v>1013</v>
      </c>
    </row>
    <row r="136" spans="1:2">
      <c r="A136">
        <v>10522</v>
      </c>
      <c r="B136" t="s">
        <v>1014</v>
      </c>
    </row>
    <row r="137" spans="1:2">
      <c r="A137">
        <v>10523</v>
      </c>
      <c r="B137" t="s">
        <v>1015</v>
      </c>
    </row>
    <row r="138" spans="1:2">
      <c r="A138">
        <v>10524</v>
      </c>
      <c r="B138" t="s">
        <v>1016</v>
      </c>
    </row>
    <row r="139" spans="1:2">
      <c r="A139">
        <v>10525</v>
      </c>
      <c r="B139" t="s">
        <v>1017</v>
      </c>
    </row>
    <row r="140" spans="1:2">
      <c r="A140">
        <v>10526</v>
      </c>
      <c r="B140" t="s">
        <v>1018</v>
      </c>
    </row>
    <row r="141" spans="1:2">
      <c r="A141">
        <v>10527</v>
      </c>
      <c r="B141" t="s">
        <v>1019</v>
      </c>
    </row>
    <row r="142" spans="1:2">
      <c r="A142">
        <v>10528</v>
      </c>
      <c r="B142" t="s">
        <v>1020</v>
      </c>
    </row>
    <row r="143" spans="1:2">
      <c r="A143">
        <v>10529</v>
      </c>
      <c r="B143" t="s">
        <v>1021</v>
      </c>
    </row>
    <row r="144" spans="1:2">
      <c r="A144">
        <v>10900</v>
      </c>
      <c r="B144" t="s">
        <v>133</v>
      </c>
    </row>
    <row r="145" spans="1:2">
      <c r="A145">
        <v>10901</v>
      </c>
      <c r="B145" t="s">
        <v>134</v>
      </c>
    </row>
    <row r="146" spans="1:2">
      <c r="A146">
        <v>10902</v>
      </c>
      <c r="B146" t="s">
        <v>135</v>
      </c>
    </row>
    <row r="147" spans="1:2">
      <c r="A147">
        <v>10903</v>
      </c>
      <c r="B147" t="s">
        <v>136</v>
      </c>
    </row>
    <row r="148" spans="1:2">
      <c r="A148">
        <v>10904</v>
      </c>
      <c r="B148" t="s">
        <v>137</v>
      </c>
    </row>
    <row r="149" spans="1:2">
      <c r="A149">
        <v>10905</v>
      </c>
      <c r="B149" t="s">
        <v>138</v>
      </c>
    </row>
    <row r="150" spans="1:2">
      <c r="A150">
        <v>10906</v>
      </c>
      <c r="B150" t="s">
        <v>139</v>
      </c>
    </row>
    <row r="151" spans="1:2">
      <c r="A151">
        <v>10907</v>
      </c>
      <c r="B151" t="s">
        <v>140</v>
      </c>
    </row>
    <row r="152" spans="1:2">
      <c r="A152">
        <v>10908</v>
      </c>
      <c r="B152" t="s">
        <v>141</v>
      </c>
    </row>
    <row r="153" spans="1:2">
      <c r="A153">
        <v>10909</v>
      </c>
      <c r="B153" t="s">
        <v>142</v>
      </c>
    </row>
    <row r="154" spans="1:2">
      <c r="A154">
        <v>10910</v>
      </c>
      <c r="B154" t="s">
        <v>143</v>
      </c>
    </row>
    <row r="155" spans="1:2">
      <c r="A155">
        <v>10911</v>
      </c>
      <c r="B155" t="s">
        <v>144</v>
      </c>
    </row>
    <row r="156" spans="1:2">
      <c r="A156">
        <v>10912</v>
      </c>
      <c r="B156" t="s">
        <v>145</v>
      </c>
    </row>
    <row r="157" spans="1:2">
      <c r="A157">
        <v>10913</v>
      </c>
      <c r="B157" t="s">
        <v>146</v>
      </c>
    </row>
    <row r="158" spans="1:2">
      <c r="A158">
        <v>10914</v>
      </c>
      <c r="B158" t="s">
        <v>147</v>
      </c>
    </row>
    <row r="159" spans="1:2">
      <c r="A159">
        <v>10915</v>
      </c>
      <c r="B159" t="s">
        <v>148</v>
      </c>
    </row>
    <row r="160" spans="1:2">
      <c r="A160">
        <v>10916</v>
      </c>
      <c r="B160" t="s">
        <v>149</v>
      </c>
    </row>
    <row r="161" spans="1:2">
      <c r="A161">
        <v>10917</v>
      </c>
      <c r="B161" t="s">
        <v>150</v>
      </c>
    </row>
    <row r="162" spans="1:2">
      <c r="A162">
        <v>10918</v>
      </c>
      <c r="B162" t="s">
        <v>151</v>
      </c>
    </row>
    <row r="163" spans="1:2">
      <c r="A163">
        <v>10919</v>
      </c>
      <c r="B163" t="s">
        <v>152</v>
      </c>
    </row>
    <row r="164" spans="1:2">
      <c r="A164">
        <v>10920</v>
      </c>
      <c r="B164" t="s">
        <v>153</v>
      </c>
    </row>
    <row r="165" spans="1:2">
      <c r="A165">
        <v>10921</v>
      </c>
      <c r="B165" t="s">
        <v>154</v>
      </c>
    </row>
    <row r="166" spans="1:2">
      <c r="A166">
        <v>10922</v>
      </c>
      <c r="B166" t="s">
        <v>155</v>
      </c>
    </row>
    <row r="167" spans="1:2">
      <c r="A167">
        <v>10923</v>
      </c>
      <c r="B167" t="s">
        <v>156</v>
      </c>
    </row>
    <row r="168" spans="1:2">
      <c r="A168">
        <v>10924</v>
      </c>
      <c r="B168" t="s">
        <v>157</v>
      </c>
    </row>
    <row r="169" spans="1:2">
      <c r="A169">
        <v>10925</v>
      </c>
      <c r="B169" t="s">
        <v>158</v>
      </c>
    </row>
    <row r="170" spans="1:2">
      <c r="A170">
        <v>10926</v>
      </c>
      <c r="B170" t="s">
        <v>159</v>
      </c>
    </row>
    <row r="171" spans="1:2">
      <c r="A171">
        <v>10927</v>
      </c>
      <c r="B171" t="s">
        <v>160</v>
      </c>
    </row>
    <row r="172" spans="1:2">
      <c r="A172">
        <v>10928</v>
      </c>
      <c r="B172" t="s">
        <v>161</v>
      </c>
    </row>
    <row r="173" spans="1:2">
      <c r="A173">
        <v>10929</v>
      </c>
      <c r="B173" t="s">
        <v>162</v>
      </c>
    </row>
    <row r="174" spans="1:2">
      <c r="A174">
        <v>11120</v>
      </c>
      <c r="B174" t="s">
        <v>163</v>
      </c>
    </row>
    <row r="175" spans="1:2">
      <c r="A175">
        <v>20001</v>
      </c>
      <c r="B175" t="s">
        <v>164</v>
      </c>
    </row>
    <row r="176" spans="1:2">
      <c r="A176">
        <v>20002</v>
      </c>
      <c r="B176" t="s">
        <v>165</v>
      </c>
    </row>
    <row r="177" spans="1:2">
      <c r="A177">
        <v>20003</v>
      </c>
      <c r="B177" t="s">
        <v>166</v>
      </c>
    </row>
    <row r="178" spans="1:2">
      <c r="A178">
        <v>20004</v>
      </c>
      <c r="B178" t="s">
        <v>167</v>
      </c>
    </row>
    <row r="179" spans="1:2">
      <c r="A179">
        <v>20005</v>
      </c>
      <c r="B179" t="s">
        <v>168</v>
      </c>
    </row>
    <row r="180" spans="1:2">
      <c r="A180">
        <v>21001</v>
      </c>
      <c r="B180" t="s">
        <v>799</v>
      </c>
    </row>
    <row r="181" spans="1:2">
      <c r="A181">
        <v>21002</v>
      </c>
      <c r="B181" t="s">
        <v>800</v>
      </c>
    </row>
    <row r="182" spans="1:2">
      <c r="A182">
        <v>21003</v>
      </c>
      <c r="B182" t="s">
        <v>801</v>
      </c>
    </row>
    <row r="183" spans="1:2">
      <c r="A183">
        <v>21011</v>
      </c>
      <c r="B183" t="s">
        <v>802</v>
      </c>
    </row>
    <row r="184" spans="1:2">
      <c r="A184">
        <v>21012</v>
      </c>
      <c r="B184" t="s">
        <v>803</v>
      </c>
    </row>
    <row r="185" spans="1:2">
      <c r="A185">
        <v>21013</v>
      </c>
      <c r="B185" t="s">
        <v>804</v>
      </c>
    </row>
    <row r="186" spans="1:2">
      <c r="A186">
        <v>21091</v>
      </c>
      <c r="B186" t="s">
        <v>169</v>
      </c>
    </row>
    <row r="187" spans="1:2">
      <c r="A187">
        <v>21092</v>
      </c>
      <c r="B187" t="s">
        <v>170</v>
      </c>
    </row>
    <row r="188" spans="1:2">
      <c r="A188">
        <v>31031</v>
      </c>
      <c r="B188" t="s">
        <v>171</v>
      </c>
    </row>
    <row r="189" spans="1:2">
      <c r="A189">
        <v>31032</v>
      </c>
      <c r="B189" t="s">
        <v>172</v>
      </c>
    </row>
    <row r="190" spans="1:2">
      <c r="A190">
        <v>31033</v>
      </c>
      <c r="B190" t="s">
        <v>173</v>
      </c>
    </row>
    <row r="191" spans="1:2">
      <c r="A191">
        <v>31034</v>
      </c>
      <c r="B191" t="s">
        <v>174</v>
      </c>
    </row>
    <row r="192" spans="1:2">
      <c r="A192">
        <v>31035</v>
      </c>
      <c r="B192" t="s">
        <v>175</v>
      </c>
    </row>
    <row r="193" spans="1:2">
      <c r="A193">
        <v>31036</v>
      </c>
      <c r="B193" t="s">
        <v>176</v>
      </c>
    </row>
    <row r="194" spans="1:2">
      <c r="A194">
        <v>31037</v>
      </c>
      <c r="B194" t="s">
        <v>177</v>
      </c>
    </row>
    <row r="195" spans="1:2">
      <c r="A195">
        <v>31038</v>
      </c>
      <c r="B195" t="s">
        <v>178</v>
      </c>
    </row>
    <row r="196" spans="1:2">
      <c r="A196">
        <v>32531</v>
      </c>
      <c r="B196" t="s">
        <v>179</v>
      </c>
    </row>
    <row r="197" spans="1:2">
      <c r="A197">
        <v>32532</v>
      </c>
      <c r="B197" t="s">
        <v>180</v>
      </c>
    </row>
    <row r="198" spans="1:2">
      <c r="A198">
        <v>32541</v>
      </c>
      <c r="B198" t="s">
        <v>181</v>
      </c>
    </row>
    <row r="199" spans="1:2">
      <c r="A199">
        <v>32544</v>
      </c>
      <c r="B199" t="s">
        <v>182</v>
      </c>
    </row>
    <row r="200" spans="1:2">
      <c r="A200">
        <v>32533</v>
      </c>
      <c r="B200" t="s">
        <v>183</v>
      </c>
    </row>
    <row r="201" spans="1:2">
      <c r="A201">
        <v>32538</v>
      </c>
      <c r="B201" t="s">
        <v>184</v>
      </c>
    </row>
    <row r="202" spans="1:2">
      <c r="A202">
        <v>32545</v>
      </c>
      <c r="B202" t="s">
        <v>185</v>
      </c>
    </row>
    <row r="203" spans="1:2">
      <c r="A203">
        <v>32534</v>
      </c>
      <c r="B203" t="s">
        <v>186</v>
      </c>
    </row>
    <row r="204" spans="1:2">
      <c r="A204">
        <v>32536</v>
      </c>
      <c r="B204" t="s">
        <v>187</v>
      </c>
    </row>
    <row r="205" spans="1:2">
      <c r="A205">
        <v>32546</v>
      </c>
      <c r="B205" t="s">
        <v>188</v>
      </c>
    </row>
    <row r="206" spans="1:2">
      <c r="A206">
        <v>32535</v>
      </c>
      <c r="B206" t="s">
        <v>189</v>
      </c>
    </row>
    <row r="207" spans="1:2">
      <c r="A207">
        <v>32547</v>
      </c>
      <c r="B207" t="s">
        <v>190</v>
      </c>
    </row>
    <row r="208" spans="1:2">
      <c r="A208">
        <v>32537</v>
      </c>
      <c r="B208" t="s">
        <v>191</v>
      </c>
    </row>
    <row r="209" spans="1:2">
      <c r="A209">
        <v>32550</v>
      </c>
      <c r="B209" t="s">
        <v>192</v>
      </c>
    </row>
    <row r="210" spans="1:2">
      <c r="A210">
        <v>32549</v>
      </c>
      <c r="B210" t="s">
        <v>193</v>
      </c>
    </row>
    <row r="211" spans="1:2">
      <c r="A211">
        <v>32539</v>
      </c>
      <c r="B211" t="s">
        <v>194</v>
      </c>
    </row>
    <row r="212" spans="1:2">
      <c r="A212">
        <v>32540</v>
      </c>
      <c r="B212" t="s">
        <v>195</v>
      </c>
    </row>
    <row r="213" spans="1:2">
      <c r="A213">
        <v>33002</v>
      </c>
      <c r="B213" t="s">
        <v>196</v>
      </c>
    </row>
    <row r="214" spans="1:2">
      <c r="A214">
        <v>33001</v>
      </c>
      <c r="B214" t="s">
        <v>197</v>
      </c>
    </row>
    <row r="215" spans="1:2">
      <c r="A215">
        <v>33004</v>
      </c>
      <c r="B215" t="s">
        <v>198</v>
      </c>
    </row>
    <row r="216" spans="1:2">
      <c r="A216">
        <v>33005</v>
      </c>
      <c r="B216" t="s">
        <v>199</v>
      </c>
    </row>
    <row r="217" spans="1:2">
      <c r="A217">
        <v>33003</v>
      </c>
      <c r="B217" t="s">
        <v>200</v>
      </c>
    </row>
    <row r="218" spans="1:2">
      <c r="A218">
        <v>33009</v>
      </c>
      <c r="B218" t="s">
        <v>201</v>
      </c>
    </row>
    <row r="219" spans="1:2">
      <c r="A219">
        <v>33014</v>
      </c>
      <c r="B219" t="s">
        <v>202</v>
      </c>
    </row>
    <row r="220" spans="1:2">
      <c r="A220">
        <v>33006</v>
      </c>
      <c r="B220" t="s">
        <v>203</v>
      </c>
    </row>
    <row r="221" spans="1:2">
      <c r="A221">
        <v>33007</v>
      </c>
      <c r="B221" t="s">
        <v>204</v>
      </c>
    </row>
    <row r="222" spans="1:2">
      <c r="A222">
        <v>33011</v>
      </c>
      <c r="B222" t="s">
        <v>205</v>
      </c>
    </row>
    <row r="223" spans="1:2">
      <c r="A223">
        <v>33018</v>
      </c>
      <c r="B223" t="s">
        <v>206</v>
      </c>
    </row>
    <row r="224" spans="1:2">
      <c r="A224">
        <v>33012</v>
      </c>
      <c r="B224" t="s">
        <v>207</v>
      </c>
    </row>
    <row r="225" spans="1:2">
      <c r="A225">
        <v>33008</v>
      </c>
      <c r="B225" t="s">
        <v>208</v>
      </c>
    </row>
    <row r="226" spans="1:2">
      <c r="A226">
        <v>33015</v>
      </c>
      <c r="B226" t="s">
        <v>209</v>
      </c>
    </row>
    <row r="227" spans="1:2">
      <c r="A227">
        <v>33010</v>
      </c>
      <c r="B227" t="s">
        <v>210</v>
      </c>
    </row>
    <row r="228" spans="1:2">
      <c r="A228">
        <v>31504</v>
      </c>
      <c r="B228" t="s">
        <v>211</v>
      </c>
    </row>
    <row r="229" spans="1:2">
      <c r="A229">
        <v>31510</v>
      </c>
      <c r="B229" t="s">
        <v>212</v>
      </c>
    </row>
    <row r="230" spans="1:2">
      <c r="A230">
        <v>31521</v>
      </c>
      <c r="B230" t="s">
        <v>213</v>
      </c>
    </row>
    <row r="231" spans="1:2">
      <c r="A231">
        <v>31524</v>
      </c>
      <c r="B231" t="s">
        <v>214</v>
      </c>
    </row>
    <row r="232" spans="1:2">
      <c r="A232">
        <v>31516</v>
      </c>
      <c r="B232" t="s">
        <v>215</v>
      </c>
    </row>
    <row r="233" spans="1:2">
      <c r="A233">
        <v>31502</v>
      </c>
      <c r="B233" t="s">
        <v>216</v>
      </c>
    </row>
    <row r="234" spans="1:2">
      <c r="A234">
        <v>31508</v>
      </c>
      <c r="B234" t="s">
        <v>217</v>
      </c>
    </row>
    <row r="235" spans="1:2">
      <c r="A235">
        <v>31509</v>
      </c>
      <c r="B235" t="s">
        <v>218</v>
      </c>
    </row>
    <row r="236" spans="1:2">
      <c r="A236">
        <v>31514</v>
      </c>
      <c r="B236" t="s">
        <v>219</v>
      </c>
    </row>
    <row r="237" spans="1:2">
      <c r="A237">
        <v>31512</v>
      </c>
      <c r="B237" t="s">
        <v>220</v>
      </c>
    </row>
    <row r="238" spans="1:2">
      <c r="A238">
        <v>31520</v>
      </c>
      <c r="B238" t="s">
        <v>221</v>
      </c>
    </row>
    <row r="239" spans="1:2">
      <c r="A239">
        <v>31511</v>
      </c>
      <c r="B239" t="s">
        <v>222</v>
      </c>
    </row>
    <row r="240" spans="1:2">
      <c r="A240">
        <v>31513</v>
      </c>
      <c r="B240" t="s">
        <v>223</v>
      </c>
    </row>
    <row r="241" spans="1:2">
      <c r="A241">
        <v>31518</v>
      </c>
      <c r="B241" t="s">
        <v>224</v>
      </c>
    </row>
    <row r="242" spans="1:2">
      <c r="A242">
        <v>31506</v>
      </c>
      <c r="B242" t="s">
        <v>225</v>
      </c>
    </row>
    <row r="243" spans="1:2">
      <c r="A243">
        <v>31517</v>
      </c>
      <c r="B243" t="s">
        <v>226</v>
      </c>
    </row>
    <row r="244" spans="1:2">
      <c r="A244">
        <v>31505</v>
      </c>
      <c r="B244" t="s">
        <v>227</v>
      </c>
    </row>
    <row r="245" spans="1:2">
      <c r="A245">
        <v>31519</v>
      </c>
      <c r="B245" t="s">
        <v>228</v>
      </c>
    </row>
    <row r="246" spans="1:2">
      <c r="A246">
        <v>31522</v>
      </c>
      <c r="B246" t="s">
        <v>229</v>
      </c>
    </row>
    <row r="247" spans="1:2">
      <c r="A247">
        <v>32008</v>
      </c>
      <c r="B247" t="s">
        <v>230</v>
      </c>
    </row>
    <row r="248" spans="1:2">
      <c r="A248">
        <v>32014</v>
      </c>
      <c r="B248" t="s">
        <v>231</v>
      </c>
    </row>
    <row r="249" spans="1:2">
      <c r="A249">
        <v>32009</v>
      </c>
      <c r="B249" t="s">
        <v>232</v>
      </c>
    </row>
    <row r="250" spans="1:2">
      <c r="A250">
        <v>32007</v>
      </c>
      <c r="B250" t="s">
        <v>233</v>
      </c>
    </row>
    <row r="251" spans="1:2">
      <c r="A251">
        <v>32016</v>
      </c>
      <c r="B251" t="s">
        <v>234</v>
      </c>
    </row>
    <row r="252" spans="1:2">
      <c r="A252">
        <v>32003</v>
      </c>
      <c r="B252" t="s">
        <v>235</v>
      </c>
    </row>
    <row r="253" spans="1:2">
      <c r="A253">
        <v>32004</v>
      </c>
      <c r="B253" t="s">
        <v>236</v>
      </c>
    </row>
    <row r="254" spans="1:2">
      <c r="A254">
        <v>32018</v>
      </c>
      <c r="B254" t="s">
        <v>237</v>
      </c>
    </row>
    <row r="255" spans="1:2">
      <c r="A255">
        <v>32015</v>
      </c>
      <c r="B255" t="s">
        <v>238</v>
      </c>
    </row>
    <row r="256" spans="1:2">
      <c r="A256">
        <v>32020</v>
      </c>
      <c r="B256" t="s">
        <v>239</v>
      </c>
    </row>
    <row r="257" spans="1:2">
      <c r="A257">
        <v>32010</v>
      </c>
      <c r="B257" t="s">
        <v>240</v>
      </c>
    </row>
    <row r="258" spans="1:2">
      <c r="A258">
        <v>32017</v>
      </c>
      <c r="B258" t="s">
        <v>241</v>
      </c>
    </row>
    <row r="259" spans="1:2">
      <c r="A259">
        <v>32012</v>
      </c>
      <c r="B259" t="s">
        <v>242</v>
      </c>
    </row>
    <row r="260" spans="1:2">
      <c r="A260">
        <v>32005</v>
      </c>
      <c r="B260" t="s">
        <v>243</v>
      </c>
    </row>
    <row r="261" spans="1:2">
      <c r="A261">
        <v>32013</v>
      </c>
      <c r="B261" t="s">
        <v>244</v>
      </c>
    </row>
    <row r="262" spans="1:2">
      <c r="A262">
        <v>32019</v>
      </c>
      <c r="B262" t="s">
        <v>245</v>
      </c>
    </row>
    <row r="263" spans="1:2">
      <c r="A263">
        <v>32011</v>
      </c>
      <c r="B263" t="s">
        <v>246</v>
      </c>
    </row>
    <row r="264" spans="1:2">
      <c r="A264">
        <v>32006</v>
      </c>
      <c r="B264" t="s">
        <v>247</v>
      </c>
    </row>
    <row r="265" spans="1:2">
      <c r="A265">
        <v>32002</v>
      </c>
      <c r="B265" t="s">
        <v>248</v>
      </c>
    </row>
    <row r="266" spans="1:2">
      <c r="A266">
        <v>40001</v>
      </c>
      <c r="B266" t="s">
        <v>249</v>
      </c>
    </row>
    <row r="267" spans="1:2">
      <c r="A267">
        <v>40002</v>
      </c>
      <c r="B267" t="s">
        <v>250</v>
      </c>
    </row>
    <row r="268" spans="1:2">
      <c r="A268">
        <v>40003</v>
      </c>
      <c r="B268" t="s">
        <v>251</v>
      </c>
    </row>
    <row r="269" spans="1:2">
      <c r="A269">
        <v>40004</v>
      </c>
      <c r="B269" t="s">
        <v>252</v>
      </c>
    </row>
    <row r="270" spans="1:2">
      <c r="A270">
        <v>40011</v>
      </c>
      <c r="B270" t="s">
        <v>253</v>
      </c>
    </row>
    <row r="271" spans="1:2">
      <c r="A271">
        <v>40012</v>
      </c>
      <c r="B271" t="s">
        <v>254</v>
      </c>
    </row>
    <row r="272" spans="1:2">
      <c r="A272">
        <v>40013</v>
      </c>
      <c r="B272" t="s">
        <v>255</v>
      </c>
    </row>
    <row r="273" spans="1:2">
      <c r="A273">
        <v>40014</v>
      </c>
      <c r="B273" t="s">
        <v>256</v>
      </c>
    </row>
    <row r="274" spans="1:2">
      <c r="A274">
        <v>40101</v>
      </c>
      <c r="B274" t="s">
        <v>257</v>
      </c>
    </row>
    <row r="275" spans="1:2">
      <c r="A275">
        <v>40102</v>
      </c>
      <c r="B275" t="s">
        <v>258</v>
      </c>
    </row>
    <row r="276" spans="1:2">
      <c r="A276">
        <v>40103</v>
      </c>
      <c r="B276" t="s">
        <v>259</v>
      </c>
    </row>
    <row r="277" spans="1:2">
      <c r="A277">
        <v>80001</v>
      </c>
      <c r="B277" t="s">
        <v>260</v>
      </c>
    </row>
    <row r="278" spans="1:2">
      <c r="A278">
        <v>80002</v>
      </c>
      <c r="B278" t="s">
        <v>261</v>
      </c>
    </row>
    <row r="279" spans="1:2">
      <c r="A279">
        <v>80003</v>
      </c>
      <c r="B279" t="s">
        <v>262</v>
      </c>
    </row>
    <row r="280" spans="1:2">
      <c r="A280">
        <v>80004</v>
      </c>
      <c r="B280" t="s">
        <v>263</v>
      </c>
    </row>
    <row r="281" spans="1:2">
      <c r="A281">
        <v>80005</v>
      </c>
      <c r="B281" t="s">
        <v>264</v>
      </c>
    </row>
    <row r="282" spans="1:2">
      <c r="A282">
        <v>80006</v>
      </c>
      <c r="B282" t="s">
        <v>265</v>
      </c>
    </row>
    <row r="283" spans="1:2">
      <c r="A283">
        <v>80007</v>
      </c>
      <c r="B283" t="s">
        <v>266</v>
      </c>
    </row>
    <row r="284" spans="1:2">
      <c r="A284">
        <v>80008</v>
      </c>
      <c r="B284" t="s">
        <v>1022</v>
      </c>
    </row>
    <row r="285" spans="1:2">
      <c r="A285">
        <v>80101</v>
      </c>
      <c r="B285" t="s">
        <v>267</v>
      </c>
    </row>
    <row r="286" spans="1:2">
      <c r="A286">
        <v>80105</v>
      </c>
      <c r="B286" t="s">
        <v>268</v>
      </c>
    </row>
    <row r="287" spans="1:2">
      <c r="A287">
        <v>80107</v>
      </c>
      <c r="B287" t="s">
        <v>269</v>
      </c>
    </row>
    <row r="288" spans="1:2">
      <c r="A288">
        <v>80108</v>
      </c>
      <c r="B288" t="s">
        <v>1023</v>
      </c>
    </row>
    <row r="289" spans="1:2">
      <c r="A289">
        <v>80201</v>
      </c>
      <c r="B289" t="s">
        <v>1024</v>
      </c>
    </row>
    <row r="290" spans="1:2">
      <c r="A290">
        <v>80202</v>
      </c>
      <c r="B290" t="s">
        <v>1025</v>
      </c>
    </row>
    <row r="291" spans="1:2" s="21" customFormat="1">
      <c r="A291" s="21">
        <v>80203</v>
      </c>
      <c r="B291" s="21" t="s">
        <v>1257</v>
      </c>
    </row>
    <row r="292" spans="1:2">
      <c r="A292">
        <v>81001</v>
      </c>
      <c r="B292" t="s">
        <v>270</v>
      </c>
    </row>
    <row r="293" spans="1:2">
      <c r="A293">
        <v>81002</v>
      </c>
      <c r="B293" t="s">
        <v>271</v>
      </c>
    </row>
    <row r="294" spans="1:2">
      <c r="A294">
        <v>81003</v>
      </c>
      <c r="B294" t="s">
        <v>272</v>
      </c>
    </row>
    <row r="295" spans="1:2">
      <c r="A295">
        <v>90001</v>
      </c>
      <c r="B295" t="s">
        <v>273</v>
      </c>
    </row>
    <row r="296" spans="1:2">
      <c r="A296">
        <v>90002</v>
      </c>
      <c r="B296" t="s">
        <v>274</v>
      </c>
    </row>
    <row r="297" spans="1:2">
      <c r="A297">
        <v>90003</v>
      </c>
      <c r="B297" t="s">
        <v>275</v>
      </c>
    </row>
    <row r="298" spans="1:2">
      <c r="A298">
        <v>90004</v>
      </c>
      <c r="B298" t="s">
        <v>276</v>
      </c>
    </row>
    <row r="299" spans="1:2">
      <c r="A299">
        <v>90005</v>
      </c>
      <c r="B299" t="s">
        <v>277</v>
      </c>
    </row>
    <row r="300" spans="1:2">
      <c r="A300">
        <v>90006</v>
      </c>
      <c r="B300" t="s">
        <v>278</v>
      </c>
    </row>
    <row r="301" spans="1:2">
      <c r="A301">
        <v>90007</v>
      </c>
      <c r="B301" t="s">
        <v>279</v>
      </c>
    </row>
    <row r="302" spans="1:2">
      <c r="A302">
        <v>90008</v>
      </c>
      <c r="B302" t="s">
        <v>280</v>
      </c>
    </row>
    <row r="303" spans="1:2">
      <c r="A303">
        <v>90009</v>
      </c>
      <c r="B303" t="s">
        <v>281</v>
      </c>
    </row>
    <row r="304" spans="1:2">
      <c r="A304">
        <v>90010</v>
      </c>
      <c r="B304" t="s">
        <v>282</v>
      </c>
    </row>
    <row r="305" spans="1:2">
      <c r="A305">
        <v>90011</v>
      </c>
      <c r="B305" t="s">
        <v>283</v>
      </c>
    </row>
    <row r="306" spans="1:2">
      <c r="A306">
        <v>90012</v>
      </c>
      <c r="B306" t="s">
        <v>284</v>
      </c>
    </row>
    <row r="307" spans="1:2">
      <c r="A307">
        <v>90013</v>
      </c>
      <c r="B307" t="s">
        <v>285</v>
      </c>
    </row>
    <row r="308" spans="1:2">
      <c r="A308">
        <v>90014</v>
      </c>
      <c r="B308" t="s">
        <v>286</v>
      </c>
    </row>
    <row r="309" spans="1:2">
      <c r="A309">
        <v>90015</v>
      </c>
      <c r="B309" t="s">
        <v>287</v>
      </c>
    </row>
    <row r="310" spans="1:2">
      <c r="A310">
        <v>90016</v>
      </c>
      <c r="B310" t="s">
        <v>288</v>
      </c>
    </row>
    <row r="311" spans="1:2">
      <c r="A311">
        <v>90017</v>
      </c>
      <c r="B311" t="s">
        <v>289</v>
      </c>
    </row>
    <row r="312" spans="1:2">
      <c r="A312">
        <v>90018</v>
      </c>
      <c r="B312" t="s">
        <v>290</v>
      </c>
    </row>
    <row r="313" spans="1:2">
      <c r="A313">
        <v>90019</v>
      </c>
      <c r="B313" t="s">
        <v>291</v>
      </c>
    </row>
    <row r="314" spans="1:2">
      <c r="A314">
        <v>90020</v>
      </c>
      <c r="B314" t="s">
        <v>292</v>
      </c>
    </row>
    <row r="315" spans="1:2">
      <c r="A315">
        <v>90021</v>
      </c>
      <c r="B315" t="s">
        <v>293</v>
      </c>
    </row>
    <row r="316" spans="1:2">
      <c r="A316">
        <v>90022</v>
      </c>
      <c r="B316" t="s">
        <v>294</v>
      </c>
    </row>
    <row r="317" spans="1:2">
      <c r="A317">
        <v>90023</v>
      </c>
      <c r="B317" t="s">
        <v>295</v>
      </c>
    </row>
    <row r="318" spans="1:2">
      <c r="A318">
        <v>90024</v>
      </c>
      <c r="B318" t="s">
        <v>296</v>
      </c>
    </row>
    <row r="319" spans="1:2">
      <c r="A319">
        <v>90025</v>
      </c>
      <c r="B319" t="s">
        <v>297</v>
      </c>
    </row>
    <row r="320" spans="1:2">
      <c r="A320">
        <v>90026</v>
      </c>
      <c r="B320" t="s">
        <v>298</v>
      </c>
    </row>
    <row r="321" spans="1:2">
      <c r="A321">
        <v>90027</v>
      </c>
      <c r="B321" t="s">
        <v>299</v>
      </c>
    </row>
    <row r="322" spans="1:2">
      <c r="A322">
        <v>90028</v>
      </c>
      <c r="B322" t="s">
        <v>300</v>
      </c>
    </row>
    <row r="323" spans="1:2">
      <c r="A323">
        <v>90029</v>
      </c>
      <c r="B323" t="s">
        <v>301</v>
      </c>
    </row>
    <row r="324" spans="1:2">
      <c r="A324">
        <v>90030</v>
      </c>
      <c r="B324" t="s">
        <v>302</v>
      </c>
    </row>
    <row r="325" spans="1:2">
      <c r="A325">
        <v>90031</v>
      </c>
      <c r="B325" t="s">
        <v>303</v>
      </c>
    </row>
    <row r="326" spans="1:2">
      <c r="A326">
        <v>90032</v>
      </c>
      <c r="B326" t="s">
        <v>304</v>
      </c>
    </row>
    <row r="327" spans="1:2">
      <c r="A327">
        <v>90033</v>
      </c>
      <c r="B327" t="s">
        <v>305</v>
      </c>
    </row>
    <row r="328" spans="1:2">
      <c r="A328">
        <v>90034</v>
      </c>
      <c r="B328" t="s">
        <v>306</v>
      </c>
    </row>
    <row r="329" spans="1:2">
      <c r="A329">
        <v>90035</v>
      </c>
      <c r="B329" t="s">
        <v>307</v>
      </c>
    </row>
    <row r="330" spans="1:2">
      <c r="A330">
        <v>90036</v>
      </c>
      <c r="B330" t="s">
        <v>308</v>
      </c>
    </row>
    <row r="331" spans="1:2">
      <c r="A331">
        <v>90037</v>
      </c>
      <c r="B331" t="s">
        <v>309</v>
      </c>
    </row>
    <row r="332" spans="1:2">
      <c r="A332">
        <v>90038</v>
      </c>
      <c r="B332" t="s">
        <v>310</v>
      </c>
    </row>
    <row r="333" spans="1:2">
      <c r="A333">
        <v>90039</v>
      </c>
      <c r="B333" t="s">
        <v>311</v>
      </c>
    </row>
    <row r="334" spans="1:2">
      <c r="A334">
        <v>90040</v>
      </c>
      <c r="B334" t="s">
        <v>312</v>
      </c>
    </row>
    <row r="335" spans="1:2">
      <c r="A335">
        <v>90041</v>
      </c>
      <c r="B335" t="s">
        <v>313</v>
      </c>
    </row>
    <row r="336" spans="1:2">
      <c r="A336">
        <v>90042</v>
      </c>
      <c r="B336" t="s">
        <v>314</v>
      </c>
    </row>
    <row r="337" spans="1:2">
      <c r="A337">
        <v>90043</v>
      </c>
      <c r="B337" t="s">
        <v>315</v>
      </c>
    </row>
    <row r="338" spans="1:2">
      <c r="A338">
        <v>90044</v>
      </c>
      <c r="B338" t="s">
        <v>316</v>
      </c>
    </row>
    <row r="339" spans="1:2">
      <c r="A339">
        <v>90045</v>
      </c>
      <c r="B339" t="s">
        <v>317</v>
      </c>
    </row>
    <row r="340" spans="1:2">
      <c r="A340">
        <v>90046</v>
      </c>
      <c r="B340" t="s">
        <v>318</v>
      </c>
    </row>
    <row r="341" spans="1:2">
      <c r="A341">
        <v>90047</v>
      </c>
      <c r="B341" t="s">
        <v>319</v>
      </c>
    </row>
    <row r="342" spans="1:2">
      <c r="A342">
        <v>90048</v>
      </c>
      <c r="B342" t="s">
        <v>320</v>
      </c>
    </row>
    <row r="343" spans="1:2">
      <c r="A343">
        <v>90049</v>
      </c>
      <c r="B343" t="s">
        <v>321</v>
      </c>
    </row>
    <row r="344" spans="1:2">
      <c r="A344">
        <v>90050</v>
      </c>
      <c r="B344" t="s">
        <v>322</v>
      </c>
    </row>
    <row r="345" spans="1:2">
      <c r="A345">
        <v>90051</v>
      </c>
      <c r="B345" t="s">
        <v>323</v>
      </c>
    </row>
    <row r="346" spans="1:2">
      <c r="A346">
        <v>90052</v>
      </c>
      <c r="B346" t="s">
        <v>324</v>
      </c>
    </row>
    <row r="347" spans="1:2">
      <c r="A347">
        <v>90053</v>
      </c>
      <c r="B347" t="s">
        <v>325</v>
      </c>
    </row>
    <row r="348" spans="1:2">
      <c r="A348">
        <v>90054</v>
      </c>
      <c r="B348" t="s">
        <v>326</v>
      </c>
    </row>
    <row r="349" spans="1:2">
      <c r="A349">
        <v>90055</v>
      </c>
      <c r="B349" t="s">
        <v>327</v>
      </c>
    </row>
    <row r="350" spans="1:2">
      <c r="A350">
        <v>90056</v>
      </c>
      <c r="B350" t="s">
        <v>328</v>
      </c>
    </row>
    <row r="351" spans="1:2">
      <c r="A351">
        <v>90057</v>
      </c>
      <c r="B351" t="s">
        <v>329</v>
      </c>
    </row>
    <row r="352" spans="1:2">
      <c r="A352">
        <v>90058</v>
      </c>
      <c r="B352" t="s">
        <v>330</v>
      </c>
    </row>
    <row r="353" spans="1:2">
      <c r="A353">
        <v>90059</v>
      </c>
      <c r="B353" t="s">
        <v>331</v>
      </c>
    </row>
    <row r="354" spans="1:2">
      <c r="A354">
        <v>90060</v>
      </c>
      <c r="B354" t="s">
        <v>332</v>
      </c>
    </row>
    <row r="355" spans="1:2">
      <c r="A355">
        <v>90061</v>
      </c>
      <c r="B355" t="s">
        <v>333</v>
      </c>
    </row>
    <row r="356" spans="1:2">
      <c r="A356">
        <v>90062</v>
      </c>
      <c r="B356" t="s">
        <v>334</v>
      </c>
    </row>
    <row r="357" spans="1:2">
      <c r="A357">
        <v>90063</v>
      </c>
      <c r="B357" t="s">
        <v>335</v>
      </c>
    </row>
    <row r="358" spans="1:2">
      <c r="A358">
        <v>90064</v>
      </c>
      <c r="B358" t="s">
        <v>336</v>
      </c>
    </row>
    <row r="359" spans="1:2">
      <c r="A359">
        <v>90065</v>
      </c>
      <c r="B359" t="s">
        <v>337</v>
      </c>
    </row>
    <row r="360" spans="1:2">
      <c r="A360">
        <v>90066</v>
      </c>
      <c r="B360" t="s">
        <v>338</v>
      </c>
    </row>
    <row r="361" spans="1:2">
      <c r="A361">
        <v>90067</v>
      </c>
      <c r="B361" t="s">
        <v>339</v>
      </c>
    </row>
    <row r="362" spans="1:2">
      <c r="A362">
        <v>90068</v>
      </c>
      <c r="B362" t="s">
        <v>340</v>
      </c>
    </row>
    <row r="363" spans="1:2">
      <c r="A363">
        <v>90069</v>
      </c>
      <c r="B363" t="s">
        <v>341</v>
      </c>
    </row>
    <row r="364" spans="1:2">
      <c r="A364">
        <v>90070</v>
      </c>
      <c r="B364" t="s">
        <v>342</v>
      </c>
    </row>
    <row r="365" spans="1:2">
      <c r="A365">
        <v>90071</v>
      </c>
      <c r="B365" t="s">
        <v>343</v>
      </c>
    </row>
    <row r="366" spans="1:2">
      <c r="A366">
        <v>90072</v>
      </c>
      <c r="B366" t="s">
        <v>344</v>
      </c>
    </row>
    <row r="367" spans="1:2">
      <c r="A367">
        <v>90073</v>
      </c>
      <c r="B367" t="s">
        <v>345</v>
      </c>
    </row>
    <row r="368" spans="1:2">
      <c r="A368">
        <v>90074</v>
      </c>
      <c r="B368" t="s">
        <v>346</v>
      </c>
    </row>
    <row r="369" spans="1:2">
      <c r="A369">
        <v>90075</v>
      </c>
      <c r="B369" t="s">
        <v>347</v>
      </c>
    </row>
    <row r="370" spans="1:2">
      <c r="A370">
        <v>90076</v>
      </c>
      <c r="B370" t="s">
        <v>348</v>
      </c>
    </row>
    <row r="371" spans="1:2">
      <c r="A371">
        <v>90077</v>
      </c>
      <c r="B371" t="s">
        <v>349</v>
      </c>
    </row>
    <row r="372" spans="1:2">
      <c r="A372">
        <v>90078</v>
      </c>
      <c r="B372" t="s">
        <v>350</v>
      </c>
    </row>
    <row r="373" spans="1:2">
      <c r="A373">
        <v>90079</v>
      </c>
      <c r="B373" t="s">
        <v>351</v>
      </c>
    </row>
    <row r="374" spans="1:2">
      <c r="A374">
        <v>90080</v>
      </c>
      <c r="B374" t="s">
        <v>352</v>
      </c>
    </row>
    <row r="375" spans="1:2">
      <c r="A375">
        <v>90081</v>
      </c>
      <c r="B375" t="s">
        <v>353</v>
      </c>
    </row>
    <row r="376" spans="1:2">
      <c r="A376">
        <v>90082</v>
      </c>
      <c r="B376" t="s">
        <v>354</v>
      </c>
    </row>
    <row r="377" spans="1:2">
      <c r="A377">
        <v>90083</v>
      </c>
      <c r="B377" t="s">
        <v>355</v>
      </c>
    </row>
    <row r="378" spans="1:2">
      <c r="A378">
        <v>90084</v>
      </c>
      <c r="B378" t="s">
        <v>356</v>
      </c>
    </row>
    <row r="379" spans="1:2">
      <c r="A379">
        <v>90085</v>
      </c>
      <c r="B379" t="s">
        <v>357</v>
      </c>
    </row>
    <row r="380" spans="1:2">
      <c r="A380">
        <v>90086</v>
      </c>
      <c r="B380" t="s">
        <v>358</v>
      </c>
    </row>
    <row r="381" spans="1:2">
      <c r="A381">
        <v>90087</v>
      </c>
      <c r="B381" t="s">
        <v>359</v>
      </c>
    </row>
    <row r="382" spans="1:2">
      <c r="A382">
        <v>90088</v>
      </c>
      <c r="B382" t="s">
        <v>360</v>
      </c>
    </row>
    <row r="383" spans="1:2">
      <c r="A383">
        <v>90089</v>
      </c>
      <c r="B383" t="s">
        <v>361</v>
      </c>
    </row>
    <row r="384" spans="1:2">
      <c r="A384">
        <v>90090</v>
      </c>
      <c r="B384" t="s">
        <v>362</v>
      </c>
    </row>
    <row r="385" spans="1:2">
      <c r="A385">
        <v>90091</v>
      </c>
      <c r="B385" t="s">
        <v>363</v>
      </c>
    </row>
    <row r="386" spans="1:2">
      <c r="A386">
        <v>90092</v>
      </c>
      <c r="B386" t="s">
        <v>364</v>
      </c>
    </row>
    <row r="387" spans="1:2">
      <c r="A387">
        <v>90093</v>
      </c>
      <c r="B387" t="s">
        <v>365</v>
      </c>
    </row>
    <row r="388" spans="1:2">
      <c r="A388">
        <v>90094</v>
      </c>
      <c r="B388" t="s">
        <v>366</v>
      </c>
    </row>
    <row r="389" spans="1:2">
      <c r="A389">
        <v>90095</v>
      </c>
      <c r="B389" t="s">
        <v>367</v>
      </c>
    </row>
    <row r="390" spans="1:2">
      <c r="A390">
        <v>90096</v>
      </c>
      <c r="B390" t="s">
        <v>368</v>
      </c>
    </row>
    <row r="391" spans="1:2">
      <c r="A391">
        <v>90097</v>
      </c>
      <c r="B391" t="s">
        <v>369</v>
      </c>
    </row>
    <row r="392" spans="1:2">
      <c r="A392">
        <v>90098</v>
      </c>
      <c r="B392" t="s">
        <v>370</v>
      </c>
    </row>
    <row r="393" spans="1:2">
      <c r="A393">
        <v>90099</v>
      </c>
      <c r="B393" t="s">
        <v>371</v>
      </c>
    </row>
    <row r="394" spans="1:2">
      <c r="A394">
        <v>90100</v>
      </c>
      <c r="B394" t="s">
        <v>372</v>
      </c>
    </row>
    <row r="395" spans="1:2">
      <c r="A395">
        <v>90101</v>
      </c>
      <c r="B395" t="s">
        <v>373</v>
      </c>
    </row>
    <row r="396" spans="1:2">
      <c r="A396">
        <v>90102</v>
      </c>
      <c r="B396" t="s">
        <v>374</v>
      </c>
    </row>
    <row r="397" spans="1:2">
      <c r="A397">
        <v>90103</v>
      </c>
      <c r="B397" t="s">
        <v>375</v>
      </c>
    </row>
    <row r="398" spans="1:2">
      <c r="A398">
        <v>90104</v>
      </c>
      <c r="B398" t="s">
        <v>376</v>
      </c>
    </row>
    <row r="399" spans="1:2">
      <c r="A399">
        <v>90105</v>
      </c>
      <c r="B399" t="s">
        <v>377</v>
      </c>
    </row>
    <row r="400" spans="1:2">
      <c r="A400">
        <v>90106</v>
      </c>
      <c r="B400" t="s">
        <v>378</v>
      </c>
    </row>
    <row r="401" spans="1:2">
      <c r="A401">
        <v>90107</v>
      </c>
      <c r="B401" t="s">
        <v>379</v>
      </c>
    </row>
    <row r="402" spans="1:2">
      <c r="A402">
        <v>90108</v>
      </c>
      <c r="B402" t="s">
        <v>380</v>
      </c>
    </row>
    <row r="403" spans="1:2">
      <c r="A403">
        <v>90109</v>
      </c>
      <c r="B403" t="s">
        <v>381</v>
      </c>
    </row>
    <row r="404" spans="1:2">
      <c r="A404">
        <v>90110</v>
      </c>
      <c r="B404" t="s">
        <v>382</v>
      </c>
    </row>
    <row r="405" spans="1:2">
      <c r="A405">
        <v>90111</v>
      </c>
      <c r="B405" t="s">
        <v>383</v>
      </c>
    </row>
    <row r="406" spans="1:2">
      <c r="A406">
        <v>90112</v>
      </c>
      <c r="B406" t="s">
        <v>384</v>
      </c>
    </row>
    <row r="407" spans="1:2">
      <c r="A407">
        <v>90113</v>
      </c>
      <c r="B407" t="s">
        <v>385</v>
      </c>
    </row>
    <row r="408" spans="1:2">
      <c r="A408">
        <v>90114</v>
      </c>
      <c r="B408" t="s">
        <v>386</v>
      </c>
    </row>
    <row r="409" spans="1:2">
      <c r="A409">
        <v>90115</v>
      </c>
      <c r="B409" t="s">
        <v>387</v>
      </c>
    </row>
    <row r="410" spans="1:2">
      <c r="A410">
        <v>90116</v>
      </c>
      <c r="B410" t="s">
        <v>388</v>
      </c>
    </row>
    <row r="411" spans="1:2">
      <c r="A411">
        <v>90117</v>
      </c>
      <c r="B411" t="s">
        <v>389</v>
      </c>
    </row>
    <row r="412" spans="1:2">
      <c r="A412">
        <v>90118</v>
      </c>
      <c r="B412" t="s">
        <v>390</v>
      </c>
    </row>
    <row r="413" spans="1:2">
      <c r="A413">
        <v>90119</v>
      </c>
      <c r="B413" t="s">
        <v>391</v>
      </c>
    </row>
    <row r="414" spans="1:2">
      <c r="A414">
        <v>90120</v>
      </c>
      <c r="B414" t="s">
        <v>392</v>
      </c>
    </row>
    <row r="415" spans="1:2">
      <c r="A415">
        <v>90121</v>
      </c>
      <c r="B415" t="s">
        <v>393</v>
      </c>
    </row>
    <row r="416" spans="1:2">
      <c r="A416">
        <v>90122</v>
      </c>
      <c r="B416" t="s">
        <v>394</v>
      </c>
    </row>
    <row r="417" spans="1:2">
      <c r="A417">
        <v>90123</v>
      </c>
      <c r="B417" t="s">
        <v>395</v>
      </c>
    </row>
    <row r="418" spans="1:2">
      <c r="A418">
        <v>90124</v>
      </c>
      <c r="B418" t="s">
        <v>396</v>
      </c>
    </row>
    <row r="419" spans="1:2">
      <c r="A419">
        <v>90125</v>
      </c>
      <c r="B419" t="s">
        <v>397</v>
      </c>
    </row>
    <row r="420" spans="1:2">
      <c r="A420">
        <v>90126</v>
      </c>
      <c r="B420" t="s">
        <v>398</v>
      </c>
    </row>
    <row r="421" spans="1:2">
      <c r="A421">
        <v>90127</v>
      </c>
      <c r="B421" t="s">
        <v>399</v>
      </c>
    </row>
    <row r="422" spans="1:2">
      <c r="A422">
        <v>90128</v>
      </c>
      <c r="B422" t="s">
        <v>400</v>
      </c>
    </row>
    <row r="423" spans="1:2">
      <c r="A423">
        <v>90129</v>
      </c>
      <c r="B423" t="s">
        <v>401</v>
      </c>
    </row>
    <row r="424" spans="1:2">
      <c r="A424">
        <v>90130</v>
      </c>
      <c r="B424" t="s">
        <v>402</v>
      </c>
    </row>
    <row r="425" spans="1:2">
      <c r="A425">
        <v>90131</v>
      </c>
      <c r="B425" t="s">
        <v>403</v>
      </c>
    </row>
    <row r="426" spans="1:2">
      <c r="A426">
        <v>90132</v>
      </c>
      <c r="B426" t="s">
        <v>404</v>
      </c>
    </row>
    <row r="427" spans="1:2">
      <c r="A427">
        <v>90133</v>
      </c>
      <c r="B427" t="s">
        <v>405</v>
      </c>
    </row>
    <row r="428" spans="1:2">
      <c r="A428">
        <v>90134</v>
      </c>
      <c r="B428" t="s">
        <v>406</v>
      </c>
    </row>
    <row r="429" spans="1:2">
      <c r="A429">
        <v>90135</v>
      </c>
      <c r="B429" t="s">
        <v>407</v>
      </c>
    </row>
    <row r="430" spans="1:2">
      <c r="A430">
        <v>90136</v>
      </c>
      <c r="B430" t="s">
        <v>408</v>
      </c>
    </row>
    <row r="431" spans="1:2">
      <c r="A431">
        <v>90137</v>
      </c>
      <c r="B431" t="s">
        <v>409</v>
      </c>
    </row>
    <row r="432" spans="1:2">
      <c r="A432">
        <v>90138</v>
      </c>
      <c r="B432" t="s">
        <v>410</v>
      </c>
    </row>
    <row r="433" spans="1:2">
      <c r="A433">
        <v>90139</v>
      </c>
      <c r="B433" t="s">
        <v>411</v>
      </c>
    </row>
    <row r="434" spans="1:2">
      <c r="A434">
        <v>90140</v>
      </c>
      <c r="B434" t="s">
        <v>412</v>
      </c>
    </row>
    <row r="435" spans="1:2">
      <c r="A435">
        <v>90141</v>
      </c>
      <c r="B435" t="s">
        <v>413</v>
      </c>
    </row>
    <row r="436" spans="1:2">
      <c r="A436">
        <v>90142</v>
      </c>
      <c r="B436" t="s">
        <v>414</v>
      </c>
    </row>
    <row r="437" spans="1:2">
      <c r="A437">
        <v>90143</v>
      </c>
      <c r="B437" t="s">
        <v>415</v>
      </c>
    </row>
    <row r="438" spans="1:2">
      <c r="A438">
        <v>90144</v>
      </c>
      <c r="B438" t="s">
        <v>416</v>
      </c>
    </row>
    <row r="439" spans="1:2">
      <c r="A439">
        <v>90145</v>
      </c>
      <c r="B439" t="s">
        <v>417</v>
      </c>
    </row>
    <row r="440" spans="1:2">
      <c r="A440">
        <v>90146</v>
      </c>
      <c r="B440" t="s">
        <v>418</v>
      </c>
    </row>
    <row r="441" spans="1:2">
      <c r="A441">
        <v>90147</v>
      </c>
      <c r="B441" t="s">
        <v>419</v>
      </c>
    </row>
    <row r="442" spans="1:2">
      <c r="A442">
        <v>90148</v>
      </c>
      <c r="B442" t="s">
        <v>420</v>
      </c>
    </row>
    <row r="443" spans="1:2">
      <c r="A443">
        <v>90149</v>
      </c>
      <c r="B443" t="s">
        <v>421</v>
      </c>
    </row>
    <row r="444" spans="1:2">
      <c r="A444">
        <v>90150</v>
      </c>
      <c r="B444" t="s">
        <v>422</v>
      </c>
    </row>
    <row r="445" spans="1:2">
      <c r="A445">
        <v>90151</v>
      </c>
      <c r="B445" t="s">
        <v>423</v>
      </c>
    </row>
    <row r="446" spans="1:2">
      <c r="A446">
        <v>90152</v>
      </c>
      <c r="B446" t="s">
        <v>424</v>
      </c>
    </row>
    <row r="447" spans="1:2">
      <c r="A447">
        <v>90164</v>
      </c>
      <c r="B447" t="s">
        <v>425</v>
      </c>
    </row>
    <row r="448" spans="1:2">
      <c r="A448">
        <v>90165</v>
      </c>
      <c r="B448" t="s">
        <v>426</v>
      </c>
    </row>
    <row r="449" spans="1:2">
      <c r="A449">
        <v>90166</v>
      </c>
      <c r="B449" t="s">
        <v>427</v>
      </c>
    </row>
    <row r="450" spans="1:2">
      <c r="A450">
        <v>90167</v>
      </c>
      <c r="B450" t="s">
        <v>428</v>
      </c>
    </row>
    <row r="451" spans="1:2">
      <c r="A451">
        <v>90168</v>
      </c>
      <c r="B451" t="s">
        <v>429</v>
      </c>
    </row>
    <row r="452" spans="1:2">
      <c r="A452">
        <v>90169</v>
      </c>
      <c r="B452" t="s">
        <v>430</v>
      </c>
    </row>
    <row r="453" spans="1:2">
      <c r="A453">
        <v>90170</v>
      </c>
      <c r="B453" t="s">
        <v>431</v>
      </c>
    </row>
    <row r="454" spans="1:2">
      <c r="A454">
        <v>90171</v>
      </c>
      <c r="B454" t="s">
        <v>432</v>
      </c>
    </row>
    <row r="455" spans="1:2">
      <c r="A455">
        <v>90172</v>
      </c>
      <c r="B455" t="s">
        <v>433</v>
      </c>
    </row>
    <row r="456" spans="1:2">
      <c r="A456">
        <v>90173</v>
      </c>
      <c r="B456" t="s">
        <v>434</v>
      </c>
    </row>
    <row r="457" spans="1:2">
      <c r="A457">
        <v>90174</v>
      </c>
      <c r="B457" t="s">
        <v>435</v>
      </c>
    </row>
    <row r="458" spans="1:2">
      <c r="A458">
        <v>90175</v>
      </c>
      <c r="B458" t="s">
        <v>436</v>
      </c>
    </row>
    <row r="459" spans="1:2">
      <c r="A459">
        <v>90176</v>
      </c>
      <c r="B459" t="s">
        <v>1026</v>
      </c>
    </row>
    <row r="460" spans="1:2">
      <c r="A460">
        <v>90177</v>
      </c>
      <c r="B460" t="s">
        <v>1027</v>
      </c>
    </row>
    <row r="461" spans="1:2">
      <c r="A461">
        <v>90178</v>
      </c>
      <c r="B461" t="s">
        <v>1028</v>
      </c>
    </row>
    <row r="462" spans="1:2">
      <c r="A462">
        <v>90179</v>
      </c>
      <c r="B462" t="s">
        <v>437</v>
      </c>
    </row>
    <row r="463" spans="1:2">
      <c r="A463">
        <v>90180</v>
      </c>
      <c r="B463" t="s">
        <v>438</v>
      </c>
    </row>
    <row r="464" spans="1:2">
      <c r="A464">
        <v>90181</v>
      </c>
      <c r="B464" t="s">
        <v>439</v>
      </c>
    </row>
    <row r="465" spans="1:2">
      <c r="A465">
        <v>90182</v>
      </c>
      <c r="B465" t="s">
        <v>440</v>
      </c>
    </row>
    <row r="466" spans="1:2">
      <c r="A466">
        <v>90183</v>
      </c>
      <c r="B466" t="s">
        <v>441</v>
      </c>
    </row>
    <row r="467" spans="1:2">
      <c r="A467">
        <v>90184</v>
      </c>
      <c r="B467" t="s">
        <v>442</v>
      </c>
    </row>
    <row r="468" spans="1:2">
      <c r="A468">
        <v>90185</v>
      </c>
      <c r="B468" t="s">
        <v>443</v>
      </c>
    </row>
    <row r="469" spans="1:2">
      <c r="A469">
        <v>90186</v>
      </c>
      <c r="B469" t="s">
        <v>444</v>
      </c>
    </row>
    <row r="470" spans="1:2">
      <c r="A470">
        <v>90187</v>
      </c>
      <c r="B470" t="s">
        <v>445</v>
      </c>
    </row>
    <row r="471" spans="1:2">
      <c r="A471">
        <v>90188</v>
      </c>
      <c r="B471" t="s">
        <v>1029</v>
      </c>
    </row>
    <row r="472" spans="1:2">
      <c r="A472">
        <v>90189</v>
      </c>
      <c r="B472" t="s">
        <v>446</v>
      </c>
    </row>
    <row r="473" spans="1:2">
      <c r="A473">
        <v>90190</v>
      </c>
      <c r="B473" t="s">
        <v>447</v>
      </c>
    </row>
    <row r="474" spans="1:2">
      <c r="A474">
        <v>90191</v>
      </c>
      <c r="B474" t="s">
        <v>448</v>
      </c>
    </row>
    <row r="475" spans="1:2">
      <c r="A475">
        <v>90192</v>
      </c>
      <c r="B475" t="s">
        <v>805</v>
      </c>
    </row>
    <row r="476" spans="1:2">
      <c r="A476">
        <v>90193</v>
      </c>
      <c r="B476" t="s">
        <v>806</v>
      </c>
    </row>
    <row r="477" spans="1:2">
      <c r="A477">
        <v>90194</v>
      </c>
      <c r="B477" t="s">
        <v>807</v>
      </c>
    </row>
    <row r="478" spans="1:2">
      <c r="A478">
        <v>90195</v>
      </c>
      <c r="B478" t="s">
        <v>1030</v>
      </c>
    </row>
    <row r="479" spans="1:2">
      <c r="A479">
        <v>90196</v>
      </c>
      <c r="B479" t="s">
        <v>1031</v>
      </c>
    </row>
    <row r="480" spans="1:2">
      <c r="A480">
        <v>90197</v>
      </c>
      <c r="B480" t="s">
        <v>1032</v>
      </c>
    </row>
    <row r="481" spans="1:2">
      <c r="A481">
        <v>90198</v>
      </c>
      <c r="B481" t="s">
        <v>1033</v>
      </c>
    </row>
    <row r="482" spans="1:2">
      <c r="A482">
        <v>90199</v>
      </c>
      <c r="B482" t="s">
        <v>1034</v>
      </c>
    </row>
    <row r="483" spans="1:2">
      <c r="A483">
        <v>90200</v>
      </c>
      <c r="B483" t="s">
        <v>1035</v>
      </c>
    </row>
    <row r="484" spans="1:2">
      <c r="A484">
        <v>90201</v>
      </c>
      <c r="B484" t="s">
        <v>1036</v>
      </c>
    </row>
    <row r="485" spans="1:2">
      <c r="A485">
        <v>90202</v>
      </c>
      <c r="B485" t="s">
        <v>1037</v>
      </c>
    </row>
    <row r="486" spans="1:2">
      <c r="A486">
        <v>90203</v>
      </c>
      <c r="B486" t="s">
        <v>1038</v>
      </c>
    </row>
    <row r="487" spans="1:2">
      <c r="A487">
        <v>91001</v>
      </c>
      <c r="B487" t="s">
        <v>449</v>
      </c>
    </row>
    <row r="488" spans="1:2">
      <c r="A488">
        <v>91002</v>
      </c>
      <c r="B488" t="s">
        <v>450</v>
      </c>
    </row>
    <row r="489" spans="1:2">
      <c r="A489">
        <v>91003</v>
      </c>
      <c r="B489" t="s">
        <v>451</v>
      </c>
    </row>
    <row r="490" spans="1:2">
      <c r="A490">
        <v>91004</v>
      </c>
      <c r="B490" t="s">
        <v>452</v>
      </c>
    </row>
    <row r="491" spans="1:2">
      <c r="A491">
        <v>91005</v>
      </c>
      <c r="B491" t="s">
        <v>453</v>
      </c>
    </row>
    <row r="492" spans="1:2">
      <c r="A492">
        <v>91006</v>
      </c>
      <c r="B492" t="s">
        <v>454</v>
      </c>
    </row>
    <row r="493" spans="1:2">
      <c r="A493">
        <v>92001</v>
      </c>
      <c r="B493" t="s">
        <v>455</v>
      </c>
    </row>
    <row r="494" spans="1:2">
      <c r="A494">
        <v>92002</v>
      </c>
      <c r="B494" t="s">
        <v>456</v>
      </c>
    </row>
    <row r="495" spans="1:2">
      <c r="A495">
        <v>92003</v>
      </c>
      <c r="B495" t="s">
        <v>457</v>
      </c>
    </row>
    <row r="496" spans="1:2">
      <c r="A496">
        <v>92004</v>
      </c>
      <c r="B496" t="s">
        <v>458</v>
      </c>
    </row>
    <row r="497" spans="1:2">
      <c r="A497">
        <v>100001</v>
      </c>
      <c r="B497" t="s">
        <v>459</v>
      </c>
    </row>
    <row r="498" spans="1:2">
      <c r="A498">
        <v>100002</v>
      </c>
      <c r="B498" t="s">
        <v>911</v>
      </c>
    </row>
    <row r="499" spans="1:2">
      <c r="A499">
        <v>100003</v>
      </c>
      <c r="B499" t="s">
        <v>912</v>
      </c>
    </row>
    <row r="500" spans="1:2">
      <c r="A500">
        <v>100004</v>
      </c>
      <c r="B500" t="s">
        <v>913</v>
      </c>
    </row>
    <row r="501" spans="1:2">
      <c r="A501">
        <v>100005</v>
      </c>
      <c r="B501" t="s">
        <v>460</v>
      </c>
    </row>
    <row r="502" spans="1:2">
      <c r="A502">
        <v>100006</v>
      </c>
      <c r="B502" t="s">
        <v>461</v>
      </c>
    </row>
    <row r="503" spans="1:2">
      <c r="A503">
        <v>110001</v>
      </c>
      <c r="B503" t="s">
        <v>462</v>
      </c>
    </row>
    <row r="504" spans="1:2">
      <c r="A504">
        <v>110002</v>
      </c>
      <c r="B504" t="s">
        <v>463</v>
      </c>
    </row>
    <row r="505" spans="1:2">
      <c r="A505">
        <v>110003</v>
      </c>
      <c r="B505" t="s">
        <v>464</v>
      </c>
    </row>
    <row r="506" spans="1:2">
      <c r="A506">
        <v>110004</v>
      </c>
      <c r="B506" t="s">
        <v>465</v>
      </c>
    </row>
    <row r="507" spans="1:2">
      <c r="A507">
        <v>110005</v>
      </c>
      <c r="B507" t="s">
        <v>466</v>
      </c>
    </row>
    <row r="508" spans="1:2">
      <c r="A508">
        <v>111001</v>
      </c>
      <c r="B508" t="s">
        <v>1039</v>
      </c>
    </row>
    <row r="509" spans="1:2">
      <c r="A509">
        <v>111002</v>
      </c>
      <c r="B509" t="s">
        <v>1040</v>
      </c>
    </row>
    <row r="510" spans="1:2" s="21" customFormat="1">
      <c r="A510" s="21">
        <v>111003</v>
      </c>
      <c r="B510" s="21" t="s">
        <v>1275</v>
      </c>
    </row>
    <row r="511" spans="1:2" s="21" customFormat="1">
      <c r="A511" s="21">
        <v>111004</v>
      </c>
      <c r="B511" s="21" t="s">
        <v>336</v>
      </c>
    </row>
    <row r="512" spans="1:2" s="21" customFormat="1">
      <c r="A512" s="21">
        <v>111005</v>
      </c>
      <c r="B512" s="21" t="s">
        <v>1276</v>
      </c>
    </row>
    <row r="513" spans="1:2" s="21" customFormat="1">
      <c r="A513" s="21">
        <v>111006</v>
      </c>
      <c r="B513" s="21" t="s">
        <v>1277</v>
      </c>
    </row>
    <row r="514" spans="1:2" s="21" customFormat="1">
      <c r="A514" s="21">
        <v>111007</v>
      </c>
      <c r="B514" s="21" t="s">
        <v>1278</v>
      </c>
    </row>
    <row r="515" spans="1:2" s="21" customFormat="1">
      <c r="A515" s="21">
        <v>111008</v>
      </c>
      <c r="B515" s="21" t="s">
        <v>1274</v>
      </c>
    </row>
    <row r="516" spans="1:2" s="21" customFormat="1">
      <c r="A516" s="21">
        <v>111009</v>
      </c>
      <c r="B516" s="21" t="s">
        <v>1279</v>
      </c>
    </row>
    <row r="517" spans="1:2" s="21" customFormat="1">
      <c r="A517" s="21">
        <v>111010</v>
      </c>
      <c r="B517" s="21" t="s">
        <v>1280</v>
      </c>
    </row>
    <row r="518" spans="1:2">
      <c r="A518">
        <v>112001</v>
      </c>
      <c r="B518" t="s">
        <v>467</v>
      </c>
    </row>
    <row r="519" spans="1:2">
      <c r="A519">
        <v>112002</v>
      </c>
      <c r="B519" t="s">
        <v>468</v>
      </c>
    </row>
    <row r="520" spans="1:2">
      <c r="A520">
        <v>112003</v>
      </c>
      <c r="B520" t="s">
        <v>469</v>
      </c>
    </row>
    <row r="521" spans="1:2">
      <c r="A521">
        <v>113001</v>
      </c>
      <c r="B521" t="s">
        <v>470</v>
      </c>
    </row>
    <row r="522" spans="1:2">
      <c r="A522">
        <v>113002</v>
      </c>
      <c r="B522" t="s">
        <v>471</v>
      </c>
    </row>
    <row r="523" spans="1:2">
      <c r="A523">
        <v>113003</v>
      </c>
      <c r="B523" t="s">
        <v>472</v>
      </c>
    </row>
    <row r="524" spans="1:2">
      <c r="A524">
        <v>113004</v>
      </c>
      <c r="B524" t="s">
        <v>473</v>
      </c>
    </row>
    <row r="525" spans="1:2">
      <c r="A525">
        <v>113005</v>
      </c>
      <c r="B525" t="s">
        <v>474</v>
      </c>
    </row>
    <row r="526" spans="1:2">
      <c r="A526">
        <v>114000</v>
      </c>
      <c r="B526" t="s">
        <v>1041</v>
      </c>
    </row>
    <row r="527" spans="1:2">
      <c r="A527">
        <v>114003</v>
      </c>
      <c r="B527" t="s">
        <v>1042</v>
      </c>
    </row>
    <row r="528" spans="1:2">
      <c r="A528">
        <v>114004</v>
      </c>
      <c r="B528" t="s">
        <v>1043</v>
      </c>
    </row>
    <row r="529" spans="1:2">
      <c r="A529">
        <v>114005</v>
      </c>
      <c r="B529" t="s">
        <v>1044</v>
      </c>
    </row>
    <row r="530" spans="1:2">
      <c r="A530">
        <v>114006</v>
      </c>
      <c r="B530" t="s">
        <v>1045</v>
      </c>
    </row>
    <row r="531" spans="1:2">
      <c r="A531">
        <v>114007</v>
      </c>
      <c r="B531" t="s">
        <v>1046</v>
      </c>
    </row>
    <row r="532" spans="1:2">
      <c r="A532">
        <v>114008</v>
      </c>
      <c r="B532" t="s">
        <v>1047</v>
      </c>
    </row>
    <row r="533" spans="1:2">
      <c r="A533">
        <v>114009</v>
      </c>
      <c r="B533" t="s">
        <v>1048</v>
      </c>
    </row>
    <row r="534" spans="1:2">
      <c r="A534">
        <v>114010</v>
      </c>
      <c r="B534" t="s">
        <v>1049</v>
      </c>
    </row>
    <row r="535" spans="1:2">
      <c r="A535">
        <v>114011</v>
      </c>
      <c r="B535" t="s">
        <v>1050</v>
      </c>
    </row>
    <row r="536" spans="1:2">
      <c r="A536">
        <v>114012</v>
      </c>
      <c r="B536" t="s">
        <v>1051</v>
      </c>
    </row>
    <row r="537" spans="1:2">
      <c r="A537">
        <v>114013</v>
      </c>
      <c r="B537" t="s">
        <v>1052</v>
      </c>
    </row>
    <row r="538" spans="1:2">
      <c r="A538">
        <v>114014</v>
      </c>
      <c r="B538" t="s">
        <v>1053</v>
      </c>
    </row>
    <row r="539" spans="1:2">
      <c r="A539">
        <v>114015</v>
      </c>
      <c r="B539" t="s">
        <v>1054</v>
      </c>
    </row>
    <row r="540" spans="1:2">
      <c r="A540">
        <v>114016</v>
      </c>
      <c r="B540" t="s">
        <v>1055</v>
      </c>
    </row>
    <row r="541" spans="1:2">
      <c r="A541">
        <v>114017</v>
      </c>
      <c r="B541" t="s">
        <v>1056</v>
      </c>
    </row>
    <row r="542" spans="1:2">
      <c r="A542">
        <v>114018</v>
      </c>
      <c r="B542" t="s">
        <v>1057</v>
      </c>
    </row>
    <row r="543" spans="1:2">
      <c r="A543">
        <v>114019</v>
      </c>
      <c r="B543" t="s">
        <v>1058</v>
      </c>
    </row>
    <row r="544" spans="1:2">
      <c r="A544">
        <v>114020</v>
      </c>
      <c r="B544" t="s">
        <v>1059</v>
      </c>
    </row>
    <row r="545" spans="1:2">
      <c r="A545">
        <v>114021</v>
      </c>
      <c r="B545" t="s">
        <v>1060</v>
      </c>
    </row>
    <row r="546" spans="1:2">
      <c r="A546">
        <v>114022</v>
      </c>
      <c r="B546" t="s">
        <v>1061</v>
      </c>
    </row>
    <row r="547" spans="1:2">
      <c r="A547">
        <v>114023</v>
      </c>
      <c r="B547" t="s">
        <v>1062</v>
      </c>
    </row>
    <row r="548" spans="1:2">
      <c r="A548">
        <v>114024</v>
      </c>
      <c r="B548" t="s">
        <v>1063</v>
      </c>
    </row>
    <row r="549" spans="1:2">
      <c r="A549">
        <v>114025</v>
      </c>
      <c r="B549" t="s">
        <v>1064</v>
      </c>
    </row>
    <row r="550" spans="1:2">
      <c r="A550">
        <v>114026</v>
      </c>
      <c r="B550" t="s">
        <v>1065</v>
      </c>
    </row>
    <row r="551" spans="1:2">
      <c r="A551">
        <v>114111</v>
      </c>
      <c r="B551" t="s">
        <v>1066</v>
      </c>
    </row>
    <row r="552" spans="1:2">
      <c r="A552">
        <v>115003</v>
      </c>
      <c r="B552" t="s">
        <v>808</v>
      </c>
    </row>
    <row r="553" spans="1:2">
      <c r="A553">
        <v>115004</v>
      </c>
      <c r="B553" t="s">
        <v>809</v>
      </c>
    </row>
    <row r="554" spans="1:2">
      <c r="A554">
        <v>115005</v>
      </c>
      <c r="B554" t="s">
        <v>810</v>
      </c>
    </row>
    <row r="555" spans="1:2">
      <c r="A555">
        <v>115006</v>
      </c>
      <c r="B555" t="s">
        <v>811</v>
      </c>
    </row>
    <row r="556" spans="1:2">
      <c r="A556">
        <v>115007</v>
      </c>
      <c r="B556" t="s">
        <v>812</v>
      </c>
    </row>
    <row r="557" spans="1:2">
      <c r="A557">
        <v>115008</v>
      </c>
      <c r="B557" t="s">
        <v>813</v>
      </c>
    </row>
    <row r="558" spans="1:2">
      <c r="A558">
        <v>115009</v>
      </c>
      <c r="B558" t="s">
        <v>814</v>
      </c>
    </row>
    <row r="559" spans="1:2">
      <c r="A559">
        <v>115010</v>
      </c>
      <c r="B559" t="s">
        <v>815</v>
      </c>
    </row>
    <row r="560" spans="1:2">
      <c r="A560">
        <v>115011</v>
      </c>
      <c r="B560" t="s">
        <v>816</v>
      </c>
    </row>
    <row r="561" spans="1:2">
      <c r="A561">
        <v>115012</v>
      </c>
      <c r="B561" t="s">
        <v>817</v>
      </c>
    </row>
    <row r="562" spans="1:2">
      <c r="A562">
        <v>115013</v>
      </c>
      <c r="B562" t="s">
        <v>818</v>
      </c>
    </row>
    <row r="563" spans="1:2">
      <c r="A563">
        <v>115014</v>
      </c>
      <c r="B563" t="s">
        <v>819</v>
      </c>
    </row>
    <row r="564" spans="1:2">
      <c r="A564">
        <v>115015</v>
      </c>
      <c r="B564" t="s">
        <v>820</v>
      </c>
    </row>
    <row r="565" spans="1:2">
      <c r="A565">
        <v>115016</v>
      </c>
      <c r="B565" t="s">
        <v>821</v>
      </c>
    </row>
    <row r="566" spans="1:2">
      <c r="A566">
        <v>115017</v>
      </c>
      <c r="B566" t="s">
        <v>822</v>
      </c>
    </row>
    <row r="567" spans="1:2">
      <c r="A567">
        <v>115018</v>
      </c>
      <c r="B567" t="s">
        <v>823</v>
      </c>
    </row>
    <row r="568" spans="1:2">
      <c r="A568">
        <v>115019</v>
      </c>
      <c r="B568" t="s">
        <v>824</v>
      </c>
    </row>
    <row r="569" spans="1:2">
      <c r="A569">
        <v>115020</v>
      </c>
      <c r="B569" t="s">
        <v>825</v>
      </c>
    </row>
    <row r="570" spans="1:2">
      <c r="A570">
        <v>115021</v>
      </c>
      <c r="B570" t="s">
        <v>826</v>
      </c>
    </row>
    <row r="571" spans="1:2">
      <c r="A571">
        <v>115022</v>
      </c>
      <c r="B571" t="s">
        <v>827</v>
      </c>
    </row>
    <row r="572" spans="1:2">
      <c r="A572">
        <v>115023</v>
      </c>
      <c r="B572" t="s">
        <v>828</v>
      </c>
    </row>
    <row r="573" spans="1:2">
      <c r="A573">
        <v>115024</v>
      </c>
      <c r="B573" t="s">
        <v>829</v>
      </c>
    </row>
    <row r="574" spans="1:2">
      <c r="A574">
        <v>115025</v>
      </c>
      <c r="B574" t="s">
        <v>830</v>
      </c>
    </row>
    <row r="575" spans="1:2">
      <c r="A575">
        <v>115026</v>
      </c>
      <c r="B575" t="s">
        <v>831</v>
      </c>
    </row>
    <row r="576" spans="1:2">
      <c r="A576">
        <v>116003</v>
      </c>
      <c r="B576" t="s">
        <v>832</v>
      </c>
    </row>
    <row r="577" spans="1:2">
      <c r="A577">
        <v>116004</v>
      </c>
      <c r="B577" t="s">
        <v>833</v>
      </c>
    </row>
    <row r="578" spans="1:2">
      <c r="A578">
        <v>116005</v>
      </c>
      <c r="B578" t="s">
        <v>834</v>
      </c>
    </row>
    <row r="579" spans="1:2">
      <c r="A579">
        <v>116006</v>
      </c>
      <c r="B579" t="s">
        <v>835</v>
      </c>
    </row>
    <row r="580" spans="1:2">
      <c r="A580">
        <v>116007</v>
      </c>
      <c r="B580" t="s">
        <v>836</v>
      </c>
    </row>
    <row r="581" spans="1:2">
      <c r="A581">
        <v>116008</v>
      </c>
      <c r="B581" t="s">
        <v>837</v>
      </c>
    </row>
    <row r="582" spans="1:2">
      <c r="A582">
        <v>116009</v>
      </c>
      <c r="B582" t="s">
        <v>838</v>
      </c>
    </row>
    <row r="583" spans="1:2">
      <c r="A583">
        <v>116010</v>
      </c>
      <c r="B583" t="s">
        <v>839</v>
      </c>
    </row>
    <row r="584" spans="1:2">
      <c r="A584">
        <v>116011</v>
      </c>
      <c r="B584" t="s">
        <v>840</v>
      </c>
    </row>
    <row r="585" spans="1:2">
      <c r="A585">
        <v>116012</v>
      </c>
      <c r="B585" t="s">
        <v>841</v>
      </c>
    </row>
    <row r="586" spans="1:2">
      <c r="A586">
        <v>116013</v>
      </c>
      <c r="B586" t="s">
        <v>842</v>
      </c>
    </row>
    <row r="587" spans="1:2">
      <c r="A587">
        <v>116014</v>
      </c>
      <c r="B587" t="s">
        <v>843</v>
      </c>
    </row>
    <row r="588" spans="1:2">
      <c r="A588">
        <v>116015</v>
      </c>
      <c r="B588" t="s">
        <v>844</v>
      </c>
    </row>
    <row r="589" spans="1:2">
      <c r="A589">
        <v>116016</v>
      </c>
      <c r="B589" t="s">
        <v>845</v>
      </c>
    </row>
    <row r="590" spans="1:2">
      <c r="A590">
        <v>116017</v>
      </c>
      <c r="B590" t="s">
        <v>846</v>
      </c>
    </row>
    <row r="591" spans="1:2">
      <c r="A591">
        <v>116018</v>
      </c>
      <c r="B591" t="s">
        <v>847</v>
      </c>
    </row>
    <row r="592" spans="1:2">
      <c r="A592">
        <v>116019</v>
      </c>
      <c r="B592" t="s">
        <v>848</v>
      </c>
    </row>
    <row r="593" spans="1:2">
      <c r="A593">
        <v>116020</v>
      </c>
      <c r="B593" t="s">
        <v>849</v>
      </c>
    </row>
    <row r="594" spans="1:2">
      <c r="A594">
        <v>116021</v>
      </c>
      <c r="B594" t="s">
        <v>850</v>
      </c>
    </row>
    <row r="595" spans="1:2">
      <c r="A595">
        <v>116022</v>
      </c>
      <c r="B595" t="s">
        <v>851</v>
      </c>
    </row>
    <row r="596" spans="1:2">
      <c r="A596">
        <v>116023</v>
      </c>
      <c r="B596" t="s">
        <v>852</v>
      </c>
    </row>
    <row r="597" spans="1:2">
      <c r="A597">
        <v>116024</v>
      </c>
      <c r="B597" t="s">
        <v>853</v>
      </c>
    </row>
    <row r="598" spans="1:2">
      <c r="A598">
        <v>116025</v>
      </c>
      <c r="B598" t="s">
        <v>854</v>
      </c>
    </row>
    <row r="599" spans="1:2">
      <c r="A599">
        <v>116026</v>
      </c>
      <c r="B599" t="s">
        <v>855</v>
      </c>
    </row>
    <row r="600" spans="1:2">
      <c r="A600">
        <v>117003</v>
      </c>
      <c r="B600" t="s">
        <v>856</v>
      </c>
    </row>
    <row r="601" spans="1:2">
      <c r="A601">
        <v>117004</v>
      </c>
      <c r="B601" t="s">
        <v>857</v>
      </c>
    </row>
    <row r="602" spans="1:2">
      <c r="A602">
        <v>117005</v>
      </c>
      <c r="B602" t="s">
        <v>858</v>
      </c>
    </row>
    <row r="603" spans="1:2">
      <c r="A603">
        <v>117006</v>
      </c>
      <c r="B603" t="s">
        <v>859</v>
      </c>
    </row>
    <row r="604" spans="1:2">
      <c r="A604">
        <v>117007</v>
      </c>
      <c r="B604" t="s">
        <v>860</v>
      </c>
    </row>
    <row r="605" spans="1:2">
      <c r="A605">
        <v>117008</v>
      </c>
      <c r="B605" t="s">
        <v>861</v>
      </c>
    </row>
    <row r="606" spans="1:2">
      <c r="A606">
        <v>117009</v>
      </c>
      <c r="B606" t="s">
        <v>862</v>
      </c>
    </row>
    <row r="607" spans="1:2">
      <c r="A607">
        <v>117010</v>
      </c>
      <c r="B607" t="s">
        <v>863</v>
      </c>
    </row>
    <row r="608" spans="1:2">
      <c r="A608">
        <v>117011</v>
      </c>
      <c r="B608" t="s">
        <v>864</v>
      </c>
    </row>
    <row r="609" spans="1:2">
      <c r="A609">
        <v>117012</v>
      </c>
      <c r="B609" t="s">
        <v>865</v>
      </c>
    </row>
    <row r="610" spans="1:2">
      <c r="A610">
        <v>117013</v>
      </c>
      <c r="B610" t="s">
        <v>866</v>
      </c>
    </row>
    <row r="611" spans="1:2">
      <c r="A611">
        <v>117014</v>
      </c>
      <c r="B611" t="s">
        <v>867</v>
      </c>
    </row>
    <row r="612" spans="1:2">
      <c r="A612">
        <v>117015</v>
      </c>
      <c r="B612" t="s">
        <v>868</v>
      </c>
    </row>
    <row r="613" spans="1:2">
      <c r="A613">
        <v>117016</v>
      </c>
      <c r="B613" t="s">
        <v>869</v>
      </c>
    </row>
    <row r="614" spans="1:2">
      <c r="A614">
        <v>117017</v>
      </c>
      <c r="B614" t="s">
        <v>870</v>
      </c>
    </row>
    <row r="615" spans="1:2">
      <c r="A615">
        <v>117018</v>
      </c>
      <c r="B615" t="s">
        <v>871</v>
      </c>
    </row>
    <row r="616" spans="1:2">
      <c r="A616">
        <v>117019</v>
      </c>
      <c r="B616" t="s">
        <v>872</v>
      </c>
    </row>
    <row r="617" spans="1:2">
      <c r="A617">
        <v>117020</v>
      </c>
      <c r="B617" t="s">
        <v>873</v>
      </c>
    </row>
    <row r="618" spans="1:2">
      <c r="A618">
        <v>117021</v>
      </c>
      <c r="B618" t="s">
        <v>874</v>
      </c>
    </row>
    <row r="619" spans="1:2">
      <c r="A619">
        <v>117022</v>
      </c>
      <c r="B619" t="s">
        <v>875</v>
      </c>
    </row>
    <row r="620" spans="1:2">
      <c r="A620">
        <v>117023</v>
      </c>
      <c r="B620" t="s">
        <v>876</v>
      </c>
    </row>
    <row r="621" spans="1:2">
      <c r="A621">
        <v>117024</v>
      </c>
      <c r="B621" t="s">
        <v>877</v>
      </c>
    </row>
    <row r="622" spans="1:2">
      <c r="A622">
        <v>117025</v>
      </c>
      <c r="B622" t="s">
        <v>878</v>
      </c>
    </row>
    <row r="623" spans="1:2">
      <c r="A623">
        <v>117026</v>
      </c>
      <c r="B623" t="s">
        <v>879</v>
      </c>
    </row>
    <row r="624" spans="1:2">
      <c r="A624">
        <v>118003</v>
      </c>
      <c r="B624" t="s">
        <v>880</v>
      </c>
    </row>
    <row r="625" spans="1:2">
      <c r="A625">
        <v>118004</v>
      </c>
      <c r="B625" t="s">
        <v>881</v>
      </c>
    </row>
    <row r="626" spans="1:2">
      <c r="A626">
        <v>118005</v>
      </c>
      <c r="B626" t="s">
        <v>882</v>
      </c>
    </row>
    <row r="627" spans="1:2">
      <c r="A627">
        <v>118006</v>
      </c>
      <c r="B627" t="s">
        <v>883</v>
      </c>
    </row>
    <row r="628" spans="1:2">
      <c r="A628">
        <v>118007</v>
      </c>
      <c r="B628" t="s">
        <v>884</v>
      </c>
    </row>
    <row r="629" spans="1:2">
      <c r="A629">
        <v>118008</v>
      </c>
      <c r="B629" t="s">
        <v>885</v>
      </c>
    </row>
    <row r="630" spans="1:2">
      <c r="A630">
        <v>118009</v>
      </c>
      <c r="B630" t="s">
        <v>886</v>
      </c>
    </row>
    <row r="631" spans="1:2">
      <c r="A631">
        <v>118010</v>
      </c>
      <c r="B631" t="s">
        <v>887</v>
      </c>
    </row>
    <row r="632" spans="1:2">
      <c r="A632">
        <v>118011</v>
      </c>
      <c r="B632" t="s">
        <v>888</v>
      </c>
    </row>
    <row r="633" spans="1:2">
      <c r="A633">
        <v>118012</v>
      </c>
      <c r="B633" t="s">
        <v>889</v>
      </c>
    </row>
    <row r="634" spans="1:2">
      <c r="A634">
        <v>118013</v>
      </c>
      <c r="B634" t="s">
        <v>890</v>
      </c>
    </row>
    <row r="635" spans="1:2">
      <c r="A635">
        <v>118014</v>
      </c>
      <c r="B635" t="s">
        <v>891</v>
      </c>
    </row>
    <row r="636" spans="1:2">
      <c r="A636">
        <v>118015</v>
      </c>
      <c r="B636" t="s">
        <v>892</v>
      </c>
    </row>
    <row r="637" spans="1:2">
      <c r="A637">
        <v>118016</v>
      </c>
      <c r="B637" t="s">
        <v>893</v>
      </c>
    </row>
    <row r="638" spans="1:2">
      <c r="A638">
        <v>118017</v>
      </c>
      <c r="B638" t="s">
        <v>894</v>
      </c>
    </row>
    <row r="639" spans="1:2">
      <c r="A639">
        <v>118018</v>
      </c>
      <c r="B639" t="s">
        <v>895</v>
      </c>
    </row>
    <row r="640" spans="1:2">
      <c r="A640">
        <v>118019</v>
      </c>
      <c r="B640" t="s">
        <v>896</v>
      </c>
    </row>
    <row r="641" spans="1:2">
      <c r="A641">
        <v>118020</v>
      </c>
      <c r="B641" t="s">
        <v>897</v>
      </c>
    </row>
    <row r="642" spans="1:2">
      <c r="A642">
        <v>118021</v>
      </c>
      <c r="B642" t="s">
        <v>898</v>
      </c>
    </row>
    <row r="643" spans="1:2">
      <c r="A643">
        <v>118022</v>
      </c>
      <c r="B643" t="s">
        <v>899</v>
      </c>
    </row>
    <row r="644" spans="1:2">
      <c r="A644">
        <v>118023</v>
      </c>
      <c r="B644" t="s">
        <v>900</v>
      </c>
    </row>
    <row r="645" spans="1:2">
      <c r="A645">
        <v>118024</v>
      </c>
      <c r="B645" t="s">
        <v>901</v>
      </c>
    </row>
    <row r="646" spans="1:2">
      <c r="A646">
        <v>118025</v>
      </c>
      <c r="B646" t="s">
        <v>902</v>
      </c>
    </row>
    <row r="647" spans="1:2">
      <c r="A647">
        <v>118026</v>
      </c>
      <c r="B647" t="s">
        <v>903</v>
      </c>
    </row>
    <row r="648" spans="1:2">
      <c r="A648">
        <v>120001</v>
      </c>
      <c r="B648" t="s">
        <v>1067</v>
      </c>
    </row>
    <row r="649" spans="1:2">
      <c r="A649">
        <v>120002</v>
      </c>
      <c r="B649" t="s">
        <v>1068</v>
      </c>
    </row>
    <row r="650" spans="1:2">
      <c r="A650">
        <v>120003</v>
      </c>
      <c r="B650" t="s">
        <v>1069</v>
      </c>
    </row>
    <row r="651" spans="1:2">
      <c r="A651">
        <v>120004</v>
      </c>
      <c r="B651" t="s">
        <v>1070</v>
      </c>
    </row>
    <row r="652" spans="1:2">
      <c r="A652">
        <v>120101</v>
      </c>
      <c r="B652" t="s">
        <v>1071</v>
      </c>
    </row>
    <row r="653" spans="1:2">
      <c r="A653">
        <v>120102</v>
      </c>
      <c r="B653" t="s">
        <v>1072</v>
      </c>
    </row>
    <row r="654" spans="1:2">
      <c r="A654">
        <v>120103</v>
      </c>
      <c r="B654" t="s">
        <v>1073</v>
      </c>
    </row>
    <row r="655" spans="1:2">
      <c r="A655">
        <v>120104</v>
      </c>
      <c r="B655" t="s">
        <v>1074</v>
      </c>
    </row>
    <row r="656" spans="1:2">
      <c r="A656">
        <v>130111</v>
      </c>
      <c r="B656" t="s">
        <v>1075</v>
      </c>
    </row>
    <row r="657" spans="1:2">
      <c r="A657">
        <v>130112</v>
      </c>
      <c r="B657" t="s">
        <v>1076</v>
      </c>
    </row>
    <row r="658" spans="1:2">
      <c r="A658">
        <v>130113</v>
      </c>
      <c r="B658" t="s">
        <v>1077</v>
      </c>
    </row>
    <row r="659" spans="1:2">
      <c r="A659">
        <v>130114</v>
      </c>
      <c r="B659" t="s">
        <v>1078</v>
      </c>
    </row>
    <row r="660" spans="1:2">
      <c r="A660">
        <v>130115</v>
      </c>
      <c r="B660" t="s">
        <v>1079</v>
      </c>
    </row>
    <row r="661" spans="1:2">
      <c r="A661">
        <v>130116</v>
      </c>
      <c r="B661" t="s">
        <v>1080</v>
      </c>
    </row>
    <row r="662" spans="1:2">
      <c r="A662">
        <v>130117</v>
      </c>
      <c r="B662" t="s">
        <v>1081</v>
      </c>
    </row>
    <row r="663" spans="1:2">
      <c r="A663">
        <v>130118</v>
      </c>
      <c r="B663" t="s">
        <v>1082</v>
      </c>
    </row>
    <row r="664" spans="1:2">
      <c r="A664">
        <v>130119</v>
      </c>
      <c r="B664" t="s">
        <v>1083</v>
      </c>
    </row>
    <row r="665" spans="1:2">
      <c r="A665">
        <v>130121</v>
      </c>
      <c r="B665" t="s">
        <v>1084</v>
      </c>
    </row>
    <row r="666" spans="1:2">
      <c r="A666">
        <v>130122</v>
      </c>
      <c r="B666" t="s">
        <v>1085</v>
      </c>
    </row>
    <row r="667" spans="1:2">
      <c r="A667">
        <v>130123</v>
      </c>
      <c r="B667" t="s">
        <v>1086</v>
      </c>
    </row>
    <row r="668" spans="1:2">
      <c r="A668">
        <v>130124</v>
      </c>
      <c r="B668" t="s">
        <v>1087</v>
      </c>
    </row>
    <row r="669" spans="1:2">
      <c r="A669">
        <v>130125</v>
      </c>
      <c r="B669" t="s">
        <v>1088</v>
      </c>
    </row>
    <row r="670" spans="1:2">
      <c r="A670">
        <v>130126</v>
      </c>
      <c r="B670" t="s">
        <v>1089</v>
      </c>
    </row>
    <row r="671" spans="1:2">
      <c r="A671">
        <v>130127</v>
      </c>
      <c r="B671" t="s">
        <v>1090</v>
      </c>
    </row>
    <row r="672" spans="1:2">
      <c r="A672">
        <v>130128</v>
      </c>
      <c r="B672" t="s">
        <v>1091</v>
      </c>
    </row>
    <row r="673" spans="1:2">
      <c r="A673">
        <v>130129</v>
      </c>
      <c r="B673" t="s">
        <v>1092</v>
      </c>
    </row>
    <row r="674" spans="1:2">
      <c r="A674">
        <v>130211</v>
      </c>
      <c r="B674" t="s">
        <v>1093</v>
      </c>
    </row>
    <row r="675" spans="1:2">
      <c r="A675">
        <v>130212</v>
      </c>
      <c r="B675" t="s">
        <v>1094</v>
      </c>
    </row>
    <row r="676" spans="1:2">
      <c r="A676">
        <v>130213</v>
      </c>
      <c r="B676" t="s">
        <v>1095</v>
      </c>
    </row>
    <row r="677" spans="1:2">
      <c r="A677">
        <v>130214</v>
      </c>
      <c r="B677" t="s">
        <v>1096</v>
      </c>
    </row>
    <row r="678" spans="1:2">
      <c r="A678">
        <v>130215</v>
      </c>
      <c r="B678" t="s">
        <v>1097</v>
      </c>
    </row>
    <row r="679" spans="1:2">
      <c r="A679">
        <v>130216</v>
      </c>
      <c r="B679" t="s">
        <v>1098</v>
      </c>
    </row>
    <row r="680" spans="1:2">
      <c r="A680">
        <v>130217</v>
      </c>
      <c r="B680" t="s">
        <v>1099</v>
      </c>
    </row>
    <row r="681" spans="1:2">
      <c r="A681">
        <v>130218</v>
      </c>
      <c r="B681" t="s">
        <v>1100</v>
      </c>
    </row>
    <row r="682" spans="1:2">
      <c r="A682">
        <v>130219</v>
      </c>
      <c r="B682" t="s">
        <v>1101</v>
      </c>
    </row>
    <row r="683" spans="1:2">
      <c r="A683">
        <v>130221</v>
      </c>
      <c r="B683" t="s">
        <v>1102</v>
      </c>
    </row>
    <row r="684" spans="1:2">
      <c r="A684">
        <v>130222</v>
      </c>
      <c r="B684" t="s">
        <v>1103</v>
      </c>
    </row>
    <row r="685" spans="1:2">
      <c r="A685">
        <v>130223</v>
      </c>
      <c r="B685" t="s">
        <v>1104</v>
      </c>
    </row>
    <row r="686" spans="1:2">
      <c r="A686">
        <v>130224</v>
      </c>
      <c r="B686" t="s">
        <v>1105</v>
      </c>
    </row>
    <row r="687" spans="1:2">
      <c r="A687">
        <v>130225</v>
      </c>
      <c r="B687" t="s">
        <v>1106</v>
      </c>
    </row>
    <row r="688" spans="1:2">
      <c r="A688">
        <v>130226</v>
      </c>
      <c r="B688" t="s">
        <v>1107</v>
      </c>
    </row>
    <row r="689" spans="1:2">
      <c r="A689">
        <v>130227</v>
      </c>
      <c r="B689" t="s">
        <v>1108</v>
      </c>
    </row>
    <row r="690" spans="1:2">
      <c r="A690">
        <v>130228</v>
      </c>
      <c r="B690" t="s">
        <v>1109</v>
      </c>
    </row>
    <row r="691" spans="1:2">
      <c r="A691">
        <v>130229</v>
      </c>
      <c r="B691" t="s">
        <v>1110</v>
      </c>
    </row>
    <row r="692" spans="1:2">
      <c r="A692">
        <v>130311</v>
      </c>
      <c r="B692" t="s">
        <v>1111</v>
      </c>
    </row>
    <row r="693" spans="1:2">
      <c r="A693">
        <v>130312</v>
      </c>
      <c r="B693" t="s">
        <v>1112</v>
      </c>
    </row>
    <row r="694" spans="1:2">
      <c r="A694">
        <v>130313</v>
      </c>
      <c r="B694" t="s">
        <v>1113</v>
      </c>
    </row>
    <row r="695" spans="1:2">
      <c r="A695">
        <v>130314</v>
      </c>
      <c r="B695" t="s">
        <v>1114</v>
      </c>
    </row>
    <row r="696" spans="1:2">
      <c r="A696">
        <v>130315</v>
      </c>
      <c r="B696" t="s">
        <v>1115</v>
      </c>
    </row>
    <row r="697" spans="1:2">
      <c r="A697">
        <v>130316</v>
      </c>
      <c r="B697" t="s">
        <v>1116</v>
      </c>
    </row>
    <row r="698" spans="1:2">
      <c r="A698">
        <v>130317</v>
      </c>
      <c r="B698" t="s">
        <v>1117</v>
      </c>
    </row>
    <row r="699" spans="1:2">
      <c r="A699">
        <v>130318</v>
      </c>
      <c r="B699" t="s">
        <v>1118</v>
      </c>
    </row>
    <row r="700" spans="1:2">
      <c r="A700">
        <v>130319</v>
      </c>
      <c r="B700" t="s">
        <v>1119</v>
      </c>
    </row>
    <row r="701" spans="1:2">
      <c r="A701">
        <v>130321</v>
      </c>
      <c r="B701" t="s">
        <v>1120</v>
      </c>
    </row>
    <row r="702" spans="1:2">
      <c r="A702">
        <v>130322</v>
      </c>
      <c r="B702" t="s">
        <v>1121</v>
      </c>
    </row>
    <row r="703" spans="1:2">
      <c r="A703">
        <v>130323</v>
      </c>
      <c r="B703" t="s">
        <v>1122</v>
      </c>
    </row>
    <row r="704" spans="1:2">
      <c r="A704">
        <v>130324</v>
      </c>
      <c r="B704" t="s">
        <v>1123</v>
      </c>
    </row>
    <row r="705" spans="1:2">
      <c r="A705">
        <v>130325</v>
      </c>
      <c r="B705" t="s">
        <v>1124</v>
      </c>
    </row>
    <row r="706" spans="1:2">
      <c r="A706">
        <v>130326</v>
      </c>
      <c r="B706" t="s">
        <v>1125</v>
      </c>
    </row>
    <row r="707" spans="1:2">
      <c r="A707">
        <v>130327</v>
      </c>
      <c r="B707" t="s">
        <v>1126</v>
      </c>
    </row>
    <row r="708" spans="1:2">
      <c r="A708">
        <v>130328</v>
      </c>
      <c r="B708" t="s">
        <v>1127</v>
      </c>
    </row>
    <row r="709" spans="1:2">
      <c r="A709">
        <v>130329</v>
      </c>
      <c r="B709" t="s">
        <v>1128</v>
      </c>
    </row>
    <row r="710" spans="1:2">
      <c r="A710">
        <v>130411</v>
      </c>
      <c r="B710" t="s">
        <v>1129</v>
      </c>
    </row>
    <row r="711" spans="1:2">
      <c r="A711">
        <v>130412</v>
      </c>
      <c r="B711" t="s">
        <v>1130</v>
      </c>
    </row>
    <row r="712" spans="1:2">
      <c r="A712">
        <v>130413</v>
      </c>
      <c r="B712" t="s">
        <v>1131</v>
      </c>
    </row>
    <row r="713" spans="1:2">
      <c r="A713">
        <v>130414</v>
      </c>
      <c r="B713" t="s">
        <v>1132</v>
      </c>
    </row>
    <row r="714" spans="1:2">
      <c r="A714">
        <v>130415</v>
      </c>
      <c r="B714" t="s">
        <v>1133</v>
      </c>
    </row>
    <row r="715" spans="1:2">
      <c r="A715">
        <v>130416</v>
      </c>
      <c r="B715" t="s">
        <v>1134</v>
      </c>
    </row>
    <row r="716" spans="1:2">
      <c r="A716">
        <v>130417</v>
      </c>
      <c r="B716" t="s">
        <v>1135</v>
      </c>
    </row>
    <row r="717" spans="1:2">
      <c r="A717">
        <v>130418</v>
      </c>
      <c r="B717" t="s">
        <v>1136</v>
      </c>
    </row>
    <row r="718" spans="1:2">
      <c r="A718">
        <v>130419</v>
      </c>
      <c r="B718" t="s">
        <v>1137</v>
      </c>
    </row>
    <row r="719" spans="1:2">
      <c r="A719">
        <v>130421</v>
      </c>
      <c r="B719" t="s">
        <v>1138</v>
      </c>
    </row>
    <row r="720" spans="1:2">
      <c r="A720">
        <v>130422</v>
      </c>
      <c r="B720" t="s">
        <v>1139</v>
      </c>
    </row>
    <row r="721" spans="1:2">
      <c r="A721">
        <v>130423</v>
      </c>
      <c r="B721" t="s">
        <v>1140</v>
      </c>
    </row>
    <row r="722" spans="1:2">
      <c r="A722">
        <v>130424</v>
      </c>
      <c r="B722" t="s">
        <v>1141</v>
      </c>
    </row>
    <row r="723" spans="1:2">
      <c r="A723">
        <v>130425</v>
      </c>
      <c r="B723" t="s">
        <v>1142</v>
      </c>
    </row>
    <row r="724" spans="1:2">
      <c r="A724">
        <v>130426</v>
      </c>
      <c r="B724" t="s">
        <v>1143</v>
      </c>
    </row>
    <row r="725" spans="1:2">
      <c r="A725">
        <v>130427</v>
      </c>
      <c r="B725" t="s">
        <v>1144</v>
      </c>
    </row>
    <row r="726" spans="1:2">
      <c r="A726">
        <v>130428</v>
      </c>
      <c r="B726" t="s">
        <v>1145</v>
      </c>
    </row>
    <row r="727" spans="1:2">
      <c r="A727">
        <v>130429</v>
      </c>
      <c r="B727" t="s">
        <v>1146</v>
      </c>
    </row>
    <row r="728" spans="1:2">
      <c r="A728">
        <v>130511</v>
      </c>
      <c r="B728" t="s">
        <v>1147</v>
      </c>
    </row>
    <row r="729" spans="1:2">
      <c r="A729">
        <v>130512</v>
      </c>
      <c r="B729" t="s">
        <v>1148</v>
      </c>
    </row>
    <row r="730" spans="1:2">
      <c r="A730">
        <v>130513</v>
      </c>
      <c r="B730" t="s">
        <v>1149</v>
      </c>
    </row>
    <row r="731" spans="1:2">
      <c r="A731">
        <v>130514</v>
      </c>
      <c r="B731" t="s">
        <v>1150</v>
      </c>
    </row>
    <row r="732" spans="1:2">
      <c r="A732">
        <v>130515</v>
      </c>
      <c r="B732" t="s">
        <v>1151</v>
      </c>
    </row>
    <row r="733" spans="1:2">
      <c r="A733">
        <v>130516</v>
      </c>
      <c r="B733" t="s">
        <v>1152</v>
      </c>
    </row>
    <row r="734" spans="1:2">
      <c r="A734">
        <v>130517</v>
      </c>
      <c r="B734" t="s">
        <v>1153</v>
      </c>
    </row>
    <row r="735" spans="1:2">
      <c r="A735">
        <v>130518</v>
      </c>
      <c r="B735" t="s">
        <v>1154</v>
      </c>
    </row>
    <row r="736" spans="1:2">
      <c r="A736">
        <v>130519</v>
      </c>
      <c r="B736" t="s">
        <v>1155</v>
      </c>
    </row>
    <row r="737" spans="1:2">
      <c r="A737">
        <v>130521</v>
      </c>
      <c r="B737" t="s">
        <v>1156</v>
      </c>
    </row>
    <row r="738" spans="1:2">
      <c r="A738">
        <v>130522</v>
      </c>
      <c r="B738" t="s">
        <v>1157</v>
      </c>
    </row>
    <row r="739" spans="1:2">
      <c r="A739">
        <v>130523</v>
      </c>
      <c r="B739" t="s">
        <v>1158</v>
      </c>
    </row>
    <row r="740" spans="1:2">
      <c r="A740">
        <v>130524</v>
      </c>
      <c r="B740" t="s">
        <v>1159</v>
      </c>
    </row>
    <row r="741" spans="1:2">
      <c r="A741">
        <v>130525</v>
      </c>
      <c r="B741" t="s">
        <v>1160</v>
      </c>
    </row>
    <row r="742" spans="1:2">
      <c r="A742">
        <v>130526</v>
      </c>
      <c r="B742" t="s">
        <v>1161</v>
      </c>
    </row>
    <row r="743" spans="1:2">
      <c r="A743">
        <v>130527</v>
      </c>
      <c r="B743" t="s">
        <v>1162</v>
      </c>
    </row>
    <row r="744" spans="1:2">
      <c r="A744">
        <v>130528</v>
      </c>
      <c r="B744" t="s">
        <v>1163</v>
      </c>
    </row>
    <row r="745" spans="1:2">
      <c r="A745">
        <v>130529</v>
      </c>
      <c r="B745" t="s">
        <v>1164</v>
      </c>
    </row>
    <row r="746" spans="1:2">
      <c r="A746">
        <v>130901</v>
      </c>
      <c r="B746" t="s">
        <v>475</v>
      </c>
    </row>
    <row r="747" spans="1:2">
      <c r="A747">
        <v>130902</v>
      </c>
      <c r="B747" t="s">
        <v>476</v>
      </c>
    </row>
    <row r="748" spans="1:2">
      <c r="A748">
        <v>130903</v>
      </c>
      <c r="B748" t="s">
        <v>477</v>
      </c>
    </row>
    <row r="749" spans="1:2">
      <c r="A749">
        <v>130904</v>
      </c>
      <c r="B749" t="s">
        <v>478</v>
      </c>
    </row>
    <row r="750" spans="1:2">
      <c r="A750">
        <v>130905</v>
      </c>
      <c r="B750" t="s">
        <v>479</v>
      </c>
    </row>
    <row r="751" spans="1:2">
      <c r="A751">
        <v>130906</v>
      </c>
      <c r="B751" t="s">
        <v>480</v>
      </c>
    </row>
    <row r="752" spans="1:2">
      <c r="A752">
        <v>130907</v>
      </c>
      <c r="B752" t="s">
        <v>481</v>
      </c>
    </row>
    <row r="753" spans="1:2">
      <c r="A753">
        <v>130908</v>
      </c>
      <c r="B753" t="s">
        <v>482</v>
      </c>
    </row>
    <row r="754" spans="1:2">
      <c r="A754">
        <v>130909</v>
      </c>
      <c r="B754" t="s">
        <v>483</v>
      </c>
    </row>
    <row r="755" spans="1:2">
      <c r="A755">
        <v>130911</v>
      </c>
      <c r="B755" t="s">
        <v>484</v>
      </c>
    </row>
    <row r="756" spans="1:2">
      <c r="A756">
        <v>130912</v>
      </c>
      <c r="B756" t="s">
        <v>485</v>
      </c>
    </row>
    <row r="757" spans="1:2">
      <c r="A757">
        <v>130913</v>
      </c>
      <c r="B757" t="s">
        <v>486</v>
      </c>
    </row>
    <row r="758" spans="1:2">
      <c r="A758">
        <v>130914</v>
      </c>
      <c r="B758" t="s">
        <v>487</v>
      </c>
    </row>
    <row r="759" spans="1:2">
      <c r="A759">
        <v>130915</v>
      </c>
      <c r="B759" t="s">
        <v>488</v>
      </c>
    </row>
    <row r="760" spans="1:2">
      <c r="A760">
        <v>130916</v>
      </c>
      <c r="B760" t="s">
        <v>489</v>
      </c>
    </row>
    <row r="761" spans="1:2">
      <c r="A761">
        <v>130917</v>
      </c>
      <c r="B761" t="s">
        <v>490</v>
      </c>
    </row>
    <row r="762" spans="1:2">
      <c r="A762">
        <v>130918</v>
      </c>
      <c r="B762" t="s">
        <v>491</v>
      </c>
    </row>
    <row r="763" spans="1:2">
      <c r="A763">
        <v>130919</v>
      </c>
      <c r="B763" t="s">
        <v>492</v>
      </c>
    </row>
    <row r="764" spans="1:2">
      <c r="A764">
        <v>130921</v>
      </c>
      <c r="B764" t="s">
        <v>493</v>
      </c>
    </row>
    <row r="765" spans="1:2">
      <c r="A765">
        <v>130922</v>
      </c>
      <c r="B765" t="s">
        <v>494</v>
      </c>
    </row>
    <row r="766" spans="1:2">
      <c r="A766">
        <v>130923</v>
      </c>
      <c r="B766" t="s">
        <v>495</v>
      </c>
    </row>
    <row r="767" spans="1:2">
      <c r="A767">
        <v>130924</v>
      </c>
      <c r="B767" t="s">
        <v>496</v>
      </c>
    </row>
    <row r="768" spans="1:2">
      <c r="A768">
        <v>130925</v>
      </c>
      <c r="B768" t="s">
        <v>497</v>
      </c>
    </row>
    <row r="769" spans="1:2">
      <c r="A769">
        <v>130926</v>
      </c>
      <c r="B769" t="s">
        <v>498</v>
      </c>
    </row>
    <row r="770" spans="1:2">
      <c r="A770">
        <v>130927</v>
      </c>
      <c r="B770" t="s">
        <v>499</v>
      </c>
    </row>
    <row r="771" spans="1:2">
      <c r="A771">
        <v>130928</v>
      </c>
      <c r="B771" t="s">
        <v>500</v>
      </c>
    </row>
    <row r="772" spans="1:2">
      <c r="A772">
        <v>130929</v>
      </c>
      <c r="B772" t="s">
        <v>501</v>
      </c>
    </row>
    <row r="773" spans="1:2">
      <c r="A773">
        <v>200011</v>
      </c>
      <c r="B773" t="s">
        <v>1165</v>
      </c>
    </row>
    <row r="774" spans="1:2">
      <c r="A774">
        <v>200012</v>
      </c>
      <c r="B774" t="s">
        <v>1166</v>
      </c>
    </row>
    <row r="775" spans="1:2">
      <c r="A775">
        <v>200013</v>
      </c>
      <c r="B775" t="s">
        <v>1167</v>
      </c>
    </row>
    <row r="776" spans="1:2">
      <c r="A776">
        <v>200021</v>
      </c>
      <c r="B776" t="s">
        <v>1168</v>
      </c>
    </row>
    <row r="777" spans="1:2">
      <c r="A777">
        <v>200022</v>
      </c>
      <c r="B777" t="s">
        <v>1169</v>
      </c>
    </row>
    <row r="778" spans="1:2">
      <c r="A778">
        <v>200023</v>
      </c>
      <c r="B778" t="s">
        <v>1170</v>
      </c>
    </row>
    <row r="779" spans="1:2">
      <c r="A779">
        <v>200031</v>
      </c>
      <c r="B779" t="s">
        <v>1171</v>
      </c>
    </row>
    <row r="780" spans="1:2">
      <c r="A780">
        <v>200032</v>
      </c>
      <c r="B780" t="s">
        <v>1172</v>
      </c>
    </row>
    <row r="781" spans="1:2">
      <c r="A781">
        <v>200033</v>
      </c>
      <c r="B781" t="s">
        <v>1173</v>
      </c>
    </row>
    <row r="782" spans="1:2" s="21" customFormat="1">
      <c r="A782" s="21">
        <v>200111</v>
      </c>
      <c r="B782" s="21" t="s">
        <v>1270</v>
      </c>
    </row>
    <row r="783" spans="1:2" s="21" customFormat="1">
      <c r="A783" s="21">
        <v>200121</v>
      </c>
      <c r="B783" s="21" t="s">
        <v>1271</v>
      </c>
    </row>
    <row r="784" spans="1:2" s="21" customFormat="1">
      <c r="A784" s="21">
        <v>200211</v>
      </c>
      <c r="B784" s="21" t="s">
        <v>1272</v>
      </c>
    </row>
    <row r="785" spans="1:2" s="21" customFormat="1">
      <c r="A785" s="21">
        <v>200221</v>
      </c>
      <c r="B785" s="21" t="s">
        <v>1273</v>
      </c>
    </row>
    <row r="786" spans="1:2">
      <c r="A786">
        <v>1000011</v>
      </c>
      <c r="B786" t="s">
        <v>502</v>
      </c>
    </row>
    <row r="787" spans="1:2">
      <c r="A787">
        <v>1000012</v>
      </c>
      <c r="B787" t="s">
        <v>503</v>
      </c>
    </row>
    <row r="788" spans="1:2">
      <c r="A788">
        <v>1000013</v>
      </c>
      <c r="B788" t="s">
        <v>504</v>
      </c>
    </row>
    <row r="789" spans="1:2">
      <c r="A789">
        <v>1000014</v>
      </c>
      <c r="B789" t="s">
        <v>505</v>
      </c>
    </row>
    <row r="790" spans="1:2">
      <c r="A790">
        <v>1000015</v>
      </c>
      <c r="B790" t="s">
        <v>506</v>
      </c>
    </row>
    <row r="791" spans="1:2">
      <c r="A791">
        <v>1000016</v>
      </c>
      <c r="B791" t="s">
        <v>507</v>
      </c>
    </row>
    <row r="792" spans="1:2">
      <c r="A792">
        <v>1000101</v>
      </c>
      <c r="B792" t="s">
        <v>508</v>
      </c>
    </row>
    <row r="793" spans="1:2">
      <c r="A793">
        <v>1000102</v>
      </c>
      <c r="B793" t="s">
        <v>509</v>
      </c>
    </row>
    <row r="794" spans="1:2">
      <c r="A794">
        <v>1010001</v>
      </c>
      <c r="B794" t="s">
        <v>510</v>
      </c>
    </row>
    <row r="795" spans="1:2">
      <c r="A795">
        <v>1010002</v>
      </c>
      <c r="B795" t="s">
        <v>511</v>
      </c>
    </row>
    <row r="796" spans="1:2">
      <c r="A796">
        <v>1010003</v>
      </c>
      <c r="B796" t="s">
        <v>512</v>
      </c>
    </row>
    <row r="797" spans="1:2">
      <c r="A797">
        <v>1020011</v>
      </c>
      <c r="B797" t="s">
        <v>513</v>
      </c>
    </row>
    <row r="798" spans="1:2">
      <c r="A798">
        <v>1021001</v>
      </c>
      <c r="B798" t="s">
        <v>514</v>
      </c>
    </row>
    <row r="799" spans="1:2">
      <c r="A799">
        <v>1021002</v>
      </c>
      <c r="B799" t="s">
        <v>515</v>
      </c>
    </row>
    <row r="800" spans="1:2">
      <c r="A800">
        <v>1021003</v>
      </c>
      <c r="B800" t="s">
        <v>516</v>
      </c>
    </row>
    <row r="801" spans="1:2">
      <c r="A801">
        <v>1021004</v>
      </c>
      <c r="B801" t="s">
        <v>517</v>
      </c>
    </row>
    <row r="802" spans="1:2">
      <c r="A802">
        <v>1022001</v>
      </c>
      <c r="B802" t="s">
        <v>518</v>
      </c>
    </row>
    <row r="803" spans="1:2">
      <c r="A803">
        <v>1022002</v>
      </c>
      <c r="B803" t="s">
        <v>519</v>
      </c>
    </row>
    <row r="804" spans="1:2">
      <c r="A804">
        <v>1029001</v>
      </c>
      <c r="B804" t="s">
        <v>1174</v>
      </c>
    </row>
    <row r="805" spans="1:2">
      <c r="A805">
        <v>1030001</v>
      </c>
      <c r="B805" t="s">
        <v>520</v>
      </c>
    </row>
    <row r="806" spans="1:2">
      <c r="A806">
        <v>1030002</v>
      </c>
      <c r="B806" t="s">
        <v>521</v>
      </c>
    </row>
    <row r="807" spans="1:2">
      <c r="A807">
        <v>1030003</v>
      </c>
      <c r="B807" t="s">
        <v>522</v>
      </c>
    </row>
    <row r="808" spans="1:2">
      <c r="A808">
        <v>1030004</v>
      </c>
      <c r="B808" t="s">
        <v>523</v>
      </c>
    </row>
    <row r="809" spans="1:2">
      <c r="A809">
        <v>1030005</v>
      </c>
      <c r="B809" t="s">
        <v>524</v>
      </c>
    </row>
    <row r="810" spans="1:2">
      <c r="A810">
        <v>1030006</v>
      </c>
      <c r="B810" t="s">
        <v>525</v>
      </c>
    </row>
    <row r="811" spans="1:2">
      <c r="A811">
        <v>1030007</v>
      </c>
      <c r="B811" t="s">
        <v>526</v>
      </c>
    </row>
    <row r="812" spans="1:2">
      <c r="A812">
        <v>1030008</v>
      </c>
      <c r="B812" t="s">
        <v>527</v>
      </c>
    </row>
    <row r="813" spans="1:2">
      <c r="A813">
        <v>1030009</v>
      </c>
      <c r="B813" t="s">
        <v>528</v>
      </c>
    </row>
    <row r="814" spans="1:2">
      <c r="A814">
        <v>1030010</v>
      </c>
      <c r="B814" t="s">
        <v>529</v>
      </c>
    </row>
    <row r="815" spans="1:2">
      <c r="A815">
        <v>1030011</v>
      </c>
      <c r="B815" t="s">
        <v>530</v>
      </c>
    </row>
    <row r="816" spans="1:2">
      <c r="A816">
        <v>1030012</v>
      </c>
      <c r="B816" t="s">
        <v>531</v>
      </c>
    </row>
    <row r="817" spans="1:2">
      <c r="A817">
        <v>1030013</v>
      </c>
      <c r="B817" t="s">
        <v>532</v>
      </c>
    </row>
    <row r="818" spans="1:2">
      <c r="A818">
        <v>1030014</v>
      </c>
      <c r="B818" t="s">
        <v>533</v>
      </c>
    </row>
    <row r="819" spans="1:2">
      <c r="A819">
        <v>1030015</v>
      </c>
      <c r="B819" t="s">
        <v>1175</v>
      </c>
    </row>
    <row r="820" spans="1:2">
      <c r="A820">
        <v>1030016</v>
      </c>
      <c r="B820" t="s">
        <v>1176</v>
      </c>
    </row>
    <row r="821" spans="1:2">
      <c r="A821">
        <v>1030017</v>
      </c>
      <c r="B821" t="s">
        <v>1177</v>
      </c>
    </row>
    <row r="822" spans="1:2">
      <c r="A822">
        <v>1030018</v>
      </c>
      <c r="B822" t="s">
        <v>1178</v>
      </c>
    </row>
    <row r="823" spans="1:2">
      <c r="A823">
        <v>1030019</v>
      </c>
      <c r="B823" t="s">
        <v>1179</v>
      </c>
    </row>
    <row r="824" spans="1:2">
      <c r="A824">
        <v>1030020</v>
      </c>
      <c r="B824" t="s">
        <v>1180</v>
      </c>
    </row>
    <row r="825" spans="1:2">
      <c r="A825">
        <v>1030021</v>
      </c>
      <c r="B825" t="s">
        <v>1181</v>
      </c>
    </row>
    <row r="826" spans="1:2">
      <c r="A826">
        <v>1100005</v>
      </c>
      <c r="B826" t="s">
        <v>534</v>
      </c>
    </row>
    <row r="827" spans="1:2">
      <c r="A827">
        <v>1100010</v>
      </c>
      <c r="B827" t="s">
        <v>535</v>
      </c>
    </row>
    <row r="828" spans="1:2">
      <c r="A828">
        <v>1100015</v>
      </c>
      <c r="B828" t="s">
        <v>536</v>
      </c>
    </row>
    <row r="829" spans="1:2">
      <c r="A829">
        <v>1100020</v>
      </c>
      <c r="B829" t="s">
        <v>537</v>
      </c>
    </row>
    <row r="830" spans="1:2">
      <c r="A830">
        <v>1100101</v>
      </c>
      <c r="B830" t="s">
        <v>538</v>
      </c>
    </row>
    <row r="831" spans="1:2">
      <c r="A831">
        <v>1100102</v>
      </c>
      <c r="B831" t="s">
        <v>539</v>
      </c>
    </row>
    <row r="832" spans="1:2">
      <c r="A832">
        <v>1100103</v>
      </c>
      <c r="B832" t="s">
        <v>540</v>
      </c>
    </row>
    <row r="833" spans="1:2">
      <c r="A833">
        <v>1100104</v>
      </c>
      <c r="B833" t="s">
        <v>541</v>
      </c>
    </row>
    <row r="834" spans="1:2">
      <c r="A834">
        <v>1100105</v>
      </c>
      <c r="B834" t="s">
        <v>542</v>
      </c>
    </row>
    <row r="835" spans="1:2">
      <c r="A835">
        <v>1100106</v>
      </c>
      <c r="B835" t="s">
        <v>543</v>
      </c>
    </row>
    <row r="836" spans="1:2">
      <c r="A836">
        <v>1100107</v>
      </c>
      <c r="B836" t="s">
        <v>544</v>
      </c>
    </row>
    <row r="837" spans="1:2">
      <c r="A837">
        <v>1200001</v>
      </c>
      <c r="B837" t="s">
        <v>545</v>
      </c>
    </row>
    <row r="838" spans="1:2">
      <c r="A838">
        <v>1200002</v>
      </c>
      <c r="B838" t="s">
        <v>546</v>
      </c>
    </row>
    <row r="839" spans="1:2">
      <c r="A839">
        <v>1200003</v>
      </c>
      <c r="B839" t="s">
        <v>547</v>
      </c>
    </row>
    <row r="840" spans="1:2">
      <c r="A840">
        <v>1200004</v>
      </c>
      <c r="B840" t="s">
        <v>548</v>
      </c>
    </row>
    <row r="841" spans="1:2">
      <c r="A841">
        <v>1200005</v>
      </c>
      <c r="B841" t="s">
        <v>549</v>
      </c>
    </row>
    <row r="842" spans="1:2">
      <c r="A842">
        <v>1310001</v>
      </c>
      <c r="B842" t="s">
        <v>550</v>
      </c>
    </row>
    <row r="843" spans="1:2">
      <c r="A843">
        <v>1310002</v>
      </c>
      <c r="B843" t="s">
        <v>551</v>
      </c>
    </row>
    <row r="844" spans="1:2">
      <c r="A844">
        <v>1310003</v>
      </c>
      <c r="B844" t="s">
        <v>552</v>
      </c>
    </row>
    <row r="845" spans="1:2">
      <c r="A845">
        <v>1310004</v>
      </c>
      <c r="B845" t="s">
        <v>553</v>
      </c>
    </row>
    <row r="846" spans="1:2">
      <c r="A846">
        <v>1310005</v>
      </c>
      <c r="B846" t="s">
        <v>554</v>
      </c>
    </row>
    <row r="847" spans="1:2">
      <c r="A847">
        <v>1310006</v>
      </c>
      <c r="B847" t="s">
        <v>555</v>
      </c>
    </row>
    <row r="848" spans="1:2">
      <c r="A848">
        <v>1310007</v>
      </c>
      <c r="B848" t="s">
        <v>556</v>
      </c>
    </row>
    <row r="849" spans="1:2">
      <c r="A849">
        <v>1310008</v>
      </c>
      <c r="B849" t="s">
        <v>557</v>
      </c>
    </row>
    <row r="850" spans="1:2">
      <c r="A850">
        <v>1310009</v>
      </c>
      <c r="B850" t="s">
        <v>558</v>
      </c>
    </row>
    <row r="851" spans="1:2">
      <c r="A851">
        <v>1310010</v>
      </c>
      <c r="B851" t="s">
        <v>559</v>
      </c>
    </row>
    <row r="852" spans="1:2">
      <c r="A852">
        <v>1310011</v>
      </c>
      <c r="B852" t="s">
        <v>560</v>
      </c>
    </row>
    <row r="853" spans="1:2">
      <c r="A853">
        <v>1320001</v>
      </c>
      <c r="B853" t="s">
        <v>561</v>
      </c>
    </row>
    <row r="854" spans="1:2">
      <c r="A854">
        <v>1320002</v>
      </c>
      <c r="B854" t="s">
        <v>562</v>
      </c>
    </row>
    <row r="855" spans="1:2">
      <c r="A855">
        <v>1320003</v>
      </c>
      <c r="B855" t="s">
        <v>563</v>
      </c>
    </row>
    <row r="856" spans="1:2">
      <c r="A856">
        <v>1320004</v>
      </c>
      <c r="B856" t="s">
        <v>564</v>
      </c>
    </row>
    <row r="857" spans="1:2">
      <c r="A857">
        <v>1320005</v>
      </c>
      <c r="B857" t="s">
        <v>565</v>
      </c>
    </row>
    <row r="858" spans="1:2">
      <c r="A858">
        <v>1320006</v>
      </c>
      <c r="B858" t="s">
        <v>566</v>
      </c>
    </row>
    <row r="859" spans="1:2">
      <c r="A859">
        <v>1320007</v>
      </c>
      <c r="B859" t="s">
        <v>567</v>
      </c>
    </row>
    <row r="860" spans="1:2">
      <c r="A860">
        <v>1320008</v>
      </c>
      <c r="B860" t="s">
        <v>568</v>
      </c>
    </row>
    <row r="861" spans="1:2">
      <c r="A861">
        <v>1320009</v>
      </c>
      <c r="B861" t="s">
        <v>569</v>
      </c>
    </row>
    <row r="862" spans="1:2">
      <c r="A862">
        <v>1320010</v>
      </c>
      <c r="B862" t="s">
        <v>570</v>
      </c>
    </row>
    <row r="863" spans="1:2">
      <c r="A863">
        <v>1331501</v>
      </c>
      <c r="B863" t="s">
        <v>571</v>
      </c>
    </row>
    <row r="864" spans="1:2">
      <c r="A864">
        <v>1332001</v>
      </c>
      <c r="B864" t="s">
        <v>572</v>
      </c>
    </row>
    <row r="865" spans="1:2">
      <c r="A865">
        <v>1332501</v>
      </c>
      <c r="B865" t="s">
        <v>573</v>
      </c>
    </row>
    <row r="866" spans="1:2">
      <c r="A866">
        <v>1333001</v>
      </c>
      <c r="B866" t="s">
        <v>574</v>
      </c>
    </row>
    <row r="867" spans="1:2">
      <c r="A867">
        <v>1333501</v>
      </c>
      <c r="B867" t="s">
        <v>575</v>
      </c>
    </row>
    <row r="868" spans="1:2">
      <c r="A868">
        <v>1334001</v>
      </c>
      <c r="B868" t="s">
        <v>576</v>
      </c>
    </row>
    <row r="869" spans="1:2">
      <c r="A869">
        <v>1331502</v>
      </c>
      <c r="B869" t="s">
        <v>577</v>
      </c>
    </row>
    <row r="870" spans="1:2">
      <c r="A870">
        <v>1332002</v>
      </c>
      <c r="B870" t="s">
        <v>578</v>
      </c>
    </row>
    <row r="871" spans="1:2">
      <c r="A871">
        <v>1332502</v>
      </c>
      <c r="B871" t="s">
        <v>579</v>
      </c>
    </row>
    <row r="872" spans="1:2">
      <c r="A872">
        <v>1333002</v>
      </c>
      <c r="B872" t="s">
        <v>580</v>
      </c>
    </row>
    <row r="873" spans="1:2">
      <c r="A873">
        <v>1333502</v>
      </c>
      <c r="B873" t="s">
        <v>581</v>
      </c>
    </row>
    <row r="874" spans="1:2">
      <c r="A874">
        <v>1334002</v>
      </c>
      <c r="B874" t="s">
        <v>582</v>
      </c>
    </row>
    <row r="875" spans="1:2">
      <c r="A875">
        <v>1331503</v>
      </c>
      <c r="B875" t="s">
        <v>583</v>
      </c>
    </row>
    <row r="876" spans="1:2">
      <c r="A876">
        <v>1332003</v>
      </c>
      <c r="B876" t="s">
        <v>584</v>
      </c>
    </row>
    <row r="877" spans="1:2">
      <c r="A877">
        <v>1332503</v>
      </c>
      <c r="B877" t="s">
        <v>585</v>
      </c>
    </row>
    <row r="878" spans="1:2">
      <c r="A878">
        <v>1333003</v>
      </c>
      <c r="B878" t="s">
        <v>586</v>
      </c>
    </row>
    <row r="879" spans="1:2">
      <c r="A879">
        <v>1333503</v>
      </c>
      <c r="B879" t="s">
        <v>587</v>
      </c>
    </row>
    <row r="880" spans="1:2">
      <c r="A880">
        <v>1334003</v>
      </c>
      <c r="B880" t="s">
        <v>588</v>
      </c>
    </row>
    <row r="881" spans="1:2">
      <c r="A881">
        <v>1344501</v>
      </c>
      <c r="B881" t="s">
        <v>589</v>
      </c>
    </row>
    <row r="882" spans="1:2">
      <c r="A882">
        <v>1345001</v>
      </c>
      <c r="B882" t="s">
        <v>590</v>
      </c>
    </row>
    <row r="883" spans="1:2">
      <c r="A883">
        <v>1345501</v>
      </c>
      <c r="B883" t="s">
        <v>591</v>
      </c>
    </row>
    <row r="884" spans="1:2">
      <c r="A884">
        <v>1344502</v>
      </c>
      <c r="B884" t="s">
        <v>592</v>
      </c>
    </row>
    <row r="885" spans="1:2">
      <c r="A885">
        <v>1345002</v>
      </c>
      <c r="B885" t="s">
        <v>593</v>
      </c>
    </row>
    <row r="886" spans="1:2">
      <c r="A886">
        <v>1345502</v>
      </c>
      <c r="B886" t="s">
        <v>594</v>
      </c>
    </row>
    <row r="887" spans="1:2">
      <c r="A887">
        <v>1344503</v>
      </c>
      <c r="B887" t="s">
        <v>595</v>
      </c>
    </row>
    <row r="888" spans="1:2">
      <c r="A888">
        <v>1345003</v>
      </c>
      <c r="B888" t="s">
        <v>596</v>
      </c>
    </row>
    <row r="889" spans="1:2">
      <c r="A889">
        <v>1345503</v>
      </c>
      <c r="B889" t="s">
        <v>597</v>
      </c>
    </row>
    <row r="890" spans="1:2">
      <c r="A890">
        <v>1350001</v>
      </c>
      <c r="B890" t="s">
        <v>598</v>
      </c>
    </row>
    <row r="891" spans="1:2">
      <c r="A891">
        <v>1350002</v>
      </c>
      <c r="B891" t="s">
        <v>599</v>
      </c>
    </row>
    <row r="892" spans="1:2">
      <c r="A892">
        <v>1350003</v>
      </c>
      <c r="B892" t="s">
        <v>600</v>
      </c>
    </row>
    <row r="893" spans="1:2">
      <c r="A893">
        <v>1350004</v>
      </c>
      <c r="B893" t="s">
        <v>601</v>
      </c>
    </row>
    <row r="894" spans="1:2">
      <c r="A894">
        <v>1350005</v>
      </c>
      <c r="B894" t="s">
        <v>602</v>
      </c>
    </row>
    <row r="895" spans="1:2">
      <c r="A895">
        <v>1360001</v>
      </c>
      <c r="B895" t="s">
        <v>603</v>
      </c>
    </row>
    <row r="896" spans="1:2">
      <c r="A896">
        <v>1410036</v>
      </c>
      <c r="B896" t="s">
        <v>604</v>
      </c>
    </row>
    <row r="897" spans="1:2">
      <c r="A897">
        <v>1410038</v>
      </c>
      <c r="B897" t="s">
        <v>605</v>
      </c>
    </row>
    <row r="898" spans="1:2">
      <c r="A898">
        <v>1410052</v>
      </c>
      <c r="B898" t="s">
        <v>606</v>
      </c>
    </row>
    <row r="899" spans="1:2">
      <c r="A899">
        <v>1410093</v>
      </c>
      <c r="B899" t="s">
        <v>607</v>
      </c>
    </row>
    <row r="900" spans="1:2" s="21" customFormat="1">
      <c r="A900" s="21">
        <v>1410094</v>
      </c>
      <c r="B900" s="21" t="s">
        <v>1261</v>
      </c>
    </row>
    <row r="901" spans="1:2" s="21" customFormat="1">
      <c r="A901" s="21">
        <v>1410095</v>
      </c>
      <c r="B901" s="21" t="s">
        <v>1262</v>
      </c>
    </row>
    <row r="902" spans="1:2" s="21" customFormat="1">
      <c r="A902" s="21">
        <v>1410096</v>
      </c>
      <c r="B902" s="21" t="s">
        <v>1263</v>
      </c>
    </row>
    <row r="903" spans="1:2" s="21" customFormat="1">
      <c r="A903" s="21">
        <v>1410097</v>
      </c>
      <c r="B903" s="21" t="s">
        <v>1264</v>
      </c>
    </row>
    <row r="904" spans="1:2">
      <c r="A904">
        <v>1500001</v>
      </c>
      <c r="B904" t="s">
        <v>608</v>
      </c>
    </row>
    <row r="905" spans="1:2">
      <c r="A905">
        <v>1500002</v>
      </c>
      <c r="B905" t="s">
        <v>609</v>
      </c>
    </row>
    <row r="906" spans="1:2">
      <c r="A906">
        <v>1500008</v>
      </c>
      <c r="B906" t="s">
        <v>1182</v>
      </c>
    </row>
    <row r="907" spans="1:2">
      <c r="A907">
        <v>1500009</v>
      </c>
      <c r="B907" t="s">
        <v>1183</v>
      </c>
    </row>
    <row r="908" spans="1:2">
      <c r="A908">
        <v>1500010</v>
      </c>
      <c r="B908" t="s">
        <v>1184</v>
      </c>
    </row>
    <row r="909" spans="1:2">
      <c r="A909">
        <v>1500011</v>
      </c>
      <c r="B909" t="s">
        <v>1185</v>
      </c>
    </row>
    <row r="910" spans="1:2">
      <c r="A910">
        <v>1500012</v>
      </c>
      <c r="B910" t="s">
        <v>1186</v>
      </c>
    </row>
    <row r="911" spans="1:2">
      <c r="A911">
        <v>1500013</v>
      </c>
      <c r="B911" t="s">
        <v>1187</v>
      </c>
    </row>
    <row r="912" spans="1:2">
      <c r="A912">
        <v>1500014</v>
      </c>
      <c r="B912" t="s">
        <v>1188</v>
      </c>
    </row>
    <row r="913" spans="1:2">
      <c r="A913">
        <v>1500015</v>
      </c>
      <c r="B913" t="s">
        <v>1189</v>
      </c>
    </row>
    <row r="914" spans="1:2">
      <c r="A914">
        <v>1500016</v>
      </c>
      <c r="B914" t="s">
        <v>1190</v>
      </c>
    </row>
    <row r="915" spans="1:2">
      <c r="A915">
        <v>1500017</v>
      </c>
      <c r="B915" t="s">
        <v>1191</v>
      </c>
    </row>
    <row r="916" spans="1:2">
      <c r="A916">
        <v>1500018</v>
      </c>
      <c r="B916" t="s">
        <v>1192</v>
      </c>
    </row>
    <row r="917" spans="1:2">
      <c r="A917">
        <v>1500019</v>
      </c>
      <c r="B917" t="s">
        <v>1193</v>
      </c>
    </row>
    <row r="918" spans="1:2">
      <c r="A918">
        <v>1500020</v>
      </c>
      <c r="B918" t="s">
        <v>1194</v>
      </c>
    </row>
    <row r="919" spans="1:2">
      <c r="A919">
        <v>1500021</v>
      </c>
      <c r="B919" t="s">
        <v>1195</v>
      </c>
    </row>
    <row r="920" spans="1:2">
      <c r="A920">
        <v>1500022</v>
      </c>
      <c r="B920" t="s">
        <v>1196</v>
      </c>
    </row>
    <row r="921" spans="1:2">
      <c r="A921">
        <v>1500023</v>
      </c>
      <c r="B921" t="s">
        <v>1197</v>
      </c>
    </row>
    <row r="922" spans="1:2">
      <c r="A922">
        <v>1500024</v>
      </c>
      <c r="B922" t="s">
        <v>1198</v>
      </c>
    </row>
    <row r="923" spans="1:2">
      <c r="A923">
        <v>1500025</v>
      </c>
      <c r="B923" t="s">
        <v>1199</v>
      </c>
    </row>
    <row r="924" spans="1:2">
      <c r="A924">
        <v>1500026</v>
      </c>
      <c r="B924" t="s">
        <v>1200</v>
      </c>
    </row>
    <row r="925" spans="1:2">
      <c r="A925">
        <v>1500027</v>
      </c>
      <c r="B925" t="s">
        <v>1201</v>
      </c>
    </row>
    <row r="926" spans="1:2">
      <c r="A926">
        <v>1500028</v>
      </c>
      <c r="B926" t="s">
        <v>1202</v>
      </c>
    </row>
    <row r="927" spans="1:2">
      <c r="A927">
        <v>1500029</v>
      </c>
      <c r="B927" t="s">
        <v>1203</v>
      </c>
    </row>
    <row r="928" spans="1:2">
      <c r="A928">
        <v>1500030</v>
      </c>
      <c r="B928" t="s">
        <v>1204</v>
      </c>
    </row>
    <row r="929" spans="1:2">
      <c r="A929">
        <v>1500031</v>
      </c>
      <c r="B929" t="s">
        <v>1205</v>
      </c>
    </row>
    <row r="930" spans="1:2">
      <c r="A930">
        <v>1500032</v>
      </c>
      <c r="B930" t="s">
        <v>1206</v>
      </c>
    </row>
    <row r="931" spans="1:2">
      <c r="A931">
        <v>1500033</v>
      </c>
      <c r="B931" t="s">
        <v>1207</v>
      </c>
    </row>
    <row r="932" spans="1:2">
      <c r="A932">
        <v>1500034</v>
      </c>
      <c r="B932" t="s">
        <v>1208</v>
      </c>
    </row>
    <row r="933" spans="1:2">
      <c r="A933">
        <v>1500035</v>
      </c>
      <c r="B933" t="s">
        <v>1209</v>
      </c>
    </row>
    <row r="934" spans="1:2">
      <c r="A934">
        <v>1500036</v>
      </c>
      <c r="B934" t="s">
        <v>1210</v>
      </c>
    </row>
    <row r="935" spans="1:2">
      <c r="A935">
        <v>1500037</v>
      </c>
      <c r="B935" t="s">
        <v>1211</v>
      </c>
    </row>
    <row r="936" spans="1:2">
      <c r="A936">
        <v>1500038</v>
      </c>
      <c r="B936" t="s">
        <v>1212</v>
      </c>
    </row>
    <row r="937" spans="1:2">
      <c r="A937">
        <v>89900001</v>
      </c>
      <c r="B937" t="s">
        <v>738</v>
      </c>
    </row>
    <row r="938" spans="1:2">
      <c r="A938">
        <v>89900003</v>
      </c>
      <c r="B938" t="s">
        <v>1213</v>
      </c>
    </row>
    <row r="939" spans="1:2">
      <c r="A939">
        <v>89980113</v>
      </c>
      <c r="B939" t="s">
        <v>739</v>
      </c>
    </row>
    <row r="940" spans="1:2">
      <c r="A940">
        <v>89990111</v>
      </c>
      <c r="B940" t="s">
        <v>740</v>
      </c>
    </row>
    <row r="941" spans="1:2">
      <c r="A941">
        <v>89990112</v>
      </c>
      <c r="B941" t="s">
        <v>741</v>
      </c>
    </row>
    <row r="942" spans="1:2">
      <c r="A942">
        <v>89990113</v>
      </c>
      <c r="B942" t="s">
        <v>742</v>
      </c>
    </row>
    <row r="943" spans="1:2">
      <c r="A943">
        <v>89990115</v>
      </c>
      <c r="B943" t="s">
        <v>743</v>
      </c>
    </row>
    <row r="944" spans="1:2">
      <c r="A944">
        <v>89990116</v>
      </c>
      <c r="B944" t="s">
        <v>744</v>
      </c>
    </row>
    <row r="945" spans="1:2">
      <c r="A945">
        <v>89990117</v>
      </c>
      <c r="B945" t="s">
        <v>745</v>
      </c>
    </row>
    <row r="946" spans="1:2">
      <c r="A946">
        <v>99900001</v>
      </c>
      <c r="B946" t="s">
        <v>610</v>
      </c>
    </row>
    <row r="947" spans="1:2">
      <c r="A947">
        <v>99900002</v>
      </c>
      <c r="B947" t="s">
        <v>611</v>
      </c>
    </row>
    <row r="948" spans="1:2">
      <c r="A948">
        <v>99900003</v>
      </c>
      <c r="B948" t="s">
        <v>612</v>
      </c>
    </row>
    <row r="949" spans="1:2">
      <c r="A949">
        <v>99900004</v>
      </c>
      <c r="B949" t="s">
        <v>613</v>
      </c>
    </row>
    <row r="950" spans="1:2">
      <c r="A950">
        <v>99900005</v>
      </c>
      <c r="B950" t="s">
        <v>614</v>
      </c>
    </row>
    <row r="951" spans="1:2">
      <c r="A951">
        <v>99900006</v>
      </c>
      <c r="B951" t="s">
        <v>615</v>
      </c>
    </row>
    <row r="952" spans="1:2">
      <c r="A952">
        <v>99900007</v>
      </c>
      <c r="B952" t="s">
        <v>616</v>
      </c>
    </row>
    <row r="953" spans="1:2">
      <c r="A953">
        <v>99900008</v>
      </c>
      <c r="B953" t="s">
        <v>617</v>
      </c>
    </row>
    <row r="954" spans="1:2">
      <c r="A954">
        <v>99900009</v>
      </c>
      <c r="B954" t="s">
        <v>618</v>
      </c>
    </row>
    <row r="955" spans="1:2">
      <c r="A955">
        <v>99900010</v>
      </c>
      <c r="B955" t="s">
        <v>619</v>
      </c>
    </row>
    <row r="956" spans="1:2">
      <c r="A956">
        <v>99900011</v>
      </c>
      <c r="B956" t="s">
        <v>620</v>
      </c>
    </row>
    <row r="957" spans="1:2">
      <c r="A957">
        <v>99900012</v>
      </c>
      <c r="B957" t="s">
        <v>621</v>
      </c>
    </row>
    <row r="958" spans="1:2">
      <c r="A958">
        <v>99900013</v>
      </c>
      <c r="B958" t="s">
        <v>622</v>
      </c>
    </row>
    <row r="959" spans="1:2">
      <c r="A959">
        <v>99900014</v>
      </c>
      <c r="B959" t="s">
        <v>623</v>
      </c>
    </row>
    <row r="960" spans="1:2">
      <c r="A960">
        <v>99900015</v>
      </c>
      <c r="B960" t="s">
        <v>624</v>
      </c>
    </row>
    <row r="961" spans="1:2">
      <c r="A961">
        <v>99900016</v>
      </c>
      <c r="B961" t="s">
        <v>625</v>
      </c>
    </row>
    <row r="962" spans="1:2">
      <c r="A962">
        <v>99900017</v>
      </c>
      <c r="B962" t="s">
        <v>626</v>
      </c>
    </row>
    <row r="963" spans="1:2">
      <c r="A963">
        <v>99900018</v>
      </c>
      <c r="B963" t="s">
        <v>627</v>
      </c>
    </row>
    <row r="964" spans="1:2">
      <c r="A964">
        <v>99900019</v>
      </c>
      <c r="B964" t="s">
        <v>628</v>
      </c>
    </row>
    <row r="965" spans="1:2">
      <c r="A965">
        <v>99900020</v>
      </c>
      <c r="B965" t="s">
        <v>629</v>
      </c>
    </row>
    <row r="966" spans="1:2">
      <c r="A966">
        <v>99900021</v>
      </c>
      <c r="B966" t="s">
        <v>630</v>
      </c>
    </row>
    <row r="967" spans="1:2">
      <c r="A967">
        <v>99900022</v>
      </c>
      <c r="B967" t="s">
        <v>631</v>
      </c>
    </row>
    <row r="968" spans="1:2">
      <c r="A968">
        <v>99900023</v>
      </c>
      <c r="B968" t="s">
        <v>632</v>
      </c>
    </row>
    <row r="969" spans="1:2">
      <c r="A969">
        <v>99900024</v>
      </c>
      <c r="B969" t="s">
        <v>633</v>
      </c>
    </row>
    <row r="970" spans="1:2">
      <c r="A970">
        <v>99900025</v>
      </c>
      <c r="B970" t="s">
        <v>634</v>
      </c>
    </row>
    <row r="971" spans="1:2">
      <c r="A971">
        <v>99900026</v>
      </c>
      <c r="B971" t="s">
        <v>635</v>
      </c>
    </row>
    <row r="972" spans="1:2">
      <c r="A972">
        <v>99900027</v>
      </c>
      <c r="B972" t="s">
        <v>636</v>
      </c>
    </row>
    <row r="973" spans="1:2">
      <c r="A973">
        <v>99900028</v>
      </c>
      <c r="B973" t="s">
        <v>637</v>
      </c>
    </row>
    <row r="974" spans="1:2">
      <c r="A974">
        <v>99900029</v>
      </c>
      <c r="B974" t="s">
        <v>638</v>
      </c>
    </row>
    <row r="975" spans="1:2">
      <c r="A975">
        <v>99900030</v>
      </c>
      <c r="B975" t="s">
        <v>639</v>
      </c>
    </row>
    <row r="976" spans="1:2">
      <c r="A976">
        <v>99900031</v>
      </c>
      <c r="B976" t="s">
        <v>640</v>
      </c>
    </row>
    <row r="977" spans="1:2">
      <c r="A977">
        <v>99900032</v>
      </c>
      <c r="B977" t="s">
        <v>641</v>
      </c>
    </row>
    <row r="978" spans="1:2">
      <c r="A978">
        <v>99900033</v>
      </c>
      <c r="B978" t="s">
        <v>642</v>
      </c>
    </row>
    <row r="979" spans="1:2">
      <c r="A979">
        <v>99900034</v>
      </c>
      <c r="B979" t="s">
        <v>643</v>
      </c>
    </row>
    <row r="980" spans="1:2">
      <c r="A980">
        <v>99900035</v>
      </c>
      <c r="B980" t="s">
        <v>904</v>
      </c>
    </row>
    <row r="981" spans="1:2">
      <c r="A981">
        <v>99900036</v>
      </c>
      <c r="B981" t="s">
        <v>905</v>
      </c>
    </row>
    <row r="982" spans="1:2">
      <c r="A982">
        <v>99900037</v>
      </c>
      <c r="B982" t="s">
        <v>1214</v>
      </c>
    </row>
    <row r="983" spans="1:2">
      <c r="A983">
        <v>99900038</v>
      </c>
      <c r="B983" t="s">
        <v>1215</v>
      </c>
    </row>
    <row r="984" spans="1:2">
      <c r="A984">
        <v>99900039</v>
      </c>
      <c r="B984" t="s">
        <v>1216</v>
      </c>
    </row>
    <row r="985" spans="1:2">
      <c r="A985">
        <v>99900040</v>
      </c>
      <c r="B985" t="s">
        <v>1217</v>
      </c>
    </row>
    <row r="986" spans="1:2" s="21" customFormat="1">
      <c r="A986" s="21">
        <v>99900041</v>
      </c>
      <c r="B986" s="21" t="s">
        <v>1256</v>
      </c>
    </row>
    <row r="987" spans="1:2" s="21" customFormat="1">
      <c r="A987" s="21">
        <v>99900042</v>
      </c>
      <c r="B987" s="21" t="s">
        <v>1267</v>
      </c>
    </row>
    <row r="988" spans="1:2" s="21" customFormat="1">
      <c r="A988" s="21">
        <v>99900043</v>
      </c>
      <c r="B988" s="21" t="s">
        <v>1268</v>
      </c>
    </row>
    <row r="989" spans="1:2" s="21" customFormat="1">
      <c r="A989" s="21">
        <v>99900044</v>
      </c>
      <c r="B989" s="21" t="s">
        <v>1269</v>
      </c>
    </row>
    <row r="990" spans="1:2">
      <c r="A990">
        <v>99910001</v>
      </c>
      <c r="B990" t="s">
        <v>906</v>
      </c>
    </row>
    <row r="991" spans="1:2">
      <c r="A991">
        <v>99910007</v>
      </c>
      <c r="B991" t="s">
        <v>907</v>
      </c>
    </row>
    <row r="992" spans="1:2">
      <c r="A992">
        <v>99920001</v>
      </c>
      <c r="B992" t="s">
        <v>644</v>
      </c>
    </row>
    <row r="993" spans="1:2">
      <c r="A993">
        <v>99920002</v>
      </c>
      <c r="B993" t="s">
        <v>645</v>
      </c>
    </row>
    <row r="994" spans="1:2">
      <c r="A994">
        <v>99920003</v>
      </c>
      <c r="B994" t="s">
        <v>646</v>
      </c>
    </row>
    <row r="995" spans="1:2">
      <c r="A995">
        <v>99920004</v>
      </c>
      <c r="B995" t="s">
        <v>647</v>
      </c>
    </row>
    <row r="996" spans="1:2">
      <c r="A996">
        <v>99920005</v>
      </c>
      <c r="B996" t="s">
        <v>648</v>
      </c>
    </row>
    <row r="997" spans="1:2">
      <c r="A997">
        <v>99920006</v>
      </c>
      <c r="B997" t="s">
        <v>649</v>
      </c>
    </row>
    <row r="998" spans="1:2">
      <c r="A998">
        <v>99920007</v>
      </c>
      <c r="B998" t="s">
        <v>650</v>
      </c>
    </row>
    <row r="999" spans="1:2">
      <c r="A999">
        <v>99920008</v>
      </c>
      <c r="B999" t="s">
        <v>1218</v>
      </c>
    </row>
    <row r="1000" spans="1:2">
      <c r="A1000">
        <v>99920009</v>
      </c>
      <c r="B1000" t="s">
        <v>651</v>
      </c>
    </row>
    <row r="1001" spans="1:2">
      <c r="A1001">
        <v>99920010</v>
      </c>
      <c r="B1001" t="s">
        <v>652</v>
      </c>
    </row>
    <row r="1002" spans="1:2">
      <c r="A1002">
        <v>99920011</v>
      </c>
      <c r="B1002" t="s">
        <v>653</v>
      </c>
    </row>
    <row r="1003" spans="1:2">
      <c r="A1003">
        <v>99920012</v>
      </c>
      <c r="B1003" t="s">
        <v>654</v>
      </c>
    </row>
    <row r="1004" spans="1:2">
      <c r="A1004">
        <v>99920013</v>
      </c>
      <c r="B1004" t="s">
        <v>655</v>
      </c>
    </row>
    <row r="1005" spans="1:2">
      <c r="A1005">
        <v>99920014</v>
      </c>
      <c r="B1005" t="s">
        <v>656</v>
      </c>
    </row>
    <row r="1006" spans="1:2">
      <c r="A1006">
        <v>99920015</v>
      </c>
      <c r="B1006" t="s">
        <v>657</v>
      </c>
    </row>
    <row r="1007" spans="1:2">
      <c r="A1007">
        <v>99920016</v>
      </c>
      <c r="B1007" t="s">
        <v>658</v>
      </c>
    </row>
    <row r="1008" spans="1:2">
      <c r="A1008">
        <v>99920017</v>
      </c>
      <c r="B1008" t="s">
        <v>659</v>
      </c>
    </row>
    <row r="1009" spans="1:2">
      <c r="A1009">
        <v>99920018</v>
      </c>
      <c r="B1009" t="s">
        <v>660</v>
      </c>
    </row>
    <row r="1010" spans="1:2">
      <c r="A1010">
        <v>99920019</v>
      </c>
      <c r="B1010" t="s">
        <v>661</v>
      </c>
    </row>
    <row r="1011" spans="1:2">
      <c r="A1011">
        <v>99920020</v>
      </c>
      <c r="B1011" t="s">
        <v>662</v>
      </c>
    </row>
    <row r="1012" spans="1:2">
      <c r="A1012">
        <v>99920021</v>
      </c>
      <c r="B1012" t="s">
        <v>663</v>
      </c>
    </row>
    <row r="1013" spans="1:2">
      <c r="A1013">
        <v>99920022</v>
      </c>
      <c r="B1013" t="s">
        <v>664</v>
      </c>
    </row>
    <row r="1014" spans="1:2">
      <c r="A1014">
        <v>99920023</v>
      </c>
      <c r="B1014" t="s">
        <v>665</v>
      </c>
    </row>
    <row r="1015" spans="1:2">
      <c r="A1015">
        <v>99920024</v>
      </c>
      <c r="B1015" t="s">
        <v>666</v>
      </c>
    </row>
    <row r="1016" spans="1:2">
      <c r="A1016">
        <v>99920025</v>
      </c>
      <c r="B1016" t="s">
        <v>667</v>
      </c>
    </row>
    <row r="1017" spans="1:2">
      <c r="A1017">
        <v>99920026</v>
      </c>
      <c r="B1017" t="s">
        <v>668</v>
      </c>
    </row>
    <row r="1018" spans="1:2">
      <c r="A1018">
        <v>99920027</v>
      </c>
      <c r="B1018" t="s">
        <v>669</v>
      </c>
    </row>
    <row r="1019" spans="1:2">
      <c r="A1019">
        <v>99920028</v>
      </c>
      <c r="B1019" t="s">
        <v>670</v>
      </c>
    </row>
    <row r="1020" spans="1:2">
      <c r="A1020">
        <v>99920029</v>
      </c>
      <c r="B1020" t="s">
        <v>671</v>
      </c>
    </row>
    <row r="1021" spans="1:2">
      <c r="A1021">
        <v>99920030</v>
      </c>
      <c r="B1021" t="s">
        <v>672</v>
      </c>
    </row>
    <row r="1022" spans="1:2">
      <c r="A1022">
        <v>99920031</v>
      </c>
      <c r="B1022" t="s">
        <v>673</v>
      </c>
    </row>
    <row r="1023" spans="1:2">
      <c r="A1023">
        <v>99920032</v>
      </c>
      <c r="B1023" t="s">
        <v>1219</v>
      </c>
    </row>
    <row r="1024" spans="1:2">
      <c r="A1024">
        <v>99920033</v>
      </c>
      <c r="B1024" t="s">
        <v>1220</v>
      </c>
    </row>
    <row r="1025" spans="1:2">
      <c r="A1025">
        <v>99920034</v>
      </c>
      <c r="B1025" t="s">
        <v>1221</v>
      </c>
    </row>
    <row r="1026" spans="1:2">
      <c r="A1026">
        <v>99930001</v>
      </c>
      <c r="B1026" t="s">
        <v>674</v>
      </c>
    </row>
    <row r="1027" spans="1:2">
      <c r="A1027">
        <v>99930002</v>
      </c>
      <c r="B1027" t="s">
        <v>675</v>
      </c>
    </row>
    <row r="1028" spans="1:2">
      <c r="A1028">
        <v>99930003</v>
      </c>
      <c r="B1028" t="s">
        <v>676</v>
      </c>
    </row>
    <row r="1029" spans="1:2">
      <c r="A1029">
        <v>99930004</v>
      </c>
      <c r="B1029" t="s">
        <v>677</v>
      </c>
    </row>
    <row r="1030" spans="1:2">
      <c r="A1030">
        <v>99930005</v>
      </c>
      <c r="B1030" t="s">
        <v>678</v>
      </c>
    </row>
    <row r="1031" spans="1:2">
      <c r="A1031">
        <v>99930006</v>
      </c>
      <c r="B1031" t="s">
        <v>679</v>
      </c>
    </row>
    <row r="1032" spans="1:2">
      <c r="A1032">
        <v>99930007</v>
      </c>
      <c r="B1032" t="s">
        <v>680</v>
      </c>
    </row>
    <row r="1033" spans="1:2">
      <c r="A1033">
        <v>99930008</v>
      </c>
      <c r="B1033" t="s">
        <v>681</v>
      </c>
    </row>
    <row r="1034" spans="1:2">
      <c r="A1034">
        <v>99930009</v>
      </c>
      <c r="B1034" t="s">
        <v>682</v>
      </c>
    </row>
    <row r="1035" spans="1:2">
      <c r="A1035">
        <v>99930010</v>
      </c>
      <c r="B1035" t="s">
        <v>683</v>
      </c>
    </row>
    <row r="1036" spans="1:2">
      <c r="A1036">
        <v>99930011</v>
      </c>
      <c r="B1036" t="s">
        <v>684</v>
      </c>
    </row>
    <row r="1037" spans="1:2">
      <c r="A1037">
        <v>99930012</v>
      </c>
      <c r="B1037" t="s">
        <v>685</v>
      </c>
    </row>
    <row r="1038" spans="1:2">
      <c r="A1038">
        <v>99930013</v>
      </c>
      <c r="B1038" t="s">
        <v>686</v>
      </c>
    </row>
    <row r="1039" spans="1:2">
      <c r="A1039">
        <v>99930014</v>
      </c>
      <c r="B1039" t="s">
        <v>687</v>
      </c>
    </row>
    <row r="1040" spans="1:2">
      <c r="A1040">
        <v>99930015</v>
      </c>
      <c r="B1040" t="s">
        <v>415</v>
      </c>
    </row>
    <row r="1041" spans="1:2">
      <c r="A1041">
        <v>99930016</v>
      </c>
      <c r="B1041" t="s">
        <v>688</v>
      </c>
    </row>
    <row r="1042" spans="1:2">
      <c r="A1042">
        <v>99930017</v>
      </c>
      <c r="B1042" t="s">
        <v>689</v>
      </c>
    </row>
    <row r="1043" spans="1:2">
      <c r="A1043">
        <v>99930018</v>
      </c>
      <c r="B1043" t="s">
        <v>690</v>
      </c>
    </row>
    <row r="1044" spans="1:2">
      <c r="A1044">
        <v>99930019</v>
      </c>
      <c r="B1044" t="s">
        <v>691</v>
      </c>
    </row>
    <row r="1045" spans="1:2">
      <c r="A1045">
        <v>99930020</v>
      </c>
      <c r="B1045" t="s">
        <v>692</v>
      </c>
    </row>
    <row r="1046" spans="1:2">
      <c r="A1046">
        <v>99930021</v>
      </c>
      <c r="B1046" t="s">
        <v>693</v>
      </c>
    </row>
    <row r="1047" spans="1:2">
      <c r="A1047">
        <v>99930022</v>
      </c>
      <c r="B1047" t="s">
        <v>694</v>
      </c>
    </row>
    <row r="1048" spans="1:2">
      <c r="A1048">
        <v>99930023</v>
      </c>
      <c r="B1048" t="s">
        <v>695</v>
      </c>
    </row>
    <row r="1049" spans="1:2">
      <c r="A1049">
        <v>99930024</v>
      </c>
      <c r="B1049" t="s">
        <v>696</v>
      </c>
    </row>
    <row r="1050" spans="1:2">
      <c r="A1050">
        <v>99930025</v>
      </c>
      <c r="B1050" t="s">
        <v>697</v>
      </c>
    </row>
    <row r="1051" spans="1:2">
      <c r="A1051">
        <v>99930026</v>
      </c>
      <c r="B1051" t="s">
        <v>698</v>
      </c>
    </row>
    <row r="1052" spans="1:2">
      <c r="A1052">
        <v>99930027</v>
      </c>
      <c r="B1052" t="s">
        <v>699</v>
      </c>
    </row>
    <row r="1053" spans="1:2">
      <c r="A1053">
        <v>99930028</v>
      </c>
      <c r="B1053" t="s">
        <v>700</v>
      </c>
    </row>
    <row r="1054" spans="1:2">
      <c r="A1054">
        <v>99930029</v>
      </c>
      <c r="B1054" t="s">
        <v>701</v>
      </c>
    </row>
    <row r="1055" spans="1:2">
      <c r="A1055">
        <v>99930030</v>
      </c>
      <c r="B1055" t="s">
        <v>702</v>
      </c>
    </row>
    <row r="1056" spans="1:2">
      <c r="A1056">
        <v>99930031</v>
      </c>
      <c r="B1056" t="s">
        <v>703</v>
      </c>
    </row>
    <row r="1057" spans="1:2">
      <c r="A1057">
        <v>99930032</v>
      </c>
      <c r="B1057" t="s">
        <v>704</v>
      </c>
    </row>
    <row r="1058" spans="1:2">
      <c r="A1058">
        <v>99930033</v>
      </c>
      <c r="B1058" t="s">
        <v>705</v>
      </c>
    </row>
    <row r="1059" spans="1:2">
      <c r="A1059">
        <v>99930034</v>
      </c>
      <c r="B1059" t="s">
        <v>706</v>
      </c>
    </row>
    <row r="1060" spans="1:2">
      <c r="A1060">
        <v>99930035</v>
      </c>
      <c r="B1060" t="s">
        <v>707</v>
      </c>
    </row>
    <row r="1061" spans="1:2">
      <c r="A1061">
        <v>99930036</v>
      </c>
      <c r="B1061" t="s">
        <v>708</v>
      </c>
    </row>
    <row r="1062" spans="1:2">
      <c r="A1062">
        <v>99930037</v>
      </c>
      <c r="B1062" t="s">
        <v>709</v>
      </c>
    </row>
    <row r="1063" spans="1:2">
      <c r="A1063">
        <v>99930038</v>
      </c>
      <c r="B1063" t="s">
        <v>1222</v>
      </c>
    </row>
    <row r="1064" spans="1:2">
      <c r="A1064">
        <v>99930039</v>
      </c>
      <c r="B1064" t="s">
        <v>1223</v>
      </c>
    </row>
    <row r="1065" spans="1:2">
      <c r="A1065">
        <v>99930040</v>
      </c>
      <c r="B1065" t="s">
        <v>1224</v>
      </c>
    </row>
    <row r="1066" spans="1:2">
      <c r="A1066">
        <v>99940001</v>
      </c>
      <c r="B1066" t="s">
        <v>710</v>
      </c>
    </row>
    <row r="1067" spans="1:2">
      <c r="A1067">
        <v>99940002</v>
      </c>
      <c r="B1067" t="s">
        <v>711</v>
      </c>
    </row>
    <row r="1068" spans="1:2">
      <c r="A1068">
        <v>99940003</v>
      </c>
      <c r="B1068" t="s">
        <v>712</v>
      </c>
    </row>
    <row r="1069" spans="1:2">
      <c r="A1069">
        <v>99940004</v>
      </c>
      <c r="B1069" t="s">
        <v>713</v>
      </c>
    </row>
    <row r="1070" spans="1:2">
      <c r="A1070">
        <v>99940005</v>
      </c>
      <c r="B1070" t="s">
        <v>714</v>
      </c>
    </row>
    <row r="1071" spans="1:2">
      <c r="A1071">
        <v>99940006</v>
      </c>
      <c r="B1071" t="s">
        <v>715</v>
      </c>
    </row>
    <row r="1072" spans="1:2">
      <c r="A1072">
        <v>99940007</v>
      </c>
      <c r="B1072" t="s">
        <v>716</v>
      </c>
    </row>
    <row r="1073" spans="1:2">
      <c r="A1073">
        <v>99940008</v>
      </c>
      <c r="B1073" t="s">
        <v>717</v>
      </c>
    </row>
    <row r="1074" spans="1:2">
      <c r="A1074">
        <v>99940009</v>
      </c>
      <c r="B1074" t="s">
        <v>718</v>
      </c>
    </row>
    <row r="1075" spans="1:2">
      <c r="A1075">
        <v>99940010</v>
      </c>
      <c r="B1075" t="s">
        <v>719</v>
      </c>
    </row>
    <row r="1076" spans="1:2">
      <c r="A1076">
        <v>99940011</v>
      </c>
      <c r="B1076" t="s">
        <v>720</v>
      </c>
    </row>
    <row r="1077" spans="1:2">
      <c r="A1077">
        <v>99940012</v>
      </c>
      <c r="B1077" t="s">
        <v>721</v>
      </c>
    </row>
    <row r="1078" spans="1:2">
      <c r="A1078">
        <v>99940013</v>
      </c>
      <c r="B1078" t="s">
        <v>1225</v>
      </c>
    </row>
    <row r="1079" spans="1:2">
      <c r="A1079">
        <v>99940014</v>
      </c>
      <c r="B1079" t="s">
        <v>722</v>
      </c>
    </row>
    <row r="1080" spans="1:2">
      <c r="A1080">
        <v>99940015</v>
      </c>
      <c r="B1080" t="s">
        <v>723</v>
      </c>
    </row>
    <row r="1081" spans="1:2">
      <c r="A1081">
        <v>99940016</v>
      </c>
      <c r="B1081" t="s">
        <v>724</v>
      </c>
    </row>
    <row r="1082" spans="1:2">
      <c r="A1082">
        <v>99940017</v>
      </c>
      <c r="B1082" t="s">
        <v>725</v>
      </c>
    </row>
    <row r="1083" spans="1:2">
      <c r="A1083">
        <v>99940018</v>
      </c>
      <c r="B1083" t="s">
        <v>726</v>
      </c>
    </row>
    <row r="1084" spans="1:2">
      <c r="A1084">
        <v>99940019</v>
      </c>
      <c r="B1084" t="s">
        <v>727</v>
      </c>
    </row>
    <row r="1085" spans="1:2">
      <c r="A1085">
        <v>99940020</v>
      </c>
      <c r="B1085" t="s">
        <v>728</v>
      </c>
    </row>
    <row r="1086" spans="1:2">
      <c r="A1086">
        <v>99940021</v>
      </c>
      <c r="B1086" t="s">
        <v>729</v>
      </c>
    </row>
    <row r="1087" spans="1:2">
      <c r="A1087">
        <v>99940022</v>
      </c>
      <c r="B1087" t="s">
        <v>730</v>
      </c>
    </row>
    <row r="1088" spans="1:2">
      <c r="A1088">
        <v>99940023</v>
      </c>
      <c r="B1088" t="s">
        <v>731</v>
      </c>
    </row>
    <row r="1089" spans="1:2">
      <c r="A1089">
        <v>99940024</v>
      </c>
      <c r="B1089" t="s">
        <v>732</v>
      </c>
    </row>
    <row r="1090" spans="1:2">
      <c r="A1090">
        <v>99940025</v>
      </c>
      <c r="B1090" t="s">
        <v>733</v>
      </c>
    </row>
    <row r="1091" spans="1:2">
      <c r="A1091">
        <v>99940026</v>
      </c>
      <c r="B1091" t="s">
        <v>734</v>
      </c>
    </row>
    <row r="1092" spans="1:2">
      <c r="A1092">
        <v>99940027</v>
      </c>
      <c r="B1092" t="s">
        <v>735</v>
      </c>
    </row>
    <row r="1093" spans="1:2">
      <c r="A1093">
        <v>99940028</v>
      </c>
      <c r="B1093" t="s">
        <v>736</v>
      </c>
    </row>
    <row r="1094" spans="1:2">
      <c r="A1094">
        <v>99940029</v>
      </c>
      <c r="B1094" t="s">
        <v>737</v>
      </c>
    </row>
    <row r="1095" spans="1:2">
      <c r="A1095">
        <v>99940030</v>
      </c>
      <c r="B1095" t="s">
        <v>1226</v>
      </c>
    </row>
    <row r="1096" spans="1:2">
      <c r="A1096">
        <v>99940031</v>
      </c>
      <c r="B1096" t="s">
        <v>1227</v>
      </c>
    </row>
    <row r="1097" spans="1:2">
      <c r="A1097">
        <v>99940032</v>
      </c>
      <c r="B1097" t="s">
        <v>1228</v>
      </c>
    </row>
    <row r="1098" spans="1:2">
      <c r="A1098">
        <v>99950001</v>
      </c>
      <c r="B1098" t="s">
        <v>747</v>
      </c>
    </row>
    <row r="1099" spans="1:2">
      <c r="A1099">
        <v>99950002</v>
      </c>
      <c r="B1099" t="s">
        <v>748</v>
      </c>
    </row>
    <row r="1100" spans="1:2">
      <c r="A1100">
        <v>99950003</v>
      </c>
      <c r="B1100" t="s">
        <v>1229</v>
      </c>
    </row>
    <row r="1101" spans="1:2">
      <c r="A1101">
        <v>99950004</v>
      </c>
      <c r="B1101" t="s">
        <v>1230</v>
      </c>
    </row>
    <row r="1102" spans="1:2">
      <c r="A1102">
        <v>99950011</v>
      </c>
      <c r="B1102" t="s">
        <v>1231</v>
      </c>
    </row>
    <row r="1103" spans="1:2">
      <c r="A1103">
        <v>99950012</v>
      </c>
      <c r="B1103" t="s">
        <v>1232</v>
      </c>
    </row>
    <row r="1104" spans="1:2">
      <c r="A1104">
        <v>99950013</v>
      </c>
      <c r="B1104" t="s">
        <v>1233</v>
      </c>
    </row>
    <row r="1105" spans="1:2">
      <c r="A1105">
        <v>99950021</v>
      </c>
      <c r="B1105" t="s">
        <v>1234</v>
      </c>
    </row>
    <row r="1106" spans="1:2">
      <c r="A1106">
        <v>99950022</v>
      </c>
      <c r="B1106" t="s">
        <v>1235</v>
      </c>
    </row>
    <row r="1107" spans="1:2">
      <c r="A1107">
        <v>99950023</v>
      </c>
      <c r="B1107" t="s">
        <v>1236</v>
      </c>
    </row>
    <row r="1108" spans="1:2">
      <c r="A1108">
        <v>99950031</v>
      </c>
      <c r="B1108" t="s">
        <v>1237</v>
      </c>
    </row>
    <row r="1109" spans="1:2">
      <c r="A1109">
        <v>99950032</v>
      </c>
      <c r="B1109" t="s">
        <v>1238</v>
      </c>
    </row>
    <row r="1110" spans="1:2">
      <c r="A1110">
        <v>99950033</v>
      </c>
      <c r="B1110" t="s">
        <v>1239</v>
      </c>
    </row>
    <row r="1111" spans="1:2">
      <c r="A1111">
        <v>99990111</v>
      </c>
      <c r="B1111" t="s">
        <v>749</v>
      </c>
    </row>
    <row r="1112" spans="1:2">
      <c r="A1112">
        <v>99990112</v>
      </c>
      <c r="B1112" t="s">
        <v>750</v>
      </c>
    </row>
    <row r="1113" spans="1:2">
      <c r="A1113">
        <v>99980113</v>
      </c>
      <c r="B1113" t="s">
        <v>751</v>
      </c>
    </row>
    <row r="1114" spans="1:2">
      <c r="A1114">
        <v>99990113</v>
      </c>
      <c r="B1114" t="s">
        <v>785</v>
      </c>
    </row>
    <row r="1115" spans="1:2">
      <c r="A1115">
        <v>99990115</v>
      </c>
      <c r="B1115" t="s">
        <v>752</v>
      </c>
    </row>
    <row r="1116" spans="1:2">
      <c r="A1116">
        <v>99990116</v>
      </c>
      <c r="B1116" t="s">
        <v>753</v>
      </c>
    </row>
    <row r="1117" spans="1:2">
      <c r="A1117">
        <v>99990117</v>
      </c>
      <c r="B1117" t="s">
        <v>1240</v>
      </c>
    </row>
    <row r="1118" spans="1:2">
      <c r="A1118">
        <v>99990211</v>
      </c>
      <c r="B1118" t="s">
        <v>759</v>
      </c>
    </row>
    <row r="1119" spans="1:2">
      <c r="A1119">
        <v>99990212</v>
      </c>
      <c r="B1119" t="s">
        <v>755</v>
      </c>
    </row>
    <row r="1120" spans="1:2">
      <c r="A1120">
        <v>99980213</v>
      </c>
      <c r="B1120" t="s">
        <v>65</v>
      </c>
    </row>
    <row r="1121" spans="1:2">
      <c r="A1121">
        <v>99990213</v>
      </c>
      <c r="B1121" t="s">
        <v>786</v>
      </c>
    </row>
    <row r="1122" spans="1:2">
      <c r="A1122">
        <v>99990215</v>
      </c>
      <c r="B1122" t="s">
        <v>756</v>
      </c>
    </row>
    <row r="1123" spans="1:2">
      <c r="A1123">
        <v>99990216</v>
      </c>
      <c r="B1123" t="s">
        <v>757</v>
      </c>
    </row>
    <row r="1124" spans="1:2">
      <c r="A1124">
        <v>99990217</v>
      </c>
      <c r="B1124" t="s">
        <v>758</v>
      </c>
    </row>
    <row r="1125" spans="1:2">
      <c r="A1125">
        <v>99990311</v>
      </c>
      <c r="B1125" t="s">
        <v>81</v>
      </c>
    </row>
    <row r="1126" spans="1:2">
      <c r="A1126">
        <v>99990312</v>
      </c>
      <c r="B1126" t="s">
        <v>761</v>
      </c>
    </row>
    <row r="1127" spans="1:2">
      <c r="A1127">
        <v>99980313</v>
      </c>
      <c r="B1127" t="s">
        <v>79</v>
      </c>
    </row>
    <row r="1128" spans="1:2">
      <c r="A1128">
        <v>99990313</v>
      </c>
      <c r="B1128" t="s">
        <v>787</v>
      </c>
    </row>
    <row r="1129" spans="1:2">
      <c r="A1129">
        <v>99990315</v>
      </c>
      <c r="B1129" t="s">
        <v>762</v>
      </c>
    </row>
    <row r="1130" spans="1:2">
      <c r="A1130">
        <v>99990316</v>
      </c>
      <c r="B1130" t="s">
        <v>763</v>
      </c>
    </row>
    <row r="1131" spans="1:2">
      <c r="A1131">
        <v>99990317</v>
      </c>
      <c r="B1131" t="s">
        <v>754</v>
      </c>
    </row>
    <row r="1132" spans="1:2">
      <c r="A1132">
        <v>99990411</v>
      </c>
      <c r="B1132" t="s">
        <v>769</v>
      </c>
    </row>
    <row r="1133" spans="1:2">
      <c r="A1133">
        <v>99990412</v>
      </c>
      <c r="B1133" t="s">
        <v>764</v>
      </c>
    </row>
    <row r="1134" spans="1:2">
      <c r="A1134">
        <v>99980413</v>
      </c>
      <c r="B1134" t="s">
        <v>765</v>
      </c>
    </row>
    <row r="1135" spans="1:2">
      <c r="A1135">
        <v>99990413</v>
      </c>
      <c r="B1135" t="s">
        <v>788</v>
      </c>
    </row>
    <row r="1136" spans="1:2">
      <c r="A1136">
        <v>99980423</v>
      </c>
      <c r="B1136" t="s">
        <v>768</v>
      </c>
    </row>
    <row r="1137" spans="1:2">
      <c r="A1137">
        <v>99990423</v>
      </c>
      <c r="B1137" t="s">
        <v>789</v>
      </c>
    </row>
    <row r="1138" spans="1:2">
      <c r="A1138">
        <v>99980433</v>
      </c>
      <c r="B1138" t="s">
        <v>770</v>
      </c>
    </row>
    <row r="1139" spans="1:2">
      <c r="A1139">
        <v>99990433</v>
      </c>
      <c r="B1139" t="s">
        <v>790</v>
      </c>
    </row>
    <row r="1140" spans="1:2">
      <c r="A1140">
        <v>99990415</v>
      </c>
      <c r="B1140" t="s">
        <v>766</v>
      </c>
    </row>
    <row r="1141" spans="1:2">
      <c r="A1141">
        <v>99990416</v>
      </c>
      <c r="B1141" t="s">
        <v>767</v>
      </c>
    </row>
    <row r="1142" spans="1:2">
      <c r="A1142">
        <v>99990417</v>
      </c>
      <c r="B1142" t="s">
        <v>760</v>
      </c>
    </row>
    <row r="1143" spans="1:2">
      <c r="A1143">
        <v>99990511</v>
      </c>
      <c r="B1143" t="s">
        <v>746</v>
      </c>
    </row>
    <row r="1144" spans="1:2">
      <c r="A1144">
        <v>99990512</v>
      </c>
      <c r="B1144" t="s">
        <v>771</v>
      </c>
    </row>
    <row r="1145" spans="1:2">
      <c r="A1145">
        <v>99980513</v>
      </c>
      <c r="B1145" t="s">
        <v>772</v>
      </c>
    </row>
    <row r="1146" spans="1:2">
      <c r="A1146">
        <v>99990513</v>
      </c>
      <c r="B1146" t="s">
        <v>791</v>
      </c>
    </row>
    <row r="1147" spans="1:2">
      <c r="A1147">
        <v>99980523</v>
      </c>
      <c r="B1147" t="s">
        <v>775</v>
      </c>
    </row>
    <row r="1148" spans="1:2">
      <c r="A1148">
        <v>99990523</v>
      </c>
      <c r="B1148" t="s">
        <v>792</v>
      </c>
    </row>
    <row r="1149" spans="1:2">
      <c r="A1149">
        <v>99980533</v>
      </c>
      <c r="B1149" t="s">
        <v>777</v>
      </c>
    </row>
    <row r="1150" spans="1:2">
      <c r="A1150">
        <v>99990533</v>
      </c>
      <c r="B1150" t="s">
        <v>793</v>
      </c>
    </row>
    <row r="1151" spans="1:2">
      <c r="A1151">
        <v>99990515</v>
      </c>
      <c r="B1151" t="s">
        <v>773</v>
      </c>
    </row>
    <row r="1152" spans="1:2">
      <c r="A1152">
        <v>99990516</v>
      </c>
      <c r="B1152" t="s">
        <v>774</v>
      </c>
    </row>
    <row r="1153" spans="1:2">
      <c r="A1153">
        <v>99990517</v>
      </c>
      <c r="B1153" t="s">
        <v>776</v>
      </c>
    </row>
    <row r="1154" spans="1:2">
      <c r="A1154">
        <v>99990611</v>
      </c>
      <c r="B1154" t="s">
        <v>778</v>
      </c>
    </row>
    <row r="1155" spans="1:2">
      <c r="A1155">
        <v>99990621</v>
      </c>
      <c r="B1155" t="s">
        <v>781</v>
      </c>
    </row>
    <row r="1156" spans="1:2">
      <c r="A1156">
        <v>99990631</v>
      </c>
      <c r="B1156" t="s">
        <v>782</v>
      </c>
    </row>
    <row r="1157" spans="1:2">
      <c r="A1157">
        <v>99990612</v>
      </c>
      <c r="B1157" t="s">
        <v>794</v>
      </c>
    </row>
    <row r="1158" spans="1:2">
      <c r="A1158">
        <v>99980613</v>
      </c>
      <c r="B1158" t="s">
        <v>779</v>
      </c>
    </row>
    <row r="1159" spans="1:2">
      <c r="A1159">
        <v>99990613</v>
      </c>
      <c r="B1159" t="s">
        <v>795</v>
      </c>
    </row>
    <row r="1160" spans="1:2">
      <c r="A1160">
        <v>99980623</v>
      </c>
      <c r="B1160" t="s">
        <v>1241</v>
      </c>
    </row>
    <row r="1161" spans="1:2">
      <c r="A1161">
        <v>99990623</v>
      </c>
      <c r="B1161" t="s">
        <v>797</v>
      </c>
    </row>
    <row r="1162" spans="1:2">
      <c r="A1162">
        <v>99980633</v>
      </c>
      <c r="B1162" t="s">
        <v>783</v>
      </c>
    </row>
    <row r="1163" spans="1:2">
      <c r="A1163">
        <v>99990633</v>
      </c>
      <c r="B1163" t="s">
        <v>798</v>
      </c>
    </row>
    <row r="1164" spans="1:2">
      <c r="A1164">
        <v>99990615</v>
      </c>
      <c r="B1164" t="s">
        <v>780</v>
      </c>
    </row>
    <row r="1165" spans="1:2">
      <c r="A1165">
        <v>99990616</v>
      </c>
      <c r="B1165" t="s">
        <v>796</v>
      </c>
    </row>
    <row r="1166" spans="1:2">
      <c r="A1166">
        <v>99990617</v>
      </c>
      <c r="B1166" t="s">
        <v>784</v>
      </c>
    </row>
    <row r="1167" spans="1:2">
      <c r="A1167">
        <v>99980713</v>
      </c>
      <c r="B1167" t="s">
        <v>1242</v>
      </c>
    </row>
    <row r="1168" spans="1:2">
      <c r="A1168">
        <v>99990713</v>
      </c>
      <c r="B1168" t="s">
        <v>1243</v>
      </c>
    </row>
    <row r="1169" spans="1:2">
      <c r="A1169">
        <v>99980723</v>
      </c>
      <c r="B1169" t="s">
        <v>1244</v>
      </c>
    </row>
    <row r="1170" spans="1:2">
      <c r="A1170">
        <v>99990723</v>
      </c>
      <c r="B1170" t="s">
        <v>1245</v>
      </c>
    </row>
    <row r="1171" spans="1:2">
      <c r="A1171">
        <v>99980733</v>
      </c>
      <c r="B1171" t="s">
        <v>1246</v>
      </c>
    </row>
    <row r="1172" spans="1:2">
      <c r="A1172">
        <v>99990733</v>
      </c>
      <c r="B1172" t="s">
        <v>1247</v>
      </c>
    </row>
    <row r="1173" spans="1:2">
      <c r="A1173">
        <v>99990715</v>
      </c>
      <c r="B1173" t="s">
        <v>1248</v>
      </c>
    </row>
    <row r="1174" spans="1:2">
      <c r="A1174">
        <v>99990725</v>
      </c>
      <c r="B1174" t="s">
        <v>1249</v>
      </c>
    </row>
    <row r="1175" spans="1:2">
      <c r="A1175">
        <v>99990735</v>
      </c>
      <c r="B1175" t="s">
        <v>1250</v>
      </c>
    </row>
    <row r="1176" spans="1:2">
      <c r="A1176">
        <v>99990717</v>
      </c>
      <c r="B1176" t="s">
        <v>1251</v>
      </c>
    </row>
    <row r="1177" spans="1:2">
      <c r="A1177">
        <v>99990727</v>
      </c>
      <c r="B1177" t="s">
        <v>1252</v>
      </c>
    </row>
    <row r="1178" spans="1:2">
      <c r="A1178">
        <v>99990737</v>
      </c>
      <c r="B1178" t="s">
        <v>1253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define</vt:lpstr>
      <vt:lpstr>Sheet3</vt:lpstr>
      <vt:lpstr>装备道具ID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2014-04-02T09:31:34Z</dcterms:created>
  <dcterms:modified xsi:type="dcterms:W3CDTF">2016-07-08T02:03:15Z</dcterms:modified>
</cp:coreProperties>
</file>