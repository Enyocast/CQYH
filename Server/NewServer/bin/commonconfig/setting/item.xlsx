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255" yWindow="225" windowWidth="16845" windowHeight="12285"/>
  </bookViews>
  <sheets>
    <sheet name="item" sheetId="6" r:id="rId1"/>
    <sheet name="Sheet2" sheetId="2" r:id="rId2"/>
    <sheet name="Sheet1" sheetId="3" r:id="rId3"/>
    <sheet name="define" sheetId="4" r:id="rId4"/>
    <sheet name="价目表" sheetId="7" r:id="rId5"/>
  </sheets>
  <definedNames>
    <definedName name="_xlnm._FilterDatabase" localSheetId="0" hidden="1">item!$A$1:$BM$983</definedName>
  </definedNames>
  <calcPr calcId="145621"/>
</workbook>
</file>

<file path=xl/calcChain.xml><?xml version="1.0" encoding="utf-8"?>
<calcChain xmlns="http://schemas.openxmlformats.org/spreadsheetml/2006/main">
  <c r="D3" i="7" l="1"/>
  <c r="C3" i="7" s="1"/>
  <c r="D4" i="7"/>
  <c r="C4" i="7" s="1"/>
  <c r="D5" i="7"/>
  <c r="C5" i="7" s="1"/>
  <c r="D6" i="7"/>
  <c r="C6" i="7" s="1"/>
  <c r="D7" i="7"/>
  <c r="C7" i="7" s="1"/>
  <c r="D8" i="7"/>
  <c r="C8" i="7" s="1"/>
  <c r="D9" i="7"/>
  <c r="C9" i="7" s="1"/>
  <c r="D10" i="7"/>
  <c r="C10" i="7" s="1"/>
  <c r="D11" i="7"/>
  <c r="C11" i="7" s="1"/>
  <c r="D12" i="7"/>
  <c r="C12" i="7" s="1"/>
  <c r="D13" i="7"/>
  <c r="C13" i="7" s="1"/>
  <c r="D14" i="7"/>
  <c r="C14" i="7" s="1"/>
  <c r="D15" i="7"/>
  <c r="C15" i="7" s="1"/>
  <c r="D16" i="7"/>
  <c r="C16" i="7" s="1"/>
  <c r="D17" i="7"/>
  <c r="C17" i="7" s="1"/>
  <c r="D18" i="7"/>
  <c r="C18" i="7" s="1"/>
  <c r="D19" i="7"/>
  <c r="C19" i="7" s="1"/>
  <c r="D20" i="7"/>
  <c r="C20" i="7" s="1"/>
  <c r="D21" i="7"/>
  <c r="C21" i="7" s="1"/>
  <c r="D22" i="7"/>
  <c r="C22" i="7" s="1"/>
  <c r="D23" i="7"/>
  <c r="C23" i="7" s="1"/>
  <c r="D24" i="7"/>
  <c r="C24" i="7" s="1"/>
  <c r="D25" i="7"/>
  <c r="C25" i="7" s="1"/>
  <c r="D26" i="7"/>
  <c r="C26" i="7" s="1"/>
  <c r="D27" i="7"/>
  <c r="C27" i="7" s="1"/>
  <c r="D28" i="7"/>
  <c r="C28" i="7" s="1"/>
  <c r="D29" i="7"/>
  <c r="C29" i="7" s="1"/>
  <c r="D30" i="7"/>
  <c r="C30" i="7" s="1"/>
  <c r="D31" i="7"/>
  <c r="C31" i="7" s="1"/>
  <c r="D32" i="7"/>
  <c r="C32" i="7" s="1"/>
  <c r="D33" i="7"/>
  <c r="C33" i="7" s="1"/>
  <c r="D34" i="7"/>
  <c r="C34" i="7" s="1"/>
  <c r="D35" i="7"/>
  <c r="C35" i="7" s="1"/>
  <c r="D36" i="7"/>
  <c r="C36" i="7" s="1"/>
  <c r="D37" i="7"/>
  <c r="C37" i="7" s="1"/>
  <c r="D38" i="7"/>
  <c r="C38" i="7" s="1"/>
  <c r="D39" i="7"/>
  <c r="C39" i="7" s="1"/>
  <c r="D40" i="7"/>
  <c r="C40" i="7" s="1"/>
  <c r="D41" i="7"/>
  <c r="C41" i="7" s="1"/>
  <c r="D42" i="7"/>
  <c r="C42" i="7" s="1"/>
  <c r="D43" i="7"/>
  <c r="C43" i="7" s="1"/>
  <c r="D44" i="7"/>
  <c r="C44" i="7" s="1"/>
  <c r="D45" i="7"/>
  <c r="C45" i="7" s="1"/>
  <c r="D46" i="7"/>
  <c r="C46" i="7" s="1"/>
  <c r="D47" i="7"/>
  <c r="C47" i="7" s="1"/>
  <c r="D48" i="7"/>
  <c r="C48" i="7" s="1"/>
  <c r="D49" i="7"/>
  <c r="C49" i="7" s="1"/>
  <c r="D50" i="7"/>
  <c r="C50" i="7" s="1"/>
  <c r="D51" i="7"/>
  <c r="C51" i="7" s="1"/>
  <c r="D52" i="7"/>
  <c r="C52" i="7" s="1"/>
  <c r="D53" i="7"/>
  <c r="C53" i="7" s="1"/>
  <c r="D54" i="7"/>
  <c r="C54" i="7" s="1"/>
  <c r="D55" i="7"/>
  <c r="C55" i="7" s="1"/>
  <c r="D56" i="7"/>
  <c r="C56" i="7" s="1"/>
  <c r="D57" i="7"/>
  <c r="C57" i="7" s="1"/>
  <c r="D58" i="7"/>
  <c r="C58" i="7" s="1"/>
  <c r="D59" i="7"/>
  <c r="C59" i="7" s="1"/>
  <c r="D60" i="7"/>
  <c r="C60" i="7" s="1"/>
  <c r="D61" i="7"/>
  <c r="C61" i="7" s="1"/>
  <c r="D62" i="7"/>
  <c r="C62" i="7" s="1"/>
  <c r="D63" i="7"/>
  <c r="C63" i="7" s="1"/>
  <c r="D64" i="7"/>
  <c r="C64" i="7" s="1"/>
  <c r="D65" i="7"/>
  <c r="C65" i="7" s="1"/>
  <c r="D66" i="7"/>
  <c r="C66" i="7" s="1"/>
  <c r="D67" i="7"/>
  <c r="C67" i="7" s="1"/>
  <c r="D68" i="7"/>
  <c r="C68" i="7" s="1"/>
  <c r="D69" i="7"/>
  <c r="C69" i="7" s="1"/>
  <c r="D70" i="7"/>
  <c r="C70" i="7" s="1"/>
  <c r="D71" i="7"/>
  <c r="C71" i="7" s="1"/>
  <c r="D72" i="7"/>
  <c r="C72" i="7" s="1"/>
  <c r="D73" i="7"/>
  <c r="C73" i="7" s="1"/>
  <c r="D74" i="7"/>
  <c r="C74" i="7" s="1"/>
  <c r="D75" i="7"/>
  <c r="C75" i="7" s="1"/>
  <c r="D76" i="7"/>
  <c r="C76" i="7" s="1"/>
  <c r="D77" i="7"/>
  <c r="C77" i="7" s="1"/>
  <c r="D78" i="7"/>
  <c r="C78" i="7" s="1"/>
  <c r="D79" i="7"/>
  <c r="C79" i="7" s="1"/>
  <c r="D80" i="7"/>
  <c r="C80" i="7" s="1"/>
  <c r="D81" i="7"/>
  <c r="C81" i="7" s="1"/>
  <c r="D82" i="7"/>
  <c r="C82" i="7" s="1"/>
  <c r="D83" i="7"/>
  <c r="C83" i="7" s="1"/>
  <c r="D84" i="7"/>
  <c r="C84" i="7" s="1"/>
  <c r="D85" i="7"/>
  <c r="C85" i="7" s="1"/>
  <c r="D86" i="7"/>
  <c r="C86" i="7" s="1"/>
  <c r="D87" i="7"/>
  <c r="C87" i="7" s="1"/>
  <c r="D88" i="7"/>
  <c r="C88" i="7" s="1"/>
  <c r="D89" i="7"/>
  <c r="C89" i="7" s="1"/>
  <c r="D90" i="7"/>
  <c r="C90" i="7" s="1"/>
  <c r="D91" i="7"/>
  <c r="C91" i="7" s="1"/>
  <c r="D92" i="7"/>
  <c r="C92" i="7" s="1"/>
  <c r="D93" i="7"/>
  <c r="C93" i="7" s="1"/>
  <c r="D94" i="7"/>
  <c r="C94" i="7" s="1"/>
  <c r="D95" i="7"/>
  <c r="C95" i="7" s="1"/>
  <c r="D96" i="7"/>
  <c r="C96" i="7" s="1"/>
  <c r="D97" i="7"/>
  <c r="C97" i="7" s="1"/>
  <c r="D98" i="7"/>
  <c r="C98" i="7" s="1"/>
  <c r="D99" i="7"/>
  <c r="C99" i="7" s="1"/>
  <c r="D100" i="7"/>
  <c r="C100" i="7" s="1"/>
  <c r="D101" i="7"/>
  <c r="C101" i="7" s="1"/>
  <c r="D102" i="7"/>
  <c r="C102" i="7" s="1"/>
  <c r="D103" i="7"/>
  <c r="C103" i="7" s="1"/>
  <c r="D104" i="7"/>
  <c r="C104" i="7" s="1"/>
  <c r="D105" i="7"/>
  <c r="C105" i="7" s="1"/>
  <c r="D106" i="7"/>
  <c r="C106" i="7" s="1"/>
  <c r="D107" i="7"/>
  <c r="C107" i="7" s="1"/>
  <c r="D108" i="7"/>
  <c r="C108" i="7" s="1"/>
  <c r="D109" i="7"/>
  <c r="C109" i="7" s="1"/>
  <c r="D110" i="7"/>
  <c r="C110" i="7" s="1"/>
  <c r="D111" i="7"/>
  <c r="C111" i="7" s="1"/>
  <c r="D112" i="7"/>
  <c r="C112" i="7" s="1"/>
  <c r="D113" i="7"/>
  <c r="C113" i="7" s="1"/>
  <c r="D114" i="7"/>
  <c r="C114" i="7" s="1"/>
  <c r="D115" i="7"/>
  <c r="C115" i="7" s="1"/>
  <c r="D116" i="7"/>
  <c r="C116" i="7" s="1"/>
  <c r="D117" i="7"/>
  <c r="C117" i="7" s="1"/>
  <c r="D118" i="7"/>
  <c r="C118" i="7" s="1"/>
  <c r="D119" i="7"/>
  <c r="C119" i="7" s="1"/>
  <c r="D120" i="7"/>
  <c r="C120" i="7" s="1"/>
  <c r="D121" i="7"/>
  <c r="C121" i="7" s="1"/>
  <c r="D122" i="7"/>
  <c r="C122" i="7" s="1"/>
  <c r="D123" i="7"/>
  <c r="C123" i="7" s="1"/>
  <c r="D124" i="7"/>
  <c r="C124" i="7" s="1"/>
  <c r="D125" i="7"/>
  <c r="C125" i="7" s="1"/>
  <c r="D126" i="7"/>
  <c r="C126" i="7" s="1"/>
  <c r="D127" i="7"/>
  <c r="C127" i="7" s="1"/>
  <c r="D128" i="7"/>
  <c r="C128" i="7" s="1"/>
  <c r="D129" i="7"/>
  <c r="C129" i="7" s="1"/>
  <c r="D130" i="7"/>
  <c r="C130" i="7" s="1"/>
  <c r="D131" i="7"/>
  <c r="C131" i="7" s="1"/>
  <c r="D132" i="7"/>
  <c r="C132" i="7" s="1"/>
  <c r="D133" i="7"/>
  <c r="C133" i="7" s="1"/>
  <c r="D134" i="7"/>
  <c r="C134" i="7" s="1"/>
  <c r="D135" i="7"/>
  <c r="C135" i="7" s="1"/>
  <c r="D136" i="7"/>
  <c r="C136" i="7" s="1"/>
  <c r="D137" i="7"/>
  <c r="C137" i="7" s="1"/>
  <c r="D138" i="7"/>
  <c r="C138" i="7" s="1"/>
  <c r="D139" i="7"/>
  <c r="C139" i="7" s="1"/>
  <c r="D140" i="7"/>
  <c r="C140" i="7" s="1"/>
  <c r="D141" i="7"/>
  <c r="C141" i="7" s="1"/>
  <c r="D142" i="7"/>
  <c r="C142" i="7" s="1"/>
  <c r="D143" i="7"/>
  <c r="C143" i="7" s="1"/>
  <c r="D144" i="7"/>
  <c r="C144" i="7" s="1"/>
  <c r="D145" i="7"/>
  <c r="C145" i="7" s="1"/>
  <c r="D146" i="7"/>
  <c r="C146" i="7" s="1"/>
  <c r="D147" i="7"/>
  <c r="C147" i="7" s="1"/>
  <c r="D148" i="7"/>
  <c r="C148" i="7" s="1"/>
  <c r="D149" i="7"/>
  <c r="C149" i="7" s="1"/>
  <c r="D150" i="7"/>
  <c r="C150" i="7" s="1"/>
  <c r="D151" i="7"/>
  <c r="C151" i="7" s="1"/>
  <c r="D152" i="7"/>
  <c r="C152" i="7" s="1"/>
  <c r="D153" i="7"/>
  <c r="C153" i="7" s="1"/>
  <c r="D154" i="7"/>
  <c r="C154" i="7" s="1"/>
  <c r="D155" i="7"/>
  <c r="C155" i="7" s="1"/>
  <c r="D156" i="7"/>
  <c r="C156" i="7" s="1"/>
  <c r="D157" i="7"/>
  <c r="C157" i="7" s="1"/>
  <c r="D158" i="7"/>
  <c r="C158" i="7" s="1"/>
  <c r="D159" i="7"/>
  <c r="C159" i="7" s="1"/>
  <c r="D160" i="7"/>
  <c r="C160" i="7" s="1"/>
  <c r="D161" i="7"/>
  <c r="C161" i="7" s="1"/>
  <c r="D162" i="7"/>
  <c r="C162" i="7" s="1"/>
  <c r="D163" i="7"/>
  <c r="C163" i="7" s="1"/>
  <c r="D164" i="7"/>
  <c r="C164" i="7" s="1"/>
  <c r="D165" i="7"/>
  <c r="C165" i="7" s="1"/>
  <c r="D166" i="7"/>
  <c r="C166" i="7" s="1"/>
  <c r="D167" i="7"/>
  <c r="C167" i="7" s="1"/>
  <c r="D168" i="7"/>
  <c r="C168" i="7" s="1"/>
  <c r="D169" i="7"/>
  <c r="C169" i="7" s="1"/>
  <c r="D170" i="7"/>
  <c r="C170" i="7" s="1"/>
  <c r="D171" i="7"/>
  <c r="C171" i="7" s="1"/>
  <c r="D172" i="7"/>
  <c r="C172" i="7" s="1"/>
  <c r="D173" i="7"/>
  <c r="C173" i="7" s="1"/>
  <c r="D174" i="7"/>
  <c r="C174" i="7" s="1"/>
  <c r="D175" i="7"/>
  <c r="C175" i="7" s="1"/>
  <c r="D176" i="7"/>
  <c r="C176" i="7" s="1"/>
  <c r="D177" i="7"/>
  <c r="C177" i="7" s="1"/>
  <c r="D178" i="7"/>
  <c r="C178" i="7" s="1"/>
  <c r="D179" i="7"/>
  <c r="C179" i="7" s="1"/>
  <c r="D180" i="7"/>
  <c r="C180" i="7" s="1"/>
  <c r="D181" i="7"/>
  <c r="C181" i="7" s="1"/>
  <c r="D182" i="7"/>
  <c r="C182" i="7" s="1"/>
  <c r="D183" i="7"/>
  <c r="C183" i="7" s="1"/>
  <c r="D184" i="7"/>
  <c r="C184" i="7" s="1"/>
  <c r="D185" i="7"/>
  <c r="C185" i="7" s="1"/>
  <c r="D186" i="7"/>
  <c r="C186" i="7" s="1"/>
  <c r="D187" i="7"/>
  <c r="C187" i="7" s="1"/>
  <c r="D188" i="7"/>
  <c r="C188" i="7" s="1"/>
  <c r="D189" i="7"/>
  <c r="C189" i="7" s="1"/>
  <c r="D190" i="7"/>
  <c r="C190" i="7" s="1"/>
  <c r="D191" i="7"/>
  <c r="C191" i="7" s="1"/>
  <c r="D192" i="7"/>
  <c r="C192" i="7" s="1"/>
  <c r="D193" i="7"/>
  <c r="C193" i="7" s="1"/>
  <c r="D194" i="7"/>
  <c r="C194" i="7" s="1"/>
  <c r="D195" i="7"/>
  <c r="C195" i="7" s="1"/>
  <c r="D196" i="7"/>
  <c r="C196" i="7" s="1"/>
  <c r="D197" i="7"/>
  <c r="C197" i="7" s="1"/>
  <c r="D198" i="7"/>
  <c r="C198" i="7" s="1"/>
  <c r="D199" i="7"/>
  <c r="C199" i="7" s="1"/>
  <c r="D200" i="7"/>
  <c r="C200" i="7" s="1"/>
  <c r="D201" i="7"/>
  <c r="C201" i="7" s="1"/>
  <c r="D202" i="7"/>
  <c r="C202" i="7" s="1"/>
  <c r="D203" i="7"/>
  <c r="C203" i="7" s="1"/>
  <c r="D204" i="7"/>
  <c r="C204" i="7" s="1"/>
  <c r="D205" i="7"/>
  <c r="C205" i="7" s="1"/>
  <c r="D206" i="7"/>
  <c r="C206" i="7" s="1"/>
  <c r="D207" i="7"/>
  <c r="C207" i="7" s="1"/>
  <c r="D208" i="7"/>
  <c r="C208" i="7" s="1"/>
  <c r="D209" i="7"/>
  <c r="C209" i="7" s="1"/>
  <c r="D210" i="7"/>
  <c r="C210" i="7" s="1"/>
  <c r="D211" i="7"/>
  <c r="C211" i="7" s="1"/>
  <c r="D212" i="7"/>
  <c r="C212" i="7" s="1"/>
  <c r="D213" i="7"/>
  <c r="C213" i="7" s="1"/>
  <c r="D214" i="7"/>
  <c r="C214" i="7" s="1"/>
  <c r="D215" i="7"/>
  <c r="C215" i="7" s="1"/>
  <c r="D216" i="7"/>
  <c r="C216" i="7" s="1"/>
  <c r="D217" i="7"/>
  <c r="C217" i="7" s="1"/>
  <c r="D218" i="7"/>
  <c r="C218" i="7" s="1"/>
  <c r="D219" i="7"/>
  <c r="C219" i="7" s="1"/>
  <c r="D220" i="7"/>
  <c r="C220" i="7" s="1"/>
  <c r="D221" i="7"/>
  <c r="C221" i="7" s="1"/>
  <c r="D222" i="7"/>
  <c r="C222" i="7" s="1"/>
  <c r="D223" i="7"/>
  <c r="C223" i="7" s="1"/>
  <c r="D224" i="7"/>
  <c r="C224" i="7" s="1"/>
  <c r="D225" i="7"/>
  <c r="C225" i="7" s="1"/>
  <c r="D226" i="7"/>
  <c r="C226" i="7" s="1"/>
  <c r="D227" i="7"/>
  <c r="C227" i="7" s="1"/>
  <c r="D228" i="7"/>
  <c r="C228" i="7" s="1"/>
  <c r="D229" i="7"/>
  <c r="C229" i="7" s="1"/>
  <c r="D230" i="7"/>
  <c r="C230" i="7" s="1"/>
  <c r="D231" i="7"/>
  <c r="C231" i="7" s="1"/>
  <c r="D232" i="7"/>
  <c r="C232" i="7" s="1"/>
  <c r="D233" i="7"/>
  <c r="C233" i="7" s="1"/>
  <c r="D234" i="7"/>
  <c r="C234" i="7" s="1"/>
  <c r="D235" i="7"/>
  <c r="C235" i="7" s="1"/>
  <c r="D236" i="7"/>
  <c r="C236" i="7" s="1"/>
  <c r="D237" i="7"/>
  <c r="C237" i="7" s="1"/>
  <c r="D238" i="7"/>
  <c r="C238" i="7" s="1"/>
  <c r="D239" i="7"/>
  <c r="C239" i="7" s="1"/>
  <c r="D240" i="7"/>
  <c r="C240" i="7" s="1"/>
  <c r="D241" i="7"/>
  <c r="C241" i="7" s="1"/>
  <c r="D242" i="7"/>
  <c r="C242" i="7" s="1"/>
  <c r="D243" i="7"/>
  <c r="C243" i="7" s="1"/>
  <c r="D244" i="7"/>
  <c r="C244" i="7" s="1"/>
  <c r="D245" i="7"/>
  <c r="C245" i="7" s="1"/>
  <c r="D246" i="7"/>
  <c r="C246" i="7" s="1"/>
  <c r="D247" i="7"/>
  <c r="C247" i="7" s="1"/>
  <c r="D248" i="7"/>
  <c r="C248" i="7" s="1"/>
  <c r="D249" i="7"/>
  <c r="C249" i="7" s="1"/>
  <c r="D250" i="7"/>
  <c r="C250" i="7" s="1"/>
  <c r="D251" i="7"/>
  <c r="C251" i="7" s="1"/>
  <c r="D252" i="7"/>
  <c r="C252" i="7" s="1"/>
  <c r="D253" i="7"/>
  <c r="C253" i="7" s="1"/>
  <c r="D254" i="7"/>
  <c r="C254" i="7" s="1"/>
  <c r="D255" i="7"/>
  <c r="C255" i="7" s="1"/>
  <c r="D256" i="7"/>
  <c r="C256" i="7" s="1"/>
  <c r="D257" i="7"/>
  <c r="C257" i="7" s="1"/>
  <c r="D258" i="7"/>
  <c r="C258" i="7" s="1"/>
  <c r="D259" i="7"/>
  <c r="C259" i="7" s="1"/>
  <c r="D260" i="7"/>
  <c r="C260" i="7" s="1"/>
  <c r="D261" i="7"/>
  <c r="C261" i="7" s="1"/>
  <c r="D262" i="7"/>
  <c r="C262" i="7" s="1"/>
  <c r="D263" i="7"/>
  <c r="C263" i="7" s="1"/>
  <c r="D264" i="7"/>
  <c r="C264" i="7" s="1"/>
  <c r="D265" i="7"/>
  <c r="C265" i="7" s="1"/>
  <c r="D266" i="7"/>
  <c r="C266" i="7" s="1"/>
  <c r="D267" i="7"/>
  <c r="C267" i="7" s="1"/>
  <c r="D268" i="7"/>
  <c r="C268" i="7" s="1"/>
  <c r="D269" i="7"/>
  <c r="C269" i="7" s="1"/>
  <c r="D270" i="7"/>
  <c r="C270" i="7" s="1"/>
  <c r="D271" i="7"/>
  <c r="C271" i="7" s="1"/>
  <c r="D272" i="7"/>
  <c r="C272" i="7" s="1"/>
  <c r="D273" i="7"/>
  <c r="C273" i="7" s="1"/>
  <c r="D274" i="7"/>
  <c r="C274" i="7" s="1"/>
  <c r="D275" i="7"/>
  <c r="C275" i="7" s="1"/>
  <c r="D276" i="7"/>
  <c r="C276" i="7" s="1"/>
  <c r="D277" i="7"/>
  <c r="C277" i="7" s="1"/>
  <c r="D278" i="7"/>
  <c r="C278" i="7" s="1"/>
  <c r="D279" i="7"/>
  <c r="C279" i="7" s="1"/>
  <c r="D280" i="7"/>
  <c r="C280" i="7" s="1"/>
  <c r="D281" i="7"/>
  <c r="C281" i="7" s="1"/>
  <c r="D282" i="7"/>
  <c r="C282" i="7" s="1"/>
  <c r="D283" i="7"/>
  <c r="C283" i="7" s="1"/>
  <c r="D284" i="7"/>
  <c r="C284" i="7" s="1"/>
  <c r="D285" i="7"/>
  <c r="C285" i="7" s="1"/>
  <c r="D286" i="7"/>
  <c r="C286" i="7" s="1"/>
  <c r="D287" i="7"/>
  <c r="C287" i="7" s="1"/>
  <c r="D288" i="7"/>
  <c r="C288" i="7" s="1"/>
  <c r="D289" i="7"/>
  <c r="C289" i="7" s="1"/>
  <c r="D290" i="7"/>
  <c r="C290" i="7" s="1"/>
  <c r="D291" i="7"/>
  <c r="C291" i="7" s="1"/>
  <c r="D292" i="7"/>
  <c r="C292" i="7" s="1"/>
  <c r="D293" i="7"/>
  <c r="C293" i="7" s="1"/>
  <c r="D294" i="7"/>
  <c r="C294" i="7" s="1"/>
  <c r="D295" i="7"/>
  <c r="C295" i="7" s="1"/>
  <c r="D296" i="7"/>
  <c r="C296" i="7" s="1"/>
  <c r="D297" i="7"/>
  <c r="C297" i="7" s="1"/>
  <c r="D298" i="7"/>
  <c r="C298" i="7" s="1"/>
  <c r="D299" i="7"/>
  <c r="C299" i="7" s="1"/>
  <c r="D300" i="7"/>
  <c r="C300" i="7" s="1"/>
  <c r="D301" i="7"/>
  <c r="C301" i="7" s="1"/>
  <c r="D302" i="7"/>
  <c r="C302" i="7" s="1"/>
  <c r="D303" i="7"/>
  <c r="C303" i="7" s="1"/>
  <c r="D304" i="7"/>
  <c r="C304" i="7" s="1"/>
  <c r="D305" i="7"/>
  <c r="C305" i="7" s="1"/>
  <c r="D306" i="7"/>
  <c r="C306" i="7" s="1"/>
  <c r="D307" i="7"/>
  <c r="C307" i="7" s="1"/>
  <c r="D308" i="7"/>
  <c r="C308" i="7" s="1"/>
  <c r="D309" i="7"/>
  <c r="C309" i="7" s="1"/>
  <c r="D310" i="7"/>
  <c r="C310" i="7" s="1"/>
  <c r="D311" i="7"/>
  <c r="C311" i="7" s="1"/>
  <c r="D312" i="7"/>
  <c r="C312" i="7" s="1"/>
  <c r="D313" i="7"/>
  <c r="C313" i="7" s="1"/>
  <c r="D314" i="7"/>
  <c r="C314" i="7" s="1"/>
  <c r="D315" i="7"/>
  <c r="C315" i="7" s="1"/>
  <c r="D316" i="7"/>
  <c r="C316" i="7" s="1"/>
  <c r="D317" i="7"/>
  <c r="C317" i="7" s="1"/>
  <c r="D318" i="7"/>
  <c r="C318" i="7" s="1"/>
  <c r="D319" i="7"/>
  <c r="C319" i="7" s="1"/>
  <c r="D320" i="7"/>
  <c r="C320" i="7" s="1"/>
  <c r="D321" i="7"/>
  <c r="C321" i="7" s="1"/>
  <c r="D322" i="7"/>
  <c r="C322" i="7" s="1"/>
  <c r="D323" i="7"/>
  <c r="C323" i="7" s="1"/>
  <c r="D324" i="7"/>
  <c r="C324" i="7" s="1"/>
  <c r="D325" i="7"/>
  <c r="C325" i="7" s="1"/>
  <c r="D326" i="7"/>
  <c r="C326" i="7" s="1"/>
  <c r="D327" i="7"/>
  <c r="C327" i="7" s="1"/>
  <c r="D328" i="7"/>
  <c r="C328" i="7" s="1"/>
  <c r="D329" i="7"/>
  <c r="C329" i="7" s="1"/>
  <c r="D330" i="7"/>
  <c r="C330" i="7" s="1"/>
  <c r="D331" i="7"/>
  <c r="C331" i="7" s="1"/>
  <c r="D332" i="7"/>
  <c r="C332" i="7" s="1"/>
  <c r="D333" i="7"/>
  <c r="C333" i="7" s="1"/>
  <c r="D334" i="7"/>
  <c r="C334" i="7" s="1"/>
  <c r="D335" i="7"/>
  <c r="C335" i="7" s="1"/>
  <c r="D336" i="7"/>
  <c r="C336" i="7" s="1"/>
  <c r="D337" i="7"/>
  <c r="C337" i="7" s="1"/>
  <c r="D338" i="7"/>
  <c r="C338" i="7" s="1"/>
  <c r="D339" i="7"/>
  <c r="C339" i="7" s="1"/>
  <c r="D340" i="7"/>
  <c r="C340" i="7" s="1"/>
  <c r="D341" i="7"/>
  <c r="C341" i="7" s="1"/>
  <c r="D342" i="7"/>
  <c r="C342" i="7" s="1"/>
  <c r="D343" i="7"/>
  <c r="C343" i="7" s="1"/>
  <c r="D344" i="7"/>
  <c r="C344" i="7" s="1"/>
  <c r="D345" i="7"/>
  <c r="C345" i="7" s="1"/>
  <c r="D346" i="7"/>
  <c r="C346" i="7" s="1"/>
  <c r="D347" i="7"/>
  <c r="C347" i="7" s="1"/>
  <c r="D348" i="7"/>
  <c r="C348" i="7" s="1"/>
  <c r="D349" i="7"/>
  <c r="C349" i="7" s="1"/>
  <c r="D350" i="7"/>
  <c r="C350" i="7" s="1"/>
  <c r="D351" i="7"/>
  <c r="C351" i="7" s="1"/>
  <c r="D352" i="7"/>
  <c r="C352" i="7" s="1"/>
  <c r="D353" i="7"/>
  <c r="C353" i="7" s="1"/>
  <c r="D354" i="7"/>
  <c r="C354" i="7" s="1"/>
  <c r="D355" i="7"/>
  <c r="C355" i="7" s="1"/>
  <c r="D356" i="7"/>
  <c r="C356" i="7" s="1"/>
  <c r="D357" i="7"/>
  <c r="C357" i="7" s="1"/>
  <c r="D358" i="7"/>
  <c r="C358" i="7" s="1"/>
  <c r="D359" i="7"/>
  <c r="C359" i="7" s="1"/>
  <c r="D360" i="7"/>
  <c r="C360" i="7" s="1"/>
  <c r="D361" i="7"/>
  <c r="C361" i="7" s="1"/>
  <c r="D362" i="7"/>
  <c r="C362" i="7" s="1"/>
  <c r="D363" i="7"/>
  <c r="C363" i="7" s="1"/>
  <c r="D364" i="7"/>
  <c r="C364" i="7" s="1"/>
  <c r="D365" i="7"/>
  <c r="C365" i="7" s="1"/>
  <c r="D366" i="7"/>
  <c r="C366" i="7" s="1"/>
  <c r="D367" i="7"/>
  <c r="C367" i="7" s="1"/>
  <c r="D368" i="7"/>
  <c r="C368" i="7" s="1"/>
  <c r="D369" i="7"/>
  <c r="C369" i="7" s="1"/>
  <c r="D370" i="7"/>
  <c r="C370" i="7" s="1"/>
  <c r="D371" i="7"/>
  <c r="C371" i="7" s="1"/>
  <c r="D372" i="7"/>
  <c r="C372" i="7" s="1"/>
  <c r="D373" i="7"/>
  <c r="C373" i="7" s="1"/>
  <c r="D374" i="7"/>
  <c r="C374" i="7" s="1"/>
  <c r="D375" i="7"/>
  <c r="C375" i="7" s="1"/>
  <c r="D376" i="7"/>
  <c r="C376" i="7" s="1"/>
  <c r="D377" i="7"/>
  <c r="C377" i="7" s="1"/>
  <c r="D378" i="7"/>
  <c r="C378" i="7" s="1"/>
  <c r="D379" i="7"/>
  <c r="C379" i="7" s="1"/>
  <c r="D380" i="7"/>
  <c r="C380" i="7" s="1"/>
  <c r="D381" i="7"/>
  <c r="C381" i="7" s="1"/>
  <c r="D382" i="7"/>
  <c r="C382" i="7" s="1"/>
  <c r="D383" i="7"/>
  <c r="C383" i="7" s="1"/>
  <c r="D384" i="7"/>
  <c r="C384" i="7" s="1"/>
  <c r="D385" i="7"/>
  <c r="C385" i="7" s="1"/>
  <c r="D386" i="7"/>
  <c r="C386" i="7" s="1"/>
  <c r="D387" i="7"/>
  <c r="C387" i="7" s="1"/>
  <c r="D388" i="7"/>
  <c r="C388" i="7" s="1"/>
  <c r="D389" i="7"/>
  <c r="C389" i="7" s="1"/>
  <c r="D390" i="7"/>
  <c r="C390" i="7" s="1"/>
  <c r="D391" i="7"/>
  <c r="C391" i="7" s="1"/>
  <c r="D392" i="7"/>
  <c r="C392" i="7" s="1"/>
  <c r="D393" i="7"/>
  <c r="C393" i="7" s="1"/>
  <c r="D394" i="7"/>
  <c r="C394" i="7" s="1"/>
  <c r="D395" i="7"/>
  <c r="C395" i="7" s="1"/>
  <c r="D396" i="7"/>
  <c r="C396" i="7" s="1"/>
  <c r="D397" i="7"/>
  <c r="C397" i="7" s="1"/>
  <c r="D398" i="7"/>
  <c r="C398" i="7" s="1"/>
  <c r="D399" i="7"/>
  <c r="C399" i="7" s="1"/>
  <c r="D400" i="7"/>
  <c r="C400" i="7" s="1"/>
  <c r="D401" i="7"/>
  <c r="C401" i="7" s="1"/>
  <c r="D402" i="7"/>
  <c r="C402" i="7" s="1"/>
  <c r="D403" i="7"/>
  <c r="C403" i="7" s="1"/>
  <c r="D404" i="7"/>
  <c r="C404" i="7" s="1"/>
  <c r="D405" i="7"/>
  <c r="C405" i="7" s="1"/>
  <c r="D406" i="7"/>
  <c r="C406" i="7" s="1"/>
  <c r="D407" i="7"/>
  <c r="C407" i="7" s="1"/>
  <c r="D408" i="7"/>
  <c r="C408" i="7" s="1"/>
  <c r="D409" i="7"/>
  <c r="C409" i="7" s="1"/>
  <c r="D410" i="7"/>
  <c r="C410" i="7" s="1"/>
  <c r="D411" i="7"/>
  <c r="C411" i="7" s="1"/>
  <c r="D412" i="7"/>
  <c r="C412" i="7" s="1"/>
  <c r="D413" i="7"/>
  <c r="C413" i="7" s="1"/>
  <c r="D414" i="7"/>
  <c r="C414" i="7" s="1"/>
  <c r="D415" i="7"/>
  <c r="C415" i="7" s="1"/>
  <c r="D416" i="7"/>
  <c r="C416" i="7" s="1"/>
  <c r="D417" i="7"/>
  <c r="C417" i="7" s="1"/>
  <c r="D418" i="7"/>
  <c r="C418" i="7" s="1"/>
  <c r="D419" i="7"/>
  <c r="C419" i="7" s="1"/>
  <c r="D420" i="7"/>
  <c r="C420" i="7" s="1"/>
  <c r="D421" i="7"/>
  <c r="C421" i="7" s="1"/>
  <c r="D422" i="7"/>
  <c r="C422" i="7" s="1"/>
  <c r="D423" i="7"/>
  <c r="C423" i="7" s="1"/>
  <c r="D424" i="7"/>
  <c r="C424" i="7" s="1"/>
  <c r="D425" i="7"/>
  <c r="C425" i="7" s="1"/>
  <c r="D426" i="7"/>
  <c r="C426" i="7" s="1"/>
  <c r="D427" i="7"/>
  <c r="C427" i="7" s="1"/>
  <c r="D428" i="7"/>
  <c r="C428" i="7" s="1"/>
  <c r="D429" i="7"/>
  <c r="C429" i="7" s="1"/>
  <c r="D430" i="7"/>
  <c r="C430" i="7" s="1"/>
  <c r="D431" i="7"/>
  <c r="C431" i="7" s="1"/>
  <c r="D432" i="7"/>
  <c r="C432" i="7" s="1"/>
  <c r="D433" i="7"/>
  <c r="C433" i="7" s="1"/>
  <c r="D434" i="7"/>
  <c r="C434" i="7" s="1"/>
  <c r="D435" i="7"/>
  <c r="C435" i="7" s="1"/>
  <c r="D436" i="7"/>
  <c r="C436" i="7" s="1"/>
  <c r="D437" i="7"/>
  <c r="C437" i="7" s="1"/>
  <c r="D438" i="7"/>
  <c r="C438" i="7" s="1"/>
  <c r="D439" i="7"/>
  <c r="C439" i="7" s="1"/>
  <c r="D440" i="7"/>
  <c r="C440" i="7" s="1"/>
  <c r="D441" i="7"/>
  <c r="C441" i="7" s="1"/>
  <c r="D442" i="7"/>
  <c r="C442" i="7" s="1"/>
  <c r="D443" i="7"/>
  <c r="C443" i="7" s="1"/>
  <c r="D444" i="7"/>
  <c r="C444" i="7" s="1"/>
  <c r="D445" i="7"/>
  <c r="C445" i="7" s="1"/>
  <c r="D446" i="7"/>
  <c r="C446" i="7" s="1"/>
  <c r="D447" i="7"/>
  <c r="C447" i="7" s="1"/>
  <c r="D448" i="7"/>
  <c r="C448" i="7" s="1"/>
  <c r="D449" i="7"/>
  <c r="C449" i="7" s="1"/>
  <c r="D450" i="7"/>
  <c r="C450" i="7" s="1"/>
  <c r="D451" i="7"/>
  <c r="C451" i="7" s="1"/>
  <c r="D452" i="7"/>
  <c r="C452" i="7" s="1"/>
  <c r="D453" i="7"/>
  <c r="C453" i="7" s="1"/>
  <c r="D454" i="7"/>
  <c r="C454" i="7" s="1"/>
  <c r="D455" i="7"/>
  <c r="C455" i="7" s="1"/>
  <c r="D456" i="7"/>
  <c r="C456" i="7" s="1"/>
  <c r="D457" i="7"/>
  <c r="C457" i="7" s="1"/>
  <c r="D458" i="7"/>
  <c r="C458" i="7" s="1"/>
  <c r="D459" i="7"/>
  <c r="C459" i="7" s="1"/>
  <c r="D460" i="7"/>
  <c r="C460" i="7" s="1"/>
  <c r="D461" i="7"/>
  <c r="C461" i="7" s="1"/>
  <c r="D462" i="7"/>
  <c r="C462" i="7" s="1"/>
  <c r="D463" i="7"/>
  <c r="C463" i="7" s="1"/>
  <c r="D464" i="7"/>
  <c r="C464" i="7" s="1"/>
  <c r="D465" i="7"/>
  <c r="C465" i="7" s="1"/>
  <c r="D466" i="7"/>
  <c r="C466" i="7" s="1"/>
  <c r="D467" i="7"/>
  <c r="C467" i="7" s="1"/>
  <c r="D468" i="7"/>
  <c r="C468" i="7" s="1"/>
  <c r="D469" i="7"/>
  <c r="C469" i="7" s="1"/>
  <c r="D470" i="7"/>
  <c r="C470" i="7" s="1"/>
  <c r="D471" i="7"/>
  <c r="C471" i="7" s="1"/>
  <c r="D472" i="7"/>
  <c r="C472" i="7" s="1"/>
  <c r="D473" i="7"/>
  <c r="C473" i="7" s="1"/>
  <c r="D474" i="7"/>
  <c r="C474" i="7" s="1"/>
  <c r="D475" i="7"/>
  <c r="C475" i="7" s="1"/>
  <c r="D476" i="7"/>
  <c r="C476" i="7" s="1"/>
  <c r="D477" i="7"/>
  <c r="C477" i="7" s="1"/>
  <c r="D478" i="7"/>
  <c r="C478" i="7" s="1"/>
  <c r="D479" i="7"/>
  <c r="C479" i="7" s="1"/>
  <c r="D480" i="7"/>
  <c r="C480" i="7" s="1"/>
  <c r="D481" i="7"/>
  <c r="C481" i="7" s="1"/>
  <c r="D482" i="7"/>
  <c r="C482" i="7" s="1"/>
  <c r="D483" i="7"/>
  <c r="C483" i="7" s="1"/>
  <c r="D484" i="7"/>
  <c r="C484" i="7" s="1"/>
  <c r="D485" i="7"/>
  <c r="C485" i="7" s="1"/>
  <c r="D486" i="7"/>
  <c r="C486" i="7" s="1"/>
  <c r="D487" i="7"/>
  <c r="C487" i="7" s="1"/>
  <c r="D488" i="7"/>
  <c r="C488" i="7" s="1"/>
  <c r="D489" i="7"/>
  <c r="C489" i="7" s="1"/>
  <c r="D490" i="7"/>
  <c r="C490" i="7" s="1"/>
  <c r="D491" i="7"/>
  <c r="C491" i="7" s="1"/>
  <c r="D492" i="7"/>
  <c r="C492" i="7" s="1"/>
  <c r="D493" i="7"/>
  <c r="C493" i="7" s="1"/>
  <c r="D494" i="7"/>
  <c r="C494" i="7" s="1"/>
  <c r="D495" i="7"/>
  <c r="C495" i="7" s="1"/>
  <c r="D496" i="7"/>
  <c r="C496" i="7" s="1"/>
  <c r="D497" i="7"/>
  <c r="C497" i="7" s="1"/>
  <c r="D498" i="7"/>
  <c r="C498" i="7" s="1"/>
  <c r="D499" i="7"/>
  <c r="C499" i="7" s="1"/>
  <c r="D500" i="7"/>
  <c r="C500" i="7" s="1"/>
  <c r="D501" i="7"/>
  <c r="C501" i="7" s="1"/>
  <c r="D502" i="7"/>
  <c r="C502" i="7" s="1"/>
  <c r="D503" i="7"/>
  <c r="C503" i="7" s="1"/>
  <c r="D504" i="7"/>
  <c r="C504" i="7" s="1"/>
  <c r="D505" i="7"/>
  <c r="C505" i="7" s="1"/>
  <c r="D506" i="7"/>
  <c r="C506" i="7" s="1"/>
  <c r="D507" i="7"/>
  <c r="C507" i="7" s="1"/>
  <c r="D508" i="7"/>
  <c r="C508" i="7" s="1"/>
  <c r="D509" i="7"/>
  <c r="C509" i="7" s="1"/>
  <c r="D510" i="7"/>
  <c r="C510" i="7" s="1"/>
  <c r="D511" i="7"/>
  <c r="C511" i="7" s="1"/>
  <c r="D512" i="7"/>
  <c r="C512" i="7" s="1"/>
  <c r="D513" i="7"/>
  <c r="C513" i="7" s="1"/>
  <c r="D514" i="7"/>
  <c r="C514" i="7" s="1"/>
  <c r="D515" i="7"/>
  <c r="C515" i="7" s="1"/>
  <c r="D516" i="7"/>
  <c r="C516" i="7" s="1"/>
  <c r="D517" i="7"/>
  <c r="C517" i="7" s="1"/>
  <c r="D518" i="7"/>
  <c r="C518" i="7" s="1"/>
  <c r="D519" i="7"/>
  <c r="C519" i="7" s="1"/>
  <c r="D520" i="7"/>
  <c r="C520" i="7" s="1"/>
  <c r="D521" i="7"/>
  <c r="C521" i="7" s="1"/>
  <c r="D522" i="7"/>
  <c r="C522" i="7" s="1"/>
  <c r="D523" i="7"/>
  <c r="C523" i="7" s="1"/>
  <c r="D524" i="7"/>
  <c r="C524" i="7" s="1"/>
  <c r="D525" i="7"/>
  <c r="C525" i="7" s="1"/>
  <c r="D526" i="7"/>
  <c r="C526" i="7" s="1"/>
  <c r="D527" i="7"/>
  <c r="C527" i="7" s="1"/>
  <c r="D528" i="7"/>
  <c r="C528" i="7" s="1"/>
  <c r="D529" i="7"/>
  <c r="C529" i="7" s="1"/>
  <c r="D530" i="7"/>
  <c r="C530" i="7" s="1"/>
  <c r="D531" i="7"/>
  <c r="C531" i="7" s="1"/>
  <c r="D532" i="7"/>
  <c r="C532" i="7" s="1"/>
  <c r="D533" i="7"/>
  <c r="C533" i="7" s="1"/>
  <c r="D534" i="7"/>
  <c r="C534" i="7" s="1"/>
  <c r="D535" i="7"/>
  <c r="C535" i="7" s="1"/>
  <c r="D536" i="7"/>
  <c r="C536" i="7" s="1"/>
  <c r="D537" i="7"/>
  <c r="C537" i="7" s="1"/>
  <c r="D538" i="7"/>
  <c r="C538" i="7" s="1"/>
  <c r="D539" i="7"/>
  <c r="C539" i="7" s="1"/>
  <c r="D540" i="7"/>
  <c r="C540" i="7" s="1"/>
  <c r="D541" i="7"/>
  <c r="C541" i="7" s="1"/>
  <c r="D542" i="7"/>
  <c r="C542" i="7" s="1"/>
  <c r="D543" i="7"/>
  <c r="C543" i="7" s="1"/>
  <c r="D544" i="7"/>
  <c r="C544" i="7" s="1"/>
  <c r="D545" i="7"/>
  <c r="C545" i="7" s="1"/>
  <c r="D546" i="7"/>
  <c r="C546" i="7" s="1"/>
  <c r="D547" i="7"/>
  <c r="C547" i="7" s="1"/>
  <c r="D644" i="7"/>
  <c r="C644" i="7" s="1"/>
  <c r="D645" i="7"/>
  <c r="C645" i="7" s="1"/>
  <c r="D646" i="7"/>
  <c r="C646" i="7" s="1"/>
  <c r="D647" i="7"/>
  <c r="C647" i="7" s="1"/>
  <c r="D648" i="7"/>
  <c r="C648" i="7" s="1"/>
  <c r="D649" i="7"/>
  <c r="C649" i="7" s="1"/>
  <c r="D650" i="7"/>
  <c r="C650" i="7" s="1"/>
  <c r="D651" i="7"/>
  <c r="C651" i="7" s="1"/>
  <c r="D652" i="7"/>
  <c r="C652" i="7" s="1"/>
  <c r="D653" i="7"/>
  <c r="C653" i="7" s="1"/>
  <c r="D654" i="7"/>
  <c r="C654" i="7" s="1"/>
  <c r="D655" i="7"/>
  <c r="C655" i="7" s="1"/>
  <c r="D656" i="7"/>
  <c r="C656" i="7" s="1"/>
  <c r="D657" i="7"/>
  <c r="C657" i="7" s="1"/>
  <c r="D658" i="7"/>
  <c r="C658" i="7" s="1"/>
  <c r="D659" i="7"/>
  <c r="C659" i="7" s="1"/>
  <c r="D660" i="7"/>
  <c r="C660" i="7" s="1"/>
  <c r="D661" i="7"/>
  <c r="C661" i="7" s="1"/>
  <c r="D662" i="7"/>
  <c r="C662" i="7" s="1"/>
  <c r="D663" i="7"/>
  <c r="C663" i="7" s="1"/>
  <c r="D664" i="7"/>
  <c r="C664" i="7" s="1"/>
  <c r="D665" i="7"/>
  <c r="C665" i="7" s="1"/>
  <c r="D666" i="7"/>
  <c r="C666" i="7" s="1"/>
  <c r="D667" i="7"/>
  <c r="C667" i="7" s="1"/>
  <c r="D668" i="7"/>
  <c r="C668" i="7" s="1"/>
  <c r="D669" i="7"/>
  <c r="C669" i="7" s="1"/>
  <c r="D670" i="7"/>
  <c r="C670" i="7" s="1"/>
  <c r="D671" i="7"/>
  <c r="C671" i="7" s="1"/>
  <c r="D672" i="7"/>
  <c r="C672" i="7" s="1"/>
  <c r="D673" i="7"/>
  <c r="C673" i="7" s="1"/>
  <c r="D674" i="7"/>
  <c r="C674" i="7" s="1"/>
  <c r="D675" i="7"/>
  <c r="C675" i="7" s="1"/>
  <c r="D676" i="7"/>
  <c r="C676" i="7" s="1"/>
  <c r="D677" i="7"/>
  <c r="C677" i="7" s="1"/>
  <c r="D678" i="7"/>
  <c r="C678" i="7" s="1"/>
  <c r="D679" i="7"/>
  <c r="C679" i="7" s="1"/>
  <c r="D680" i="7"/>
  <c r="C680" i="7" s="1"/>
  <c r="D681" i="7"/>
  <c r="C681" i="7" s="1"/>
  <c r="D682" i="7"/>
  <c r="C682" i="7" s="1"/>
  <c r="D683" i="7"/>
  <c r="C683" i="7" s="1"/>
  <c r="D684" i="7"/>
  <c r="C684" i="7" s="1"/>
  <c r="D685" i="7"/>
  <c r="C685" i="7" s="1"/>
  <c r="D686" i="7"/>
  <c r="C686" i="7" s="1"/>
  <c r="D687" i="7"/>
  <c r="C687" i="7" s="1"/>
  <c r="D688" i="7"/>
  <c r="C688" i="7" s="1"/>
  <c r="D689" i="7"/>
  <c r="C689" i="7" s="1"/>
  <c r="D690" i="7"/>
  <c r="C690" i="7" s="1"/>
  <c r="D691" i="7"/>
  <c r="C691" i="7" s="1"/>
  <c r="D692" i="7"/>
  <c r="C692" i="7" s="1"/>
  <c r="D693" i="7"/>
  <c r="C693" i="7" s="1"/>
  <c r="D694" i="7"/>
  <c r="C694" i="7" s="1"/>
  <c r="D695" i="7"/>
  <c r="C695" i="7" s="1"/>
  <c r="D696" i="7"/>
  <c r="C696" i="7" s="1"/>
  <c r="D697" i="7"/>
  <c r="C697" i="7" s="1"/>
  <c r="D698" i="7"/>
  <c r="C698" i="7" s="1"/>
  <c r="D699" i="7"/>
  <c r="C699" i="7" s="1"/>
  <c r="D700" i="7"/>
  <c r="C700" i="7" s="1"/>
  <c r="D701" i="7"/>
  <c r="C701" i="7" s="1"/>
  <c r="D702" i="7"/>
  <c r="C702" i="7" s="1"/>
  <c r="D703" i="7"/>
  <c r="C703" i="7" s="1"/>
  <c r="D704" i="7"/>
  <c r="C704" i="7" s="1"/>
  <c r="D705" i="7"/>
  <c r="C705" i="7" s="1"/>
  <c r="D706" i="7"/>
  <c r="C706" i="7" s="1"/>
  <c r="D707" i="7"/>
  <c r="C707" i="7" s="1"/>
  <c r="D708" i="7"/>
  <c r="C708" i="7" s="1"/>
  <c r="D709" i="7"/>
  <c r="C709" i="7" s="1"/>
  <c r="D710" i="7"/>
  <c r="C710" i="7" s="1"/>
  <c r="D711" i="7"/>
  <c r="C711" i="7" s="1"/>
  <c r="D712" i="7"/>
  <c r="C712" i="7" s="1"/>
  <c r="D713" i="7"/>
  <c r="C713" i="7" s="1"/>
  <c r="D714" i="7"/>
  <c r="C714" i="7" s="1"/>
  <c r="D715" i="7"/>
  <c r="C715" i="7" s="1"/>
  <c r="D716" i="7"/>
  <c r="C716" i="7" s="1"/>
  <c r="D717" i="7"/>
  <c r="C717" i="7" s="1"/>
  <c r="D718" i="7"/>
  <c r="C718" i="7" s="1"/>
  <c r="D719" i="7"/>
  <c r="C719" i="7" s="1"/>
  <c r="D720" i="7"/>
  <c r="C720" i="7" s="1"/>
  <c r="D721" i="7"/>
  <c r="C721" i="7" s="1"/>
  <c r="D722" i="7"/>
  <c r="C722" i="7" s="1"/>
  <c r="D723" i="7"/>
  <c r="C723" i="7" s="1"/>
  <c r="D724" i="7"/>
  <c r="C724" i="7" s="1"/>
  <c r="D725" i="7"/>
  <c r="C725" i="7" s="1"/>
  <c r="D726" i="7"/>
  <c r="C726" i="7" s="1"/>
  <c r="D727" i="7"/>
  <c r="C727" i="7" s="1"/>
  <c r="D728" i="7"/>
  <c r="C728" i="7" s="1"/>
  <c r="D729" i="7"/>
  <c r="C729" i="7" s="1"/>
  <c r="D730" i="7"/>
  <c r="C730" i="7" s="1"/>
  <c r="D731" i="7"/>
  <c r="C731" i="7" s="1"/>
  <c r="D732" i="7"/>
  <c r="C732" i="7" s="1"/>
  <c r="D733" i="7"/>
  <c r="C733" i="7" s="1"/>
  <c r="D734" i="7"/>
  <c r="C734" i="7" s="1"/>
  <c r="D735" i="7"/>
  <c r="C735" i="7" s="1"/>
  <c r="D736" i="7"/>
  <c r="C736" i="7" s="1"/>
  <c r="D737" i="7"/>
  <c r="C737" i="7" s="1"/>
  <c r="D738" i="7"/>
  <c r="C738" i="7" s="1"/>
  <c r="D739" i="7"/>
  <c r="C739" i="7" s="1"/>
  <c r="D740" i="7"/>
  <c r="C740" i="7" s="1"/>
  <c r="D741" i="7"/>
  <c r="C741" i="7" s="1"/>
  <c r="D742" i="7"/>
  <c r="C742" i="7" s="1"/>
  <c r="D743" i="7"/>
  <c r="C743" i="7" s="1"/>
  <c r="D744" i="7"/>
  <c r="C744" i="7" s="1"/>
  <c r="D745" i="7"/>
  <c r="C745" i="7" s="1"/>
  <c r="D746" i="7"/>
  <c r="C746" i="7" s="1"/>
  <c r="D747" i="7"/>
  <c r="C747" i="7" s="1"/>
  <c r="D748" i="7"/>
  <c r="C748" i="7" s="1"/>
  <c r="D749" i="7"/>
  <c r="C749" i="7" s="1"/>
  <c r="D750" i="7"/>
  <c r="C750" i="7" s="1"/>
  <c r="D751" i="7"/>
  <c r="C751" i="7" s="1"/>
  <c r="D752" i="7"/>
  <c r="C752" i="7" s="1"/>
  <c r="D753" i="7"/>
  <c r="C753" i="7" s="1"/>
  <c r="D754" i="7"/>
  <c r="C754" i="7" s="1"/>
  <c r="D755" i="7"/>
  <c r="C755" i="7" s="1"/>
  <c r="D756" i="7"/>
  <c r="C756" i="7" s="1"/>
  <c r="D757" i="7"/>
  <c r="C757" i="7" s="1"/>
  <c r="D758" i="7"/>
  <c r="C758" i="7" s="1"/>
  <c r="D759" i="7"/>
  <c r="C759" i="7" s="1"/>
  <c r="D760" i="7"/>
  <c r="C760" i="7" s="1"/>
  <c r="D761" i="7"/>
  <c r="C761" i="7" s="1"/>
  <c r="D762" i="7"/>
  <c r="C762" i="7" s="1"/>
  <c r="D763" i="7"/>
  <c r="C763" i="7" s="1"/>
  <c r="D764" i="7"/>
  <c r="C764" i="7" s="1"/>
  <c r="D765" i="7"/>
  <c r="C765" i="7" s="1"/>
  <c r="D766" i="7"/>
  <c r="C766" i="7" s="1"/>
  <c r="D767" i="7"/>
  <c r="C767" i="7" s="1"/>
  <c r="D768" i="7"/>
  <c r="C768" i="7" s="1"/>
  <c r="D769" i="7"/>
  <c r="C769" i="7" s="1"/>
  <c r="D770" i="7"/>
  <c r="C770" i="7" s="1"/>
  <c r="D771" i="7"/>
  <c r="C771" i="7" s="1"/>
  <c r="D772" i="7"/>
  <c r="C772" i="7" s="1"/>
  <c r="D773" i="7"/>
  <c r="C773" i="7" s="1"/>
  <c r="D774" i="7"/>
  <c r="C774" i="7" s="1"/>
  <c r="D775" i="7"/>
  <c r="C775" i="7" s="1"/>
  <c r="D776" i="7"/>
  <c r="C776" i="7" s="1"/>
  <c r="D777" i="7"/>
  <c r="C777" i="7" s="1"/>
  <c r="D778" i="7"/>
  <c r="C778" i="7" s="1"/>
  <c r="D779" i="7"/>
  <c r="C779" i="7" s="1"/>
  <c r="D780" i="7"/>
  <c r="C780" i="7" s="1"/>
  <c r="D781" i="7"/>
  <c r="C781" i="7" s="1"/>
  <c r="D782" i="7"/>
  <c r="C782" i="7" s="1"/>
  <c r="D783" i="7"/>
  <c r="C783" i="7" s="1"/>
  <c r="D784" i="7"/>
  <c r="C784" i="7" s="1"/>
  <c r="D785" i="7"/>
  <c r="C785" i="7" s="1"/>
  <c r="D786" i="7"/>
  <c r="C786" i="7" s="1"/>
  <c r="D787" i="7"/>
  <c r="C787" i="7" s="1"/>
  <c r="D788" i="7"/>
  <c r="C788" i="7" s="1"/>
  <c r="D789" i="7"/>
  <c r="C789" i="7" s="1"/>
  <c r="D790" i="7"/>
  <c r="C790" i="7" s="1"/>
  <c r="D791" i="7"/>
  <c r="C791" i="7" s="1"/>
  <c r="D792" i="7"/>
  <c r="C792" i="7" s="1"/>
  <c r="D793" i="7"/>
  <c r="C793" i="7" s="1"/>
  <c r="D794" i="7"/>
  <c r="C794" i="7" s="1"/>
  <c r="D795" i="7"/>
  <c r="C795" i="7" s="1"/>
  <c r="D796" i="7"/>
  <c r="C796" i="7" s="1"/>
  <c r="D797" i="7"/>
  <c r="C797" i="7" s="1"/>
  <c r="D798" i="7"/>
  <c r="C798" i="7" s="1"/>
  <c r="D799" i="7"/>
  <c r="C799" i="7" s="1"/>
  <c r="D800" i="7"/>
  <c r="C800" i="7" s="1"/>
  <c r="D801" i="7"/>
  <c r="C801" i="7" s="1"/>
  <c r="D802" i="7"/>
  <c r="C802" i="7" s="1"/>
  <c r="D803" i="7"/>
  <c r="C803" i="7" s="1"/>
  <c r="D804" i="7"/>
  <c r="C804" i="7" s="1"/>
  <c r="D805" i="7"/>
  <c r="C805" i="7" s="1"/>
  <c r="D806" i="7"/>
  <c r="C806" i="7" s="1"/>
  <c r="D807" i="7"/>
  <c r="C807" i="7" s="1"/>
  <c r="D808" i="7"/>
  <c r="C808" i="7" s="1"/>
  <c r="D809" i="7"/>
  <c r="C809" i="7" s="1"/>
  <c r="D810" i="7"/>
  <c r="C810" i="7" s="1"/>
  <c r="D811" i="7"/>
  <c r="C811" i="7" s="1"/>
  <c r="D812" i="7"/>
  <c r="C812" i="7" s="1"/>
  <c r="D813" i="7"/>
  <c r="C813" i="7" s="1"/>
  <c r="D814" i="7"/>
  <c r="C814" i="7" s="1"/>
  <c r="D815" i="7"/>
  <c r="C815" i="7" s="1"/>
  <c r="D816" i="7"/>
  <c r="C816" i="7" s="1"/>
  <c r="D817" i="7"/>
  <c r="C817" i="7" s="1"/>
  <c r="D818" i="7"/>
  <c r="C818" i="7" s="1"/>
  <c r="D819" i="7"/>
  <c r="C819" i="7" s="1"/>
  <c r="D820" i="7"/>
  <c r="C820" i="7" s="1"/>
  <c r="D821" i="7"/>
  <c r="C821" i="7" s="1"/>
  <c r="D822" i="7"/>
  <c r="C822" i="7" s="1"/>
  <c r="D823" i="7"/>
  <c r="C823" i="7" s="1"/>
  <c r="D824" i="7"/>
  <c r="C824" i="7" s="1"/>
  <c r="D825" i="7"/>
  <c r="C825" i="7" s="1"/>
  <c r="D826" i="7"/>
  <c r="C826" i="7" s="1"/>
  <c r="D827" i="7"/>
  <c r="C827" i="7" s="1"/>
  <c r="D828" i="7"/>
  <c r="C828" i="7" s="1"/>
  <c r="D829" i="7"/>
  <c r="C829" i="7" s="1"/>
  <c r="D830" i="7"/>
  <c r="C830" i="7" s="1"/>
  <c r="D831" i="7"/>
  <c r="C831" i="7" s="1"/>
  <c r="D832" i="7"/>
  <c r="C832" i="7" s="1"/>
  <c r="D833" i="7"/>
  <c r="C833" i="7" s="1"/>
  <c r="D834" i="7"/>
  <c r="C834" i="7" s="1"/>
  <c r="D835" i="7"/>
  <c r="C835" i="7" s="1"/>
  <c r="D836" i="7"/>
  <c r="C836" i="7" s="1"/>
  <c r="D837" i="7"/>
  <c r="C837" i="7" s="1"/>
  <c r="D838" i="7"/>
  <c r="C838" i="7" s="1"/>
  <c r="D839" i="7"/>
  <c r="C839" i="7" s="1"/>
  <c r="D840" i="7"/>
  <c r="C840" i="7" s="1"/>
  <c r="D841" i="7"/>
  <c r="C841" i="7" s="1"/>
  <c r="D842" i="7"/>
  <c r="C842" i="7" s="1"/>
  <c r="D843" i="7"/>
  <c r="C843" i="7" s="1"/>
  <c r="D844" i="7"/>
  <c r="C844" i="7" s="1"/>
  <c r="D845" i="7"/>
  <c r="C845" i="7" s="1"/>
  <c r="D846" i="7"/>
  <c r="C846" i="7" s="1"/>
  <c r="D847" i="7"/>
  <c r="C847" i="7" s="1"/>
  <c r="D848" i="7"/>
  <c r="C848" i="7" s="1"/>
  <c r="D849" i="7"/>
  <c r="C849" i="7" s="1"/>
  <c r="D850" i="7"/>
  <c r="C850" i="7" s="1"/>
  <c r="D851" i="7"/>
  <c r="C851" i="7" s="1"/>
  <c r="D852" i="7"/>
  <c r="C852" i="7" s="1"/>
  <c r="D853" i="7"/>
  <c r="C853" i="7" s="1"/>
  <c r="D854" i="7"/>
  <c r="C854" i="7" s="1"/>
  <c r="D855" i="7"/>
  <c r="C855" i="7" s="1"/>
  <c r="D856" i="7"/>
  <c r="C856" i="7" s="1"/>
  <c r="D857" i="7"/>
  <c r="C857" i="7" s="1"/>
  <c r="D858" i="7"/>
  <c r="C858" i="7" s="1"/>
  <c r="D859" i="7"/>
  <c r="C859" i="7" s="1"/>
  <c r="D860" i="7"/>
  <c r="C860" i="7" s="1"/>
  <c r="D861" i="7"/>
  <c r="C861" i="7" s="1"/>
  <c r="D862" i="7"/>
  <c r="C862" i="7" s="1"/>
  <c r="D863" i="7"/>
  <c r="C863" i="7" s="1"/>
  <c r="D864" i="7"/>
  <c r="C864" i="7" s="1"/>
  <c r="D865" i="7"/>
  <c r="C865" i="7" s="1"/>
  <c r="D866" i="7"/>
  <c r="C866" i="7" s="1"/>
  <c r="D867" i="7"/>
  <c r="C867" i="7" s="1"/>
  <c r="D868" i="7"/>
  <c r="C868" i="7" s="1"/>
  <c r="D869" i="7"/>
  <c r="C869" i="7" s="1"/>
  <c r="D870" i="7"/>
  <c r="C870" i="7" s="1"/>
  <c r="D871" i="7"/>
  <c r="C871" i="7" s="1"/>
  <c r="D872" i="7"/>
  <c r="C872" i="7" s="1"/>
  <c r="D873" i="7"/>
  <c r="C873" i="7" s="1"/>
  <c r="D874" i="7"/>
  <c r="C874" i="7" s="1"/>
  <c r="D875" i="7"/>
  <c r="C875" i="7" s="1"/>
  <c r="D876" i="7"/>
  <c r="C876" i="7" s="1"/>
  <c r="D877" i="7"/>
  <c r="C877" i="7" s="1"/>
  <c r="D878" i="7"/>
  <c r="C878" i="7" s="1"/>
  <c r="D879" i="7"/>
  <c r="C879" i="7" s="1"/>
  <c r="D880" i="7"/>
  <c r="C880" i="7" s="1"/>
  <c r="D881" i="7"/>
  <c r="C881" i="7" s="1"/>
  <c r="D882" i="7"/>
  <c r="C882" i="7" s="1"/>
  <c r="D883" i="7"/>
  <c r="C883" i="7" s="1"/>
  <c r="D884" i="7"/>
  <c r="C884" i="7" s="1"/>
  <c r="D885" i="7"/>
  <c r="C885" i="7" s="1"/>
  <c r="D886" i="7"/>
  <c r="C886" i="7" s="1"/>
  <c r="D887" i="7"/>
  <c r="C887" i="7" s="1"/>
  <c r="D888" i="7"/>
  <c r="C888" i="7" s="1"/>
  <c r="D889" i="7"/>
  <c r="C889" i="7" s="1"/>
  <c r="D890" i="7"/>
  <c r="C890" i="7" s="1"/>
  <c r="D891" i="7"/>
  <c r="C891" i="7" s="1"/>
  <c r="D892" i="7"/>
  <c r="C892" i="7" s="1"/>
  <c r="D893" i="7"/>
  <c r="C893" i="7" s="1"/>
  <c r="D894" i="7"/>
  <c r="C894" i="7" s="1"/>
  <c r="D895" i="7"/>
  <c r="C895" i="7" s="1"/>
  <c r="D896" i="7"/>
  <c r="C896" i="7" s="1"/>
  <c r="D897" i="7"/>
  <c r="C897" i="7" s="1"/>
  <c r="D898" i="7"/>
  <c r="C898" i="7" s="1"/>
  <c r="D899" i="7"/>
  <c r="C899" i="7" s="1"/>
  <c r="D900" i="7"/>
  <c r="C900" i="7" s="1"/>
  <c r="D901" i="7"/>
  <c r="C901" i="7" s="1"/>
  <c r="D902" i="7"/>
  <c r="C902" i="7" s="1"/>
  <c r="D903" i="7"/>
  <c r="C903" i="7" s="1"/>
  <c r="D904" i="7"/>
  <c r="C904" i="7" s="1"/>
  <c r="D905" i="7"/>
  <c r="C905" i="7" s="1"/>
  <c r="D906" i="7"/>
  <c r="C906" i="7" s="1"/>
  <c r="D907" i="7"/>
  <c r="C907" i="7" s="1"/>
  <c r="D908" i="7"/>
  <c r="C908" i="7" s="1"/>
  <c r="D909" i="7"/>
  <c r="C909" i="7" s="1"/>
  <c r="D910" i="7"/>
  <c r="C910" i="7" s="1"/>
  <c r="D911" i="7"/>
  <c r="C911" i="7" s="1"/>
  <c r="D912" i="7"/>
  <c r="C912" i="7" s="1"/>
  <c r="D913" i="7"/>
  <c r="C913" i="7" s="1"/>
  <c r="D914" i="7"/>
  <c r="C914" i="7" s="1"/>
  <c r="D915" i="7"/>
  <c r="C915" i="7" s="1"/>
  <c r="D916" i="7"/>
  <c r="C916" i="7" s="1"/>
  <c r="D917" i="7"/>
  <c r="C917" i="7" s="1"/>
  <c r="D918" i="7"/>
  <c r="C918" i="7" s="1"/>
  <c r="D919" i="7"/>
  <c r="C919" i="7" s="1"/>
  <c r="D920" i="7"/>
  <c r="C920" i="7" s="1"/>
  <c r="D921" i="7"/>
  <c r="C921" i="7" s="1"/>
  <c r="D922" i="7"/>
  <c r="C922" i="7" s="1"/>
  <c r="D923" i="7"/>
  <c r="C923" i="7" s="1"/>
  <c r="D924" i="7"/>
  <c r="C924" i="7" s="1"/>
  <c r="D925" i="7"/>
  <c r="C925" i="7" s="1"/>
  <c r="D926" i="7"/>
  <c r="C926" i="7" s="1"/>
  <c r="D927" i="7"/>
  <c r="C927" i="7" s="1"/>
  <c r="D928" i="7"/>
  <c r="C928" i="7" s="1"/>
  <c r="D929" i="7"/>
  <c r="C929" i="7" s="1"/>
  <c r="D930" i="7"/>
  <c r="C930" i="7" s="1"/>
  <c r="D931" i="7"/>
  <c r="C931" i="7" s="1"/>
  <c r="D932" i="7"/>
  <c r="C932" i="7" s="1"/>
  <c r="D933" i="7"/>
  <c r="C933" i="7" s="1"/>
  <c r="D2" i="7"/>
  <c r="C2" i="7" s="1"/>
  <c r="BF473" i="6" l="1"/>
  <c r="BF474" i="6"/>
  <c r="BF475" i="6"/>
  <c r="BF476" i="6"/>
  <c r="BF477" i="6"/>
  <c r="BF478" i="6"/>
  <c r="BF479" i="6"/>
  <c r="BF480" i="6"/>
  <c r="BF481" i="6"/>
  <c r="BF482" i="6"/>
  <c r="BF483" i="6"/>
  <c r="BF484" i="6"/>
  <c r="BF485" i="6"/>
  <c r="BF486" i="6"/>
  <c r="BF487" i="6"/>
  <c r="BF488" i="6"/>
  <c r="BF489" i="6"/>
  <c r="BF490" i="6"/>
  <c r="BF491" i="6"/>
  <c r="BF492" i="6"/>
  <c r="BF493" i="6"/>
  <c r="BF494" i="6"/>
  <c r="BF495" i="6"/>
  <c r="BF496" i="6"/>
  <c r="BF497" i="6"/>
  <c r="BF498" i="6"/>
  <c r="BF499" i="6"/>
  <c r="BF500" i="6"/>
  <c r="BF501" i="6"/>
  <c r="BF502" i="6"/>
  <c r="BF503" i="6"/>
  <c r="BF504" i="6"/>
  <c r="BF505" i="6"/>
  <c r="BF506" i="6"/>
  <c r="BF507" i="6"/>
  <c r="BF508" i="6"/>
  <c r="BF509" i="6"/>
  <c r="BF510" i="6"/>
  <c r="BF511" i="6"/>
  <c r="BF512" i="6"/>
  <c r="BF513" i="6"/>
  <c r="BF514" i="6"/>
  <c r="BF515" i="6"/>
  <c r="BF516" i="6"/>
  <c r="BF517" i="6"/>
  <c r="BF518" i="6"/>
  <c r="BF519" i="6"/>
  <c r="BF520" i="6"/>
  <c r="BF521" i="6"/>
  <c r="BF522" i="6"/>
  <c r="BF523" i="6"/>
  <c r="BF524" i="6"/>
  <c r="BF525" i="6"/>
  <c r="BF526" i="6"/>
  <c r="BF527" i="6"/>
  <c r="BF528" i="6"/>
  <c r="BF529" i="6"/>
  <c r="BF530" i="6"/>
  <c r="BF531" i="6"/>
  <c r="BF532" i="6"/>
  <c r="BF533" i="6"/>
  <c r="BF534" i="6"/>
  <c r="BF535" i="6"/>
  <c r="BF536" i="6"/>
  <c r="BF537" i="6"/>
  <c r="BF538" i="6"/>
  <c r="BF539" i="6"/>
  <c r="BF540" i="6"/>
  <c r="BF541" i="6"/>
  <c r="BF542" i="6"/>
  <c r="BF543" i="6"/>
  <c r="BF544" i="6"/>
  <c r="BF545" i="6"/>
  <c r="BF546" i="6"/>
  <c r="BF547" i="6"/>
  <c r="BF548" i="6"/>
  <c r="BF549" i="6"/>
  <c r="BF550" i="6"/>
  <c r="BF551" i="6"/>
  <c r="BF552" i="6"/>
  <c r="BF553" i="6"/>
  <c r="BF554" i="6"/>
  <c r="BF555" i="6"/>
  <c r="BF556" i="6"/>
  <c r="BF557" i="6"/>
  <c r="BF558" i="6"/>
  <c r="BF559" i="6"/>
  <c r="BF560" i="6"/>
  <c r="BF561" i="6"/>
  <c r="BF562" i="6"/>
  <c r="BF563" i="6"/>
  <c r="BF564" i="6"/>
  <c r="BF565" i="6"/>
  <c r="BF566" i="6"/>
  <c r="BF567" i="6"/>
  <c r="BF472" i="6"/>
  <c r="S545" i="6" l="1"/>
  <c r="D621" i="7" s="1"/>
  <c r="C621" i="7" s="1"/>
  <c r="S546" i="6"/>
  <c r="D622" i="7" s="1"/>
  <c r="C622" i="7" s="1"/>
  <c r="S547" i="6"/>
  <c r="D623" i="7" s="1"/>
  <c r="C623" i="7" s="1"/>
  <c r="S548" i="6"/>
  <c r="D624" i="7" s="1"/>
  <c r="C624" i="7" s="1"/>
  <c r="S549" i="6"/>
  <c r="D625" i="7" s="1"/>
  <c r="C625" i="7" s="1"/>
  <c r="S550" i="6"/>
  <c r="D626" i="7" s="1"/>
  <c r="C626" i="7" s="1"/>
  <c r="S551" i="6"/>
  <c r="D627" i="7" s="1"/>
  <c r="C627" i="7" s="1"/>
  <c r="S552" i="6"/>
  <c r="D628" i="7" s="1"/>
  <c r="C628" i="7" s="1"/>
  <c r="S553" i="6"/>
  <c r="D629" i="7" s="1"/>
  <c r="C629" i="7" s="1"/>
  <c r="S554" i="6"/>
  <c r="D630" i="7" s="1"/>
  <c r="C630" i="7" s="1"/>
  <c r="S555" i="6"/>
  <c r="D631" i="7" s="1"/>
  <c r="C631" i="7" s="1"/>
  <c r="S556" i="6"/>
  <c r="D632" i="7" s="1"/>
  <c r="C632" i="7" s="1"/>
  <c r="S557" i="6"/>
  <c r="D633" i="7" s="1"/>
  <c r="C633" i="7" s="1"/>
  <c r="S558" i="6"/>
  <c r="D634" i="7" s="1"/>
  <c r="C634" i="7" s="1"/>
  <c r="S559" i="6"/>
  <c r="D635" i="7" s="1"/>
  <c r="C635" i="7" s="1"/>
  <c r="S560" i="6"/>
  <c r="D636" i="7" s="1"/>
  <c r="C636" i="7" s="1"/>
  <c r="S561" i="6"/>
  <c r="D637" i="7" s="1"/>
  <c r="C637" i="7" s="1"/>
  <c r="S562" i="6"/>
  <c r="D638" i="7" s="1"/>
  <c r="C638" i="7" s="1"/>
  <c r="S563" i="6"/>
  <c r="D639" i="7" s="1"/>
  <c r="C639" i="7" s="1"/>
  <c r="S564" i="6"/>
  <c r="D640" i="7" s="1"/>
  <c r="C640" i="7" s="1"/>
  <c r="S565" i="6"/>
  <c r="D641" i="7" s="1"/>
  <c r="C641" i="7" s="1"/>
  <c r="S566" i="6"/>
  <c r="D642" i="7" s="1"/>
  <c r="C642" i="7" s="1"/>
  <c r="S567" i="6"/>
  <c r="D643" i="7" s="1"/>
  <c r="C643" i="7" s="1"/>
  <c r="S544" i="6"/>
  <c r="D620" i="7" s="1"/>
  <c r="C620" i="7" s="1"/>
  <c r="S528" i="6"/>
  <c r="D604" i="7" s="1"/>
  <c r="C604" i="7" s="1"/>
  <c r="S529" i="6"/>
  <c r="D605" i="7" s="1"/>
  <c r="C605" i="7" s="1"/>
  <c r="S530" i="6"/>
  <c r="D606" i="7" s="1"/>
  <c r="C606" i="7" s="1"/>
  <c r="S531" i="6"/>
  <c r="D607" i="7" s="1"/>
  <c r="C607" i="7" s="1"/>
  <c r="S532" i="6"/>
  <c r="D608" i="7" s="1"/>
  <c r="C608" i="7" s="1"/>
  <c r="S533" i="6"/>
  <c r="D609" i="7" s="1"/>
  <c r="C609" i="7" s="1"/>
  <c r="S534" i="6"/>
  <c r="D610" i="7" s="1"/>
  <c r="C610" i="7" s="1"/>
  <c r="S535" i="6"/>
  <c r="D611" i="7" s="1"/>
  <c r="C611" i="7" s="1"/>
  <c r="S536" i="6"/>
  <c r="D612" i="7" s="1"/>
  <c r="C612" i="7" s="1"/>
  <c r="S537" i="6"/>
  <c r="D613" i="7" s="1"/>
  <c r="C613" i="7" s="1"/>
  <c r="S538" i="6"/>
  <c r="D614" i="7" s="1"/>
  <c r="C614" i="7" s="1"/>
  <c r="S539" i="6"/>
  <c r="D615" i="7" s="1"/>
  <c r="C615" i="7" s="1"/>
  <c r="S540" i="6"/>
  <c r="D616" i="7" s="1"/>
  <c r="C616" i="7" s="1"/>
  <c r="S541" i="6"/>
  <c r="D617" i="7" s="1"/>
  <c r="C617" i="7" s="1"/>
  <c r="S542" i="6"/>
  <c r="D618" i="7" s="1"/>
  <c r="C618" i="7" s="1"/>
  <c r="S543" i="6"/>
  <c r="D619" i="7" s="1"/>
  <c r="C619" i="7" s="1"/>
  <c r="S521" i="6"/>
  <c r="D597" i="7" s="1"/>
  <c r="C597" i="7" s="1"/>
  <c r="S522" i="6"/>
  <c r="D598" i="7" s="1"/>
  <c r="C598" i="7" s="1"/>
  <c r="S523" i="6"/>
  <c r="D599" i="7" s="1"/>
  <c r="C599" i="7" s="1"/>
  <c r="S524" i="6"/>
  <c r="D600" i="7" s="1"/>
  <c r="C600" i="7" s="1"/>
  <c r="S525" i="6"/>
  <c r="D601" i="7" s="1"/>
  <c r="C601" i="7" s="1"/>
  <c r="S526" i="6"/>
  <c r="D602" i="7" s="1"/>
  <c r="C602" i="7" s="1"/>
  <c r="S527" i="6"/>
  <c r="D603" i="7" s="1"/>
  <c r="C603" i="7" s="1"/>
  <c r="S520" i="6"/>
  <c r="D596" i="7" s="1"/>
  <c r="C596" i="7" s="1"/>
  <c r="S497" i="6"/>
  <c r="D573" i="7" s="1"/>
  <c r="C573" i="7" s="1"/>
  <c r="S498" i="6"/>
  <c r="D574" i="7" s="1"/>
  <c r="C574" i="7" s="1"/>
  <c r="S499" i="6"/>
  <c r="D575" i="7" s="1"/>
  <c r="C575" i="7" s="1"/>
  <c r="S500" i="6"/>
  <c r="D576" i="7" s="1"/>
  <c r="C576" i="7" s="1"/>
  <c r="S501" i="6"/>
  <c r="D577" i="7" s="1"/>
  <c r="C577" i="7" s="1"/>
  <c r="S502" i="6"/>
  <c r="D578" i="7" s="1"/>
  <c r="C578" i="7" s="1"/>
  <c r="S503" i="6"/>
  <c r="D579" i="7" s="1"/>
  <c r="C579" i="7" s="1"/>
  <c r="S504" i="6"/>
  <c r="D580" i="7" s="1"/>
  <c r="C580" i="7" s="1"/>
  <c r="S505" i="6"/>
  <c r="D581" i="7" s="1"/>
  <c r="C581" i="7" s="1"/>
  <c r="S506" i="6"/>
  <c r="D582" i="7" s="1"/>
  <c r="C582" i="7" s="1"/>
  <c r="S507" i="6"/>
  <c r="D583" i="7" s="1"/>
  <c r="C583" i="7" s="1"/>
  <c r="S508" i="6"/>
  <c r="D584" i="7" s="1"/>
  <c r="C584" i="7" s="1"/>
  <c r="S509" i="6"/>
  <c r="D585" i="7" s="1"/>
  <c r="C585" i="7" s="1"/>
  <c r="S510" i="6"/>
  <c r="D586" i="7" s="1"/>
  <c r="C586" i="7" s="1"/>
  <c r="S511" i="6"/>
  <c r="D587" i="7" s="1"/>
  <c r="C587" i="7" s="1"/>
  <c r="S512" i="6"/>
  <c r="D588" i="7" s="1"/>
  <c r="C588" i="7" s="1"/>
  <c r="S513" i="6"/>
  <c r="D589" i="7" s="1"/>
  <c r="C589" i="7" s="1"/>
  <c r="S514" i="6"/>
  <c r="D590" i="7" s="1"/>
  <c r="C590" i="7" s="1"/>
  <c r="S515" i="6"/>
  <c r="D591" i="7" s="1"/>
  <c r="C591" i="7" s="1"/>
  <c r="S516" i="6"/>
  <c r="D592" i="7" s="1"/>
  <c r="C592" i="7" s="1"/>
  <c r="S517" i="6"/>
  <c r="D593" i="7" s="1"/>
  <c r="C593" i="7" s="1"/>
  <c r="S518" i="6"/>
  <c r="D594" i="7" s="1"/>
  <c r="C594" i="7" s="1"/>
  <c r="S519" i="6"/>
  <c r="D595" i="7" s="1"/>
  <c r="C595" i="7" s="1"/>
  <c r="S496" i="6"/>
  <c r="D572" i="7" s="1"/>
  <c r="C572" i="7" s="1"/>
  <c r="S473" i="6"/>
  <c r="D549" i="7" s="1"/>
  <c r="C549" i="7" s="1"/>
  <c r="S474" i="6"/>
  <c r="D550" i="7" s="1"/>
  <c r="C550" i="7" s="1"/>
  <c r="S475" i="6"/>
  <c r="D551" i="7" s="1"/>
  <c r="C551" i="7" s="1"/>
  <c r="S476" i="6"/>
  <c r="D552" i="7" s="1"/>
  <c r="C552" i="7" s="1"/>
  <c r="S477" i="6"/>
  <c r="D553" i="7" s="1"/>
  <c r="C553" i="7" s="1"/>
  <c r="S478" i="6"/>
  <c r="D554" i="7" s="1"/>
  <c r="C554" i="7" s="1"/>
  <c r="S479" i="6"/>
  <c r="D555" i="7" s="1"/>
  <c r="C555" i="7" s="1"/>
  <c r="S480" i="6"/>
  <c r="D556" i="7" s="1"/>
  <c r="C556" i="7" s="1"/>
  <c r="S481" i="6"/>
  <c r="D557" i="7" s="1"/>
  <c r="C557" i="7" s="1"/>
  <c r="S482" i="6"/>
  <c r="D558" i="7" s="1"/>
  <c r="C558" i="7" s="1"/>
  <c r="S483" i="6"/>
  <c r="D559" i="7" s="1"/>
  <c r="C559" i="7" s="1"/>
  <c r="S484" i="6"/>
  <c r="D560" i="7" s="1"/>
  <c r="C560" i="7" s="1"/>
  <c r="S485" i="6"/>
  <c r="D561" i="7" s="1"/>
  <c r="C561" i="7" s="1"/>
  <c r="S486" i="6"/>
  <c r="D562" i="7" s="1"/>
  <c r="C562" i="7" s="1"/>
  <c r="S487" i="6"/>
  <c r="D563" i="7" s="1"/>
  <c r="C563" i="7" s="1"/>
  <c r="S488" i="6"/>
  <c r="D564" i="7" s="1"/>
  <c r="C564" i="7" s="1"/>
  <c r="S489" i="6"/>
  <c r="D565" i="7" s="1"/>
  <c r="C565" i="7" s="1"/>
  <c r="S490" i="6"/>
  <c r="D566" i="7" s="1"/>
  <c r="C566" i="7" s="1"/>
  <c r="S491" i="6"/>
  <c r="D567" i="7" s="1"/>
  <c r="C567" i="7" s="1"/>
  <c r="S492" i="6"/>
  <c r="D568" i="7" s="1"/>
  <c r="C568" i="7" s="1"/>
  <c r="S493" i="6"/>
  <c r="D569" i="7" s="1"/>
  <c r="C569" i="7" s="1"/>
  <c r="S494" i="6"/>
  <c r="D570" i="7" s="1"/>
  <c r="C570" i="7" s="1"/>
  <c r="S495" i="6"/>
  <c r="D571" i="7" s="1"/>
  <c r="C571" i="7" s="1"/>
  <c r="S472" i="6"/>
  <c r="D548" i="7" s="1"/>
  <c r="C548" i="7" s="1"/>
  <c r="AB182" i="3" l="1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</calcChain>
</file>

<file path=xl/sharedStrings.xml><?xml version="1.0" encoding="utf-8"?>
<sst xmlns="http://schemas.openxmlformats.org/spreadsheetml/2006/main" count="10927" uniqueCount="3468">
  <si>
    <t>ID</t>
  </si>
  <si>
    <t>Name</t>
  </si>
  <si>
    <t>Type</t>
  </si>
  <si>
    <t>SubType</t>
  </si>
  <si>
    <t>RequireLevel</t>
  </si>
  <si>
    <t>RequireClass</t>
  </si>
  <si>
    <t>RequireGender</t>
  </si>
  <si>
    <t>MaxEquip</t>
  </si>
  <si>
    <t>MaxOwn</t>
  </si>
  <si>
    <t>Color</t>
  </si>
  <si>
    <t>BindType</t>
  </si>
  <si>
    <t>DurType</t>
  </si>
  <si>
    <t>Dur</t>
  </si>
  <si>
    <t>GroupCoolDown</t>
  </si>
  <si>
    <t>SubSubType</t>
  </si>
  <si>
    <t>Price</t>
  </si>
  <si>
    <t>UsedStatus</t>
  </si>
  <si>
    <t>Trade</t>
  </si>
  <si>
    <t>Storage</t>
  </si>
  <si>
    <t>Script</t>
  </si>
  <si>
    <t>DisplayIcon</t>
  </si>
  <si>
    <t>Description</t>
  </si>
  <si>
    <t>MaxStackNum</t>
  </si>
  <si>
    <t>DropMesh</t>
  </si>
  <si>
    <t>SoundMaterialType</t>
  </si>
  <si>
    <t>SoundActionType</t>
  </si>
  <si>
    <t>ClothNoiseType</t>
  </si>
  <si>
    <t>ItemLevel</t>
  </si>
  <si>
    <t>CanSell</t>
  </si>
  <si>
    <t>DisplayLargeIcon</t>
  </si>
  <si>
    <t>DisplayLargeIconFemale</t>
  </si>
  <si>
    <t>LimitDuration</t>
  </si>
  <si>
    <t>LimitCount</t>
  </si>
  <si>
    <t>Log</t>
  </si>
  <si>
    <t>0</t>
  </si>
  <si>
    <t>None</t>
  </si>
  <si>
    <t>StaticMesh Bottle.Dro_Bottle03</t>
  </si>
  <si>
    <t>ITEMTYPE_SOUL</t>
  </si>
  <si>
    <t>ITEMSUBTYPE_SOUL_DEFAULT</t>
  </si>
  <si>
    <t>Expensive</t>
    <phoneticPr fontId="1" type="noConversion"/>
  </si>
  <si>
    <t>PkDrop</t>
    <phoneticPr fontId="1" type="noConversion"/>
  </si>
  <si>
    <t>Texture2D MMO_ItemIcon_Supplies.Item_01</t>
    <phoneticPr fontId="1" type="noConversion"/>
  </si>
  <si>
    <t>Texture2D MMO_ItemIcon_Supplies.Item_02</t>
  </si>
  <si>
    <t>Texture2D MMO_ItemIcon_Supplies.Item_03</t>
  </si>
  <si>
    <t>Texture2D MMO_ItemIcon_Supplies.Item_04</t>
  </si>
  <si>
    <t>Texture2D MMO_ItemIcon_Supplies.Item_05</t>
  </si>
  <si>
    <t>Texture2D MMO_ItemIcon_Supplies.Item_06</t>
    <phoneticPr fontId="1" type="noConversion"/>
  </si>
  <si>
    <t>Texture2D MMO_ItemIcon_Supplies.Item_07</t>
  </si>
  <si>
    <t>Texture2D MMO_ItemIcon_Supplies.Item_08</t>
  </si>
  <si>
    <t>Texture2D MMO_ItemIcon_Supplies.Item_09</t>
  </si>
  <si>
    <t>Texture2D MMO_ItemIcon_Supplies.Item_10</t>
  </si>
  <si>
    <t>Texture2D MMO_ItemIcon_Supplies.Item_12</t>
  </si>
  <si>
    <t>Texture2D MMO_ItemIcon_Supplies.Item_13</t>
  </si>
  <si>
    <t>Texture2D MMO_ItemIcon_Supplies.Item_14</t>
  </si>
  <si>
    <t>Texture2D MMO_ItemIcon_Supplies.Item_11</t>
    <phoneticPr fontId="1" type="noConversion"/>
  </si>
  <si>
    <t>Texture2D MMO_ItemIcon_Supplies.Item_15</t>
  </si>
  <si>
    <t>Texture2D MMO_ItemIcon_Supplies.Item_16</t>
    <phoneticPr fontId="1" type="noConversion"/>
  </si>
  <si>
    <t>Texture2D MMO_ItemIcon_Supplies.Item_17</t>
  </si>
  <si>
    <t>Texture2D MMO_ItemIcon_Supplies.Item_18</t>
  </si>
  <si>
    <t>蛮力朱砂灵石2级</t>
  </si>
  <si>
    <t>蛮力朱砂灵石3级</t>
  </si>
  <si>
    <t>蛮力朱砂灵石4级</t>
  </si>
  <si>
    <t>蛮力朱砂灵石5级</t>
  </si>
  <si>
    <t>蛮力朱砂灵石6级</t>
  </si>
  <si>
    <t>蛮力朱砂灵石7级</t>
  </si>
  <si>
    <t>蛮力朱砂灵石8级</t>
  </si>
  <si>
    <t>蛮力朱砂灵石9级</t>
  </si>
  <si>
    <t>蛮力朱砂灵石10级</t>
    <phoneticPr fontId="1" type="noConversion"/>
  </si>
  <si>
    <t>蛮力朱砂灵石1级</t>
    <phoneticPr fontId="1" type="noConversion"/>
  </si>
  <si>
    <t>统御朱砂灵石1级</t>
    <phoneticPr fontId="1" type="noConversion"/>
  </si>
  <si>
    <t>统御朱砂灵石2级</t>
  </si>
  <si>
    <t>统御朱砂灵石3级</t>
  </si>
  <si>
    <t>统御朱砂灵石4级</t>
  </si>
  <si>
    <t>统御朱砂灵石5级</t>
  </si>
  <si>
    <t>统御朱砂灵石6级</t>
  </si>
  <si>
    <t>统御朱砂灵石7级</t>
  </si>
  <si>
    <t>统御朱砂灵石8级</t>
  </si>
  <si>
    <t>统御朱砂灵石9级</t>
  </si>
  <si>
    <t>统御朱砂灵石10级</t>
  </si>
  <si>
    <t>灵敏朱砂灵石1级</t>
    <phoneticPr fontId="1" type="noConversion"/>
  </si>
  <si>
    <t>灵敏朱砂灵石2级</t>
  </si>
  <si>
    <t>灵敏朱砂灵石3级</t>
  </si>
  <si>
    <t>灵敏朱砂灵石4级</t>
  </si>
  <si>
    <t>灵敏朱砂灵石5级</t>
  </si>
  <si>
    <t>灵敏朱砂灵石6级</t>
  </si>
  <si>
    <t>灵敏朱砂灵石7级</t>
  </si>
  <si>
    <t>灵敏朱砂灵石8级</t>
  </si>
  <si>
    <t>灵敏朱砂灵石9级</t>
  </si>
  <si>
    <t>灵敏朱砂灵石10级</t>
  </si>
  <si>
    <t>迅捷日光灵石1级</t>
  </si>
  <si>
    <t>迅捷日光灵石2级</t>
  </si>
  <si>
    <t>迅捷日光灵石3级</t>
  </si>
  <si>
    <t>迅捷日光灵石4级</t>
  </si>
  <si>
    <t>迅捷日光灵石5级</t>
  </si>
  <si>
    <t>迅捷日光灵石6级</t>
  </si>
  <si>
    <t>迅捷日光灵石7级</t>
  </si>
  <si>
    <t>迅捷日光灵石8级</t>
  </si>
  <si>
    <t>迅捷日光灵石9级</t>
  </si>
  <si>
    <t>迅捷日光灵石10级</t>
  </si>
  <si>
    <t>致命日光灵石1级</t>
  </si>
  <si>
    <t>致命日光灵石2级</t>
  </si>
  <si>
    <t>致命日光灵石3级</t>
  </si>
  <si>
    <t>致命日光灵石4级</t>
  </si>
  <si>
    <t>致命日光灵石5级</t>
  </si>
  <si>
    <t>致命日光灵石6级</t>
  </si>
  <si>
    <t>致命日光灵石7级</t>
  </si>
  <si>
    <t>致命日光灵石8级</t>
  </si>
  <si>
    <t>致命日光灵石9级</t>
  </si>
  <si>
    <t>致命日光灵石10级</t>
  </si>
  <si>
    <t>守护日光灵石1级</t>
  </si>
  <si>
    <t>守护日光灵石2级</t>
  </si>
  <si>
    <t>守护日光灵石3级</t>
  </si>
  <si>
    <t>守护日光灵石4级</t>
  </si>
  <si>
    <t>守护日光灵石5级</t>
  </si>
  <si>
    <t>守护日光灵石6级</t>
  </si>
  <si>
    <t>守护日光灵石7级</t>
  </si>
  <si>
    <t>守护日光灵石8级</t>
  </si>
  <si>
    <t>守护日光灵石9级</t>
  </si>
  <si>
    <t>守护日光灵石10级</t>
  </si>
  <si>
    <t>稳固蔚蓝灵石1级</t>
    <phoneticPr fontId="1" type="noConversion"/>
  </si>
  <si>
    <t>稳固蔚蓝灵石2级</t>
  </si>
  <si>
    <t>稳固蔚蓝灵石3级</t>
  </si>
  <si>
    <t>稳固蔚蓝灵石4级</t>
  </si>
  <si>
    <t>稳固蔚蓝灵石5级</t>
  </si>
  <si>
    <t>稳固蔚蓝灵石6级</t>
  </si>
  <si>
    <t>稳固蔚蓝灵石7级</t>
  </si>
  <si>
    <t>稳固蔚蓝灵石8级</t>
  </si>
  <si>
    <t>稳固蔚蓝灵石9级</t>
  </si>
  <si>
    <t>稳固蔚蓝灵石10级</t>
  </si>
  <si>
    <t>准确蔚蓝灵石1级</t>
    <phoneticPr fontId="1" type="noConversion"/>
  </si>
  <si>
    <t>准确蔚蓝灵石2级</t>
  </si>
  <si>
    <t>准确蔚蓝灵石3级</t>
  </si>
  <si>
    <t>准确蔚蓝灵石4级</t>
  </si>
  <si>
    <t>准确蔚蓝灵石5级</t>
  </si>
  <si>
    <t>准确蔚蓝灵石6级</t>
  </si>
  <si>
    <t>准确蔚蓝灵石7级</t>
  </si>
  <si>
    <t>准确蔚蓝灵石8级</t>
  </si>
  <si>
    <t>准确蔚蓝灵石9级</t>
  </si>
  <si>
    <t>准确蔚蓝灵石10级</t>
  </si>
  <si>
    <t>纯洁蔚蓝灵石1级</t>
    <phoneticPr fontId="1" type="noConversion"/>
  </si>
  <si>
    <t>纯洁蔚蓝灵石2级</t>
  </si>
  <si>
    <t>纯洁蔚蓝灵石3级</t>
  </si>
  <si>
    <t>纯洁蔚蓝灵石4级</t>
  </si>
  <si>
    <t>纯洁蔚蓝灵石5级</t>
  </si>
  <si>
    <t>纯洁蔚蓝灵石6级</t>
  </si>
  <si>
    <t>纯洁蔚蓝灵石7级</t>
  </si>
  <si>
    <t>纯洁蔚蓝灵石8级</t>
  </si>
  <si>
    <t>纯洁蔚蓝灵石9级</t>
  </si>
  <si>
    <t>纯洁蔚蓝灵石10级</t>
  </si>
  <si>
    <t>明净碧绿灵石1级</t>
    <phoneticPr fontId="1" type="noConversion"/>
  </si>
  <si>
    <t>明净碧绿灵石2级</t>
  </si>
  <si>
    <t>明净碧绿灵石3级</t>
  </si>
  <si>
    <t>明净碧绿灵石4级</t>
  </si>
  <si>
    <t>明净碧绿灵石5级</t>
  </si>
  <si>
    <t>明净碧绿灵石6级</t>
  </si>
  <si>
    <t>明净碧绿灵石7级</t>
  </si>
  <si>
    <t>明净碧绿灵石8级</t>
  </si>
  <si>
    <t>明净碧绿灵石9级</t>
  </si>
  <si>
    <t>明净碧绿灵石10级</t>
  </si>
  <si>
    <t>轻盈碧绿灵石1级</t>
    <phoneticPr fontId="1" type="noConversion"/>
  </si>
  <si>
    <t>轻盈碧绿灵石2级</t>
  </si>
  <si>
    <t>轻盈碧绿灵石3级</t>
  </si>
  <si>
    <t>轻盈碧绿灵石4级</t>
  </si>
  <si>
    <t>轻盈碧绿灵石5级</t>
  </si>
  <si>
    <t>轻盈碧绿灵石6级</t>
  </si>
  <si>
    <t>轻盈碧绿灵石7级</t>
  </si>
  <si>
    <t>轻盈碧绿灵石8级</t>
  </si>
  <si>
    <t>轻盈碧绿灵石9级</t>
  </si>
  <si>
    <t>轻盈碧绿灵石10级</t>
  </si>
  <si>
    <t>睿智碧绿灵石1级</t>
    <phoneticPr fontId="1" type="noConversion"/>
  </si>
  <si>
    <t>睿智碧绿灵石2级</t>
  </si>
  <si>
    <t>睿智碧绿灵石3级</t>
  </si>
  <si>
    <t>睿智碧绿灵石4级</t>
  </si>
  <si>
    <t>睿智碧绿灵石5级</t>
  </si>
  <si>
    <t>睿智碧绿灵石6级</t>
  </si>
  <si>
    <t>睿智碧绿灵石7级</t>
  </si>
  <si>
    <t>睿智碧绿灵石8级</t>
  </si>
  <si>
    <t>睿智碧绿灵石9级</t>
  </si>
  <si>
    <t>睿智碧绿灵石10级</t>
  </si>
  <si>
    <t>秘法暗紫灵石1级</t>
    <phoneticPr fontId="1" type="noConversion"/>
  </si>
  <si>
    <t>秘法暗紫灵石2级</t>
  </si>
  <si>
    <t>秘法暗紫灵石3级</t>
  </si>
  <si>
    <t>秘法暗紫灵石4级</t>
  </si>
  <si>
    <t>秘法暗紫灵石5级</t>
  </si>
  <si>
    <t>秘法暗紫灵石6级</t>
  </si>
  <si>
    <t>秘法暗紫灵石7级</t>
  </si>
  <si>
    <t>秘法暗紫灵石8级</t>
  </si>
  <si>
    <t>秘法暗紫灵石9级</t>
  </si>
  <si>
    <t>秘法暗紫灵石10级</t>
  </si>
  <si>
    <t>坚韧暗紫灵石1级</t>
    <phoneticPr fontId="1" type="noConversion"/>
  </si>
  <si>
    <t>坚韧暗紫灵石2级</t>
  </si>
  <si>
    <t>坚韧暗紫灵石3级</t>
  </si>
  <si>
    <t>坚韧暗紫灵石4级</t>
  </si>
  <si>
    <t>坚韧暗紫灵石5级</t>
  </si>
  <si>
    <t>坚韧暗紫灵石6级</t>
  </si>
  <si>
    <t>坚韧暗紫灵石7级</t>
  </si>
  <si>
    <t>坚韧暗紫灵石8级</t>
  </si>
  <si>
    <t>坚韧暗紫灵石9级</t>
  </si>
  <si>
    <t>坚韧暗紫灵石10级</t>
  </si>
  <si>
    <t>强袭暗紫灵石1级</t>
    <phoneticPr fontId="1" type="noConversion"/>
  </si>
  <si>
    <t>强袭暗紫灵石2级</t>
  </si>
  <si>
    <t>强袭暗紫灵石3级</t>
  </si>
  <si>
    <t>强袭暗紫灵石4级</t>
  </si>
  <si>
    <t>强袭暗紫灵石5级</t>
  </si>
  <si>
    <t>强袭暗紫灵石6级</t>
  </si>
  <si>
    <t>强袭暗紫灵石7级</t>
  </si>
  <si>
    <t>强袭暗紫灵石8级</t>
  </si>
  <si>
    <t>强袭暗紫灵石9级</t>
  </si>
  <si>
    <t>强袭暗紫灵石10级</t>
  </si>
  <si>
    <t>进击幻彩灵石1级</t>
    <phoneticPr fontId="1" type="noConversion"/>
  </si>
  <si>
    <t>进击幻彩灵石2级</t>
  </si>
  <si>
    <t>进击幻彩灵石3级</t>
  </si>
  <si>
    <t>进击幻彩灵石4级</t>
  </si>
  <si>
    <t>进击幻彩灵石5级</t>
  </si>
  <si>
    <t>进击幻彩灵石6级</t>
  </si>
  <si>
    <t>进击幻彩灵石7级</t>
  </si>
  <si>
    <t>进击幻彩灵石8级</t>
  </si>
  <si>
    <t>进击幻彩灵石9级</t>
  </si>
  <si>
    <t>进击幻彩灵石10级</t>
  </si>
  <si>
    <t>抵御幻彩灵石1级</t>
    <phoneticPr fontId="1" type="noConversion"/>
  </si>
  <si>
    <t>抵御幻彩灵石2级</t>
  </si>
  <si>
    <t>抵御幻彩灵石3级</t>
  </si>
  <si>
    <t>抵御幻彩灵石4级</t>
  </si>
  <si>
    <t>抵御幻彩灵石5级</t>
  </si>
  <si>
    <t>抵御幻彩灵石6级</t>
  </si>
  <si>
    <t>抵御幻彩灵石7级</t>
  </si>
  <si>
    <t>抵御幻彩灵石8级</t>
  </si>
  <si>
    <t>抵御幻彩灵石9级</t>
  </si>
  <si>
    <t>抵御幻彩灵石10级</t>
  </si>
  <si>
    <t>狂热幻彩灵石1级</t>
    <phoneticPr fontId="1" type="noConversion"/>
  </si>
  <si>
    <t>狂热幻彩灵石2级</t>
  </si>
  <si>
    <t>狂热幻彩灵石3级</t>
  </si>
  <si>
    <t>狂热幻彩灵石4级</t>
  </si>
  <si>
    <t>狂热幻彩灵石5级</t>
  </si>
  <si>
    <t>狂热幻彩灵石6级</t>
  </si>
  <si>
    <t>狂热幻彩灵石7级</t>
  </si>
  <si>
    <t>狂热幻彩灵石8级</t>
  </si>
  <si>
    <t>狂热幻彩灵石9级</t>
  </si>
  <si>
    <t>狂热幻彩灵石10级</t>
  </si>
  <si>
    <t>SelfCoolDown</t>
    <phoneticPr fontId="1" type="noConversion"/>
  </si>
  <si>
    <t>SpellID</t>
    <phoneticPr fontId="1" type="noConversion"/>
  </si>
  <si>
    <t>SpellLevel</t>
    <phoneticPr fontId="1" type="noConversion"/>
  </si>
  <si>
    <t>CanDrop</t>
    <phoneticPr fontId="1" type="noConversion"/>
  </si>
  <si>
    <t>&lt;br&gt;&lt;font color='#43FF98'&gt;                          力量 12&lt;br&gt;&lt;br&gt;&lt;font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</si>
  <si>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力量 19&lt;br&gt;&lt;br&gt;&lt;font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</si>
  <si>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力量 28&lt;br&gt;&lt;br&gt;&lt;font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</si>
  <si>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力量 39&lt;br&gt;&lt;br&gt;&lt;font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</si>
  <si>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力量 52&lt;br&gt;&lt;br&gt;&lt;font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</si>
  <si>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力量 67&lt;br&gt;&lt;br&gt;&lt;font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</si>
  <si>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力量 85&lt;br&gt;&lt;br&gt;&lt;font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</si>
  <si>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力量 107&lt;br&gt;&lt;br&gt;&lt;font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</si>
  <si>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力量 133&lt;br&gt;&lt;br&gt;&lt;font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</si>
  <si>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格挡值 6&lt;br&gt;&lt;br&gt;&lt;font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</si>
  <si>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格挡值 12&lt;br&gt;&lt;br&gt;&lt;font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</si>
  <si>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格挡值 19&lt;br&gt;&lt;br&gt;&lt;font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</si>
  <si>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格挡值 28&lt;br&gt;&lt;br&gt;&lt;font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</si>
  <si>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格挡值 39&lt;br&gt;&lt;br&gt;&lt;font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</si>
  <si>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格挡值 52&lt;br&gt;&lt;br&gt;&lt;font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</si>
  <si>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格挡值 67&lt;br&gt;&lt;br&gt;&lt;font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</si>
  <si>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格挡值 85&lt;br&gt;&lt;br&gt;&lt;font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</si>
  <si>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格挡值 107&lt;br&gt;&lt;br&gt;&lt;font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</si>
  <si>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格挡值 133&lt;br&gt;&lt;br&gt;&lt;font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</si>
  <si>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2%&lt;br&gt;&lt;br&gt;&lt;font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</si>
  <si>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4%&lt;br&gt;&lt;br&gt;&lt;font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</si>
  <si>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6%&lt;br&gt;&lt;br&gt;&lt;font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</si>
  <si>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8%&lt;br&gt;&lt;br&gt;&lt;font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</si>
  <si>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10%&lt;br&gt;&lt;br&gt;&lt;font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</si>
  <si>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6&lt;br&gt;&lt;br&gt;&lt;font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</si>
  <si>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12&lt;br&gt;&lt;br&gt;&lt;font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</si>
  <si>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19&lt;br&gt;&lt;br&gt;&lt;font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</si>
  <si>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28&lt;br&gt;&lt;br&gt;&lt;font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</si>
  <si>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39&lt;br&gt;&lt;br&gt;&lt;font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</si>
  <si>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52&lt;br&gt;&lt;br&gt;&lt;font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</si>
  <si>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67&lt;br&gt;&lt;br&gt;&lt;font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</si>
  <si>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85&lt;br&gt;&lt;br&gt;&lt;font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</si>
  <si>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107&lt;br&gt;&lt;br&gt;&lt;font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</si>
  <si>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133&lt;br&gt;&lt;br&gt;&lt;font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</si>
  <si>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暴击 6&lt;br&gt;&lt;br&gt;&lt;font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</si>
  <si>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暴击 12&lt;br&gt;&lt;br&gt;&lt;font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</si>
  <si>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暴击 19&lt;br&gt;&lt;br&gt;&lt;font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</si>
  <si>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暴击 28&lt;br&gt;&lt;br&gt;&lt;font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</si>
  <si>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暴击 39&lt;br&gt;&lt;br&gt;&lt;font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</si>
  <si>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暴击 52&lt;br&gt;&lt;br&gt;&lt;font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</si>
  <si>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暴击 67&lt;br&gt;&lt;br&gt;&lt;font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</si>
  <si>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暴击 85&lt;br&gt;&lt;br&gt;&lt;font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</si>
  <si>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暴击 107&lt;br&gt;&lt;br&gt;&lt;font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</si>
  <si>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暴击 133&lt;br&gt;&lt;br&gt;&lt;font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</si>
  <si>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体质 2%&lt;br&gt;&lt;br&gt;&lt;font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</si>
  <si>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体质 4%&lt;br&gt;&lt;br&gt;&lt;font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</si>
  <si>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体质 6%&lt;br&gt;&lt;br&gt;&lt;font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</si>
  <si>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体质 8%&lt;br&gt;&lt;br&gt;&lt;font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</si>
  <si>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体质 10%&lt;br&gt;&lt;br&gt;&lt;font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</si>
  <si>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体质 6&lt;br&gt;&lt;br&gt;&lt;font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</si>
  <si>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体质 12&lt;br&gt;&lt;br&gt;&lt;font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</si>
  <si>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体质 19&lt;br&gt;&lt;br&gt;&lt;font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</si>
  <si>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体质 28&lt;br&gt;&lt;br&gt;&lt;font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</si>
  <si>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体质 39&lt;br&gt;&lt;br&gt;&lt;font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</si>
  <si>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体质 52&lt;br&gt;&lt;br&gt;&lt;font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</si>
  <si>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体质 67&lt;br&gt;&lt;br&gt;&lt;font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</si>
  <si>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体质 85&lt;br&gt;&lt;br&gt;&lt;font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</si>
  <si>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体质 107&lt;br&gt;&lt;br&gt;&lt;font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</si>
  <si>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体质 133&lt;br&gt;&lt;br&gt;&lt;font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</si>
  <si>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精准 6&lt;br&gt;&lt;br&gt;&lt;font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</si>
  <si>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精准 12&lt;br&gt;&lt;br&gt;&lt;font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</si>
  <si>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精准 19&lt;br&gt;&lt;br&gt;&lt;font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</si>
  <si>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精准 28&lt;br&gt;&lt;br&gt;&lt;font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</si>
  <si>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精准 39&lt;br&gt;&lt;br&gt;&lt;font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</si>
  <si>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精准 52&lt;br&gt;&lt;br&gt;&lt;font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</si>
  <si>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精准 67&lt;br&gt;&lt;br&gt;&lt;font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</si>
  <si>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精准 85&lt;br&gt;&lt;br&gt;&lt;font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</si>
  <si>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精准 107&lt;br&gt;&lt;br&gt;&lt;font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</si>
  <si>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精准 133&lt;br&gt;&lt;br&gt;&lt;font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</si>
  <si>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精神 2%&lt;br&gt;&lt;br&gt;&lt;font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</si>
  <si>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精神 4%&lt;br&gt;&lt;br&gt;&lt;font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</si>
  <si>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精神 6%&lt;br&gt;&lt;br&gt;&lt;font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</si>
  <si>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精神 8%&lt;br&gt;&lt;br&gt;&lt;font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</si>
  <si>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精神 10%&lt;br&gt;&lt;br&gt;&lt;font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</si>
  <si>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精神 6&lt;br&gt;&lt;br&gt;&lt;font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</si>
  <si>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精神 12&lt;br&gt;&lt;br&gt;&lt;font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</si>
  <si>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精神 19&lt;br&gt;&lt;br&gt;&lt;font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</si>
  <si>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精神 28&lt;br&gt;&lt;br&gt;&lt;font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</si>
  <si>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精神 39&lt;br&gt;&lt;br&gt;&lt;font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</si>
  <si>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精神 52&lt;br&gt;&lt;br&gt;&lt;font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</si>
  <si>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精神 67&lt;br&gt;&lt;br&gt;&lt;font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</si>
  <si>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精神 85&lt;br&gt;&lt;br&gt;&lt;font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</si>
  <si>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精神 107&lt;br&gt;&lt;br&gt;&lt;font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</si>
  <si>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精神 133&lt;br&gt;&lt;br&gt;&lt;font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</si>
  <si>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智力 2%&lt;br&gt;&lt;br&gt;&lt;font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</si>
  <si>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智力 4%&lt;br&gt;&lt;br&gt;&lt;font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</si>
  <si>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智力 6%&lt;br&gt;&lt;br&gt;&lt;font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</si>
  <si>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智力 8%&lt;br&gt;&lt;br&gt;&lt;font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</si>
  <si>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智力 10%&lt;br&gt;&lt;br&gt;&lt;font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</si>
  <si>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智力 6&lt;br&gt;&lt;br&gt;&lt;font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</si>
  <si>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智力 12&lt;br&gt;&lt;br&gt;&lt;font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</si>
  <si>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智力 19&lt;br&gt;&lt;br&gt;&lt;font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</si>
  <si>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智力 28&lt;br&gt;&lt;br&gt;&lt;font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</si>
  <si>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智力 39&lt;br&gt;&lt;br&gt;&lt;font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</si>
  <si>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智力 52&lt;br&gt;&lt;br&gt;&lt;font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</si>
  <si>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智力 67&lt;br&gt;&lt;br&gt;&lt;font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</si>
  <si>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智力 85&lt;br&gt;&lt;br&gt;&lt;font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</si>
  <si>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智力 107&lt;br&gt;&lt;br&gt;&lt;font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</si>
  <si>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智力 133&lt;br&gt;&lt;br&gt;&lt;font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</si>
  <si>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力量 2%&lt;br&gt;&lt;br&gt;&lt;font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</si>
  <si>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力量 4%&lt;br&gt;&lt;br&gt;&lt;font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</si>
  <si>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力量 6%&lt;br&gt;&lt;br&gt;&lt;font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</si>
  <si>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力量 8%&lt;br&gt;&lt;br&gt;&lt;font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</si>
  <si>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力量 10%&lt;br&gt;&lt;br&gt;&lt;font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</si>
  <si>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伤害加成 6%&lt;br&gt;&lt;br&gt;&lt;font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</si>
  <si>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伤害加成 12%&lt;br&gt;&lt;br&gt;&lt;font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</si>
  <si>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伤害加成 18%&lt;br&gt;&lt;br&gt;&lt;font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</si>
  <si>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敏捷 1%&lt;br&gt;&lt;br&gt;&lt;font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</si>
  <si>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力量 6&lt;br&gt;&lt;br&gt;&lt;font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</si>
  <si>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3%&lt;br&gt;&lt;br&gt;&lt;font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</si>
  <si>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5%&lt;br&gt;&lt;br&gt;&lt;font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</si>
  <si>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7%&lt;br&gt;&lt;br&gt;&lt;font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</si>
  <si>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敏捷 9%&lt;br&gt;&lt;br&gt;&lt;font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t>
  </si>
  <si>
    <t>&lt;br&gt;&lt;font color='#43FF98'&gt;                          体质 1%&lt;br&gt;&lt;br&gt;&lt;font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</si>
  <si>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体质 3%&lt;br&gt;&lt;br&gt;&lt;font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</si>
  <si>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体质 5%&lt;br&gt;&lt;br&gt;&lt;font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</si>
  <si>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体质 7%&lt;br&gt;&lt;br&gt;&lt;font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</si>
  <si>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体质 9%&lt;br&gt;&lt;br&gt;&lt;font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t>
  </si>
  <si>
    <t>&lt;br&gt;&lt;font color='#43FF98'&gt;                          精神 1%&lt;br&gt;&lt;br&gt;&lt;font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</si>
  <si>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精神 3%&lt;br&gt;&lt;br&gt;&lt;font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</si>
  <si>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精神 5%&lt;br&gt;&lt;br&gt;&lt;font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</si>
  <si>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精神 7%&lt;br&gt;&lt;br&gt;&lt;font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</si>
  <si>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精神 9%&lt;br&gt;&lt;br&gt;&lt;font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t>
  </si>
  <si>
    <t>&lt;br&gt;&lt;font color='#43FF98'&gt;                          闪避 7&lt;br&gt;&lt;br&gt;&lt;font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</si>
  <si>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闪避 14&lt;br&gt;&lt;br&gt;&lt;font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</si>
  <si>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闪避 23&lt;br&gt;&lt;br&gt;&lt;font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</si>
  <si>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闪避 34&lt;br&gt;&lt;br&gt;&lt;font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</si>
  <si>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闪避 47&lt;br&gt;&lt;br&gt;&lt;font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</si>
  <si>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闪避 62&lt;br&gt;&lt;br&gt;&lt;font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</si>
  <si>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闪避 80&lt;br&gt;&lt;br&gt;&lt;font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</si>
  <si>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闪避 102&lt;br&gt;&lt;br&gt;&lt;font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</si>
  <si>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闪避 128&lt;br&gt;&lt;br&gt;&lt;font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</si>
  <si>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闪避 160&lt;br&gt;&lt;br&gt;&lt;font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</si>
  <si>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智力 1%&lt;br&gt;&lt;br&gt;&lt;font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</si>
  <si>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智力 3%&lt;br&gt;&lt;br&gt;&lt;font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</si>
  <si>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智力 5%&lt;br&gt;&lt;br&gt;&lt;font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</si>
  <si>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智力 7%&lt;br&gt;&lt;br&gt;&lt;font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</si>
  <si>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智力 9%&lt;br&gt;&lt;br&gt;&lt;font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t>
  </si>
  <si>
    <t>&lt;br&gt;&lt;font color='#43FF98'&gt;                          抗暴 7&lt;br&gt;&lt;br&gt;&lt;font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</si>
  <si>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抗暴 14&lt;br&gt;&lt;br&gt;&lt;font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</si>
  <si>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抗暴 23&lt;br&gt;&lt;br&gt;&lt;font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</si>
  <si>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抗暴 34&lt;br&gt;&lt;br&gt;&lt;font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</si>
  <si>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抗暴 47&lt;br&gt;&lt;br&gt;&lt;font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</si>
  <si>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抗暴 62&lt;br&gt;&lt;br&gt;&lt;font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</si>
  <si>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抗暴 80&lt;br&gt;&lt;br&gt;&lt;font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</si>
  <si>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抗暴 102&lt;br&gt;&lt;br&gt;&lt;font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</si>
  <si>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抗暴 128&lt;br&gt;&lt;br&gt;&lt;font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</si>
  <si>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抗暴 160&lt;br&gt;&lt;br&gt;&lt;font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</si>
  <si>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力量 1%&lt;br&gt;&lt;br&gt;&lt;font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</si>
  <si>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力量 3%&lt;br&gt;&lt;br&gt;&lt;font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</si>
  <si>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力量 5%&lt;br&gt;&lt;br&gt;&lt;font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</si>
  <si>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力量 7%&lt;br&gt;&lt;br&gt;&lt;font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</si>
  <si>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力量 9%&lt;br&gt;&lt;br&gt;&lt;font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t>
  </si>
  <si>
    <t>&lt;br&gt;&lt;font color='#43FF98'&gt;                          伤害加成 3%&lt;br&gt;&lt;br&gt;&lt;font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</si>
  <si>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伤害加成 9%&lt;br&gt;&lt;br&gt;&lt;font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</si>
  <si>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伤害加成 15%&lt;br&gt;&lt;br&gt;&lt;font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</si>
  <si>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伤害加成 21%&lt;br&gt;&lt;br&gt;&lt;font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</si>
  <si>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伤害加成 24%&lt;br&gt;&lt;br&gt;&lt;font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</si>
  <si>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伤害加成 27%&lt;br&gt;&lt;br&gt;&lt;font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</si>
  <si>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伤害加成 30%&lt;br&gt;&lt;br&gt;&lt;font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</si>
  <si>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生命上限 3%&lt;br&gt;&lt;br&gt;&lt;font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</si>
  <si>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生命上限 6%&lt;br&gt;&lt;br&gt;&lt;font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</si>
  <si>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生命上限 9%&lt;br&gt;&lt;br&gt;&lt;font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</si>
  <si>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生命上限 12%&lt;br&gt;&lt;br&gt;&lt;font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</si>
  <si>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生命上限 15%&lt;br&gt;&lt;br&gt;&lt;font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</si>
  <si>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生命上限 18%&lt;br&gt;&lt;br&gt;&lt;font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</si>
  <si>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生命上限 21%&lt;br&gt;&lt;br&gt;&lt;font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</si>
  <si>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生命上限 24%&lt;br&gt;&lt;br&gt;&lt;font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</si>
  <si>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生命上限 27%&lt;br&gt;&lt;br&gt;&lt;font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</si>
  <si>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生命上限 30%&lt;br&gt;&lt;br&gt;&lt;font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</si>
  <si>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攻击速度 6%&lt;br&gt;&lt;br&gt;&lt;font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</si>
  <si>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攻击速度 12%&lt;br&gt;&lt;br&gt;&lt;font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</si>
  <si>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攻击速度 18%&lt;br&gt;&lt;br&gt;&lt;font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</si>
  <si>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攻击速度 24%&lt;br&gt;&lt;br&gt;&lt;font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</si>
  <si>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攻击速度 30%&lt;br&gt;&lt;br&gt;&lt;font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</si>
  <si>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攻击速度 36%&lt;br&gt;&lt;br&gt;&lt;font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</si>
  <si>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攻击速度 42%&lt;br&gt;&lt;br&gt;&lt;font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</si>
  <si>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攻击速度 48%&lt;br&gt;&lt;br&gt;&lt;font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</si>
  <si>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攻击速度 54%&lt;br&gt;&lt;br&gt;&lt;font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</si>
  <si>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&lt;br&gt;&lt;font color='#43FF98'&gt;                          攻击速度 60%&lt;br&gt;&lt;br&gt;&lt;font color='#F2F2F2'&gt;封印强大灵魂能量的彩色灵石，可镶入装备的彩色插槽中提升装备属性&lt;br&gt;&lt;font color='#B2B2B2'&gt;            [按下&lt;font color='#FFa500'&gt;I&lt;font color='#B2B2B2'&gt;键打开灵魂镶嵌界面]</t>
  </si>
  <si>
    <t>SpellID</t>
  </si>
  <si>
    <t>SpellLevel</t>
  </si>
  <si>
    <t>SelfCoolDown</t>
  </si>
  <si>
    <t>CanDrop</t>
  </si>
  <si>
    <t>Expensive</t>
  </si>
  <si>
    <t>PkDrop</t>
  </si>
  <si>
    <t>AuctionFee</t>
  </si>
  <si>
    <t>AuctionType</t>
  </si>
  <si>
    <t>AuctionSubType</t>
  </si>
  <si>
    <t>AuctionDefaultPrice</t>
  </si>
  <si>
    <t>字段名称</t>
    <phoneticPr fontId="1" type="noConversion"/>
  </si>
  <si>
    <t>描述</t>
    <phoneticPr fontId="1" type="noConversion"/>
  </si>
  <si>
    <t>说明</t>
    <phoneticPr fontId="1" type="noConversion"/>
  </si>
  <si>
    <t>id</t>
    <phoneticPr fontId="1" type="noConversion"/>
  </si>
  <si>
    <t>与item_armor表共用，不能重复</t>
    <phoneticPr fontId="1" type="noConversion"/>
  </si>
  <si>
    <t>不能重复</t>
    <phoneticPr fontId="1" type="noConversion"/>
  </si>
  <si>
    <t>道具类型</t>
    <phoneticPr fontId="1" type="noConversion"/>
  </si>
  <si>
    <t>道具子类型</t>
    <phoneticPr fontId="1" type="noConversion"/>
  </si>
  <si>
    <t>使用等级限制</t>
    <phoneticPr fontId="1" type="noConversion"/>
  </si>
  <si>
    <t>使用职业限制</t>
    <phoneticPr fontId="1" type="noConversion"/>
  </si>
  <si>
    <t>使用性别限制</t>
    <phoneticPr fontId="1" type="noConversion"/>
  </si>
  <si>
    <t>4位代表4个职业，15（1111）代表每个职业都能用</t>
    <phoneticPr fontId="1" type="noConversion"/>
  </si>
  <si>
    <t>0表示无限制</t>
    <phoneticPr fontId="1" type="noConversion"/>
  </si>
  <si>
    <t>最大装备量</t>
    <phoneticPr fontId="1" type="noConversion"/>
  </si>
  <si>
    <t>填0</t>
    <phoneticPr fontId="1" type="noConversion"/>
  </si>
  <si>
    <t>可拥有上限</t>
    <phoneticPr fontId="1" type="noConversion"/>
  </si>
  <si>
    <t>道具品质</t>
    <phoneticPr fontId="1" type="noConversion"/>
  </si>
  <si>
    <t>0-白，1-绿，2-蓝，3-紫，4-橙</t>
    <phoneticPr fontId="1" type="noConversion"/>
  </si>
  <si>
    <t>技能id</t>
    <phoneticPr fontId="1" type="noConversion"/>
  </si>
  <si>
    <t>技能等级</t>
    <phoneticPr fontId="1" type="noConversion"/>
  </si>
  <si>
    <t>道具自身cd时间</t>
    <phoneticPr fontId="1" type="noConversion"/>
  </si>
  <si>
    <t>道具组cd时间</t>
    <phoneticPr fontId="1" type="noConversion"/>
  </si>
  <si>
    <t>子子类型</t>
    <phoneticPr fontId="1" type="noConversion"/>
  </si>
  <si>
    <t>没用到</t>
    <phoneticPr fontId="1" type="noConversion"/>
  </si>
  <si>
    <t>卖店绑金价格</t>
    <phoneticPr fontId="1" type="noConversion"/>
  </si>
  <si>
    <t>可以丢弃</t>
    <phoneticPr fontId="1" type="noConversion"/>
  </si>
  <si>
    <t>1-可以，0-不可</t>
    <phoneticPr fontId="1" type="noConversion"/>
  </si>
  <si>
    <t>可交易</t>
    <phoneticPr fontId="1" type="noConversion"/>
  </si>
  <si>
    <t>可存入仓库</t>
    <phoneticPr fontId="1" type="noConversion"/>
  </si>
  <si>
    <t>脚本编号</t>
    <phoneticPr fontId="1" type="noConversion"/>
  </si>
  <si>
    <t>道具图标</t>
    <phoneticPr fontId="1" type="noConversion"/>
  </si>
  <si>
    <t>tips描述</t>
    <phoneticPr fontId="1" type="noConversion"/>
  </si>
  <si>
    <t>一堆的数量</t>
    <phoneticPr fontId="1" type="noConversion"/>
  </si>
  <si>
    <t>掉落模型</t>
    <phoneticPr fontId="1" type="noConversion"/>
  </si>
  <si>
    <t>声音材质类型</t>
    <phoneticPr fontId="1" type="noConversion"/>
  </si>
  <si>
    <t>声音动作类型</t>
    <phoneticPr fontId="1" type="noConversion"/>
  </si>
  <si>
    <t>道具等级</t>
    <phoneticPr fontId="1" type="noConversion"/>
  </si>
  <si>
    <t>可以卖店</t>
    <phoneticPr fontId="1" type="noConversion"/>
  </si>
  <si>
    <t>pk是否掉落</t>
    <phoneticPr fontId="1" type="noConversion"/>
  </si>
  <si>
    <t>贵重物品标志</t>
    <phoneticPr fontId="1" type="noConversion"/>
  </si>
  <si>
    <t>是否记录log</t>
    <phoneticPr fontId="1" type="noConversion"/>
  </si>
  <si>
    <t>1-不掉落</t>
    <phoneticPr fontId="1" type="noConversion"/>
  </si>
  <si>
    <t>绑定类型</t>
    <phoneticPr fontId="1" type="noConversion"/>
  </si>
  <si>
    <t xml:space="preserve"> BINDTYPE_NONE,      //不绑定</t>
  </si>
  <si>
    <t xml:space="preserve">    BINDTYPE_BOU,       //使用绑定, bind on use</t>
  </si>
  <si>
    <t xml:space="preserve">    BINDTYPE_BOE,       //装备绑定, bind on equip</t>
  </si>
  <si>
    <t xml:space="preserve">    BINDTYPE_BOP,       //拾取绑定, bind on pick up</t>
  </si>
  <si>
    <t xml:space="preserve">    BINDTYPE_BOT,       //交易绑定, bind on trade</t>
  </si>
  <si>
    <t xml:space="preserve">    BINDTYPE_BINDED = 10//已绑定</t>
  </si>
  <si>
    <t>耐久类型</t>
    <phoneticPr fontId="1" type="noConversion"/>
  </si>
  <si>
    <t xml:space="preserve"> DURTYPE_NONE,   //无耐久</t>
  </si>
  <si>
    <t xml:space="preserve">    DURTYPE_EQUIP,  //装备耐久</t>
  </si>
  <si>
    <t xml:space="preserve">    DURTYPE_STACK,  //物品堆叠</t>
  </si>
  <si>
    <t xml:space="preserve">    DURTYPE_USE,    //使用次数</t>
  </si>
  <si>
    <t xml:space="preserve">    DURTYPE_DEPOSIT //储值</t>
  </si>
  <si>
    <t>耐久对应的值</t>
    <phoneticPr fontId="1" type="noConversion"/>
  </si>
  <si>
    <t>ITEMCOMBAT_BOTH,    //道具使用不关心战斗状态</t>
  </si>
  <si>
    <t xml:space="preserve">    ITEMCOMBAT_IN,      //道具必须在战斗状态下使用</t>
  </si>
  <si>
    <t xml:space="preserve">    ITEMCOMBAT_OUT      //道具必须在非战斗状态下使用</t>
  </si>
  <si>
    <t>使用的状态</t>
    <phoneticPr fontId="1" type="noConversion"/>
  </si>
  <si>
    <t>衣服声音类型</t>
    <phoneticPr fontId="1" type="noConversion"/>
  </si>
  <si>
    <t>是否拍卖</t>
    <phoneticPr fontId="1" type="noConversion"/>
  </si>
  <si>
    <t>拍卖费</t>
    <phoneticPr fontId="1" type="noConversion"/>
  </si>
  <si>
    <t>拍卖类型</t>
    <phoneticPr fontId="1" type="noConversion"/>
  </si>
  <si>
    <t>拍卖子类型</t>
    <phoneticPr fontId="1" type="noConversion"/>
  </si>
  <si>
    <t>拍卖默认价格</t>
    <phoneticPr fontId="1" type="noConversion"/>
  </si>
  <si>
    <t>Auction</t>
    <phoneticPr fontId="1" type="noConversion"/>
  </si>
  <si>
    <t>道义书卷3</t>
  </si>
  <si>
    <t>道义书卷4</t>
  </si>
  <si>
    <t>道义书卷5</t>
  </si>
  <si>
    <t>道义书卷6</t>
  </si>
  <si>
    <t>道义书卷7</t>
  </si>
  <si>
    <t>道义书卷8</t>
  </si>
  <si>
    <t>道义书卷9</t>
  </si>
  <si>
    <t>道义书卷10</t>
  </si>
  <si>
    <t>道义书卷11</t>
  </si>
  <si>
    <t>道义书卷12</t>
  </si>
  <si>
    <t>道义书卷13</t>
  </si>
  <si>
    <t>道义书卷14</t>
  </si>
  <si>
    <t>daoyishujuan2</t>
  </si>
  <si>
    <t>daoyishujuan3</t>
  </si>
  <si>
    <t>daoyishujuan4</t>
  </si>
  <si>
    <t>daoyishujuan5</t>
  </si>
  <si>
    <t>daoyishujuan6</t>
  </si>
  <si>
    <t>daoyishujuan7</t>
  </si>
  <si>
    <t>daoyishujuan8</t>
  </si>
  <si>
    <t>daoyishujuan9</t>
  </si>
  <si>
    <t>daoyishujuan10</t>
  </si>
  <si>
    <t>daoyishujuan11</t>
  </si>
  <si>
    <t>daoyishujuan12</t>
  </si>
  <si>
    <t>daoyishujuan13</t>
  </si>
  <si>
    <t>daoyishujuan14</t>
  </si>
  <si>
    <t>ITEMTYPE_MATERIAL</t>
  </si>
  <si>
    <t>ITEMSUBTYPE_MATERIAL_WEAPON_LEVELUP</t>
  </si>
  <si>
    <t>StaticMesh Dro_Gem.Dro_Gem02</t>
  </si>
  <si>
    <t>StaticMesh Dro_Gem.Dro_Gem01</t>
  </si>
  <si>
    <t>CanUseInArena</t>
  </si>
  <si>
    <t>Both</t>
  </si>
  <si>
    <t>Client</t>
  </si>
  <si>
    <t>Server</t>
  </si>
  <si>
    <t>绑金</t>
  </si>
  <si>
    <t>ITEMTYPE_MISC</t>
  </si>
  <si>
    <t>ITEMSUBTYPE_MISC_DEFAULT</t>
  </si>
  <si>
    <t>Texture2D MMO_ItemIcon_Supplies.img_BindMoney</t>
  </si>
  <si>
    <t>金币</t>
  </si>
  <si>
    <t>经验</t>
  </si>
  <si>
    <t>Texture2D MMO_ItemIcon_Supplies.item_144</t>
  </si>
  <si>
    <t>ITEMTYPE_USABLE</t>
  </si>
  <si>
    <t>Texture2D MMO_ItemIcon_Supplies.item_77</t>
  </si>
  <si>
    <t>ITEMSUBTYPE_USABLE_POTION</t>
  </si>
  <si>
    <t>先祖典籍</t>
  </si>
  <si>
    <t>Texture2D MMO_ItemIcon_Supplies.item_80</t>
  </si>
  <si>
    <t>魂瓶</t>
  </si>
  <si>
    <t>ITEMTYPE_DEPOSIT</t>
  </si>
  <si>
    <t>ITEMSUBTYPE_DEPOSIT_SOUL</t>
  </si>
  <si>
    <t>Texture2D MMO_ItemIcon_Supplies.Item_hunping_1</t>
  </si>
  <si>
    <t>白银VIP</t>
  </si>
  <si>
    <t>ITEMSUBTYPE_USABLE_MISC</t>
  </si>
  <si>
    <t>OnUseVip1</t>
  </si>
  <si>
    <t>Texture2D MMO_ItemIcon_Supplies.item_83</t>
  </si>
  <si>
    <t>黄金VIP</t>
  </si>
  <si>
    <t>OnUseVip2</t>
  </si>
  <si>
    <t>钻石VIP</t>
  </si>
  <si>
    <t>OnUseVip3</t>
  </si>
  <si>
    <t>千里传音</t>
  </si>
  <si>
    <t>蛋糕烟花</t>
  </si>
  <si>
    <t>Texture2D MMO_ItemIcon_Supplies.item_133</t>
  </si>
  <si>
    <t>ITEMTYPE_SPELLBOOK</t>
  </si>
  <si>
    <t>ITEMSUBTYPE_SPELLBOOK_PLAYER</t>
  </si>
  <si>
    <t>Texture2D MMO_ItemIcon_SkillBook.CK.SkillBookCK1</t>
  </si>
  <si>
    <t>StaticMesh SkillBook.Book</t>
  </si>
  <si>
    <t>御守</t>
  </si>
  <si>
    <t>龙影</t>
  </si>
  <si>
    <t>鬼影缠身</t>
  </si>
  <si>
    <t>狰狞</t>
  </si>
  <si>
    <t>狂风破</t>
  </si>
  <si>
    <t>毒刃</t>
  </si>
  <si>
    <t>隐雾</t>
  </si>
  <si>
    <t>乱舞</t>
  </si>
  <si>
    <t>鬼狱</t>
  </si>
  <si>
    <t>嗜血</t>
  </si>
  <si>
    <t>影袭</t>
  </si>
  <si>
    <t>摄魂</t>
  </si>
  <si>
    <t>鬼手</t>
  </si>
  <si>
    <t>结网</t>
  </si>
  <si>
    <t>龙血归心</t>
  </si>
  <si>
    <t>震裂箭</t>
  </si>
  <si>
    <t>紧急回避</t>
  </si>
  <si>
    <t>猎手天赋</t>
  </si>
  <si>
    <t>箭雨</t>
  </si>
  <si>
    <t>连珠箭</t>
  </si>
  <si>
    <t>震天雷</t>
  </si>
  <si>
    <t>陷阱</t>
  </si>
  <si>
    <t>狙击</t>
  </si>
  <si>
    <t>战术标记</t>
  </si>
  <si>
    <t>蓄势箭</t>
  </si>
  <si>
    <t>奔驰</t>
  </si>
  <si>
    <t>通灵</t>
  </si>
  <si>
    <t>迅猛踢</t>
  </si>
  <si>
    <t>空中射击</t>
  </si>
  <si>
    <t>爆破</t>
  </si>
  <si>
    <t>Texture2D MMO_ItemIcon_Supplies.item_gem_red01</t>
  </si>
  <si>
    <t>Texture2D MMO_ItemIcon_Supplies.item_gem_red02</t>
  </si>
  <si>
    <t>Texture2D MMO_ItemIcon_Supplies.item_gem_red03</t>
  </si>
  <si>
    <t>Texture2D MMO_ItemIcon_Supplies.item_gem_red04</t>
  </si>
  <si>
    <t>Texture2D MMO_ItemIcon_Supplies.item_gem_red05</t>
  </si>
  <si>
    <t>Texture2D MMO_ItemIcon_Supplies.item_gem_red06</t>
  </si>
  <si>
    <t>Texture2D MMO_ItemIcon_Supplies.item_gem_red07</t>
  </si>
  <si>
    <t>Texture2D MMO_ItemIcon_Supplies.item_gem_red08</t>
  </si>
  <si>
    <t>Texture2D MMO_ItemIcon_Supplies.item_gem_red09</t>
  </si>
  <si>
    <t>Texture2D MMO_ItemIcon_Supplies.item_gem_red10</t>
  </si>
  <si>
    <t>Texture2D MMO_ItemIcon_Supplies.item_gem_yellow01</t>
  </si>
  <si>
    <t>Texture2D MMO_ItemIcon_Supplies.item_gem_yellow02</t>
  </si>
  <si>
    <t>Texture2D MMO_ItemIcon_Supplies.item_gem_yellow03</t>
  </si>
  <si>
    <t>Texture2D MMO_ItemIcon_Supplies.item_gem_yellow04</t>
  </si>
  <si>
    <t>Texture2D MMO_ItemIcon_Supplies.item_gem_yellow05</t>
  </si>
  <si>
    <t>Texture2D MMO_ItemIcon_Supplies.item_gem_yellow06</t>
  </si>
  <si>
    <t>Texture2D MMO_ItemIcon_Supplies.item_gem_yellow07</t>
  </si>
  <si>
    <t>Texture2D MMO_ItemIcon_Supplies.item_gem_yellow08</t>
  </si>
  <si>
    <t>Texture2D MMO_ItemIcon_Supplies.item_gem_yellow09</t>
  </si>
  <si>
    <t>Texture2D MMO_ItemIcon_Supplies.item_gem_yellow10</t>
  </si>
  <si>
    <t>Texture2D MMO_ItemIcon_Supplies.item_gem_blue01</t>
  </si>
  <si>
    <t>Texture2D MMO_ItemIcon_Supplies.item_gem_blue02</t>
  </si>
  <si>
    <t>Texture2D MMO_ItemIcon_Supplies.item_gem_blue03</t>
  </si>
  <si>
    <t>Texture2D MMO_ItemIcon_Supplies.item_gem_blue04</t>
  </si>
  <si>
    <t>Texture2D MMO_ItemIcon_Supplies.item_gem_blue05</t>
  </si>
  <si>
    <t>Texture2D MMO_ItemIcon_Supplies.item_gem_blue06</t>
  </si>
  <si>
    <t>Texture2D MMO_ItemIcon_Supplies.item_gem_blue07</t>
  </si>
  <si>
    <t>Texture2D MMO_ItemIcon_Supplies.item_gem_blue08</t>
  </si>
  <si>
    <t>Texture2D MMO_ItemIcon_Supplies.item_gem_blue09</t>
  </si>
  <si>
    <t>Texture2D MMO_ItemIcon_Supplies.item_gem_blue10</t>
  </si>
  <si>
    <t>Texture2D MMO_ItemIcon_Supplies.item_gem_green01</t>
  </si>
  <si>
    <t>Texture2D MMO_ItemIcon_Supplies.item_gem_green02</t>
  </si>
  <si>
    <t>Texture2D MMO_ItemIcon_Supplies.item_gem_green03</t>
  </si>
  <si>
    <t>Texture2D MMO_ItemIcon_Supplies.item_gem_green04</t>
  </si>
  <si>
    <t>Texture2D MMO_ItemIcon_Supplies.item_gem_green05</t>
  </si>
  <si>
    <t>Texture2D MMO_ItemIcon_Supplies.item_gem_green06</t>
  </si>
  <si>
    <t>Texture2D MMO_ItemIcon_Supplies.item_gem_green07</t>
  </si>
  <si>
    <t>Texture2D MMO_ItemIcon_Supplies.item_gem_green08</t>
  </si>
  <si>
    <t>Texture2D MMO_ItemIcon_Supplies.item_gem_green09</t>
  </si>
  <si>
    <t>Texture2D MMO_ItemIcon_Supplies.item_gem_green10</t>
  </si>
  <si>
    <t>Texture2D MMO_ItemIcon_Supplies.item_gem_purple01</t>
  </si>
  <si>
    <t>Texture2D MMO_ItemIcon_Supplies.item_gem_purple02</t>
  </si>
  <si>
    <t>Texture2D MMO_ItemIcon_Supplies.item_gem_purple03</t>
  </si>
  <si>
    <t>Texture2D MMO_ItemIcon_Supplies.item_gem_purple04</t>
  </si>
  <si>
    <t>Texture2D MMO_ItemIcon_Supplies.item_gem_purple05</t>
  </si>
  <si>
    <t>Texture2D MMO_ItemIcon_Supplies.item_gem_purple06</t>
  </si>
  <si>
    <t>Texture2D MMO_ItemIcon_Supplies.item_gem_purple07</t>
  </si>
  <si>
    <t>Texture2D MMO_ItemIcon_Supplies.item_gem_purple08</t>
  </si>
  <si>
    <t>Texture2D MMO_ItemIcon_Supplies.item_gem_purple09</t>
  </si>
  <si>
    <t>Texture2D MMO_ItemIcon_Supplies.item_gem_purple10</t>
  </si>
  <si>
    <t>进击幻彩灵石1级</t>
  </si>
  <si>
    <t>Texture2D MMO_ItemIcon_Supplies.item_gem_multi01</t>
  </si>
  <si>
    <t>Texture2D MMO_ItemIcon_Supplies.item_gem_multi02</t>
  </si>
  <si>
    <t>Texture2D MMO_ItemIcon_Supplies.item_gem_multi03</t>
  </si>
  <si>
    <t>Texture2D MMO_ItemIcon_Supplies.item_gem_multi04</t>
  </si>
  <si>
    <t>Texture2D MMO_ItemIcon_Supplies.item_gem_multi05</t>
  </si>
  <si>
    <t>Texture2D MMO_ItemIcon_Supplies.item_gem_multi06</t>
  </si>
  <si>
    <t>Texture2D MMO_ItemIcon_Supplies.item_gem_multi07</t>
  </si>
  <si>
    <t>Texture2D MMO_ItemIcon_Supplies.item_gem_multi08</t>
  </si>
  <si>
    <t>Texture2D MMO_ItemIcon_Supplies.item_gem_multi09</t>
  </si>
  <si>
    <t>Texture2D MMO_ItemIcon_Supplies.item_gem_multi10</t>
  </si>
  <si>
    <t>抵御幻彩灵石1级</t>
  </si>
  <si>
    <t>狂热幻彩灵石1级</t>
  </si>
  <si>
    <t>强体药石</t>
  </si>
  <si>
    <t>ITEMSUBTYPE_MATERIAL_REFINE</t>
  </si>
  <si>
    <t>Texture2D MMO_ItemIcon_Supplies.Item_26</t>
  </si>
  <si>
    <t>用于1-60级强化体格&lt;br&gt;&lt;font color='#B2B2B2'&gt;            [按下&lt;font color='#FFa500'&gt;U&lt;font color='#B2B2B2'&gt;键打开体格强化界面]</t>
  </si>
  <si>
    <t>修身药石</t>
  </si>
  <si>
    <t>Texture2D MMO_ItemIcon_Supplies.Item_27</t>
  </si>
  <si>
    <t>用于61-120级强化体格&lt;br&gt;&lt;font color='#B2B2B2'&gt;            [按下&lt;font color='#FFa500'&gt;U&lt;font color='#B2B2B2'&gt;键打开体格强化界面]</t>
  </si>
  <si>
    <t>炼体药石</t>
  </si>
  <si>
    <t>Texture2D MMO_ItemIcon_Supplies.Item_28</t>
  </si>
  <si>
    <t>用于121-180级强化体格&lt;br&gt;&lt;font color='#B2B2B2'&gt;            [按下&lt;font color='#FFa500'&gt;U&lt;font color='#B2B2B2'&gt;键打开体格强化界面]</t>
  </si>
  <si>
    <t>圣体药石</t>
  </si>
  <si>
    <t>Texture2D MMO_ItemIcon_Supplies.Item_29</t>
  </si>
  <si>
    <t>用于181-240级强化体格&lt;br&gt;&lt;font color='#B2B2B2'&gt;            [按下&lt;font color='#FFa500'&gt;U&lt;font color='#B2B2B2'&gt;键打开体格强化界面]</t>
  </si>
  <si>
    <t>金身药石</t>
  </si>
  <si>
    <t>Texture2D MMO_ItemIcon_Supplies.Item_30</t>
  </si>
  <si>
    <t>用于241-300级强化体格&lt;br&gt;&lt;font color='#B2B2B2'&gt;            [按下&lt;font color='#FFa500'&gt;U&lt;font color='#B2B2B2'&gt;键打开体格强化界面]</t>
  </si>
  <si>
    <t>ITEMSUBTYPE_MATERIAL_COMPOSE</t>
  </si>
  <si>
    <t>次级铭文精华</t>
  </si>
  <si>
    <t>Texture2D MMO_ItemIcon_Supplies.item_121</t>
  </si>
  <si>
    <t>中级铭文精华</t>
  </si>
  <si>
    <t>Texture2D MMO_ItemIcon_Supplies.item_122</t>
  </si>
  <si>
    <t>ReturnPos143</t>
  </si>
  <si>
    <t>StaticMesh Scroll.Dro_Scroll</t>
  </si>
  <si>
    <t>Texture2D MMO_ItemIcon_Supplies.item_131</t>
  </si>
  <si>
    <t>祝福油</t>
  </si>
  <si>
    <t>OnUseIncreaseLuck</t>
  </si>
  <si>
    <t>公会回城石</t>
  </si>
  <si>
    <t>Texture2D MMO_ItemIcon_Supplies.item_82</t>
  </si>
  <si>
    <t>RandomJump</t>
  </si>
  <si>
    <t>初级攻城车</t>
  </si>
  <si>
    <t>中级攻城车</t>
  </si>
  <si>
    <t>高级攻城车</t>
  </si>
  <si>
    <t>ITEMTYPE_QUEST</t>
  </si>
  <si>
    <t>ITEMSUBTYPE_QUEST_DEFAULT</t>
  </si>
  <si>
    <t>矿石</t>
  </si>
  <si>
    <t>魔魂草</t>
  </si>
  <si>
    <t>毒龙草</t>
  </si>
  <si>
    <t>奇异石头</t>
  </si>
  <si>
    <t>魔虫的翔</t>
  </si>
  <si>
    <t>蛇卵</t>
  </si>
  <si>
    <t>仙人掌瓣</t>
  </si>
  <si>
    <t>木材</t>
  </si>
  <si>
    <t>奇怪的矿石</t>
  </si>
  <si>
    <t>英雄的纪念</t>
  </si>
  <si>
    <t>StaticMesh Dro_Scroll.Dro_Scroll</t>
  </si>
  <si>
    <t>五龙卫之书</t>
  </si>
  <si>
    <t>瘟疫的蔓延</t>
  </si>
  <si>
    <t>迟来的真相</t>
  </si>
  <si>
    <t>矿工日记</t>
  </si>
  <si>
    <t>和尚日记</t>
  </si>
  <si>
    <t>道士日记</t>
  </si>
  <si>
    <t>菱铁矿</t>
  </si>
  <si>
    <t>尖锐的长牙</t>
  </si>
  <si>
    <t>藏匿的宝贝</t>
  </si>
  <si>
    <t>海边的贝壳</t>
  </si>
  <si>
    <t>复活丹</t>
  </si>
  <si>
    <t>Texture2D MMO_ItemIcon_Supplies.item_186</t>
  </si>
  <si>
    <t>DecPKValue10</t>
  </si>
  <si>
    <t>Texture2D MMO_ItemIcon_Supplies.item_22</t>
  </si>
  <si>
    <t>DecPKValue50</t>
  </si>
  <si>
    <t>赎罪符03</t>
  </si>
  <si>
    <t>赎罪符04</t>
  </si>
  <si>
    <t>初级装备精华</t>
  </si>
  <si>
    <t>Texture2D MMO_ItemIcon_Supplies.item_105</t>
  </si>
  <si>
    <t>次级装备精华</t>
  </si>
  <si>
    <t>Texture2D MMO_ItemIcon_Supplies.item_106</t>
  </si>
  <si>
    <t>中级装备精华</t>
  </si>
  <si>
    <t>Texture2D MMO_ItemIcon_Supplies.item_107</t>
  </si>
  <si>
    <t>高级装备精华</t>
  </si>
  <si>
    <t>Texture2D MMO_ItemIcon_Supplies.item_108</t>
  </si>
  <si>
    <t>顶级装备精华</t>
  </si>
  <si>
    <t>Texture2D MMO_ItemIcon_Supplies.item_109</t>
  </si>
  <si>
    <t>蓝色灵气</t>
  </si>
  <si>
    <t>Texture2D MMO_ItemIcon_Supplies.item_110</t>
  </si>
  <si>
    <t>紫色灵气</t>
  </si>
  <si>
    <t>Texture2D MMO_ItemIcon_Supplies.item_111</t>
  </si>
  <si>
    <t>橙色灵气</t>
  </si>
  <si>
    <t>Texture2D MMO_ItemIcon_Supplies.item_112</t>
  </si>
  <si>
    <t>绑定初级装备精华</t>
  </si>
  <si>
    <t>绑定次级装备精华</t>
  </si>
  <si>
    <t>绑定中级装备精华</t>
  </si>
  <si>
    <t>绑定高级装备精华</t>
  </si>
  <si>
    <t>绑定顶级装备精华</t>
  </si>
  <si>
    <t>ITEMTYPE_FORMULA</t>
  </si>
  <si>
    <t>ITEMSUBTYPE_FORMULA_DEFAULT</t>
  </si>
  <si>
    <t>Texture2D MMO_ItemIcon_Supplies.item_85</t>
  </si>
  <si>
    <t>进击幻彩灵石2级卷轴</t>
  </si>
  <si>
    <t>进击幻彩灵石3级卷轴</t>
  </si>
  <si>
    <t>进击幻彩灵石4级卷轴</t>
  </si>
  <si>
    <t>进击幻彩灵石5级卷轴</t>
  </si>
  <si>
    <t>进击幻彩灵石6级卷轴</t>
  </si>
  <si>
    <t>进击幻彩灵石7级卷轴</t>
  </si>
  <si>
    <t>进击幻彩灵石8级卷轴</t>
  </si>
  <si>
    <t>进击幻彩灵石9级卷轴</t>
  </si>
  <si>
    <t>进击幻彩灵石10级卷轴</t>
  </si>
  <si>
    <t>抵御幻彩灵石2级卷轴</t>
  </si>
  <si>
    <t>抵御幻彩灵石3级卷轴</t>
  </si>
  <si>
    <t>抵御幻彩灵石4级卷轴</t>
  </si>
  <si>
    <t>抵御幻彩灵石5级卷轴</t>
  </si>
  <si>
    <t>抵御幻彩灵石6级卷轴</t>
  </si>
  <si>
    <t>抵御幻彩灵石7级卷轴</t>
  </si>
  <si>
    <t>抵御幻彩灵石8级卷轴</t>
  </si>
  <si>
    <t>抵御幻彩灵石9级卷轴</t>
  </si>
  <si>
    <t>抵御幻彩灵石10级卷轴</t>
  </si>
  <si>
    <t>狂热幻彩灵石2级卷轴</t>
  </si>
  <si>
    <t>狂热幻彩灵石3级卷轴</t>
  </si>
  <si>
    <t>狂热幻彩灵石4级卷轴</t>
  </si>
  <si>
    <t>狂热幻彩灵石5级卷轴</t>
  </si>
  <si>
    <t>狂热幻彩灵石6级卷轴</t>
  </si>
  <si>
    <t>狂热幻彩灵石7级卷轴</t>
  </si>
  <si>
    <t>狂热幻彩灵石8级卷轴</t>
  </si>
  <si>
    <t>狂热幻彩灵石9级卷轴</t>
  </si>
  <si>
    <t>狂热幻彩灵石10级卷轴</t>
  </si>
  <si>
    <t>Texture2D MMO_ItemIcon_Supplies.item_84</t>
  </si>
  <si>
    <t>OnUseNovicePackage</t>
  </si>
  <si>
    <t>Texture2D MMO_ItemIcon_Supplies.item_132</t>
  </si>
  <si>
    <t>师徒礼包</t>
  </si>
  <si>
    <t>OnUseMasterPackage</t>
  </si>
  <si>
    <t>战场礼包</t>
  </si>
  <si>
    <t>OnUseNovicePackage2</t>
  </si>
  <si>
    <t>OnUseNovicePackage3</t>
  </si>
  <si>
    <t>声望灵石礼包01</t>
  </si>
  <si>
    <t>shengwangbaoshi1</t>
  </si>
  <si>
    <t>声望灵石礼包02</t>
  </si>
  <si>
    <t>shengwangbaoshi2</t>
  </si>
  <si>
    <t>快速霜鸣兽</t>
  </si>
  <si>
    <t>Texture2D MMO_ItemIcon_Supplies.item_19</t>
  </si>
  <si>
    <t>疾速霜鸣兽</t>
  </si>
  <si>
    <t>神速霜鸣兽</t>
  </si>
  <si>
    <t>奇遇礼包</t>
  </si>
  <si>
    <t>OnUseQiYuPackage</t>
  </si>
  <si>
    <t>Texture2D MMO_ItemIcon_Supplies.item_134</t>
  </si>
  <si>
    <t>竞技场青铜宝箱</t>
  </si>
  <si>
    <t>OnUseMasterPackage101</t>
  </si>
  <si>
    <t>竞技场白银宝箱</t>
  </si>
  <si>
    <t>竞技场黄金宝箱</t>
  </si>
  <si>
    <t>竞技场钻石宝箱</t>
  </si>
  <si>
    <t>比奇勇士礼包</t>
  </si>
  <si>
    <t>biqiyongshi</t>
  </si>
  <si>
    <t>比奇霸主礼包</t>
  </si>
  <si>
    <t>biqibazhu</t>
  </si>
  <si>
    <t>道义书卷1</t>
  </si>
  <si>
    <t>道义书卷2</t>
  </si>
  <si>
    <t>3级测试礼包</t>
  </si>
  <si>
    <t>OnUseTestPackage1</t>
  </si>
  <si>
    <t>版本测试专用礼包，鼠标右键点击使用</t>
  </si>
  <si>
    <t>10级测试礼包</t>
  </si>
  <si>
    <t>OnUseTestPackage2</t>
  </si>
  <si>
    <t>15级测试礼包</t>
  </si>
  <si>
    <t>OnUseTestPackage3</t>
  </si>
  <si>
    <t>20级测试礼包</t>
  </si>
  <si>
    <t>OnUseTestPackage4</t>
  </si>
  <si>
    <t>OnUsePackage1200001</t>
  </si>
  <si>
    <t>师徒升级礼包101</t>
  </si>
  <si>
    <t>OnUseMasterPackage201</t>
  </si>
  <si>
    <t>师徒升级礼包102</t>
  </si>
  <si>
    <t>OnUseMasterPackage202</t>
  </si>
  <si>
    <t>师徒升级礼包103</t>
  </si>
  <si>
    <t>OnUseMasterPackage203</t>
  </si>
  <si>
    <t>师徒升级礼包104</t>
  </si>
  <si>
    <t>OnUseMasterPackage204</t>
  </si>
  <si>
    <t>师徒升级礼包105</t>
  </si>
  <si>
    <t>OnUseMasterPackage205</t>
  </si>
  <si>
    <t>师徒升级礼包106</t>
  </si>
  <si>
    <t>OnUseMasterPackage206</t>
  </si>
  <si>
    <t>师徒升级礼包107</t>
  </si>
  <si>
    <t>OnUseMasterPackage207</t>
  </si>
  <si>
    <t>师徒升级礼包108</t>
  </si>
  <si>
    <t>OnUseMasterPackage208</t>
  </si>
  <si>
    <t>师徒升级礼包109</t>
  </si>
  <si>
    <t>OnUseMasterPackage209</t>
  </si>
  <si>
    <t>出师徒弟小礼包</t>
  </si>
  <si>
    <t>OnUseMasterPackage110</t>
  </si>
  <si>
    <t>出师徒弟大礼包</t>
  </si>
  <si>
    <t>OnUseMasterPackage111</t>
  </si>
  <si>
    <t>师徒升级礼包201</t>
  </si>
  <si>
    <t>师徒升级礼包202</t>
  </si>
  <si>
    <t>OnUseMasterPackage102</t>
  </si>
  <si>
    <t>师徒升级礼包203</t>
  </si>
  <si>
    <t>OnUseMasterPackage103</t>
  </si>
  <si>
    <t>师徒升级礼包204</t>
  </si>
  <si>
    <t>OnUseMasterPackage104</t>
  </si>
  <si>
    <t>师徒升级礼包205</t>
  </si>
  <si>
    <t>OnUseMasterPackage105</t>
  </si>
  <si>
    <t>师徒升级礼包206</t>
  </si>
  <si>
    <t>OnUseMasterPackage106</t>
  </si>
  <si>
    <t>师徒升级礼包207</t>
  </si>
  <si>
    <t>OnUseMasterPackage107</t>
  </si>
  <si>
    <t>师徒升级礼包208</t>
  </si>
  <si>
    <t>OnUseMasterPackage108</t>
  </si>
  <si>
    <t>师徒升级礼包209</t>
  </si>
  <si>
    <t>OnUseMasterPackage109</t>
  </si>
  <si>
    <t>出师师父礼包</t>
  </si>
  <si>
    <t>OnUseMasterPackage210</t>
  </si>
  <si>
    <t>15级贺信</t>
  </si>
  <si>
    <t>OnUseMasterPackage1331501</t>
  </si>
  <si>
    <t>20级贺信</t>
  </si>
  <si>
    <t>OnUseMasterPackage1332001</t>
  </si>
  <si>
    <t>25级贺信</t>
  </si>
  <si>
    <t>OnUseMasterPackage1332501</t>
  </si>
  <si>
    <t>30级贺信</t>
  </si>
  <si>
    <t>OnUseMasterPackage1333001</t>
  </si>
  <si>
    <t>35级贺信</t>
  </si>
  <si>
    <t>OnUseMasterPackage1333501</t>
  </si>
  <si>
    <t>40级贺信</t>
  </si>
  <si>
    <t>OnUseMasterPackage1334001</t>
  </si>
  <si>
    <t>15级祝福礼盒</t>
  </si>
  <si>
    <t>OnUseMasterPackage1331502</t>
  </si>
  <si>
    <t>20级祝福礼盒</t>
  </si>
  <si>
    <t>OnUseMasterPackage1332002</t>
  </si>
  <si>
    <t>25级祝福礼盒</t>
  </si>
  <si>
    <t>OnUseMasterPackage1332502</t>
  </si>
  <si>
    <t>30级祝福礼盒</t>
  </si>
  <si>
    <t>OnUseMasterPackage1333002</t>
  </si>
  <si>
    <t>35级祝福礼盒</t>
  </si>
  <si>
    <t>OnUseMasterPackage1333502</t>
  </si>
  <si>
    <t>40级祝福礼盒</t>
  </si>
  <si>
    <t>OnUseMasterPackage1334002</t>
  </si>
  <si>
    <t>15级传世礼盒</t>
  </si>
  <si>
    <t>OnUseMasterPackage1331503</t>
  </si>
  <si>
    <t>20级传世礼盒</t>
  </si>
  <si>
    <t>OnUseMasterPackage1332003</t>
  </si>
  <si>
    <t>25级传世礼盒</t>
  </si>
  <si>
    <t>OnUseMasterPackage1332503</t>
  </si>
  <si>
    <t>30级传世礼盒</t>
  </si>
  <si>
    <t>OnUseMasterPackage1333003</t>
  </si>
  <si>
    <t>35级传世礼盒</t>
  </si>
  <si>
    <t>OnUseMasterPackage1333503</t>
  </si>
  <si>
    <t>40级传世礼盒</t>
  </si>
  <si>
    <t>OnUseMasterPackage1334003</t>
  </si>
  <si>
    <t>OnUseMasterPackage1344501</t>
  </si>
  <si>
    <t>OnUseMasterPackage1345001</t>
  </si>
  <si>
    <t>OnUseMasterPackage1345501</t>
  </si>
  <si>
    <t>OnUseMasterPackage1344502</t>
  </si>
  <si>
    <t>OnUseMasterPackage1345002</t>
  </si>
  <si>
    <t>OnUseMasterPackage1345502</t>
  </si>
  <si>
    <t>OnUseMasterPackage1344503</t>
  </si>
  <si>
    <t>OnUseMasterPackage1345003</t>
  </si>
  <si>
    <t>OnUseMasterPackage1345503</t>
  </si>
  <si>
    <t>尊师酒</t>
  </si>
  <si>
    <t>OnUseAddMasterExp1</t>
  </si>
  <si>
    <t>丹青卷</t>
  </si>
  <si>
    <t>OnUseAddMasterExp80</t>
  </si>
  <si>
    <t>悬赏礼包</t>
  </si>
  <si>
    <t>伤不起</t>
  </si>
  <si>
    <t>AddTitle11</t>
  </si>
  <si>
    <t>使用后获得“伤不起”称号</t>
  </si>
  <si>
    <t>充满正能量</t>
  </si>
  <si>
    <t>AddTitle13</t>
  </si>
  <si>
    <t>使用后获得“充满正能量”称号</t>
  </si>
  <si>
    <t>Only·You</t>
  </si>
  <si>
    <t>AddTitle27</t>
  </si>
  <si>
    <t>使用后获得“Only·You”称号</t>
  </si>
  <si>
    <t>Texture2D MMO_ItemIcon_Supplies.img_Money</t>
    <phoneticPr fontId="1" type="noConversion"/>
  </si>
  <si>
    <t>&lt;font color='#ffffff'&gt;铭文合成卷轴，获得战士铭文。鼠标点击打开合成&lt;font color='#FFa500'&gt;[基础剑术-攻杀印2级]&lt;font color='#ffffff'&gt;界面</t>
  </si>
  <si>
    <t>&lt;font color='#ffffff'&gt;铭文合成卷轴，获得刺客铭文。鼠标点击打开合成&lt;font color='#FFa500'&gt;[神龙摆尾-森罗印2级]&lt;font color='#ffffff'&gt;界面</t>
  </si>
  <si>
    <t>&lt;font color='#ffffff'&gt;铭文合成卷轴，获得弓手铭文。鼠标点击打开合成&lt;font color='#FFa500'&gt;[冲击矢-巨力印2级]&lt;font color='#ffffff'&gt;界面</t>
  </si>
  <si>
    <t>&lt;font color='#ffffff'&gt;铭文合成卷轴，获得法师铭文。鼠标点击打开合成&lt;font color='#FFa500'&gt;[雷电术-速攻印2级]&lt;font color='#ffffff'&gt;界面</t>
  </si>
  <si>
    <t>永不凋谢的睡莲</t>
  </si>
  <si>
    <t>奇怪的石板</t>
  </si>
  <si>
    <t>鲜艳的花</t>
  </si>
  <si>
    <t>紫菀花</t>
  </si>
  <si>
    <t>甘绿草</t>
  </si>
  <si>
    <t>神龙摆尾</t>
  </si>
  <si>
    <t>真气烈风</t>
  </si>
  <si>
    <t>新月</t>
  </si>
  <si>
    <t>天魔掌</t>
  </si>
  <si>
    <t>冲击矢</t>
  </si>
  <si>
    <t>飞虹箭</t>
  </si>
  <si>
    <t>咬魂</t>
  </si>
  <si>
    <t>束缚打击</t>
  </si>
  <si>
    <t>StaticMesh Bottle.Dro_Posin_Gold_1</t>
  </si>
  <si>
    <t>StaticMesh Bottle.Dro_Posin_Gold_1</t>
    <phoneticPr fontId="1" type="noConversion"/>
  </si>
  <si>
    <t>StaticMesh Bottle.Dro_Posin_GMagic_1</t>
  </si>
  <si>
    <t>StaticMesh Bottle.Dro_Posin_GMagic_1</t>
    <phoneticPr fontId="1" type="noConversion"/>
  </si>
  <si>
    <t>StaticMesh Bottle.Dro_Posin_Oil</t>
    <phoneticPr fontId="1" type="noConversion"/>
  </si>
  <si>
    <t>StaticMesh Money.Copper_3</t>
    <phoneticPr fontId="1" type="noConversion"/>
  </si>
  <si>
    <t>StaticMesh Money.Dro_Gold_4</t>
    <phoneticPr fontId="1" type="noConversion"/>
  </si>
  <si>
    <t>StaticMesh Dro_Gem.Dro_Gem02</t>
    <phoneticPr fontId="1" type="noConversion"/>
  </si>
  <si>
    <t>传奇七星草</t>
    <phoneticPr fontId="1" type="noConversion"/>
  </si>
  <si>
    <t>贺信</t>
  </si>
  <si>
    <t>四海礼盒</t>
    <phoneticPr fontId="1" type="noConversion"/>
  </si>
  <si>
    <t>龙锦贡礼</t>
    <phoneticPr fontId="1" type="noConversion"/>
  </si>
  <si>
    <t>Longjingongli</t>
    <phoneticPr fontId="1" type="noConversion"/>
  </si>
  <si>
    <t>Hexin</t>
    <phoneticPr fontId="1" type="noConversion"/>
  </si>
  <si>
    <t>Sihailihe</t>
    <phoneticPr fontId="1" type="noConversion"/>
  </si>
  <si>
    <t>活跃礼包</t>
    <phoneticPr fontId="1" type="noConversion"/>
  </si>
  <si>
    <t>森罗印2级卷轴01</t>
    <phoneticPr fontId="1" type="noConversion"/>
  </si>
  <si>
    <t>巨力印2级卷轴01</t>
    <phoneticPr fontId="1" type="noConversion"/>
  </si>
  <si>
    <t>速攻印2级卷轴01</t>
    <phoneticPr fontId="1" type="noConversion"/>
  </si>
  <si>
    <t>1战士</t>
    <phoneticPr fontId="1" type="noConversion"/>
  </si>
  <si>
    <t>2法师</t>
    <phoneticPr fontId="1" type="noConversion"/>
  </si>
  <si>
    <t>4刺客</t>
    <phoneticPr fontId="1" type="noConversion"/>
  </si>
  <si>
    <t>8弓手</t>
    <phoneticPr fontId="1" type="noConversion"/>
  </si>
  <si>
    <t>Deleteitem</t>
  </si>
  <si>
    <t>沃玛号角</t>
    <phoneticPr fontId="1" type="noConversion"/>
  </si>
  <si>
    <t>朴小克手记</t>
    <phoneticPr fontId="1" type="noConversion"/>
  </si>
  <si>
    <t>宝石礼包</t>
    <phoneticPr fontId="1" type="noConversion"/>
  </si>
  <si>
    <t>clsWarrior</t>
  </si>
  <si>
    <t>clsMage</t>
  </si>
  <si>
    <t>clsRogue</t>
  </si>
  <si>
    <t>clsArcher</t>
  </si>
  <si>
    <t>clsWarrior,clsMage,clsRogue,clsArcher,clsTaoist</t>
  </si>
  <si>
    <t>PlayerDropTime</t>
    <phoneticPr fontId="1" type="noConversion"/>
  </si>
  <si>
    <t>Server</t>
    <phoneticPr fontId="1" type="noConversion"/>
  </si>
  <si>
    <t>超级灰色药粉</t>
    <phoneticPr fontId="1" type="noConversion"/>
  </si>
  <si>
    <t>超级黄色药粉</t>
    <phoneticPr fontId="1" type="noConversion"/>
  </si>
  <si>
    <t>护身符</t>
    <phoneticPr fontId="1" type="noConversion"/>
  </si>
  <si>
    <t>超级护身符</t>
    <phoneticPr fontId="1" type="noConversion"/>
  </si>
  <si>
    <t>幻魔石</t>
    <phoneticPr fontId="1" type="noConversion"/>
  </si>
  <si>
    <t>魔血石</t>
    <phoneticPr fontId="1" type="noConversion"/>
  </si>
  <si>
    <t>ITEMTYPE_RECOVER</t>
  </si>
  <si>
    <t>ITEMSUBTYPE_RECOVER_HP</t>
  </si>
  <si>
    <t>ITEMSUBTYPE_RECOVER_MP</t>
  </si>
  <si>
    <t>ITEMSUBTYPE_RECOVER_HPMP</t>
  </si>
  <si>
    <t>Texture2D MMO_ItemIcon_Supplies.qxs_small</t>
    <phoneticPr fontId="1" type="noConversion"/>
  </si>
  <si>
    <t>Texture2D MMO_ItemIcon_Supplies.mhs_small</t>
    <phoneticPr fontId="1" type="noConversion"/>
  </si>
  <si>
    <t>Texture2D MMO_ItemIcon_Supplies.mxs_small</t>
    <phoneticPr fontId="1" type="noConversion"/>
  </si>
  <si>
    <t>太阳水</t>
    <phoneticPr fontId="1" type="noConversion"/>
  </si>
  <si>
    <t>强效太阳水</t>
    <phoneticPr fontId="1" type="noConversion"/>
  </si>
  <si>
    <t>攻杀剑术</t>
    <phoneticPr fontId="1" type="noConversion"/>
  </si>
  <si>
    <t>刺杀剑术</t>
    <phoneticPr fontId="1" type="noConversion"/>
  </si>
  <si>
    <t>半月弯刀</t>
    <phoneticPr fontId="1" type="noConversion"/>
  </si>
  <si>
    <t>野蛮冲撞</t>
    <phoneticPr fontId="1" type="noConversion"/>
  </si>
  <si>
    <t>烈火剑法</t>
    <phoneticPr fontId="1" type="noConversion"/>
  </si>
  <si>
    <t>狮子吼</t>
    <phoneticPr fontId="1" type="noConversion"/>
  </si>
  <si>
    <t>逐日剑法</t>
    <phoneticPr fontId="1" type="noConversion"/>
  </si>
  <si>
    <t>治愈术</t>
    <phoneticPr fontId="1" type="noConversion"/>
  </si>
  <si>
    <t>精神力战法</t>
    <phoneticPr fontId="1" type="noConversion"/>
  </si>
  <si>
    <t>施毒术</t>
    <phoneticPr fontId="1" type="noConversion"/>
  </si>
  <si>
    <t>灵魂火符</t>
    <phoneticPr fontId="1" type="noConversion"/>
  </si>
  <si>
    <t>隐身术</t>
    <phoneticPr fontId="1" type="noConversion"/>
  </si>
  <si>
    <t>集体隐身术</t>
    <phoneticPr fontId="1" type="noConversion"/>
  </si>
  <si>
    <t>幽灵盾</t>
    <phoneticPr fontId="1" type="noConversion"/>
  </si>
  <si>
    <t>神圣战甲术</t>
    <phoneticPr fontId="1" type="noConversion"/>
  </si>
  <si>
    <t>气功波</t>
    <phoneticPr fontId="1" type="noConversion"/>
  </si>
  <si>
    <t>群体治愈术</t>
    <phoneticPr fontId="1" type="noConversion"/>
  </si>
  <si>
    <t>召唤神兽</t>
    <phoneticPr fontId="1" type="noConversion"/>
  </si>
  <si>
    <t>无极真气</t>
    <phoneticPr fontId="1" type="noConversion"/>
  </si>
  <si>
    <t>噬血术</t>
    <phoneticPr fontId="1" type="noConversion"/>
  </si>
  <si>
    <t>clsWarrior,clsMage,clsRogue,clsArcher,clsTaoist</t>
    <phoneticPr fontId="1" type="noConversion"/>
  </si>
  <si>
    <t>clsTaoist</t>
  </si>
  <si>
    <t>火球术</t>
    <phoneticPr fontId="1" type="noConversion"/>
  </si>
  <si>
    <t>抗拒火环</t>
    <phoneticPr fontId="1" type="noConversion"/>
  </si>
  <si>
    <t>诱惑之光</t>
    <phoneticPr fontId="1" type="noConversion"/>
  </si>
  <si>
    <t>地狱火</t>
    <phoneticPr fontId="1" type="noConversion"/>
  </si>
  <si>
    <t>雷电术</t>
    <phoneticPr fontId="1" type="noConversion"/>
  </si>
  <si>
    <t>瞬息移动</t>
    <phoneticPr fontId="1" type="noConversion"/>
  </si>
  <si>
    <t>爆裂火焰</t>
    <phoneticPr fontId="1" type="noConversion"/>
  </si>
  <si>
    <t>火墙</t>
    <phoneticPr fontId="1" type="noConversion"/>
  </si>
  <si>
    <t>疾光电影</t>
    <phoneticPr fontId="1" type="noConversion"/>
  </si>
  <si>
    <t>地狱雷光</t>
    <phoneticPr fontId="1" type="noConversion"/>
  </si>
  <si>
    <t>魔法盾</t>
    <phoneticPr fontId="1" type="noConversion"/>
  </si>
  <si>
    <t>圣言术</t>
    <phoneticPr fontId="1" type="noConversion"/>
  </si>
  <si>
    <t>冰咆哮</t>
    <phoneticPr fontId="1" type="noConversion"/>
  </si>
  <si>
    <t>寒冰掌</t>
    <phoneticPr fontId="1" type="noConversion"/>
  </si>
  <si>
    <t>大火球</t>
    <phoneticPr fontId="1" type="noConversion"/>
  </si>
  <si>
    <t>灭天火</t>
    <phoneticPr fontId="1" type="noConversion"/>
  </si>
  <si>
    <t>流星火雨</t>
    <phoneticPr fontId="1" type="noConversion"/>
  </si>
  <si>
    <t>ITEMSUBTYPE_USABLE_GREY_POWDER</t>
  </si>
  <si>
    <t>ITEMSUBTYPE_USABLE_YELLOW_POWDER</t>
  </si>
  <si>
    <t>ITEMSUBTYPE_USABLE_RUNE</t>
  </si>
  <si>
    <t>强效金创药</t>
    <phoneticPr fontId="1" type="noConversion"/>
  </si>
  <si>
    <t>强效魔法药</t>
    <phoneticPr fontId="1" type="noConversion"/>
  </si>
  <si>
    <t>随机传送卷</t>
    <phoneticPr fontId="1" type="noConversion"/>
  </si>
  <si>
    <t>比奇回城卷</t>
    <phoneticPr fontId="1" type="noConversion"/>
  </si>
  <si>
    <t>比奇回城卷包</t>
    <phoneticPr fontId="1" type="noConversion"/>
  </si>
  <si>
    <t>随机传送卷包</t>
    <phoneticPr fontId="1" type="noConversion"/>
  </si>
  <si>
    <t>疗伤药</t>
    <phoneticPr fontId="1" type="noConversion"/>
  </si>
  <si>
    <t>肉</t>
    <phoneticPr fontId="1" type="noConversion"/>
  </si>
  <si>
    <t>鹿血</t>
    <phoneticPr fontId="1" type="noConversion"/>
  </si>
  <si>
    <t>灰色药粉(少量)</t>
  </si>
  <si>
    <t>灰色药粉(中量)</t>
  </si>
  <si>
    <t>灰色药粉(大量)</t>
  </si>
  <si>
    <t>黄色药粉(少量)</t>
  </si>
  <si>
    <t>黄色药粉(中量)</t>
  </si>
  <si>
    <t>黄色药粉(大量)</t>
  </si>
  <si>
    <t>护身符(大)</t>
  </si>
  <si>
    <t>金创药(小量)</t>
  </si>
  <si>
    <t>金创药(中量)</t>
  </si>
  <si>
    <t>小金创药(绑定)</t>
  </si>
  <si>
    <t>中金创药(绑定)</t>
  </si>
  <si>
    <t>魔法药(小量)</t>
  </si>
  <si>
    <t>魔法药(中量)</t>
  </si>
  <si>
    <t>新手药水(绑定)</t>
  </si>
  <si>
    <t>金创药(中)包</t>
  </si>
  <si>
    <t>魔法药(小)包</t>
  </si>
  <si>
    <t>强壮朱砂灵石1级(绑定)</t>
  </si>
  <si>
    <t>副官日记(上)</t>
  </si>
  <si>
    <t>副官日记(下)</t>
  </si>
  <si>
    <t>铁牛的护身符(上)</t>
  </si>
  <si>
    <t>铁牛的护身符(中)</t>
  </si>
  <si>
    <t>铁牛的护身符(下)</t>
  </si>
  <si>
    <t>新手礼包(3级)</t>
  </si>
  <si>
    <t>新手礼包(10级)</t>
  </si>
  <si>
    <t>新手礼包(20级)</t>
  </si>
  <si>
    <t>基本剑术</t>
    <phoneticPr fontId="1" type="noConversion"/>
  </si>
  <si>
    <t>困魔咒</t>
    <phoneticPr fontId="1" type="noConversion"/>
  </si>
  <si>
    <t>clsWarrior,clsMage,clsRogue,clsArcher,clsTaoist</t>
    <phoneticPr fontId="1" type="noConversion"/>
  </si>
  <si>
    <t>气血石</t>
    <phoneticPr fontId="1" type="noConversion"/>
  </si>
  <si>
    <t>ITEMTYPE_RUNE</t>
  </si>
  <si>
    <t>ITEMSUBTYPE_RUNE_DEFAULT</t>
  </si>
  <si>
    <t>Texture2D MMO_ItemIcon_Supplies.rou</t>
    <phoneticPr fontId="1" type="noConversion"/>
  </si>
  <si>
    <t>Texture2D MMO_ItemIcon_Supplies.luxue</t>
    <phoneticPr fontId="1" type="noConversion"/>
  </si>
  <si>
    <t>Texture2D MMO_ItemIcon_Supplies.yaofenhui</t>
    <phoneticPr fontId="1" type="noConversion"/>
  </si>
  <si>
    <t>Texture2D MMO_ItemIcon_Supplies.yaofenhuang</t>
    <phoneticPr fontId="1" type="noConversion"/>
  </si>
  <si>
    <t>Texture2D MMO_ItemIcon_Supplies.hushenfu</t>
    <phoneticPr fontId="1" type="noConversion"/>
  </si>
  <si>
    <t>StaticMesh Dro_New.Dro_New_4</t>
    <phoneticPr fontId="1" type="noConversion"/>
  </si>
  <si>
    <t>StaticMesh Dro_New.Dro_New_3</t>
    <phoneticPr fontId="1" type="noConversion"/>
  </si>
  <si>
    <t>StaticMesh Dro_New.Dro_New_2</t>
    <phoneticPr fontId="1" type="noConversion"/>
  </si>
  <si>
    <t>StaticMesh Dro_New.Dro_New_1</t>
    <phoneticPr fontId="1" type="noConversion"/>
  </si>
  <si>
    <t>StaticMesh Dro_New.Dro_New_5</t>
    <phoneticPr fontId="1" type="noConversion"/>
  </si>
  <si>
    <t>Texture2D MMO_ItemIcon_Supplies.medicament.jcy1</t>
  </si>
  <si>
    <t>Texture2D MMO_ItemIcon_Supplies.medicament.jcy2</t>
  </si>
  <si>
    <t>Texture2D MMO_ItemIcon_Supplies.medicament.jcy3</t>
  </si>
  <si>
    <t>Texture2D MMO_ItemIcon_Supplies.medicament.jcy4</t>
  </si>
  <si>
    <t>Texture2D MMO_ItemIcon_Supplies.medicament.jcy5</t>
  </si>
  <si>
    <t>Texture2D MMO_ItemIcon_Supplies.medicament.jcy2</t>
    <phoneticPr fontId="1" type="noConversion"/>
  </si>
  <si>
    <t>Texture2D MMO_ItemIcon_Supplies.medicament.mfy1</t>
    <phoneticPr fontId="1" type="noConversion"/>
  </si>
  <si>
    <t>Texture2D MMO_ItemIcon_Supplies.medicament.mfy2</t>
  </si>
  <si>
    <t>Texture2D MMO_ItemIcon_Supplies.medicament.mfy3</t>
  </si>
  <si>
    <t>Texture2D MMO_ItemIcon_Supplies.medicament.mfy4</t>
  </si>
  <si>
    <t>Texture2D MMO_ItemIcon_Supplies.medicament.tys1</t>
    <phoneticPr fontId="1" type="noConversion"/>
  </si>
  <si>
    <t>Texture2D MMO_ItemIcon_Supplies.medicament.tys2</t>
  </si>
  <si>
    <t>Texture2D MMO_ItemIcon_Supplies.medicament.lsy</t>
    <phoneticPr fontId="1" type="noConversion"/>
  </si>
  <si>
    <t>Texture2D MMO_ItemIcon_Supplies.medicament.jcy11</t>
    <phoneticPr fontId="1" type="noConversion"/>
  </si>
  <si>
    <t>Texture2D MMO_ItemIcon_Supplies.medicament.jcy21</t>
    <phoneticPr fontId="1" type="noConversion"/>
  </si>
  <si>
    <t>Texture2D MMO_ItemIcon_Supplies.medicament.jcy31</t>
  </si>
  <si>
    <t>Texture2D MMO_ItemIcon_Supplies.medicament.mfy11</t>
    <phoneticPr fontId="1" type="noConversion"/>
  </si>
  <si>
    <t>Texture2D MMO_ItemIcon_Supplies.medicament.mfy21</t>
    <phoneticPr fontId="1" type="noConversion"/>
  </si>
  <si>
    <t>Texture2D MMO_ItemIcon_Supplies.medicament.mfy31</t>
    <phoneticPr fontId="1" type="noConversion"/>
  </si>
  <si>
    <t>Texture2D MMO_ItemIcon_Supplies.medicament.tys11</t>
    <phoneticPr fontId="1" type="noConversion"/>
  </si>
  <si>
    <t>Texture2D MMO_ItemIcon_Supplies.medicament.tys21</t>
    <phoneticPr fontId="1" type="noConversion"/>
  </si>
  <si>
    <t>jcybao2</t>
  </si>
  <si>
    <t>jcybao3</t>
  </si>
  <si>
    <t>mfybao1</t>
    <phoneticPr fontId="1" type="noConversion"/>
  </si>
  <si>
    <t>mfybao2</t>
  </si>
  <si>
    <t>mfybao3</t>
  </si>
  <si>
    <t>tysbao2</t>
  </si>
  <si>
    <t>jcybao1</t>
    <phoneticPr fontId="1" type="noConversion"/>
  </si>
  <si>
    <t>tysbao1</t>
    <phoneticPr fontId="1" type="noConversion"/>
  </si>
  <si>
    <t>金创药(小)包</t>
    <phoneticPr fontId="1" type="noConversion"/>
  </si>
  <si>
    <t>超级金创药</t>
    <phoneticPr fontId="1" type="noConversion"/>
  </si>
  <si>
    <t>魔法药(中)包</t>
    <phoneticPr fontId="1" type="noConversion"/>
  </si>
  <si>
    <t>超级魔法药</t>
    <phoneticPr fontId="1" type="noConversion"/>
  </si>
  <si>
    <t>太阳水包</t>
    <phoneticPr fontId="1" type="noConversion"/>
  </si>
  <si>
    <t>强效太阳水包</t>
    <phoneticPr fontId="1" type="noConversion"/>
  </si>
  <si>
    <t>Texture2D MMO_ItemIcon_Supplies.medicament.jz_sjj</t>
  </si>
  <si>
    <t>Texture2D MMO_ItemIcon_Supplies.medicament.jz_sjj1</t>
  </si>
  <si>
    <t>Texture2D MMO_ItemIcon_Supplies.medicament.jz_hcj</t>
  </si>
  <si>
    <t>Texture2D MMO_ItemIcon_Supplies.medicament.jz_hcj1</t>
  </si>
  <si>
    <t>ReturnPos147</t>
    <phoneticPr fontId="1" type="noConversion"/>
  </si>
  <si>
    <t>Texture2D MMO_ItemIcon_Supplies.medicament.jz_sjj</t>
    <phoneticPr fontId="1" type="noConversion"/>
  </si>
  <si>
    <t>神秘卷轴</t>
  </si>
  <si>
    <t>木柴</t>
  </si>
  <si>
    <t>搜索地图</t>
  </si>
  <si>
    <t>修补建筑的石头</t>
  </si>
  <si>
    <t>修补建筑的木头</t>
  </si>
  <si>
    <t>剑齿虎的毛皮</t>
  </si>
  <si>
    <t>伐木斧</t>
  </si>
  <si>
    <t>虚空魔晶</t>
  </si>
  <si>
    <t>魔兽之血</t>
  </si>
  <si>
    <t>有价值的神殿遗物</t>
  </si>
  <si>
    <t>老师的遗物</t>
  </si>
  <si>
    <t>猛犸人的象牙</t>
  </si>
  <si>
    <t>黑矮人的魔法金属</t>
  </si>
  <si>
    <t>淬毒的魔能弹</t>
  </si>
  <si>
    <t>黑矮人王冠</t>
  </si>
  <si>
    <t>黑矮人的战锤</t>
  </si>
  <si>
    <t>黑矮人的连弩</t>
  </si>
  <si>
    <t>解除诅咒的药水</t>
  </si>
  <si>
    <t>黑暗法师的血液</t>
  </si>
  <si>
    <t>价值连城的魔导器</t>
  </si>
  <si>
    <t>黑暗粉尘</t>
  </si>
  <si>
    <t>死亡之牙</t>
  </si>
  <si>
    <t>泰坦神殿地图</t>
  </si>
  <si>
    <t>泰坦的灵魂</t>
  </si>
  <si>
    <t>泰坦之力</t>
  </si>
  <si>
    <t>来自哥哥的信</t>
  </si>
  <si>
    <t>骸骨箭矢</t>
  </si>
  <si>
    <t>来自弟弟的信</t>
  </si>
  <si>
    <t>传送阵碎片</t>
  </si>
  <si>
    <t>未知药剂</t>
  </si>
  <si>
    <t>封印钥匙</t>
  </si>
  <si>
    <t>冰甲白熊的血液</t>
  </si>
  <si>
    <t>冰原血地龙的粘液</t>
  </si>
  <si>
    <t>冰甲白熊的毛皮</t>
  </si>
  <si>
    <t>冰原血地龙的利齿</t>
  </si>
  <si>
    <t>法阵拓印件</t>
  </si>
  <si>
    <t>月花草</t>
  </si>
  <si>
    <t>火灵蕊</t>
  </si>
  <si>
    <t>炎魔丹</t>
  </si>
  <si>
    <t>藏身点的情报</t>
  </si>
  <si>
    <t>确认的情报</t>
  </si>
  <si>
    <t>向导的地图</t>
  </si>
  <si>
    <t>铁线黑蛇草</t>
  </si>
  <si>
    <t>修补沙船的木头</t>
  </si>
  <si>
    <t>泯心丹</t>
  </si>
  <si>
    <t>烈阳果</t>
  </si>
  <si>
    <t>空的补给箱</t>
  </si>
  <si>
    <t>便当盒</t>
  </si>
  <si>
    <t>疗伤草</t>
  </si>
  <si>
    <t>显影粉尘</t>
  </si>
  <si>
    <t>破烂的刀剑</t>
  </si>
  <si>
    <t>破烂的弓弩</t>
  </si>
  <si>
    <t>军用刀剑</t>
  </si>
  <si>
    <t>军用弓弩</t>
  </si>
  <si>
    <t>沙民的头饰</t>
  </si>
  <si>
    <t>沙船的设计图</t>
  </si>
  <si>
    <t>沙虫的利齿</t>
  </si>
  <si>
    <t>虫笛</t>
  </si>
  <si>
    <t>沙虫幼虫</t>
  </si>
  <si>
    <t>仪式短刃</t>
  </si>
  <si>
    <t>解毒草药</t>
  </si>
  <si>
    <t>解毒药</t>
  </si>
  <si>
    <t>土元素核心</t>
  </si>
  <si>
    <t>草药</t>
  </si>
  <si>
    <t>蟹螯</t>
  </si>
  <si>
    <t>地图碎片</t>
  </si>
  <si>
    <t>海蜥蜴人的鳞片</t>
  </si>
  <si>
    <t>海族的武器</t>
  </si>
  <si>
    <t>法师袍子</t>
  </si>
  <si>
    <t>地狱犬皮毛</t>
  </si>
  <si>
    <t>雪狐皮毛</t>
  </si>
  <si>
    <t>珍珠</t>
  </si>
  <si>
    <t>噩梦蠕虫的触须</t>
  </si>
  <si>
    <t>冷静药剂</t>
  </si>
  <si>
    <t>催化药剂</t>
  </si>
  <si>
    <t>散落的货物</t>
  </si>
  <si>
    <t>“金针”</t>
  </si>
  <si>
    <t>羊毛</t>
  </si>
  <si>
    <t>魔犬之血</t>
  </si>
  <si>
    <t>土灵核心</t>
  </si>
  <si>
    <t>食人蜥蜴的鳞片</t>
  </si>
  <si>
    <t>僵尸的腿骨粉末</t>
  </si>
  <si>
    <t>任务卷轴</t>
  </si>
  <si>
    <t>补给物资</t>
  </si>
  <si>
    <t>云翔的书信</t>
  </si>
  <si>
    <t>上古卷轴</t>
  </si>
  <si>
    <t>剑齿虎皮套</t>
  </si>
  <si>
    <t>疗伤草药</t>
  </si>
  <si>
    <t>熊掌</t>
  </si>
  <si>
    <t>货物</t>
  </si>
  <si>
    <t>疗毒草药</t>
  </si>
  <si>
    <t>幼熊熊掌</t>
  </si>
  <si>
    <t>魔化之血</t>
  </si>
  <si>
    <t>黑暗晶体</t>
  </si>
  <si>
    <t>冰魔之心</t>
  </si>
  <si>
    <t>元素精魄</t>
  </si>
  <si>
    <t>雪精灵的心脏</t>
  </si>
  <si>
    <t>前线药剂箱</t>
  </si>
  <si>
    <t>腐烂的蚌肉</t>
  </si>
  <si>
    <t>黑鲛长矛</t>
  </si>
  <si>
    <t>新手武器</t>
  </si>
  <si>
    <t>装满火药的大桶</t>
  </si>
  <si>
    <t>石目的作战计划</t>
  </si>
  <si>
    <t>库奇的地图</t>
  </si>
  <si>
    <t>金牙的财物</t>
  </si>
  <si>
    <t>香甜的蟹肉</t>
  </si>
  <si>
    <t>神秘的石盘</t>
  </si>
  <si>
    <t>幻魔晶石</t>
  </si>
  <si>
    <t>发光的鳞片</t>
  </si>
  <si>
    <t>冰冷的黑色晶核</t>
  </si>
  <si>
    <t>魔晶碎片</t>
  </si>
  <si>
    <t>灵能晶核</t>
  </si>
  <si>
    <t>龙典</t>
  </si>
  <si>
    <t>遗物</t>
  </si>
  <si>
    <t>商人的货物</t>
  </si>
  <si>
    <t>治疗精神病古方的药物一</t>
  </si>
  <si>
    <t>治疗精神病古方的药物二</t>
  </si>
  <si>
    <t>红蛇的**</t>
  </si>
  <si>
    <t>黄蛇的**</t>
  </si>
  <si>
    <t>魔虫的**</t>
  </si>
  <si>
    <t>塔斯的信物</t>
  </si>
  <si>
    <t>操虫师的药引</t>
  </si>
  <si>
    <t>沙地金笋</t>
  </si>
  <si>
    <t>蛇胆</t>
  </si>
  <si>
    <t>**酒</t>
  </si>
  <si>
    <t>银蛇水银</t>
  </si>
  <si>
    <t>硫磺</t>
  </si>
  <si>
    <t>丹砂</t>
  </si>
  <si>
    <t>普通水银</t>
  </si>
  <si>
    <t>大黑神丸</t>
  </si>
  <si>
    <t>魔盔之卵</t>
  </si>
  <si>
    <t>解药1</t>
  </si>
  <si>
    <t>恐蛇胆</t>
  </si>
  <si>
    <t>解药2</t>
  </si>
  <si>
    <t>治疗玲雅的药剂</t>
  </si>
  <si>
    <t>法杖</t>
  </si>
  <si>
    <t>翔</t>
  </si>
  <si>
    <t>鸡</t>
  </si>
  <si>
    <t>马</t>
  </si>
  <si>
    <t>魔树根</t>
  </si>
  <si>
    <t>蝙蝠爪</t>
  </si>
  <si>
    <t>蟹钳</t>
  </si>
  <si>
    <t>骷髅戒指</t>
  </si>
  <si>
    <t>碎裂的龟壳</t>
  </si>
  <si>
    <t>bqhcjb</t>
    <phoneticPr fontId="1" type="noConversion"/>
  </si>
  <si>
    <t>sjcsjb</t>
    <phoneticPr fontId="1" type="noConversion"/>
  </si>
  <si>
    <t>mzhcjb</t>
    <phoneticPr fontId="1" type="noConversion"/>
  </si>
  <si>
    <t>盟重回城卷包</t>
  </si>
  <si>
    <t>Weight</t>
    <phoneticPr fontId="1" type="noConversion"/>
  </si>
  <si>
    <t>Both</t>
    <phoneticPr fontId="1" type="noConversion"/>
  </si>
  <si>
    <t>StaticMesh Bottle.Dro_Posin_Sun_1</t>
    <phoneticPr fontId="1" type="noConversion"/>
  </si>
  <si>
    <t>奇</t>
    <phoneticPr fontId="1" type="noConversion"/>
  </si>
  <si>
    <t>永</t>
    <phoneticPr fontId="1" type="noConversion"/>
  </si>
  <si>
    <t>测试礼盒一</t>
    <phoneticPr fontId="1" type="noConversion"/>
  </si>
  <si>
    <t>测试礼盒二</t>
    <phoneticPr fontId="1" type="noConversion"/>
  </si>
  <si>
    <t>测试礼盒三</t>
    <phoneticPr fontId="1" type="noConversion"/>
  </si>
  <si>
    <t>测试礼盒四</t>
    <phoneticPr fontId="1" type="noConversion"/>
  </si>
  <si>
    <t>测试礼盒五</t>
    <phoneticPr fontId="1" type="noConversion"/>
  </si>
  <si>
    <t>测试礼盒六</t>
    <phoneticPr fontId="1" type="noConversion"/>
  </si>
  <si>
    <t>测试礼盒七</t>
    <phoneticPr fontId="1" type="noConversion"/>
  </si>
  <si>
    <t>TeamAuction</t>
    <phoneticPr fontId="1" type="noConversion"/>
  </si>
  <si>
    <t>Server</t>
    <phoneticPr fontId="1" type="noConversion"/>
  </si>
  <si>
    <t>玛法功臣</t>
    <phoneticPr fontId="1" type="noConversion"/>
  </si>
  <si>
    <t>AddTitle93</t>
    <phoneticPr fontId="1" type="noConversion"/>
  </si>
  <si>
    <t>daoyishujuan1</t>
    <phoneticPr fontId="1" type="noConversion"/>
  </si>
  <si>
    <t>盟重回城卷</t>
    <phoneticPr fontId="1" type="noConversion"/>
  </si>
  <si>
    <t>比奇回城卷(绑定)</t>
    <phoneticPr fontId="1" type="noConversion"/>
  </si>
  <si>
    <t>贺信回馈1</t>
    <phoneticPr fontId="1" type="noConversion"/>
  </si>
  <si>
    <t>贺信回馈2</t>
    <phoneticPr fontId="1" type="noConversion"/>
  </si>
  <si>
    <t>贺信回馈3</t>
    <phoneticPr fontId="1" type="noConversion"/>
  </si>
  <si>
    <t>四海礼盒回馈1</t>
    <phoneticPr fontId="1" type="noConversion"/>
  </si>
  <si>
    <t>四海礼盒回馈2</t>
    <phoneticPr fontId="1" type="noConversion"/>
  </si>
  <si>
    <t>四海礼盒回馈3</t>
    <phoneticPr fontId="1" type="noConversion"/>
  </si>
  <si>
    <t>龙锦贡礼回馈1</t>
    <phoneticPr fontId="1" type="noConversion"/>
  </si>
  <si>
    <t>龙锦贡礼回馈2</t>
    <phoneticPr fontId="1" type="noConversion"/>
  </si>
  <si>
    <t>龙锦贡礼回馈3</t>
    <phoneticPr fontId="1" type="noConversion"/>
  </si>
  <si>
    <t>超强魔法药(占位）</t>
    <phoneticPr fontId="1" type="noConversion"/>
  </si>
  <si>
    <t>超强金创药（占位）</t>
    <phoneticPr fontId="1" type="noConversion"/>
  </si>
  <si>
    <t>金创药（占位）</t>
    <phoneticPr fontId="1" type="noConversion"/>
  </si>
  <si>
    <t>ceshilihe2</t>
  </si>
  <si>
    <t>ceshilihe3</t>
  </si>
  <si>
    <t>ceshilihe4</t>
  </si>
  <si>
    <t>ceshilihe5</t>
  </si>
  <si>
    <t>ceshilihe6</t>
  </si>
  <si>
    <t>ceshilihe7</t>
  </si>
  <si>
    <t>ceshilihe1</t>
    <phoneticPr fontId="1" type="noConversion"/>
  </si>
  <si>
    <t>StaticMesh Bottle.Dro_Posin_Magic_1</t>
    <phoneticPr fontId="1" type="noConversion"/>
  </si>
  <si>
    <t>StaticMesh Bottle.Dro_Posin_03_all</t>
    <phoneticPr fontId="1" type="noConversion"/>
  </si>
  <si>
    <t>StaticMesh Bottle.Dro_Posin_017_all</t>
    <phoneticPr fontId="1" type="noConversion"/>
  </si>
  <si>
    <t>StaticMesh Bottle.Dro_Posin_09_all</t>
    <phoneticPr fontId="1" type="noConversion"/>
  </si>
  <si>
    <t>StaticMesh Dro_Font.Font_1</t>
  </si>
  <si>
    <t>StaticMesh Dro_Font.Font_2</t>
  </si>
  <si>
    <t>StaticMesh Dro_Font.Font_3</t>
  </si>
  <si>
    <t>StaticMesh Dro_Font.Font_4</t>
  </si>
  <si>
    <t>StaticMesh Dro_Font.Font_5</t>
  </si>
  <si>
    <t>StaticMesh Dro_Font.Font_6</t>
  </si>
  <si>
    <t>StaticMesh beike.beike</t>
    <phoneticPr fontId="1" type="noConversion"/>
  </si>
  <si>
    <t>使用后获得“玛法功臣”称号</t>
    <phoneticPr fontId="1" type="noConversion"/>
  </si>
  <si>
    <t>给受击使用</t>
    <phoneticPr fontId="1" type="noConversion"/>
  </si>
  <si>
    <t>item表只配这个</t>
    <phoneticPr fontId="1" type="noConversion"/>
  </si>
  <si>
    <t>EIAST_Bag               =0,</t>
  </si>
  <si>
    <t xml:space="preserve">    EIAST_Book              =1,</t>
  </si>
  <si>
    <t xml:space="preserve">    EIAST_ClothLeather      =2,</t>
  </si>
  <si>
    <t xml:space="preserve">    EIAST_FoodGeneric       =3,</t>
  </si>
  <si>
    <t xml:space="preserve">    EIAST_Gems              =4,</t>
  </si>
  <si>
    <t xml:space="preserve">    EIAST_Herb              =5,</t>
  </si>
  <si>
    <t xml:space="preserve">    EIAST_LargeChain        =6,</t>
  </si>
  <si>
    <t xml:space="preserve">    EIAST_SmallChain        =7,</t>
  </si>
  <si>
    <t xml:space="preserve">    EIAST_Meat              =8,</t>
  </si>
  <si>
    <t xml:space="preserve">    EIAST_MetalLarge        =9,</t>
  </si>
  <si>
    <t xml:space="preserve">    EIAST_MetalSmall        =10,</t>
  </si>
  <si>
    <t xml:space="preserve">    EIAST_ParchmentPaper    =11,</t>
  </si>
  <si>
    <t xml:space="preserve">    EIAST_Ring              =12,</t>
  </si>
  <si>
    <t xml:space="preserve">    EIAST_RocksOre          =13,</t>
  </si>
  <si>
    <t xml:space="preserve">    EIAST_WaterLiquid       =15,</t>
  </si>
  <si>
    <t xml:space="preserve">    EIAST_WoodLarge         =16,</t>
  </si>
  <si>
    <t xml:space="preserve">    EIAST_WoodSmall         =17,</t>
  </si>
  <si>
    <t xml:space="preserve">    EIAST_MAX               =18,</t>
  </si>
  <si>
    <t xml:space="preserve">    EIAST_Wand              =14,</t>
    <phoneticPr fontId="1" type="noConversion"/>
  </si>
  <si>
    <t>SoundMaterialType</t>
    <phoneticPr fontId="1" type="noConversion"/>
  </si>
  <si>
    <t>10级问卷调查礼包</t>
    <phoneticPr fontId="1" type="noConversion"/>
  </si>
  <si>
    <t>20级问卷调查礼包</t>
    <phoneticPr fontId="1" type="noConversion"/>
  </si>
  <si>
    <t>30级问卷调查礼包</t>
    <phoneticPr fontId="1" type="noConversion"/>
  </si>
  <si>
    <t>wenjuan20</t>
    <phoneticPr fontId="1" type="noConversion"/>
  </si>
  <si>
    <t>wenjuan30</t>
    <phoneticPr fontId="1" type="noConversion"/>
  </si>
  <si>
    <t>wenjuan10</t>
    <phoneticPr fontId="1" type="noConversion"/>
  </si>
  <si>
    <t>召唤骷髅</t>
    <phoneticPr fontId="1" type="noConversion"/>
  </si>
  <si>
    <t>Texture2D MMO_ItemIcon_Supplies.Item_68</t>
    <phoneticPr fontId="1" type="noConversion"/>
  </si>
  <si>
    <t>问卷调查礼包</t>
    <phoneticPr fontId="1" type="noConversion"/>
  </si>
  <si>
    <t>wenjuan0321</t>
    <phoneticPr fontId="1" type="noConversion"/>
  </si>
  <si>
    <t>Auction</t>
    <phoneticPr fontId="1" type="noConversion"/>
  </si>
  <si>
    <t>AuctionType</t>
    <phoneticPr fontId="1" type="noConversion"/>
  </si>
  <si>
    <t>最小攻击+1</t>
  </si>
  <si>
    <t>最小攻击+2</t>
  </si>
  <si>
    <t>最小攻击+3</t>
  </si>
  <si>
    <t>最小攻击+5</t>
  </si>
  <si>
    <t>最小攻击+7</t>
  </si>
  <si>
    <t>最小攻击+10</t>
  </si>
  <si>
    <t>最小攻击+13</t>
  </si>
  <si>
    <t>最小攻击+17</t>
  </si>
  <si>
    <t>最小攻击+22</t>
  </si>
  <si>
    <t>最小攻击+28</t>
  </si>
  <si>
    <t>最大道术+1</t>
  </si>
  <si>
    <t>最大道术+2</t>
  </si>
  <si>
    <t>最大道术+3</t>
  </si>
  <si>
    <t>最大道术+5</t>
  </si>
  <si>
    <t>最大道术+7</t>
  </si>
  <si>
    <t>最大道术+10</t>
  </si>
  <si>
    <t>最大道术+13</t>
  </si>
  <si>
    <t>最大道术+17</t>
  </si>
  <si>
    <t>最大道术+22</t>
  </si>
  <si>
    <t>最大道术+28</t>
  </si>
  <si>
    <t>最大攻击+1</t>
  </si>
  <si>
    <t>最大攻击+2</t>
  </si>
  <si>
    <t>最大攻击+3</t>
  </si>
  <si>
    <t>最大攻击+5</t>
  </si>
  <si>
    <t>最大攻击+7</t>
  </si>
  <si>
    <t>最大攻击+10</t>
  </si>
  <si>
    <t>最大攻击+13</t>
  </si>
  <si>
    <t>最大攻击+17</t>
  </si>
  <si>
    <t>最大攻击+22</t>
  </si>
  <si>
    <t>最大攻击+28</t>
  </si>
  <si>
    <t>最小魔防+1</t>
  </si>
  <si>
    <t>最小魔防+2</t>
  </si>
  <si>
    <t>最小魔防+3</t>
  </si>
  <si>
    <t>最小魔防+5</t>
  </si>
  <si>
    <t>最小魔防+7</t>
  </si>
  <si>
    <t>最小魔防+10</t>
  </si>
  <si>
    <t>最小魔防+13</t>
  </si>
  <si>
    <t>最小魔防+17</t>
  </si>
  <si>
    <t>最小魔防+22</t>
  </si>
  <si>
    <t>最小魔防+28</t>
  </si>
  <si>
    <t>最小防御+1</t>
  </si>
  <si>
    <t>最小防御+2</t>
  </si>
  <si>
    <t>最小防御+3</t>
  </si>
  <si>
    <t>最小防御+5</t>
  </si>
  <si>
    <t>最小防御+7</t>
  </si>
  <si>
    <t>最小防御+10</t>
  </si>
  <si>
    <t>最小防御+13</t>
  </si>
  <si>
    <t>最小防御+17</t>
  </si>
  <si>
    <t>最小防御+22</t>
  </si>
  <si>
    <t>最小防御+28</t>
  </si>
  <si>
    <t>最大魔法+1</t>
  </si>
  <si>
    <t>最大魔法+2</t>
  </si>
  <si>
    <t>最大魔法+3</t>
  </si>
  <si>
    <t>最大魔法+5</t>
  </si>
  <si>
    <t>最大魔法+7</t>
  </si>
  <si>
    <t>最大魔法+10</t>
  </si>
  <si>
    <t>最大魔法+13</t>
  </si>
  <si>
    <t>最大魔法+17</t>
  </si>
  <si>
    <t>最大魔法+22</t>
  </si>
  <si>
    <t>最大魔法+28</t>
  </si>
  <si>
    <t>最大魔防+1</t>
  </si>
  <si>
    <t>最大魔防+2</t>
  </si>
  <si>
    <t>最大魔防+3</t>
  </si>
  <si>
    <t>最大魔防+5</t>
  </si>
  <si>
    <t>最大魔防+7</t>
  </si>
  <si>
    <t>最大魔防+10</t>
  </si>
  <si>
    <t>最大魔防+13</t>
  </si>
  <si>
    <t>最大魔防+17</t>
  </si>
  <si>
    <t>最大魔防+22</t>
  </si>
  <si>
    <t>最大魔防+28</t>
  </si>
  <si>
    <t>最小道术+1</t>
  </si>
  <si>
    <t>最小道术+2</t>
  </si>
  <si>
    <t>最小道术+3</t>
  </si>
  <si>
    <t>最小道术+5</t>
  </si>
  <si>
    <t>最小道术+7</t>
  </si>
  <si>
    <t>最小道术+10</t>
  </si>
  <si>
    <t>最小道术+13</t>
  </si>
  <si>
    <t>最小道术+17</t>
  </si>
  <si>
    <t>最小道术+22</t>
  </si>
  <si>
    <t>最小道术+28</t>
  </si>
  <si>
    <t>生命值+15</t>
  </si>
  <si>
    <t>生命值+30</t>
  </si>
  <si>
    <t>生命值+45</t>
  </si>
  <si>
    <t>生命值+75</t>
  </si>
  <si>
    <t>生命值+105</t>
  </si>
  <si>
    <t>生命值+150</t>
  </si>
  <si>
    <t>生命值+195</t>
  </si>
  <si>
    <t>生命值+255</t>
  </si>
  <si>
    <t>生命值+330</t>
  </si>
  <si>
    <t>生命值+420</t>
  </si>
  <si>
    <t>最小魔法+1</t>
  </si>
  <si>
    <t>最小魔法+2</t>
  </si>
  <si>
    <t>最小魔法+3</t>
  </si>
  <si>
    <t>最小魔法+5</t>
  </si>
  <si>
    <t>最小魔法+7</t>
  </si>
  <si>
    <t>最小魔法+10</t>
  </si>
  <si>
    <t>最小魔法+13</t>
  </si>
  <si>
    <t>最小魔法+17</t>
  </si>
  <si>
    <t>最小魔法+22</t>
  </si>
  <si>
    <t>最小魔法+28</t>
  </si>
  <si>
    <t>魔法值+5</t>
  </si>
  <si>
    <t>魔法值+10</t>
  </si>
  <si>
    <t>魔法值+15</t>
  </si>
  <si>
    <t>魔法值+25</t>
  </si>
  <si>
    <t>魔法值+35</t>
  </si>
  <si>
    <t>魔法值+50</t>
  </si>
  <si>
    <t>魔法值+65</t>
  </si>
  <si>
    <t>魔法值+85</t>
  </si>
  <si>
    <t>魔法值+110</t>
  </si>
  <si>
    <t>魔法值+140</t>
  </si>
  <si>
    <t>最大防御+1</t>
  </si>
  <si>
    <t>最大防御+2</t>
  </si>
  <si>
    <t>最大防御+3</t>
  </si>
  <si>
    <t>最大防御+5</t>
  </si>
  <si>
    <t>最大防御+7</t>
  </si>
  <si>
    <t>最大防御+10</t>
  </si>
  <si>
    <t>最大防御+13</t>
  </si>
  <si>
    <t>最大防御+17</t>
  </si>
  <si>
    <t>最大防御+22</t>
  </si>
  <si>
    <t>最大防御+28</t>
  </si>
  <si>
    <t>尸王之泪</t>
    <phoneticPr fontId="1" type="noConversion"/>
  </si>
  <si>
    <t>沃玛教主之牙</t>
    <phoneticPr fontId="1" type="noConversion"/>
  </si>
  <si>
    <t>触龙神之足</t>
    <phoneticPr fontId="1" type="noConversion"/>
  </si>
  <si>
    <t>铜矿3</t>
  </si>
  <si>
    <t>铜矿4</t>
  </si>
  <si>
    <t>铜矿5</t>
  </si>
  <si>
    <t>铜矿6</t>
  </si>
  <si>
    <t>铜矿7</t>
  </si>
  <si>
    <t>铜矿8</t>
  </si>
  <si>
    <t>铜矿9</t>
  </si>
  <si>
    <t>铜矿10</t>
  </si>
  <si>
    <t>铜矿11</t>
  </si>
  <si>
    <t>铜矿12</t>
  </si>
  <si>
    <t>铜矿13</t>
  </si>
  <si>
    <t>铜矿14</t>
  </si>
  <si>
    <t>铜矿15</t>
  </si>
  <si>
    <t>铜矿16</t>
  </si>
  <si>
    <t>铜矿17</t>
  </si>
  <si>
    <t>铜矿18</t>
  </si>
  <si>
    <t>铜矿19</t>
  </si>
  <si>
    <t>铜矿20</t>
  </si>
  <si>
    <t>铜矿21</t>
  </si>
  <si>
    <t>铜矿22</t>
  </si>
  <si>
    <t>铜矿23</t>
  </si>
  <si>
    <t>铜矿24</t>
  </si>
  <si>
    <t>铜矿25</t>
  </si>
  <si>
    <t>铜矿26</t>
  </si>
  <si>
    <t>铁矿3</t>
  </si>
  <si>
    <t>铁矿4</t>
  </si>
  <si>
    <t>铁矿5</t>
  </si>
  <si>
    <t>铁矿6</t>
  </si>
  <si>
    <t>铁矿7</t>
  </si>
  <si>
    <t>铁矿8</t>
  </si>
  <si>
    <t>铁矿9</t>
  </si>
  <si>
    <t>铁矿10</t>
  </si>
  <si>
    <t>铁矿11</t>
  </si>
  <si>
    <t>铁矿12</t>
  </si>
  <si>
    <t>铁矿13</t>
  </si>
  <si>
    <t>铁矿14</t>
  </si>
  <si>
    <t>铁矿15</t>
  </si>
  <si>
    <t>铁矿16</t>
  </si>
  <si>
    <t>铁矿17</t>
  </si>
  <si>
    <t>铁矿18</t>
  </si>
  <si>
    <t>铁矿19</t>
  </si>
  <si>
    <t>铁矿20</t>
  </si>
  <si>
    <t>铁矿21</t>
  </si>
  <si>
    <t>铁矿22</t>
  </si>
  <si>
    <t>铁矿23</t>
  </si>
  <si>
    <t>铁矿24</t>
  </si>
  <si>
    <t>铁矿25</t>
  </si>
  <si>
    <t>铁矿26</t>
  </si>
  <si>
    <t>银矿3</t>
  </si>
  <si>
    <t>银矿4</t>
  </si>
  <si>
    <t>银矿5</t>
  </si>
  <si>
    <t>银矿6</t>
  </si>
  <si>
    <t>银矿7</t>
  </si>
  <si>
    <t>银矿8</t>
  </si>
  <si>
    <t>银矿9</t>
  </si>
  <si>
    <t>银矿10</t>
  </si>
  <si>
    <t>银矿11</t>
  </si>
  <si>
    <t>银矿12</t>
  </si>
  <si>
    <t>银矿13</t>
  </si>
  <si>
    <t>银矿14</t>
  </si>
  <si>
    <t>银矿15</t>
  </si>
  <si>
    <t>银矿16</t>
  </si>
  <si>
    <t>银矿17</t>
  </si>
  <si>
    <t>银矿18</t>
  </si>
  <si>
    <t>银矿19</t>
  </si>
  <si>
    <t>银矿20</t>
  </si>
  <si>
    <t>银矿21</t>
  </si>
  <si>
    <t>银矿22</t>
  </si>
  <si>
    <t>银矿23</t>
  </si>
  <si>
    <t>银矿24</t>
  </si>
  <si>
    <t>银矿25</t>
  </si>
  <si>
    <t>银矿26</t>
  </si>
  <si>
    <t>金矿3</t>
  </si>
  <si>
    <t>金矿4</t>
  </si>
  <si>
    <t>金矿5</t>
  </si>
  <si>
    <t>金矿6</t>
  </si>
  <si>
    <t>金矿7</t>
  </si>
  <si>
    <t>金矿8</t>
  </si>
  <si>
    <t>金矿9</t>
  </si>
  <si>
    <t>金矿10</t>
  </si>
  <si>
    <t>金矿11</t>
  </si>
  <si>
    <t>金矿12</t>
  </si>
  <si>
    <t>金矿13</t>
  </si>
  <si>
    <t>金矿14</t>
  </si>
  <si>
    <t>金矿15</t>
  </si>
  <si>
    <t>金矿16</t>
  </si>
  <si>
    <t>金矿17</t>
  </si>
  <si>
    <t>金矿18</t>
  </si>
  <si>
    <t>金矿19</t>
  </si>
  <si>
    <t>金矿20</t>
  </si>
  <si>
    <t>金矿21</t>
  </si>
  <si>
    <t>金矿22</t>
  </si>
  <si>
    <t>金矿23</t>
  </si>
  <si>
    <t>金矿24</t>
  </si>
  <si>
    <t>金矿25</t>
  </si>
  <si>
    <t>金矿26</t>
  </si>
  <si>
    <t>ITEMSUBTYPE_MATERIAL_MISC</t>
    <phoneticPr fontId="1" type="noConversion"/>
  </si>
  <si>
    <t>DURTYPE_STACK</t>
  </si>
  <si>
    <t>DURTYPE_USE</t>
  </si>
  <si>
    <t>DURTYPE_USE</t>
    <phoneticPr fontId="1" type="noConversion"/>
  </si>
  <si>
    <t>DURTYPE_DEPOSIT</t>
  </si>
  <si>
    <t>DURTYPE_RECOVER</t>
  </si>
  <si>
    <t>DURTYPE_PURITY</t>
    <phoneticPr fontId="1" type="noConversion"/>
  </si>
  <si>
    <t>卖店价</t>
    <phoneticPr fontId="1" type="noConversion"/>
  </si>
  <si>
    <t>标准商店价</t>
    <phoneticPr fontId="1" type="noConversion"/>
  </si>
  <si>
    <t>道具ID</t>
    <phoneticPr fontId="1" type="noConversion"/>
  </si>
  <si>
    <t>道具名称</t>
    <phoneticPr fontId="1" type="noConversion"/>
  </si>
  <si>
    <t>Texture2D MMO_ItemIcon_Mingwen.zhanshi.Item_mingwen_z_112</t>
    <phoneticPr fontId="1" type="noConversion"/>
  </si>
  <si>
    <t>Texture2D MMO_ItemIcon_Mingwen.fashi.item_mingwen_f_114</t>
    <phoneticPr fontId="1" type="noConversion"/>
  </si>
  <si>
    <t>Texture2D MMO_ItemIcon_Mingwen.gongshou.Item_mingwen_g_115</t>
    <phoneticPr fontId="1" type="noConversion"/>
  </si>
  <si>
    <t>法师铭文石</t>
  </si>
  <si>
    <t>道士铭文石</t>
  </si>
  <si>
    <t>战士铭文石(绑定)</t>
  </si>
  <si>
    <t>法师铭文石(绑定)</t>
  </si>
  <si>
    <t>道士铭文石(绑定)</t>
  </si>
  <si>
    <t>Texture2D MMO_ItemIcon_Supplies.item_material1</t>
  </si>
  <si>
    <t>Texture2D MMO_ItemIcon_Supplies.item_material2</t>
  </si>
  <si>
    <t>Texture2D MMO_ItemIcon_Supplies.item_material3</t>
  </si>
  <si>
    <t>Texture2D MMO_ItemIcon_Supplies.item_material4</t>
  </si>
  <si>
    <t>Texture2D MMO_ItemIcon_Supplies.item_material5</t>
  </si>
  <si>
    <t>黑铁矿石3</t>
  </si>
  <si>
    <t>黑铁矿石4</t>
  </si>
  <si>
    <t>黑铁矿石5</t>
  </si>
  <si>
    <t>黑铁矿石6</t>
  </si>
  <si>
    <t>黑铁矿石7</t>
  </si>
  <si>
    <t>黑铁矿石8</t>
  </si>
  <si>
    <t>黑铁矿石9</t>
  </si>
  <si>
    <t>黑铁矿石10</t>
  </si>
  <si>
    <t>黑铁矿石11</t>
  </si>
  <si>
    <t>黑铁矿石12</t>
  </si>
  <si>
    <t>黑铁矿石13</t>
  </si>
  <si>
    <t>黑铁矿石14</t>
  </si>
  <si>
    <t>黑铁矿石15</t>
  </si>
  <si>
    <t>黑铁矿石16</t>
  </si>
  <si>
    <t>黑铁矿石17</t>
  </si>
  <si>
    <t>黑铁矿石18</t>
  </si>
  <si>
    <t>黑铁矿石19</t>
  </si>
  <si>
    <t>黑铁矿石20</t>
  </si>
  <si>
    <t>黑铁矿石21</t>
  </si>
  <si>
    <t>黑铁矿石22</t>
  </si>
  <si>
    <t>黑铁矿石23</t>
  </si>
  <si>
    <t>黑铁矿石24</t>
  </si>
  <si>
    <t>黑铁矿石25</t>
  </si>
  <si>
    <t>黑铁矿石26</t>
  </si>
  <si>
    <t>(绑定)黑铁矿石20</t>
  </si>
  <si>
    <t>祖玛头像</t>
    <phoneticPr fontId="1" type="noConversion"/>
  </si>
  <si>
    <t>clsWarrior</t>
    <phoneticPr fontId="1" type="noConversion"/>
  </si>
  <si>
    <t>clsMage</t>
    <phoneticPr fontId="1" type="noConversion"/>
  </si>
  <si>
    <t>clsTaoist</t>
    <phoneticPr fontId="1" type="noConversion"/>
  </si>
  <si>
    <t>道义书卷15</t>
  </si>
  <si>
    <t>道义书卷16</t>
  </si>
  <si>
    <t>道义书卷17</t>
  </si>
  <si>
    <t>道义书卷18</t>
  </si>
  <si>
    <t>道义书卷19</t>
  </si>
  <si>
    <t>道义书卷20</t>
  </si>
  <si>
    <t>道义书卷21</t>
  </si>
  <si>
    <t>daoyishujuan15</t>
  </si>
  <si>
    <t>daoyishujuan16</t>
  </si>
  <si>
    <t>daoyishujuan17</t>
  </si>
  <si>
    <t>daoyishujuan18</t>
  </si>
  <si>
    <t>daoyishujuan19</t>
  </si>
  <si>
    <t>daoyishujuan20</t>
  </si>
  <si>
    <t>daoyishujuan21</t>
  </si>
  <si>
    <t>沙巴克回城卷</t>
    <phoneticPr fontId="1" type="noConversion"/>
  </si>
  <si>
    <t>沙巴克回城卷包</t>
    <phoneticPr fontId="1" type="noConversion"/>
  </si>
  <si>
    <t>sbkhcjb</t>
    <phoneticPr fontId="1" type="noConversion"/>
  </si>
  <si>
    <t>鹿肉</t>
    <phoneticPr fontId="1" type="noConversion"/>
  </si>
  <si>
    <t>Stat</t>
    <phoneticPr fontId="1" type="noConversion"/>
  </si>
  <si>
    <t>Server</t>
    <phoneticPr fontId="1" type="noConversion"/>
  </si>
  <si>
    <t>SabacJump</t>
    <phoneticPr fontId="1" type="noConversion"/>
  </si>
  <si>
    <t>StaticMesh Dro_BodyKing.Dro_BodyKing</t>
    <phoneticPr fontId="1" type="noConversion"/>
  </si>
  <si>
    <t>StaticMesh Dro_Cave.Dro_Cave</t>
  </si>
  <si>
    <t>StaticMesh Dro_ZuMa.Dro_ZuMa</t>
  </si>
  <si>
    <t>StaticMesh Dro_Rock.Black_Metal</t>
  </si>
  <si>
    <t>StaticMesh Dro_Rock.Copper_Metal</t>
  </si>
  <si>
    <t>StaticMesh Dro_Rock.Metal_Metal</t>
  </si>
  <si>
    <t>StaticMesh Dro_Rock.Silver_Metal</t>
  </si>
  <si>
    <t>StaticMesh Dro_Rock.Golden_Metal</t>
  </si>
  <si>
    <t>StaticMesh Dro_Knife.Dro_Knife</t>
  </si>
  <si>
    <t>Texture2 MMO_ItemIcon_QuestItem.90056</t>
  </si>
  <si>
    <t>Texture2 MMO_ItemIcon_QuestItem.90035</t>
  </si>
  <si>
    <t>Texture2 MMO_ItemIcon_QuestItem.q_item10</t>
  </si>
  <si>
    <t>Texture2 MMO_ItemIcon_QuestItem.q_item03</t>
  </si>
  <si>
    <t>Texture2 MMO_ItemIcon_QuestItem.q_item49</t>
  </si>
  <si>
    <t>Texture2 MMO_ItemIcon_QuestItem.hezi</t>
  </si>
  <si>
    <t>Texture2 MMO_ItemIcon_QuestItem.beike</t>
  </si>
  <si>
    <t>Texture2 MMO_ItemIcon_QuestItem.shuilian</t>
  </si>
  <si>
    <t>Texture2 MMO_ItemIcon_QuestItem.shiban</t>
  </si>
  <si>
    <t>Texture2 MMO_ItemIcon_QuestItem.hua</t>
  </si>
  <si>
    <t>Texture2 MMO_ItemIcon_QuestItem.lvye</t>
  </si>
  <si>
    <t>Texture2 MMO_ItemIcon_QuestItem.zi_wo</t>
  </si>
  <si>
    <t>Texture2 MMO_ItemIcon_QuestItem.zi_ai</t>
  </si>
  <si>
    <t>Texture2 MMO_ItemIcon_QuestItem.zi_chuan</t>
  </si>
  <si>
    <t>Texture2 MMO_ItemIcon_QuestItem.zi_qi</t>
  </si>
  <si>
    <t>Texture2 MMO_ItemIcon_QuestItem.zi_yong</t>
  </si>
  <si>
    <t>Texture2 MMO_ItemIcon_QuestItem.zi_heng</t>
  </si>
  <si>
    <t>Texture2 MMO_ItemIcon_QuestItem.Boss01</t>
    <phoneticPr fontId="1" type="noConversion"/>
  </si>
  <si>
    <t>Texture2 MMO_ItemIcon_QuestItem.Boss02</t>
  </si>
  <si>
    <t>Texture2 MMO_ItemIcon_QuestItem.Boss03</t>
  </si>
  <si>
    <t>Texture2 MMO_ItemIcon_QuestItem.Boss04</t>
  </si>
  <si>
    <t>Texture2 MMO_ItemIcon_QuestItem.Boss05</t>
  </si>
  <si>
    <t>圣战遗书</t>
    <phoneticPr fontId="1" type="noConversion"/>
  </si>
  <si>
    <t>法神遗书</t>
    <phoneticPr fontId="1" type="noConversion"/>
  </si>
  <si>
    <t>天尊遗书</t>
    <phoneticPr fontId="1" type="noConversion"/>
  </si>
  <si>
    <t>灵石礼包</t>
    <phoneticPr fontId="1" type="noConversion"/>
  </si>
  <si>
    <t>QianDaoLingShi</t>
    <phoneticPr fontId="1" type="noConversion"/>
  </si>
  <si>
    <t>QianDaoHeiTie</t>
    <phoneticPr fontId="1" type="noConversion"/>
  </si>
  <si>
    <t>QianDaoJinBi</t>
    <phoneticPr fontId="1" type="noConversion"/>
  </si>
  <si>
    <t>QianDaoShiPin</t>
    <phoneticPr fontId="1" type="noConversion"/>
  </si>
  <si>
    <t>QianDaoJiNeng</t>
    <phoneticPr fontId="1" type="noConversion"/>
  </si>
  <si>
    <t>clsWarrior,clsMage,clsRogue,clsArcher,clsTaoist</t>
    <phoneticPr fontId="1" type="noConversion"/>
  </si>
  <si>
    <t>QianDaoMingWen</t>
    <phoneticPr fontId="1" type="noConversion"/>
  </si>
  <si>
    <t>Texture2D MMO_ItemIcon_Supplies.gift01</t>
    <phoneticPr fontId="1" type="noConversion"/>
  </si>
  <si>
    <t>Texture2D MMO_ItemIcon_Supplies.gift02</t>
  </si>
  <si>
    <t>玲月传</t>
    <phoneticPr fontId="1" type="noConversion"/>
  </si>
  <si>
    <t>阿九传</t>
    <phoneticPr fontId="1" type="noConversion"/>
  </si>
  <si>
    <t>南苍公传</t>
    <phoneticPr fontId="1" type="noConversion"/>
  </si>
  <si>
    <t>技能礼包</t>
    <phoneticPr fontId="1" type="noConversion"/>
  </si>
  <si>
    <t>祝福油礼包</t>
    <phoneticPr fontId="1" type="noConversion"/>
  </si>
  <si>
    <t>QianDaoCJJCY</t>
    <phoneticPr fontId="1" type="noConversion"/>
  </si>
  <si>
    <t>QianDaoCJMFY</t>
    <phoneticPr fontId="1" type="noConversion"/>
  </si>
  <si>
    <t>QianDaoQXTYS</t>
    <phoneticPr fontId="1" type="noConversion"/>
  </si>
  <si>
    <t>QianDaoZFY</t>
    <phoneticPr fontId="1" type="noConversion"/>
  </si>
  <si>
    <t>clsWarrior</t>
    <phoneticPr fontId="1" type="noConversion"/>
  </si>
  <si>
    <t>clsMage</t>
    <phoneticPr fontId="1" type="noConversion"/>
  </si>
  <si>
    <t>clsTaoist</t>
    <phoneticPr fontId="1" type="noConversion"/>
  </si>
  <si>
    <t>Texture2D MMO_ItemIcon_Supplies.item_133</t>
    <phoneticPr fontId="1" type="noConversion"/>
  </si>
  <si>
    <t>Texture2D MMO_ItemIcon_Supplies.item_133</t>
    <phoneticPr fontId="1" type="noConversion"/>
  </si>
  <si>
    <t>Texture2D MMO_ItemIcon_Supplies.item_134</t>
    <phoneticPr fontId="1" type="noConversion"/>
  </si>
  <si>
    <t>Texture2D MMO_ItemIcon_Supplies.item_132</t>
    <phoneticPr fontId="1" type="noConversion"/>
  </si>
  <si>
    <t>Texture2D MMO_ItemIcon_Supplies.item_140</t>
    <phoneticPr fontId="1" type="noConversion"/>
  </si>
  <si>
    <t>17173礼包</t>
    <phoneticPr fontId="1" type="noConversion"/>
  </si>
  <si>
    <t>新浪礼包</t>
    <phoneticPr fontId="1" type="noConversion"/>
  </si>
  <si>
    <t>17173FC</t>
    <phoneticPr fontId="1" type="noConversion"/>
  </si>
  <si>
    <t>DuoWanFC</t>
    <phoneticPr fontId="1" type="noConversion"/>
  </si>
  <si>
    <t>XinLangFC</t>
    <phoneticPr fontId="1" type="noConversion"/>
  </si>
  <si>
    <t>多玩礼包</t>
    <phoneticPr fontId="1" type="noConversion"/>
  </si>
  <si>
    <t>Texture2D MMO_ItemIcon_Supplies.gift01</t>
    <phoneticPr fontId="1" type="noConversion"/>
  </si>
  <si>
    <t>随机传送卷</t>
  </si>
  <si>
    <t>比奇回城卷(绑定)</t>
  </si>
  <si>
    <t>盟重回城卷</t>
  </si>
  <si>
    <t>沙巴克回城卷</t>
  </si>
  <si>
    <t>比奇回城卷包</t>
  </si>
  <si>
    <t>随机传送卷包</t>
  </si>
  <si>
    <t>沙巴克回城卷包</t>
  </si>
  <si>
    <t>公会礼包</t>
    <phoneticPr fontId="1" type="noConversion"/>
  </si>
  <si>
    <t>初级红名符</t>
  </si>
  <si>
    <t>中级红名符</t>
  </si>
  <si>
    <t>高级红名符</t>
  </si>
  <si>
    <t>Stat</t>
    <phoneticPr fontId="1" type="noConversion"/>
  </si>
  <si>
    <t>记录全服消耗量</t>
    <phoneticPr fontId="1" type="noConversion"/>
  </si>
  <si>
    <t>金创药礼包</t>
    <phoneticPr fontId="1" type="noConversion"/>
  </si>
  <si>
    <t>披风礼包</t>
    <phoneticPr fontId="1" type="noConversion"/>
  </si>
  <si>
    <t>太阳水礼包</t>
    <phoneticPr fontId="1" type="noConversion"/>
  </si>
  <si>
    <t>QianDaoJCY</t>
    <phoneticPr fontId="1" type="noConversion"/>
  </si>
  <si>
    <t>QianDaoPiFeng</t>
    <phoneticPr fontId="1" type="noConversion"/>
  </si>
  <si>
    <t>QianDaoTYS</t>
    <phoneticPr fontId="1" type="noConversion"/>
  </si>
  <si>
    <t>战士铭文石</t>
    <phoneticPr fontId="1" type="noConversion"/>
  </si>
  <si>
    <t>法师铭文石</t>
    <phoneticPr fontId="1" type="noConversion"/>
  </si>
  <si>
    <t>道士铭文石</t>
    <phoneticPr fontId="1" type="noConversion"/>
  </si>
  <si>
    <t>战士铭文石(绑定)</t>
    <phoneticPr fontId="1" type="noConversion"/>
  </si>
  <si>
    <t>法师铭文石(绑定)</t>
    <phoneticPr fontId="1" type="noConversion"/>
  </si>
  <si>
    <t>道士铭文石(绑定)</t>
    <phoneticPr fontId="1" type="noConversion"/>
  </si>
  <si>
    <t>感恩礼包</t>
    <phoneticPr fontId="1" type="noConversion"/>
  </si>
  <si>
    <t>补偿礼包</t>
    <phoneticPr fontId="1" type="noConversion"/>
  </si>
  <si>
    <t>药水礼包</t>
    <phoneticPr fontId="1" type="noConversion"/>
  </si>
  <si>
    <t>装备礼包</t>
    <phoneticPr fontId="1" type="noConversion"/>
  </si>
  <si>
    <t>金币礼包</t>
    <phoneticPr fontId="1" type="noConversion"/>
  </si>
  <si>
    <t>猪妖秘宝经验包</t>
    <phoneticPr fontId="1" type="noConversion"/>
  </si>
  <si>
    <t>毒虫迷宫经验包</t>
    <phoneticPr fontId="1" type="noConversion"/>
  </si>
  <si>
    <t>沃玛珍宝经验包</t>
    <phoneticPr fontId="1" type="noConversion"/>
  </si>
  <si>
    <t>昔日龙脉经验包</t>
    <phoneticPr fontId="1" type="noConversion"/>
  </si>
  <si>
    <t>英雄土城经验包</t>
    <phoneticPr fontId="1" type="noConversion"/>
  </si>
  <si>
    <t>巨木之森经验包</t>
    <phoneticPr fontId="1" type="noConversion"/>
  </si>
  <si>
    <t>龙卫之乡经验包</t>
    <phoneticPr fontId="1" type="noConversion"/>
  </si>
  <si>
    <t>超级金创药礼包</t>
    <phoneticPr fontId="1" type="noConversion"/>
  </si>
  <si>
    <t>超级魔法药礼包</t>
    <phoneticPr fontId="1" type="noConversion"/>
  </si>
  <si>
    <t>强效太阳水礼包</t>
    <phoneticPr fontId="1" type="noConversion"/>
  </si>
  <si>
    <t>特戒大礼包</t>
    <phoneticPr fontId="1" type="noConversion"/>
  </si>
  <si>
    <t>武器升级礼包</t>
    <phoneticPr fontId="1" type="noConversion"/>
  </si>
  <si>
    <t>铭文礼包</t>
    <phoneticPr fontId="1" type="noConversion"/>
  </si>
  <si>
    <t>古旧命运之刃</t>
    <phoneticPr fontId="1" type="noConversion"/>
  </si>
  <si>
    <t>茂盛绿叶植物</t>
    <phoneticPr fontId="1" type="noConversion"/>
  </si>
  <si>
    <t>永不凋谢的睡莲</t>
    <phoneticPr fontId="1" type="noConversion"/>
  </si>
  <si>
    <t>命朱灵石1级</t>
  </si>
  <si>
    <t>命朱灵石2级</t>
  </si>
  <si>
    <t>命朱灵石3级</t>
  </si>
  <si>
    <t>命朱灵石4级</t>
  </si>
  <si>
    <t>命朱灵石5级</t>
  </si>
  <si>
    <t>命朱灵石6级</t>
  </si>
  <si>
    <t>命朱灵石7级</t>
  </si>
  <si>
    <t>命朱灵石8级</t>
  </si>
  <si>
    <t>命朱灵石9级</t>
  </si>
  <si>
    <t>命朱灵石10级</t>
  </si>
  <si>
    <t>驭朱灵石1级</t>
  </si>
  <si>
    <t>驭朱灵石2级</t>
  </si>
  <si>
    <t>驭朱灵石3级</t>
  </si>
  <si>
    <t>驭朱灵石4级</t>
  </si>
  <si>
    <t>驭朱灵石5级</t>
  </si>
  <si>
    <t>驭朱灵石6级</t>
  </si>
  <si>
    <t>驭朱灵石7级</t>
  </si>
  <si>
    <t>驭朱灵石8级</t>
  </si>
  <si>
    <t>驭朱灵石9级</t>
  </si>
  <si>
    <t>驭朱灵石10级</t>
  </si>
  <si>
    <t>新日灵石1级</t>
  </si>
  <si>
    <t>新日灵石2级</t>
  </si>
  <si>
    <t>新日灵石3级</t>
  </si>
  <si>
    <t>新日灵石4级</t>
  </si>
  <si>
    <t>新日灵石5级</t>
  </si>
  <si>
    <t>新日灵石6级</t>
  </si>
  <si>
    <t>新日灵石7级</t>
  </si>
  <si>
    <t>新日灵石8级</t>
  </si>
  <si>
    <t>新日灵石9级</t>
  </si>
  <si>
    <t>新日灵石10级</t>
  </si>
  <si>
    <t>守日灵石1级</t>
  </si>
  <si>
    <t>守日灵石2级</t>
  </si>
  <si>
    <t>守日灵石3级</t>
  </si>
  <si>
    <t>守日灵石4级</t>
  </si>
  <si>
    <t>守日灵石5级</t>
  </si>
  <si>
    <t>守日灵石6级</t>
  </si>
  <si>
    <t>守日灵石7级</t>
  </si>
  <si>
    <t>守日灵石8级</t>
  </si>
  <si>
    <t>守日灵石9级</t>
  </si>
  <si>
    <t>守日灵石10级</t>
  </si>
  <si>
    <t>蔚蓝灵石1级</t>
  </si>
  <si>
    <t>蔚蓝灵石2级</t>
  </si>
  <si>
    <t>蔚蓝灵石3级</t>
  </si>
  <si>
    <t>蔚蓝灵石4级</t>
  </si>
  <si>
    <t>蔚蓝灵石5级</t>
  </si>
  <si>
    <t>蔚蓝灵石6级</t>
  </si>
  <si>
    <t>蔚蓝灵石7级</t>
  </si>
  <si>
    <t>蔚蓝灵石8级</t>
  </si>
  <si>
    <t>蔚蓝灵石9级</t>
  </si>
  <si>
    <t>蔚蓝灵石10级</t>
  </si>
  <si>
    <t>透蓝灵石1级</t>
  </si>
  <si>
    <t>透蓝灵石2级</t>
  </si>
  <si>
    <t>透蓝灵石3级</t>
  </si>
  <si>
    <t>透蓝灵石4级</t>
  </si>
  <si>
    <t>透蓝灵石5级</t>
  </si>
  <si>
    <t>透蓝灵石6级</t>
  </si>
  <si>
    <t>透蓝灵石7级</t>
  </si>
  <si>
    <t>透蓝灵石8级</t>
  </si>
  <si>
    <t>透蓝灵石9级</t>
  </si>
  <si>
    <t>透蓝灵石10级</t>
  </si>
  <si>
    <t>盈绿灵石1级</t>
  </si>
  <si>
    <t>盈绿灵石2级</t>
  </si>
  <si>
    <t>盈绿灵石3级</t>
  </si>
  <si>
    <t>盈绿灵石4级</t>
  </si>
  <si>
    <t>盈绿灵石5级</t>
  </si>
  <si>
    <t>盈绿灵石6级</t>
  </si>
  <si>
    <t>盈绿灵石7级</t>
  </si>
  <si>
    <t>盈绿灵石8级</t>
  </si>
  <si>
    <t>盈绿灵石9级</t>
  </si>
  <si>
    <t>盈绿灵石10级</t>
  </si>
  <si>
    <t>精绿灵石1级</t>
  </si>
  <si>
    <t>精绿灵石2级</t>
  </si>
  <si>
    <t>精绿灵石3级</t>
  </si>
  <si>
    <t>精绿灵石4级</t>
  </si>
  <si>
    <t>精绿灵石5级</t>
  </si>
  <si>
    <t>精绿灵石6级</t>
  </si>
  <si>
    <t>精绿灵石7级</t>
  </si>
  <si>
    <t>精绿灵石8级</t>
  </si>
  <si>
    <t>精绿灵石9级</t>
  </si>
  <si>
    <t>精绿灵石10级</t>
  </si>
  <si>
    <t>韧紫灵石1级</t>
  </si>
  <si>
    <t>韧紫灵石2级</t>
  </si>
  <si>
    <t>韧紫灵石3级</t>
  </si>
  <si>
    <t>韧紫灵石4级</t>
  </si>
  <si>
    <t>韧紫灵石5级</t>
  </si>
  <si>
    <t>韧紫灵石6级</t>
  </si>
  <si>
    <t>韧紫灵石7级</t>
  </si>
  <si>
    <t>韧紫灵石8级</t>
  </si>
  <si>
    <t>韧紫灵石9级</t>
  </si>
  <si>
    <t>韧紫灵石10级</t>
  </si>
  <si>
    <t>纯紫灵石1级</t>
  </si>
  <si>
    <t>纯紫灵石2级</t>
  </si>
  <si>
    <t>纯紫灵石3级</t>
  </si>
  <si>
    <t>纯紫灵石4级</t>
  </si>
  <si>
    <t>纯紫灵石5级</t>
  </si>
  <si>
    <t>纯紫灵石6级</t>
  </si>
  <si>
    <t>纯紫灵石7级</t>
  </si>
  <si>
    <t>纯紫灵石8级</t>
  </si>
  <si>
    <t>纯紫灵石9级</t>
  </si>
  <si>
    <t>纯紫灵石10级</t>
  </si>
  <si>
    <t>御朱灵石2级卷轴</t>
  </si>
  <si>
    <t>御朱灵石3级卷轴</t>
  </si>
  <si>
    <t>御朱灵石4级卷轴</t>
  </si>
  <si>
    <t>御朱灵石5级卷轴</t>
  </si>
  <si>
    <t>御朱灵石6级卷轴</t>
  </si>
  <si>
    <t>御朱灵石7级卷轴</t>
  </si>
  <si>
    <t>御朱灵石8级卷轴</t>
  </si>
  <si>
    <t>御朱灵石9级卷轴</t>
  </si>
  <si>
    <t>御朱灵石10级卷轴</t>
  </si>
  <si>
    <t>命朱灵石2级卷轴</t>
  </si>
  <si>
    <t>命朱灵石3级卷轴</t>
  </si>
  <si>
    <t>命朱灵石4级卷轴</t>
  </si>
  <si>
    <t>命朱灵石5级卷轴</t>
  </si>
  <si>
    <t>命朱灵石6级卷轴</t>
  </si>
  <si>
    <t>命朱灵石7级卷轴</t>
  </si>
  <si>
    <t>命朱灵石8级卷轴</t>
  </si>
  <si>
    <t>命朱灵石9级卷轴</t>
  </si>
  <si>
    <t>命朱灵石10级卷轴</t>
  </si>
  <si>
    <t>新日灵石2级卷轴</t>
  </si>
  <si>
    <t>新日灵石3级卷轴</t>
  </si>
  <si>
    <t>新日灵石4级卷轴</t>
  </si>
  <si>
    <t>新日灵石5级卷轴</t>
  </si>
  <si>
    <t>新日灵石6级卷轴</t>
  </si>
  <si>
    <t>新日灵石7级卷轴</t>
  </si>
  <si>
    <t>新日灵石8级卷轴</t>
  </si>
  <si>
    <t>新日灵石9级卷轴</t>
  </si>
  <si>
    <t>新日灵石10级卷轴</t>
  </si>
  <si>
    <t>守日灵石2级卷轴</t>
  </si>
  <si>
    <t>守日灵石3级卷轴</t>
  </si>
  <si>
    <t>守日灵石4级卷轴</t>
  </si>
  <si>
    <t>守日灵石5级卷轴</t>
  </si>
  <si>
    <t>守日灵石6级卷轴</t>
  </si>
  <si>
    <t>守日灵石7级卷轴</t>
  </si>
  <si>
    <t>守日灵石8级卷轴</t>
  </si>
  <si>
    <t>守日灵石9级卷轴</t>
  </si>
  <si>
    <t>守日灵石10级卷轴</t>
  </si>
  <si>
    <t>透蓝灵石2级卷轴</t>
  </si>
  <si>
    <t>透蓝灵石3级卷轴</t>
  </si>
  <si>
    <t>透蓝灵石4级卷轴</t>
  </si>
  <si>
    <t>透蓝灵石5级卷轴</t>
  </si>
  <si>
    <t>透蓝灵石6级卷轴</t>
  </si>
  <si>
    <t>透蓝灵石7级卷轴</t>
  </si>
  <si>
    <t>透蓝灵石8级卷轴</t>
  </si>
  <si>
    <t>透蓝灵石9级卷轴</t>
  </si>
  <si>
    <t>透蓝灵石10级卷轴</t>
  </si>
  <si>
    <t>蔚蓝灵石2级卷轴</t>
  </si>
  <si>
    <t>蔚蓝灵石3级卷轴</t>
  </si>
  <si>
    <t>蔚蓝灵石4级卷轴</t>
  </si>
  <si>
    <t>蔚蓝灵石5级卷轴</t>
  </si>
  <si>
    <t>蔚蓝灵石6级卷轴</t>
  </si>
  <si>
    <t>蔚蓝灵石7级卷轴</t>
  </si>
  <si>
    <t>蔚蓝灵石8级卷轴</t>
  </si>
  <si>
    <t>蔚蓝灵石9级卷轴</t>
  </si>
  <si>
    <t>蔚蓝灵石10级卷轴</t>
  </si>
  <si>
    <t>盈绿灵石2级卷轴</t>
  </si>
  <si>
    <t>盈绿灵石3级卷轴</t>
  </si>
  <si>
    <t>盈绿灵石4级卷轴</t>
  </si>
  <si>
    <t>盈绿灵石5级卷轴</t>
  </si>
  <si>
    <t>盈绿灵石6级卷轴</t>
  </si>
  <si>
    <t>盈绿灵石7级卷轴</t>
  </si>
  <si>
    <t>盈绿灵石8级卷轴</t>
  </si>
  <si>
    <t>盈绿灵石9级卷轴</t>
  </si>
  <si>
    <t>盈绿灵石10级卷轴</t>
  </si>
  <si>
    <t>精绿灵石2级卷轴</t>
  </si>
  <si>
    <t>精绿灵石3级卷轴</t>
  </si>
  <si>
    <t>精绿灵石4级卷轴</t>
  </si>
  <si>
    <t>精绿灵石5级卷轴</t>
  </si>
  <si>
    <t>精绿灵石6级卷轴</t>
  </si>
  <si>
    <t>精绿灵石7级卷轴</t>
  </si>
  <si>
    <t>精绿灵石8级卷轴</t>
  </si>
  <si>
    <t>精绿灵石9级卷轴</t>
  </si>
  <si>
    <t>精绿灵石10级卷轴</t>
  </si>
  <si>
    <t>韧紫灵石2级卷轴</t>
  </si>
  <si>
    <t>韧紫灵石3级卷轴</t>
  </si>
  <si>
    <t>韧紫灵石4级卷轴</t>
  </si>
  <si>
    <t>韧紫灵石5级卷轴</t>
  </si>
  <si>
    <t>韧紫灵石6级卷轴</t>
  </si>
  <si>
    <t>韧紫灵石7级卷轴</t>
  </si>
  <si>
    <t>韧紫灵石8级卷轴</t>
  </si>
  <si>
    <t>韧紫灵石9级卷轴</t>
  </si>
  <si>
    <t>韧紫灵石10级卷轴</t>
  </si>
  <si>
    <t>纯紫灵石2级卷轴</t>
  </si>
  <si>
    <t>纯紫灵石3级卷轴</t>
  </si>
  <si>
    <t>纯紫灵石4级卷轴</t>
  </si>
  <si>
    <t>纯紫灵石5级卷轴</t>
  </si>
  <si>
    <t>纯紫灵石6级卷轴</t>
  </si>
  <si>
    <t>纯紫灵石7级卷轴</t>
  </si>
  <si>
    <t>纯紫灵石8级卷轴</t>
  </si>
  <si>
    <t>纯紫灵石9级卷轴</t>
  </si>
  <si>
    <t>纯紫灵石10级卷轴</t>
  </si>
  <si>
    <t>经验礼包</t>
    <phoneticPr fontId="1" type="noConversion"/>
  </si>
  <si>
    <t>神秘礼包</t>
    <phoneticPr fontId="1" type="noConversion"/>
  </si>
  <si>
    <t>惊喜礼包</t>
    <phoneticPr fontId="1" type="noConversion"/>
  </si>
  <si>
    <t>GongHuiBY</t>
    <phoneticPr fontId="1" type="noConversion"/>
  </si>
  <si>
    <t>GanEnBY</t>
    <phoneticPr fontId="1" type="noConversion"/>
  </si>
  <si>
    <t>BuChangBY</t>
    <phoneticPr fontId="1" type="noConversion"/>
  </si>
  <si>
    <t>YaoShuiBY</t>
    <phoneticPr fontId="1" type="noConversion"/>
  </si>
  <si>
    <t>ZhuangBeiBY</t>
    <phoneticPr fontId="1" type="noConversion"/>
  </si>
  <si>
    <t>JingYanBY</t>
    <phoneticPr fontId="1" type="noConversion"/>
  </si>
  <si>
    <t>ShenMiBY</t>
    <phoneticPr fontId="1" type="noConversion"/>
  </si>
  <si>
    <t>JingXiBY</t>
    <phoneticPr fontId="1" type="noConversion"/>
  </si>
  <si>
    <t>Texture2D MMO_ItemIcon_Supplies.item_Trumpet</t>
    <phoneticPr fontId="1" type="noConversion"/>
  </si>
  <si>
    <t>Texture2D MMO_ItemIcon_Supplies.item_horn</t>
    <phoneticPr fontId="1" type="noConversion"/>
  </si>
  <si>
    <t>StaticMesh Dro_Cake.Dro_Cake</t>
    <phoneticPr fontId="1" type="noConversion"/>
  </si>
  <si>
    <t>肉干</t>
    <phoneticPr fontId="1" type="noConversion"/>
  </si>
  <si>
    <t>StaticMesh Dro_Laba.Dro_Laba</t>
    <phoneticPr fontId="1" type="noConversion"/>
  </si>
  <si>
    <t>RouGanDecPKValue</t>
    <phoneticPr fontId="1" type="noConversion"/>
  </si>
  <si>
    <t>Texture2D MMO_ItemIcon_Supplies.medicament.jz_mzs</t>
    <phoneticPr fontId="1" type="noConversion"/>
  </si>
  <si>
    <t>Texture2D MMO_ItemIcon_Supplies.medicament.jz_mzs1</t>
    <phoneticPr fontId="1" type="noConversion"/>
  </si>
  <si>
    <t>Texture2D MMO_ItemIcon_Supplies.medicament.jz_sbk1</t>
    <phoneticPr fontId="1" type="noConversion"/>
  </si>
  <si>
    <t>Texture2D MMO_ItemIcon_Supplies.medicament.jz_sbk</t>
    <phoneticPr fontId="1" type="noConversion"/>
  </si>
  <si>
    <t>比奇回城石</t>
    <phoneticPr fontId="1" type="noConversion"/>
  </si>
  <si>
    <t>盟重回城石</t>
    <phoneticPr fontId="1" type="noConversion"/>
  </si>
  <si>
    <t>攻杀印2级卷轴01</t>
    <phoneticPr fontId="1" type="noConversion"/>
  </si>
  <si>
    <t>Texture2D MMO_ItemIcon_Supplies.item_fireworks_cake</t>
    <phoneticPr fontId="1" type="noConversion"/>
  </si>
  <si>
    <t>Texture2D MMO_ItemIcon_Supplies.item_fireworks_1</t>
    <phoneticPr fontId="1" type="noConversion"/>
  </si>
  <si>
    <t>FireWorks1</t>
    <phoneticPr fontId="1" type="noConversion"/>
  </si>
  <si>
    <t>FireWorksCake</t>
    <phoneticPr fontId="1" type="noConversion"/>
  </si>
  <si>
    <t>礼花</t>
    <phoneticPr fontId="1" type="noConversion"/>
  </si>
  <si>
    <t>StaticMesh Dro_Fireworks.Dro_Fireworks</t>
    <phoneticPr fontId="1" type="noConversion"/>
  </si>
  <si>
    <t>粮食包</t>
    <phoneticPr fontId="1" type="noConversion"/>
  </si>
  <si>
    <t>石料包</t>
    <phoneticPr fontId="1" type="noConversion"/>
  </si>
  <si>
    <t>铁料包</t>
    <phoneticPr fontId="1" type="noConversion"/>
  </si>
  <si>
    <t>战时粮食包</t>
    <phoneticPr fontId="1" type="noConversion"/>
  </si>
  <si>
    <t>战时木材包</t>
    <phoneticPr fontId="1" type="noConversion"/>
  </si>
  <si>
    <t>战时石料包</t>
    <phoneticPr fontId="1" type="noConversion"/>
  </si>
  <si>
    <t>战时铁料包</t>
    <phoneticPr fontId="1" type="noConversion"/>
  </si>
  <si>
    <t>装备碎片</t>
    <phoneticPr fontId="1" type="noConversion"/>
  </si>
  <si>
    <t>ITEMSUBTYPE_DEPOSIT_EXP</t>
    <phoneticPr fontId="1" type="noConversion"/>
  </si>
  <si>
    <t>龙卫灵匣</t>
    <phoneticPr fontId="1" type="noConversion"/>
  </si>
  <si>
    <t>聚灵匣</t>
    <phoneticPr fontId="1" type="noConversion"/>
  </si>
  <si>
    <t>DropGroupID</t>
    <phoneticPr fontId="1" type="noConversion"/>
  </si>
  <si>
    <t>Server</t>
    <phoneticPr fontId="1" type="noConversion"/>
  </si>
  <si>
    <t>矿渣</t>
    <phoneticPr fontId="1" type="noConversion"/>
  </si>
  <si>
    <t>Texture2D MMO_ItemIcon_Supplies.item_material0</t>
    <phoneticPr fontId="1" type="noConversion"/>
  </si>
  <si>
    <t>Texture2D MMO_ItemIcon_Supplies.medicament.hcs_bqs</t>
    <phoneticPr fontId="1" type="noConversion"/>
  </si>
  <si>
    <t>Texture2D MMO_ItemIcon_Supplies.medicament.hcs_mzs</t>
    <phoneticPr fontId="1" type="noConversion"/>
  </si>
  <si>
    <t>石身残片</t>
    <phoneticPr fontId="1" type="noConversion"/>
  </si>
  <si>
    <t>皇室宝箱</t>
    <phoneticPr fontId="1" type="noConversion"/>
  </si>
  <si>
    <t>蚕丝</t>
    <phoneticPr fontId="1" type="noConversion"/>
  </si>
  <si>
    <t>Texture2D MMO_ItemIcon_Supplies.item_silk</t>
    <phoneticPr fontId="1" type="noConversion"/>
  </si>
  <si>
    <t>Texture2D MMO_ItemIcon_Supplies.item_equipdebris</t>
    <phoneticPr fontId="1" type="noConversion"/>
  </si>
  <si>
    <t>木材包</t>
    <phoneticPr fontId="1" type="noConversion"/>
  </si>
  <si>
    <t>Script</t>
    <phoneticPr fontId="1" type="noConversion"/>
  </si>
  <si>
    <t>StaticMesh backRock01.Dro_backRock01</t>
    <phoneticPr fontId="1" type="noConversion"/>
  </si>
  <si>
    <t>StaticMesh backRock01.Dro_backRock02</t>
    <phoneticPr fontId="1" type="noConversion"/>
  </si>
  <si>
    <t>StaticMesh mineral.Dro_mineral01</t>
    <phoneticPr fontId="1" type="noConversion"/>
  </si>
  <si>
    <t>StaticMesh iron.Dro_iron02</t>
    <phoneticPr fontId="1" type="noConversion"/>
  </si>
  <si>
    <t>StaticMesh juteBag.Dro_juteBag02</t>
    <phoneticPr fontId="1" type="noConversion"/>
  </si>
  <si>
    <t>StaticMesh plank.Dro_plank02</t>
    <phoneticPr fontId="1" type="noConversion"/>
  </si>
  <si>
    <t>StaticMesh Rock.rock02</t>
    <phoneticPr fontId="1" type="noConversion"/>
  </si>
  <si>
    <t>StaticMesh loops.Dro_loops</t>
    <phoneticPr fontId="1" type="noConversion"/>
  </si>
  <si>
    <t>StaticMesh equipment01.Dro_equipment01</t>
    <phoneticPr fontId="1" type="noConversion"/>
  </si>
  <si>
    <t>StaticMesh monsterHead.Dro_monsterHead</t>
    <phoneticPr fontId="1" type="noConversion"/>
  </si>
  <si>
    <t>StaticMesh lsy.Dro_lsy01</t>
    <phoneticPr fontId="1" type="noConversion"/>
  </si>
  <si>
    <t>StaticMesh meat.Dro_meat01</t>
    <phoneticPr fontId="30" type="noConversion"/>
  </si>
  <si>
    <t>Texture2D MMO_ItemIcon_Supplies.item_jerky</t>
    <phoneticPr fontId="1" type="noConversion"/>
  </si>
  <si>
    <t>Texture2D MMO_ItemIcon_Supplies.Item_longweilingxia_1</t>
    <phoneticPr fontId="1" type="noConversion"/>
  </si>
  <si>
    <t>Texture2D MMO_ItemIcon_Supplies.Item_julingxia_1</t>
    <phoneticPr fontId="1" type="noConversion"/>
  </si>
  <si>
    <t>公会贡献</t>
    <phoneticPr fontId="1" type="noConversion"/>
  </si>
  <si>
    <t>夜明珠</t>
    <phoneticPr fontId="1" type="noConversion"/>
  </si>
  <si>
    <t>琉璃珠</t>
    <phoneticPr fontId="1" type="noConversion"/>
  </si>
  <si>
    <t>Texture2D MMO_ItemIcon_Supplies.item_122</t>
    <phoneticPr fontId="1" type="noConversion"/>
  </si>
  <si>
    <t>Texture2D MMO_ItemIcon_Supplies.item_121</t>
    <phoneticPr fontId="1" type="noConversion"/>
  </si>
  <si>
    <t>StaticMesh Glassball.Glassball</t>
    <phoneticPr fontId="1" type="noConversion"/>
  </si>
  <si>
    <t>Texture2 MMO_ItemIcon_QuestItem.Boss06</t>
    <phoneticPr fontId="1" type="noConversion"/>
  </si>
  <si>
    <t>Texture2D MMO_ItemIcon_Supplies.yaofenhui</t>
    <phoneticPr fontId="1" type="noConversion"/>
  </si>
  <si>
    <t>Texture2D MMO_ItemIcon_Supplies.yaofenhuang</t>
    <phoneticPr fontId="1" type="noConversion"/>
  </si>
  <si>
    <t>StaticMesh Treasure.Dro_Treasure01</t>
  </si>
  <si>
    <t>StaticMesh Treasure.Dro_Treasure02</t>
    <phoneticPr fontId="1" type="noConversion"/>
  </si>
  <si>
    <t>StaticMesh Glassball.Glassball2</t>
    <phoneticPr fontId="1" type="noConversion"/>
  </si>
  <si>
    <t>Texture2D MMO_ItemIcon_Supplies.gonghuigongxian</t>
    <phoneticPr fontId="1" type="noConversion"/>
  </si>
  <si>
    <t>鱼人法器</t>
    <phoneticPr fontId="1" type="noConversion"/>
  </si>
  <si>
    <t>Texture2D MMO_ItemIcon_QuestItem.q_item59</t>
    <phoneticPr fontId="1" type="noConversion"/>
  </si>
  <si>
    <t>Texture2D MMO_ItemIcon_QuestItem.shiban</t>
    <phoneticPr fontId="1" type="noConversion"/>
  </si>
  <si>
    <t>Texture2D MMO_ItemIcon_Supplies.item_RoyalTreasure</t>
    <phoneticPr fontId="1" type="noConversion"/>
  </si>
  <si>
    <t>StaticMesh Treasure.TreasureChest01</t>
    <phoneticPr fontId="1" type="noConversion"/>
  </si>
  <si>
    <t>魔牙战麾·华美卷轴</t>
    <phoneticPr fontId="1" type="noConversion"/>
  </si>
  <si>
    <t>祖玛旧梦经验包</t>
    <phoneticPr fontId="1" type="noConversion"/>
  </si>
  <si>
    <t>StaticMesh Yurenzhang.Yurenzhang</t>
    <phoneticPr fontId="1" type="noConversion"/>
  </si>
  <si>
    <t>StaticMesh Haiyaofu.Haiyaofu</t>
    <phoneticPr fontId="1" type="noConversion"/>
  </si>
  <si>
    <t>不删档测试时间卡</t>
  </si>
  <si>
    <t>Texture2D MMO_ItemIcon_Supplies.Item_time</t>
  </si>
  <si>
    <t>StaticMesh Dro_Ka.KA</t>
  </si>
  <si>
    <t>HuangShiBaoXiang</t>
    <phoneticPr fontId="1" type="noConversion"/>
  </si>
  <si>
    <t>龙卫之乡金币包</t>
  </si>
  <si>
    <t>巨木之森金币包</t>
  </si>
  <si>
    <t>英雄土城金币包</t>
  </si>
  <si>
    <t>昔日龙脉金币包</t>
  </si>
  <si>
    <t>沃玛珍宝金币包</t>
  </si>
  <si>
    <t>毒虫迷宫金币包</t>
  </si>
  <si>
    <t>猪妖秘宝金币包</t>
  </si>
  <si>
    <t>祖玛旧梦金币包</t>
  </si>
  <si>
    <t>MFCSJingYan1</t>
    <phoneticPr fontId="1" type="noConversion"/>
  </si>
  <si>
    <t>MFCSJingYan2</t>
    <phoneticPr fontId="1" type="noConversion"/>
  </si>
  <si>
    <t>MFCSJingYan3</t>
    <phoneticPr fontId="1" type="noConversion"/>
  </si>
  <si>
    <t>MFCSJingYan4</t>
    <phoneticPr fontId="1" type="noConversion"/>
  </si>
  <si>
    <t>MFCSJingYan5</t>
    <phoneticPr fontId="1" type="noConversion"/>
  </si>
  <si>
    <t>MFCSJingYan6</t>
    <phoneticPr fontId="1" type="noConversion"/>
  </si>
  <si>
    <t>MFCSJingYan7</t>
    <phoneticPr fontId="1" type="noConversion"/>
  </si>
  <si>
    <t>MFCSJinBi1</t>
    <phoneticPr fontId="1" type="noConversion"/>
  </si>
  <si>
    <t>MFCSJinBi2</t>
    <phoneticPr fontId="1" type="noConversion"/>
  </si>
  <si>
    <t>MFCSJinBi3</t>
  </si>
  <si>
    <t>MFCSJinBi4</t>
  </si>
  <si>
    <t>MFCSJinBi5</t>
  </si>
  <si>
    <t>MFCSJinBi6</t>
  </si>
  <si>
    <t>MFCSJinBi7</t>
  </si>
  <si>
    <t>MFCSJinBi8</t>
  </si>
  <si>
    <t>MFCSJingYan8</t>
    <phoneticPr fontId="1" type="noConversion"/>
  </si>
  <si>
    <t>公会贡献</t>
  </si>
  <si>
    <t>强效金创药</t>
  </si>
  <si>
    <t>超强金创药（占位）</t>
  </si>
  <si>
    <t>金创药（占位）</t>
  </si>
  <si>
    <t>强效魔法药</t>
  </si>
  <si>
    <t>超强魔法药(占位）</t>
  </si>
  <si>
    <t>太阳水</t>
  </si>
  <si>
    <t>强效太阳水</t>
  </si>
  <si>
    <t>疗伤药</t>
  </si>
  <si>
    <t>金创药(小)包</t>
  </si>
  <si>
    <t>超级金创药</t>
  </si>
  <si>
    <t>魔法药(中)包</t>
  </si>
  <si>
    <t>超级魔法药</t>
  </si>
  <si>
    <t>太阳水包</t>
  </si>
  <si>
    <t>强效太阳水包</t>
  </si>
  <si>
    <t>强效太阳水包(占位）</t>
  </si>
  <si>
    <t>气血石</t>
  </si>
  <si>
    <t>幻魔石</t>
  </si>
  <si>
    <t>魔血石</t>
  </si>
  <si>
    <t>肉</t>
  </si>
  <si>
    <t>鹿血</t>
  </si>
  <si>
    <t>肉干</t>
  </si>
  <si>
    <t>龙卫灵匣</t>
  </si>
  <si>
    <t>聚灵匣</t>
  </si>
  <si>
    <t>礼花</t>
  </si>
  <si>
    <t>战士铭文石</t>
  </si>
  <si>
    <t>基本剑术</t>
  </si>
  <si>
    <t>攻杀剑术</t>
  </si>
  <si>
    <t>刺杀剑术</t>
  </si>
  <si>
    <t>半月弯刀</t>
  </si>
  <si>
    <t>野蛮冲撞</t>
  </si>
  <si>
    <t>烈火剑法</t>
  </si>
  <si>
    <t>狮子吼</t>
  </si>
  <si>
    <t>逐日剑法</t>
  </si>
  <si>
    <t>火球术</t>
  </si>
  <si>
    <t>抗拒火环</t>
  </si>
  <si>
    <t>诱惑之光</t>
  </si>
  <si>
    <t>地狱火</t>
  </si>
  <si>
    <t>雷电术</t>
  </si>
  <si>
    <t>瞬息移动</t>
  </si>
  <si>
    <t>爆裂火焰</t>
  </si>
  <si>
    <t>火墙</t>
  </si>
  <si>
    <t>疾光电影</t>
  </si>
  <si>
    <t>地狱雷光</t>
  </si>
  <si>
    <t>魔法盾</t>
  </si>
  <si>
    <t>圣言术</t>
  </si>
  <si>
    <t>冰咆哮</t>
  </si>
  <si>
    <t>寒冰掌</t>
  </si>
  <si>
    <t>大火球</t>
  </si>
  <si>
    <t>灭天火</t>
  </si>
  <si>
    <t>流星火雨</t>
  </si>
  <si>
    <t>治愈术</t>
  </si>
  <si>
    <t>精神力战法</t>
  </si>
  <si>
    <t>施毒术</t>
  </si>
  <si>
    <t>灵魂火符</t>
  </si>
  <si>
    <t>召唤骷髅</t>
  </si>
  <si>
    <t>隐身术</t>
  </si>
  <si>
    <t>集体隐身术</t>
  </si>
  <si>
    <t>幽灵盾</t>
  </si>
  <si>
    <t>神圣战甲术</t>
  </si>
  <si>
    <t>困魔咒</t>
  </si>
  <si>
    <t>气功波</t>
  </si>
  <si>
    <t>群体治愈术</t>
  </si>
  <si>
    <t>召唤神兽</t>
  </si>
  <si>
    <t>无极真气</t>
  </si>
  <si>
    <t>噬血术</t>
  </si>
  <si>
    <t>超级灰色药粉</t>
  </si>
  <si>
    <t>超级黄色药粉</t>
  </si>
  <si>
    <t>护身符</t>
  </si>
  <si>
    <t>超级护身符</t>
  </si>
  <si>
    <t>比奇回城卷</t>
  </si>
  <si>
    <t>沃玛号角</t>
  </si>
  <si>
    <t>比奇回城石</t>
  </si>
  <si>
    <t>盟重回城石</t>
  </si>
  <si>
    <t>玲月传</t>
  </si>
  <si>
    <t>阿九传</t>
  </si>
  <si>
    <t>南苍公传</t>
  </si>
  <si>
    <t>朴小克手记</t>
  </si>
  <si>
    <t>茂盛绿叶植物</t>
  </si>
  <si>
    <t>传奇七星草</t>
  </si>
  <si>
    <t>尸王之泪</t>
  </si>
  <si>
    <t>沃玛教主之牙</t>
  </si>
  <si>
    <t>触龙神之足</t>
  </si>
  <si>
    <t>古旧命运之刃</t>
  </si>
  <si>
    <t>祖玛头像</t>
  </si>
  <si>
    <t>鹿肉</t>
  </si>
  <si>
    <t>圣战遗书</t>
  </si>
  <si>
    <t>法神遗书</t>
  </si>
  <si>
    <t>天尊遗书</t>
  </si>
  <si>
    <t>石身残片</t>
  </si>
  <si>
    <t>夜明珠</t>
  </si>
  <si>
    <t>琉璃珠</t>
  </si>
  <si>
    <t>鱼人法器</t>
  </si>
  <si>
    <t>海妖符文</t>
  </si>
  <si>
    <t>我</t>
  </si>
  <si>
    <t>爱</t>
  </si>
  <si>
    <t>传</t>
  </si>
  <si>
    <t>奇</t>
  </si>
  <si>
    <t>永</t>
  </si>
  <si>
    <t>恒</t>
  </si>
  <si>
    <t>攻杀印2级卷轴01</t>
  </si>
  <si>
    <t>森罗印2级卷轴01</t>
  </si>
  <si>
    <t>巨力印2级卷轴01</t>
  </si>
  <si>
    <t>速攻印2级卷轴01</t>
  </si>
  <si>
    <t>装备碎片</t>
  </si>
  <si>
    <t>蚕丝</t>
  </si>
  <si>
    <t>矿渣</t>
  </si>
  <si>
    <t>粮食包</t>
  </si>
  <si>
    <t>木材包</t>
  </si>
  <si>
    <t>石料包</t>
  </si>
  <si>
    <t>铁料包</t>
  </si>
  <si>
    <t>战时粮食包</t>
  </si>
  <si>
    <t>战时木材包</t>
  </si>
  <si>
    <t>战时石料包</t>
  </si>
  <si>
    <t>战时铁料包</t>
  </si>
  <si>
    <t>魔牙战麾·华美卷轴</t>
  </si>
  <si>
    <t>魔牙战麾·耀眼卷轴</t>
  </si>
  <si>
    <t>魔牙战麾·燃烧级卷轴</t>
  </si>
  <si>
    <t>魔法斗篷·华美卷轴</t>
  </si>
  <si>
    <t>魔法斗篷·耀眼卷轴</t>
  </si>
  <si>
    <t>魔法斗篷·燃烧卷轴</t>
  </si>
  <si>
    <t>霜焰披风·华美卷轴</t>
  </si>
  <si>
    <t>霜焰披风·耀眼卷轴</t>
  </si>
  <si>
    <t>霜焰披风·燃烧卷轴</t>
  </si>
  <si>
    <t>活跃礼包</t>
  </si>
  <si>
    <t>皇室宝箱</t>
  </si>
  <si>
    <t>测试礼盒一</t>
  </si>
  <si>
    <t>测试礼盒二</t>
  </si>
  <si>
    <t>测试礼盒三</t>
  </si>
  <si>
    <t>测试礼盒四</t>
  </si>
  <si>
    <t>测试礼盒五</t>
  </si>
  <si>
    <t>测试礼盒六</t>
  </si>
  <si>
    <t>测试礼盒七</t>
  </si>
  <si>
    <t>宝石礼包</t>
  </si>
  <si>
    <t>10级问卷调查礼包</t>
  </si>
  <si>
    <t>20级问卷调查礼包</t>
  </si>
  <si>
    <t>30级问卷调查礼包</t>
  </si>
  <si>
    <t>问卷调查礼包</t>
  </si>
  <si>
    <t>贺信回馈1</t>
  </si>
  <si>
    <t>贺信回馈2</t>
  </si>
  <si>
    <t>贺信回馈3</t>
  </si>
  <si>
    <t>四海礼盒回馈1</t>
  </si>
  <si>
    <t>四海礼盒回馈2</t>
  </si>
  <si>
    <t>四海礼盒回馈3</t>
  </si>
  <si>
    <t>龙锦贡礼回馈1</t>
  </si>
  <si>
    <t>龙锦贡礼回馈2</t>
  </si>
  <si>
    <t>龙锦贡礼回馈3</t>
  </si>
  <si>
    <t>四海礼盒</t>
  </si>
  <si>
    <t>龙锦贡礼</t>
  </si>
  <si>
    <t>龙卫之乡经验包</t>
  </si>
  <si>
    <t>巨木之森经验包</t>
  </si>
  <si>
    <t>英雄土城经验包</t>
  </si>
  <si>
    <t>昔日龙脉经验包</t>
  </si>
  <si>
    <t>沃玛珍宝经验包</t>
  </si>
  <si>
    <t>毒虫迷宫经验包</t>
  </si>
  <si>
    <t>猪妖秘宝经验包</t>
  </si>
  <si>
    <t>祖玛旧梦经验包</t>
  </si>
  <si>
    <t>玛法功臣</t>
  </si>
  <si>
    <t>我爱传奇永恒礼包</t>
  </si>
  <si>
    <t>公会扶持礼包</t>
  </si>
  <si>
    <t>金创药礼包</t>
  </si>
  <si>
    <t>披风礼包</t>
  </si>
  <si>
    <t>太阳水礼包</t>
  </si>
  <si>
    <t>灵石礼包</t>
  </si>
  <si>
    <t>铭文礼包</t>
  </si>
  <si>
    <t>武器升级礼包</t>
  </si>
  <si>
    <t>金币礼包</t>
  </si>
  <si>
    <t>特戒大礼包</t>
  </si>
  <si>
    <t>技能礼包</t>
  </si>
  <si>
    <t>超级金创药礼包</t>
  </si>
  <si>
    <t>超级魔法药礼包</t>
  </si>
  <si>
    <t>强效太阳水礼包</t>
  </si>
  <si>
    <t>祝福油礼包</t>
  </si>
  <si>
    <t>17173礼包</t>
  </si>
  <si>
    <t>新浪礼包</t>
  </si>
  <si>
    <t>多玩礼包</t>
  </si>
  <si>
    <t>公会礼包</t>
  </si>
  <si>
    <t>感恩礼包</t>
  </si>
  <si>
    <t>补偿礼包</t>
  </si>
  <si>
    <t>药水礼包</t>
  </si>
  <si>
    <t>装备礼包</t>
  </si>
  <si>
    <t>经验礼包</t>
  </si>
  <si>
    <t>神秘礼包</t>
  </si>
  <si>
    <t>惊喜礼包</t>
  </si>
  <si>
    <t>战士7级成长礼包</t>
    <phoneticPr fontId="1" type="noConversion"/>
  </si>
  <si>
    <t>战士15级成长礼包</t>
    <phoneticPr fontId="1" type="noConversion"/>
  </si>
  <si>
    <t>战士22级成长礼包</t>
    <phoneticPr fontId="1" type="noConversion"/>
  </si>
  <si>
    <t>战士28级成长礼包</t>
    <phoneticPr fontId="1" type="noConversion"/>
  </si>
  <si>
    <t>战士35级成长礼包</t>
    <phoneticPr fontId="1" type="noConversion"/>
  </si>
  <si>
    <t>法师7级成长礼包</t>
  </si>
  <si>
    <t>法师15级成长礼包</t>
  </si>
  <si>
    <t>法师22级成长礼包</t>
  </si>
  <si>
    <t>法师28级成长礼包</t>
  </si>
  <si>
    <t>法师35级成长礼包</t>
  </si>
  <si>
    <t>道士7级成长礼包</t>
  </si>
  <si>
    <t>道士15级成长礼包</t>
  </si>
  <si>
    <t>道士22级成长礼包</t>
  </si>
  <si>
    <t>道士28级成长礼包</t>
  </si>
  <si>
    <t>道士35级成长礼包</t>
  </si>
  <si>
    <t>ZhanShiChengZhangLiBao1</t>
    <phoneticPr fontId="1" type="noConversion"/>
  </si>
  <si>
    <t>ZhanShiChengZhangLiBao2</t>
    <phoneticPr fontId="1" type="noConversion"/>
  </si>
  <si>
    <t>ZhanShiChengZhangLiBao3</t>
  </si>
  <si>
    <t>ZhanShiChengZhangLiBao4</t>
  </si>
  <si>
    <t>ZhanShiChengZhangLiBao5</t>
  </si>
  <si>
    <t>FaShiChengZhangLiBao1</t>
  </si>
  <si>
    <t>FaShiChengZhangLiBao2</t>
  </si>
  <si>
    <t>FaShiChengZhangLiBao3</t>
  </si>
  <si>
    <t>FaShiChengZhangLiBao4</t>
  </si>
  <si>
    <t>FaShiChengZhangLiBao5</t>
  </si>
  <si>
    <t>DaoShiChengZhangLiBao1</t>
  </si>
  <si>
    <t>DaoShiChengZhangLiBao2</t>
  </si>
  <si>
    <t>DaoShiChengZhangLiBao3</t>
  </si>
  <si>
    <t>DaoShiChengZhangLiBao4</t>
  </si>
  <si>
    <t>DaoShiChengZhangLiBao5</t>
  </si>
  <si>
    <t>风云公会专属礼包</t>
    <phoneticPr fontId="1" type="noConversion"/>
  </si>
  <si>
    <t>琅琊公会专属礼包</t>
    <phoneticPr fontId="1" type="noConversion"/>
  </si>
  <si>
    <t>FYGHZhuangShu</t>
    <phoneticPr fontId="1" type="noConversion"/>
  </si>
  <si>
    <t>LYGHZhuangShu</t>
    <phoneticPr fontId="1" type="noConversion"/>
  </si>
  <si>
    <t>媒体礼包</t>
    <phoneticPr fontId="1" type="noConversion"/>
  </si>
  <si>
    <t>MeiTi1</t>
    <phoneticPr fontId="1" type="noConversion"/>
  </si>
  <si>
    <t>Texture2D MMO_ItemIcon_Supplies.gift01</t>
    <phoneticPr fontId="1" type="noConversion"/>
  </si>
  <si>
    <t>Texture2D MMO_ItemIcon_Supplies.item_guild1</t>
  </si>
  <si>
    <t>Texture2D MMO_ItemIcon_Supplies.item_guild2</t>
  </si>
  <si>
    <t>Texture2D MMO_ItemIcon_Supplies.item_guild3</t>
  </si>
  <si>
    <t>Texture2D MMO_ItemIcon_Supplies.item_guild4</t>
  </si>
  <si>
    <t>1级灵石盒</t>
    <phoneticPr fontId="1" type="noConversion"/>
  </si>
  <si>
    <t>2级灵石盒</t>
    <phoneticPr fontId="1" type="noConversion"/>
  </si>
  <si>
    <t>LingShiHe1</t>
    <phoneticPr fontId="1" type="noConversion"/>
  </si>
  <si>
    <t>LingShiHe2</t>
    <phoneticPr fontId="1" type="noConversion"/>
  </si>
  <si>
    <t>StaticMesh Dro_Gem.Dro_Gem_hong</t>
    <phoneticPr fontId="1" type="noConversion"/>
  </si>
  <si>
    <t>StaticMesh Dro_Gem.Dro_Gem_hong</t>
  </si>
  <si>
    <t>StaticMesh Dro_Gem.Dro_Gem_huang</t>
    <phoneticPr fontId="1" type="noConversion"/>
  </si>
  <si>
    <t>StaticMesh Dro_Gem.Dro_Gem_huang</t>
  </si>
  <si>
    <t>StaticMesh Dro_Gem.Dro_Gem_lan</t>
    <phoneticPr fontId="1" type="noConversion"/>
  </si>
  <si>
    <t>StaticMesh Dro_Gem.Dro_Gem_lan</t>
  </si>
  <si>
    <t>StaticMesh Dro_Gem.Dro_Gem_lv</t>
    <phoneticPr fontId="1" type="noConversion"/>
  </si>
  <si>
    <t>StaticMesh Dro_Gem.Dro_Gem_lv</t>
  </si>
  <si>
    <t>StaticMesh Dro_Gem.Dro_Gem_zi</t>
    <phoneticPr fontId="1" type="noConversion"/>
  </si>
  <si>
    <t>StaticMesh Dro_Gem.Dro_Gem_zi</t>
  </si>
  <si>
    <t>StaticMesh ya.ya</t>
  </si>
  <si>
    <t>StaticMesh lsy.Dro_lsy01</t>
    <phoneticPr fontId="1" type="noConversion"/>
  </si>
  <si>
    <t>StaticMesh lsy.Dro_lsy02</t>
    <phoneticPr fontId="1" type="noConversion"/>
  </si>
  <si>
    <t>StaticMesh horn.Dro_horn</t>
    <phoneticPr fontId="1" type="noConversion"/>
  </si>
  <si>
    <t>StaticMesh Dro_box.Box</t>
    <phoneticPr fontId="1" type="noConversion"/>
  </si>
  <si>
    <t>ShopTypeSell</t>
    <phoneticPr fontId="1" type="noConversion"/>
  </si>
  <si>
    <t>Both</t>
    <phoneticPr fontId="1" type="noConversion"/>
  </si>
  <si>
    <t>ServerStart</t>
    <phoneticPr fontId="1" type="noConversion"/>
  </si>
  <si>
    <t>Server</t>
    <phoneticPr fontId="1" type="noConversion"/>
  </si>
  <si>
    <t>15级贺信1</t>
    <phoneticPr fontId="1" type="noConversion"/>
  </si>
  <si>
    <t>20级贺信1</t>
    <phoneticPr fontId="1" type="noConversion"/>
  </si>
  <si>
    <t>25级贺信1</t>
    <phoneticPr fontId="1" type="noConversion"/>
  </si>
  <si>
    <t>30级贺信1</t>
    <phoneticPr fontId="1" type="noConversion"/>
  </si>
  <si>
    <t>35级贺信1</t>
    <phoneticPr fontId="1" type="noConversion"/>
  </si>
  <si>
    <t>40级贺信1</t>
    <phoneticPr fontId="1" type="noConversion"/>
  </si>
  <si>
    <t>15级祝福礼盒1</t>
    <phoneticPr fontId="1" type="noConversion"/>
  </si>
  <si>
    <t>20级祝福礼盒1</t>
    <phoneticPr fontId="1" type="noConversion"/>
  </si>
  <si>
    <t>25级祝福礼盒1</t>
    <phoneticPr fontId="1" type="noConversion"/>
  </si>
  <si>
    <t>30级祝福礼盒1</t>
    <phoneticPr fontId="1" type="noConversion"/>
  </si>
  <si>
    <t>35级祝福礼盒1</t>
    <phoneticPr fontId="1" type="noConversion"/>
  </si>
  <si>
    <t>40级祝福礼盒1</t>
    <phoneticPr fontId="1" type="noConversion"/>
  </si>
  <si>
    <t>15级传世礼盒1</t>
    <phoneticPr fontId="1" type="noConversion"/>
  </si>
  <si>
    <t>20级传世礼盒1</t>
    <phoneticPr fontId="1" type="noConversion"/>
  </si>
  <si>
    <t>25级传世礼盒1</t>
    <phoneticPr fontId="1" type="noConversion"/>
  </si>
  <si>
    <t>30级传世礼盒1</t>
    <phoneticPr fontId="1" type="noConversion"/>
  </si>
  <si>
    <t>35级传世礼盒1</t>
    <phoneticPr fontId="1" type="noConversion"/>
  </si>
  <si>
    <t>40级传世礼盒1</t>
    <phoneticPr fontId="1" type="noConversion"/>
  </si>
  <si>
    <t>10级贺信</t>
    <phoneticPr fontId="1" type="noConversion"/>
  </si>
  <si>
    <t>10级祝福礼盒</t>
    <phoneticPr fontId="1" type="noConversion"/>
  </si>
  <si>
    <t>10级传世礼盒</t>
    <phoneticPr fontId="1" type="noConversion"/>
  </si>
  <si>
    <t>15级贺信</t>
    <phoneticPr fontId="1" type="noConversion"/>
  </si>
  <si>
    <t>15级祝福礼盒</t>
    <phoneticPr fontId="1" type="noConversion"/>
  </si>
  <si>
    <t>15级传世礼盒</t>
    <phoneticPr fontId="1" type="noConversion"/>
  </si>
  <si>
    <t>20级贺信</t>
    <phoneticPr fontId="1" type="noConversion"/>
  </si>
  <si>
    <t>20级祝福礼盒</t>
    <phoneticPr fontId="1" type="noConversion"/>
  </si>
  <si>
    <t>20级传世礼盒</t>
    <phoneticPr fontId="1" type="noConversion"/>
  </si>
  <si>
    <t>25级贺信</t>
    <phoneticPr fontId="1" type="noConversion"/>
  </si>
  <si>
    <t>25级祝福礼盒</t>
    <phoneticPr fontId="1" type="noConversion"/>
  </si>
  <si>
    <t>25级传世礼盒</t>
    <phoneticPr fontId="1" type="noConversion"/>
  </si>
  <si>
    <t>Lv10ZhuFuLiHe</t>
    <phoneticPr fontId="1" type="noConversion"/>
  </si>
  <si>
    <t>Lv10HeXin</t>
    <phoneticPr fontId="1" type="noConversion"/>
  </si>
  <si>
    <t>Lv10ChuanShiLiHe</t>
    <phoneticPr fontId="1" type="noConversion"/>
  </si>
  <si>
    <t>Lv15HeXin</t>
    <phoneticPr fontId="1" type="noConversion"/>
  </si>
  <si>
    <t>Lv15ZhuFuLiHe</t>
    <phoneticPr fontId="1" type="noConversion"/>
  </si>
  <si>
    <t>Lv15ChuanShiLiHe</t>
    <phoneticPr fontId="1" type="noConversion"/>
  </si>
  <si>
    <t>Lv20HeXin</t>
    <phoneticPr fontId="1" type="noConversion"/>
  </si>
  <si>
    <t>Lv20ZhuFuLiHe</t>
    <phoneticPr fontId="1" type="noConversion"/>
  </si>
  <si>
    <t>Lv20ChuanShiLiHe</t>
    <phoneticPr fontId="1" type="noConversion"/>
  </si>
  <si>
    <t>Lv25HeXin</t>
    <phoneticPr fontId="1" type="noConversion"/>
  </si>
  <si>
    <t>Lv25ZhuFuLiHe</t>
    <phoneticPr fontId="1" type="noConversion"/>
  </si>
  <si>
    <t>Lv25ChuanShiLiHe</t>
    <phoneticPr fontId="1" type="noConversion"/>
  </si>
  <si>
    <t>内含药品，鼠标右键点击使用</t>
    <phoneticPr fontId="1" type="noConversion"/>
  </si>
  <si>
    <t>内含药品，青铜头盔，鼠标右键点击使用</t>
    <phoneticPr fontId="1" type="noConversion"/>
  </si>
  <si>
    <t>内含药品，青铜头盔，轻型盔甲，鼠标右键点击使用</t>
    <phoneticPr fontId="1" type="noConversion"/>
  </si>
  <si>
    <t>内含药品，战士：八荒，法师：海魂，道士：半月，鼠标右键点击使用</t>
    <phoneticPr fontId="1" type="noConversion"/>
  </si>
  <si>
    <t>内含药品，魔法头盔，中型盔甲，战士：八荒，法师：海魂，道士：半月，鼠标右键点击使用</t>
    <phoneticPr fontId="1" type="noConversion"/>
  </si>
  <si>
    <t>内含药品，战士：斩马刀，法师：偃月，道士：降魔，鼠标右键点击使用</t>
    <phoneticPr fontId="1" type="noConversion"/>
  </si>
  <si>
    <t>内含药品，战士：斩马刀、魔鬼项链、黑色水晶戒指、魔力手镯，法师：偃月、琥珀项链、蛇眼戒指、黑檀手镯，道士：降魔、凤凰明珠、珍珠戒指、道士手镯，鼠标右键点击使用</t>
    <phoneticPr fontId="1" type="noConversion"/>
  </si>
  <si>
    <t>内含药品，凝霜，鼠标右键点击使用</t>
    <phoneticPr fontId="1" type="noConversion"/>
  </si>
  <si>
    <t>内含药品，凝霜，金戒指，金手镯，鼠标右键点击使用</t>
    <phoneticPr fontId="1" type="noConversion"/>
  </si>
  <si>
    <t>道义书卷22</t>
  </si>
  <si>
    <t>道义书卷23</t>
  </si>
  <si>
    <t>道义书卷24</t>
  </si>
  <si>
    <t>道义书卷25</t>
  </si>
  <si>
    <t>道义书卷26</t>
  </si>
  <si>
    <t>道义书卷27</t>
  </si>
  <si>
    <t>道义书卷28</t>
  </si>
  <si>
    <t>道义书卷29</t>
  </si>
  <si>
    <t>道义书卷30</t>
  </si>
  <si>
    <t>道义书卷31</t>
  </si>
  <si>
    <t>道义书卷32</t>
  </si>
  <si>
    <t>道义书卷33</t>
  </si>
  <si>
    <t>道义书卷34</t>
  </si>
  <si>
    <t>道义书卷35</t>
  </si>
  <si>
    <t>道义书卷36</t>
  </si>
  <si>
    <t>道义书卷37</t>
  </si>
  <si>
    <t>道义书卷38</t>
  </si>
  <si>
    <t>道义书卷39</t>
  </si>
  <si>
    <t>道义书卷40</t>
  </si>
  <si>
    <t>道义书卷41</t>
  </si>
  <si>
    <t>道义书卷42</t>
  </si>
  <si>
    <t>道义书卷43</t>
  </si>
  <si>
    <t>道义书卷44</t>
  </si>
  <si>
    <t>道义书卷45</t>
  </si>
  <si>
    <t>道义书卷46</t>
  </si>
  <si>
    <t>道义书卷47</t>
  </si>
  <si>
    <t>道义书卷48</t>
  </si>
  <si>
    <t>道义书卷49</t>
  </si>
  <si>
    <t>道义书卷50</t>
  </si>
  <si>
    <t>daoyishujuan22</t>
  </si>
  <si>
    <t>daoyishujuan23</t>
  </si>
  <si>
    <t>daoyishujuan24</t>
  </si>
  <si>
    <t>daoyishujuan25</t>
  </si>
  <si>
    <t>daoyishujuan26</t>
  </si>
  <si>
    <t>daoyishujuan27</t>
  </si>
  <si>
    <t>daoyishujuan28</t>
  </si>
  <si>
    <t>daoyishujuan29</t>
  </si>
  <si>
    <t>daoyishujuan30</t>
  </si>
  <si>
    <t>daoyishujuan31</t>
  </si>
  <si>
    <t>daoyishujuan32</t>
  </si>
  <si>
    <t>daoyishujuan33</t>
  </si>
  <si>
    <t>daoyishujuan34</t>
  </si>
  <si>
    <t>daoyishujuan35</t>
  </si>
  <si>
    <t>daoyishujuan36</t>
  </si>
  <si>
    <t>daoyishujuan37</t>
  </si>
  <si>
    <t>daoyishujuan38</t>
  </si>
  <si>
    <t>daoyishujuan39</t>
  </si>
  <si>
    <t>daoyishujuan40</t>
  </si>
  <si>
    <t>daoyishujuan41</t>
  </si>
  <si>
    <t>daoyishujuan42</t>
  </si>
  <si>
    <t>daoyishujuan43</t>
  </si>
  <si>
    <t>daoyishujuan44</t>
  </si>
  <si>
    <t>daoyishujuan45</t>
  </si>
  <si>
    <t>daoyishujuan46</t>
  </si>
  <si>
    <t>daoyishujuan47</t>
  </si>
  <si>
    <t>daoyishujuan48</t>
  </si>
  <si>
    <t>daoyishujuan49</t>
  </si>
  <si>
    <t>daoyishujuan50</t>
  </si>
  <si>
    <t>恢复20点体力值。</t>
  </si>
  <si>
    <t>恢复50点体力值。</t>
  </si>
  <si>
    <t>恢复90点体力值。</t>
  </si>
  <si>
    <t>恢复91点体力值。</t>
  </si>
  <si>
    <t>恢复92点体力值。</t>
  </si>
  <si>
    <t>恢复20点体力值 。</t>
  </si>
  <si>
    <t>恢复30点魔法值。</t>
  </si>
  <si>
    <t>恢复80点魔法值。</t>
  </si>
  <si>
    <t>恢复150点魔法值。</t>
  </si>
  <si>
    <t>恢复152点魔法值。</t>
  </si>
  <si>
    <t>立刻恢复30点体力，40点魔法。</t>
  </si>
  <si>
    <t>立刻恢复50点体力，80点魔法。</t>
  </si>
  <si>
    <t>立刻恢复100点体力，160点魔法。</t>
  </si>
  <si>
    <t>解开成为6个金创药(小量)。</t>
  </si>
  <si>
    <t>解开成为6个金创药(中量)。</t>
  </si>
  <si>
    <t>解开成为6个强效金创药。</t>
  </si>
  <si>
    <t>解开成为6个魔法药(小量)。</t>
  </si>
  <si>
    <t>解开成为6个魔法药(中量)。</t>
  </si>
  <si>
    <t>解开成为6个强效魔法药。</t>
  </si>
  <si>
    <t>解开成为6个太阳水。</t>
  </si>
  <si>
    <t>解开成为6个强效太阳水。</t>
  </si>
  <si>
    <t>蕴含灵力的神石，可持续回复体力。&lt;br&gt;点击右键装备。</t>
  </si>
  <si>
    <t>蕴含灵力的神石，可持续回复魔法。&lt;br&gt;点击右键装备。</t>
  </si>
  <si>
    <t>蕴含灵力的神石，可持续回复体力和魔法。&lt;br&gt;点击右键装备。</t>
  </si>
  <si>
    <t>立刻恢复20点体力，20点魔法。</t>
  </si>
  <si>
    <t>点右键使用，有概率降低1点PK值。</t>
  </si>
  <si>
    <t>点击右键使用，增加英雄经验。</t>
  </si>
  <si>
    <t>魂瓶未满时装备到境界界面，之后获得的魂值将储存在混瓶中，魂瓶装满后可以把瓶中的魂值转移到角色身上。&lt;br&gt;点击邮件使用。</t>
  </si>
  <si>
    <t>点击右键使用，使用后可以获得31天的白银VIP。</t>
  </si>
  <si>
    <t>点击右键使用，使用后可以获得31天的黄金VIP。</t>
  </si>
  <si>
    <t>点击右键使用，使用后可以获得31天的钻石VIP。</t>
  </si>
  <si>
    <t>使用传音筒可以在聊天栏的“传音”频道发言，所有玩家都能收到由传音筒发出的短讯。</t>
  </si>
  <si>
    <t>绚丽的蛋糕形焰火，使用后所有的人都将注意到你的存在。</t>
  </si>
  <si>
    <t>飞火流星礼花，刹那绽开映亮永久。</t>
  </si>
  <si>
    <t>&lt;br&gt;&lt;font color='#43FF98'&gt;                          最大道术 2&lt;br&gt;&lt;br&gt;&lt;font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</si>
  <si>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    最大道术 3&lt;br&gt;&lt;br&gt;&lt;font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</si>
  <si>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    最大道术 4&lt;br&gt;&lt;br&gt;&lt;font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</si>
  <si>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    最大道术 5&lt;br&gt;&lt;br&gt;&lt;font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</si>
  <si>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    最大道术 6&lt;br&gt;&lt;br&gt;&lt;font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</si>
  <si>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    最大道术 7&lt;br&gt;&lt;br&gt;&lt;font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</si>
  <si>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    最大道术 8&lt;br&gt;&lt;br&gt;&lt;font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</si>
  <si>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    最大道术 9&lt;br&gt;&lt;br&gt;&lt;font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</si>
  <si>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    最大道术 10&lt;br&gt;&lt;br&gt;&lt;font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</si>
  <si>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    暴击率 1%&lt;br&gt;&lt;br&gt;&lt;font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</si>
  <si>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暴击率 2%&lt;br&gt;&lt;br&gt;&lt;font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</si>
  <si>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暴击率 3%&lt;br&gt;&lt;br&gt;&lt;font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</si>
  <si>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暴击率 4%&lt;br&gt;&lt;br&gt;&lt;font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</si>
  <si>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暴击率 5%&lt;br&gt;&lt;br&gt;&lt;font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</si>
  <si>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暴击率 6%&lt;br&gt;&lt;br&gt;&lt;font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</si>
  <si>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暴击率 7%&lt;br&gt;&lt;br&gt;&lt;font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</si>
  <si>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暴击率 8%&lt;br&gt;&lt;br&gt;&lt;font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</si>
  <si>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暴击率 9%&lt;br&gt;&lt;br&gt;&lt;font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</si>
  <si>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暴击率 10%&lt;br&gt;&lt;br&gt;&lt;font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</si>
  <si>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最大防御 1&lt;br&gt;&lt;br&gt;&lt;font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</si>
  <si>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最大防御 2&lt;br&gt;&lt;br&gt;&lt;font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</si>
  <si>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最大防御 3&lt;br&gt;&lt;br&gt;&lt;font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</si>
  <si>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最大防御 4&lt;br&gt;&lt;br&gt;&lt;font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</si>
  <si>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最大防御 5&lt;br&gt;&lt;br&gt;&lt;font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</si>
  <si>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最大防御 6&lt;br&gt;&lt;br&gt;&lt;font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</si>
  <si>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最大防御 7&lt;br&gt;&lt;br&gt;&lt;font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</si>
  <si>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最大防御 8&lt;br&gt;&lt;br&gt;&lt;font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</si>
  <si>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最大防御 9&lt;br&gt;&lt;br&gt;&lt;font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</si>
  <si>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    最大防御 10&lt;br&gt;&lt;br&gt;&lt;font color='#F2F2F2'&gt;封印强大灵魂能量的黄色灵石，可镶入装备的黄色插槽中提升装备属性。&lt;br&gt;&lt;font color='#B2B2B2'&gt;      [找灵石镶嵌师进行灵石镶嵌]</t>
  </si>
  <si>
    <t>&lt;br&gt;&lt;font color='#43FF98'&gt;                      破防御 1&lt;br&gt;&lt;br&gt;&lt;font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</si>
  <si>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破防御 2&lt;br&gt;&lt;br&gt;&lt;font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</si>
  <si>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破防御 3&lt;br&gt;&lt;br&gt;&lt;font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</si>
  <si>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破防御 4&lt;br&gt;&lt;br&gt;&lt;font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</si>
  <si>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破防御 5&lt;br&gt;&lt;br&gt;&lt;font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</si>
  <si>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破防御 6&lt;br&gt;&lt;br&gt;&lt;font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</si>
  <si>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破防御 7&lt;br&gt;&lt;br&gt;&lt;font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</si>
  <si>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破防御 8&lt;br&gt;&lt;br&gt;&lt;font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</si>
  <si>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破防御 9&lt;br&gt;&lt;br&gt;&lt;font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</si>
  <si>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破防御 10&lt;br&gt;&lt;br&gt;&lt;font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</si>
  <si>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最大魔法 1&lt;br&gt;&lt;br&gt;&lt;font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</si>
  <si>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最大魔法 2&lt;br&gt;&lt;br&gt;&lt;font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</si>
  <si>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最大魔法 3&lt;br&gt;&lt;br&gt;&lt;font color='#F2F2F2'&gt;封印强大灵魂能量的蓝色灵石，可镶入装备的蓝色插槽中提升装备属性。&lt;br&gt;&lt;font color='#B2B2B2'&gt;      [找灵石镶嵌师进行灵石镶嵌]</t>
  </si>
  <si>
    <t>&lt;br&gt;&lt;font color='#43FF98'&gt;                      破魔防 1&lt;br&gt;&lt;br&gt;&lt;font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</si>
  <si>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破魔防 2&lt;br&gt;&lt;br&gt;&lt;font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</si>
  <si>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破魔防 3&lt;br&gt;&lt;br&gt;&lt;font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</si>
  <si>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破魔防 4&lt;br&gt;&lt;br&gt;&lt;font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</si>
  <si>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破魔防 5&lt;br&gt;&lt;br&gt;&lt;font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</si>
  <si>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破魔防 6&lt;br&gt;&lt;br&gt;&lt;font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</si>
  <si>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破魔防 7&lt;br&gt;&lt;br&gt;&lt;font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</si>
  <si>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破魔防 8&lt;br&gt;&lt;br&gt;&lt;font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</si>
  <si>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破魔防 9&lt;br&gt;&lt;br&gt;&lt;font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</si>
  <si>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破魔防 10&lt;br&gt;&lt;br&gt;&lt;font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</si>
  <si>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最大攻击 1&lt;br&gt;&lt;br&gt;&lt;font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</si>
  <si>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最大攻击 2&lt;br&gt;&lt;br&gt;&lt;font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</si>
  <si>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最大攻击 3&lt;br&gt;&lt;br&gt;&lt;font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</si>
  <si>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最大攻击 4&lt;br&gt;&lt;br&gt;&lt;font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</si>
  <si>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最大攻击 5&lt;br&gt;&lt;br&gt;&lt;font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</si>
  <si>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最大攻击 6&lt;br&gt;&lt;br&gt;&lt;font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</si>
  <si>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最大攻击 7&lt;br&gt;&lt;br&gt;&lt;font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</si>
  <si>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最大攻击 8&lt;br&gt;&lt;br&gt;&lt;font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</si>
  <si>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最大攻击 9&lt;br&gt;&lt;br&gt;&lt;font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</si>
  <si>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最大攻击 10&lt;br&gt;&lt;br&gt;&lt;font color='#F2F2F2'&gt;封印强大灵魂能量的绿色灵石，可镶入装备的绿色插槽中提升装备属性。&lt;br&gt;&lt;font color='#B2B2B2'&gt;      [找灵石镶嵌师进行灵石镶嵌]</t>
  </si>
  <si>
    <t>&lt;br&gt;&lt;font color='#43FF98'&gt;                          减暴击 1%&lt;br&gt;&lt;br&gt;&lt;font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</si>
  <si>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减暴击 2%&lt;br&gt;&lt;br&gt;&lt;font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</si>
  <si>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减暴击 3%&lt;br&gt;&lt;br&gt;&lt;font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</si>
  <si>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减暴击 4%&lt;br&gt;&lt;br&gt;&lt;font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</si>
  <si>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减暴击 5%&lt;br&gt;&lt;br&gt;&lt;font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</si>
  <si>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减暴击 6%&lt;br&gt;&lt;br&gt;&lt;font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</si>
  <si>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减暴击 7%&lt;br&gt;&lt;br&gt;&lt;font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</si>
  <si>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减暴击 8%&lt;br&gt;&lt;br&gt;&lt;font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</si>
  <si>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减暴击 9%&lt;br&gt;&lt;br&gt;&lt;font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</si>
  <si>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减暴击 10%&lt;br&gt;&lt;br&gt;&lt;font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</si>
  <si>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最大魔防 1&lt;br&gt;&lt;br&gt;&lt;font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</si>
  <si>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最大魔防 2&lt;br&gt;&lt;br&gt;&lt;font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</si>
  <si>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最大魔防 3&lt;br&gt;&lt;br&gt;&lt;font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</si>
  <si>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最大魔防 4&lt;br&gt;&lt;br&gt;&lt;font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</si>
  <si>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最大魔防 5&lt;br&gt;&lt;br&gt;&lt;font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</si>
  <si>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最大魔防 6&lt;br&gt;&lt;br&gt;&lt;font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</si>
  <si>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最大魔防 7&lt;br&gt;&lt;br&gt;&lt;font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</si>
  <si>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最大魔防 8&lt;br&gt;&lt;br&gt;&lt;font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</si>
  <si>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最大魔防 9&lt;br&gt;&lt;br&gt;&lt;font color='#F2F2F2'&gt;封印强大灵魂能量的紫色灵石，可镶入装备的紫色插槽中提升装备属性。&lt;br&gt;&lt;font color='#B2B2B2'&gt;      [找灵石镶嵌师进行灵石镶嵌]</t>
  </si>
  <si>
    <t>&lt;br&gt;&lt;font color='#43FF98'&gt;                          最大魔防 10&lt;br&gt;&lt;br&gt;&lt;font color='#F2F2F2'&gt;封印强大灵魂能量的紫色灵石，可镶入装备的紫色插槽中提升装备属性。&lt;br&gt;&lt;font color='#B2B2B2'&gt;      [找灵石镶嵌师进行灵石镶嵌]</t>
  </si>
  <si>
    <t>武器洗炼铭文所需的魔石，每次消耗1个，只能洗炼出战士铭文。</t>
  </si>
  <si>
    <t>武器洗炼铭文所需的魔石，每次消耗1个，只能洗炼出法师铭文。</t>
  </si>
  <si>
    <t>武器洗炼铭文所需的魔石，每次消耗1个，只能洗炼出道士铭文。</t>
  </si>
  <si>
    <t>合成铭文所需的材料，可以用来合成4级、5级铭文。</t>
  </si>
  <si>
    <t>合成铭文所需的材料，可以用来合成6级、7级铭文。</t>
  </si>
  <si>
    <t>记载战士技能《基本剑术》的书籍,右键点击学习。</t>
  </si>
  <si>
    <t>记载战士技能《攻杀剑术》的书籍,右键点击学习。</t>
  </si>
  <si>
    <t>记载战士技能《刺杀剑术》的书籍,右键点击学习。</t>
  </si>
  <si>
    <t>记载战士技能《半月弯刀》的书籍,右键点击学习。</t>
  </si>
  <si>
    <t>记载战士技能《野蛮冲撞》的书籍,右键点击学习。</t>
  </si>
  <si>
    <t>记载战士技能《烈火剑法》的书籍,右键点击学习。</t>
  </si>
  <si>
    <t>记载战士技能《狮子吼》的书籍,右键点击学习。</t>
  </si>
  <si>
    <t>记载战士技能《逐日剑法》的书籍,右键点击学习。</t>
  </si>
  <si>
    <t>记载法师技能《火球术》的书籍,右键点击学习。</t>
  </si>
  <si>
    <t>记载法师技能《抗拒火环》的书籍,右键点击学习。</t>
  </si>
  <si>
    <t>记载法师技能《诱惑之光》的书籍,右键点击学习。</t>
  </si>
  <si>
    <t>记载法师技能《地狱火》的书籍,右键点击学习。</t>
  </si>
  <si>
    <t>记载法师技能《雷电术》的书籍,右键点击学习。</t>
  </si>
  <si>
    <t>记载法师技能《瞬息移动》的书籍,右键点击学习。</t>
  </si>
  <si>
    <t>记载法师技能《爆裂火焰》的书籍,右键点击学习。</t>
  </si>
  <si>
    <t>记载法师技能《火墙》的书籍,右键点击学习。</t>
  </si>
  <si>
    <t>记载法师技能《疾光电影》的书籍,右键点击学习。</t>
  </si>
  <si>
    <t>记载法师技能《地狱雷光》的书籍,右键点击学习。</t>
  </si>
  <si>
    <t>记载法师技能《魔法盾》的书籍,右键点击学习。</t>
  </si>
  <si>
    <t>记载法师技能《圣言术》的书籍,右键点击学习。</t>
  </si>
  <si>
    <t>记载法师技能《冰咆哮》的书籍,右键点击学习。</t>
  </si>
  <si>
    <t>记载法师技能《寒冰掌》的书籍,右键点击学习。</t>
  </si>
  <si>
    <t>记载法师技能《大火球》的书籍,右键点击学习。</t>
  </si>
  <si>
    <t>记载法师技能《灭天火》的书籍,右键点击学习。</t>
  </si>
  <si>
    <t>记载法师技能《流星火雨》的书籍,右键点击学习。</t>
  </si>
  <si>
    <t>记载道士技能《治愈术》的书籍,右键点击学习。</t>
  </si>
  <si>
    <t>记载道士技能《精神力战法》的书籍,右键点击学习。</t>
  </si>
  <si>
    <t>记载道士技能《施毒术》的书籍,右键点击学习。</t>
  </si>
  <si>
    <t>记载道士技能《灵魂火符》的书籍,右键点击学习。</t>
  </si>
  <si>
    <t>记载道士技能《召唤骷髅》的书籍,右键点击学习。</t>
  </si>
  <si>
    <t>记载道士技能《隐身术》的书籍,右键点击学习。</t>
  </si>
  <si>
    <t>记载道士技能《集体隐身术》的书籍,右键点击学习。</t>
  </si>
  <si>
    <t>记载道士技能《幽灵盾》的书籍,右键点击学习。</t>
  </si>
  <si>
    <t>记载道士技能《神圣战甲术》的书籍,右键点击学习。</t>
  </si>
  <si>
    <t>记载道士技能《困魔咒》的书籍,右键点击学习。</t>
  </si>
  <si>
    <t>记载道士技能《气功波》的书籍,右键点击学习。</t>
  </si>
  <si>
    <t>记载道士技能《群体治愈术》的书籍,右键点击学习。</t>
  </si>
  <si>
    <t>记载道士技能《召唤神兽》的书籍,右键点击学习。</t>
  </si>
  <si>
    <t>记载道士技能《无极真气》的书籍,右键点击学习。</t>
  </si>
  <si>
    <t>记载道士技能《噬血术》的书籍,右键点击学习。</t>
  </si>
  <si>
    <t>记载刺客技能《神龙摆尾》的书籍,右键点击学习。</t>
  </si>
  <si>
    <t>记载刺客技能《御守》的书籍,右键点击学习。</t>
  </si>
  <si>
    <t>记载刺客技能《鬼影缠身》的书籍,右键点击学习。</t>
  </si>
  <si>
    <t>记载刺客技能《狰狞》的书籍,右键点击学习。</t>
  </si>
  <si>
    <t>记载刺客技能《狂风破》的书籍,右键点击学习。</t>
  </si>
  <si>
    <t>记载刺客技能《龙影》的书籍,右键点击学习。</t>
  </si>
  <si>
    <t>记载刺客技能《毒刃》的书籍,右键点击学习。</t>
  </si>
  <si>
    <t>记载刺客技能《隐雾》的书籍,右键点击学习。</t>
  </si>
  <si>
    <t>记载刺客技能《真气烈风》的书籍,右键点击学习。</t>
  </si>
  <si>
    <t>记载刺客技能《结网》的书籍,右键点击学习。</t>
  </si>
  <si>
    <t>记载刺客技能《乱舞》的书籍,右键点击学习。</t>
  </si>
  <si>
    <t>记载刺客技能《新月》的书籍,右键点击学习。</t>
  </si>
  <si>
    <t>记载刺客技能《影袭》的书籍,右键点击学习。</t>
  </si>
  <si>
    <t>记载刺客技能《摄魂》的书籍,右键点击学习。</t>
  </si>
  <si>
    <t>记载刺客技能《嗜血》的书籍,右键点击学习。</t>
  </si>
  <si>
    <t>记载刺客技能《鬼狱》的书籍,右键点击学习。</t>
  </si>
  <si>
    <t>记载刺客技能《天魔掌》的书籍,右键点击学习。</t>
  </si>
  <si>
    <t>记载刺客技能《鬼手》的书籍,右键点击学习。</t>
  </si>
  <si>
    <t>记载刺客技能《龙血归心》的书籍,右键点击学习。</t>
  </si>
  <si>
    <t>记载弓手技能《冲击矢》的书籍,右键点击学习。</t>
  </si>
  <si>
    <t>记载弓手技能《震裂箭》的书籍,右键点击学习。</t>
  </si>
  <si>
    <t>记载弓手技能《飞虹箭》的书籍,右键点击学习。</t>
  </si>
  <si>
    <t>记载弓手技能《猎手天赋》的书籍,右键点击学习。</t>
  </si>
  <si>
    <t>记载弓手技能《箭雨》的书籍,右键点击学习。</t>
  </si>
  <si>
    <t>记载弓手技能《咬魂》的书籍,右键点击学习。</t>
  </si>
  <si>
    <t>记载弓手技能《连珠箭》的书籍,右键点击学习。</t>
  </si>
  <si>
    <t>记载弓手技能《通灵》的书籍,右键点击学习。</t>
  </si>
  <si>
    <t>记载弓手技能《陷阱》的书籍,右键点击学习。</t>
  </si>
  <si>
    <t>记载弓手技能《狙击》的书籍,右键点击学习。</t>
  </si>
  <si>
    <t>记载弓手技能《迅猛踢》的书籍,右键点击学习。</t>
  </si>
  <si>
    <t>记载弓手技能《战术标记》的书籍,右键点击学习。</t>
  </si>
  <si>
    <t>记载弓手技能《震天雷》的书籍,右键点击学习。</t>
  </si>
  <si>
    <t>记载弓手技能《空中射击》的书籍,右键点击学习。</t>
  </si>
  <si>
    <t>记载弓手技能《束缚打击》的书籍,右键点击学习。</t>
  </si>
  <si>
    <t>记载弓手技能《奔驰》的书籍,右键点击学习。</t>
  </si>
  <si>
    <t>记载弓手技能《爆破》的书籍,右键点击学习。</t>
  </si>
  <si>
    <t>记载弓手技能《紧急回避》的书籍,右键点击学习。</t>
  </si>
  <si>
    <t>记载弓手技能《蓄势箭》的书籍,右键点击学习。</t>
  </si>
  <si>
    <t>少量灰色药粉，可消耗敌人生命力。</t>
  </si>
  <si>
    <t>中量灰色药粉，可消耗敌人生命力。</t>
  </si>
  <si>
    <t>大量灰色药粉，可消耗敌人生命力。</t>
  </si>
  <si>
    <t>超大量药粉，可消耗敌人生命力。</t>
  </si>
  <si>
    <t>少量黄色药粉，可削弱敌人抵抗力。</t>
  </si>
  <si>
    <t>中量黄色药粉，可削弱敌人抵抗力。</t>
  </si>
  <si>
    <t>大量黄色药粉，可削弱敌人抵抗力。</t>
  </si>
  <si>
    <t>超大量药粉，可削弱敌人抵抗力。</t>
  </si>
  <si>
    <t>道士必备的工具，某些道术需要消耗它，使用上限100次。</t>
  </si>
  <si>
    <t>道士必备的工具，某些道术需要消耗它，使用上限200次。</t>
  </si>
  <si>
    <t>道士必备的工具，某些道术需要消耗它，使用上限600次。</t>
  </si>
  <si>
    <t>可以使玩家回到比奇的神奇卷轴。</t>
  </si>
  <si>
    <t>可以增加当前装配武器的幸运值，右键点击使用。</t>
  </si>
  <si>
    <t>能使玩家回到公会属地的神奇石头，冷却时间30分钟，右键点击使用。</t>
  </si>
  <si>
    <t>可以把玩家传送到当前地图随机位置的神奇卷轴。</t>
  </si>
  <si>
    <t>可以使玩家回到盟重的神奇卷轴。</t>
  </si>
  <si>
    <t>可以使玩家回到沙巴克的神奇卷轴，只有沙巴克公会成员才能使用。</t>
  </si>
  <si>
    <t>右键打开可获得6个比奇回城卷。</t>
  </si>
  <si>
    <t>右键打开可获得6个随机传送卷。</t>
  </si>
  <si>
    <t>右键打开可获得6个盟重回城卷。</t>
  </si>
  <si>
    <t>右键打开可获得6个沙巴克回城卷。</t>
  </si>
  <si>
    <t>可以使玩家回到比奇的神奇石头，但使用一定次数后会消失。</t>
  </si>
  <si>
    <t>可以使玩家回到盟重的神奇石头，但使用一定次数后会消失。</t>
  </si>
  <si>
    <t>一枚故事卷轴。&lt;br&gt;点击右键，将在《百晓生》中添加新的故事。</t>
  </si>
  <si>
    <t>公会战攻城器械。</t>
    <phoneticPr fontId="1" type="noConversion"/>
  </si>
  <si>
    <t>比奇矿区中出产的一种矿石。</t>
  </si>
  <si>
    <t>僵尸掉落的长牙，散发着恶臭。</t>
  </si>
  <si>
    <t>钉耙猫藏匿的宝贝，大部分物品都不值什么钱。</t>
  </si>
  <si>
    <t>散落在海边的贝壳。</t>
  </si>
  <si>
    <t>这些睡莲蕴藏着一种倔强的力量。</t>
  </si>
  <si>
    <t>这石板好像刻着一些特殊的符号。</t>
  </si>
  <si>
    <t>此花美艳绝伦，绝非俗物。</t>
  </si>
  <si>
    <t>这些植物定能医治一些疑难杂症。</t>
  </si>
  <si>
    <t>紫色阴柔，美艳动人。</t>
  </si>
  <si>
    <t>此草富含丰富的营养。</t>
  </si>
  <si>
    <t>这是传说中可以起死回生的灵药。</t>
  </si>
  <si>
    <t>一枚故事卷轴。&lt;br&gt;右键点击，将在《百晓生》中添加新的故事。</t>
  </si>
  <si>
    <t>这颗凝固的泪滴饱含悲伤。&lt;br&gt;尸王掉落，可用来完成剧情任务《僵尸矿洞(史诗)》，从而获得丰厚奖励。</t>
  </si>
  <si>
    <t>能够得到这颗邪恶之牙，是你勇气和力量的见证。&lt;br&gt;沃玛教主掉落，可用来完成剧情任务《新仇旧恨(史诗)》，从而获得丰厚奖励。</t>
  </si>
  <si>
    <t>这毒足之下的亡魂何止万千。&lt;br&gt;触龙神掉落，可用来完成剧情任务《出生入死(史诗)》，从而获得丰厚奖励。</t>
  </si>
  <si>
    <t>发起沙巴克城战的必备之物。</t>
  </si>
  <si>
    <t>鲜美的鹿肉。</t>
  </si>
  <si>
    <t>散发着摄人心魄的光晕，可打开无相之境的封印。&lt;br&gt;烈焰恶魔盘踞于无相之境，非常强大，需众人围剿方能获胜，独自挑战无异于自寻死路。</t>
  </si>
  <si>
    <t>据说有人在收集这种剔透的珠子。</t>
  </si>
  <si>
    <t>鱼人族特有法器，散发阵阵恶臭。</t>
  </si>
  <si>
    <t>土城蒙家世代相传的宝刀，虽然古旧，但仍难掩宝刀光华。&lt;br&gt;虹魔教主掉落，可用来完成剧情任务《决战（史诗）》，从而获得丰厚奖励。</t>
    <phoneticPr fontId="1" type="noConversion"/>
  </si>
  <si>
    <t>石身已崩，何寄邪魂。&lt;br&gt;祖玛教主掉落，用来完成剧情任务《生死轮回（史诗）》，从而获得丰厚奖励。</t>
    <phoneticPr fontId="1" type="noConversion"/>
  </si>
  <si>
    <t>集齐“我爱传奇永恒”6字，可以在活动大使处兑换稀有装备。</t>
  </si>
  <si>
    <t>本卡赠送不删档测试时间1小时，在测试结束后，根据账号累积卡数（同账号有多个角色时，按最高卡数的角色统计，不重复计数）赠送对应游戏时间。在不删档测试时正式生效。</t>
  </si>
  <si>
    <t>以传世秘法炼制而成的灵丹，据说有着起死回生的功效。</t>
  </si>
  <si>
    <t>能降低10点PK值，右键点击使用。</t>
  </si>
  <si>
    <t>能降低50点PK值，右键点击使用。</t>
  </si>
  <si>
    <t>一种能够净化心灵，降低永久PK值的灵符。</t>
  </si>
  <si>
    <t>合成装备所需的材料，可以通过分解装备获得。</t>
  </si>
  <si>
    <t>合成装备所需的材料，可以通过分解绿色以上品质装备获得。</t>
  </si>
  <si>
    <t>合成装备所需的材料，可以通过分解蓝色以上品质装备获得。</t>
  </si>
  <si>
    <t>合成装备所需的材料，可以通过分解紫色以上品质装备获得。</t>
  </si>
  <si>
    <t>合成装备所需的材料，可以通过分解橙色以上品质装备获得。</t>
  </si>
  <si>
    <t>合成背饰所需的材料。</t>
  </si>
  <si>
    <t>高级合成材料。</t>
  </si>
  <si>
    <t>杂质颇多的矿石，可向商人出售。</t>
  </si>
  <si>
    <t>可向公会属地的资源回收官捐献粮食1千，并获得一定的公会贡献。</t>
  </si>
  <si>
    <t>可向公会属地的资源回收官捐献木材1千，并获得一定的公会贡献。</t>
  </si>
  <si>
    <t>可向公会属地的资源回收官捐献石料1千，并获得一定的公会贡献。</t>
  </si>
  <si>
    <t>可向公会属地的资源回收官捐献铁料1千，并获得一定的公会贡献。</t>
  </si>
  <si>
    <t>可向公会属地的资源回收官捐献粮食1千。</t>
  </si>
  <si>
    <t>可向公会属地的资源回收官捐献木材1千。</t>
  </si>
  <si>
    <t>可向公会属地的资源回收官捐献石料1千。</t>
  </si>
  <si>
    <t>可向公会属地的资源回收官捐献铁料1千。</t>
  </si>
  <si>
    <t>宝石合成卷轴，右键点击可打开合成&lt;统御朱砂灵石2级&gt;界面。</t>
  </si>
  <si>
    <t>宝石合成卷轴，鼠标右键点击，打开合成&lt;统御朱砂灵石3级&gt;界面。</t>
  </si>
  <si>
    <t>宝石合成卷轴，鼠标右键点击，打开合成&lt;统御朱砂灵石4级&gt;界面。</t>
  </si>
  <si>
    <t>宝石合成卷轴，鼠标右键点击，打开合成&lt;统御朱砂灵石5级&gt;界面。</t>
  </si>
  <si>
    <t>宝石合成卷轴，鼠标右键点击，打开合成&lt;统御朱砂灵石6级&gt;界面。</t>
  </si>
  <si>
    <t>宝石合成卷轴，鼠标右键点击，打开合成&lt;统御朱砂灵石7级&gt;界面。</t>
  </si>
  <si>
    <t>宝石合成卷轴，鼠标右键点击，打开合成&lt;统御朱砂灵石8级&gt;界面。</t>
  </si>
  <si>
    <t>宝石合成卷轴，鼠标右键点击，打开合成&lt;统御朱砂灵石9级&gt;界面。</t>
  </si>
  <si>
    <t>宝石合成卷轴，鼠标右键点击，打开合成&lt;统御朱砂灵石10级&gt;界面。</t>
  </si>
  <si>
    <t>宝石合成卷轴，右键点击可打开&lt;强壮朱砂灵石2级&gt;的合成界面。</t>
  </si>
  <si>
    <t>宝石合成卷轴，鼠标右键点击，打开合成&lt;强壮朱砂灵石3级&gt;界面。</t>
  </si>
  <si>
    <t>宝石合成卷轴，鼠标右键点击，打开合成&lt;强壮朱砂灵石4级&gt;界面。</t>
  </si>
  <si>
    <t>宝石合成卷轴，鼠标右键点击，打开合成&lt;强壮朱砂灵石5级&gt;界面。</t>
  </si>
  <si>
    <t>宝石合成卷轴，鼠标右键点击，打开合成&lt;强壮朱砂灵石6级&gt;界面。</t>
  </si>
  <si>
    <t>宝石合成卷轴，鼠标右键点击，打开合成&lt;强壮朱砂灵石7级&gt;界面。</t>
  </si>
  <si>
    <t>宝石合成卷轴，鼠标右键点击，打开合成&lt;强壮朱砂灵石8级&gt;界面。</t>
  </si>
  <si>
    <t>宝石合成卷轴，鼠标右键点击，打开合成&lt;强壮朱砂灵石9级&gt;界面。</t>
  </si>
  <si>
    <t>宝石合成卷轴，鼠标右键点击，打开合成&lt;强壮朱砂灵石10级&gt;界面。</t>
  </si>
  <si>
    <t>宝石合成卷轴，右键点击可打开&lt;致命日光灵石2级&gt;的合成界面。</t>
  </si>
  <si>
    <t>宝石合成卷轴，鼠标右键点击，打开合成&lt;致命日光灵石3级&gt;界面。</t>
  </si>
  <si>
    <t>宝石合成卷轴，鼠标右键点击，打开合成&lt;致命日光灵石4级&gt;界面。</t>
  </si>
  <si>
    <t>宝石合成卷轴，鼠标右键点击，打开合成&lt;致命日光灵石5级&gt;界面。</t>
  </si>
  <si>
    <t>宝石合成卷轴，鼠标右键点击，打开合成&lt;致命日光灵石6级&gt;界面。</t>
  </si>
  <si>
    <t>宝石合成卷轴，鼠标右键点击，打开合成&lt;致命日光灵石7级&gt;界面。</t>
  </si>
  <si>
    <t>宝石合成卷轴，鼠标右键点击，打开合成&lt;致命日光灵石8级&gt;界面。</t>
  </si>
  <si>
    <t>宝石合成卷轴，鼠标右键点击，打开合成&lt;致命日光灵石9级&gt;界面。</t>
  </si>
  <si>
    <t>宝石合成卷轴，鼠标右键点击，打开合成&lt;致命日光灵石10级&gt;界面。</t>
  </si>
  <si>
    <t>宝石合成卷轴，右键点击可打开&lt;守护日光灵石2级&gt;的合成界面。</t>
  </si>
  <si>
    <t>宝石合成卷轴，鼠标右键点击，打开合成&lt;守护日光灵石3级&gt;界面。</t>
  </si>
  <si>
    <t>宝石合成卷轴，鼠标右键点击，打开合成&lt;守护日光灵石4级&gt;界面。</t>
  </si>
  <si>
    <t>宝石合成卷轴，鼠标右键点击，打开合成&lt;守护日光灵石5级&gt;界面。</t>
  </si>
  <si>
    <t>宝石合成卷轴，鼠标右键点击，打开合成&lt;守护日光灵石6级&gt;界面。</t>
  </si>
  <si>
    <t>宝石合成卷轴，鼠标右键点击，打开合成&lt;守护日光灵石7级&gt;界面。</t>
  </si>
  <si>
    <t>宝石合成卷轴，鼠标右键点击，打开合成&lt;守护日光灵石8级&gt;界面。</t>
  </si>
  <si>
    <t>宝石合成卷轴，鼠标右键点击，打开合成&lt;守护日光灵石9级&gt;界面。</t>
  </si>
  <si>
    <t>宝石合成卷轴，鼠标右键点击，打开合成&lt;守护日光灵石10级&gt;界面。</t>
  </si>
  <si>
    <t>宝石合成卷轴，右键点击可打开&lt;准确蔚蓝灵石2级&gt;的合成界面。</t>
  </si>
  <si>
    <t>宝石合成卷轴，鼠标右键点击，打开合成&lt;准确蔚蓝灵石3级&gt;界面。</t>
  </si>
  <si>
    <t>宝石合成卷轴，鼠标右键点击，打开合成&lt;准确蔚蓝灵石4级&gt;界面。</t>
  </si>
  <si>
    <t>宝石合成卷轴，鼠标右键点击，打开合成&lt;准确蔚蓝灵石5级&gt;界面。</t>
  </si>
  <si>
    <t>宝石合成卷轴，鼠标右键点击，打开合成&lt;准确蔚蓝灵石6级&gt;界面。</t>
  </si>
  <si>
    <t>宝石合成卷轴，鼠标右键点击，打开合成&lt;准确蔚蓝灵石7级&gt;界面。</t>
  </si>
  <si>
    <t>宝石合成卷轴，鼠标右键点击，打开合成&lt;准确蔚蓝灵石8级&gt;界面。</t>
  </si>
  <si>
    <t>宝石合成卷轴，鼠标右键点击，打开合成&lt;准确蔚蓝灵石9级&gt;界面。</t>
  </si>
  <si>
    <t>宝石合成卷轴，鼠标右键点击，打开合成&lt;准确蔚蓝灵石10级&gt;界面。</t>
  </si>
  <si>
    <t>宝石合成卷轴，右键点击可打开&lt;睿智蔚蓝灵石2级&gt;的合成界面。</t>
  </si>
  <si>
    <t>宝石合成卷轴，鼠标右键点击，打开合成&lt;睿智蔚蓝灵石3级&gt;界面。</t>
  </si>
  <si>
    <t>宝石合成卷轴，鼠标右键点击，打开合成&lt;睿智蔚蓝灵石4级&gt;界面。</t>
  </si>
  <si>
    <t>宝石合成卷轴，鼠标右键点击，打开合成&lt;睿智蔚蓝灵石5级&gt;界面。</t>
  </si>
  <si>
    <t>宝石合成卷轴，鼠标右键点击，打开合成&lt;睿智蔚蓝灵石6级&gt;界面。</t>
  </si>
  <si>
    <t>宝石合成卷轴，鼠标右键点击，打开合成&lt;睿智蔚蓝灵石7级&gt;界面。</t>
  </si>
  <si>
    <t>宝石合成卷轴，鼠标右键点击，打开合成&lt;睿智蔚蓝灵石8级&gt;界面。</t>
  </si>
  <si>
    <t>宝石合成卷轴，鼠标右键点击，打开合成&lt;睿智蔚蓝灵石9级&gt;界面。</t>
  </si>
  <si>
    <t>宝石合成卷轴，鼠标右键点击，打开合成&lt;睿智蔚蓝灵石10级&gt;界面。</t>
  </si>
  <si>
    <t>宝石合成卷轴，右键点击可打开&lt;轻盈碧绿灵石2级&gt;的合成界面。</t>
  </si>
  <si>
    <t>宝石合成卷轴，鼠标右键点击，打开合成&lt;轻盈碧绿灵石3级&gt;界面。</t>
  </si>
  <si>
    <t>宝石合成卷轴，鼠标右键点击，打开合成&lt;轻盈碧绿灵石4级&gt;界面。</t>
  </si>
  <si>
    <t>宝石合成卷轴，鼠标右键点击，打开合成&lt;轻盈碧绿灵石5级&gt;界面。</t>
  </si>
  <si>
    <t>宝石合成卷轴，鼠标右键点击，打开合成&lt;轻盈碧绿灵石6级&gt;界面。</t>
  </si>
  <si>
    <t>宝石合成卷轴，鼠标右键点击，打开合成&lt;轻盈碧绿灵石7级&gt;界面。</t>
  </si>
  <si>
    <t>宝石合成卷轴，鼠标右键点击，打开合成&lt;轻盈碧绿灵石8级&gt;界面。</t>
  </si>
  <si>
    <t>宝石合成卷轴，鼠标右键点击，打开合成&lt;轻盈碧绿灵石9级&gt;界面。</t>
  </si>
  <si>
    <t>宝石合成卷轴，鼠标右键点击，打开合成&lt;轻盈碧绿灵石10级&gt;界面。</t>
  </si>
  <si>
    <t>宝石合成卷轴，右键点击可打开&lt;强袭碧绿灵石2级&gt;的合成界面。</t>
  </si>
  <si>
    <t>宝石合成卷轴，鼠标右键点击，打开合成&lt;强袭碧绿灵石3级&gt;界面。</t>
  </si>
  <si>
    <t>宝石合成卷轴，鼠标右键点击，打开合成&lt;强袭碧绿灵石4级&gt;界面。</t>
  </si>
  <si>
    <t>宝石合成卷轴，鼠标右键点击，打开合成&lt;强袭碧绿灵石5级&gt;界面。</t>
  </si>
  <si>
    <t>宝石合成卷轴，鼠标右键点击，打开合成&lt;强袭碧绿灵石6级&gt;界面。</t>
  </si>
  <si>
    <t>宝石合成卷轴，鼠标右键点击，打开合成&lt;强袭碧绿灵石7级&gt;界面。</t>
  </si>
  <si>
    <t>宝石合成卷轴，鼠标右键点击，打开合成&lt;强袭碧绿灵石8级&gt;界面。</t>
  </si>
  <si>
    <t>宝石合成卷轴，鼠标右键点击，打开合成&lt;强袭碧绿灵石9级&gt;界面。</t>
  </si>
  <si>
    <t>宝石合成卷轴，鼠标右键点击，打开合成&lt;强袭碧绿灵石10级&gt;界面。</t>
  </si>
  <si>
    <t>宝石合成卷轴，右键点击可打开&lt;坚韧暗紫灵石2级&gt;的合成界面。</t>
  </si>
  <si>
    <t>宝石合成卷轴，鼠标右键点击，打开合成&lt;坚韧暗紫灵石3级&gt;界面。</t>
  </si>
  <si>
    <t>宝石合成卷轴，鼠标右键点击，打开合成&lt;坚韧暗紫灵石4级&gt;界面。</t>
  </si>
  <si>
    <t>宝石合成卷轴，鼠标右键点击，打开合成&lt;坚韧暗紫灵石5级&gt;界面。</t>
  </si>
  <si>
    <t>宝石合成卷轴，鼠标右键点击，打开合成&lt;坚韧暗紫灵石6级&gt;界面。</t>
  </si>
  <si>
    <t>宝石合成卷轴，鼠标右键点击，打开合成&lt;坚韧暗紫灵石7级&gt;界面。</t>
  </si>
  <si>
    <t>宝石合成卷轴，鼠标右键点击，打开合成&lt;坚韧暗紫灵石8级&gt;界面。</t>
  </si>
  <si>
    <t>宝石合成卷轴，鼠标右键点击，打开合成&lt;坚韧暗紫灵石9级&gt;界面。</t>
  </si>
  <si>
    <t>宝石合成卷轴，鼠标右键点击，打开合成&lt;坚韧暗紫灵石10级&gt;界面。</t>
  </si>
  <si>
    <t>宝石合成卷轴，右键点击可打开&lt;纯洁暗紫灵石2级&gt;的合成界面。</t>
  </si>
  <si>
    <t>宝石合成卷轴，鼠标右键点击，打开合成&lt;纯洁暗紫灵石3级&gt;界面。</t>
  </si>
  <si>
    <t>宝石合成卷轴，鼠标右键点击，打开合成&lt;纯洁暗紫灵石4级&gt;界面。</t>
  </si>
  <si>
    <t>宝石合成卷轴，鼠标右键点击，打开合成&lt;纯洁暗紫灵石5级&gt;界面。</t>
  </si>
  <si>
    <t>宝石合成卷轴，鼠标右键点击，打开合成&lt;纯洁暗紫灵石6级&gt;界面。</t>
  </si>
  <si>
    <t>宝石合成卷轴，鼠标右键点击，打开合成&lt;纯洁暗紫灵石7级&gt;界面。</t>
  </si>
  <si>
    <t>宝石合成卷轴，鼠标右键点击，打开合成&lt;纯洁暗紫灵石8级&gt;界面。</t>
  </si>
  <si>
    <t>宝石合成卷轴，鼠标右键点击，打开合成&lt;纯洁暗紫灵石9级&gt;界面。</t>
  </si>
  <si>
    <t>宝石合成卷轴，鼠标右键点击，打开合成&lt;纯洁暗紫灵石10级&gt;界面。</t>
  </si>
  <si>
    <t>宝石合成卷轴，鼠标右键点击，打开合成&lt;进击幻彩灵石2级&gt;界面。</t>
  </si>
  <si>
    <t>宝石合成卷轴，鼠标右键点击，打开合成&lt;进击幻彩灵石3级&gt;界面。</t>
  </si>
  <si>
    <t>宝石合成卷轴，鼠标右键点击，打开合成&lt;进击幻彩灵石4级&gt;界面。</t>
  </si>
  <si>
    <t>宝石合成卷轴，鼠标右键点击，打开合成&lt;进击幻彩灵石5级&gt;界面。</t>
  </si>
  <si>
    <t>宝石合成卷轴，鼠标右键点击，打开合成&lt;进击幻彩灵石6级&gt;界面。</t>
  </si>
  <si>
    <t>宝石合成卷轴，鼠标右键点击，打开合成&lt;进击幻彩灵石7级&gt;界面。</t>
  </si>
  <si>
    <t>宝石合成卷轴，鼠标右键点击，打开合成&lt;进击幻彩灵石8级&gt;界面。</t>
  </si>
  <si>
    <t>宝石合成卷轴，鼠标右键点击，打开合成&lt;进击幻彩灵石9级&gt;界面。</t>
  </si>
  <si>
    <t>宝石合成卷轴，鼠标右键点击，打开合成&lt;进击幻彩灵石10级&gt;界面。</t>
  </si>
  <si>
    <t>宝石合成卷轴，鼠标右键点击，打开合成&lt;抵御幻彩灵石2级&gt;界面。</t>
  </si>
  <si>
    <t>宝石合成卷轴，鼠标右键点击，打开合成&lt;抵御幻彩灵石3级&gt;界面。</t>
  </si>
  <si>
    <t>宝石合成卷轴，鼠标右键点击，打开合成&lt;抵御幻彩灵石4级&gt;界面。</t>
  </si>
  <si>
    <t>宝石合成卷轴，鼠标右键点击，打开合成&lt;抵御幻彩灵石5级&gt;界面。</t>
  </si>
  <si>
    <t>宝石合成卷轴，鼠标右键点击，打开合成&lt;抵御幻彩灵石6级&gt;界面。</t>
  </si>
  <si>
    <t>宝石合成卷轴，鼠标右键点击，打开合成&lt;抵御幻彩灵石7级&gt;界面。</t>
  </si>
  <si>
    <t>宝石合成卷轴，鼠标右键点击，打开合成&lt;抵御幻彩灵石8级&gt;界面。</t>
  </si>
  <si>
    <t>宝石合成卷轴，鼠标右键点击，打开合成&lt;抵御幻彩灵石9级&gt;界面。</t>
  </si>
  <si>
    <t>宝石合成卷轴，鼠标右键点击，打开合成&lt;抵御幻彩灵石10级&gt;界面。</t>
  </si>
  <si>
    <t>宝石合成卷轴，鼠标右键点击，打开合成&lt;狂热幻彩灵石2级&gt;界面。</t>
  </si>
  <si>
    <t>宝石合成卷轴，鼠标右键点击，打开合成&lt;狂热幻彩灵石3级&gt;界面。</t>
  </si>
  <si>
    <t>宝石合成卷轴，鼠标右键点击，打开合成&lt;狂热幻彩灵石4级&gt;界面。</t>
  </si>
  <si>
    <t>宝石合成卷轴，鼠标右键点击，打开合成&lt;狂热幻彩灵石5级&gt;界面。</t>
  </si>
  <si>
    <t>宝石合成卷轴，鼠标右键点击，打开合成&lt;狂热幻彩灵石6级&gt;界面。</t>
  </si>
  <si>
    <t>宝石合成卷轴，鼠标右键点击，打开合成&lt;狂热幻彩灵石7级&gt;界面。</t>
  </si>
  <si>
    <t>宝石合成卷轴，鼠标右键点击，打开合成&lt;狂热幻彩灵石8级&gt;界面。</t>
  </si>
  <si>
    <t>宝石合成卷轴，鼠标右键点击，打开合成&lt;狂热幻彩灵石9级&gt;界面。</t>
  </si>
  <si>
    <t>宝石合成卷轴，鼠标右键点击，打开合成&lt;狂热幻彩灵石10级&gt;界面。</t>
  </si>
  <si>
    <t>新手礼包，右键点击打开。</t>
  </si>
  <si>
    <t>师徒礼包，右键点击打开。</t>
  </si>
  <si>
    <t>战场礼包，右键点击打开。</t>
  </si>
  <si>
    <t>活跃奖励礼包，右键点击打开。</t>
  </si>
  <si>
    <t>声望灵石礼包，可以获得多种宝石，右键点击打开。</t>
  </si>
  <si>
    <t>快速霜鸣兽坐骑，右键点击获得。</t>
  </si>
  <si>
    <t>疾速霜鸣兽坐骑，右键点击获得。</t>
  </si>
  <si>
    <t>神速霜鸣兽坐骑，右键点击获得。</t>
  </si>
  <si>
    <t>奇遇获得的礼包，右键点击打开。</t>
  </si>
  <si>
    <t>内藏一颗属性随机的1级灵石，右键点击打开。</t>
  </si>
  <si>
    <t>内藏一颗属性随机的2级灵石，右键点击打开。</t>
  </si>
  <si>
    <t>竞技场礼包，右键点击打开。</t>
  </si>
  <si>
    <t>公会战会员礼包，奖励大量太阳水和金币，右键点击打开。</t>
  </si>
  <si>
    <t>公会战会长礼包，内有神兵屠龙，右键点击打开。</t>
  </si>
  <si>
    <t>有可能藏着珍稀道具的宝箱，右键点击打开。</t>
  </si>
  <si>
    <t>使用后获得10点道义值。&lt;br&gt;道义值用于在师徒商店兑换道具。</t>
  </si>
  <si>
    <t>使用后获得200点道义值。&lt;br&gt;道义值用于在师徒商店兑换道具。</t>
  </si>
  <si>
    <t>使用后获得300点道义值。&lt;br&gt;道义值用于在师徒商店兑换道具。</t>
  </si>
  <si>
    <t>使用后获得65点道义值。&lt;br&gt;道义值用于在师徒商店兑换道具。</t>
  </si>
  <si>
    <t>使用后获得70点道义值。&lt;br&gt;道义值用于在师徒商店兑换道具。</t>
  </si>
  <si>
    <t>使用后获得75点道义值。&lt;br&gt;道义值用于在师徒商店兑换道具。</t>
  </si>
  <si>
    <t>使用后获得80点道义值。&lt;br&gt;道义值用于在师徒商店兑换道具。</t>
  </si>
  <si>
    <t>使用后获得85点道义值。&lt;br&gt;道义值用于在师徒商店兑换道具。</t>
  </si>
  <si>
    <t>使用后获得90点道义值。&lt;br&gt;道义值用于在师徒商店兑换道具。</t>
  </si>
  <si>
    <t>使用后获得95点道义值。&lt;br&gt;道义值用于在师徒商店兑换道具。</t>
    <phoneticPr fontId="1" type="noConversion"/>
  </si>
  <si>
    <t>使用后可获得220点道义值。&lt;br&gt;道义值用于在师徒商店兑换道具。</t>
  </si>
  <si>
    <t>使用后可获得230点道义值。&lt;br&gt;道义值用于在师徒商店兑换道具。</t>
  </si>
  <si>
    <t>使用后可获得240点道义值。&lt;br&gt;道义值用于在师徒商店兑换道具。</t>
  </si>
  <si>
    <t>使用后可获得250点道义值。&lt;br&gt;道义值用于在师徒商店兑换道具。</t>
  </si>
  <si>
    <t>使用后可获得260点道义值。&lt;br&gt;道义值用于在师徒商店兑换道具。</t>
  </si>
  <si>
    <t>使用后可获得270点道义值。&lt;br&gt;道义值用于在师徒商店兑换道具。</t>
  </si>
  <si>
    <t>使用后可获得280点道义值。&lt;br&gt;道义值用于在师徒商店兑换道具。</t>
  </si>
  <si>
    <t>使用后可获得290点道义值。&lt;br&gt;道义值用于在师徒商店兑换道具。</t>
  </si>
  <si>
    <t>使用后可获得300点道义值。&lt;br&gt;道义值用于在师徒商店兑换道具。</t>
  </si>
  <si>
    <t>使用后可获得310点道义值。&lt;br&gt;道义值用于在师徒商店兑换道具。</t>
  </si>
  <si>
    <t>使用后可获得320点道义值。&lt;br&gt;道义值用于在师徒商店兑换道具。</t>
  </si>
  <si>
    <t>使用后可获得330点道义值。&lt;br&gt;道义值用于在师徒商店兑换道具。</t>
  </si>
  <si>
    <t>使用后可获得340点道义值。&lt;br&gt;道义值用于在师徒商店兑换道具。</t>
  </si>
  <si>
    <t>使用后可获得350点道义值。&lt;br&gt;道义值用于在师徒商店兑换道具。</t>
  </si>
  <si>
    <t>使用后可获得360点道义值。&lt;br&gt;道义值用于在师徒商店兑换道具。</t>
  </si>
  <si>
    <t>使用后可获得370点道义值。&lt;br&gt;道义值用于在师徒商店兑换道具。</t>
  </si>
  <si>
    <t>使用后可获得380点道义值。&lt;br&gt;道义值用于在师徒商店兑换道具。</t>
  </si>
  <si>
    <t>使用后可获得390点道义值。&lt;br&gt;道义值用于在师徒商店兑换道具。</t>
  </si>
  <si>
    <t>使用后可获得400点道义值。&lt;br&gt;道义值用于在师徒商店兑换道具。</t>
  </si>
  <si>
    <t>使用后可获得410点道义值。&lt;br&gt;道义值用于在师徒商店兑换道具。</t>
  </si>
  <si>
    <t>使用后可获得420点道义值。&lt;br&gt;道义值用于在师徒商店兑换道具。</t>
  </si>
  <si>
    <t>使用后可获得430点道义值。&lt;br&gt;道义值用于在师徒商店兑换道具。</t>
  </si>
  <si>
    <t>使用后可获得440点道义值。&lt;br&gt;道义值用于在师徒商店兑换道具。</t>
  </si>
  <si>
    <t>使用后可获得450点道义值。&lt;br&gt;道义值用于在师徒商店兑换道具。</t>
  </si>
  <si>
    <t>使用后可获得460点道义值。&lt;br&gt;道义值用于在师徒商店兑换道具。</t>
  </si>
  <si>
    <t>使用后可获得470点道义值。&lt;br&gt;道义值用于在师徒商店兑换道具。</t>
  </si>
  <si>
    <t>使用后可获得480点道义值。&lt;br&gt;道义值用于在师徒商店兑换道具。</t>
  </si>
  <si>
    <t>使用后可获得490点道义值。&lt;br&gt;道义值用于在师徒商店兑换道具。</t>
  </si>
  <si>
    <t>使用后可获得500点道义值。&lt;br&gt;道义值用于在师徒商店兑换道具。</t>
  </si>
  <si>
    <t>测试答谢礼盒，在线30分钟后可打开并获得一件装备，右键点击使用。</t>
  </si>
  <si>
    <t>闪亮的华美礼包，内有高级宝石，右键点击打开。</t>
  </si>
  <si>
    <t>恭喜徒弟升级。&lt;br&gt;师徒系统赠送的礼包，右键点击使用。</t>
  </si>
  <si>
    <t>出师礼包，嘱你莫忘师徒之谊。&lt;br&gt;徒弟强制出师奖励，内含大金创药及武器合成材料，右键点击打开。</t>
  </si>
  <si>
    <t>江湖茫茫，莫忘师门。&lt;br&gt;正式出师奖励，内含大金创药及武器合成材料，右键点击打开。</t>
  </si>
  <si>
    <t>谢师礼包。&lt;br&gt;徒弟出师奖励，内含强效金创药、祝福油及丹青卷，右键点击打开。</t>
  </si>
  <si>
    <t>祝贺徒弟升级。&lt;br&gt;礼包内含金创药和经验值奖励，右键点击打开。</t>
  </si>
  <si>
    <t>高级礼盒，祝贺徒弟升级。&lt;br&gt;礼盒内含金创药和经验值奖励，右键点击打开。</t>
  </si>
  <si>
    <t>豪华礼盒，祝贺徒弟升级。&lt;br&gt;礼盒内含金创药和经验值奖励，右键点击打开。</t>
  </si>
  <si>
    <t>贺礼，恭贺师父升级。&lt;br&gt;礼包内含金创药和经验值奖励，右键点击打开。</t>
  </si>
  <si>
    <t>高级贺礼，恭贺师父升级。&lt;br&gt;礼盒内含金创药和经验值奖励，右键点击打开。</t>
  </si>
  <si>
    <t>豪华贺礼，恭贺师父升级。&lt;br&gt;礼盒内含金创药和经验值奖励，右键点击打开。</t>
  </si>
  <si>
    <t>来自徒弟的贺信。&lt;br&gt;内含100道义书卷及金创药，右键点击打开。</t>
  </si>
  <si>
    <t>来自徒弟的贺礼。&lt;br&gt;内含200道义书卷及金创药，右键点击打开。</t>
  </si>
  <si>
    <t>来自徒弟的豪华贺礼。&lt;bra&gt;内含300道义书卷及金创药，右键点击打开。</t>
  </si>
  <si>
    <t>悬赏任务礼包，右键点击打开。</t>
  </si>
  <si>
    <t>内含大量经验值，右键点击打开。</t>
  </si>
  <si>
    <t>内含大量金币，右键点击打开。</t>
  </si>
  <si>
    <t>内含金币，小型药水包，右键点击打开。</t>
  </si>
  <si>
    <t>内含金币，中型药水包，八荒，右键点击打开。</t>
  </si>
  <si>
    <t>内含大量金币，超级药水包，重铠甲，珊瑚戒指，右键点击打开。</t>
  </si>
  <si>
    <t>内含大量金币，超级药水包，铭文石，炼狱，幽灵项链，右键点击打开。</t>
  </si>
  <si>
    <t>内含大量金币，超级药水包，铭文石，祝福油，力量戒指，骑士手镯，半月弯刀，右键点击打开。</t>
  </si>
  <si>
    <t>内含金币，中型药水包，海魂，右键点击打开。</t>
  </si>
  <si>
    <t>内含大量金币，超级药水包，魔法长袍，降妖除魔戒指，右键点击打开。</t>
  </si>
  <si>
    <t>内含大量金币，超级药水包，铭文石，魔杖，生命项链，右键点击打开。</t>
  </si>
  <si>
    <t>内含大量金币，超级药水包，铭文石，紫碧螺，龙之手镯，地狱雷光，右键点击打开。</t>
  </si>
  <si>
    <t>内含金币，中型药水包，半月，右键点击打开。</t>
  </si>
  <si>
    <t>内含大量金币，超级药水包，灵魂战衣，降妖除魔戒指，右键点击打开。</t>
  </si>
  <si>
    <t>内含大量金币，超级药水包，铭文石，银蛇，天珠项链，右键点击打开。</t>
  </si>
  <si>
    <t>内含大量金币，超级药水包，铭文石，泰坦戒指，三眼手镯，群体治愈术，右键点击打开。</t>
  </si>
  <si>
    <t>发放给公会成员的礼包，赠送金币、药水、铭文和一把武器。每人只能打开一次。</t>
  </si>
  <si>
    <t>发放给风云公会成员的礼包，赠送金币、药水。每人只能打开一次。</t>
  </si>
  <si>
    <t>发放给琅琊公会成员的礼包，赠送金币、药水。每人只能打开一次。</t>
  </si>
  <si>
    <t>赠送金币、大量药水。每人只能打开一次。</t>
  </si>
  <si>
    <t>金创药礼包，内含1个金创药(中)包，右键点击打开。</t>
  </si>
  <si>
    <t>披风礼包，内含龙之叹息，右键点击打开。</t>
  </si>
  <si>
    <t>太阳水礼包，内含1个太阳水包，右键点击打开。</t>
  </si>
  <si>
    <t>灵石礼包，内含本职业灵石，右键点击打开。</t>
  </si>
  <si>
    <t>铭文大礼包，内含本职业铭文5个，右键点击打开。</t>
  </si>
  <si>
    <t>黑铁大礼包，内含高纯度黑铁5个，右键点击打开。</t>
  </si>
  <si>
    <t>金币大礼包，内含大量金币，右键点击打开。</t>
  </si>
  <si>
    <t>饰品大礼包，内含特殊功能的装备(有概率获得多件)，右键点击打开。</t>
  </si>
  <si>
    <t>高阶技能礼包，内含本职业高级技能书(战士：烈火剑法；法师：魔法盾；道士：召唤神兽)，右键点击打开。</t>
  </si>
  <si>
    <t>超级金创药大礼包，内含5个超级金创药，右键点击打开。</t>
  </si>
  <si>
    <t>超级魔法药大礼包，内含5个超级魔法药，右键点击打开。</t>
  </si>
  <si>
    <t>强效太阳水大礼包，内含5个强效太阳水包，右键点击打开。</t>
  </si>
  <si>
    <t>内含3个祝福油，右键点击打开。</t>
  </si>
  <si>
    <t>媒体大礼包，内含大量金币、药水和稀有项链，右键点击打开。</t>
  </si>
  <si>
    <t>内含大量金币、药水和稀有项链，右键点击打开。</t>
  </si>
  <si>
    <t>公会大礼包，内含大量金币、药水，右键点击打开。</t>
  </si>
  <si>
    <t>内含感谢道具，右键点击打开。</t>
  </si>
  <si>
    <t>内含补偿道具，右键点击打开。</t>
  </si>
  <si>
    <t>内含大量药水，右键点击打开。</t>
  </si>
  <si>
    <t>内含强大的装备，右键点击打开。</t>
  </si>
  <si>
    <t>不知道里面放了些什么，右键点击打开。</t>
  </si>
  <si>
    <t>打开有惊喜，右键点击打开。</t>
  </si>
  <si>
    <t>你已集齐“我爱传奇永恒”六字，成功召唤神龙，因而获得这份豪礼！&lt;br&gt;内有稀有装备，右键点击打开。</t>
    <phoneticPr fontId="1" type="noConversion"/>
  </si>
  <si>
    <t>&lt;br&gt;&lt;font color='#43FF98'&gt;                          最大道术 1&lt;/font&gt;&lt;br&gt;&lt;br&gt;封印强大灵魂能量的红色灵石，可镶入装备的红色插槽中提升装备属性。&lt;br&gt;&lt;font color='#B2B2B2'&gt;      [找灵石镶嵌师进行灵石镶嵌]&lt;/font&gt;</t>
    <phoneticPr fontId="1" type="noConversion"/>
  </si>
  <si>
    <t>创建公会所必须的道具，得此物者可号令天下英豪。</t>
    <phoneticPr fontId="1" type="noConversion"/>
  </si>
  <si>
    <t>致谢礼包，感谢你回答调查问卷。&lt;br&gt;内有金币和药水，右键点击打开，每人限开一次。</t>
    <phoneticPr fontId="1" type="noConversion"/>
  </si>
  <si>
    <t>致谢礼包，感谢你回答调查问卷。&lt;br&gt;内有金币和药水，右键点击打开，每人限开一次。</t>
    <phoneticPr fontId="1" type="noConversion"/>
  </si>
  <si>
    <t>感谢你回答调查问卷。&lt;br&gt;礼包内有金币，右键点击打开，每人限开一次。</t>
    <phoneticPr fontId="1" type="noConversion"/>
  </si>
  <si>
    <t>恭喜徒弟升级。&lt;br&gt;师徒系统赠送的礼包，右键点击打开。</t>
  </si>
  <si>
    <t>由龙卫创制，巧夺天工，随身携带可将修行所得经验值吸入匣中。&lt;br&gt;右键点击空的龙卫灵匣挂载，存满的龙卫灵匣含有大量经验值，可供他人提取使用。</t>
    <phoneticPr fontId="1" type="noConversion"/>
  </si>
  <si>
    <t>简易的灵匣，随身携带可将修行所得经验值吸入匣中。&lt;br&gt;右键点击空的聚灵匣挂载，灵匣吸满经验值后，可供他人提取使用。</t>
    <phoneticPr fontId="1" type="noConversion"/>
  </si>
  <si>
    <t>攻击神水</t>
  </si>
  <si>
    <t>魔力神水</t>
  </si>
  <si>
    <t>精神神水</t>
  </si>
  <si>
    <t>极速神水</t>
  </si>
  <si>
    <t>体力强效神水</t>
  </si>
  <si>
    <t>魔力强效神水</t>
  </si>
  <si>
    <t>最大攻击提高5，持续180秒。</t>
    <phoneticPr fontId="1" type="noConversion"/>
  </si>
  <si>
    <t>最大魔法提高3，持续180秒。</t>
    <phoneticPr fontId="1" type="noConversion"/>
  </si>
  <si>
    <t>最大道术提高3，持续180秒。</t>
    <phoneticPr fontId="1" type="noConversion"/>
  </si>
  <si>
    <t>攻击速度提高1，持续180秒。</t>
    <phoneticPr fontId="1" type="noConversion"/>
  </si>
  <si>
    <t>最大体力值提高50，持续120秒。</t>
    <phoneticPr fontId="1" type="noConversion"/>
  </si>
  <si>
    <t>最大魔法值提高50，持续120秒。</t>
    <phoneticPr fontId="1" type="noConversion"/>
  </si>
  <si>
    <t>StaticMesh Dro_Scroll.Dro_Scroll2</t>
    <phoneticPr fontId="1" type="noConversion"/>
  </si>
  <si>
    <t>StaticMesh Dro_Rock2.Dro_Rock1</t>
    <phoneticPr fontId="1" type="noConversion"/>
  </si>
  <si>
    <t>StaticMesh Dro_Rock2.Dro_Rock3</t>
    <phoneticPr fontId="1" type="noConversion"/>
  </si>
  <si>
    <t>StaticMesh Dro_Rock2.Dro_Rock2</t>
    <phoneticPr fontId="1" type="noConversion"/>
  </si>
  <si>
    <t>StaticMesh Dro_Reel.Dro_Reel_01</t>
    <phoneticPr fontId="1" type="noConversion"/>
  </si>
  <si>
    <t>StaticMesh Dro_Reel.Dro_Reel_03</t>
    <phoneticPr fontId="1" type="noConversion"/>
  </si>
  <si>
    <t>StaticMesh Dro_Reel.Dro_Reel_02</t>
    <phoneticPr fontId="1" type="noConversion"/>
  </si>
  <si>
    <t>StaticMesh Dro_Reel.Dro_Reel_04</t>
    <phoneticPr fontId="1" type="noConversion"/>
  </si>
  <si>
    <t>StaticMesh Dro_Reel.Reel_002_all</t>
    <phoneticPr fontId="1" type="noConversion"/>
  </si>
  <si>
    <t>StaticMesh Dro_Reel.Reel_003_all</t>
    <phoneticPr fontId="1" type="noConversion"/>
  </si>
  <si>
    <t>StaticMesh Dro_Reel.Reel_004_all</t>
    <phoneticPr fontId="1" type="noConversion"/>
  </si>
  <si>
    <t>StaticMesh Dro_Reel.Reel_001_all</t>
    <phoneticPr fontId="1" type="noConversion"/>
  </si>
  <si>
    <t>赠送给师父的礼物，右键点击使用，获得1点名师值。</t>
    <phoneticPr fontId="1" type="noConversion"/>
  </si>
  <si>
    <t>赠送给师父的礼物，右键点击使用，获得80点名师值。</t>
    <phoneticPr fontId="1" type="noConversion"/>
  </si>
  <si>
    <t>&lt;br&gt;&lt;font color='#43FF98'&gt;                      体力值 5&lt;br&gt;&lt;br&gt;&lt;font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</si>
  <si>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体力值 10&lt;br&gt;&lt;br&gt;&lt;font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</si>
  <si>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体力值 15&lt;br&gt;&lt;br&gt;&lt;font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</si>
  <si>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体力值 20&lt;br&gt;&lt;br&gt;&lt;font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</si>
  <si>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体力值 25&lt;br&gt;&lt;br&gt;&lt;font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</si>
  <si>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体力值 30&lt;br&gt;&lt;br&gt;&lt;font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</si>
  <si>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体力值 35&lt;br&gt;&lt;br&gt;&lt;font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</si>
  <si>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体力值 40&lt;br&gt;&lt;br&gt;&lt;font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</si>
  <si>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体力值 45&lt;br&gt;&lt;br&gt;&lt;font color='#F2F2F2'&gt;封印强大灵魂能量的红色灵石，可镶入装备的红色插槽中提升装备属性。&lt;br&gt;&lt;font color='#B2B2B2'&gt;      [找灵石镶嵌师进行灵石镶嵌]</t>
  </si>
  <si>
    <t>&lt;br&gt;&lt;font color='#43FF98'&gt;                      体力值 50&lt;br&gt;&lt;br&gt;&lt;font color='#F2F2F2'&gt;封印强大灵魂能量的红色灵石，可镶入装备的红色插槽中提升装备属性。&lt;br&gt;&lt;font color='#B2B2B2'&gt;      [找灵石镶嵌师进行灵石镶嵌]</t>
  </si>
  <si>
    <t>随机传送石</t>
    <phoneticPr fontId="1" type="noConversion"/>
  </si>
  <si>
    <t>粗糙的矿石，可向杂货商人出售。&lt;br&gt;&lt;font color='#B2B2B2'&gt;      [亦可用开石刀进行提炼]</t>
  </si>
  <si>
    <t>可以把玩家传送到当前地图随机位置的神奇石头，但使用一定次数后会消失。</t>
    <phoneticPr fontId="1" type="noConversion"/>
  </si>
  <si>
    <t>Texture2D MMO_ItemIcon_Supplies.medicament.hcs_sj</t>
    <phoneticPr fontId="1" type="noConversion"/>
  </si>
  <si>
    <t>Texture2D MMO_ItemIcon_Supplies.medicament.ss_atk</t>
    <phoneticPr fontId="1" type="noConversion"/>
  </si>
  <si>
    <t>Texture3D MMO_ItemIcon_Supplies.medicament.ss_mag</t>
    <phoneticPr fontId="1" type="noConversion"/>
  </si>
  <si>
    <t>Texture4D MMO_ItemIcon_Supplies.medicament.ss_int</t>
    <phoneticPr fontId="1" type="noConversion"/>
  </si>
  <si>
    <t>Texture5D MMO_ItemIcon_Supplies.medicament.ss_agi</t>
    <phoneticPr fontId="1" type="noConversion"/>
  </si>
  <si>
    <t>Texture7D MMO_ItemIcon_Supplies.medicament.qxss_mag</t>
    <phoneticPr fontId="1" type="noConversion"/>
  </si>
  <si>
    <t>Texture6D MMO_ItemIcon_Supplies.medicament.qxss_vit</t>
    <phoneticPr fontId="1" type="noConversion"/>
  </si>
  <si>
    <t>StaticMesh Holywater.Dro_Holywater_01</t>
    <phoneticPr fontId="1" type="noConversion"/>
  </si>
  <si>
    <t>StaticMesh Holywater.Dro_Holywater_05</t>
    <phoneticPr fontId="1" type="noConversion"/>
  </si>
  <si>
    <t>StaticMesh Holywater.Dro_Holywater_03</t>
    <phoneticPr fontId="1" type="noConversion"/>
  </si>
  <si>
    <t>StaticMesh Holywater.Dro_Holywater_02</t>
    <phoneticPr fontId="1" type="noConversion"/>
  </si>
  <si>
    <t>StaticMesh Holywater.Dro_Holywater_04</t>
    <phoneticPr fontId="1" type="noConversion"/>
  </si>
  <si>
    <t>StaticMesh Holywater.Dro_Holywater_06</t>
    <phoneticPr fontId="1" type="noConversion"/>
  </si>
  <si>
    <t>StaticMesh backRock01.Dro_backRock03</t>
    <phoneticPr fontId="1" type="noConversion"/>
  </si>
  <si>
    <t>17173称号礼包</t>
    <phoneticPr fontId="1" type="noConversion"/>
  </si>
  <si>
    <t>AddTitle94</t>
    <phoneticPr fontId="1" type="noConversion"/>
  </si>
  <si>
    <t>AddTitle95</t>
    <phoneticPr fontId="1" type="noConversion"/>
  </si>
  <si>
    <t>修行不缀</t>
    <phoneticPr fontId="1" type="noConversion"/>
  </si>
  <si>
    <t>金创药礼包1</t>
    <phoneticPr fontId="1" type="noConversion"/>
  </si>
  <si>
    <t>金创药礼包2</t>
    <phoneticPr fontId="1" type="noConversion"/>
  </si>
  <si>
    <t>金创药礼包3</t>
  </si>
  <si>
    <t>金创药礼包9</t>
  </si>
  <si>
    <t>金创药礼包12</t>
  </si>
  <si>
    <t>金创药礼包14</t>
  </si>
  <si>
    <t>金创药礼包15</t>
  </si>
  <si>
    <t>金创药礼包16</t>
  </si>
  <si>
    <t>金创药礼包17</t>
  </si>
  <si>
    <t>金创药礼包18</t>
  </si>
  <si>
    <t>金创药礼包19</t>
  </si>
  <si>
    <t>金创药礼包20</t>
  </si>
  <si>
    <t>金创药礼包21</t>
  </si>
  <si>
    <t>金创药礼包23</t>
  </si>
  <si>
    <t>金创药礼包25</t>
  </si>
  <si>
    <t>金创药礼包26</t>
  </si>
  <si>
    <t>金创药礼包27</t>
  </si>
  <si>
    <t>QianDao1</t>
    <phoneticPr fontId="1" type="noConversion"/>
  </si>
  <si>
    <t>QianDao4</t>
  </si>
  <si>
    <t>QianDao5</t>
  </si>
  <si>
    <t>QianDao6</t>
  </si>
  <si>
    <t>QianDao7</t>
  </si>
  <si>
    <t>QianDao8</t>
  </si>
  <si>
    <t>QianDao10</t>
  </si>
  <si>
    <t>QianDao11</t>
  </si>
  <si>
    <t>QianDao13</t>
  </si>
  <si>
    <t>QianDao24</t>
  </si>
  <si>
    <t>金创药礼包，内含3个金创药(中量)包，右键点击打开。</t>
    <phoneticPr fontId="1" type="noConversion"/>
  </si>
  <si>
    <t>金创药礼包，内含3个魔法药(中量)包，右键点击打开。</t>
    <phoneticPr fontId="1" type="noConversion"/>
  </si>
  <si>
    <t>神秘礼包，有机会获得各种珍稀物品，右键点击打开。</t>
    <phoneticPr fontId="1" type="noConversion"/>
  </si>
  <si>
    <t>魔法药礼包4</t>
    <phoneticPr fontId="1" type="noConversion"/>
  </si>
  <si>
    <t>太阳水礼包6</t>
    <phoneticPr fontId="1" type="noConversion"/>
  </si>
  <si>
    <t>采矿礼包7</t>
    <phoneticPr fontId="1" type="noConversion"/>
  </si>
  <si>
    <t>太阳水礼包，内含3个太阳水包，右键点击打开。</t>
    <phoneticPr fontId="1" type="noConversion"/>
  </si>
  <si>
    <t>Texture2D MMO_ItemIcon_Supplies.gift03</t>
    <phoneticPr fontId="1" type="noConversion"/>
  </si>
  <si>
    <t>超级金创药礼包10</t>
    <phoneticPr fontId="1" type="noConversion"/>
  </si>
  <si>
    <t>超级金创药礼包，内含3个超级金创药，右键点击打开。</t>
    <phoneticPr fontId="1" type="noConversion"/>
  </si>
  <si>
    <t>超级魔法药礼包，内含3个超级魔法药，右键点击打开。</t>
    <phoneticPr fontId="1" type="noConversion"/>
  </si>
  <si>
    <t>神水礼包，内含1个体力强效神水，1个魔法强效神水，右键点击打开。</t>
    <phoneticPr fontId="1" type="noConversion"/>
  </si>
  <si>
    <t>采矿礼包，内含1个玄铁锄，1个开石刀，右键点击打开。</t>
    <phoneticPr fontId="1" type="noConversion"/>
  </si>
  <si>
    <t>黑铁礼包，内含5个高纯度的黑铁，右键点击打开。</t>
    <phoneticPr fontId="1" type="noConversion"/>
  </si>
  <si>
    <t>黑铁礼包24</t>
    <phoneticPr fontId="1" type="noConversion"/>
  </si>
  <si>
    <t>金创药礼包28</t>
    <phoneticPr fontId="1" type="noConversion"/>
  </si>
  <si>
    <t>使用后获得“修行不缀”称号</t>
    <phoneticPr fontId="1" type="noConversion"/>
  </si>
  <si>
    <t>使用后获得“17173”称号</t>
    <phoneticPr fontId="1" type="noConversion"/>
  </si>
  <si>
    <t>魔牙战麾·华美合成卷轴，右键点击可打开合成界面。</t>
    <phoneticPr fontId="1" type="noConversion"/>
  </si>
  <si>
    <t>魔牙战麾·耀眼卷轴</t>
    <phoneticPr fontId="1" type="noConversion"/>
  </si>
  <si>
    <t>魔牙战麾·耀眼合成卷轴，右键点击可打开合成界面。</t>
    <phoneticPr fontId="1" type="noConversion"/>
  </si>
  <si>
    <t>魔牙战麾·燃烧卷轴</t>
    <phoneticPr fontId="1" type="noConversion"/>
  </si>
  <si>
    <t>魔牙战麾·燃烧合成卷轴，右键点击可打开合成界面。</t>
    <phoneticPr fontId="1" type="noConversion"/>
  </si>
  <si>
    <t>魔法斗篷·华美卷轴</t>
    <phoneticPr fontId="1" type="noConversion"/>
  </si>
  <si>
    <t>魔法斗篷·华美合成卷轴，右键点击可打开合成界面。</t>
    <phoneticPr fontId="1" type="noConversion"/>
  </si>
  <si>
    <t>魔法斗篷·耀眼卷轴</t>
    <phoneticPr fontId="1" type="noConversion"/>
  </si>
  <si>
    <t>魔法斗篷·耀眼合成卷轴，右键点击可打开合成界面。</t>
    <phoneticPr fontId="1" type="noConversion"/>
  </si>
  <si>
    <t>魔法斗篷·燃烧卷轴</t>
    <phoneticPr fontId="1" type="noConversion"/>
  </si>
  <si>
    <t>魔法斗篷·燃烧合成卷轴，右键点击可打开合成界面。</t>
    <phoneticPr fontId="1" type="noConversion"/>
  </si>
  <si>
    <t>霜焰披风·华美卷轴</t>
    <phoneticPr fontId="1" type="noConversion"/>
  </si>
  <si>
    <t>霜焰披风·华美合成卷轴，右键点击可打开合成界面。</t>
    <phoneticPr fontId="1" type="noConversion"/>
  </si>
  <si>
    <t>霜焰披风·耀眼卷轴</t>
    <phoneticPr fontId="1" type="noConversion"/>
  </si>
  <si>
    <t>霜焰披风·耀眼合成卷轴，右键点击可打开合成界面。</t>
    <phoneticPr fontId="1" type="noConversion"/>
  </si>
  <si>
    <t>霜焰披风·燃烧卷轴</t>
    <phoneticPr fontId="1" type="noConversion"/>
  </si>
  <si>
    <t>霜焰披风·燃烧合成卷轴，右键点击可打开合成界面。</t>
    <phoneticPr fontId="1" type="noConversion"/>
  </si>
  <si>
    <t>铭文礼包22</t>
    <phoneticPr fontId="1" type="noConversion"/>
  </si>
  <si>
    <t>QianDao22</t>
    <phoneticPr fontId="1" type="noConversion"/>
  </si>
  <si>
    <t>铭文礼包，内含1个本职业适用的铭文石，右键点击打开。</t>
    <phoneticPr fontId="1" type="noConversion"/>
  </si>
  <si>
    <t>龙之叹息·耀眼卷轴</t>
    <phoneticPr fontId="1" type="noConversion"/>
  </si>
  <si>
    <t>龙之叹息·耀眼合成卷轴，右键点击可打开合成界面。</t>
    <phoneticPr fontId="1" type="noConversion"/>
  </si>
  <si>
    <t>QianDao50</t>
    <phoneticPr fontId="1" type="noConversion"/>
  </si>
  <si>
    <t>神秘礼包5</t>
    <phoneticPr fontId="1" type="noConversion"/>
  </si>
  <si>
    <t>神水礼包，内含1个本职业适用的神水，右键点击打开。</t>
    <phoneticPr fontId="1" type="noConversion"/>
  </si>
  <si>
    <t>DecPKValue200</t>
    <phoneticPr fontId="1" type="noConversion"/>
  </si>
  <si>
    <t>职业神水礼包8</t>
    <phoneticPr fontId="1" type="noConversion"/>
  </si>
  <si>
    <t>体魔神水礼包13</t>
    <phoneticPr fontId="1" type="noConversion"/>
  </si>
  <si>
    <t>金袋</t>
    <phoneticPr fontId="1" type="noConversion"/>
  </si>
  <si>
    <t>Texture2D MMO_ItemIcon_Supplies.Title_17173</t>
    <phoneticPr fontId="1" type="noConversion"/>
  </si>
  <si>
    <t>Texture2D MMO_ItemIcon_Supplies.title_xiuxing</t>
    <phoneticPr fontId="1" type="noConversion"/>
  </si>
  <si>
    <t>能降低200点PK值，右键点击使用。</t>
    <phoneticPr fontId="1" type="noConversion"/>
  </si>
  <si>
    <t>海魔符文</t>
    <phoneticPr fontId="1" type="noConversion"/>
  </si>
  <si>
    <t>冥海魔神用以布阵的符文石，可使人陷入幻境。</t>
    <phoneticPr fontId="1" type="noConversion"/>
  </si>
  <si>
    <t>使用后获得40点道义值。&lt;br&gt;道义值用于在师徒商店兑换道具。</t>
    <phoneticPr fontId="1" type="noConversion"/>
  </si>
  <si>
    <t>使用后获得70点道义值。&lt;br&gt;道义值用于在师徒商店兑换道具。</t>
    <phoneticPr fontId="1" type="noConversion"/>
  </si>
  <si>
    <t>使用后获得10点道义值。&lt;br&gt;道义值用于在师徒商店兑换道具。</t>
    <phoneticPr fontId="1" type="noConversion"/>
  </si>
  <si>
    <t>使用后获得140点道义值。&lt;br&gt;道义值用于在师徒商店兑换道具。</t>
    <phoneticPr fontId="1" type="noConversion"/>
  </si>
  <si>
    <t>使用后获得110点道义值。&lt;br&gt;道义值用于在师徒商店兑换道具。</t>
    <phoneticPr fontId="1" type="noConversion"/>
  </si>
  <si>
    <t>使用后获得200点道义值。&lt;br&gt;道义值用于在师徒商店兑换道具。</t>
    <phoneticPr fontId="1" type="noConversion"/>
  </si>
  <si>
    <t>使用后获得170点道义值。&lt;br&gt;道义值用于在师徒商店兑换道具。</t>
    <phoneticPr fontId="1" type="noConversion"/>
  </si>
  <si>
    <t>使用后获得290点道义值。&lt;br&gt;道义值用于在师徒商店兑换道具。</t>
    <phoneticPr fontId="1" type="noConversion"/>
  </si>
  <si>
    <t>万年雪霜</t>
    <phoneticPr fontId="1" type="noConversion"/>
  </si>
  <si>
    <t>立刻恢复100点体力，100点魔法。</t>
    <phoneticPr fontId="1" type="noConversion"/>
  </si>
  <si>
    <t>Texture2D MMO_ItemIcon_Supplies.medicament.wnxs</t>
    <phoneticPr fontId="1" type="noConversion"/>
  </si>
  <si>
    <t>StaticMesh ginseng.Dro_ginseng</t>
    <phoneticPr fontId="1" type="noConversion"/>
  </si>
  <si>
    <t>新鲜的肉块，可以卖给杂货店。</t>
    <phoneticPr fontId="1" type="noConversion"/>
  </si>
  <si>
    <t>&lt;br&gt;&lt;font color='#43FF98'&gt;                      体力值上限 5&lt;br&gt;&lt;br&gt;&lt;font color='#F2F2F2'&gt;封印强大灵魂能量的红色灵石，可镶入装备的红色插槽中提升装备属性。&lt;br&gt;&lt;font color='#B2B2B2'&gt;      [找灵石镶嵌师进行灵石镶嵌]</t>
    <phoneticPr fontId="1" type="noConversion"/>
  </si>
  <si>
    <t>&lt;br&gt;&lt;font color='#43FF98'&gt;                      最大魔法 4&lt;br&gt;&lt;br&gt;&lt;font color='#F2F2F2'&gt;封印强大灵魂能量的蓝色灵石，可镶入装备的蓝色插槽中提升装备属性。&lt;br&gt;&lt;font color='#B2B2B2'&gt;      [找灵石镶嵌师进行灵石镶嵌]</t>
    <phoneticPr fontId="1" type="noConversion"/>
  </si>
  <si>
    <t>&lt;br&gt;&lt;font color='#43FF98'&gt;                      最大魔法 5&lt;br&gt;&lt;br&gt;&lt;font color='#F2F2F2'&gt;封印强大灵魂能量的蓝色灵石，可镶入装备的蓝色插槽中提升装备属性。&lt;br&gt;&lt;font color='#B2B2B2'&gt;      [找灵石镶嵌师进行灵石镶嵌]</t>
    <phoneticPr fontId="1" type="noConversion"/>
  </si>
  <si>
    <t>&lt;br&gt;&lt;font color='#43FF98'&gt;                      最大魔法 6&lt;br&gt;&lt;br&gt;&lt;font color='#F2F2F2'&gt;封印强大灵魂能量的蓝色灵石，可镶入装备的蓝色插槽中提升装备属性。&lt;br&gt;&lt;font color='#B2B2B2'&gt;      [找灵石镶嵌师进行灵石镶嵌]</t>
    <phoneticPr fontId="1" type="noConversion"/>
  </si>
  <si>
    <t>&lt;br&gt;&lt;font color='#43FF98'&gt;                      最大魔法 7&lt;br&gt;&lt;br&gt;&lt;font color='#F2F2F2'&gt;封印强大灵魂能量的蓝色灵石，可镶入装备的蓝色插槽中提升装备属性。&lt;br&gt;&lt;font color='#B2B2B2'&gt;      [找灵石镶嵌师进行灵石镶嵌]</t>
    <phoneticPr fontId="1" type="noConversion"/>
  </si>
  <si>
    <t>&lt;br&gt;&lt;font color='#43FF98'&gt;                      最大魔法 8&lt;br&gt;&lt;br&gt;&lt;font color='#F2F2F2'&gt;封印强大灵魂能量的蓝色灵石，可镶入装备的蓝色插槽中提升装备属性。&lt;br&gt;&lt;font color='#B2B2B2'&gt;      [找灵石镶嵌师进行灵石镶嵌]</t>
    <phoneticPr fontId="1" type="noConversion"/>
  </si>
  <si>
    <t>&lt;br&gt;&lt;font color='#43FF98'&gt;                      最大魔法 9&lt;br&gt;&lt;br&gt;&lt;font color='#F2F2F2'&gt;封印强大灵魂能量的蓝色灵石，可镶入装备的蓝色插槽中提升装备属性。&lt;br&gt;&lt;font color='#B2B2B2'&gt;      [找灵石镶嵌师进行灵石镶嵌]</t>
    <phoneticPr fontId="1" type="noConversion"/>
  </si>
  <si>
    <t>&lt;br&gt;&lt;font color='#43FF98'&gt;                      最大魔法 10&lt;br&gt;&lt;br&gt;&lt;font color='#F2F2F2'&gt;封印强大灵魂能量的蓝色灵石，可镶入装备的蓝色插槽中提升装备属性。&lt;br&gt;&lt;font color='#B2B2B2'&gt;      [找灵石镶嵌师进行灵石镶嵌]</t>
    <phoneticPr fontId="1" type="noConversion"/>
  </si>
  <si>
    <t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t>
    <phoneticPr fontId="1" type="noConversion"/>
  </si>
  <si>
    <t>Texture2D MMO_ItemIcon_Supplies.item_134</t>
    <phoneticPr fontId="1" type="noConversion"/>
  </si>
  <si>
    <t>英雄礼包</t>
    <phoneticPr fontId="1" type="noConversion"/>
  </si>
  <si>
    <t>英雄礼包，内含一把本职业的高级武器（战士：裁决；法师：骨玉权杖；道士：龙纹剑），右键点击打开。</t>
    <phoneticPr fontId="1" type="noConversion"/>
  </si>
  <si>
    <t>YingXiongBSD</t>
    <phoneticPr fontId="1" type="noConversion"/>
  </si>
  <si>
    <t>StaticMesh Dro_fu.Dro_fu</t>
    <phoneticPr fontId="1" type="noConversion"/>
  </si>
  <si>
    <t>Texture2D MMO_ItemIcon_Supplies.yingxiongtie</t>
    <phoneticPr fontId="1" type="noConversion"/>
  </si>
  <si>
    <t>非常珍贵，勿丢弃。</t>
    <phoneticPr fontId="1" type="noConversion"/>
  </si>
  <si>
    <t>粗糙的矿石，可向杂货商人出售。&lt;br&gt;&lt;font color='#B2B2B2'&gt;      [亦可用开石刀进行提炼]</t>
    <phoneticPr fontId="1" type="noConversion"/>
  </si>
  <si>
    <t>用于武器升级的原料。</t>
    <phoneticPr fontId="1" type="noConversion"/>
  </si>
  <si>
    <t>魂石</t>
    <phoneticPr fontId="1" type="noConversion"/>
  </si>
  <si>
    <t>恶魔印记</t>
    <phoneticPr fontId="1" type="noConversion"/>
  </si>
  <si>
    <t>鱼人法器碎片</t>
    <phoneticPr fontId="1" type="noConversion"/>
  </si>
  <si>
    <t>海魔符文碎片</t>
    <phoneticPr fontId="1" type="noConversion"/>
  </si>
  <si>
    <t>魂石碎片</t>
    <phoneticPr fontId="1" type="noConversion"/>
  </si>
  <si>
    <t>恶魔印记碎片</t>
    <phoneticPr fontId="1" type="noConversion"/>
  </si>
  <si>
    <t>Texture2D MMO_ItemIcon_QuestItem.q_hssp</t>
    <phoneticPr fontId="1" type="noConversion"/>
  </si>
  <si>
    <t>Texture2D MMO_ItemIcon_QuestItem.q_emyj</t>
    <phoneticPr fontId="1" type="noConversion"/>
  </si>
  <si>
    <t>Texture2D MMO_ItemIcon_QuestItem.q_hs</t>
    <phoneticPr fontId="1" type="noConversion"/>
  </si>
  <si>
    <t>Texture2D MMO_ItemIcon_QuestItem.q_yrfqsp</t>
    <phoneticPr fontId="1" type="noConversion"/>
  </si>
  <si>
    <t>Texture2D MMO_ItemIcon_QuestItem.q_hmfwsp</t>
    <phoneticPr fontId="1" type="noConversion"/>
  </si>
  <si>
    <t>Texture2D MMO_ItemIcon_QuestItem.q_emyjsp</t>
    <phoneticPr fontId="1" type="noConversion"/>
  </si>
  <si>
    <t>冰寒刺骨的魔石，散发出一股神秘的力量。</t>
    <phoneticPr fontId="30" type="noConversion"/>
  </si>
  <si>
    <t>由大块魂石碎裂而成，据说聚合起来仍会成为一个整体。</t>
    <phoneticPr fontId="30" type="noConversion"/>
  </si>
  <si>
    <t>饱含恶魔之力的印记，散发着邪恶的诱惑之光。</t>
    <phoneticPr fontId="30" type="noConversion"/>
  </si>
  <si>
    <t>破碎的恶魔印记残片，据说聚合起来仍会成为一个整体。</t>
    <phoneticPr fontId="30" type="noConversion"/>
  </si>
  <si>
    <t>破碎的海魔符文残片，据说聚合起来仍会成为一个整体。</t>
    <phoneticPr fontId="30" type="noConversion"/>
  </si>
  <si>
    <t>破碎的鱼人法器残片，据说聚合起来仍会成为一个整体。</t>
    <phoneticPr fontId="30" type="noConversion"/>
  </si>
  <si>
    <t>StaticMesh HSsuipian.suipian_drop</t>
    <phoneticPr fontId="1" type="noConversion"/>
  </si>
  <si>
    <t>StaticMesh Fuwensuipian.fuwensuipian_drop</t>
    <phoneticPr fontId="1" type="noConversion"/>
  </si>
  <si>
    <t>StaticMesh RYfazhang.renyufazhang_drop</t>
    <phoneticPr fontId="1" type="noConversion"/>
  </si>
  <si>
    <t>StaticMesh Dro_Demon.Dro_Demon</t>
    <phoneticPr fontId="1" type="noConversion"/>
  </si>
  <si>
    <t>StaticMesh hunshi.hunshi_drop</t>
    <phoneticPr fontId="1" type="noConversion"/>
  </si>
  <si>
    <t>StaticMesh Dro_Demon.Dro_Demon2</t>
    <phoneticPr fontId="1" type="noConversion"/>
  </si>
  <si>
    <t>CanDecompose</t>
    <phoneticPr fontId="1" type="noConversion"/>
  </si>
  <si>
    <t>Both</t>
    <phoneticPr fontId="1" type="noConversion"/>
  </si>
  <si>
    <t>TradeNeedIntimacy</t>
    <phoneticPr fontId="1" type="noConversion"/>
  </si>
  <si>
    <t>技能书残卷</t>
    <phoneticPr fontId="1" type="noConversion"/>
  </si>
  <si>
    <t>Texture2D MMO_ItemIcon_Supplies.jinengshucanjuan</t>
    <phoneticPr fontId="1" type="noConversion"/>
  </si>
  <si>
    <t>StaticMesh Dro_Book.Dro_Book</t>
    <phoneticPr fontId="1" type="noConversion"/>
  </si>
  <si>
    <t>重著技能书所需的材料，可在比奇省小殊处进行技能书重著。</t>
    <phoneticPr fontId="1" type="noConversion"/>
  </si>
  <si>
    <t>新阳灵石1级</t>
  </si>
  <si>
    <t>新阳灵石2级</t>
  </si>
  <si>
    <t>新阳灵石3级</t>
  </si>
  <si>
    <t>新阳灵石4级</t>
  </si>
  <si>
    <t>新阳灵石5级</t>
  </si>
  <si>
    <t>新阳灵石6级</t>
  </si>
  <si>
    <t>新阳灵石7级</t>
  </si>
  <si>
    <t>新阳灵石8级</t>
  </si>
  <si>
    <t>新阳灵石9级</t>
  </si>
  <si>
    <t>新阳灵石10级</t>
  </si>
  <si>
    <t>守阳灵石1级</t>
  </si>
  <si>
    <t>守阳灵石2级</t>
  </si>
  <si>
    <t>守阳灵石3级</t>
  </si>
  <si>
    <t>守阳灵石4级</t>
  </si>
  <si>
    <t>守阳灵石5级</t>
  </si>
  <si>
    <t>守阳灵石6级</t>
  </si>
  <si>
    <t>守阳灵石7级</t>
  </si>
  <si>
    <t>守阳灵石8级</t>
  </si>
  <si>
    <t>守阳灵石9级</t>
  </si>
  <si>
    <t>守阳灵石10级</t>
  </si>
  <si>
    <t>StaticMesh Dro_Book2.Dro_Book2</t>
    <phoneticPr fontId="1" type="noConversion"/>
  </si>
  <si>
    <t>朴家书店老板珍贵藏书的一部分，被半兽人洗劫后下落不明，据说有些遗失在幽冥海中。</t>
    <phoneticPr fontId="1" type="noConversion"/>
  </si>
  <si>
    <t>Texture2D MMO_ItemIcon_Supplies.jinengshuye</t>
    <phoneticPr fontId="1" type="noConversion"/>
  </si>
  <si>
    <t>Both</t>
    <phoneticPr fontId="1" type="noConversion"/>
  </si>
  <si>
    <t>Both</t>
    <phoneticPr fontId="1" type="noConversion"/>
  </si>
  <si>
    <t>Both</t>
    <phoneticPr fontId="1" type="noConversion"/>
  </si>
  <si>
    <t>DropBroadcast</t>
    <phoneticPr fontId="1" type="noConversion"/>
  </si>
  <si>
    <t>Server</t>
    <phoneticPr fontId="1" type="noConversion"/>
  </si>
  <si>
    <t>lsybao</t>
    <phoneticPr fontId="1" type="noConversion"/>
  </si>
  <si>
    <t>疗伤药包</t>
    <phoneticPr fontId="1" type="noConversion"/>
  </si>
  <si>
    <t>沃玛令牌(大)</t>
    <phoneticPr fontId="1" type="noConversion"/>
  </si>
  <si>
    <t>沃玛令牌(小)</t>
    <phoneticPr fontId="1" type="noConversion"/>
  </si>
  <si>
    <t>持有令牌者能进入玛法大陆上最黑暗的领域。&lt;br&gt;在沃玛寺庙二层463,413处，可以寻找传送员提交令牌进入沃玛寺庙三层。&lt;br&gt;可传送整个队伍，由队长使用。</t>
    <phoneticPr fontId="1" type="noConversion"/>
  </si>
  <si>
    <t>Texture2D MMO_ItemIcon_Supplies.wmcsgr</t>
    <phoneticPr fontId="1" type="noConversion"/>
  </si>
  <si>
    <t>Texture2D MMO_ItemIcon_Supplies.wmcszd</t>
    <phoneticPr fontId="1" type="noConversion"/>
  </si>
  <si>
    <t>StaticMesh Dro_WomaLinpai01.Dro_WomaLinpai01</t>
    <phoneticPr fontId="1" type="noConversion"/>
  </si>
  <si>
    <t>StaticMesh Dro_WomaLinpai02.Dro_WomaLinpai02</t>
    <phoneticPr fontId="1" type="noConversion"/>
  </si>
  <si>
    <t>持有令牌者能进入玛法大陆上最黑暗的领域。&lt;br&gt;在沃玛寺庙二层463,413处，可以寻找传送员提交令牌进入沃玛寺庙三层。&lt;br&gt;仅限单人。</t>
    <phoneticPr fontId="1" type="noConversion"/>
  </si>
  <si>
    <t>AuctionFee2</t>
    <phoneticPr fontId="1" type="noConversion"/>
  </si>
  <si>
    <t>AuctionFee3</t>
    <phoneticPr fontId="1" type="noConversion"/>
  </si>
  <si>
    <t>wnxsbao</t>
    <phoneticPr fontId="1" type="noConversion"/>
  </si>
  <si>
    <t>Texture2D MMO_ItemIcon_Supplies.wnxsk</t>
    <phoneticPr fontId="1" type="noConversion"/>
  </si>
  <si>
    <t>StaticMesh ginseng.Dro_ginseng02</t>
    <phoneticPr fontId="1" type="noConversion"/>
  </si>
  <si>
    <t>StaticMesh lsy.Dro_lsy02</t>
    <phoneticPr fontId="1" type="noConversion"/>
  </si>
  <si>
    <t>Texture2D MMO_ItemIcon_Supplies.medicament.lsy1</t>
    <phoneticPr fontId="1" type="noConversion"/>
  </si>
  <si>
    <t>解开成为6个疗伤药。</t>
    <phoneticPr fontId="1" type="noConversion"/>
  </si>
  <si>
    <t>万年雪霜包</t>
    <phoneticPr fontId="1" type="noConversion"/>
  </si>
  <si>
    <t>解开成为6个万年雪霜。</t>
    <phoneticPr fontId="1" type="noConversion"/>
  </si>
  <si>
    <t>AuctionFee1</t>
    <phoneticPr fontId="1" type="noConversion"/>
  </si>
  <si>
    <t>AuctionFee</t>
    <phoneticPr fontId="1" type="noConversion"/>
  </si>
  <si>
    <t>草药</t>
    <phoneticPr fontId="1" type="noConversion"/>
  </si>
  <si>
    <t>恶魔之心</t>
    <phoneticPr fontId="1" type="noConversion"/>
  </si>
  <si>
    <t>Texture2D MMO_ItemIcon_QuestItem.Boss07</t>
    <phoneticPr fontId="1" type="noConversion"/>
  </si>
  <si>
    <t>StaticMesh DevilHeart.DevilHeart</t>
    <phoneticPr fontId="1" type="noConversion"/>
  </si>
  <si>
    <t>虽说即便摘下恶魔之心也难以将赤月恶魔彻底铲除，但起码可以阻止这只恶魔吞噬人类领地的脚步。&lt;br&gt;赤月恶魔掉落，可用来完成剧情任务《赤月恶魔（史诗）》，从而获得丰厚奖励。</t>
    <phoneticPr fontId="1" type="noConversion"/>
  </si>
  <si>
    <t>HaoJiao</t>
    <phoneticPr fontId="1" type="noConversion"/>
  </si>
  <si>
    <t>内含1个沃玛号角，右键点击打开。</t>
    <phoneticPr fontId="1" type="noConversion"/>
  </si>
  <si>
    <t>沃玛之盒</t>
    <phoneticPr fontId="1" type="noConversion"/>
  </si>
  <si>
    <t>战士中级技能书页</t>
  </si>
  <si>
    <t>法师中级技能书页</t>
  </si>
  <si>
    <t>道士中级技能书页</t>
  </si>
  <si>
    <t>初级技能书页</t>
    <phoneticPr fontId="1" type="noConversion"/>
  </si>
  <si>
    <t>Texture2D MMO_ItemIcon_Supplies.jinengshuyeZ1</t>
    <phoneticPr fontId="1" type="noConversion"/>
  </si>
  <si>
    <t>Texture2D MMO_ItemIcon_Supplies.jinengshuyeF1</t>
    <phoneticPr fontId="1" type="noConversion"/>
  </si>
  <si>
    <t>Texture2D MMO_ItemIcon_Supplies.jinengshuyeD1</t>
    <phoneticPr fontId="1" type="noConversion"/>
  </si>
  <si>
    <t>朴家书店老板珍贵藏书的一部分，被半兽人洗劫后下落不明，据说有些遗失在幽冥海中。</t>
    <phoneticPr fontId="1" type="noConversion"/>
  </si>
  <si>
    <t>佣兵礼包</t>
    <phoneticPr fontId="1" type="noConversion"/>
  </si>
  <si>
    <t>LimitDuration0</t>
    <phoneticPr fontId="1" type="noConversion"/>
  </si>
  <si>
    <t>LimitCount0</t>
    <phoneticPr fontId="1" type="noConversion"/>
  </si>
  <si>
    <t>LimitDuration1</t>
    <phoneticPr fontId="1" type="noConversion"/>
  </si>
  <si>
    <t>LimitCount1</t>
    <phoneticPr fontId="1" type="noConversion"/>
  </si>
  <si>
    <t>LimitDuration2</t>
    <phoneticPr fontId="1" type="noConversion"/>
  </si>
  <si>
    <t>LimitCount2</t>
    <phoneticPr fontId="1" type="noConversion"/>
  </si>
  <si>
    <t>佣兵灵匣</t>
    <phoneticPr fontId="1" type="noConversion"/>
  </si>
  <si>
    <t>能够吸纳并存放修行所得功力的灵物，由前往杀敌的佣兵携带，取回后便能轻松获取匣中经验值。&lt;br&gt;点击后获得10000经验。</t>
    <phoneticPr fontId="1" type="noConversion"/>
  </si>
  <si>
    <t>ServerStart</t>
    <phoneticPr fontId="1" type="noConversion"/>
  </si>
  <si>
    <t>服务器开服后多少时间内不掉落</t>
    <phoneticPr fontId="1" type="noConversion"/>
  </si>
  <si>
    <t>单位：小时</t>
    <phoneticPr fontId="1" type="noConversion"/>
  </si>
  <si>
    <t>LimitDuration0</t>
    <phoneticPr fontId="1" type="noConversion"/>
  </si>
  <si>
    <t>LimitCount0</t>
    <phoneticPr fontId="1" type="noConversion"/>
  </si>
  <si>
    <t>LimitDuration1</t>
    <phoneticPr fontId="1" type="noConversion"/>
  </si>
  <si>
    <t>LimitCount1</t>
    <phoneticPr fontId="1" type="noConversion"/>
  </si>
  <si>
    <t>LimitDuration2</t>
    <phoneticPr fontId="1" type="noConversion"/>
  </si>
  <si>
    <t>LimitCount2</t>
    <phoneticPr fontId="1" type="noConversion"/>
  </si>
  <si>
    <t>小怪掉落控制间隔</t>
    <phoneticPr fontId="1" type="noConversion"/>
  </si>
  <si>
    <t>BOSS掉落控制间隔</t>
    <phoneticPr fontId="1" type="noConversion"/>
  </si>
  <si>
    <t>赌博掉落控制间隔</t>
    <phoneticPr fontId="1" type="noConversion"/>
  </si>
  <si>
    <t>由小怪掉落的数量</t>
    <phoneticPr fontId="1" type="noConversion"/>
  </si>
  <si>
    <t>由BOSS掉落的数量</t>
    <phoneticPr fontId="1" type="noConversion"/>
  </si>
  <si>
    <t>由赌博掉落的数量</t>
    <phoneticPr fontId="1" type="noConversion"/>
  </si>
  <si>
    <t>支付宝礼包</t>
    <phoneticPr fontId="1" type="noConversion"/>
  </si>
  <si>
    <t>CJ活动礼包</t>
    <phoneticPr fontId="1" type="noConversion"/>
  </si>
  <si>
    <t>ZhiFuBao1</t>
    <phoneticPr fontId="1" type="noConversion"/>
  </si>
  <si>
    <t>CJHuoDong1</t>
    <phoneticPr fontId="1" type="noConversion"/>
  </si>
  <si>
    <t>Texture2D MMO_ItemIcon_Supplies.gift02</t>
    <phoneticPr fontId="1" type="noConversion"/>
  </si>
  <si>
    <t>赠送5个强效太阳水包。每人只能打开一次。</t>
    <phoneticPr fontId="1" type="noConversion"/>
  </si>
  <si>
    <t>前往杀敌的佣兵暂存所得财物的包裹。点击后有几率获得珍稀道具。</t>
    <phoneticPr fontId="1" type="noConversion"/>
  </si>
  <si>
    <t>赠送3个强效太阳水包，3个疗伤药。每人只能打开一次。</t>
    <phoneticPr fontId="1" type="noConversion"/>
  </si>
  <si>
    <t>ClearGambleCount</t>
    <phoneticPr fontId="1" type="noConversion"/>
  </si>
  <si>
    <t>Server</t>
    <phoneticPr fontId="1" type="noConversion"/>
  </si>
  <si>
    <t>烈火剑法残卷</t>
    <phoneticPr fontId="1" type="noConversion"/>
  </si>
  <si>
    <t>冰咆哮残卷</t>
    <phoneticPr fontId="1" type="noConversion"/>
  </si>
  <si>
    <t>召唤神兽残卷</t>
    <phoneticPr fontId="1" type="noConversion"/>
  </si>
  <si>
    <t>YongBingLiBao</t>
    <phoneticPr fontId="1" type="noConversion"/>
  </si>
  <si>
    <t>擂台小将</t>
    <phoneticPr fontId="1" type="noConversion"/>
  </si>
  <si>
    <t>擂台霸主</t>
    <phoneticPr fontId="1" type="noConversion"/>
  </si>
  <si>
    <t>使用后获得“擂台小将”称号</t>
    <phoneticPr fontId="1" type="noConversion"/>
  </si>
  <si>
    <t>AddTitle96</t>
    <phoneticPr fontId="1" type="noConversion"/>
  </si>
  <si>
    <t>AddTitle97</t>
    <phoneticPr fontId="1" type="noConversion"/>
  </si>
  <si>
    <t>使用后获得“擂台霸主”称号</t>
    <phoneticPr fontId="1" type="noConversion"/>
  </si>
  <si>
    <t>Texture2D MMO_ItemIcon_Supplies.title_bazhu</t>
    <phoneticPr fontId="1" type="noConversion"/>
  </si>
  <si>
    <t>Texture2D MMO_ItemIcon_Supplies.title_xiaojiang</t>
    <phoneticPr fontId="1" type="noConversion"/>
  </si>
  <si>
    <t>Texture2D MMO_ItemIcon_Supplies.Item_yongbinglingxia</t>
    <phoneticPr fontId="1" type="noConversion"/>
  </si>
  <si>
    <t>Texture2D MMO_ItemIcon_Supplies.gift04</t>
    <phoneticPr fontId="1" type="noConversion"/>
  </si>
  <si>
    <t>技能书烈火剑法的残本，无法直接学习，右键点击可打开合成界面。</t>
  </si>
  <si>
    <t>技能书冰咆哮的残本，无法直接学习，右键点击可打开合成界面。</t>
  </si>
  <si>
    <t>技能书召唤神兽的残本，无法直接学习，右键点击可打开合成界面。</t>
  </si>
  <si>
    <t>Texture2D MMO_ItemIcon_Supplies.jinengshuyeZ</t>
    <phoneticPr fontId="1" type="noConversion"/>
  </si>
  <si>
    <t>Texture2D MMO_ItemIcon_Supplies.jinengshuyeF</t>
    <phoneticPr fontId="1" type="noConversion"/>
  </si>
  <si>
    <t>Texture2D MMO_ItemIcon_Supplies.jinengshuyeD</t>
    <phoneticPr fontId="1" type="noConversion"/>
  </si>
  <si>
    <t>我1</t>
    <phoneticPr fontId="1" type="noConversion"/>
  </si>
  <si>
    <t>爱1</t>
    <phoneticPr fontId="1" type="noConversion"/>
  </si>
  <si>
    <t>传1</t>
    <phoneticPr fontId="1" type="noConversion"/>
  </si>
  <si>
    <t>奇1</t>
    <phoneticPr fontId="1" type="noConversion"/>
  </si>
  <si>
    <t>永1</t>
    <phoneticPr fontId="1" type="noConversion"/>
  </si>
  <si>
    <t>恒1</t>
    <phoneticPr fontId="1" type="noConversion"/>
  </si>
  <si>
    <t>集齐“我爱传奇永恒”6字，可以在活动大使处兑换稀有装备。</t>
    <phoneticPr fontId="1" type="noConversion"/>
  </si>
  <si>
    <t>恒</t>
    <phoneticPr fontId="1" type="noConversion"/>
  </si>
  <si>
    <t>传</t>
    <phoneticPr fontId="1" type="noConversion"/>
  </si>
  <si>
    <t>半兽人藏宝图</t>
    <phoneticPr fontId="1" type="noConversion"/>
  </si>
  <si>
    <t>Texture2D MMO_ItemIcon_Supplies.cbt0</t>
    <phoneticPr fontId="1" type="noConversion"/>
  </si>
  <si>
    <t>Texture2D MMO_ItemIcon_Supplies.cbt1</t>
    <phoneticPr fontId="1" type="noConversion"/>
  </si>
  <si>
    <t>Texture2D MMO_ItemIcon_Supplies.cbt2</t>
    <phoneticPr fontId="1" type="noConversion"/>
  </si>
  <si>
    <t>Texture2D MMO_ItemIcon_Supplies.cbt3</t>
    <phoneticPr fontId="1" type="noConversion"/>
  </si>
  <si>
    <t>Texture2D MMO_ItemIcon_Supplies.cbt4</t>
    <phoneticPr fontId="1" type="noConversion"/>
  </si>
  <si>
    <t>京东卡</t>
    <phoneticPr fontId="1" type="noConversion"/>
  </si>
  <si>
    <t>幽冥海入场券</t>
    <phoneticPr fontId="1" type="noConversion"/>
  </si>
  <si>
    <t>超级魔法药礼包11</t>
    <phoneticPr fontId="1" type="noConversion"/>
  </si>
  <si>
    <t>ZongZi</t>
    <phoneticPr fontId="1" type="noConversion"/>
  </si>
  <si>
    <t>玛法巅峰</t>
    <phoneticPr fontId="1" type="noConversion"/>
  </si>
  <si>
    <t>使用后获得“玛法巅峰”称号</t>
    <phoneticPr fontId="1" type="noConversion"/>
  </si>
  <si>
    <t>StaticMesh TreasureMap.TreasureMap_Piece</t>
    <phoneticPr fontId="1" type="noConversion"/>
  </si>
  <si>
    <t>StaticMesh TreasureMap.TreasureMap</t>
    <phoneticPr fontId="1" type="noConversion"/>
  </si>
  <si>
    <t>StaticMesh JDcard.Jdcard</t>
    <phoneticPr fontId="1" type="noConversion"/>
  </si>
  <si>
    <t>Texture2D MMO_ItemIcon_Supplies.jingdongka</t>
    <phoneticPr fontId="1" type="noConversion"/>
  </si>
  <si>
    <t>我爱传奇永恒礼包1</t>
    <phoneticPr fontId="1" type="noConversion"/>
  </si>
  <si>
    <t>公会扶持礼包1</t>
    <phoneticPr fontId="1" type="noConversion"/>
  </si>
  <si>
    <t>公会扶持礼包</t>
    <phoneticPr fontId="1" type="noConversion"/>
  </si>
  <si>
    <t>属地升级礼包</t>
    <phoneticPr fontId="1" type="noConversion"/>
  </si>
  <si>
    <t>AddTitle98</t>
    <phoneticPr fontId="1" type="noConversion"/>
  </si>
  <si>
    <t>GongHuiFuChi</t>
    <phoneticPr fontId="1" type="noConversion"/>
  </si>
  <si>
    <t>ShuDiShengJi</t>
    <phoneticPr fontId="1" type="noConversion"/>
  </si>
  <si>
    <t>Texture2D MMO_ItemIcon_Supplies.gift02</t>
    <phoneticPr fontId="1" type="noConversion"/>
  </si>
  <si>
    <t>内含大量药水和珍贵道具。每个账号限制领取一次。</t>
    <phoneticPr fontId="1" type="noConversion"/>
  </si>
  <si>
    <t>内含大量公会物资。每个账号限制领取一次。</t>
    <phoneticPr fontId="1" type="noConversion"/>
  </si>
  <si>
    <t>Texture2D MMO_ItemIcon_Supplies.jz_ymh</t>
    <phoneticPr fontId="1" type="noConversion"/>
  </si>
  <si>
    <t>StaticMesh YMHScroll.YMH_Scroll</t>
    <phoneticPr fontId="1" type="noConversion"/>
  </si>
  <si>
    <t>StaticMesh Dro_Zongzi.Dro_Zongzi</t>
    <phoneticPr fontId="1" type="noConversion"/>
  </si>
  <si>
    <t>YongBingLingXia</t>
    <phoneticPr fontId="1" type="noConversion"/>
  </si>
  <si>
    <t>TradeOverWeight</t>
    <phoneticPr fontId="1" type="noConversion"/>
  </si>
  <si>
    <t>Texture2D MMO_ItemIcon_Supplies.title_dianfeng</t>
    <phoneticPr fontId="1" type="noConversion"/>
  </si>
  <si>
    <t>周边礼包凭证</t>
    <phoneticPr fontId="1" type="noConversion"/>
  </si>
  <si>
    <t>半兽人宝藏残片(沃玛)</t>
    <phoneticPr fontId="1" type="noConversion"/>
  </si>
  <si>
    <t>半兽人宝藏残片(峡谷)</t>
    <phoneticPr fontId="1" type="noConversion"/>
  </si>
  <si>
    <t>半兽人宝藏残片(石墓)</t>
    <phoneticPr fontId="1" type="noConversion"/>
  </si>
  <si>
    <t>半兽人宝藏残片(祖玛)</t>
    <phoneticPr fontId="1" type="noConversion"/>
  </si>
  <si>
    <t>大灰狼的粽子</t>
    <phoneticPr fontId="1" type="noConversion"/>
  </si>
  <si>
    <t>端午佳节将至，灰狼君特献粽子礼盒，请君细细品尝之余，还有惊喜相随哟。</t>
    <phoneticPr fontId="1" type="noConversion"/>
  </si>
  <si>
    <t>Texture2D MMO_ItemIcon_Supplies.zongzi</t>
    <phoneticPr fontId="1" type="noConversion"/>
  </si>
  <si>
    <t>Texture2D MMO_ItemIcon_Supplies.item_shubiao</t>
    <phoneticPr fontId="1" type="noConversion"/>
  </si>
  <si>
    <t>集齐“传奇永恒”四个字，可以在龙卫接引人处兑换奖励。</t>
    <phoneticPr fontId="1" type="noConversion"/>
  </si>
  <si>
    <t>orc_treasure</t>
    <phoneticPr fontId="1" type="noConversion"/>
  </si>
  <si>
    <t>ymh1_teleport</t>
    <phoneticPr fontId="1" type="noConversion"/>
  </si>
  <si>
    <t>散落在沃玛寺庙深处。集齐四种不同残片后，前往比奇城安全区“先民后裔”处，可合成完整的半兽人宝藏图。</t>
    <phoneticPr fontId="1" type="noConversion"/>
  </si>
  <si>
    <t>被藏匿在死亡峡谷禁地。集齐四种不同残片后，前往比奇城安全区“先民后裔”处，可合成完整的半兽人宝藏图。</t>
    <phoneticPr fontId="1" type="noConversion"/>
  </si>
  <si>
    <t>被置于终日幽暗的石墓之中。集齐四种不同残片后，前往比奇城安全区“先民后裔”处，可合成完整的半兽人宝藏图。</t>
    <phoneticPr fontId="1" type="noConversion"/>
  </si>
  <si>
    <t>尘封于祖玛寺庙险地。集齐四种不同残片后，前往比奇城安全区“先民后裔”处，可合成完整的半兽人宝藏图。</t>
    <phoneticPr fontId="1" type="noConversion"/>
  </si>
  <si>
    <t>半兽人宝藏中竟然出现了京东卡！难道穿越了？请将此物上交至比奇城安全区“先民后裔”处，活动结束后将由工作人员统一发放奖励。</t>
    <phoneticPr fontId="1" type="noConversion"/>
  </si>
  <si>
    <t>玛法英雄的标配：传奇永恒超大鼠标垫+手机壳。请将此物上交至比奇城安全区“先民后裔”处，活动结束后将由工作人员统一发放奖励。</t>
    <phoneticPr fontId="1" type="noConversion"/>
  </si>
  <si>
    <t>半兽人统领为藏匿暴敛之财所制，请前往指定的地点挖宝。&lt;br&gt;玛法语录:莫大机缘将与危险同在。</t>
    <phoneticPr fontId="1" type="noConversion"/>
  </si>
  <si>
    <t>赤月恶魔经验包</t>
    <phoneticPr fontId="1" type="noConversion"/>
  </si>
  <si>
    <t>赤月恶魔金币包</t>
    <phoneticPr fontId="1" type="noConversion"/>
  </si>
  <si>
    <t>MFCSJingYan9</t>
    <phoneticPr fontId="1" type="noConversion"/>
  </si>
  <si>
    <t>MFCSJinBi9</t>
    <phoneticPr fontId="1" type="noConversion"/>
  </si>
  <si>
    <t>苍月锦</t>
    <phoneticPr fontId="1" type="noConversion"/>
  </si>
  <si>
    <t>棉线</t>
    <phoneticPr fontId="1" type="noConversion"/>
  </si>
  <si>
    <t>银杏绸</t>
    <phoneticPr fontId="1" type="noConversion"/>
  </si>
  <si>
    <t>Texture2D MMO_ItemIcon_Supplies.item_mianxian</t>
    <phoneticPr fontId="1" type="noConversion"/>
  </si>
  <si>
    <t>StaticMesh Dro_Xianquan03.Dro_Xianquan03</t>
    <phoneticPr fontId="1" type="noConversion"/>
  </si>
  <si>
    <t>StaticMesh Dro_Xianquan02.Dro_Xianquan02</t>
    <phoneticPr fontId="1" type="noConversion"/>
  </si>
  <si>
    <t>StaticMesh Dro_Xianquan01.Dro_Xianquan01</t>
    <phoneticPr fontId="1" type="noConversion"/>
  </si>
  <si>
    <t>Resource</t>
    <phoneticPr fontId="1" type="noConversion"/>
  </si>
  <si>
    <t>Both</t>
    <phoneticPr fontId="1" type="noConversion"/>
  </si>
  <si>
    <t>金创药(小)包1</t>
    <phoneticPr fontId="1" type="noConversion"/>
  </si>
  <si>
    <t>金创药(中)包1</t>
    <phoneticPr fontId="1" type="noConversion"/>
  </si>
  <si>
    <t>超级金创药1</t>
    <phoneticPr fontId="1" type="noConversion"/>
  </si>
  <si>
    <t>魔法药(小)包1</t>
    <phoneticPr fontId="1" type="noConversion"/>
  </si>
  <si>
    <t>魔法药(中)包1</t>
    <phoneticPr fontId="1" type="noConversion"/>
  </si>
  <si>
    <t>超级魔法药1</t>
    <phoneticPr fontId="1" type="noConversion"/>
  </si>
  <si>
    <t>太阳水包1</t>
    <phoneticPr fontId="1" type="noConversion"/>
  </si>
  <si>
    <t>强效太阳水包1</t>
    <phoneticPr fontId="1" type="noConversion"/>
  </si>
  <si>
    <t>疗伤药包1</t>
    <phoneticPr fontId="1" type="noConversion"/>
  </si>
  <si>
    <t>万年雪霜包1</t>
    <phoneticPr fontId="1" type="noConversion"/>
  </si>
  <si>
    <t>jcybao6</t>
    <phoneticPr fontId="1" type="noConversion"/>
  </si>
  <si>
    <t>jcybao7</t>
    <phoneticPr fontId="1" type="noConversion"/>
  </si>
  <si>
    <t>jcybao8</t>
    <phoneticPr fontId="1" type="noConversion"/>
  </si>
  <si>
    <t>mfybao6</t>
    <phoneticPr fontId="1" type="noConversion"/>
  </si>
  <si>
    <t>mfybao7</t>
    <phoneticPr fontId="1" type="noConversion"/>
  </si>
  <si>
    <t>mfybao8</t>
    <phoneticPr fontId="1" type="noConversion"/>
  </si>
  <si>
    <t>tysbao6</t>
    <phoneticPr fontId="1" type="noConversion"/>
  </si>
  <si>
    <t>tysbao7</t>
    <phoneticPr fontId="1" type="noConversion"/>
  </si>
  <si>
    <t>lsybao2</t>
    <phoneticPr fontId="1" type="noConversion"/>
  </si>
  <si>
    <t>wnxsbao2</t>
    <phoneticPr fontId="1" type="noConversion"/>
  </si>
  <si>
    <t>HuoYue1</t>
    <phoneticPr fontId="1" type="noConversion"/>
  </si>
  <si>
    <t>HuoYue2</t>
    <phoneticPr fontId="1" type="noConversion"/>
  </si>
  <si>
    <t>HuoYue3</t>
    <phoneticPr fontId="1" type="noConversion"/>
  </si>
  <si>
    <t>HuoYue4</t>
    <phoneticPr fontId="1" type="noConversion"/>
  </si>
  <si>
    <t>HuoYue5</t>
    <phoneticPr fontId="1" type="noConversion"/>
  </si>
  <si>
    <t>高级装备碎片</t>
    <phoneticPr fontId="1" type="noConversion"/>
  </si>
  <si>
    <t>内含一些金币，右键点击打开。</t>
    <phoneticPr fontId="1" type="noConversion"/>
  </si>
  <si>
    <t>Texture2D MMO_ItemIcon_Supplies.item_138</t>
    <phoneticPr fontId="1" type="noConversion"/>
  </si>
  <si>
    <t>Texture2D MMO_ItemIcon_Supplies.Item_187</t>
    <phoneticPr fontId="1" type="noConversion"/>
  </si>
  <si>
    <t>Texture2D MMO_ItemIcon_Supplies.Item_188</t>
    <phoneticPr fontId="1" type="noConversion"/>
  </si>
  <si>
    <t>Texture2D MMO_ItemIcon_Supplies.Item_188</t>
    <phoneticPr fontId="1" type="noConversion"/>
  </si>
  <si>
    <t>Texture2D MMO_ItemIcon_Supplies.Item_189</t>
    <phoneticPr fontId="1" type="noConversion"/>
  </si>
  <si>
    <t>内含1个太阳水包，1个点金锄，右键点击打开。</t>
    <phoneticPr fontId="1" type="noConversion"/>
  </si>
  <si>
    <t>媒体大礼包，内含大量金币、药水和稀有项链，右键点击打开。</t>
    <phoneticPr fontId="1" type="noConversion"/>
  </si>
  <si>
    <t>内含随机一件沃玛饰品，右键点击打开。</t>
    <phoneticPr fontId="1" type="noConversion"/>
  </si>
  <si>
    <t>14YingXiongTie</t>
    <phoneticPr fontId="1" type="noConversion"/>
  </si>
  <si>
    <t>英雄帖礼包</t>
    <phoneticPr fontId="1" type="noConversion"/>
  </si>
  <si>
    <t>英雄帖1</t>
    <phoneticPr fontId="1" type="noConversion"/>
  </si>
  <si>
    <t>英雄帖2</t>
    <phoneticPr fontId="1" type="noConversion"/>
  </si>
  <si>
    <t>StaticMesh Dro_fu.Dro_fu</t>
    <phoneticPr fontId="1" type="noConversion"/>
  </si>
  <si>
    <t>荣归大礼包</t>
    <phoneticPr fontId="1" type="noConversion"/>
  </si>
  <si>
    <t>内含一整套高级装备，玛法故人称号，经验加成状态，右键点击打开。</t>
    <phoneticPr fontId="1" type="noConversion"/>
  </si>
  <si>
    <t>RongGui1</t>
    <phoneticPr fontId="1" type="noConversion"/>
  </si>
  <si>
    <t>酬勤礼盒1</t>
  </si>
  <si>
    <t>酬勤礼盒2</t>
  </si>
  <si>
    <t>精进礼盒1</t>
  </si>
  <si>
    <t>精进礼盒2</t>
  </si>
  <si>
    <t>龙卫礼盒1</t>
  </si>
  <si>
    <t>《庆赤月，喜从天降》活动专属凭证。集齐14张，可在荣归特使处兑换沃玛饰品。</t>
    <phoneticPr fontId="1" type="noConversion"/>
  </si>
  <si>
    <t>173特权公测礼包</t>
    <phoneticPr fontId="1" type="noConversion"/>
  </si>
  <si>
    <t>173专属公测礼包</t>
    <phoneticPr fontId="1" type="noConversion"/>
  </si>
  <si>
    <t>173ZSGC</t>
    <phoneticPr fontId="1" type="noConversion"/>
  </si>
  <si>
    <t>多玩公测礼包</t>
    <phoneticPr fontId="1" type="noConversion"/>
  </si>
  <si>
    <t>新浪公测礼包</t>
    <phoneticPr fontId="1" type="noConversion"/>
  </si>
  <si>
    <t>媒体公测礼包</t>
    <phoneticPr fontId="1" type="noConversion"/>
  </si>
  <si>
    <t>公会至尊礼包</t>
    <phoneticPr fontId="1" type="noConversion"/>
  </si>
  <si>
    <t>公会典藏礼包</t>
    <phoneticPr fontId="1" type="noConversion"/>
  </si>
  <si>
    <t>173TQGC</t>
    <phoneticPr fontId="1" type="noConversion"/>
  </si>
  <si>
    <t>DuoWanGC</t>
    <phoneticPr fontId="1" type="noConversion"/>
  </si>
  <si>
    <t>XinLangGC</t>
    <phoneticPr fontId="1" type="noConversion"/>
  </si>
  <si>
    <t>MeiTiGC</t>
    <phoneticPr fontId="1" type="noConversion"/>
  </si>
  <si>
    <t>GongHuiZhiZun</t>
    <phoneticPr fontId="1" type="noConversion"/>
  </si>
  <si>
    <t>GongHuiDianCang</t>
    <phoneticPr fontId="1" type="noConversion"/>
  </si>
  <si>
    <t>Texture2D MMO_ItemIcon_Supplies.gift01</t>
    <phoneticPr fontId="1" type="noConversion"/>
  </si>
  <si>
    <t>Texture2D MMO_ItemIcon_Supplies.gift01</t>
    <phoneticPr fontId="1" type="noConversion"/>
  </si>
  <si>
    <t>Texture2D MMO_ItemIcon_Supplies.gift02</t>
    <phoneticPr fontId="1" type="noConversion"/>
  </si>
  <si>
    <t>Texture2D MMO_ItemIcon_Supplies.gift02</t>
    <phoneticPr fontId="1" type="noConversion"/>
  </si>
  <si>
    <t>内含大量药水和稀有装备，右键点击打开。</t>
    <phoneticPr fontId="1" type="noConversion"/>
  </si>
  <si>
    <t>内含大量药水和稀有装备，右键点击打开。</t>
    <phoneticPr fontId="1" type="noConversion"/>
  </si>
  <si>
    <t>内含大量药水，多种传送石，右键点击打开。</t>
    <phoneticPr fontId="1" type="noConversion"/>
  </si>
  <si>
    <t>内含大量药水，比奇传送石，右键点击打开。</t>
    <phoneticPr fontId="1" type="noConversion"/>
  </si>
  <si>
    <t>内含大量药水，多种传送石，多种珍稀物品，更有酷炫的称号哟，右键点击打开。</t>
    <phoneticPr fontId="1" type="noConversion"/>
  </si>
  <si>
    <t>Texture2D MMO_ItemIcon_Supplies.med_plant11</t>
    <phoneticPr fontId="1" type="noConversion"/>
  </si>
  <si>
    <t>Texture2D MMO_ItemIcon_Supplies.item_equipdebris2</t>
    <phoneticPr fontId="1" type="noConversion"/>
  </si>
  <si>
    <t>StaticMesh Dro_ZhuangBei.Dro_ZhuangBei</t>
    <phoneticPr fontId="1" type="noConversion"/>
  </si>
  <si>
    <t>StaticMesh Dro_herb.Dro_herb</t>
    <phoneticPr fontId="1" type="noConversion"/>
  </si>
  <si>
    <t>炼药所需的材料，可在比奇省常百草处进行炼药。</t>
    <phoneticPr fontId="1" type="noConversion"/>
  </si>
  <si>
    <t>公测特权礼包</t>
    <phoneticPr fontId="1" type="noConversion"/>
  </si>
  <si>
    <t>内含玛法勇士称号，右键单击打开。</t>
    <phoneticPr fontId="1" type="noConversion"/>
  </si>
  <si>
    <t>AddTitle106</t>
    <phoneticPr fontId="1" type="noConversion"/>
  </si>
  <si>
    <t>传永礼包</t>
    <phoneticPr fontId="1" type="noConversion"/>
  </si>
  <si>
    <t>内含大量药水，右键点击打开。</t>
    <phoneticPr fontId="1" type="noConversion"/>
  </si>
  <si>
    <t>ChuanYong</t>
    <phoneticPr fontId="1" type="noConversion"/>
  </si>
  <si>
    <t>请携带此神奇卷轴，前往至盟重码头处附近寻找神秘法师对话，可以传送入幽冥海一层。</t>
    <phoneticPr fontId="1" type="noConversion"/>
  </si>
  <si>
    <t>擂台积分</t>
    <phoneticPr fontId="1" type="noConversion"/>
  </si>
  <si>
    <t>声威值</t>
    <phoneticPr fontId="1" type="noConversion"/>
  </si>
  <si>
    <t>Texture2D MMO_ItemIcon_Supplies.Item_190</t>
    <phoneticPr fontId="1" type="noConversion"/>
  </si>
  <si>
    <t>Texture2D MMO_ItemIcon_Supplies.Item_191</t>
    <phoneticPr fontId="1" type="noConversion"/>
  </si>
  <si>
    <t>金创药(小量)1</t>
    <phoneticPr fontId="1" type="noConversion"/>
  </si>
  <si>
    <t>金创药(中量)1</t>
    <phoneticPr fontId="1" type="noConversion"/>
  </si>
  <si>
    <t>强效金创药1</t>
    <phoneticPr fontId="1" type="noConversion"/>
  </si>
  <si>
    <t>太阳水1</t>
    <phoneticPr fontId="1" type="noConversion"/>
  </si>
  <si>
    <t>强效太阳水1</t>
    <phoneticPr fontId="1" type="noConversion"/>
  </si>
  <si>
    <t>疗伤药1</t>
    <phoneticPr fontId="1" type="noConversion"/>
  </si>
  <si>
    <t>万年雪霜1</t>
    <phoneticPr fontId="1" type="noConversion"/>
  </si>
  <si>
    <t>魔法药(小量)1</t>
    <phoneticPr fontId="1" type="noConversion"/>
  </si>
  <si>
    <t>魔法药(中量)1</t>
    <phoneticPr fontId="1" type="noConversion"/>
  </si>
  <si>
    <t>强效魔法药1</t>
    <phoneticPr fontId="1" type="noConversion"/>
  </si>
  <si>
    <t>财源滚滚礼包</t>
    <phoneticPr fontId="1" type="noConversion"/>
  </si>
  <si>
    <t>老大礼包</t>
    <phoneticPr fontId="1" type="noConversion"/>
  </si>
  <si>
    <t>天龙项链礼包</t>
    <phoneticPr fontId="1" type="noConversion"/>
  </si>
  <si>
    <t>CaiYuanGunGun</t>
    <phoneticPr fontId="1" type="noConversion"/>
  </si>
  <si>
    <t>TianLongXiangLian</t>
    <phoneticPr fontId="1" type="noConversion"/>
  </si>
  <si>
    <t>LaoDaJieZhi</t>
    <phoneticPr fontId="1" type="noConversion"/>
  </si>
  <si>
    <t>HuaTuoZaiShi</t>
    <phoneticPr fontId="1" type="noConversion"/>
  </si>
  <si>
    <t>华佗在世包</t>
    <phoneticPr fontId="1" type="noConversion"/>
  </si>
  <si>
    <t>内含1个疗伤药包，1个强效太阳水包，右键点击打开。</t>
    <phoneticPr fontId="1" type="noConversion"/>
  </si>
  <si>
    <t>内含1个老大戒指，右键点击打开。</t>
    <phoneticPr fontId="1" type="noConversion"/>
  </si>
  <si>
    <t>内含1个天龙项链，右键点击打开。</t>
    <phoneticPr fontId="1" type="noConversion"/>
  </si>
  <si>
    <t>内含88万金币，右键点击打开。</t>
    <phoneticPr fontId="1" type="noConversion"/>
  </si>
  <si>
    <t>布鞋卷轴</t>
    <phoneticPr fontId="1" type="noConversion"/>
  </si>
  <si>
    <t>鹿皮靴卷轴</t>
    <phoneticPr fontId="1" type="noConversion"/>
  </si>
  <si>
    <t>兽皮腰带卷轴</t>
    <phoneticPr fontId="1" type="noConversion"/>
  </si>
  <si>
    <t>铁腰带卷轴</t>
    <phoneticPr fontId="1" type="noConversion"/>
  </si>
  <si>
    <t>粗铁护肩卷轴</t>
    <phoneticPr fontId="1" type="noConversion"/>
  </si>
  <si>
    <t>布鞋合成卷轴，右键点击可打开合成界面。</t>
    <phoneticPr fontId="1" type="noConversion"/>
  </si>
  <si>
    <t>鹿皮靴合成卷轴，右键点击可打开合成界面。</t>
    <phoneticPr fontId="1" type="noConversion"/>
  </si>
  <si>
    <t>兽皮腰带合成卷轴，右键点击可打开合成界面。</t>
    <phoneticPr fontId="1" type="noConversion"/>
  </si>
  <si>
    <t>铁腰带合成卷轴，右键点击可打开合成界面。</t>
    <phoneticPr fontId="1" type="noConversion"/>
  </si>
  <si>
    <t>粗麻护肩合成卷轴，右键点击可打开合成界面。</t>
    <phoneticPr fontId="1" type="noConversion"/>
  </si>
  <si>
    <t>粗铁护肩合成卷轴，右键点击可打开合成界面。</t>
    <phoneticPr fontId="1" type="noConversion"/>
  </si>
  <si>
    <t>兽皮</t>
    <phoneticPr fontId="1" type="noConversion"/>
  </si>
  <si>
    <t>合成鞋子所需的材料。</t>
    <phoneticPr fontId="1" type="noConversion"/>
  </si>
  <si>
    <t>合成腰带所需的材料。</t>
    <phoneticPr fontId="1" type="noConversion"/>
  </si>
  <si>
    <t>粗革护肩卷轴</t>
    <phoneticPr fontId="1" type="noConversion"/>
  </si>
  <si>
    <t>Texture2D MMO_ItemIcon_Supplies.item_pi01</t>
    <phoneticPr fontId="1" type="noConversion"/>
  </si>
  <si>
    <t>StaticMesh Dro_Pi_01.Dro_Pi_01</t>
    <phoneticPr fontId="1" type="noConversion"/>
  </si>
  <si>
    <t>麻布</t>
    <phoneticPr fontId="1" type="noConversion"/>
  </si>
  <si>
    <t>备用</t>
    <phoneticPr fontId="1" type="noConversion"/>
  </si>
  <si>
    <t>Texture2D MMO_ItemIcon_Supplies.item_mabu01</t>
    <phoneticPr fontId="1" type="noConversion"/>
  </si>
  <si>
    <t>StaticMesh Dro_Bu_01.Dro_Bu_01</t>
    <phoneticPr fontId="1" type="noConversion"/>
  </si>
  <si>
    <t>内含1个强效太阳水包，1个点金锄，并有概率获得装备材料，右键点击打开。</t>
    <phoneticPr fontId="1" type="noConversion"/>
  </si>
  <si>
    <t>内含1个强效太阳水包，并有概率获得铭文石、祝福油、装备材料，右键点击打开。</t>
    <phoneticPr fontId="1" type="noConversion"/>
  </si>
  <si>
    <t>祖玛令牌(小)</t>
    <phoneticPr fontId="1" type="noConversion"/>
  </si>
  <si>
    <t>祖玛令牌(大)</t>
    <phoneticPr fontId="1" type="noConversion"/>
  </si>
  <si>
    <t>持有令牌者能进入玛法大陆上最黑暗的领域。&lt;br&gt;在祖玛寺庙五层290,371处，可以寻找传送员提交令牌进入祖玛寺庙大厅。&lt;br&gt;仅限单人。</t>
    <phoneticPr fontId="1" type="noConversion"/>
  </si>
  <si>
    <t>持有令牌者能进入玛法大陆上最黑暗的领域。&lt;br&gt;在祖玛寺庙五层290,371处，可以寻找传送员提交令牌进入祖玛寺庙大厅。&lt;br&gt;可传送整个队伍，由队长使用。</t>
    <phoneticPr fontId="1" type="noConversion"/>
  </si>
  <si>
    <t>Texture2D MMO_ItemIcon_Supplies.cslp_zm</t>
    <phoneticPr fontId="1" type="noConversion"/>
  </si>
  <si>
    <t>Texture2D MMO_ItemIcon_Supplies.cslp_zmd</t>
    <phoneticPr fontId="1" type="noConversion"/>
  </si>
  <si>
    <t>StaticMesh Dro_ZomaLinpai01.Dro_ZomaLinpai01</t>
    <phoneticPr fontId="1" type="noConversion"/>
  </si>
  <si>
    <t>StaticMesh Dro_ZomaLinpai01.Dro_ZomaLinpai02</t>
    <phoneticPr fontId="1" type="noConversion"/>
  </si>
  <si>
    <t>未知道具</t>
    <phoneticPr fontId="1" type="noConversion"/>
  </si>
  <si>
    <t>ItemPack2</t>
    <phoneticPr fontId="1" type="noConversion"/>
  </si>
  <si>
    <t>ItemPack</t>
    <phoneticPr fontId="1" type="noConversion"/>
  </si>
  <si>
    <t>赤月令牌(小)</t>
    <phoneticPr fontId="1" type="noConversion"/>
  </si>
  <si>
    <t>赤月令牌(大)</t>
    <phoneticPr fontId="1" type="noConversion"/>
  </si>
  <si>
    <t>StaticMesh Dro_ChiyueLinpai01.Dro_Chi1</t>
    <phoneticPr fontId="1" type="noConversion"/>
  </si>
  <si>
    <t>StaticMesh Dro_ChiyueLinpai01.Dro_Chi2</t>
    <phoneticPr fontId="1" type="noConversion"/>
  </si>
  <si>
    <t>Texture2D MMO_ItemIcon_Supplies.cslp_cy</t>
    <phoneticPr fontId="1" type="noConversion"/>
  </si>
  <si>
    <t>Texture2D MMO_ItemIcon_Supplies.cslp_cyd</t>
    <phoneticPr fontId="1" type="noConversion"/>
  </si>
  <si>
    <t>持有令牌者能进入玛法大陆上最黑暗的领域。&lt;br&gt;在山谷密道入口附近，可以寻找传送员提交令牌进入。&lt;br&gt;仅限单人。</t>
    <phoneticPr fontId="1" type="noConversion"/>
  </si>
  <si>
    <t>持有令牌者能进入玛法大陆上最黑暗的领域。&lt;br&gt;在山谷密道入口附近，可以寻找传送员提交令牌进入。&lt;br&gt;可传送整个队伍，由队长使用。</t>
    <phoneticPr fontId="1" type="noConversion"/>
  </si>
  <si>
    <t>内含烈火剑法残卷、冰咆哮残卷、召唤神兽残卷的其中一张，右键点击打开。</t>
    <phoneticPr fontId="1" type="noConversion"/>
  </si>
  <si>
    <t>CanJuanHe</t>
    <phoneticPr fontId="1" type="noConversion"/>
  </si>
  <si>
    <t>重铸装备所需的材料，可在比奇省金家铁匠处进行装备重铸。&lt;br&gt;可右键点击，合成为高级装备碎片。</t>
    <phoneticPr fontId="1" type="noConversion"/>
  </si>
  <si>
    <t>重铸高级装备所需的材料，可在比奇省金家铁匠处进行装备重铸。&lt;br&gt;可通过装备碎片合成而得。</t>
    <phoneticPr fontId="1" type="noConversion"/>
  </si>
  <si>
    <t>残卷盒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</si>
</sst>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2" tint="-0.249977111117893"/>
      <name val="宋体"/>
      <family val="2"/>
      <charset val="134"/>
      <scheme val="minor"/>
    </font>
    <font>
      <sz val="11"/>
      <color theme="2" tint="-0.24997711111789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2" tint="-0.249977111117893"/>
      <name val="宋体"/>
      <family val="2"/>
      <charset val="134"/>
      <scheme val="minor"/>
    </font>
    <font>
      <sz val="11"/>
      <color rgb="FF00B050"/>
      <name val="宋体"/>
      <family val="2"/>
      <charset val="134"/>
      <scheme val="minor"/>
    </font>
    <font>
      <sz val="11"/>
      <color rgb="FF00B050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theme="0" tint="-0.249977111117893"/>
      <name val="宋体"/>
      <family val="2"/>
      <charset val="134"/>
      <scheme val="minor"/>
    </font>
    <font>
      <sz val="11"/>
      <color theme="0" tint="-0.249977111117893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0" tint="-0.34998626667073579"/>
      <name val="宋体"/>
      <family val="2"/>
      <charset val="134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0" tint="-0.14999847407452621"/>
      <name val="宋体"/>
      <family val="2"/>
      <charset val="134"/>
      <scheme val="minor"/>
    </font>
    <font>
      <sz val="11"/>
      <color theme="0" tint="-0.1499984740745262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06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>
      <alignment vertical="center"/>
    </xf>
    <xf numFmtId="0" fontId="0" fillId="0" borderId="0" xfId="0">
      <alignment vertical="center"/>
    </xf>
    <xf numFmtId="0" fontId="19" fillId="0" borderId="0" xfId="70" applyAlignment="1">
      <alignment vertical="center"/>
    </xf>
    <xf numFmtId="0" fontId="2" fillId="0" borderId="0" xfId="103" applyAlignment="1">
      <alignment horizontal="left" vertical="center"/>
    </xf>
    <xf numFmtId="0" fontId="19" fillId="0" borderId="0" xfId="70"/>
    <xf numFmtId="0" fontId="19" fillId="0" borderId="0" xfId="70"/>
    <xf numFmtId="0" fontId="19" fillId="0" borderId="0" xfId="70"/>
    <xf numFmtId="0" fontId="0" fillId="0" borderId="0" xfId="0" applyFill="1" applyBorder="1">
      <alignment vertical="center"/>
    </xf>
    <xf numFmtId="0" fontId="0" fillId="0" borderId="0" xfId="0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0" fillId="0" borderId="0" xfId="0" applyFont="1">
      <alignment vertical="center"/>
    </xf>
    <xf numFmtId="0" fontId="22" fillId="0" borderId="0" xfId="0" applyFont="1">
      <alignment vertical="center"/>
    </xf>
    <xf numFmtId="49" fontId="23" fillId="0" borderId="10" xfId="45" applyNumberFormat="1" applyFont="1" applyFill="1" applyBorder="1">
      <alignment vertical="center"/>
    </xf>
    <xf numFmtId="0" fontId="21" fillId="0" borderId="0" xfId="70" applyFont="1"/>
    <xf numFmtId="0" fontId="21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0" fillId="0" borderId="0" xfId="0" applyAlignment="1">
      <alignment vertical="center" wrapText="1"/>
    </xf>
    <xf numFmtId="0" fontId="20" fillId="0" borderId="0" xfId="0" applyFont="1" applyFill="1" applyBorder="1">
      <alignment vertical="center"/>
    </xf>
    <xf numFmtId="0" fontId="20" fillId="2" borderId="0" xfId="0" applyFont="1" applyFill="1">
      <alignment vertical="center"/>
    </xf>
    <xf numFmtId="0" fontId="26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28" fillId="2" borderId="0" xfId="0" applyFont="1" applyFill="1">
      <alignment vertical="center"/>
    </xf>
    <xf numFmtId="0" fontId="24" fillId="2" borderId="0" xfId="0" applyFont="1" applyFill="1">
      <alignment vertical="center"/>
    </xf>
    <xf numFmtId="0" fontId="27" fillId="2" borderId="0" xfId="0" applyFont="1" applyFill="1">
      <alignment vertical="center"/>
    </xf>
    <xf numFmtId="0" fontId="26" fillId="0" borderId="0" xfId="0" applyFont="1" applyAlignment="1">
      <alignment vertical="center" wrapText="1"/>
    </xf>
    <xf numFmtId="0" fontId="27" fillId="2" borderId="0" xfId="70" applyFont="1" applyFill="1"/>
    <xf numFmtId="0" fontId="31" fillId="0" borderId="0" xfId="0" applyFont="1">
      <alignment vertical="center"/>
    </xf>
    <xf numFmtId="0" fontId="32" fillId="2" borderId="0" xfId="0" applyFont="1" applyFill="1">
      <alignment vertical="center"/>
    </xf>
    <xf numFmtId="0" fontId="33" fillId="0" borderId="0" xfId="0" applyFont="1">
      <alignment vertical="center"/>
    </xf>
    <xf numFmtId="0" fontId="34" fillId="2" borderId="0" xfId="0" applyFont="1" applyFill="1">
      <alignment vertical="center"/>
    </xf>
    <xf numFmtId="0" fontId="33" fillId="2" borderId="0" xfId="0" applyFont="1" applyFill="1">
      <alignment vertical="center"/>
    </xf>
    <xf numFmtId="0" fontId="0" fillId="0" borderId="0" xfId="0" applyFill="1">
      <alignment vertical="center"/>
    </xf>
    <xf numFmtId="0" fontId="20" fillId="0" borderId="0" xfId="0" applyFont="1" applyFill="1">
      <alignment vertical="center"/>
    </xf>
    <xf numFmtId="0" fontId="21" fillId="0" borderId="0" xfId="0" applyFont="1" applyFill="1">
      <alignment vertical="center"/>
    </xf>
    <xf numFmtId="0" fontId="27" fillId="2" borderId="0" xfId="0" applyFont="1" applyFill="1" applyAlignment="1"/>
    <xf numFmtId="0" fontId="0" fillId="2" borderId="0" xfId="0" applyFill="1" applyAlignment="1"/>
    <xf numFmtId="0" fontId="19" fillId="0" borderId="0" xfId="70" applyAlignment="1">
      <alignment horizontal="center" vertical="center"/>
    </xf>
    <xf numFmtId="0" fontId="0" fillId="0" borderId="0" xfId="0" applyAlignment="1">
      <alignment horizontal="center" vertical="center"/>
    </xf>
  </cellXfs>
  <cellStyles count="106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70"/>
    <cellStyle name="常规 11" xfId="71"/>
    <cellStyle name="常规 12" xfId="72"/>
    <cellStyle name="常规 13" xfId="73"/>
    <cellStyle name="常规 14" xfId="74"/>
    <cellStyle name="常规 15" xfId="75"/>
    <cellStyle name="常规 16" xfId="76"/>
    <cellStyle name="常规 17" xfId="77"/>
    <cellStyle name="常规 18" xfId="78"/>
    <cellStyle name="常规 19" xfId="79"/>
    <cellStyle name="常规 2" xfId="102"/>
    <cellStyle name="常规 2 2" xfId="45"/>
    <cellStyle name="常规 2 2 2" xfId="42"/>
    <cellStyle name="常规 2 2 2 2" xfId="53"/>
    <cellStyle name="常规 2 2 2 2 2" xfId="50"/>
    <cellStyle name="常规 2 2 2 3" xfId="51"/>
    <cellStyle name="常规 2 2 3" xfId="59"/>
    <cellStyle name="常规 2 3" xfId="43"/>
    <cellStyle name="常规 2 4" xfId="44"/>
    <cellStyle name="常规 2 5" xfId="46"/>
    <cellStyle name="常规 2 5 2" xfId="54"/>
    <cellStyle name="常规 2 5 3" xfId="60"/>
    <cellStyle name="常规 2 6" xfId="47"/>
    <cellStyle name="常规 2 6 2" xfId="55"/>
    <cellStyle name="常规 2 6 3" xfId="61"/>
    <cellStyle name="常规 20" xfId="80"/>
    <cellStyle name="常规 21" xfId="81"/>
    <cellStyle name="常规 22" xfId="86"/>
    <cellStyle name="常规 23" xfId="87"/>
    <cellStyle name="常规 24" xfId="92"/>
    <cellStyle name="常规 25" xfId="97"/>
    <cellStyle name="常规 26" xfId="105"/>
    <cellStyle name="常规 3" xfId="48"/>
    <cellStyle name="常规 3 2" xfId="56"/>
    <cellStyle name="常规 3 3" xfId="62"/>
    <cellStyle name="常规 3 4" xfId="65"/>
    <cellStyle name="常规 3 5" xfId="82"/>
    <cellStyle name="常规 3 6" xfId="91"/>
    <cellStyle name="常规 3 7" xfId="96"/>
    <cellStyle name="常规 3 8" xfId="101"/>
    <cellStyle name="常规 4" xfId="49"/>
    <cellStyle name="常规 4 2" xfId="57"/>
    <cellStyle name="常规 4 3" xfId="63"/>
    <cellStyle name="常规 4 4" xfId="66"/>
    <cellStyle name="常规 4 5" xfId="83"/>
    <cellStyle name="常规 4 6" xfId="90"/>
    <cellStyle name="常规 4 7" xfId="95"/>
    <cellStyle name="常规 4 8" xfId="100"/>
    <cellStyle name="常规 5" xfId="103"/>
    <cellStyle name="常规 6" xfId="52"/>
    <cellStyle name="常规 7" xfId="58"/>
    <cellStyle name="常规 7 2" xfId="67"/>
    <cellStyle name="常规 7 3" xfId="84"/>
    <cellStyle name="常规 7 4" xfId="89"/>
    <cellStyle name="常规 7 5" xfId="94"/>
    <cellStyle name="常规 7 6" xfId="99"/>
    <cellStyle name="常规 8" xfId="64"/>
    <cellStyle name="常规 8 2" xfId="68"/>
    <cellStyle name="常规 8 3" xfId="85"/>
    <cellStyle name="常规 8 4" xfId="88"/>
    <cellStyle name="常规 8 5" xfId="93"/>
    <cellStyle name="常规 8 6" xfId="98"/>
    <cellStyle name="常规 9" xfId="69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10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1143000</xdr:colOff>
      <xdr:row>32</xdr:row>
      <xdr:rowOff>76200</xdr:rowOff>
    </xdr:from>
    <xdr:to>
      <xdr:col>5</xdr:col>
      <xdr:colOff>123825</xdr:colOff>
      <xdr:row>41</xdr:row>
      <xdr:rowOff>95250</xdr:rowOff>
    </xdr:to>
    <xdr:cxnSp macro="">
      <xdr:nvCxnSpPr>
        <xdr:cNvPr id="3" name="直接箭头连接符 2"/>
        <xdr:cNvCxnSpPr/>
      </xdr:nvCxnSpPr>
      <xdr:spPr>
        <a:xfrm flipV="1">
          <a:off x="4210050" y="5562600"/>
          <a:ext cx="3924300" cy="1562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M988"/>
  <sheetViews>
    <sheetView tabSelected="1" zoomScaleNormal="100" workbookViewId="0">
      <pane xSplit="2" ySplit="3" topLeftCell="AI413" activePane="bottomRight" state="frozen"/>
      <selection pane="topRight" activeCell="C1" sqref="C1"/>
      <selection pane="bottomLeft" activeCell="A4" sqref="A4"/>
      <selection pane="bottomRight" activeCell="AP430" sqref="AP430"/>
    </sheetView>
  </sheetViews>
  <sheetFormatPr defaultRowHeight="13.5"/>
  <cols>
    <col min="1" max="1" width="9.5" bestFit="1" customWidth="1"/>
    <col min="2" max="2" width="22" customWidth="1"/>
    <col min="3" max="3" width="20.5" bestFit="1" customWidth="1"/>
    <col min="4" max="4" width="34" customWidth="1"/>
    <col min="5" max="5" width="9.25" customWidth="1"/>
    <col min="6" max="6" width="23.625" customWidth="1"/>
    <col min="7" max="7" width="12" customWidth="1"/>
    <col min="12" max="12" width="16.875" customWidth="1"/>
    <col min="13" max="13" width="9" customWidth="1"/>
    <col min="14" max="14" width="9" style="7" customWidth="1"/>
    <col min="15" max="20" width="9" customWidth="1"/>
    <col min="21" max="21" width="13.875" style="7" bestFit="1" customWidth="1"/>
    <col min="22" max="23" width="9" customWidth="1"/>
    <col min="24" max="24" width="40.375" style="6" customWidth="1"/>
    <col min="25" max="25" width="57.125" customWidth="1"/>
    <col min="26" max="26" width="63.75" customWidth="1"/>
    <col min="27" max="27" width="38.125" customWidth="1"/>
    <col min="28" max="34" width="9" customWidth="1"/>
    <col min="35" max="35" width="15" bestFit="1" customWidth="1"/>
    <col min="36" max="36" width="11.625" bestFit="1" customWidth="1"/>
    <col min="37" max="37" width="15" style="7" bestFit="1" customWidth="1"/>
    <col min="38" max="38" width="11.625" style="7" bestFit="1" customWidth="1"/>
    <col min="39" max="39" width="15" style="7" bestFit="1" customWidth="1"/>
    <col min="40" max="40" width="11.625" style="7" bestFit="1" customWidth="1"/>
    <col min="41" max="41" width="11.625" style="7" customWidth="1"/>
    <col min="42" max="42" width="9" customWidth="1"/>
    <col min="43" max="43" width="9" style="7" customWidth="1"/>
    <col min="44" max="44" width="9" customWidth="1"/>
    <col min="45" max="45" width="9" style="7" customWidth="1"/>
    <col min="46" max="47" width="9" customWidth="1"/>
    <col min="48" max="48" width="9" style="7" customWidth="1"/>
    <col min="49" max="49" width="8.5" bestFit="1" customWidth="1"/>
    <col min="50" max="50" width="11.625" style="7" bestFit="1" customWidth="1"/>
    <col min="51" max="51" width="12.75" bestFit="1" customWidth="1"/>
    <col min="52" max="53" width="12.75" style="7" bestFit="1" customWidth="1"/>
    <col min="54" max="54" width="12.75" bestFit="1" customWidth="1"/>
    <col min="55" max="55" width="16.125" bestFit="1" customWidth="1"/>
    <col min="56" max="56" width="21.375" customWidth="1"/>
    <col min="59" max="60" width="9" style="7"/>
    <col min="62" max="62" width="9" style="7"/>
  </cols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7" t="s">
        <v>1258</v>
      </c>
      <c r="O1" t="s">
        <v>423</v>
      </c>
      <c r="P1" t="s">
        <v>424</v>
      </c>
      <c r="Q1" t="s">
        <v>425</v>
      </c>
      <c r="R1" t="s">
        <v>13</v>
      </c>
      <c r="S1" t="s">
        <v>15</v>
      </c>
      <c r="T1" t="s">
        <v>16</v>
      </c>
      <c r="U1" s="7" t="s">
        <v>3111</v>
      </c>
      <c r="V1" t="s">
        <v>426</v>
      </c>
      <c r="W1" t="s">
        <v>18</v>
      </c>
      <c r="X1" s="6" t="s">
        <v>19</v>
      </c>
      <c r="Y1" t="s">
        <v>20</v>
      </c>
      <c r="Z1" t="s">
        <v>21</v>
      </c>
      <c r="AA1" t="s">
        <v>23</v>
      </c>
      <c r="AB1" t="s">
        <v>1329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s="7" t="s">
        <v>3185</v>
      </c>
      <c r="AJ1" s="7" t="s">
        <v>3186</v>
      </c>
      <c r="AK1" s="7" t="s">
        <v>3187</v>
      </c>
      <c r="AL1" s="7" t="s">
        <v>3188</v>
      </c>
      <c r="AM1" s="7" t="s">
        <v>3189</v>
      </c>
      <c r="AN1" s="7" t="s">
        <v>3190</v>
      </c>
      <c r="AO1" s="7" t="s">
        <v>2304</v>
      </c>
      <c r="AP1" t="s">
        <v>33</v>
      </c>
      <c r="AQ1" s="7" t="s">
        <v>1632</v>
      </c>
      <c r="AR1" t="s">
        <v>427</v>
      </c>
      <c r="AS1" s="7" t="s">
        <v>3144</v>
      </c>
      <c r="AT1" t="s">
        <v>428</v>
      </c>
      <c r="AU1" t="s">
        <v>529</v>
      </c>
      <c r="AV1" s="7" t="s">
        <v>1270</v>
      </c>
      <c r="AW1" t="s">
        <v>1340</v>
      </c>
      <c r="AX1" s="7" t="s">
        <v>3167</v>
      </c>
      <c r="AY1" s="7" t="s">
        <v>3166</v>
      </c>
      <c r="AZ1" s="7" t="s">
        <v>3156</v>
      </c>
      <c r="BA1" s="7" t="s">
        <v>3157</v>
      </c>
      <c r="BB1" t="s">
        <v>1341</v>
      </c>
      <c r="BC1" t="s">
        <v>431</v>
      </c>
      <c r="BD1" t="s">
        <v>432</v>
      </c>
      <c r="BE1" s="7" t="s">
        <v>960</v>
      </c>
      <c r="BF1" s="7" t="s">
        <v>1980</v>
      </c>
      <c r="BG1" s="7" t="s">
        <v>2302</v>
      </c>
      <c r="BH1" s="7" t="s">
        <v>3113</v>
      </c>
      <c r="BI1" t="s">
        <v>3454</v>
      </c>
      <c r="BJ1" s="7" t="s">
        <v>3453</v>
      </c>
      <c r="BK1" s="7" t="s">
        <v>3216</v>
      </c>
      <c r="BL1" t="s">
        <v>3277</v>
      </c>
      <c r="BM1" s="7" t="s">
        <v>3309</v>
      </c>
    </row>
    <row r="2" spans="1:65">
      <c r="A2" t="s">
        <v>530</v>
      </c>
      <c r="B2" t="s">
        <v>530</v>
      </c>
      <c r="C2" t="s">
        <v>530</v>
      </c>
      <c r="D2" t="s">
        <v>530</v>
      </c>
      <c r="E2" t="s">
        <v>530</v>
      </c>
      <c r="F2" t="s">
        <v>530</v>
      </c>
      <c r="G2" t="s">
        <v>530</v>
      </c>
      <c r="H2" t="s">
        <v>531</v>
      </c>
      <c r="I2" t="s">
        <v>531</v>
      </c>
      <c r="J2" t="s">
        <v>530</v>
      </c>
      <c r="K2" t="s">
        <v>530</v>
      </c>
      <c r="L2" t="s">
        <v>530</v>
      </c>
      <c r="M2" t="s">
        <v>530</v>
      </c>
      <c r="N2" s="7" t="s">
        <v>1259</v>
      </c>
      <c r="O2" t="s">
        <v>530</v>
      </c>
      <c r="P2" t="s">
        <v>530</v>
      </c>
      <c r="Q2" t="s">
        <v>530</v>
      </c>
      <c r="R2" t="s">
        <v>530</v>
      </c>
      <c r="S2" t="s">
        <v>530</v>
      </c>
      <c r="T2" t="s">
        <v>532</v>
      </c>
      <c r="U2" s="7" t="s">
        <v>3112</v>
      </c>
      <c r="V2" t="s">
        <v>3141</v>
      </c>
      <c r="W2" t="s">
        <v>532</v>
      </c>
      <c r="X2" s="6" t="s">
        <v>3142</v>
      </c>
      <c r="Y2" t="s">
        <v>531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530</v>
      </c>
      <c r="AF2" t="s">
        <v>530</v>
      </c>
      <c r="AG2" t="s">
        <v>531</v>
      </c>
      <c r="AH2" t="s">
        <v>531</v>
      </c>
      <c r="AI2" t="s">
        <v>532</v>
      </c>
      <c r="AJ2" t="s">
        <v>532</v>
      </c>
      <c r="AK2" s="7" t="s">
        <v>532</v>
      </c>
      <c r="AL2" s="7" t="s">
        <v>532</v>
      </c>
      <c r="AM2" s="7" t="s">
        <v>532</v>
      </c>
      <c r="AN2" s="7" t="s">
        <v>532</v>
      </c>
      <c r="AO2" s="7" t="s">
        <v>2305</v>
      </c>
      <c r="AP2" t="s">
        <v>532</v>
      </c>
      <c r="AQ2" s="7" t="s">
        <v>1633</v>
      </c>
      <c r="AR2" s="7" t="s">
        <v>530</v>
      </c>
      <c r="AS2" s="7" t="s">
        <v>3145</v>
      </c>
      <c r="AT2" t="s">
        <v>532</v>
      </c>
      <c r="AU2" t="s">
        <v>532</v>
      </c>
      <c r="AV2" s="7" t="s">
        <v>1271</v>
      </c>
      <c r="AW2" t="s">
        <v>530</v>
      </c>
      <c r="AY2" t="s">
        <v>530</v>
      </c>
      <c r="AZ2" s="7" t="s">
        <v>530</v>
      </c>
      <c r="BA2" s="7" t="s">
        <v>530</v>
      </c>
      <c r="BB2" t="s">
        <v>530</v>
      </c>
      <c r="BC2" t="s">
        <v>530</v>
      </c>
      <c r="BD2" t="s">
        <v>530</v>
      </c>
      <c r="BE2" s="7" t="s">
        <v>961</v>
      </c>
      <c r="BF2" s="7" t="s">
        <v>1981</v>
      </c>
      <c r="BG2" s="7" t="s">
        <v>2303</v>
      </c>
      <c r="BH2" s="7" t="s">
        <v>3143</v>
      </c>
      <c r="BI2" t="s">
        <v>3142</v>
      </c>
      <c r="BJ2" s="7" t="s">
        <v>3142</v>
      </c>
      <c r="BK2" s="7" t="s">
        <v>3217</v>
      </c>
      <c r="BL2" s="7" t="s">
        <v>1271</v>
      </c>
      <c r="BM2" s="7" t="s">
        <v>3310</v>
      </c>
    </row>
    <row r="3" spans="1:65">
      <c r="A3">
        <v>-1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7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s="7">
        <v>0</v>
      </c>
      <c r="V3">
        <v>0</v>
      </c>
      <c r="W3">
        <v>0</v>
      </c>
      <c r="AE3">
        <v>0</v>
      </c>
      <c r="AF3">
        <v>0</v>
      </c>
      <c r="AI3">
        <v>0</v>
      </c>
      <c r="AJ3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>
        <v>0</v>
      </c>
      <c r="AQ3" s="7">
        <v>0</v>
      </c>
      <c r="AR3">
        <v>0</v>
      </c>
      <c r="AS3" s="7">
        <v>0</v>
      </c>
      <c r="AT3">
        <v>0</v>
      </c>
      <c r="AU3">
        <v>1</v>
      </c>
      <c r="AV3" s="7">
        <v>0</v>
      </c>
      <c r="AW3">
        <v>0</v>
      </c>
      <c r="AY3">
        <v>0</v>
      </c>
      <c r="AZ3" s="7">
        <v>0</v>
      </c>
      <c r="BA3" s="7">
        <v>0</v>
      </c>
      <c r="BB3">
        <v>0</v>
      </c>
      <c r="BC3">
        <v>0</v>
      </c>
      <c r="BD3">
        <v>0</v>
      </c>
      <c r="BE3">
        <v>60</v>
      </c>
      <c r="BF3">
        <v>0</v>
      </c>
      <c r="BG3" s="7">
        <v>0</v>
      </c>
      <c r="BH3" s="7">
        <v>0</v>
      </c>
      <c r="BK3">
        <v>0</v>
      </c>
      <c r="BL3" s="7">
        <v>0</v>
      </c>
      <c r="BM3">
        <v>0</v>
      </c>
    </row>
    <row r="4" spans="1:65">
      <c r="A4">
        <v>0</v>
      </c>
      <c r="B4" t="s">
        <v>3452</v>
      </c>
      <c r="C4" t="s">
        <v>534</v>
      </c>
      <c r="D4" t="s">
        <v>535</v>
      </c>
      <c r="E4">
        <v>1</v>
      </c>
      <c r="F4" t="s">
        <v>959</v>
      </c>
      <c r="G4">
        <v>0</v>
      </c>
      <c r="H4">
        <v>0</v>
      </c>
      <c r="I4">
        <v>0</v>
      </c>
      <c r="J4">
        <v>0</v>
      </c>
      <c r="K4">
        <v>0</v>
      </c>
      <c r="L4" t="s">
        <v>1562</v>
      </c>
      <c r="M4">
        <v>0</v>
      </c>
      <c r="P4">
        <v>0</v>
      </c>
      <c r="Q4">
        <v>0</v>
      </c>
      <c r="S4">
        <v>1</v>
      </c>
      <c r="T4">
        <v>0</v>
      </c>
      <c r="V4">
        <v>0</v>
      </c>
      <c r="W4">
        <v>0</v>
      </c>
      <c r="Y4" t="s">
        <v>536</v>
      </c>
      <c r="AA4" t="s">
        <v>933</v>
      </c>
      <c r="AB4">
        <v>0</v>
      </c>
      <c r="AC4">
        <v>7</v>
      </c>
      <c r="AD4">
        <v>0</v>
      </c>
      <c r="AE4">
        <v>0</v>
      </c>
      <c r="AF4">
        <v>0</v>
      </c>
      <c r="AI4">
        <v>0</v>
      </c>
      <c r="AJ4">
        <v>0</v>
      </c>
      <c r="AK4" s="7">
        <v>0</v>
      </c>
      <c r="AL4" s="7">
        <v>0</v>
      </c>
      <c r="AM4" s="7">
        <v>0</v>
      </c>
      <c r="AN4" s="7">
        <v>0</v>
      </c>
      <c r="AP4">
        <v>0</v>
      </c>
      <c r="AR4" s="7">
        <v>0</v>
      </c>
      <c r="AS4" s="7">
        <v>0</v>
      </c>
      <c r="BE4">
        <v>240</v>
      </c>
      <c r="BL4">
        <v>0</v>
      </c>
    </row>
    <row r="5" spans="1:65">
      <c r="A5">
        <v>1</v>
      </c>
      <c r="B5" t="s">
        <v>537</v>
      </c>
      <c r="C5" t="s">
        <v>534</v>
      </c>
      <c r="D5" t="s">
        <v>535</v>
      </c>
      <c r="E5">
        <v>1</v>
      </c>
      <c r="F5" t="s">
        <v>959</v>
      </c>
      <c r="G5">
        <v>0</v>
      </c>
      <c r="H5">
        <v>0</v>
      </c>
      <c r="I5">
        <v>0</v>
      </c>
      <c r="J5">
        <v>0</v>
      </c>
      <c r="K5">
        <v>0</v>
      </c>
      <c r="L5" t="s">
        <v>1562</v>
      </c>
      <c r="M5">
        <v>0</v>
      </c>
      <c r="P5">
        <v>0</v>
      </c>
      <c r="Q5">
        <v>0</v>
      </c>
      <c r="S5">
        <v>1</v>
      </c>
      <c r="T5">
        <v>0</v>
      </c>
      <c r="V5">
        <v>0</v>
      </c>
      <c r="W5">
        <v>0</v>
      </c>
      <c r="Y5" t="s">
        <v>910</v>
      </c>
      <c r="AA5" s="7" t="s">
        <v>934</v>
      </c>
      <c r="AB5">
        <v>0</v>
      </c>
      <c r="AC5">
        <v>7</v>
      </c>
      <c r="AD5">
        <v>0</v>
      </c>
      <c r="AE5">
        <v>0</v>
      </c>
      <c r="AF5">
        <v>0</v>
      </c>
      <c r="AI5">
        <v>0</v>
      </c>
      <c r="AJ5">
        <v>0</v>
      </c>
      <c r="AK5" s="7">
        <v>0</v>
      </c>
      <c r="AL5" s="7">
        <v>0</v>
      </c>
      <c r="AM5" s="7">
        <v>0</v>
      </c>
      <c r="AN5" s="7">
        <v>0</v>
      </c>
      <c r="AP5">
        <v>0</v>
      </c>
      <c r="AR5" s="7">
        <v>0</v>
      </c>
      <c r="AS5" s="7">
        <v>0</v>
      </c>
      <c r="AY5">
        <v>1</v>
      </c>
      <c r="BE5" s="7">
        <v>240</v>
      </c>
      <c r="BL5">
        <v>0</v>
      </c>
    </row>
    <row r="6" spans="1:65">
      <c r="A6">
        <v>10</v>
      </c>
      <c r="B6" t="s">
        <v>538</v>
      </c>
      <c r="C6" t="s">
        <v>534</v>
      </c>
      <c r="D6" t="s">
        <v>535</v>
      </c>
      <c r="E6">
        <v>1</v>
      </c>
      <c r="F6" t="s">
        <v>959</v>
      </c>
      <c r="G6">
        <v>0</v>
      </c>
      <c r="H6">
        <v>0</v>
      </c>
      <c r="I6">
        <v>0</v>
      </c>
      <c r="J6">
        <v>0</v>
      </c>
      <c r="K6">
        <v>0</v>
      </c>
      <c r="L6" t="s">
        <v>1562</v>
      </c>
      <c r="M6">
        <v>0</v>
      </c>
      <c r="P6">
        <v>0</v>
      </c>
      <c r="Q6">
        <v>0</v>
      </c>
      <c r="S6">
        <v>1</v>
      </c>
      <c r="T6">
        <v>0</v>
      </c>
      <c r="V6">
        <v>0</v>
      </c>
      <c r="W6">
        <v>0</v>
      </c>
      <c r="Y6" t="s">
        <v>539</v>
      </c>
      <c r="AA6" s="7" t="s">
        <v>934</v>
      </c>
      <c r="AB6">
        <v>0</v>
      </c>
      <c r="AC6">
        <v>7</v>
      </c>
      <c r="AD6">
        <v>0</v>
      </c>
      <c r="AE6">
        <v>0</v>
      </c>
      <c r="AF6">
        <v>0</v>
      </c>
      <c r="AI6">
        <v>0</v>
      </c>
      <c r="AJ6">
        <v>0</v>
      </c>
      <c r="AK6" s="7">
        <v>0</v>
      </c>
      <c r="AL6" s="7">
        <v>0</v>
      </c>
      <c r="AM6" s="7">
        <v>0</v>
      </c>
      <c r="AN6" s="7">
        <v>0</v>
      </c>
      <c r="AP6">
        <v>0</v>
      </c>
      <c r="AR6" s="7">
        <v>0</v>
      </c>
      <c r="AS6" s="7">
        <v>0</v>
      </c>
      <c r="BE6" s="7">
        <v>240</v>
      </c>
      <c r="BL6" s="7">
        <v>0</v>
      </c>
    </row>
    <row r="7" spans="1:65" s="7" customFormat="1">
      <c r="A7" s="7">
        <v>15</v>
      </c>
      <c r="B7" s="7" t="s">
        <v>3395</v>
      </c>
      <c r="C7" s="7" t="s">
        <v>534</v>
      </c>
      <c r="D7" s="7" t="s">
        <v>535</v>
      </c>
      <c r="E7" s="7">
        <v>1</v>
      </c>
      <c r="F7" s="7" t="s">
        <v>959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 t="s">
        <v>1562</v>
      </c>
      <c r="M7" s="7">
        <v>0</v>
      </c>
      <c r="P7" s="7">
        <v>0</v>
      </c>
      <c r="Q7" s="7">
        <v>0</v>
      </c>
      <c r="S7" s="7">
        <v>1</v>
      </c>
      <c r="T7" s="7">
        <v>0</v>
      </c>
      <c r="V7" s="7">
        <v>0</v>
      </c>
      <c r="W7" s="7">
        <v>0</v>
      </c>
      <c r="X7" s="6"/>
      <c r="Y7" s="7" t="s">
        <v>3397</v>
      </c>
      <c r="AA7" s="7" t="s">
        <v>934</v>
      </c>
      <c r="AB7" s="7">
        <v>0</v>
      </c>
      <c r="AC7" s="7">
        <v>7</v>
      </c>
      <c r="AD7" s="7">
        <v>0</v>
      </c>
      <c r="AE7" s="7">
        <v>0</v>
      </c>
      <c r="AF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P7" s="7">
        <v>0</v>
      </c>
      <c r="AR7" s="7">
        <v>0</v>
      </c>
      <c r="AS7" s="7">
        <v>0</v>
      </c>
      <c r="BE7" s="7">
        <v>240</v>
      </c>
      <c r="BL7" s="7">
        <v>0</v>
      </c>
    </row>
    <row r="8" spans="1:65" s="7" customFormat="1">
      <c r="A8" s="7">
        <v>16</v>
      </c>
      <c r="B8" s="7" t="s">
        <v>3396</v>
      </c>
      <c r="C8" s="7" t="s">
        <v>534</v>
      </c>
      <c r="D8" s="7" t="s">
        <v>535</v>
      </c>
      <c r="E8" s="7">
        <v>1</v>
      </c>
      <c r="F8" s="7" t="s">
        <v>959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 t="s">
        <v>1562</v>
      </c>
      <c r="M8" s="7">
        <v>0</v>
      </c>
      <c r="P8" s="7">
        <v>0</v>
      </c>
      <c r="Q8" s="7">
        <v>0</v>
      </c>
      <c r="S8" s="7">
        <v>1</v>
      </c>
      <c r="T8" s="7">
        <v>0</v>
      </c>
      <c r="V8" s="7">
        <v>0</v>
      </c>
      <c r="W8" s="7">
        <v>0</v>
      </c>
      <c r="X8" s="6"/>
      <c r="Y8" s="7" t="s">
        <v>3398</v>
      </c>
      <c r="AA8" s="7" t="s">
        <v>934</v>
      </c>
      <c r="AB8" s="7">
        <v>0</v>
      </c>
      <c r="AC8" s="7">
        <v>7</v>
      </c>
      <c r="AD8" s="7">
        <v>0</v>
      </c>
      <c r="AE8" s="7">
        <v>0</v>
      </c>
      <c r="AF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P8" s="7">
        <v>0</v>
      </c>
      <c r="AR8" s="7">
        <v>0</v>
      </c>
      <c r="AS8" s="7">
        <v>0</v>
      </c>
      <c r="BE8" s="7">
        <v>240</v>
      </c>
      <c r="BL8" s="7">
        <v>0</v>
      </c>
    </row>
    <row r="9" spans="1:65" s="7" customFormat="1">
      <c r="A9" s="7">
        <v>20</v>
      </c>
      <c r="B9" s="7" t="s">
        <v>2008</v>
      </c>
      <c r="C9" s="7" t="s">
        <v>534</v>
      </c>
      <c r="D9" s="7" t="s">
        <v>535</v>
      </c>
      <c r="E9" s="7">
        <v>1</v>
      </c>
      <c r="F9" s="7" t="s">
        <v>959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 t="s">
        <v>1562</v>
      </c>
      <c r="M9" s="7">
        <v>0</v>
      </c>
      <c r="P9" s="7">
        <v>0</v>
      </c>
      <c r="Q9" s="7">
        <v>0</v>
      </c>
      <c r="S9" s="7">
        <v>1</v>
      </c>
      <c r="T9" s="7">
        <v>0</v>
      </c>
      <c r="V9" s="7">
        <v>0</v>
      </c>
      <c r="W9" s="7">
        <v>0</v>
      </c>
      <c r="X9" s="6"/>
      <c r="Y9" s="7" t="s">
        <v>2020</v>
      </c>
      <c r="AA9" s="7" t="s">
        <v>934</v>
      </c>
      <c r="AB9" s="7">
        <v>0</v>
      </c>
      <c r="AC9" s="7">
        <v>7</v>
      </c>
      <c r="AD9" s="7">
        <v>0</v>
      </c>
      <c r="AE9" s="7">
        <v>0</v>
      </c>
      <c r="AF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P9" s="7">
        <v>0</v>
      </c>
      <c r="AR9" s="7">
        <v>0</v>
      </c>
      <c r="AS9" s="7">
        <v>0</v>
      </c>
      <c r="BE9" s="7">
        <v>240</v>
      </c>
      <c r="BL9" s="7">
        <v>0</v>
      </c>
    </row>
    <row r="10" spans="1:65" s="6" customFormat="1">
      <c r="A10" s="6">
        <v>301</v>
      </c>
      <c r="B10" s="6" t="s">
        <v>1035</v>
      </c>
      <c r="C10" s="6" t="s">
        <v>540</v>
      </c>
      <c r="D10" s="6" t="s">
        <v>542</v>
      </c>
      <c r="E10" s="6">
        <v>1</v>
      </c>
      <c r="F10" s="6" t="s">
        <v>959</v>
      </c>
      <c r="G10" s="6">
        <v>0</v>
      </c>
      <c r="H10" s="6">
        <v>0</v>
      </c>
      <c r="I10" s="6">
        <v>99999</v>
      </c>
      <c r="J10" s="6">
        <v>0</v>
      </c>
      <c r="K10" s="6">
        <v>0</v>
      </c>
      <c r="L10" s="6" t="s">
        <v>1562</v>
      </c>
      <c r="M10" s="6">
        <v>1</v>
      </c>
      <c r="N10" s="6">
        <v>1</v>
      </c>
      <c r="O10" s="6">
        <v>4562</v>
      </c>
      <c r="P10" s="6">
        <v>0</v>
      </c>
      <c r="Q10" s="6">
        <v>0</v>
      </c>
      <c r="S10" s="6">
        <v>40</v>
      </c>
      <c r="T10" s="6">
        <v>0</v>
      </c>
      <c r="V10" s="6">
        <v>1</v>
      </c>
      <c r="W10" s="6">
        <v>1</v>
      </c>
      <c r="Y10" s="6" t="s">
        <v>1069</v>
      </c>
      <c r="Z10" s="6" t="s">
        <v>2415</v>
      </c>
      <c r="AA10" s="6" t="s">
        <v>929</v>
      </c>
      <c r="AB10" s="6">
        <v>0</v>
      </c>
      <c r="AC10" s="6">
        <v>15</v>
      </c>
      <c r="AD10" s="6">
        <v>0</v>
      </c>
      <c r="AE10" s="6">
        <v>0</v>
      </c>
      <c r="AF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P10" s="6">
        <v>0</v>
      </c>
      <c r="AR10" s="6">
        <v>0</v>
      </c>
      <c r="AS10" s="6">
        <v>0</v>
      </c>
      <c r="BE10" s="6">
        <v>240</v>
      </c>
      <c r="BG10" s="6">
        <v>1</v>
      </c>
      <c r="BI10" s="6">
        <v>361</v>
      </c>
      <c r="BL10" s="6">
        <v>1</v>
      </c>
    </row>
    <row r="11" spans="1:65" s="6" customFormat="1">
      <c r="A11" s="6">
        <v>302</v>
      </c>
      <c r="B11" s="6" t="s">
        <v>1036</v>
      </c>
      <c r="C11" s="6" t="s">
        <v>540</v>
      </c>
      <c r="D11" s="6" t="s">
        <v>542</v>
      </c>
      <c r="E11" s="6">
        <v>1</v>
      </c>
      <c r="F11" s="6" t="s">
        <v>959</v>
      </c>
      <c r="G11" s="6">
        <v>0</v>
      </c>
      <c r="H11" s="6">
        <v>0</v>
      </c>
      <c r="I11" s="6">
        <v>99999</v>
      </c>
      <c r="J11" s="6">
        <v>0</v>
      </c>
      <c r="K11" s="6">
        <v>0</v>
      </c>
      <c r="L11" s="6" t="s">
        <v>1562</v>
      </c>
      <c r="M11" s="6">
        <v>1</v>
      </c>
      <c r="N11" s="6">
        <v>2</v>
      </c>
      <c r="O11" s="6">
        <v>4563</v>
      </c>
      <c r="P11" s="6">
        <v>0</v>
      </c>
      <c r="Q11" s="6">
        <v>0</v>
      </c>
      <c r="S11" s="6">
        <v>130</v>
      </c>
      <c r="T11" s="6">
        <v>0</v>
      </c>
      <c r="V11" s="6">
        <v>1</v>
      </c>
      <c r="W11" s="6">
        <v>1</v>
      </c>
      <c r="Y11" s="6" t="s">
        <v>1070</v>
      </c>
      <c r="Z11" s="6" t="s">
        <v>2416</v>
      </c>
      <c r="AA11" s="6" t="s">
        <v>929</v>
      </c>
      <c r="AB11" s="6">
        <v>0</v>
      </c>
      <c r="AC11" s="6">
        <v>15</v>
      </c>
      <c r="AD11" s="6">
        <v>0</v>
      </c>
      <c r="AE11" s="6">
        <v>0</v>
      </c>
      <c r="AF11" s="6">
        <v>1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P11" s="6">
        <v>0</v>
      </c>
      <c r="AQ11" s="6">
        <v>1</v>
      </c>
      <c r="AR11" s="6">
        <v>0</v>
      </c>
      <c r="AS11" s="6">
        <v>0</v>
      </c>
      <c r="BE11" s="6">
        <v>240</v>
      </c>
      <c r="BG11" s="6">
        <v>1</v>
      </c>
      <c r="BI11" s="6">
        <v>362</v>
      </c>
      <c r="BL11" s="6">
        <v>1</v>
      </c>
    </row>
    <row r="12" spans="1:65" s="6" customFormat="1">
      <c r="A12" s="6">
        <v>303</v>
      </c>
      <c r="B12" s="6" t="s">
        <v>1019</v>
      </c>
      <c r="C12" s="6" t="s">
        <v>540</v>
      </c>
      <c r="D12" s="6" t="s">
        <v>542</v>
      </c>
      <c r="E12" s="6">
        <v>1</v>
      </c>
      <c r="F12" s="6" t="s">
        <v>959</v>
      </c>
      <c r="G12" s="6">
        <v>0</v>
      </c>
      <c r="H12" s="6">
        <v>0</v>
      </c>
      <c r="I12" s="6">
        <v>99999</v>
      </c>
      <c r="J12" s="6">
        <v>0</v>
      </c>
      <c r="K12" s="6">
        <v>0</v>
      </c>
      <c r="L12" s="6" t="s">
        <v>1562</v>
      </c>
      <c r="M12" s="6">
        <v>1</v>
      </c>
      <c r="N12" s="6">
        <v>3</v>
      </c>
      <c r="O12" s="6">
        <v>4564</v>
      </c>
      <c r="P12" s="6">
        <v>0</v>
      </c>
      <c r="Q12" s="6">
        <v>0</v>
      </c>
      <c r="S12" s="6">
        <v>350</v>
      </c>
      <c r="T12" s="6">
        <v>0</v>
      </c>
      <c r="V12" s="6">
        <v>1</v>
      </c>
      <c r="W12" s="6">
        <v>1</v>
      </c>
      <c r="Y12" s="6" t="s">
        <v>1071</v>
      </c>
      <c r="Z12" s="6" t="s">
        <v>2417</v>
      </c>
      <c r="AA12" s="6" t="s">
        <v>2298</v>
      </c>
      <c r="AB12" s="6">
        <v>0</v>
      </c>
      <c r="AC12" s="6">
        <v>15</v>
      </c>
      <c r="AD12" s="6">
        <v>0</v>
      </c>
      <c r="AE12" s="6">
        <v>0</v>
      </c>
      <c r="AF12" s="6">
        <v>1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P12" s="6">
        <v>0</v>
      </c>
      <c r="AQ12" s="6">
        <v>1</v>
      </c>
      <c r="AR12" s="6">
        <v>0</v>
      </c>
      <c r="AS12" s="6">
        <v>0</v>
      </c>
      <c r="BE12" s="6">
        <v>240</v>
      </c>
      <c r="BG12" s="6">
        <v>1</v>
      </c>
      <c r="BI12" s="6">
        <v>363</v>
      </c>
      <c r="BL12" s="6">
        <v>1</v>
      </c>
    </row>
    <row r="13" spans="1:65" s="44" customFormat="1">
      <c r="A13" s="44">
        <v>304</v>
      </c>
      <c r="B13" s="44" t="s">
        <v>1287</v>
      </c>
      <c r="C13" s="44" t="s">
        <v>540</v>
      </c>
      <c r="D13" s="44" t="s">
        <v>542</v>
      </c>
      <c r="E13" s="45">
        <v>1</v>
      </c>
      <c r="F13" s="44" t="s">
        <v>959</v>
      </c>
      <c r="G13" s="44">
        <v>0</v>
      </c>
      <c r="H13" s="44">
        <v>0</v>
      </c>
      <c r="I13" s="44">
        <v>99999</v>
      </c>
      <c r="J13" s="44">
        <v>0</v>
      </c>
      <c r="K13" s="44">
        <v>0</v>
      </c>
      <c r="L13" s="44" t="s">
        <v>1562</v>
      </c>
      <c r="M13" s="45">
        <v>1</v>
      </c>
      <c r="N13" s="43">
        <v>1</v>
      </c>
      <c r="P13" s="45">
        <v>0</v>
      </c>
      <c r="Q13" s="44">
        <v>0</v>
      </c>
      <c r="R13" s="45"/>
      <c r="S13" s="44">
        <v>1</v>
      </c>
      <c r="T13" s="44">
        <v>0</v>
      </c>
      <c r="V13" s="44">
        <v>1</v>
      </c>
      <c r="W13" s="44">
        <v>1</v>
      </c>
      <c r="Y13" s="45" t="s">
        <v>1072</v>
      </c>
      <c r="Z13" s="45" t="s">
        <v>2418</v>
      </c>
      <c r="AA13" s="45" t="s">
        <v>928</v>
      </c>
      <c r="AB13" s="44">
        <v>0</v>
      </c>
      <c r="AC13" s="44">
        <v>15</v>
      </c>
      <c r="AD13" s="44">
        <v>0</v>
      </c>
      <c r="AE13" s="44">
        <v>0</v>
      </c>
      <c r="AF13" s="44">
        <v>1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0</v>
      </c>
      <c r="AP13" s="44">
        <v>0</v>
      </c>
      <c r="AR13" s="44">
        <v>0</v>
      </c>
      <c r="AS13" s="44">
        <v>0</v>
      </c>
      <c r="AV13" s="45"/>
      <c r="BD13" s="45"/>
      <c r="BE13" s="43">
        <v>240</v>
      </c>
      <c r="BG13" s="44">
        <v>1</v>
      </c>
      <c r="BL13" s="43">
        <v>1</v>
      </c>
    </row>
    <row r="14" spans="1:65" s="44" customFormat="1">
      <c r="A14" s="44">
        <v>305</v>
      </c>
      <c r="B14" s="44" t="s">
        <v>1288</v>
      </c>
      <c r="C14" s="44" t="s">
        <v>540</v>
      </c>
      <c r="D14" s="44" t="s">
        <v>542</v>
      </c>
      <c r="E14" s="45">
        <v>1</v>
      </c>
      <c r="F14" s="44" t="s">
        <v>959</v>
      </c>
      <c r="G14" s="44">
        <v>0</v>
      </c>
      <c r="H14" s="44">
        <v>0</v>
      </c>
      <c r="I14" s="44">
        <v>99999</v>
      </c>
      <c r="J14" s="44">
        <v>0</v>
      </c>
      <c r="K14" s="44">
        <v>0</v>
      </c>
      <c r="L14" s="44" t="s">
        <v>1562</v>
      </c>
      <c r="M14" s="45">
        <v>1</v>
      </c>
      <c r="N14" s="43">
        <v>1</v>
      </c>
      <c r="P14" s="45">
        <v>0</v>
      </c>
      <c r="Q14" s="44">
        <v>0</v>
      </c>
      <c r="R14" s="45"/>
      <c r="S14" s="44">
        <v>1</v>
      </c>
      <c r="T14" s="44">
        <v>0</v>
      </c>
      <c r="V14" s="44">
        <v>1</v>
      </c>
      <c r="W14" s="44">
        <v>1</v>
      </c>
      <c r="Y14" s="45" t="s">
        <v>1073</v>
      </c>
      <c r="Z14" s="45" t="s">
        <v>2419</v>
      </c>
      <c r="AA14" s="45" t="s">
        <v>928</v>
      </c>
      <c r="AB14" s="44">
        <v>0</v>
      </c>
      <c r="AC14" s="44">
        <v>15</v>
      </c>
      <c r="AD14" s="44">
        <v>0</v>
      </c>
      <c r="AE14" s="44">
        <v>0</v>
      </c>
      <c r="AF14" s="44">
        <v>1</v>
      </c>
      <c r="AI14" s="44">
        <v>0</v>
      </c>
      <c r="AJ14" s="44">
        <v>0</v>
      </c>
      <c r="AK14" s="44">
        <v>0</v>
      </c>
      <c r="AL14" s="44">
        <v>0</v>
      </c>
      <c r="AM14" s="44">
        <v>0</v>
      </c>
      <c r="AN14" s="44">
        <v>0</v>
      </c>
      <c r="AP14" s="44">
        <v>0</v>
      </c>
      <c r="AR14" s="44">
        <v>0</v>
      </c>
      <c r="AS14" s="44">
        <v>0</v>
      </c>
      <c r="AV14" s="45"/>
      <c r="BD14" s="45"/>
      <c r="BE14" s="43">
        <v>240</v>
      </c>
      <c r="BG14" s="44">
        <v>1</v>
      </c>
      <c r="BL14" s="43">
        <v>1</v>
      </c>
    </row>
    <row r="15" spans="1:65" s="6" customFormat="1">
      <c r="A15" s="6">
        <v>306</v>
      </c>
      <c r="B15" s="6" t="s">
        <v>3399</v>
      </c>
      <c r="C15" s="6" t="s">
        <v>540</v>
      </c>
      <c r="D15" s="6" t="s">
        <v>542</v>
      </c>
      <c r="E15" s="6">
        <v>1</v>
      </c>
      <c r="F15" s="6" t="s">
        <v>959</v>
      </c>
      <c r="G15" s="6">
        <v>0</v>
      </c>
      <c r="H15" s="6">
        <v>0</v>
      </c>
      <c r="I15" s="6">
        <v>99999</v>
      </c>
      <c r="J15" s="6">
        <v>0</v>
      </c>
      <c r="K15" s="6">
        <v>3</v>
      </c>
      <c r="L15" s="6" t="s">
        <v>1562</v>
      </c>
      <c r="M15" s="6">
        <v>1</v>
      </c>
      <c r="N15" s="6">
        <v>1</v>
      </c>
      <c r="O15" s="6">
        <v>4562</v>
      </c>
      <c r="P15" s="6">
        <v>0</v>
      </c>
      <c r="Q15" s="6">
        <v>0</v>
      </c>
      <c r="S15" s="6">
        <v>40</v>
      </c>
      <c r="T15" s="6">
        <v>0</v>
      </c>
      <c r="V15" s="6">
        <v>1</v>
      </c>
      <c r="W15" s="6">
        <v>1</v>
      </c>
      <c r="Y15" s="6" t="s">
        <v>1069</v>
      </c>
      <c r="Z15" s="6" t="s">
        <v>2415</v>
      </c>
      <c r="AA15" s="6" t="s">
        <v>929</v>
      </c>
      <c r="AB15" s="6">
        <v>0</v>
      </c>
      <c r="AC15" s="6">
        <v>15</v>
      </c>
      <c r="AD15" s="6">
        <v>0</v>
      </c>
      <c r="AE15" s="6">
        <v>0</v>
      </c>
      <c r="AF15" s="6">
        <v>1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P15" s="6">
        <v>0</v>
      </c>
      <c r="AR15" s="6">
        <v>0</v>
      </c>
      <c r="AS15" s="6">
        <v>0</v>
      </c>
      <c r="BE15" s="6">
        <v>240</v>
      </c>
      <c r="BG15" s="6">
        <v>1</v>
      </c>
      <c r="BI15" s="6">
        <v>366</v>
      </c>
      <c r="BL15" s="6">
        <v>1</v>
      </c>
    </row>
    <row r="16" spans="1:65" s="6" customFormat="1">
      <c r="A16" s="6">
        <v>307</v>
      </c>
      <c r="B16" s="6" t="s">
        <v>3400</v>
      </c>
      <c r="C16" s="6" t="s">
        <v>540</v>
      </c>
      <c r="D16" s="6" t="s">
        <v>542</v>
      </c>
      <c r="E16" s="6">
        <v>1</v>
      </c>
      <c r="F16" s="6" t="s">
        <v>959</v>
      </c>
      <c r="G16" s="6">
        <v>0</v>
      </c>
      <c r="H16" s="6">
        <v>0</v>
      </c>
      <c r="I16" s="6">
        <v>99999</v>
      </c>
      <c r="J16" s="6">
        <v>0</v>
      </c>
      <c r="K16" s="6">
        <v>3</v>
      </c>
      <c r="L16" s="6" t="s">
        <v>1562</v>
      </c>
      <c r="M16" s="6">
        <v>1</v>
      </c>
      <c r="N16" s="6">
        <v>2</v>
      </c>
      <c r="O16" s="6">
        <v>4563</v>
      </c>
      <c r="P16" s="6">
        <v>0</v>
      </c>
      <c r="Q16" s="6">
        <v>0</v>
      </c>
      <c r="S16" s="6">
        <v>130</v>
      </c>
      <c r="T16" s="6">
        <v>0</v>
      </c>
      <c r="V16" s="6">
        <v>1</v>
      </c>
      <c r="W16" s="6">
        <v>1</v>
      </c>
      <c r="Y16" s="6" t="s">
        <v>1070</v>
      </c>
      <c r="Z16" s="6" t="s">
        <v>2416</v>
      </c>
      <c r="AA16" s="6" t="s">
        <v>929</v>
      </c>
      <c r="AB16" s="6">
        <v>0</v>
      </c>
      <c r="AC16" s="6">
        <v>15</v>
      </c>
      <c r="AD16" s="6">
        <v>0</v>
      </c>
      <c r="AE16" s="6">
        <v>0</v>
      </c>
      <c r="AF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P16" s="6">
        <v>0</v>
      </c>
      <c r="AQ16" s="6">
        <v>1</v>
      </c>
      <c r="AR16" s="6">
        <v>0</v>
      </c>
      <c r="AS16" s="6">
        <v>0</v>
      </c>
      <c r="BE16" s="6">
        <v>240</v>
      </c>
      <c r="BG16" s="6">
        <v>1</v>
      </c>
      <c r="BI16" s="6">
        <v>367</v>
      </c>
      <c r="BL16" s="6">
        <v>1</v>
      </c>
    </row>
    <row r="17" spans="1:64" s="6" customFormat="1">
      <c r="A17" s="6">
        <v>308</v>
      </c>
      <c r="B17" s="6" t="s">
        <v>3401</v>
      </c>
      <c r="C17" s="6" t="s">
        <v>540</v>
      </c>
      <c r="D17" s="6" t="s">
        <v>542</v>
      </c>
      <c r="E17" s="6">
        <v>1</v>
      </c>
      <c r="F17" s="6" t="s">
        <v>959</v>
      </c>
      <c r="G17" s="6">
        <v>0</v>
      </c>
      <c r="H17" s="6">
        <v>0</v>
      </c>
      <c r="I17" s="6">
        <v>99999</v>
      </c>
      <c r="J17" s="6">
        <v>0</v>
      </c>
      <c r="K17" s="6">
        <v>3</v>
      </c>
      <c r="L17" s="6" t="s">
        <v>1562</v>
      </c>
      <c r="M17" s="6">
        <v>1</v>
      </c>
      <c r="N17" s="6">
        <v>3</v>
      </c>
      <c r="O17" s="6">
        <v>4564</v>
      </c>
      <c r="P17" s="6">
        <v>0</v>
      </c>
      <c r="Q17" s="6">
        <v>0</v>
      </c>
      <c r="S17" s="6">
        <v>350</v>
      </c>
      <c r="T17" s="6">
        <v>0</v>
      </c>
      <c r="V17" s="6">
        <v>1</v>
      </c>
      <c r="W17" s="6">
        <v>1</v>
      </c>
      <c r="Y17" s="6" t="s">
        <v>1071</v>
      </c>
      <c r="Z17" s="6" t="s">
        <v>2417</v>
      </c>
      <c r="AA17" s="6" t="s">
        <v>2003</v>
      </c>
      <c r="AB17" s="6">
        <v>0</v>
      </c>
      <c r="AC17" s="6">
        <v>15</v>
      </c>
      <c r="AD17" s="6">
        <v>0</v>
      </c>
      <c r="AE17" s="6">
        <v>0</v>
      </c>
      <c r="AF17" s="6">
        <v>1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P17" s="6">
        <v>0</v>
      </c>
      <c r="AQ17" s="6">
        <v>1</v>
      </c>
      <c r="AR17" s="6">
        <v>0</v>
      </c>
      <c r="AS17" s="6">
        <v>0</v>
      </c>
      <c r="BE17" s="6">
        <v>240</v>
      </c>
      <c r="BG17" s="6">
        <v>1</v>
      </c>
      <c r="BI17" s="6">
        <v>368</v>
      </c>
      <c r="BL17" s="6">
        <v>1</v>
      </c>
    </row>
    <row r="18" spans="1:64" s="43" customFormat="1">
      <c r="A18" s="43">
        <v>311</v>
      </c>
      <c r="B18" s="43" t="s">
        <v>1037</v>
      </c>
      <c r="C18" s="43" t="s">
        <v>540</v>
      </c>
      <c r="D18" s="43" t="s">
        <v>542</v>
      </c>
      <c r="E18" s="43">
        <v>1</v>
      </c>
      <c r="F18" s="43" t="s">
        <v>959</v>
      </c>
      <c r="G18" s="43">
        <v>0</v>
      </c>
      <c r="H18" s="43">
        <v>0</v>
      </c>
      <c r="I18" s="43">
        <v>99999</v>
      </c>
      <c r="J18" s="43">
        <v>0</v>
      </c>
      <c r="K18" s="43">
        <v>3</v>
      </c>
      <c r="L18" s="43" t="s">
        <v>1562</v>
      </c>
      <c r="M18" s="43">
        <v>1</v>
      </c>
      <c r="N18" s="43">
        <v>1</v>
      </c>
      <c r="O18" s="43">
        <v>4562</v>
      </c>
      <c r="P18" s="43">
        <v>0</v>
      </c>
      <c r="Q18" s="43">
        <v>0</v>
      </c>
      <c r="S18" s="43">
        <v>1</v>
      </c>
      <c r="T18" s="43">
        <v>0</v>
      </c>
      <c r="V18" s="43">
        <v>1</v>
      </c>
      <c r="W18" s="43">
        <v>1</v>
      </c>
      <c r="Y18" s="43" t="s">
        <v>1069</v>
      </c>
      <c r="Z18" s="43" t="s">
        <v>2420</v>
      </c>
      <c r="AA18" s="43" t="s">
        <v>928</v>
      </c>
      <c r="AB18" s="43">
        <v>0</v>
      </c>
      <c r="AC18" s="43">
        <v>15</v>
      </c>
      <c r="AD18" s="43">
        <v>0</v>
      </c>
      <c r="AE18" s="43">
        <v>0</v>
      </c>
      <c r="AF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P18" s="43">
        <v>0</v>
      </c>
      <c r="AR18" s="43">
        <v>0</v>
      </c>
      <c r="AS18" s="43">
        <v>0</v>
      </c>
      <c r="AT18" s="43">
        <v>1</v>
      </c>
      <c r="BE18" s="43">
        <v>240</v>
      </c>
      <c r="BG18" s="43">
        <v>1</v>
      </c>
      <c r="BL18" s="43">
        <v>1</v>
      </c>
    </row>
    <row r="19" spans="1:64" s="43" customFormat="1">
      <c r="A19" s="43">
        <v>312</v>
      </c>
      <c r="B19" s="43" t="s">
        <v>1038</v>
      </c>
      <c r="C19" s="43" t="s">
        <v>540</v>
      </c>
      <c r="D19" s="43" t="s">
        <v>542</v>
      </c>
      <c r="E19" s="43">
        <v>1</v>
      </c>
      <c r="F19" s="43" t="s">
        <v>959</v>
      </c>
      <c r="G19" s="43">
        <v>0</v>
      </c>
      <c r="H19" s="43">
        <v>0</v>
      </c>
      <c r="I19" s="43">
        <v>99999</v>
      </c>
      <c r="J19" s="43">
        <v>0</v>
      </c>
      <c r="K19" s="43">
        <v>3</v>
      </c>
      <c r="L19" s="43" t="s">
        <v>1562</v>
      </c>
      <c r="M19" s="43">
        <v>1</v>
      </c>
      <c r="N19" s="43">
        <v>2</v>
      </c>
      <c r="O19" s="43">
        <v>4563</v>
      </c>
      <c r="P19" s="43">
        <v>0</v>
      </c>
      <c r="Q19" s="43">
        <v>0</v>
      </c>
      <c r="S19" s="43">
        <v>1</v>
      </c>
      <c r="T19" s="43">
        <v>0</v>
      </c>
      <c r="V19" s="43">
        <v>1</v>
      </c>
      <c r="W19" s="43">
        <v>1</v>
      </c>
      <c r="Y19" s="43" t="s">
        <v>1074</v>
      </c>
      <c r="Z19" s="43" t="s">
        <v>2416</v>
      </c>
      <c r="AA19" s="43" t="s">
        <v>928</v>
      </c>
      <c r="AB19" s="43">
        <v>0</v>
      </c>
      <c r="AC19" s="43">
        <v>15</v>
      </c>
      <c r="AD19" s="43">
        <v>0</v>
      </c>
      <c r="AE19" s="43">
        <v>0</v>
      </c>
      <c r="AF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P19" s="43">
        <v>0</v>
      </c>
      <c r="AR19" s="43">
        <v>0</v>
      </c>
      <c r="AS19" s="43">
        <v>0</v>
      </c>
      <c r="AT19" s="43">
        <v>1</v>
      </c>
      <c r="BE19" s="43">
        <v>240</v>
      </c>
      <c r="BG19" s="43">
        <v>1</v>
      </c>
      <c r="BL19" s="43">
        <v>1</v>
      </c>
    </row>
    <row r="20" spans="1:64" s="6" customFormat="1">
      <c r="A20" s="6">
        <v>321</v>
      </c>
      <c r="B20" s="6" t="s">
        <v>1039</v>
      </c>
      <c r="C20" s="6" t="s">
        <v>540</v>
      </c>
      <c r="D20" s="6" t="s">
        <v>542</v>
      </c>
      <c r="E20" s="6">
        <v>1</v>
      </c>
      <c r="F20" s="6" t="s">
        <v>959</v>
      </c>
      <c r="G20" s="6">
        <v>0</v>
      </c>
      <c r="H20" s="6">
        <v>0</v>
      </c>
      <c r="I20" s="6">
        <v>99999</v>
      </c>
      <c r="J20" s="6">
        <v>0</v>
      </c>
      <c r="K20" s="6">
        <v>0</v>
      </c>
      <c r="L20" s="6" t="s">
        <v>1562</v>
      </c>
      <c r="M20" s="6">
        <v>1</v>
      </c>
      <c r="N20" s="6">
        <v>1</v>
      </c>
      <c r="O20" s="6">
        <v>4565</v>
      </c>
      <c r="P20" s="6">
        <v>0</v>
      </c>
      <c r="Q20" s="6">
        <v>0</v>
      </c>
      <c r="S20" s="6">
        <v>40</v>
      </c>
      <c r="T20" s="6">
        <v>0</v>
      </c>
      <c r="V20" s="6">
        <v>1</v>
      </c>
      <c r="W20" s="6">
        <v>1</v>
      </c>
      <c r="Y20" s="6" t="s">
        <v>1075</v>
      </c>
      <c r="Z20" s="6" t="s">
        <v>2421</v>
      </c>
      <c r="AA20" s="6" t="s">
        <v>1296</v>
      </c>
      <c r="AB20" s="6">
        <v>0</v>
      </c>
      <c r="AC20" s="6">
        <v>15</v>
      </c>
      <c r="AD20" s="6">
        <v>0</v>
      </c>
      <c r="AE20" s="6">
        <v>0</v>
      </c>
      <c r="AF20" s="6">
        <v>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P20" s="6">
        <v>0</v>
      </c>
      <c r="AR20" s="6">
        <v>0</v>
      </c>
      <c r="AS20" s="6">
        <v>0</v>
      </c>
      <c r="BE20" s="6">
        <v>240</v>
      </c>
      <c r="BG20" s="6">
        <v>1</v>
      </c>
      <c r="BI20" s="6">
        <v>371</v>
      </c>
      <c r="BL20" s="6">
        <v>1</v>
      </c>
    </row>
    <row r="21" spans="1:64" s="6" customFormat="1">
      <c r="A21" s="6">
        <v>322</v>
      </c>
      <c r="B21" s="6" t="s">
        <v>1040</v>
      </c>
      <c r="C21" s="6" t="s">
        <v>540</v>
      </c>
      <c r="D21" s="6" t="s">
        <v>542</v>
      </c>
      <c r="E21" s="6">
        <v>1</v>
      </c>
      <c r="F21" s="6" t="s">
        <v>959</v>
      </c>
      <c r="G21" s="6">
        <v>0</v>
      </c>
      <c r="H21" s="6">
        <v>0</v>
      </c>
      <c r="I21" s="6">
        <v>99999</v>
      </c>
      <c r="J21" s="6">
        <v>0</v>
      </c>
      <c r="K21" s="6">
        <v>0</v>
      </c>
      <c r="L21" s="6" t="s">
        <v>1562</v>
      </c>
      <c r="M21" s="6">
        <v>1</v>
      </c>
      <c r="N21" s="6">
        <v>2</v>
      </c>
      <c r="O21" s="6">
        <v>4566</v>
      </c>
      <c r="P21" s="6">
        <v>0</v>
      </c>
      <c r="Q21" s="6">
        <v>0</v>
      </c>
      <c r="S21" s="6">
        <v>130</v>
      </c>
      <c r="T21" s="6">
        <v>0</v>
      </c>
      <c r="V21" s="6">
        <v>1</v>
      </c>
      <c r="W21" s="6">
        <v>1</v>
      </c>
      <c r="Y21" s="6" t="s">
        <v>1076</v>
      </c>
      <c r="Z21" s="6" t="s">
        <v>2422</v>
      </c>
      <c r="AA21" s="6" t="s">
        <v>1296</v>
      </c>
      <c r="AB21" s="6">
        <v>0</v>
      </c>
      <c r="AC21" s="6">
        <v>15</v>
      </c>
      <c r="AD21" s="6">
        <v>0</v>
      </c>
      <c r="AE21" s="6">
        <v>0</v>
      </c>
      <c r="AF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P21" s="6">
        <v>0</v>
      </c>
      <c r="AQ21" s="6">
        <v>1</v>
      </c>
      <c r="AR21" s="6">
        <v>0</v>
      </c>
      <c r="AS21" s="6">
        <v>0</v>
      </c>
      <c r="BE21" s="6">
        <v>240</v>
      </c>
      <c r="BG21" s="6">
        <v>1</v>
      </c>
      <c r="BI21" s="6">
        <v>372</v>
      </c>
      <c r="BL21" s="6">
        <v>1</v>
      </c>
    </row>
    <row r="22" spans="1:64" s="6" customFormat="1">
      <c r="A22" s="6">
        <v>323</v>
      </c>
      <c r="B22" s="6" t="s">
        <v>1020</v>
      </c>
      <c r="C22" s="6" t="s">
        <v>540</v>
      </c>
      <c r="D22" s="6" t="s">
        <v>542</v>
      </c>
      <c r="E22" s="6">
        <v>1</v>
      </c>
      <c r="F22" s="6" t="s">
        <v>959</v>
      </c>
      <c r="G22" s="6">
        <v>0</v>
      </c>
      <c r="H22" s="6">
        <v>0</v>
      </c>
      <c r="I22" s="6">
        <v>99999</v>
      </c>
      <c r="J22" s="6">
        <v>0</v>
      </c>
      <c r="K22" s="6">
        <v>0</v>
      </c>
      <c r="L22" s="6" t="s">
        <v>1562</v>
      </c>
      <c r="M22" s="6">
        <v>1</v>
      </c>
      <c r="N22" s="6">
        <v>3</v>
      </c>
      <c r="O22" s="6">
        <v>4567</v>
      </c>
      <c r="P22" s="6">
        <v>0</v>
      </c>
      <c r="Q22" s="6">
        <v>0</v>
      </c>
      <c r="S22" s="6">
        <v>350</v>
      </c>
      <c r="T22" s="6">
        <v>0</v>
      </c>
      <c r="V22" s="6">
        <v>1</v>
      </c>
      <c r="W22" s="6">
        <v>1</v>
      </c>
      <c r="Y22" s="6" t="s">
        <v>1077</v>
      </c>
      <c r="Z22" s="6" t="s">
        <v>2423</v>
      </c>
      <c r="AA22" s="6" t="s">
        <v>1296</v>
      </c>
      <c r="AB22" s="6">
        <v>0</v>
      </c>
      <c r="AC22" s="6">
        <v>15</v>
      </c>
      <c r="AD22" s="6">
        <v>0</v>
      </c>
      <c r="AE22" s="6">
        <v>0</v>
      </c>
      <c r="AF22" s="6">
        <v>1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P22" s="6">
        <v>0</v>
      </c>
      <c r="AQ22" s="6">
        <v>1</v>
      </c>
      <c r="AR22" s="6">
        <v>0</v>
      </c>
      <c r="AS22" s="6">
        <v>0</v>
      </c>
      <c r="BE22" s="6">
        <v>240</v>
      </c>
      <c r="BG22" s="6">
        <v>1</v>
      </c>
      <c r="BI22" s="6">
        <v>373</v>
      </c>
      <c r="BL22" s="6">
        <v>1</v>
      </c>
    </row>
    <row r="23" spans="1:64" s="6" customFormat="1">
      <c r="A23" s="6">
        <v>326</v>
      </c>
      <c r="B23" s="6" t="s">
        <v>3406</v>
      </c>
      <c r="C23" s="6" t="s">
        <v>540</v>
      </c>
      <c r="D23" s="6" t="s">
        <v>542</v>
      </c>
      <c r="E23" s="6">
        <v>1</v>
      </c>
      <c r="F23" s="6" t="s">
        <v>959</v>
      </c>
      <c r="G23" s="6">
        <v>0</v>
      </c>
      <c r="H23" s="6">
        <v>0</v>
      </c>
      <c r="I23" s="6">
        <v>99999</v>
      </c>
      <c r="J23" s="6">
        <v>0</v>
      </c>
      <c r="K23" s="6">
        <v>3</v>
      </c>
      <c r="L23" s="6" t="s">
        <v>1562</v>
      </c>
      <c r="M23" s="6">
        <v>1</v>
      </c>
      <c r="N23" s="6">
        <v>1</v>
      </c>
      <c r="O23" s="6">
        <v>4565</v>
      </c>
      <c r="P23" s="6">
        <v>0</v>
      </c>
      <c r="Q23" s="6">
        <v>0</v>
      </c>
      <c r="S23" s="6">
        <v>40</v>
      </c>
      <c r="T23" s="6">
        <v>0</v>
      </c>
      <c r="V23" s="6">
        <v>1</v>
      </c>
      <c r="W23" s="6">
        <v>1</v>
      </c>
      <c r="Y23" s="6" t="s">
        <v>1075</v>
      </c>
      <c r="Z23" s="6" t="s">
        <v>2421</v>
      </c>
      <c r="AA23" s="6" t="s">
        <v>1296</v>
      </c>
      <c r="AB23" s="6">
        <v>0</v>
      </c>
      <c r="AC23" s="6">
        <v>15</v>
      </c>
      <c r="AD23" s="6">
        <v>0</v>
      </c>
      <c r="AE23" s="6">
        <v>0</v>
      </c>
      <c r="AF23" s="6">
        <v>1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P23" s="6">
        <v>0</v>
      </c>
      <c r="AR23" s="6">
        <v>0</v>
      </c>
      <c r="AS23" s="6">
        <v>0</v>
      </c>
      <c r="BE23" s="6">
        <v>240</v>
      </c>
      <c r="BG23" s="6">
        <v>1</v>
      </c>
      <c r="BI23" s="6">
        <v>376</v>
      </c>
      <c r="BL23" s="6">
        <v>1</v>
      </c>
    </row>
    <row r="24" spans="1:64" s="6" customFormat="1">
      <c r="A24" s="6">
        <v>327</v>
      </c>
      <c r="B24" s="6" t="s">
        <v>3407</v>
      </c>
      <c r="C24" s="6" t="s">
        <v>540</v>
      </c>
      <c r="D24" s="6" t="s">
        <v>542</v>
      </c>
      <c r="E24" s="6">
        <v>1</v>
      </c>
      <c r="F24" s="6" t="s">
        <v>959</v>
      </c>
      <c r="G24" s="6">
        <v>0</v>
      </c>
      <c r="H24" s="6">
        <v>0</v>
      </c>
      <c r="I24" s="6">
        <v>99999</v>
      </c>
      <c r="J24" s="6">
        <v>0</v>
      </c>
      <c r="K24" s="6">
        <v>3</v>
      </c>
      <c r="L24" s="6" t="s">
        <v>1562</v>
      </c>
      <c r="M24" s="6">
        <v>1</v>
      </c>
      <c r="N24" s="6">
        <v>2</v>
      </c>
      <c r="O24" s="6">
        <v>4566</v>
      </c>
      <c r="P24" s="6">
        <v>0</v>
      </c>
      <c r="Q24" s="6">
        <v>0</v>
      </c>
      <c r="S24" s="6">
        <v>130</v>
      </c>
      <c r="T24" s="6">
        <v>0</v>
      </c>
      <c r="V24" s="6">
        <v>1</v>
      </c>
      <c r="W24" s="6">
        <v>1</v>
      </c>
      <c r="Y24" s="6" t="s">
        <v>1076</v>
      </c>
      <c r="Z24" s="6" t="s">
        <v>2422</v>
      </c>
      <c r="AA24" s="6" t="s">
        <v>1296</v>
      </c>
      <c r="AB24" s="6">
        <v>0</v>
      </c>
      <c r="AC24" s="6">
        <v>15</v>
      </c>
      <c r="AD24" s="6">
        <v>0</v>
      </c>
      <c r="AE24" s="6">
        <v>0</v>
      </c>
      <c r="AF24" s="6">
        <v>1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P24" s="6">
        <v>0</v>
      </c>
      <c r="AQ24" s="6">
        <v>1</v>
      </c>
      <c r="AR24" s="6">
        <v>0</v>
      </c>
      <c r="AS24" s="6">
        <v>0</v>
      </c>
      <c r="BE24" s="6">
        <v>240</v>
      </c>
      <c r="BG24" s="6">
        <v>1</v>
      </c>
      <c r="BI24" s="6">
        <v>377</v>
      </c>
      <c r="BL24" s="6">
        <v>1</v>
      </c>
    </row>
    <row r="25" spans="1:64" s="6" customFormat="1">
      <c r="A25" s="6">
        <v>328</v>
      </c>
      <c r="B25" s="6" t="s">
        <v>3408</v>
      </c>
      <c r="C25" s="6" t="s">
        <v>540</v>
      </c>
      <c r="D25" s="6" t="s">
        <v>542</v>
      </c>
      <c r="E25" s="6">
        <v>1</v>
      </c>
      <c r="F25" s="6" t="s">
        <v>959</v>
      </c>
      <c r="G25" s="6">
        <v>0</v>
      </c>
      <c r="H25" s="6">
        <v>0</v>
      </c>
      <c r="I25" s="6">
        <v>99999</v>
      </c>
      <c r="J25" s="6">
        <v>0</v>
      </c>
      <c r="K25" s="6">
        <v>3</v>
      </c>
      <c r="L25" s="6" t="s">
        <v>1562</v>
      </c>
      <c r="M25" s="6">
        <v>1</v>
      </c>
      <c r="N25" s="6">
        <v>3</v>
      </c>
      <c r="O25" s="6">
        <v>4567</v>
      </c>
      <c r="P25" s="6">
        <v>0</v>
      </c>
      <c r="Q25" s="6">
        <v>0</v>
      </c>
      <c r="S25" s="6">
        <v>350</v>
      </c>
      <c r="T25" s="6">
        <v>0</v>
      </c>
      <c r="V25" s="6">
        <v>1</v>
      </c>
      <c r="W25" s="6">
        <v>1</v>
      </c>
      <c r="Y25" s="6" t="s">
        <v>1077</v>
      </c>
      <c r="Z25" s="6" t="s">
        <v>2423</v>
      </c>
      <c r="AA25" s="6" t="s">
        <v>1296</v>
      </c>
      <c r="AB25" s="6">
        <v>0</v>
      </c>
      <c r="AC25" s="6">
        <v>15</v>
      </c>
      <c r="AD25" s="6">
        <v>0</v>
      </c>
      <c r="AE25" s="6">
        <v>0</v>
      </c>
      <c r="AF25" s="6">
        <v>1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P25" s="6">
        <v>0</v>
      </c>
      <c r="AQ25" s="6">
        <v>1</v>
      </c>
      <c r="AR25" s="6">
        <v>0</v>
      </c>
      <c r="AS25" s="6">
        <v>0</v>
      </c>
      <c r="BE25" s="6">
        <v>240</v>
      </c>
      <c r="BG25" s="6">
        <v>1</v>
      </c>
      <c r="BI25" s="6">
        <v>378</v>
      </c>
      <c r="BL25" s="6">
        <v>1</v>
      </c>
    </row>
    <row r="26" spans="1:64" s="44" customFormat="1">
      <c r="A26" s="44">
        <v>324</v>
      </c>
      <c r="B26" s="44" t="s">
        <v>1286</v>
      </c>
      <c r="C26" s="44" t="s">
        <v>540</v>
      </c>
      <c r="D26" s="44" t="s">
        <v>542</v>
      </c>
      <c r="E26" s="44">
        <v>1</v>
      </c>
      <c r="F26" s="44" t="s">
        <v>959</v>
      </c>
      <c r="G26" s="44">
        <v>0</v>
      </c>
      <c r="H26" s="44">
        <v>0</v>
      </c>
      <c r="I26" s="44">
        <v>99999</v>
      </c>
      <c r="J26" s="44">
        <v>0</v>
      </c>
      <c r="K26" s="44">
        <v>0</v>
      </c>
      <c r="L26" s="44" t="s">
        <v>1562</v>
      </c>
      <c r="M26" s="44">
        <v>1</v>
      </c>
      <c r="N26" s="43">
        <v>1</v>
      </c>
      <c r="P26" s="44">
        <v>0</v>
      </c>
      <c r="Q26" s="44">
        <v>0</v>
      </c>
      <c r="S26" s="44">
        <v>1</v>
      </c>
      <c r="T26" s="44">
        <v>0</v>
      </c>
      <c r="V26" s="44">
        <v>1</v>
      </c>
      <c r="W26" s="44">
        <v>1</v>
      </c>
      <c r="Y26" s="44" t="s">
        <v>1078</v>
      </c>
      <c r="Z26" s="44" t="s">
        <v>2424</v>
      </c>
      <c r="AA26" s="44" t="s">
        <v>930</v>
      </c>
      <c r="AB26" s="44">
        <v>0</v>
      </c>
      <c r="AC26" s="44">
        <v>15</v>
      </c>
      <c r="AD26" s="44">
        <v>0</v>
      </c>
      <c r="AE26" s="44">
        <v>0</v>
      </c>
      <c r="AF26" s="44">
        <v>1</v>
      </c>
      <c r="AI26" s="44">
        <v>0</v>
      </c>
      <c r="AJ26" s="44">
        <v>0</v>
      </c>
      <c r="AK26" s="44">
        <v>0</v>
      </c>
      <c r="AL26" s="44">
        <v>0</v>
      </c>
      <c r="AM26" s="44">
        <v>0</v>
      </c>
      <c r="AN26" s="44">
        <v>0</v>
      </c>
      <c r="AP26" s="44">
        <v>0</v>
      </c>
      <c r="AR26" s="44">
        <v>0</v>
      </c>
      <c r="AS26" s="44">
        <v>0</v>
      </c>
      <c r="BE26" s="43">
        <v>240</v>
      </c>
      <c r="BG26" s="44">
        <v>1</v>
      </c>
      <c r="BL26" s="43">
        <v>1</v>
      </c>
    </row>
    <row r="27" spans="1:64" s="7" customFormat="1">
      <c r="A27" s="7">
        <v>331</v>
      </c>
      <c r="B27" s="7" t="s">
        <v>1041</v>
      </c>
      <c r="C27" s="7" t="s">
        <v>540</v>
      </c>
      <c r="D27" s="7" t="s">
        <v>542</v>
      </c>
      <c r="E27" s="7">
        <v>1</v>
      </c>
      <c r="F27" s="7" t="s">
        <v>959</v>
      </c>
      <c r="G27" s="7">
        <v>0</v>
      </c>
      <c r="H27" s="7">
        <v>0</v>
      </c>
      <c r="I27" s="7">
        <v>99999</v>
      </c>
      <c r="J27" s="7">
        <v>0</v>
      </c>
      <c r="K27" s="7">
        <v>3</v>
      </c>
      <c r="L27" s="7" t="s">
        <v>1562</v>
      </c>
      <c r="M27" s="7">
        <v>1</v>
      </c>
      <c r="N27" s="7">
        <v>1</v>
      </c>
      <c r="O27" s="7">
        <v>4562</v>
      </c>
      <c r="P27" s="7">
        <v>0</v>
      </c>
      <c r="Q27" s="7">
        <v>0</v>
      </c>
      <c r="S27" s="7">
        <v>1</v>
      </c>
      <c r="T27" s="7">
        <v>0</v>
      </c>
      <c r="V27" s="7">
        <v>1</v>
      </c>
      <c r="W27" s="7">
        <v>1</v>
      </c>
      <c r="X27" s="6"/>
      <c r="Y27" s="7" t="s">
        <v>1337</v>
      </c>
      <c r="Z27" s="7" t="s">
        <v>2415</v>
      </c>
      <c r="AA27" s="7" t="s">
        <v>928</v>
      </c>
      <c r="AB27" s="7">
        <v>0</v>
      </c>
      <c r="AC27" s="7">
        <v>15</v>
      </c>
      <c r="AD27" s="7">
        <v>0</v>
      </c>
      <c r="AE27" s="7">
        <v>0</v>
      </c>
      <c r="AF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P27" s="7">
        <v>0</v>
      </c>
      <c r="AR27" s="7">
        <v>0</v>
      </c>
      <c r="AS27" s="7">
        <v>0</v>
      </c>
      <c r="AT27" s="7">
        <v>1</v>
      </c>
      <c r="BE27" s="7">
        <v>240</v>
      </c>
      <c r="BG27" s="7">
        <v>1</v>
      </c>
      <c r="BL27" s="7">
        <v>1</v>
      </c>
    </row>
    <row r="28" spans="1:64" s="6" customFormat="1">
      <c r="A28" s="6">
        <v>351</v>
      </c>
      <c r="B28" s="6" t="s">
        <v>975</v>
      </c>
      <c r="C28" s="6" t="s">
        <v>540</v>
      </c>
      <c r="D28" s="6" t="s">
        <v>542</v>
      </c>
      <c r="E28" s="6">
        <v>1</v>
      </c>
      <c r="F28" s="6" t="s">
        <v>959</v>
      </c>
      <c r="G28" s="6">
        <v>0</v>
      </c>
      <c r="H28" s="6">
        <v>0</v>
      </c>
      <c r="I28" s="6">
        <v>99999</v>
      </c>
      <c r="J28" s="6">
        <v>0</v>
      </c>
      <c r="K28" s="6">
        <v>0</v>
      </c>
      <c r="L28" s="6" t="s">
        <v>1562</v>
      </c>
      <c r="M28" s="6">
        <v>1</v>
      </c>
      <c r="N28" s="6">
        <v>1</v>
      </c>
      <c r="O28" s="6">
        <v>4560</v>
      </c>
      <c r="P28" s="6">
        <v>0</v>
      </c>
      <c r="Q28" s="6">
        <v>0</v>
      </c>
      <c r="S28" s="6">
        <v>500</v>
      </c>
      <c r="T28" s="6">
        <v>0</v>
      </c>
      <c r="V28" s="6">
        <v>1</v>
      </c>
      <c r="W28" s="6">
        <v>1</v>
      </c>
      <c r="Y28" s="6" t="s">
        <v>1079</v>
      </c>
      <c r="Z28" s="6" t="s">
        <v>2425</v>
      </c>
      <c r="AA28" s="6" t="s">
        <v>1260</v>
      </c>
      <c r="AB28" s="6">
        <v>0</v>
      </c>
      <c r="AC28" s="6">
        <v>15</v>
      </c>
      <c r="AD28" s="6">
        <v>0</v>
      </c>
      <c r="AE28" s="6">
        <v>0</v>
      </c>
      <c r="AF28" s="6">
        <v>1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P28" s="6">
        <v>0</v>
      </c>
      <c r="AQ28" s="6">
        <v>1</v>
      </c>
      <c r="AR28" s="6">
        <v>0</v>
      </c>
      <c r="AS28" s="6">
        <v>0</v>
      </c>
      <c r="BE28" s="6">
        <v>240</v>
      </c>
      <c r="BG28" s="6">
        <v>1</v>
      </c>
      <c r="BI28" s="6">
        <v>381</v>
      </c>
      <c r="BL28" s="6">
        <v>1</v>
      </c>
    </row>
    <row r="29" spans="1:64" s="6" customFormat="1">
      <c r="A29" s="6">
        <v>352</v>
      </c>
      <c r="B29" s="6" t="s">
        <v>976</v>
      </c>
      <c r="C29" s="6" t="s">
        <v>540</v>
      </c>
      <c r="D29" s="6" t="s">
        <v>542</v>
      </c>
      <c r="E29" s="6">
        <v>1</v>
      </c>
      <c r="F29" s="6" t="s">
        <v>959</v>
      </c>
      <c r="G29" s="6">
        <v>0</v>
      </c>
      <c r="H29" s="6">
        <v>0</v>
      </c>
      <c r="I29" s="6">
        <v>99999</v>
      </c>
      <c r="J29" s="6">
        <v>0</v>
      </c>
      <c r="K29" s="6">
        <v>0</v>
      </c>
      <c r="L29" s="6" t="s">
        <v>1562</v>
      </c>
      <c r="M29" s="6">
        <v>1</v>
      </c>
      <c r="N29" s="6">
        <v>2</v>
      </c>
      <c r="O29" s="6">
        <v>4561</v>
      </c>
      <c r="P29" s="6">
        <v>0</v>
      </c>
      <c r="Q29" s="6">
        <v>0</v>
      </c>
      <c r="S29" s="6">
        <v>1250</v>
      </c>
      <c r="T29" s="6">
        <v>0</v>
      </c>
      <c r="V29" s="6">
        <v>1</v>
      </c>
      <c r="W29" s="6">
        <v>1</v>
      </c>
      <c r="Y29" s="6" t="s">
        <v>1080</v>
      </c>
      <c r="Z29" s="6" t="s">
        <v>2426</v>
      </c>
      <c r="AA29" s="6" t="s">
        <v>1260</v>
      </c>
      <c r="AB29" s="6">
        <v>0</v>
      </c>
      <c r="AC29" s="6">
        <v>15</v>
      </c>
      <c r="AD29" s="6">
        <v>0</v>
      </c>
      <c r="AE29" s="6">
        <v>0</v>
      </c>
      <c r="AF29" s="6">
        <v>1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P29" s="6">
        <v>0</v>
      </c>
      <c r="AQ29" s="6">
        <v>1</v>
      </c>
      <c r="AR29" s="6">
        <v>0</v>
      </c>
      <c r="AS29" s="6">
        <v>0</v>
      </c>
      <c r="BE29" s="6">
        <v>240</v>
      </c>
      <c r="BG29" s="6">
        <v>1</v>
      </c>
      <c r="BI29" s="6">
        <v>382</v>
      </c>
      <c r="BL29" s="6">
        <v>1</v>
      </c>
    </row>
    <row r="30" spans="1:64" s="31" customFormat="1">
      <c r="A30" s="31">
        <v>353</v>
      </c>
      <c r="B30" s="31" t="s">
        <v>1025</v>
      </c>
      <c r="C30" s="31" t="s">
        <v>540</v>
      </c>
      <c r="D30" s="31" t="s">
        <v>542</v>
      </c>
      <c r="E30" s="31">
        <v>1</v>
      </c>
      <c r="F30" s="31" t="s">
        <v>959</v>
      </c>
      <c r="G30" s="31">
        <v>0</v>
      </c>
      <c r="H30" s="31">
        <v>0</v>
      </c>
      <c r="I30" s="31">
        <v>99999</v>
      </c>
      <c r="J30" s="31">
        <v>0</v>
      </c>
      <c r="K30" s="31">
        <v>0</v>
      </c>
      <c r="L30" s="31" t="s">
        <v>1562</v>
      </c>
      <c r="M30" s="31">
        <v>1</v>
      </c>
      <c r="N30" s="31">
        <v>1</v>
      </c>
      <c r="O30" s="31">
        <v>4568</v>
      </c>
      <c r="P30" s="31">
        <v>0</v>
      </c>
      <c r="Q30" s="31">
        <v>0</v>
      </c>
      <c r="S30" s="31">
        <v>2500</v>
      </c>
      <c r="T30" s="31">
        <v>0</v>
      </c>
      <c r="V30" s="31">
        <v>1</v>
      </c>
      <c r="W30" s="31">
        <v>1</v>
      </c>
      <c r="X30" s="35"/>
      <c r="Y30" s="31" t="s">
        <v>1081</v>
      </c>
      <c r="Z30" s="31" t="s">
        <v>2427</v>
      </c>
      <c r="AA30" s="46" t="s">
        <v>2003</v>
      </c>
      <c r="AB30" s="31">
        <v>0</v>
      </c>
      <c r="AC30" s="31">
        <v>15</v>
      </c>
      <c r="AD30" s="31">
        <v>0</v>
      </c>
      <c r="AE30" s="31">
        <v>0</v>
      </c>
      <c r="AF30" s="31">
        <v>1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P30" s="31">
        <v>1</v>
      </c>
      <c r="AQ30" s="31">
        <v>1</v>
      </c>
      <c r="AR30" s="31">
        <v>0</v>
      </c>
      <c r="AS30" s="31">
        <v>0</v>
      </c>
      <c r="BE30" s="31">
        <v>240</v>
      </c>
      <c r="BG30" s="31">
        <v>1</v>
      </c>
      <c r="BI30" s="31">
        <v>383</v>
      </c>
      <c r="BL30" s="6">
        <v>1</v>
      </c>
    </row>
    <row r="31" spans="1:64" s="31" customFormat="1">
      <c r="A31" s="31">
        <v>354</v>
      </c>
      <c r="B31" s="31" t="s">
        <v>3064</v>
      </c>
      <c r="C31" s="31" t="s">
        <v>540</v>
      </c>
      <c r="D31" s="31" t="s">
        <v>542</v>
      </c>
      <c r="E31" s="31">
        <v>1</v>
      </c>
      <c r="F31" s="31" t="s">
        <v>959</v>
      </c>
      <c r="G31" s="31">
        <v>0</v>
      </c>
      <c r="H31" s="31">
        <v>0</v>
      </c>
      <c r="I31" s="31">
        <v>99999</v>
      </c>
      <c r="J31" s="31">
        <v>0</v>
      </c>
      <c r="K31" s="31">
        <v>0</v>
      </c>
      <c r="L31" s="31" t="s">
        <v>1562</v>
      </c>
      <c r="M31" s="31">
        <v>1</v>
      </c>
      <c r="N31" s="31">
        <v>1</v>
      </c>
      <c r="O31" s="31">
        <v>4576</v>
      </c>
      <c r="P31" s="31">
        <v>0</v>
      </c>
      <c r="Q31" s="31">
        <v>0</v>
      </c>
      <c r="S31" s="31">
        <v>2000</v>
      </c>
      <c r="T31" s="31">
        <v>0</v>
      </c>
      <c r="V31" s="31">
        <v>1</v>
      </c>
      <c r="W31" s="31">
        <v>1</v>
      </c>
      <c r="X31" s="35"/>
      <c r="Y31" s="31" t="s">
        <v>3066</v>
      </c>
      <c r="Z31" s="31" t="s">
        <v>3065</v>
      </c>
      <c r="AA31" s="46" t="s">
        <v>3067</v>
      </c>
      <c r="AB31" s="31">
        <v>0</v>
      </c>
      <c r="AC31" s="31">
        <v>15</v>
      </c>
      <c r="AD31" s="31">
        <v>0</v>
      </c>
      <c r="AE31" s="31">
        <v>0</v>
      </c>
      <c r="AF31" s="31">
        <v>1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P31" s="31">
        <v>1</v>
      </c>
      <c r="AQ31" s="31">
        <v>1</v>
      </c>
      <c r="AR31" s="31">
        <v>0</v>
      </c>
      <c r="AS31" s="31">
        <v>0</v>
      </c>
      <c r="BE31" s="31">
        <v>240</v>
      </c>
      <c r="BG31" s="31">
        <v>1</v>
      </c>
      <c r="BI31" s="31">
        <v>384</v>
      </c>
      <c r="BL31" s="6">
        <v>1</v>
      </c>
    </row>
    <row r="32" spans="1:64" s="6" customFormat="1">
      <c r="A32" s="6">
        <v>356</v>
      </c>
      <c r="B32" s="6" t="s">
        <v>3402</v>
      </c>
      <c r="C32" s="6" t="s">
        <v>540</v>
      </c>
      <c r="D32" s="6" t="s">
        <v>542</v>
      </c>
      <c r="E32" s="6">
        <v>1</v>
      </c>
      <c r="F32" s="6" t="s">
        <v>959</v>
      </c>
      <c r="G32" s="6">
        <v>0</v>
      </c>
      <c r="H32" s="6">
        <v>0</v>
      </c>
      <c r="I32" s="6">
        <v>99999</v>
      </c>
      <c r="J32" s="6">
        <v>0</v>
      </c>
      <c r="K32" s="6">
        <v>3</v>
      </c>
      <c r="L32" s="6" t="s">
        <v>1562</v>
      </c>
      <c r="M32" s="6">
        <v>1</v>
      </c>
      <c r="N32" s="6">
        <v>1</v>
      </c>
      <c r="O32" s="6">
        <v>4560</v>
      </c>
      <c r="P32" s="6">
        <v>0</v>
      </c>
      <c r="Q32" s="6">
        <v>0</v>
      </c>
      <c r="S32" s="6">
        <v>500</v>
      </c>
      <c r="T32" s="6">
        <v>0</v>
      </c>
      <c r="V32" s="6">
        <v>1</v>
      </c>
      <c r="W32" s="6">
        <v>1</v>
      </c>
      <c r="Y32" s="6" t="s">
        <v>1079</v>
      </c>
      <c r="Z32" s="6" t="s">
        <v>2425</v>
      </c>
      <c r="AA32" s="6" t="s">
        <v>1260</v>
      </c>
      <c r="AB32" s="6">
        <v>0</v>
      </c>
      <c r="AC32" s="6">
        <v>15</v>
      </c>
      <c r="AD32" s="6">
        <v>0</v>
      </c>
      <c r="AE32" s="6">
        <v>0</v>
      </c>
      <c r="AF32" s="6">
        <v>1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P32" s="6">
        <v>0</v>
      </c>
      <c r="AQ32" s="6">
        <v>1</v>
      </c>
      <c r="AR32" s="6">
        <v>0</v>
      </c>
      <c r="AS32" s="6">
        <v>0</v>
      </c>
      <c r="BE32" s="6">
        <v>240</v>
      </c>
      <c r="BG32" s="6">
        <v>1</v>
      </c>
      <c r="BI32" s="6">
        <v>386</v>
      </c>
      <c r="BL32" s="6">
        <v>1</v>
      </c>
    </row>
    <row r="33" spans="1:64" s="6" customFormat="1">
      <c r="A33" s="6">
        <v>357</v>
      </c>
      <c r="B33" s="6" t="s">
        <v>3403</v>
      </c>
      <c r="C33" s="6" t="s">
        <v>540</v>
      </c>
      <c r="D33" s="6" t="s">
        <v>542</v>
      </c>
      <c r="E33" s="6">
        <v>1</v>
      </c>
      <c r="F33" s="6" t="s">
        <v>959</v>
      </c>
      <c r="G33" s="6">
        <v>0</v>
      </c>
      <c r="H33" s="6">
        <v>0</v>
      </c>
      <c r="I33" s="6">
        <v>99999</v>
      </c>
      <c r="J33" s="6">
        <v>0</v>
      </c>
      <c r="K33" s="6">
        <v>3</v>
      </c>
      <c r="L33" s="6" t="s">
        <v>1562</v>
      </c>
      <c r="M33" s="6">
        <v>1</v>
      </c>
      <c r="N33" s="6">
        <v>2</v>
      </c>
      <c r="O33" s="6">
        <v>4561</v>
      </c>
      <c r="P33" s="6">
        <v>0</v>
      </c>
      <c r="Q33" s="6">
        <v>0</v>
      </c>
      <c r="S33" s="6">
        <v>1250</v>
      </c>
      <c r="T33" s="6">
        <v>0</v>
      </c>
      <c r="V33" s="6">
        <v>1</v>
      </c>
      <c r="W33" s="6">
        <v>1</v>
      </c>
      <c r="Y33" s="6" t="s">
        <v>1080</v>
      </c>
      <c r="Z33" s="6" t="s">
        <v>2426</v>
      </c>
      <c r="AA33" s="6" t="s">
        <v>1260</v>
      </c>
      <c r="AB33" s="6">
        <v>0</v>
      </c>
      <c r="AC33" s="6">
        <v>15</v>
      </c>
      <c r="AD33" s="6">
        <v>0</v>
      </c>
      <c r="AE33" s="6">
        <v>0</v>
      </c>
      <c r="AF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P33" s="6">
        <v>0</v>
      </c>
      <c r="AQ33" s="6">
        <v>1</v>
      </c>
      <c r="AR33" s="6">
        <v>0</v>
      </c>
      <c r="AS33" s="6">
        <v>0</v>
      </c>
      <c r="BE33" s="6">
        <v>240</v>
      </c>
      <c r="BG33" s="6">
        <v>1</v>
      </c>
      <c r="BI33" s="6">
        <v>387</v>
      </c>
      <c r="BL33" s="6">
        <v>1</v>
      </c>
    </row>
    <row r="34" spans="1:64" s="31" customFormat="1">
      <c r="A34" s="31">
        <v>358</v>
      </c>
      <c r="B34" s="31" t="s">
        <v>3404</v>
      </c>
      <c r="C34" s="31" t="s">
        <v>540</v>
      </c>
      <c r="D34" s="31" t="s">
        <v>542</v>
      </c>
      <c r="E34" s="31">
        <v>1</v>
      </c>
      <c r="F34" s="31" t="s">
        <v>959</v>
      </c>
      <c r="G34" s="31">
        <v>0</v>
      </c>
      <c r="H34" s="31">
        <v>0</v>
      </c>
      <c r="I34" s="31">
        <v>99999</v>
      </c>
      <c r="J34" s="31">
        <v>0</v>
      </c>
      <c r="K34" s="31">
        <v>3</v>
      </c>
      <c r="L34" s="31" t="s">
        <v>1562</v>
      </c>
      <c r="M34" s="31">
        <v>1</v>
      </c>
      <c r="N34" s="31">
        <v>1</v>
      </c>
      <c r="O34" s="31">
        <v>4568</v>
      </c>
      <c r="P34" s="31">
        <v>0</v>
      </c>
      <c r="Q34" s="31">
        <v>0</v>
      </c>
      <c r="S34" s="31">
        <v>2500</v>
      </c>
      <c r="T34" s="31">
        <v>0</v>
      </c>
      <c r="V34" s="31">
        <v>1</v>
      </c>
      <c r="W34" s="31">
        <v>1</v>
      </c>
      <c r="X34" s="35"/>
      <c r="Y34" s="31" t="s">
        <v>1081</v>
      </c>
      <c r="Z34" s="31" t="s">
        <v>2427</v>
      </c>
      <c r="AA34" s="46" t="s">
        <v>2003</v>
      </c>
      <c r="AB34" s="31">
        <v>0</v>
      </c>
      <c r="AC34" s="31">
        <v>15</v>
      </c>
      <c r="AD34" s="31">
        <v>0</v>
      </c>
      <c r="AE34" s="31">
        <v>0</v>
      </c>
      <c r="AF34" s="31">
        <v>1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P34" s="31">
        <v>1</v>
      </c>
      <c r="AQ34" s="31">
        <v>1</v>
      </c>
      <c r="AR34" s="31">
        <v>0</v>
      </c>
      <c r="AS34" s="31">
        <v>0</v>
      </c>
      <c r="BE34" s="31">
        <v>240</v>
      </c>
      <c r="BG34" s="31">
        <v>1</v>
      </c>
      <c r="BI34" s="31">
        <v>388</v>
      </c>
      <c r="BL34" s="6">
        <v>1</v>
      </c>
    </row>
    <row r="35" spans="1:64" s="31" customFormat="1">
      <c r="A35" s="31">
        <v>359</v>
      </c>
      <c r="B35" s="31" t="s">
        <v>3405</v>
      </c>
      <c r="C35" s="31" t="s">
        <v>540</v>
      </c>
      <c r="D35" s="31" t="s">
        <v>542</v>
      </c>
      <c r="E35" s="31">
        <v>1</v>
      </c>
      <c r="F35" s="31" t="s">
        <v>959</v>
      </c>
      <c r="G35" s="31">
        <v>0</v>
      </c>
      <c r="H35" s="31">
        <v>0</v>
      </c>
      <c r="I35" s="31">
        <v>99999</v>
      </c>
      <c r="J35" s="31">
        <v>0</v>
      </c>
      <c r="K35" s="31">
        <v>3</v>
      </c>
      <c r="L35" s="31" t="s">
        <v>1562</v>
      </c>
      <c r="M35" s="31">
        <v>1</v>
      </c>
      <c r="N35" s="31">
        <v>1</v>
      </c>
      <c r="O35" s="31">
        <v>4576</v>
      </c>
      <c r="P35" s="31">
        <v>0</v>
      </c>
      <c r="Q35" s="31">
        <v>0</v>
      </c>
      <c r="S35" s="31">
        <v>2000</v>
      </c>
      <c r="T35" s="31">
        <v>0</v>
      </c>
      <c r="V35" s="31">
        <v>1</v>
      </c>
      <c r="W35" s="31">
        <v>1</v>
      </c>
      <c r="X35" s="35"/>
      <c r="Y35" s="31" t="s">
        <v>3066</v>
      </c>
      <c r="Z35" s="31" t="s">
        <v>3065</v>
      </c>
      <c r="AA35" s="46" t="s">
        <v>3067</v>
      </c>
      <c r="AB35" s="31">
        <v>0</v>
      </c>
      <c r="AC35" s="31">
        <v>15</v>
      </c>
      <c r="AD35" s="31">
        <v>0</v>
      </c>
      <c r="AE35" s="31">
        <v>0</v>
      </c>
      <c r="AF35" s="31">
        <v>1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P35" s="31">
        <v>1</v>
      </c>
      <c r="AQ35" s="31">
        <v>1</v>
      </c>
      <c r="AR35" s="31">
        <v>0</v>
      </c>
      <c r="AS35" s="31">
        <v>0</v>
      </c>
      <c r="BE35" s="31">
        <v>240</v>
      </c>
      <c r="BG35" s="31">
        <v>1</v>
      </c>
      <c r="BI35" s="31">
        <v>389</v>
      </c>
      <c r="BL35" s="6">
        <v>1</v>
      </c>
    </row>
    <row r="36" spans="1:64" s="6" customFormat="1">
      <c r="A36" s="6">
        <v>361</v>
      </c>
      <c r="B36" s="6" t="s">
        <v>1098</v>
      </c>
      <c r="C36" s="6" t="s">
        <v>540</v>
      </c>
      <c r="D36" s="6" t="s">
        <v>550</v>
      </c>
      <c r="E36" s="6">
        <v>1</v>
      </c>
      <c r="F36" s="6" t="s">
        <v>959</v>
      </c>
      <c r="G36" s="6">
        <v>0</v>
      </c>
      <c r="H36" s="6">
        <v>0</v>
      </c>
      <c r="I36" s="6">
        <v>99999</v>
      </c>
      <c r="J36" s="6">
        <v>0</v>
      </c>
      <c r="K36" s="6">
        <v>0</v>
      </c>
      <c r="L36" s="6" t="s">
        <v>1562</v>
      </c>
      <c r="M36" s="6">
        <v>1</v>
      </c>
      <c r="N36" s="6">
        <v>7</v>
      </c>
      <c r="P36" s="6">
        <v>0</v>
      </c>
      <c r="Q36" s="6">
        <v>0</v>
      </c>
      <c r="S36" s="6">
        <v>240</v>
      </c>
      <c r="T36" s="6">
        <v>0</v>
      </c>
      <c r="V36" s="6">
        <v>1</v>
      </c>
      <c r="W36" s="6">
        <v>1</v>
      </c>
      <c r="X36" s="6" t="s">
        <v>1096</v>
      </c>
      <c r="Y36" s="6" t="s">
        <v>1082</v>
      </c>
      <c r="Z36" s="6" t="s">
        <v>2428</v>
      </c>
      <c r="AA36" s="6" t="s">
        <v>1297</v>
      </c>
      <c r="AB36" s="6">
        <v>0</v>
      </c>
      <c r="AC36" s="6">
        <v>15</v>
      </c>
      <c r="AD36" s="6">
        <v>0</v>
      </c>
      <c r="AE36" s="6">
        <v>0</v>
      </c>
      <c r="AF36" s="6">
        <v>1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P36" s="6">
        <v>0</v>
      </c>
      <c r="AR36" s="6">
        <v>0</v>
      </c>
      <c r="AS36" s="6">
        <v>0</v>
      </c>
      <c r="BE36" s="6">
        <v>240</v>
      </c>
      <c r="BG36" s="6">
        <v>1</v>
      </c>
      <c r="BL36" s="6">
        <v>1</v>
      </c>
    </row>
    <row r="37" spans="1:64" s="6" customFormat="1">
      <c r="A37" s="6">
        <v>362</v>
      </c>
      <c r="B37" s="6" t="s">
        <v>1042</v>
      </c>
      <c r="C37" s="6" t="s">
        <v>540</v>
      </c>
      <c r="D37" s="6" t="s">
        <v>550</v>
      </c>
      <c r="E37" s="6">
        <v>1</v>
      </c>
      <c r="F37" s="6" t="s">
        <v>959</v>
      </c>
      <c r="G37" s="6">
        <v>0</v>
      </c>
      <c r="H37" s="6">
        <v>0</v>
      </c>
      <c r="I37" s="6">
        <v>99999</v>
      </c>
      <c r="J37" s="6">
        <v>0</v>
      </c>
      <c r="K37" s="6">
        <v>0</v>
      </c>
      <c r="L37" s="6" t="s">
        <v>1562</v>
      </c>
      <c r="M37" s="6">
        <v>1</v>
      </c>
      <c r="N37" s="6">
        <v>14</v>
      </c>
      <c r="P37" s="6">
        <v>0</v>
      </c>
      <c r="Q37" s="6">
        <v>0</v>
      </c>
      <c r="S37" s="6">
        <v>780</v>
      </c>
      <c r="T37" s="6">
        <v>0</v>
      </c>
      <c r="V37" s="6">
        <v>1</v>
      </c>
      <c r="W37" s="6">
        <v>1</v>
      </c>
      <c r="X37" s="6" t="s">
        <v>1090</v>
      </c>
      <c r="Y37" s="6" t="s">
        <v>1083</v>
      </c>
      <c r="Z37" s="6" t="s">
        <v>2429</v>
      </c>
      <c r="AA37" s="6" t="s">
        <v>1297</v>
      </c>
      <c r="AB37" s="6">
        <v>0</v>
      </c>
      <c r="AC37" s="6">
        <v>15</v>
      </c>
      <c r="AD37" s="6">
        <v>0</v>
      </c>
      <c r="AE37" s="6">
        <v>0</v>
      </c>
      <c r="AF37" s="6">
        <v>1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P37" s="6">
        <v>0</v>
      </c>
      <c r="AQ37" s="6">
        <v>1</v>
      </c>
      <c r="AR37" s="6">
        <v>0</v>
      </c>
      <c r="AS37" s="6">
        <v>0</v>
      </c>
      <c r="BE37" s="6">
        <v>240</v>
      </c>
      <c r="BG37" s="6">
        <v>1</v>
      </c>
      <c r="BL37" s="6">
        <v>1</v>
      </c>
    </row>
    <row r="38" spans="1:64" s="6" customFormat="1">
      <c r="A38" s="6">
        <v>363</v>
      </c>
      <c r="B38" s="6" t="s">
        <v>1099</v>
      </c>
      <c r="C38" s="6" t="s">
        <v>540</v>
      </c>
      <c r="D38" s="6" t="s">
        <v>550</v>
      </c>
      <c r="E38" s="6">
        <v>1</v>
      </c>
      <c r="F38" s="6" t="s">
        <v>959</v>
      </c>
      <c r="G38" s="6">
        <v>0</v>
      </c>
      <c r="H38" s="6">
        <v>0</v>
      </c>
      <c r="I38" s="6">
        <v>99999</v>
      </c>
      <c r="J38" s="6">
        <v>0</v>
      </c>
      <c r="K38" s="6">
        <v>0</v>
      </c>
      <c r="L38" s="6" t="s">
        <v>1562</v>
      </c>
      <c r="M38" s="6">
        <v>1</v>
      </c>
      <c r="N38" s="6">
        <v>21</v>
      </c>
      <c r="P38" s="6">
        <v>0</v>
      </c>
      <c r="Q38" s="6">
        <v>0</v>
      </c>
      <c r="S38" s="6">
        <v>2100</v>
      </c>
      <c r="T38" s="6">
        <v>0</v>
      </c>
      <c r="V38" s="6">
        <v>1</v>
      </c>
      <c r="W38" s="6">
        <v>1</v>
      </c>
      <c r="X38" s="6" t="s">
        <v>1091</v>
      </c>
      <c r="Y38" s="6" t="s">
        <v>1084</v>
      </c>
      <c r="Z38" s="6" t="s">
        <v>2430</v>
      </c>
      <c r="AA38" s="6" t="s">
        <v>2299</v>
      </c>
      <c r="AB38" s="6">
        <v>0</v>
      </c>
      <c r="AC38" s="6">
        <v>15</v>
      </c>
      <c r="AD38" s="6">
        <v>0</v>
      </c>
      <c r="AE38" s="6">
        <v>0</v>
      </c>
      <c r="AF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P38" s="6">
        <v>0</v>
      </c>
      <c r="AQ38" s="6">
        <v>1</v>
      </c>
      <c r="AR38" s="6">
        <v>0</v>
      </c>
      <c r="AS38" s="6">
        <v>0</v>
      </c>
      <c r="BE38" s="6">
        <v>240</v>
      </c>
      <c r="BG38" s="6">
        <v>1</v>
      </c>
      <c r="BL38" s="6">
        <v>1</v>
      </c>
    </row>
    <row r="39" spans="1:64" s="6" customFormat="1">
      <c r="A39" s="6">
        <v>366</v>
      </c>
      <c r="B39" s="6" t="s">
        <v>3311</v>
      </c>
      <c r="C39" s="6" t="s">
        <v>540</v>
      </c>
      <c r="D39" s="6" t="s">
        <v>550</v>
      </c>
      <c r="E39" s="6">
        <v>1</v>
      </c>
      <c r="F39" s="6" t="s">
        <v>959</v>
      </c>
      <c r="G39" s="6">
        <v>0</v>
      </c>
      <c r="H39" s="6">
        <v>0</v>
      </c>
      <c r="I39" s="6">
        <v>99999</v>
      </c>
      <c r="J39" s="6">
        <v>0</v>
      </c>
      <c r="K39" s="6">
        <v>0</v>
      </c>
      <c r="L39" s="6" t="s">
        <v>1562</v>
      </c>
      <c r="M39" s="6">
        <v>1</v>
      </c>
      <c r="N39" s="6">
        <v>7</v>
      </c>
      <c r="P39" s="6">
        <v>0</v>
      </c>
      <c r="Q39" s="6">
        <v>0</v>
      </c>
      <c r="S39" s="6">
        <v>240</v>
      </c>
      <c r="T39" s="6">
        <v>0</v>
      </c>
      <c r="V39" s="6">
        <v>1</v>
      </c>
      <c r="W39" s="6">
        <v>1</v>
      </c>
      <c r="X39" s="6" t="s">
        <v>3321</v>
      </c>
      <c r="Y39" s="6" t="s">
        <v>1082</v>
      </c>
      <c r="Z39" s="6" t="s">
        <v>2428</v>
      </c>
      <c r="AA39" s="6" t="s">
        <v>1297</v>
      </c>
      <c r="AB39" s="6">
        <v>0</v>
      </c>
      <c r="AC39" s="6">
        <v>15</v>
      </c>
      <c r="AD39" s="6">
        <v>0</v>
      </c>
      <c r="AE39" s="6">
        <v>0</v>
      </c>
      <c r="AF39" s="6">
        <v>1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P39" s="6">
        <v>0</v>
      </c>
      <c r="AR39" s="6">
        <v>0</v>
      </c>
      <c r="AS39" s="6">
        <v>0</v>
      </c>
      <c r="BE39" s="6">
        <v>240</v>
      </c>
      <c r="BG39" s="6">
        <v>1</v>
      </c>
      <c r="BL39" s="6">
        <v>1</v>
      </c>
    </row>
    <row r="40" spans="1:64" s="6" customFormat="1">
      <c r="A40" s="6">
        <v>367</v>
      </c>
      <c r="B40" s="6" t="s">
        <v>3312</v>
      </c>
      <c r="C40" s="6" t="s">
        <v>540</v>
      </c>
      <c r="D40" s="6" t="s">
        <v>550</v>
      </c>
      <c r="E40" s="6">
        <v>1</v>
      </c>
      <c r="F40" s="6" t="s">
        <v>959</v>
      </c>
      <c r="G40" s="6">
        <v>0</v>
      </c>
      <c r="H40" s="6">
        <v>0</v>
      </c>
      <c r="I40" s="6">
        <v>99999</v>
      </c>
      <c r="J40" s="6">
        <v>0</v>
      </c>
      <c r="K40" s="6">
        <v>0</v>
      </c>
      <c r="L40" s="6" t="s">
        <v>1562</v>
      </c>
      <c r="M40" s="6">
        <v>1</v>
      </c>
      <c r="N40" s="6">
        <v>14</v>
      </c>
      <c r="P40" s="6">
        <v>0</v>
      </c>
      <c r="Q40" s="6">
        <v>0</v>
      </c>
      <c r="S40" s="6">
        <v>780</v>
      </c>
      <c r="T40" s="6">
        <v>0</v>
      </c>
      <c r="V40" s="6">
        <v>1</v>
      </c>
      <c r="W40" s="6">
        <v>1</v>
      </c>
      <c r="X40" s="6" t="s">
        <v>3322</v>
      </c>
      <c r="Y40" s="6" t="s">
        <v>1083</v>
      </c>
      <c r="Z40" s="6" t="s">
        <v>2429</v>
      </c>
      <c r="AA40" s="6" t="s">
        <v>1297</v>
      </c>
      <c r="AB40" s="6">
        <v>0</v>
      </c>
      <c r="AC40" s="6">
        <v>15</v>
      </c>
      <c r="AD40" s="6">
        <v>0</v>
      </c>
      <c r="AE40" s="6">
        <v>0</v>
      </c>
      <c r="AF40" s="6">
        <v>1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P40" s="6">
        <v>0</v>
      </c>
      <c r="AQ40" s="6">
        <v>1</v>
      </c>
      <c r="AR40" s="6">
        <v>0</v>
      </c>
      <c r="AS40" s="6">
        <v>0</v>
      </c>
      <c r="BE40" s="6">
        <v>240</v>
      </c>
      <c r="BG40" s="6">
        <v>1</v>
      </c>
      <c r="BL40" s="6">
        <v>1</v>
      </c>
    </row>
    <row r="41" spans="1:64" s="6" customFormat="1">
      <c r="A41" s="6">
        <v>368</v>
      </c>
      <c r="B41" s="6" t="s">
        <v>3313</v>
      </c>
      <c r="C41" s="6" t="s">
        <v>540</v>
      </c>
      <c r="D41" s="6" t="s">
        <v>550</v>
      </c>
      <c r="E41" s="6">
        <v>1</v>
      </c>
      <c r="F41" s="6" t="s">
        <v>959</v>
      </c>
      <c r="G41" s="6">
        <v>0</v>
      </c>
      <c r="H41" s="6">
        <v>0</v>
      </c>
      <c r="I41" s="6">
        <v>99999</v>
      </c>
      <c r="J41" s="6">
        <v>0</v>
      </c>
      <c r="K41" s="6">
        <v>0</v>
      </c>
      <c r="L41" s="6" t="s">
        <v>1562</v>
      </c>
      <c r="M41" s="6">
        <v>1</v>
      </c>
      <c r="N41" s="6">
        <v>21</v>
      </c>
      <c r="P41" s="6">
        <v>0</v>
      </c>
      <c r="Q41" s="6">
        <v>0</v>
      </c>
      <c r="S41" s="6">
        <v>2100</v>
      </c>
      <c r="T41" s="6">
        <v>0</v>
      </c>
      <c r="V41" s="6">
        <v>1</v>
      </c>
      <c r="W41" s="6">
        <v>1</v>
      </c>
      <c r="X41" s="6" t="s">
        <v>3323</v>
      </c>
      <c r="Y41" s="6" t="s">
        <v>1084</v>
      </c>
      <c r="Z41" s="6" t="s">
        <v>2430</v>
      </c>
      <c r="AA41" s="6" t="s">
        <v>2299</v>
      </c>
      <c r="AB41" s="6">
        <v>0</v>
      </c>
      <c r="AC41" s="6">
        <v>15</v>
      </c>
      <c r="AD41" s="6">
        <v>0</v>
      </c>
      <c r="AE41" s="6">
        <v>0</v>
      </c>
      <c r="AF41" s="6">
        <v>1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P41" s="6">
        <v>0</v>
      </c>
      <c r="AQ41" s="6">
        <v>1</v>
      </c>
      <c r="AR41" s="6">
        <v>0</v>
      </c>
      <c r="AS41" s="6">
        <v>0</v>
      </c>
      <c r="BE41" s="6">
        <v>240</v>
      </c>
      <c r="BG41" s="6">
        <v>1</v>
      </c>
      <c r="BL41" s="6">
        <v>1</v>
      </c>
    </row>
    <row r="42" spans="1:64" s="6" customFormat="1">
      <c r="A42" s="6">
        <v>371</v>
      </c>
      <c r="B42" s="6" t="s">
        <v>1043</v>
      </c>
      <c r="C42" s="6" t="s">
        <v>540</v>
      </c>
      <c r="D42" s="6" t="s">
        <v>550</v>
      </c>
      <c r="E42" s="6">
        <v>1</v>
      </c>
      <c r="F42" s="6" t="s">
        <v>959</v>
      </c>
      <c r="G42" s="6">
        <v>0</v>
      </c>
      <c r="H42" s="6">
        <v>0</v>
      </c>
      <c r="I42" s="6">
        <v>99999</v>
      </c>
      <c r="J42" s="6">
        <v>0</v>
      </c>
      <c r="K42" s="6">
        <v>0</v>
      </c>
      <c r="L42" s="6" t="s">
        <v>1562</v>
      </c>
      <c r="M42" s="6">
        <v>1</v>
      </c>
      <c r="N42" s="6">
        <v>7</v>
      </c>
      <c r="P42" s="6">
        <v>0</v>
      </c>
      <c r="Q42" s="6">
        <v>0</v>
      </c>
      <c r="S42" s="6">
        <v>240</v>
      </c>
      <c r="T42" s="6">
        <v>0</v>
      </c>
      <c r="V42" s="6">
        <v>1</v>
      </c>
      <c r="W42" s="6">
        <v>1</v>
      </c>
      <c r="X42" s="6" t="s">
        <v>1092</v>
      </c>
      <c r="Y42" s="6" t="s">
        <v>1085</v>
      </c>
      <c r="Z42" s="6" t="s">
        <v>2431</v>
      </c>
      <c r="AA42" s="6" t="s">
        <v>1298</v>
      </c>
      <c r="AB42" s="6">
        <v>0</v>
      </c>
      <c r="AC42" s="6">
        <v>15</v>
      </c>
      <c r="AD42" s="6">
        <v>0</v>
      </c>
      <c r="AE42" s="6">
        <v>0</v>
      </c>
      <c r="AF42" s="6">
        <v>1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P42" s="6">
        <v>0</v>
      </c>
      <c r="AR42" s="6">
        <v>0</v>
      </c>
      <c r="AS42" s="6">
        <v>0</v>
      </c>
      <c r="BE42" s="6">
        <v>240</v>
      </c>
      <c r="BG42" s="6">
        <v>1</v>
      </c>
      <c r="BL42" s="6">
        <v>1</v>
      </c>
    </row>
    <row r="43" spans="1:64" s="6" customFormat="1">
      <c r="A43" s="6">
        <v>372</v>
      </c>
      <c r="B43" s="6" t="s">
        <v>1100</v>
      </c>
      <c r="C43" s="6" t="s">
        <v>540</v>
      </c>
      <c r="D43" s="6" t="s">
        <v>550</v>
      </c>
      <c r="E43" s="6">
        <v>1</v>
      </c>
      <c r="F43" s="6" t="s">
        <v>959</v>
      </c>
      <c r="G43" s="6">
        <v>0</v>
      </c>
      <c r="H43" s="6">
        <v>0</v>
      </c>
      <c r="I43" s="6">
        <v>99999</v>
      </c>
      <c r="J43" s="6">
        <v>0</v>
      </c>
      <c r="K43" s="6">
        <v>0</v>
      </c>
      <c r="L43" s="6" t="s">
        <v>1562</v>
      </c>
      <c r="M43" s="6">
        <v>1</v>
      </c>
      <c r="N43" s="6">
        <v>14</v>
      </c>
      <c r="P43" s="6">
        <v>0</v>
      </c>
      <c r="Q43" s="6">
        <v>0</v>
      </c>
      <c r="S43" s="6">
        <v>780</v>
      </c>
      <c r="T43" s="6">
        <v>0</v>
      </c>
      <c r="V43" s="6">
        <v>1</v>
      </c>
      <c r="W43" s="6">
        <v>1</v>
      </c>
      <c r="X43" s="6" t="s">
        <v>1093</v>
      </c>
      <c r="Y43" s="6" t="s">
        <v>1086</v>
      </c>
      <c r="Z43" s="6" t="s">
        <v>2432</v>
      </c>
      <c r="AA43" s="6" t="s">
        <v>1298</v>
      </c>
      <c r="AB43" s="6">
        <v>0</v>
      </c>
      <c r="AC43" s="6">
        <v>15</v>
      </c>
      <c r="AD43" s="6">
        <v>0</v>
      </c>
      <c r="AE43" s="6">
        <v>0</v>
      </c>
      <c r="AF43" s="6">
        <v>1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P43" s="6">
        <v>0</v>
      </c>
      <c r="AQ43" s="6">
        <v>1</v>
      </c>
      <c r="AR43" s="6">
        <v>0</v>
      </c>
      <c r="AS43" s="6">
        <v>0</v>
      </c>
      <c r="BE43" s="6">
        <v>240</v>
      </c>
      <c r="BG43" s="6">
        <v>1</v>
      </c>
      <c r="BL43" s="6">
        <v>1</v>
      </c>
    </row>
    <row r="44" spans="1:64" s="6" customFormat="1">
      <c r="A44" s="6">
        <v>373</v>
      </c>
      <c r="B44" s="6" t="s">
        <v>1101</v>
      </c>
      <c r="C44" s="6" t="s">
        <v>540</v>
      </c>
      <c r="D44" s="6" t="s">
        <v>550</v>
      </c>
      <c r="E44" s="6">
        <v>1</v>
      </c>
      <c r="F44" s="6" t="s">
        <v>959</v>
      </c>
      <c r="G44" s="6">
        <v>0</v>
      </c>
      <c r="H44" s="6">
        <v>0</v>
      </c>
      <c r="I44" s="6">
        <v>99999</v>
      </c>
      <c r="J44" s="6">
        <v>0</v>
      </c>
      <c r="K44" s="6">
        <v>0</v>
      </c>
      <c r="L44" s="6" t="s">
        <v>1562</v>
      </c>
      <c r="M44" s="6">
        <v>1</v>
      </c>
      <c r="N44" s="6">
        <v>21</v>
      </c>
      <c r="P44" s="6">
        <v>0</v>
      </c>
      <c r="Q44" s="6">
        <v>0</v>
      </c>
      <c r="S44" s="6">
        <v>2100</v>
      </c>
      <c r="T44" s="6">
        <v>0</v>
      </c>
      <c r="V44" s="6">
        <v>1</v>
      </c>
      <c r="W44" s="6">
        <v>1</v>
      </c>
      <c r="X44" s="6" t="s">
        <v>1094</v>
      </c>
      <c r="Y44" s="6" t="s">
        <v>1087</v>
      </c>
      <c r="Z44" s="6" t="s">
        <v>2433</v>
      </c>
      <c r="AA44" s="6" t="s">
        <v>1298</v>
      </c>
      <c r="AB44" s="6">
        <v>0</v>
      </c>
      <c r="AC44" s="6">
        <v>15</v>
      </c>
      <c r="AD44" s="6">
        <v>0</v>
      </c>
      <c r="AE44" s="6">
        <v>0</v>
      </c>
      <c r="AF44" s="6">
        <v>1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P44" s="6">
        <v>0</v>
      </c>
      <c r="AQ44" s="6">
        <v>1</v>
      </c>
      <c r="AR44" s="6">
        <v>0</v>
      </c>
      <c r="AS44" s="6">
        <v>0</v>
      </c>
      <c r="BE44" s="6">
        <v>240</v>
      </c>
      <c r="BG44" s="6">
        <v>1</v>
      </c>
      <c r="BL44" s="6">
        <v>1</v>
      </c>
    </row>
    <row r="45" spans="1:64" s="6" customFormat="1">
      <c r="A45" s="6">
        <v>376</v>
      </c>
      <c r="B45" s="6" t="s">
        <v>3314</v>
      </c>
      <c r="C45" s="6" t="s">
        <v>540</v>
      </c>
      <c r="D45" s="6" t="s">
        <v>550</v>
      </c>
      <c r="E45" s="6">
        <v>1</v>
      </c>
      <c r="F45" s="6" t="s">
        <v>959</v>
      </c>
      <c r="G45" s="6">
        <v>0</v>
      </c>
      <c r="H45" s="6">
        <v>0</v>
      </c>
      <c r="I45" s="6">
        <v>99999</v>
      </c>
      <c r="J45" s="6">
        <v>0</v>
      </c>
      <c r="K45" s="6">
        <v>0</v>
      </c>
      <c r="L45" s="6" t="s">
        <v>1562</v>
      </c>
      <c r="M45" s="6">
        <v>1</v>
      </c>
      <c r="N45" s="6">
        <v>7</v>
      </c>
      <c r="P45" s="6">
        <v>0</v>
      </c>
      <c r="Q45" s="6">
        <v>0</v>
      </c>
      <c r="S45" s="6">
        <v>240</v>
      </c>
      <c r="T45" s="6">
        <v>0</v>
      </c>
      <c r="V45" s="6">
        <v>1</v>
      </c>
      <c r="W45" s="6">
        <v>1</v>
      </c>
      <c r="X45" s="6" t="s">
        <v>3324</v>
      </c>
      <c r="Y45" s="6" t="s">
        <v>1085</v>
      </c>
      <c r="Z45" s="6" t="s">
        <v>2431</v>
      </c>
      <c r="AA45" s="6" t="s">
        <v>1298</v>
      </c>
      <c r="AB45" s="6">
        <v>0</v>
      </c>
      <c r="AC45" s="6">
        <v>15</v>
      </c>
      <c r="AD45" s="6">
        <v>0</v>
      </c>
      <c r="AE45" s="6">
        <v>0</v>
      </c>
      <c r="AF45" s="6">
        <v>1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P45" s="6">
        <v>0</v>
      </c>
      <c r="AR45" s="6">
        <v>0</v>
      </c>
      <c r="AS45" s="6">
        <v>0</v>
      </c>
      <c r="BE45" s="6">
        <v>240</v>
      </c>
      <c r="BG45" s="6">
        <v>1</v>
      </c>
      <c r="BL45" s="6">
        <v>1</v>
      </c>
    </row>
    <row r="46" spans="1:64" s="6" customFormat="1">
      <c r="A46" s="6">
        <v>377</v>
      </c>
      <c r="B46" s="6" t="s">
        <v>3315</v>
      </c>
      <c r="C46" s="6" t="s">
        <v>540</v>
      </c>
      <c r="D46" s="6" t="s">
        <v>550</v>
      </c>
      <c r="E46" s="6">
        <v>1</v>
      </c>
      <c r="F46" s="6" t="s">
        <v>959</v>
      </c>
      <c r="G46" s="6">
        <v>0</v>
      </c>
      <c r="H46" s="6">
        <v>0</v>
      </c>
      <c r="I46" s="6">
        <v>99999</v>
      </c>
      <c r="J46" s="6">
        <v>0</v>
      </c>
      <c r="K46" s="6">
        <v>0</v>
      </c>
      <c r="L46" s="6" t="s">
        <v>1562</v>
      </c>
      <c r="M46" s="6">
        <v>1</v>
      </c>
      <c r="N46" s="6">
        <v>14</v>
      </c>
      <c r="P46" s="6">
        <v>0</v>
      </c>
      <c r="Q46" s="6">
        <v>0</v>
      </c>
      <c r="S46" s="6">
        <v>780</v>
      </c>
      <c r="T46" s="6">
        <v>0</v>
      </c>
      <c r="V46" s="6">
        <v>1</v>
      </c>
      <c r="W46" s="6">
        <v>1</v>
      </c>
      <c r="X46" s="6" t="s">
        <v>3325</v>
      </c>
      <c r="Y46" s="6" t="s">
        <v>1086</v>
      </c>
      <c r="Z46" s="6" t="s">
        <v>2432</v>
      </c>
      <c r="AA46" s="6" t="s">
        <v>1298</v>
      </c>
      <c r="AB46" s="6">
        <v>0</v>
      </c>
      <c r="AC46" s="6">
        <v>15</v>
      </c>
      <c r="AD46" s="6">
        <v>0</v>
      </c>
      <c r="AE46" s="6">
        <v>0</v>
      </c>
      <c r="AF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P46" s="6">
        <v>0</v>
      </c>
      <c r="AQ46" s="6">
        <v>1</v>
      </c>
      <c r="AR46" s="6">
        <v>0</v>
      </c>
      <c r="AS46" s="6">
        <v>0</v>
      </c>
      <c r="BE46" s="6">
        <v>240</v>
      </c>
      <c r="BG46" s="6">
        <v>1</v>
      </c>
      <c r="BL46" s="6">
        <v>1</v>
      </c>
    </row>
    <row r="47" spans="1:64" s="6" customFormat="1">
      <c r="A47" s="6">
        <v>378</v>
      </c>
      <c r="B47" s="6" t="s">
        <v>3316</v>
      </c>
      <c r="C47" s="6" t="s">
        <v>540</v>
      </c>
      <c r="D47" s="6" t="s">
        <v>550</v>
      </c>
      <c r="E47" s="6">
        <v>1</v>
      </c>
      <c r="F47" s="6" t="s">
        <v>959</v>
      </c>
      <c r="G47" s="6">
        <v>0</v>
      </c>
      <c r="H47" s="6">
        <v>0</v>
      </c>
      <c r="I47" s="6">
        <v>99999</v>
      </c>
      <c r="J47" s="6">
        <v>0</v>
      </c>
      <c r="K47" s="6">
        <v>0</v>
      </c>
      <c r="L47" s="6" t="s">
        <v>1562</v>
      </c>
      <c r="M47" s="6">
        <v>1</v>
      </c>
      <c r="N47" s="6">
        <v>21</v>
      </c>
      <c r="P47" s="6">
        <v>0</v>
      </c>
      <c r="Q47" s="6">
        <v>0</v>
      </c>
      <c r="S47" s="6">
        <v>2100</v>
      </c>
      <c r="T47" s="6">
        <v>0</v>
      </c>
      <c r="V47" s="6">
        <v>1</v>
      </c>
      <c r="W47" s="6">
        <v>1</v>
      </c>
      <c r="X47" s="6" t="s">
        <v>3326</v>
      </c>
      <c r="Y47" s="6" t="s">
        <v>1087</v>
      </c>
      <c r="Z47" s="6" t="s">
        <v>2433</v>
      </c>
      <c r="AA47" s="6" t="s">
        <v>1298</v>
      </c>
      <c r="AB47" s="6">
        <v>0</v>
      </c>
      <c r="AC47" s="6">
        <v>15</v>
      </c>
      <c r="AD47" s="6">
        <v>0</v>
      </c>
      <c r="AE47" s="6">
        <v>0</v>
      </c>
      <c r="AF47" s="6">
        <v>1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P47" s="6">
        <v>0</v>
      </c>
      <c r="AQ47" s="6">
        <v>1</v>
      </c>
      <c r="AR47" s="6">
        <v>0</v>
      </c>
      <c r="AS47" s="6">
        <v>0</v>
      </c>
      <c r="BE47" s="6">
        <v>240</v>
      </c>
      <c r="BG47" s="6">
        <v>1</v>
      </c>
      <c r="BL47" s="6">
        <v>1</v>
      </c>
    </row>
    <row r="48" spans="1:64" s="6" customFormat="1">
      <c r="A48" s="6">
        <v>381</v>
      </c>
      <c r="B48" s="6" t="s">
        <v>1102</v>
      </c>
      <c r="C48" s="6" t="s">
        <v>540</v>
      </c>
      <c r="D48" s="6" t="s">
        <v>550</v>
      </c>
      <c r="E48" s="6">
        <v>1</v>
      </c>
      <c r="F48" s="6" t="s">
        <v>959</v>
      </c>
      <c r="G48" s="6">
        <v>0</v>
      </c>
      <c r="H48" s="6">
        <v>0</v>
      </c>
      <c r="I48" s="6">
        <v>99999</v>
      </c>
      <c r="J48" s="6">
        <v>0</v>
      </c>
      <c r="K48" s="6">
        <v>0</v>
      </c>
      <c r="L48" s="6" t="s">
        <v>1562</v>
      </c>
      <c r="M48" s="6">
        <v>1</v>
      </c>
      <c r="N48" s="6">
        <v>7</v>
      </c>
      <c r="P48" s="6">
        <v>0</v>
      </c>
      <c r="Q48" s="6">
        <v>0</v>
      </c>
      <c r="S48" s="6">
        <v>3000</v>
      </c>
      <c r="T48" s="6">
        <v>0</v>
      </c>
      <c r="V48" s="6">
        <v>1</v>
      </c>
      <c r="W48" s="6">
        <v>1</v>
      </c>
      <c r="X48" s="6" t="s">
        <v>1097</v>
      </c>
      <c r="Y48" s="6" t="s">
        <v>1088</v>
      </c>
      <c r="Z48" s="6" t="s">
        <v>2434</v>
      </c>
      <c r="AA48" s="6" t="s">
        <v>1299</v>
      </c>
      <c r="AB48" s="6">
        <v>0</v>
      </c>
      <c r="AC48" s="6">
        <v>15</v>
      </c>
      <c r="AD48" s="6">
        <v>0</v>
      </c>
      <c r="AE48" s="6">
        <v>0</v>
      </c>
      <c r="AF48" s="6">
        <v>1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P48" s="6">
        <v>0</v>
      </c>
      <c r="AQ48" s="6">
        <v>1</v>
      </c>
      <c r="AR48" s="6">
        <v>0</v>
      </c>
      <c r="AS48" s="6">
        <v>0</v>
      </c>
      <c r="BE48" s="6">
        <v>240</v>
      </c>
      <c r="BG48" s="6">
        <v>1</v>
      </c>
      <c r="BL48" s="6">
        <v>1</v>
      </c>
    </row>
    <row r="49" spans="1:64" s="6" customFormat="1">
      <c r="A49" s="6">
        <v>382</v>
      </c>
      <c r="B49" s="6" t="s">
        <v>1103</v>
      </c>
      <c r="C49" s="6" t="s">
        <v>540</v>
      </c>
      <c r="D49" s="6" t="s">
        <v>550</v>
      </c>
      <c r="E49" s="6">
        <v>1</v>
      </c>
      <c r="F49" s="6" t="s">
        <v>959</v>
      </c>
      <c r="G49" s="6">
        <v>0</v>
      </c>
      <c r="H49" s="6">
        <v>0</v>
      </c>
      <c r="I49" s="6">
        <v>99999</v>
      </c>
      <c r="J49" s="6">
        <v>0</v>
      </c>
      <c r="K49" s="6">
        <v>0</v>
      </c>
      <c r="L49" s="6" t="s">
        <v>1562</v>
      </c>
      <c r="M49" s="6">
        <v>1</v>
      </c>
      <c r="N49" s="6">
        <v>14</v>
      </c>
      <c r="P49" s="6">
        <v>0</v>
      </c>
      <c r="Q49" s="6">
        <v>0</v>
      </c>
      <c r="S49" s="6">
        <v>7500</v>
      </c>
      <c r="T49" s="6">
        <v>0</v>
      </c>
      <c r="V49" s="6">
        <v>1</v>
      </c>
      <c r="W49" s="6">
        <v>1</v>
      </c>
      <c r="X49" s="6" t="s">
        <v>1095</v>
      </c>
      <c r="Y49" s="6" t="s">
        <v>1089</v>
      </c>
      <c r="Z49" s="6" t="s">
        <v>2435</v>
      </c>
      <c r="AA49" s="6" t="s">
        <v>1299</v>
      </c>
      <c r="AB49" s="6">
        <v>0</v>
      </c>
      <c r="AC49" s="6">
        <v>15</v>
      </c>
      <c r="AD49" s="6">
        <v>0</v>
      </c>
      <c r="AE49" s="6">
        <v>0</v>
      </c>
      <c r="AF49" s="6">
        <v>1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P49" s="6">
        <v>0</v>
      </c>
      <c r="AQ49" s="6">
        <v>1</v>
      </c>
      <c r="AR49" s="6">
        <v>0</v>
      </c>
      <c r="AS49" s="6">
        <v>0</v>
      </c>
      <c r="BE49" s="6">
        <v>240</v>
      </c>
      <c r="BG49" s="6">
        <v>1</v>
      </c>
      <c r="BL49" s="6">
        <v>1</v>
      </c>
    </row>
    <row r="50" spans="1:64" s="31" customFormat="1">
      <c r="A50" s="31">
        <v>383</v>
      </c>
      <c r="B50" s="31" t="s">
        <v>3147</v>
      </c>
      <c r="C50" s="31" t="s">
        <v>540</v>
      </c>
      <c r="D50" s="6" t="s">
        <v>550</v>
      </c>
      <c r="E50" s="31">
        <v>1</v>
      </c>
      <c r="F50" s="31" t="s">
        <v>959</v>
      </c>
      <c r="G50" s="31">
        <v>0</v>
      </c>
      <c r="H50" s="31">
        <v>0</v>
      </c>
      <c r="I50" s="31">
        <v>99999</v>
      </c>
      <c r="J50" s="31">
        <v>0</v>
      </c>
      <c r="K50" s="31">
        <v>0</v>
      </c>
      <c r="L50" s="31" t="s">
        <v>1562</v>
      </c>
      <c r="M50" s="31">
        <v>1</v>
      </c>
      <c r="N50" s="35">
        <v>7</v>
      </c>
      <c r="P50" s="31">
        <v>0</v>
      </c>
      <c r="Q50" s="31">
        <v>0</v>
      </c>
      <c r="S50" s="31">
        <v>15000</v>
      </c>
      <c r="T50" s="31">
        <v>0</v>
      </c>
      <c r="V50" s="31">
        <v>1</v>
      </c>
      <c r="W50" s="31">
        <v>1</v>
      </c>
      <c r="X50" s="35" t="s">
        <v>3146</v>
      </c>
      <c r="Y50" s="31" t="s">
        <v>3162</v>
      </c>
      <c r="Z50" s="6" t="s">
        <v>3163</v>
      </c>
      <c r="AA50" s="31" t="s">
        <v>3161</v>
      </c>
      <c r="AB50" s="31">
        <v>0</v>
      </c>
      <c r="AC50" s="31">
        <v>15</v>
      </c>
      <c r="AD50" s="31">
        <v>0</v>
      </c>
      <c r="AE50" s="31">
        <v>0</v>
      </c>
      <c r="AF50" s="31">
        <v>1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P50" s="31">
        <v>1</v>
      </c>
      <c r="AR50" s="31">
        <v>0</v>
      </c>
      <c r="AS50" s="31">
        <v>0</v>
      </c>
      <c r="BE50" s="35">
        <v>240</v>
      </c>
      <c r="BG50" s="31">
        <v>1</v>
      </c>
      <c r="BL50" s="6">
        <v>1</v>
      </c>
    </row>
    <row r="51" spans="1:64" s="31" customFormat="1">
      <c r="A51" s="31">
        <v>384</v>
      </c>
      <c r="B51" s="31" t="s">
        <v>3164</v>
      </c>
      <c r="C51" s="31" t="s">
        <v>540</v>
      </c>
      <c r="D51" s="6" t="s">
        <v>550</v>
      </c>
      <c r="E51" s="31">
        <v>1</v>
      </c>
      <c r="F51" s="31" t="s">
        <v>959</v>
      </c>
      <c r="G51" s="31">
        <v>0</v>
      </c>
      <c r="H51" s="31">
        <v>0</v>
      </c>
      <c r="I51" s="31">
        <v>99999</v>
      </c>
      <c r="J51" s="31">
        <v>0</v>
      </c>
      <c r="K51" s="31">
        <v>0</v>
      </c>
      <c r="L51" s="31" t="s">
        <v>1562</v>
      </c>
      <c r="M51" s="31">
        <v>1</v>
      </c>
      <c r="N51" s="35">
        <v>7</v>
      </c>
      <c r="P51" s="31">
        <v>0</v>
      </c>
      <c r="Q51" s="31">
        <v>0</v>
      </c>
      <c r="S51" s="31">
        <v>12000</v>
      </c>
      <c r="T51" s="31">
        <v>0</v>
      </c>
      <c r="V51" s="31">
        <v>1</v>
      </c>
      <c r="W51" s="31">
        <v>1</v>
      </c>
      <c r="X51" s="35" t="s">
        <v>3158</v>
      </c>
      <c r="Y51" s="31" t="s">
        <v>3159</v>
      </c>
      <c r="Z51" s="6" t="s">
        <v>3165</v>
      </c>
      <c r="AA51" s="31" t="s">
        <v>3160</v>
      </c>
      <c r="AB51" s="31">
        <v>0</v>
      </c>
      <c r="AC51" s="31">
        <v>15</v>
      </c>
      <c r="AD51" s="31">
        <v>0</v>
      </c>
      <c r="AE51" s="31">
        <v>0</v>
      </c>
      <c r="AF51" s="31">
        <v>1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P51" s="31">
        <v>1</v>
      </c>
      <c r="AR51" s="31">
        <v>0</v>
      </c>
      <c r="AS51" s="31">
        <v>0</v>
      </c>
      <c r="BE51" s="35">
        <v>240</v>
      </c>
      <c r="BG51" s="31">
        <v>1</v>
      </c>
      <c r="BL51" s="6">
        <v>1</v>
      </c>
    </row>
    <row r="52" spans="1:64" s="6" customFormat="1">
      <c r="A52" s="6">
        <v>386</v>
      </c>
      <c r="B52" s="6" t="s">
        <v>3317</v>
      </c>
      <c r="C52" s="6" t="s">
        <v>540</v>
      </c>
      <c r="D52" s="6" t="s">
        <v>550</v>
      </c>
      <c r="E52" s="6">
        <v>1</v>
      </c>
      <c r="F52" s="6" t="s">
        <v>959</v>
      </c>
      <c r="G52" s="6">
        <v>0</v>
      </c>
      <c r="H52" s="6">
        <v>0</v>
      </c>
      <c r="I52" s="6">
        <v>99999</v>
      </c>
      <c r="J52" s="6">
        <v>0</v>
      </c>
      <c r="K52" s="6">
        <v>0</v>
      </c>
      <c r="L52" s="6" t="s">
        <v>1562</v>
      </c>
      <c r="M52" s="6">
        <v>1</v>
      </c>
      <c r="N52" s="6">
        <v>7</v>
      </c>
      <c r="P52" s="6">
        <v>0</v>
      </c>
      <c r="Q52" s="6">
        <v>0</v>
      </c>
      <c r="S52" s="6">
        <v>3000</v>
      </c>
      <c r="T52" s="6">
        <v>0</v>
      </c>
      <c r="V52" s="6">
        <v>1</v>
      </c>
      <c r="W52" s="6">
        <v>1</v>
      </c>
      <c r="X52" s="6" t="s">
        <v>3327</v>
      </c>
      <c r="Y52" s="6" t="s">
        <v>1088</v>
      </c>
      <c r="Z52" s="6" t="s">
        <v>2434</v>
      </c>
      <c r="AA52" s="6" t="s">
        <v>1299</v>
      </c>
      <c r="AB52" s="6">
        <v>0</v>
      </c>
      <c r="AC52" s="6">
        <v>15</v>
      </c>
      <c r="AD52" s="6">
        <v>0</v>
      </c>
      <c r="AE52" s="6">
        <v>0</v>
      </c>
      <c r="AF52" s="6">
        <v>1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P52" s="6">
        <v>0</v>
      </c>
      <c r="AQ52" s="6">
        <v>1</v>
      </c>
      <c r="AR52" s="6">
        <v>0</v>
      </c>
      <c r="AS52" s="6">
        <v>0</v>
      </c>
      <c r="BE52" s="6">
        <v>240</v>
      </c>
      <c r="BG52" s="6">
        <v>1</v>
      </c>
      <c r="BL52" s="6">
        <v>1</v>
      </c>
    </row>
    <row r="53" spans="1:64" s="6" customFormat="1">
      <c r="A53" s="6">
        <v>387</v>
      </c>
      <c r="B53" s="6" t="s">
        <v>3318</v>
      </c>
      <c r="C53" s="6" t="s">
        <v>540</v>
      </c>
      <c r="D53" s="6" t="s">
        <v>550</v>
      </c>
      <c r="E53" s="6">
        <v>1</v>
      </c>
      <c r="F53" s="6" t="s">
        <v>959</v>
      </c>
      <c r="G53" s="6">
        <v>0</v>
      </c>
      <c r="H53" s="6">
        <v>0</v>
      </c>
      <c r="I53" s="6">
        <v>99999</v>
      </c>
      <c r="J53" s="6">
        <v>0</v>
      </c>
      <c r="K53" s="6">
        <v>0</v>
      </c>
      <c r="L53" s="6" t="s">
        <v>1562</v>
      </c>
      <c r="M53" s="6">
        <v>1</v>
      </c>
      <c r="N53" s="6">
        <v>14</v>
      </c>
      <c r="P53" s="6">
        <v>0</v>
      </c>
      <c r="Q53" s="6">
        <v>0</v>
      </c>
      <c r="S53" s="6">
        <v>7500</v>
      </c>
      <c r="T53" s="6">
        <v>0</v>
      </c>
      <c r="V53" s="6">
        <v>1</v>
      </c>
      <c r="W53" s="6">
        <v>1</v>
      </c>
      <c r="X53" s="6" t="s">
        <v>3328</v>
      </c>
      <c r="Y53" s="6" t="s">
        <v>1089</v>
      </c>
      <c r="Z53" s="6" t="s">
        <v>2435</v>
      </c>
      <c r="AA53" s="6" t="s">
        <v>1299</v>
      </c>
      <c r="AB53" s="6">
        <v>0</v>
      </c>
      <c r="AC53" s="6">
        <v>15</v>
      </c>
      <c r="AD53" s="6">
        <v>0</v>
      </c>
      <c r="AE53" s="6">
        <v>0</v>
      </c>
      <c r="AF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P53" s="6">
        <v>0</v>
      </c>
      <c r="AQ53" s="6">
        <v>1</v>
      </c>
      <c r="AR53" s="6">
        <v>0</v>
      </c>
      <c r="AS53" s="6">
        <v>0</v>
      </c>
      <c r="BE53" s="6">
        <v>240</v>
      </c>
      <c r="BG53" s="6">
        <v>1</v>
      </c>
      <c r="BL53" s="6">
        <v>1</v>
      </c>
    </row>
    <row r="54" spans="1:64" s="31" customFormat="1">
      <c r="A54" s="31">
        <v>388</v>
      </c>
      <c r="B54" s="31" t="s">
        <v>3319</v>
      </c>
      <c r="C54" s="31" t="s">
        <v>540</v>
      </c>
      <c r="D54" s="6" t="s">
        <v>550</v>
      </c>
      <c r="E54" s="31">
        <v>1</v>
      </c>
      <c r="F54" s="31" t="s">
        <v>959</v>
      </c>
      <c r="G54" s="31">
        <v>0</v>
      </c>
      <c r="H54" s="31">
        <v>0</v>
      </c>
      <c r="I54" s="31">
        <v>99999</v>
      </c>
      <c r="J54" s="31">
        <v>0</v>
      </c>
      <c r="K54" s="31">
        <v>0</v>
      </c>
      <c r="L54" s="31" t="s">
        <v>1562</v>
      </c>
      <c r="M54" s="31">
        <v>1</v>
      </c>
      <c r="N54" s="35">
        <v>7</v>
      </c>
      <c r="P54" s="31">
        <v>0</v>
      </c>
      <c r="Q54" s="31">
        <v>0</v>
      </c>
      <c r="S54" s="31">
        <v>15000</v>
      </c>
      <c r="T54" s="31">
        <v>0</v>
      </c>
      <c r="V54" s="31">
        <v>1</v>
      </c>
      <c r="W54" s="31">
        <v>1</v>
      </c>
      <c r="X54" s="35" t="s">
        <v>3329</v>
      </c>
      <c r="Y54" s="31" t="s">
        <v>3162</v>
      </c>
      <c r="Z54" s="6" t="s">
        <v>3163</v>
      </c>
      <c r="AA54" s="31" t="s">
        <v>2299</v>
      </c>
      <c r="AB54" s="31">
        <v>0</v>
      </c>
      <c r="AC54" s="31">
        <v>15</v>
      </c>
      <c r="AD54" s="31">
        <v>0</v>
      </c>
      <c r="AE54" s="31">
        <v>0</v>
      </c>
      <c r="AF54" s="31">
        <v>1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P54" s="31">
        <v>1</v>
      </c>
      <c r="AR54" s="31">
        <v>0</v>
      </c>
      <c r="AS54" s="31">
        <v>0</v>
      </c>
      <c r="BE54" s="35">
        <v>240</v>
      </c>
      <c r="BG54" s="31">
        <v>1</v>
      </c>
      <c r="BL54" s="6">
        <v>1</v>
      </c>
    </row>
    <row r="55" spans="1:64" s="31" customFormat="1">
      <c r="A55" s="31">
        <v>389</v>
      </c>
      <c r="B55" s="31" t="s">
        <v>3320</v>
      </c>
      <c r="C55" s="31" t="s">
        <v>540</v>
      </c>
      <c r="D55" s="6" t="s">
        <v>550</v>
      </c>
      <c r="E55" s="31">
        <v>1</v>
      </c>
      <c r="F55" s="31" t="s">
        <v>959</v>
      </c>
      <c r="G55" s="31">
        <v>0</v>
      </c>
      <c r="H55" s="31">
        <v>0</v>
      </c>
      <c r="I55" s="31">
        <v>99999</v>
      </c>
      <c r="J55" s="31">
        <v>0</v>
      </c>
      <c r="K55" s="31">
        <v>0</v>
      </c>
      <c r="L55" s="31" t="s">
        <v>1562</v>
      </c>
      <c r="M55" s="31">
        <v>1</v>
      </c>
      <c r="N55" s="35">
        <v>7</v>
      </c>
      <c r="P55" s="31">
        <v>0</v>
      </c>
      <c r="Q55" s="31">
        <v>0</v>
      </c>
      <c r="S55" s="31">
        <v>12000</v>
      </c>
      <c r="T55" s="31">
        <v>0</v>
      </c>
      <c r="V55" s="31">
        <v>1</v>
      </c>
      <c r="W55" s="31">
        <v>1</v>
      </c>
      <c r="X55" s="35" t="s">
        <v>3330</v>
      </c>
      <c r="Y55" s="31" t="s">
        <v>3159</v>
      </c>
      <c r="Z55" s="6" t="s">
        <v>3165</v>
      </c>
      <c r="AA55" s="31" t="s">
        <v>3160</v>
      </c>
      <c r="AB55" s="31">
        <v>0</v>
      </c>
      <c r="AC55" s="31">
        <v>15</v>
      </c>
      <c r="AD55" s="31">
        <v>0</v>
      </c>
      <c r="AE55" s="31">
        <v>0</v>
      </c>
      <c r="AF55" s="31">
        <v>1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P55" s="31">
        <v>1</v>
      </c>
      <c r="AR55" s="31">
        <v>0</v>
      </c>
      <c r="AS55" s="31">
        <v>0</v>
      </c>
      <c r="BE55" s="35">
        <v>240</v>
      </c>
      <c r="BG55" s="31">
        <v>1</v>
      </c>
      <c r="BL55" s="6">
        <v>1</v>
      </c>
    </row>
    <row r="56" spans="1:64" s="15" customFormat="1">
      <c r="A56" s="15">
        <v>401</v>
      </c>
      <c r="B56" s="15" t="s">
        <v>1056</v>
      </c>
      <c r="C56" s="15" t="s">
        <v>968</v>
      </c>
      <c r="D56" s="15" t="s">
        <v>969</v>
      </c>
      <c r="E56" s="15">
        <v>1</v>
      </c>
      <c r="F56" s="15" t="s">
        <v>1055</v>
      </c>
      <c r="G56" s="15">
        <v>0</v>
      </c>
      <c r="H56" s="15">
        <v>0</v>
      </c>
      <c r="I56" s="15">
        <v>99999</v>
      </c>
      <c r="J56" s="15">
        <v>0</v>
      </c>
      <c r="K56" s="15">
        <v>0</v>
      </c>
      <c r="L56" s="15" t="s">
        <v>1566</v>
      </c>
      <c r="M56" s="15">
        <v>100000</v>
      </c>
      <c r="N56" s="7">
        <v>1</v>
      </c>
      <c r="P56" s="15">
        <v>0</v>
      </c>
      <c r="Q56" s="15">
        <v>0</v>
      </c>
      <c r="S56" s="15">
        <v>1</v>
      </c>
      <c r="T56" s="15">
        <v>0</v>
      </c>
      <c r="V56" s="15">
        <v>0</v>
      </c>
      <c r="W56" s="15">
        <v>1</v>
      </c>
      <c r="X56" s="30"/>
      <c r="Y56" s="15" t="s">
        <v>972</v>
      </c>
      <c r="Z56" s="15" t="s">
        <v>2436</v>
      </c>
      <c r="AA56" s="15" t="s">
        <v>931</v>
      </c>
      <c r="AB56" s="15">
        <v>0</v>
      </c>
      <c r="AC56" s="15">
        <v>15</v>
      </c>
      <c r="AD56" s="15">
        <v>0</v>
      </c>
      <c r="AE56" s="15">
        <v>0</v>
      </c>
      <c r="AF56" s="15">
        <v>1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P56" s="15">
        <v>1</v>
      </c>
      <c r="AR56" s="15">
        <v>0</v>
      </c>
      <c r="AS56" s="15">
        <v>0</v>
      </c>
      <c r="AT56" s="15">
        <v>1</v>
      </c>
      <c r="BE56" s="7">
        <v>240</v>
      </c>
      <c r="BL56" s="7">
        <v>0</v>
      </c>
    </row>
    <row r="57" spans="1:64" s="15" customFormat="1">
      <c r="A57" s="15">
        <v>411</v>
      </c>
      <c r="B57" s="15" t="s">
        <v>966</v>
      </c>
      <c r="C57" s="15" t="s">
        <v>968</v>
      </c>
      <c r="D57" s="15" t="s">
        <v>970</v>
      </c>
      <c r="E57" s="15">
        <v>1</v>
      </c>
      <c r="F57" s="15" t="s">
        <v>959</v>
      </c>
      <c r="G57" s="15">
        <v>0</v>
      </c>
      <c r="H57" s="15">
        <v>0</v>
      </c>
      <c r="I57" s="15">
        <v>99999</v>
      </c>
      <c r="J57" s="15">
        <v>0</v>
      </c>
      <c r="K57" s="15">
        <v>0</v>
      </c>
      <c r="L57" s="15" t="s">
        <v>1566</v>
      </c>
      <c r="M57" s="15">
        <v>100000</v>
      </c>
      <c r="N57" s="7">
        <v>1</v>
      </c>
      <c r="P57" s="15">
        <v>0</v>
      </c>
      <c r="Q57" s="15">
        <v>0</v>
      </c>
      <c r="S57" s="15">
        <v>1</v>
      </c>
      <c r="T57" s="15">
        <v>0</v>
      </c>
      <c r="V57" s="15">
        <v>0</v>
      </c>
      <c r="W57" s="15">
        <v>1</v>
      </c>
      <c r="X57" s="30"/>
      <c r="Y57" s="15" t="s">
        <v>973</v>
      </c>
      <c r="Z57" s="15" t="s">
        <v>2437</v>
      </c>
      <c r="AA57" s="15" t="s">
        <v>931</v>
      </c>
      <c r="AB57" s="15">
        <v>0</v>
      </c>
      <c r="AC57" s="15">
        <v>15</v>
      </c>
      <c r="AD57" s="15">
        <v>0</v>
      </c>
      <c r="AE57" s="15">
        <v>0</v>
      </c>
      <c r="AF57" s="15">
        <v>1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P57" s="15">
        <v>1</v>
      </c>
      <c r="AR57" s="15">
        <v>0</v>
      </c>
      <c r="AS57" s="15">
        <v>0</v>
      </c>
      <c r="AT57" s="15">
        <v>1</v>
      </c>
      <c r="BE57" s="7">
        <v>240</v>
      </c>
      <c r="BL57" s="7">
        <v>0</v>
      </c>
    </row>
    <row r="58" spans="1:64" s="15" customFormat="1">
      <c r="A58" s="15">
        <v>421</v>
      </c>
      <c r="B58" s="15" t="s">
        <v>967</v>
      </c>
      <c r="C58" s="15" t="s">
        <v>968</v>
      </c>
      <c r="D58" s="15" t="s">
        <v>971</v>
      </c>
      <c r="E58" s="15">
        <v>1</v>
      </c>
      <c r="F58" s="15" t="s">
        <v>959</v>
      </c>
      <c r="G58" s="15">
        <v>0</v>
      </c>
      <c r="H58" s="15">
        <v>0</v>
      </c>
      <c r="I58" s="15">
        <v>99999</v>
      </c>
      <c r="J58" s="15">
        <v>0</v>
      </c>
      <c r="K58" s="15">
        <v>0</v>
      </c>
      <c r="L58" s="15" t="s">
        <v>1566</v>
      </c>
      <c r="M58" s="15">
        <v>100000</v>
      </c>
      <c r="N58" s="7">
        <v>1</v>
      </c>
      <c r="P58" s="15">
        <v>0</v>
      </c>
      <c r="Q58" s="15">
        <v>0</v>
      </c>
      <c r="S58" s="15">
        <v>1</v>
      </c>
      <c r="T58" s="15">
        <v>0</v>
      </c>
      <c r="V58" s="15">
        <v>0</v>
      </c>
      <c r="W58" s="15">
        <v>1</v>
      </c>
      <c r="X58" s="30"/>
      <c r="Y58" s="15" t="s">
        <v>974</v>
      </c>
      <c r="Z58" s="15" t="s">
        <v>2438</v>
      </c>
      <c r="AA58" s="15" t="s">
        <v>930</v>
      </c>
      <c r="AB58" s="15">
        <v>0</v>
      </c>
      <c r="AC58" s="15">
        <v>15</v>
      </c>
      <c r="AD58" s="15">
        <v>0</v>
      </c>
      <c r="AE58" s="15">
        <v>0</v>
      </c>
      <c r="AF58" s="15">
        <v>1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P58" s="15">
        <v>1</v>
      </c>
      <c r="AR58" s="15">
        <v>0</v>
      </c>
      <c r="AS58" s="15">
        <v>0</v>
      </c>
      <c r="AT58" s="15">
        <v>1</v>
      </c>
      <c r="BE58" s="7">
        <v>240</v>
      </c>
      <c r="BL58" s="7">
        <v>0</v>
      </c>
    </row>
    <row r="59" spans="1:64" s="7" customFormat="1">
      <c r="A59" s="7">
        <v>501</v>
      </c>
      <c r="B59" s="7" t="s">
        <v>1026</v>
      </c>
      <c r="C59" s="7" t="s">
        <v>534</v>
      </c>
      <c r="D59" s="7" t="s">
        <v>535</v>
      </c>
      <c r="E59" s="7">
        <v>1</v>
      </c>
      <c r="F59" s="7" t="s">
        <v>959</v>
      </c>
      <c r="G59" s="7">
        <v>0</v>
      </c>
      <c r="H59" s="7">
        <v>0</v>
      </c>
      <c r="I59" s="7">
        <v>99999</v>
      </c>
      <c r="J59" s="7">
        <v>0</v>
      </c>
      <c r="K59" s="7">
        <v>0</v>
      </c>
      <c r="L59" s="7" t="s">
        <v>1562</v>
      </c>
      <c r="M59" s="7">
        <v>1</v>
      </c>
      <c r="N59" s="7">
        <v>1</v>
      </c>
      <c r="P59" s="7">
        <v>0</v>
      </c>
      <c r="Q59" s="7">
        <v>0</v>
      </c>
      <c r="S59" s="7">
        <v>100</v>
      </c>
      <c r="T59" s="7">
        <v>0</v>
      </c>
      <c r="V59" s="7">
        <v>1</v>
      </c>
      <c r="W59" s="7">
        <v>1</v>
      </c>
      <c r="X59" s="6"/>
      <c r="Y59" s="7" t="s">
        <v>1059</v>
      </c>
      <c r="Z59" s="7" t="s">
        <v>3068</v>
      </c>
      <c r="AA59" s="7" t="s">
        <v>1068</v>
      </c>
      <c r="AB59" s="7">
        <v>0</v>
      </c>
      <c r="AC59" s="7">
        <v>8</v>
      </c>
      <c r="AD59" s="7">
        <v>0</v>
      </c>
      <c r="AE59" s="7">
        <v>0</v>
      </c>
      <c r="AF59" s="7">
        <v>1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R59" s="7">
        <v>0</v>
      </c>
      <c r="AS59" s="7">
        <v>0</v>
      </c>
      <c r="BE59" s="7">
        <v>240</v>
      </c>
      <c r="BG59" s="7">
        <v>2</v>
      </c>
      <c r="BL59" s="7">
        <v>0</v>
      </c>
    </row>
    <row r="60" spans="1:64" s="7" customFormat="1">
      <c r="A60" s="7">
        <v>502</v>
      </c>
      <c r="B60" s="7" t="s">
        <v>1027</v>
      </c>
      <c r="C60" s="7" t="s">
        <v>540</v>
      </c>
      <c r="D60" s="7" t="s">
        <v>542</v>
      </c>
      <c r="E60" s="7">
        <v>1</v>
      </c>
      <c r="F60" s="7" t="s">
        <v>959</v>
      </c>
      <c r="G60" s="7">
        <v>0</v>
      </c>
      <c r="H60" s="7">
        <v>0</v>
      </c>
      <c r="I60" s="7">
        <v>99999</v>
      </c>
      <c r="J60" s="7">
        <v>0</v>
      </c>
      <c r="K60" s="7">
        <v>0</v>
      </c>
      <c r="L60" s="7" t="s">
        <v>1562</v>
      </c>
      <c r="M60" s="7">
        <v>1</v>
      </c>
      <c r="N60" s="7">
        <v>1</v>
      </c>
      <c r="O60" s="7">
        <v>4569</v>
      </c>
      <c r="P60" s="7">
        <v>0</v>
      </c>
      <c r="Q60" s="7">
        <v>0</v>
      </c>
      <c r="S60" s="7">
        <v>50</v>
      </c>
      <c r="T60" s="7">
        <v>0</v>
      </c>
      <c r="V60" s="7">
        <v>1</v>
      </c>
      <c r="W60" s="7">
        <v>1</v>
      </c>
      <c r="X60" s="6"/>
      <c r="Y60" s="7" t="s">
        <v>1060</v>
      </c>
      <c r="Z60" s="7" t="s">
        <v>2439</v>
      </c>
      <c r="AA60" s="7" t="s">
        <v>1064</v>
      </c>
      <c r="AB60" s="7">
        <v>0</v>
      </c>
      <c r="AC60" s="7">
        <v>15</v>
      </c>
      <c r="AD60" s="7">
        <v>0</v>
      </c>
      <c r="AE60" s="7">
        <v>0</v>
      </c>
      <c r="AF60" s="7">
        <v>1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R60" s="7">
        <v>0</v>
      </c>
      <c r="AS60" s="7">
        <v>0</v>
      </c>
      <c r="BE60" s="7">
        <v>240</v>
      </c>
      <c r="BG60" s="7">
        <v>2</v>
      </c>
      <c r="BL60" s="7">
        <v>0</v>
      </c>
    </row>
    <row r="61" spans="1:64" s="7" customFormat="1">
      <c r="A61" s="7">
        <v>601</v>
      </c>
      <c r="B61" s="7" t="s">
        <v>1953</v>
      </c>
      <c r="C61" s="7" t="s">
        <v>540</v>
      </c>
      <c r="D61" s="7" t="s">
        <v>550</v>
      </c>
      <c r="E61" s="7">
        <v>1</v>
      </c>
      <c r="F61" s="7" t="s">
        <v>959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 t="s">
        <v>1562</v>
      </c>
      <c r="M61" s="7">
        <v>99</v>
      </c>
      <c r="N61" s="7">
        <v>1</v>
      </c>
      <c r="P61" s="7">
        <v>0</v>
      </c>
      <c r="Q61" s="7">
        <v>0</v>
      </c>
      <c r="S61" s="7">
        <v>100</v>
      </c>
      <c r="T61" s="7">
        <v>0</v>
      </c>
      <c r="V61" s="7">
        <v>1</v>
      </c>
      <c r="W61" s="7">
        <v>1</v>
      </c>
      <c r="X61" s="6" t="s">
        <v>1955</v>
      </c>
      <c r="Y61" s="7" t="s">
        <v>2005</v>
      </c>
      <c r="Z61" s="7" t="s">
        <v>2440</v>
      </c>
      <c r="AA61" s="1" t="s">
        <v>2004</v>
      </c>
      <c r="AB61" s="7">
        <v>0</v>
      </c>
      <c r="AC61" s="7">
        <v>11</v>
      </c>
      <c r="AD61" s="7">
        <v>0</v>
      </c>
      <c r="AE61" s="7">
        <v>0</v>
      </c>
      <c r="AF61" s="7">
        <v>1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P61" s="7">
        <v>1</v>
      </c>
      <c r="AQ61" s="7">
        <v>1</v>
      </c>
      <c r="AR61" s="7">
        <v>0</v>
      </c>
      <c r="AS61" s="7">
        <v>0</v>
      </c>
      <c r="BE61" s="7">
        <v>240</v>
      </c>
      <c r="BG61" s="7">
        <v>2</v>
      </c>
      <c r="BL61" s="7">
        <v>0</v>
      </c>
    </row>
    <row r="62" spans="1:64" s="7" customFormat="1">
      <c r="A62" s="7">
        <v>701</v>
      </c>
      <c r="B62" s="7" t="s">
        <v>2920</v>
      </c>
      <c r="C62" s="7" t="s">
        <v>540</v>
      </c>
      <c r="D62" s="7" t="s">
        <v>542</v>
      </c>
      <c r="E62" s="7">
        <v>1</v>
      </c>
      <c r="F62" s="7" t="s">
        <v>959</v>
      </c>
      <c r="G62" s="7">
        <v>0</v>
      </c>
      <c r="H62" s="7">
        <v>0</v>
      </c>
      <c r="I62" s="7">
        <v>99999</v>
      </c>
      <c r="J62" s="7">
        <v>0</v>
      </c>
      <c r="K62" s="7">
        <v>0</v>
      </c>
      <c r="L62" s="7" t="s">
        <v>1562</v>
      </c>
      <c r="M62" s="7">
        <v>1</v>
      </c>
      <c r="N62" s="7">
        <v>2</v>
      </c>
      <c r="O62" s="7">
        <v>4570</v>
      </c>
      <c r="P62" s="7">
        <v>0</v>
      </c>
      <c r="Q62" s="7">
        <v>0</v>
      </c>
      <c r="S62" s="7">
        <v>500</v>
      </c>
      <c r="T62" s="7">
        <v>0</v>
      </c>
      <c r="V62" s="7">
        <v>1</v>
      </c>
      <c r="W62" s="7">
        <v>1</v>
      </c>
      <c r="X62" s="6"/>
      <c r="Y62" s="7" t="s">
        <v>2960</v>
      </c>
      <c r="Z62" s="7" t="s">
        <v>2926</v>
      </c>
      <c r="AA62" s="7" t="s">
        <v>2966</v>
      </c>
      <c r="AB62" s="7">
        <v>0</v>
      </c>
      <c r="AC62" s="7">
        <v>15</v>
      </c>
      <c r="AD62" s="7">
        <v>0</v>
      </c>
      <c r="AE62" s="7">
        <v>0</v>
      </c>
      <c r="AF62" s="7">
        <v>1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P62" s="7">
        <v>1</v>
      </c>
      <c r="AQ62" s="7">
        <v>1</v>
      </c>
      <c r="AR62" s="7">
        <v>0</v>
      </c>
      <c r="AS62" s="7">
        <v>0</v>
      </c>
      <c r="BE62" s="7">
        <v>240</v>
      </c>
      <c r="BG62" s="7">
        <v>1</v>
      </c>
      <c r="BL62" s="7">
        <v>0</v>
      </c>
    </row>
    <row r="63" spans="1:64" s="7" customFormat="1">
      <c r="A63" s="7">
        <v>702</v>
      </c>
      <c r="B63" s="7" t="s">
        <v>2921</v>
      </c>
      <c r="C63" s="7" t="s">
        <v>540</v>
      </c>
      <c r="D63" s="7" t="s">
        <v>542</v>
      </c>
      <c r="E63" s="7">
        <v>1</v>
      </c>
      <c r="F63" s="7" t="s">
        <v>959</v>
      </c>
      <c r="G63" s="7">
        <v>0</v>
      </c>
      <c r="H63" s="7">
        <v>0</v>
      </c>
      <c r="I63" s="7">
        <v>99999</v>
      </c>
      <c r="J63" s="7">
        <v>0</v>
      </c>
      <c r="K63" s="7">
        <v>0</v>
      </c>
      <c r="L63" s="7" t="s">
        <v>1562</v>
      </c>
      <c r="M63" s="7">
        <v>1</v>
      </c>
      <c r="N63" s="7">
        <v>2</v>
      </c>
      <c r="O63" s="7">
        <v>4571</v>
      </c>
      <c r="P63" s="7">
        <v>0</v>
      </c>
      <c r="Q63" s="7">
        <v>0</v>
      </c>
      <c r="S63" s="7">
        <v>500</v>
      </c>
      <c r="T63" s="7">
        <v>0</v>
      </c>
      <c r="V63" s="7">
        <v>1</v>
      </c>
      <c r="W63" s="7">
        <v>1</v>
      </c>
      <c r="X63" s="6"/>
      <c r="Y63" s="7" t="s">
        <v>2961</v>
      </c>
      <c r="Z63" s="7" t="s">
        <v>2927</v>
      </c>
      <c r="AA63" s="7" t="s">
        <v>2967</v>
      </c>
      <c r="AB63" s="7">
        <v>0</v>
      </c>
      <c r="AC63" s="7">
        <v>15</v>
      </c>
      <c r="AD63" s="7">
        <v>0</v>
      </c>
      <c r="AE63" s="7">
        <v>0</v>
      </c>
      <c r="AF63" s="7">
        <v>1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P63" s="7">
        <v>1</v>
      </c>
      <c r="AQ63" s="7">
        <v>1</v>
      </c>
      <c r="AR63" s="7">
        <v>0</v>
      </c>
      <c r="AS63" s="7">
        <v>0</v>
      </c>
      <c r="BE63" s="7">
        <v>240</v>
      </c>
      <c r="BG63" s="7">
        <v>1</v>
      </c>
      <c r="BL63" s="7">
        <v>0</v>
      </c>
    </row>
    <row r="64" spans="1:64" s="7" customFormat="1">
      <c r="A64" s="7">
        <v>703</v>
      </c>
      <c r="B64" s="7" t="s">
        <v>2922</v>
      </c>
      <c r="C64" s="7" t="s">
        <v>540</v>
      </c>
      <c r="D64" s="7" t="s">
        <v>542</v>
      </c>
      <c r="E64" s="7">
        <v>1</v>
      </c>
      <c r="F64" s="7" t="s">
        <v>959</v>
      </c>
      <c r="G64" s="7">
        <v>0</v>
      </c>
      <c r="H64" s="7">
        <v>0</v>
      </c>
      <c r="I64" s="7">
        <v>99999</v>
      </c>
      <c r="J64" s="7">
        <v>0</v>
      </c>
      <c r="K64" s="7">
        <v>0</v>
      </c>
      <c r="L64" s="7" t="s">
        <v>1562</v>
      </c>
      <c r="M64" s="7">
        <v>1</v>
      </c>
      <c r="N64" s="7">
        <v>2</v>
      </c>
      <c r="O64" s="7">
        <v>4572</v>
      </c>
      <c r="P64" s="7">
        <v>0</v>
      </c>
      <c r="Q64" s="7">
        <v>0</v>
      </c>
      <c r="S64" s="7">
        <v>500</v>
      </c>
      <c r="T64" s="7">
        <v>0</v>
      </c>
      <c r="V64" s="7">
        <v>1</v>
      </c>
      <c r="W64" s="7">
        <v>1</v>
      </c>
      <c r="X64" s="6"/>
      <c r="Y64" s="7" t="s">
        <v>2962</v>
      </c>
      <c r="Z64" s="7" t="s">
        <v>2928</v>
      </c>
      <c r="AA64" s="7" t="s">
        <v>2968</v>
      </c>
      <c r="AB64" s="7">
        <v>0</v>
      </c>
      <c r="AC64" s="7">
        <v>15</v>
      </c>
      <c r="AD64" s="7">
        <v>0</v>
      </c>
      <c r="AE64" s="7">
        <v>0</v>
      </c>
      <c r="AF64" s="7">
        <v>1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P64" s="7">
        <v>1</v>
      </c>
      <c r="AQ64" s="7">
        <v>1</v>
      </c>
      <c r="AR64" s="7">
        <v>0</v>
      </c>
      <c r="AS64" s="7">
        <v>0</v>
      </c>
      <c r="BE64" s="7">
        <v>240</v>
      </c>
      <c r="BG64" s="7">
        <v>1</v>
      </c>
      <c r="BL64" s="7">
        <v>0</v>
      </c>
    </row>
    <row r="65" spans="1:64" s="7" customFormat="1">
      <c r="A65" s="7">
        <v>704</v>
      </c>
      <c r="B65" s="7" t="s">
        <v>2923</v>
      </c>
      <c r="C65" s="7" t="s">
        <v>540</v>
      </c>
      <c r="D65" s="7" t="s">
        <v>542</v>
      </c>
      <c r="E65" s="7">
        <v>1</v>
      </c>
      <c r="F65" s="7" t="s">
        <v>959</v>
      </c>
      <c r="G65" s="7">
        <v>0</v>
      </c>
      <c r="H65" s="7">
        <v>0</v>
      </c>
      <c r="I65" s="7">
        <v>99999</v>
      </c>
      <c r="J65" s="7">
        <v>0</v>
      </c>
      <c r="K65" s="7">
        <v>0</v>
      </c>
      <c r="L65" s="7" t="s">
        <v>1562</v>
      </c>
      <c r="M65" s="7">
        <v>1</v>
      </c>
      <c r="N65" s="7">
        <v>2</v>
      </c>
      <c r="O65" s="7">
        <v>4573</v>
      </c>
      <c r="P65" s="7">
        <v>0</v>
      </c>
      <c r="Q65" s="7">
        <v>0</v>
      </c>
      <c r="S65" s="7">
        <v>500</v>
      </c>
      <c r="T65" s="7">
        <v>0</v>
      </c>
      <c r="V65" s="7">
        <v>1</v>
      </c>
      <c r="W65" s="7">
        <v>1</v>
      </c>
      <c r="X65" s="6"/>
      <c r="Y65" s="7" t="s">
        <v>2963</v>
      </c>
      <c r="Z65" s="7" t="s">
        <v>2929</v>
      </c>
      <c r="AA65" s="7" t="s">
        <v>2969</v>
      </c>
      <c r="AB65" s="7">
        <v>0</v>
      </c>
      <c r="AC65" s="7">
        <v>15</v>
      </c>
      <c r="AD65" s="7">
        <v>0</v>
      </c>
      <c r="AE65" s="7">
        <v>0</v>
      </c>
      <c r="AF65" s="7">
        <v>1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P65" s="7">
        <v>1</v>
      </c>
      <c r="AQ65" s="7">
        <v>1</v>
      </c>
      <c r="AR65" s="7">
        <v>0</v>
      </c>
      <c r="AS65" s="7">
        <v>0</v>
      </c>
      <c r="BE65" s="7">
        <v>240</v>
      </c>
      <c r="BG65" s="7">
        <v>1</v>
      </c>
      <c r="BL65" s="7">
        <v>0</v>
      </c>
    </row>
    <row r="66" spans="1:64" s="7" customFormat="1">
      <c r="A66" s="7">
        <v>705</v>
      </c>
      <c r="B66" s="7" t="s">
        <v>2924</v>
      </c>
      <c r="C66" s="7" t="s">
        <v>540</v>
      </c>
      <c r="D66" s="7" t="s">
        <v>542</v>
      </c>
      <c r="E66" s="7">
        <v>1</v>
      </c>
      <c r="F66" s="7" t="s">
        <v>959</v>
      </c>
      <c r="G66" s="7">
        <v>0</v>
      </c>
      <c r="H66" s="7">
        <v>0</v>
      </c>
      <c r="I66" s="7">
        <v>99999</v>
      </c>
      <c r="J66" s="7">
        <v>0</v>
      </c>
      <c r="K66" s="7">
        <v>0</v>
      </c>
      <c r="L66" s="7" t="s">
        <v>1562</v>
      </c>
      <c r="M66" s="7">
        <v>1</v>
      </c>
      <c r="N66" s="7">
        <v>2</v>
      </c>
      <c r="O66" s="7">
        <v>4574</v>
      </c>
      <c r="P66" s="7">
        <v>0</v>
      </c>
      <c r="Q66" s="7">
        <v>0</v>
      </c>
      <c r="S66" s="7">
        <v>500</v>
      </c>
      <c r="T66" s="7">
        <v>0</v>
      </c>
      <c r="V66" s="7">
        <v>1</v>
      </c>
      <c r="W66" s="7">
        <v>1</v>
      </c>
      <c r="X66" s="6"/>
      <c r="Y66" s="7" t="s">
        <v>2965</v>
      </c>
      <c r="Z66" s="7" t="s">
        <v>2930</v>
      </c>
      <c r="AA66" s="7" t="s">
        <v>2970</v>
      </c>
      <c r="AB66" s="7">
        <v>0</v>
      </c>
      <c r="AC66" s="7">
        <v>15</v>
      </c>
      <c r="AD66" s="7">
        <v>0</v>
      </c>
      <c r="AE66" s="7">
        <v>0</v>
      </c>
      <c r="AF66" s="7">
        <v>1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P66" s="7">
        <v>1</v>
      </c>
      <c r="AQ66" s="7">
        <v>1</v>
      </c>
      <c r="AR66" s="7">
        <v>0</v>
      </c>
      <c r="AS66" s="7">
        <v>0</v>
      </c>
      <c r="BE66" s="7">
        <v>240</v>
      </c>
      <c r="BG66" s="7">
        <v>1</v>
      </c>
      <c r="BL66" s="7">
        <v>0</v>
      </c>
    </row>
    <row r="67" spans="1:64" s="7" customFormat="1">
      <c r="A67" s="7">
        <v>706</v>
      </c>
      <c r="B67" s="7" t="s">
        <v>2925</v>
      </c>
      <c r="C67" s="7" t="s">
        <v>540</v>
      </c>
      <c r="D67" s="7" t="s">
        <v>542</v>
      </c>
      <c r="E67" s="7">
        <v>1</v>
      </c>
      <c r="F67" s="7" t="s">
        <v>959</v>
      </c>
      <c r="G67" s="7">
        <v>0</v>
      </c>
      <c r="H67" s="7">
        <v>0</v>
      </c>
      <c r="I67" s="7">
        <v>99999</v>
      </c>
      <c r="J67" s="7">
        <v>0</v>
      </c>
      <c r="K67" s="7">
        <v>0</v>
      </c>
      <c r="L67" s="7" t="s">
        <v>1562</v>
      </c>
      <c r="M67" s="7">
        <v>1</v>
      </c>
      <c r="N67" s="7">
        <v>2</v>
      </c>
      <c r="O67" s="7">
        <v>4575</v>
      </c>
      <c r="P67" s="7">
        <v>0</v>
      </c>
      <c r="Q67" s="7">
        <v>0</v>
      </c>
      <c r="S67" s="7">
        <v>500</v>
      </c>
      <c r="T67" s="7">
        <v>0</v>
      </c>
      <c r="V67" s="7">
        <v>1</v>
      </c>
      <c r="W67" s="7">
        <v>1</v>
      </c>
      <c r="X67" s="6"/>
      <c r="Y67" s="7" t="s">
        <v>2964</v>
      </c>
      <c r="Z67" s="7" t="s">
        <v>2931</v>
      </c>
      <c r="AA67" s="7" t="s">
        <v>2971</v>
      </c>
      <c r="AB67" s="7">
        <v>0</v>
      </c>
      <c r="AC67" s="7">
        <v>15</v>
      </c>
      <c r="AD67" s="7">
        <v>0</v>
      </c>
      <c r="AE67" s="7">
        <v>0</v>
      </c>
      <c r="AF67" s="7">
        <v>1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P67" s="7">
        <v>1</v>
      </c>
      <c r="AQ67" s="7">
        <v>1</v>
      </c>
      <c r="AR67" s="7">
        <v>0</v>
      </c>
      <c r="AS67" s="7">
        <v>0</v>
      </c>
      <c r="BE67" s="7">
        <v>240</v>
      </c>
      <c r="BG67" s="7">
        <v>1</v>
      </c>
      <c r="BL67" s="7">
        <v>0</v>
      </c>
    </row>
    <row r="68" spans="1:64" s="15" customFormat="1">
      <c r="A68" s="15">
        <v>1201</v>
      </c>
      <c r="B68" s="15" t="s">
        <v>543</v>
      </c>
      <c r="C68" s="16" t="s">
        <v>540</v>
      </c>
      <c r="D68" s="16" t="s">
        <v>542</v>
      </c>
      <c r="E68" s="15">
        <v>1</v>
      </c>
      <c r="F68" s="15" t="s">
        <v>959</v>
      </c>
      <c r="G68" s="15">
        <v>0</v>
      </c>
      <c r="H68" s="15">
        <v>0</v>
      </c>
      <c r="I68" s="15">
        <v>99999</v>
      </c>
      <c r="J68" s="15">
        <v>0</v>
      </c>
      <c r="K68" s="15">
        <v>0</v>
      </c>
      <c r="L68" s="15" t="s">
        <v>1562</v>
      </c>
      <c r="M68" s="15">
        <v>1</v>
      </c>
      <c r="N68" s="7">
        <v>1</v>
      </c>
      <c r="O68" s="15">
        <v>124</v>
      </c>
      <c r="P68" s="16">
        <v>0</v>
      </c>
      <c r="Q68" s="15">
        <v>0</v>
      </c>
      <c r="S68" s="15">
        <v>1</v>
      </c>
      <c r="T68" s="15">
        <v>0</v>
      </c>
      <c r="V68" s="15">
        <v>1</v>
      </c>
      <c r="W68" s="15">
        <v>1</v>
      </c>
      <c r="X68" s="30"/>
      <c r="Y68" s="15" t="s">
        <v>544</v>
      </c>
      <c r="Z68" s="15" t="s">
        <v>2441</v>
      </c>
      <c r="AA68" s="15" t="s">
        <v>935</v>
      </c>
      <c r="AB68" s="15">
        <v>0</v>
      </c>
      <c r="AC68" s="15">
        <v>15</v>
      </c>
      <c r="AD68" s="15">
        <v>0</v>
      </c>
      <c r="AE68" s="15">
        <v>0</v>
      </c>
      <c r="AF68" s="15">
        <v>1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P68" s="15">
        <v>1</v>
      </c>
      <c r="AR68" s="15">
        <v>0</v>
      </c>
      <c r="AS68" s="15">
        <v>0</v>
      </c>
      <c r="BD68" s="16"/>
      <c r="BE68" s="7">
        <v>240</v>
      </c>
      <c r="BL68" s="7">
        <v>0</v>
      </c>
    </row>
    <row r="69" spans="1:64" s="15" customFormat="1">
      <c r="A69" s="15">
        <v>2001</v>
      </c>
      <c r="B69" s="15" t="s">
        <v>545</v>
      </c>
      <c r="C69" s="15" t="s">
        <v>546</v>
      </c>
      <c r="D69" s="15" t="s">
        <v>547</v>
      </c>
      <c r="E69" s="15">
        <v>1</v>
      </c>
      <c r="F69" s="15" t="s">
        <v>959</v>
      </c>
      <c r="G69" s="15">
        <v>0</v>
      </c>
      <c r="H69" s="15">
        <v>0</v>
      </c>
      <c r="I69" s="15">
        <v>99999</v>
      </c>
      <c r="J69" s="15">
        <v>0</v>
      </c>
      <c r="K69" s="15">
        <v>0</v>
      </c>
      <c r="L69" s="15" t="s">
        <v>1565</v>
      </c>
      <c r="M69" s="15">
        <v>5000</v>
      </c>
      <c r="N69" s="7">
        <v>1</v>
      </c>
      <c r="P69" s="16">
        <v>0</v>
      </c>
      <c r="Q69" s="15">
        <v>0</v>
      </c>
      <c r="S69" s="15">
        <v>1</v>
      </c>
      <c r="T69" s="15">
        <v>0</v>
      </c>
      <c r="V69" s="15">
        <v>1</v>
      </c>
      <c r="W69" s="15">
        <v>1</v>
      </c>
      <c r="X69" s="30"/>
      <c r="Y69" s="15" t="s">
        <v>548</v>
      </c>
      <c r="Z69" s="15" t="s">
        <v>2442</v>
      </c>
      <c r="AA69" s="15" t="s">
        <v>527</v>
      </c>
      <c r="AB69" s="15">
        <v>0</v>
      </c>
      <c r="AC69" s="15">
        <v>15</v>
      </c>
      <c r="AD69" s="15">
        <v>0</v>
      </c>
      <c r="AE69" s="15">
        <v>0</v>
      </c>
      <c r="AF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P69" s="15">
        <v>1</v>
      </c>
      <c r="AR69" s="15">
        <v>0</v>
      </c>
      <c r="AS69" s="15">
        <v>0</v>
      </c>
      <c r="AT69" s="15">
        <v>1</v>
      </c>
      <c r="BD69" s="16"/>
      <c r="BE69" s="7">
        <v>240</v>
      </c>
      <c r="BL69" s="7">
        <v>0</v>
      </c>
    </row>
    <row r="70" spans="1:64" s="24" customFormat="1">
      <c r="A70" s="24">
        <v>2011</v>
      </c>
      <c r="B70" s="24" t="s">
        <v>1978</v>
      </c>
      <c r="C70" s="24" t="s">
        <v>546</v>
      </c>
      <c r="D70" s="24" t="s">
        <v>1977</v>
      </c>
      <c r="E70" s="24">
        <v>30</v>
      </c>
      <c r="F70" s="24" t="s">
        <v>959</v>
      </c>
      <c r="G70" s="24">
        <v>0</v>
      </c>
      <c r="H70" s="24">
        <v>0</v>
      </c>
      <c r="I70" s="24">
        <v>99999</v>
      </c>
      <c r="J70" s="24">
        <v>0</v>
      </c>
      <c r="K70" s="24">
        <v>0</v>
      </c>
      <c r="L70" s="24" t="s">
        <v>1565</v>
      </c>
      <c r="M70" s="24">
        <v>150000</v>
      </c>
      <c r="N70" s="25">
        <v>1</v>
      </c>
      <c r="P70" s="25">
        <v>0</v>
      </c>
      <c r="Q70" s="24">
        <v>0</v>
      </c>
      <c r="S70" s="24">
        <v>3000</v>
      </c>
      <c r="T70" s="24">
        <v>0</v>
      </c>
      <c r="V70" s="24">
        <v>1</v>
      </c>
      <c r="W70" s="24">
        <v>1</v>
      </c>
      <c r="X70" s="31"/>
      <c r="Y70" s="24" t="s">
        <v>2006</v>
      </c>
      <c r="Z70" s="24" t="s">
        <v>2918</v>
      </c>
      <c r="AA70" s="24" t="s">
        <v>2018</v>
      </c>
      <c r="AB70" s="24">
        <v>0</v>
      </c>
      <c r="AC70" s="24">
        <v>15</v>
      </c>
      <c r="AD70" s="24">
        <v>0</v>
      </c>
      <c r="AE70" s="24">
        <v>0</v>
      </c>
      <c r="AF70" s="24">
        <v>1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P70" s="24">
        <v>1</v>
      </c>
      <c r="AR70" s="24">
        <v>0</v>
      </c>
      <c r="AS70" s="24">
        <v>0</v>
      </c>
      <c r="AT70" s="24">
        <v>1</v>
      </c>
      <c r="BD70" s="25"/>
      <c r="BE70" s="25">
        <v>240</v>
      </c>
      <c r="BG70" s="24">
        <v>2</v>
      </c>
      <c r="BL70" s="7">
        <v>0</v>
      </c>
    </row>
    <row r="71" spans="1:64" s="24" customFormat="1" ht="14.25" customHeight="1">
      <c r="A71" s="24">
        <v>2012</v>
      </c>
      <c r="B71" s="24" t="s">
        <v>1979</v>
      </c>
      <c r="C71" s="24" t="s">
        <v>546</v>
      </c>
      <c r="D71" s="24" t="s">
        <v>1977</v>
      </c>
      <c r="E71" s="24">
        <v>10</v>
      </c>
      <c r="F71" s="24" t="s">
        <v>959</v>
      </c>
      <c r="G71" s="24">
        <v>0</v>
      </c>
      <c r="H71" s="24">
        <v>0</v>
      </c>
      <c r="I71" s="24">
        <v>99999</v>
      </c>
      <c r="J71" s="24">
        <v>0</v>
      </c>
      <c r="K71" s="24">
        <v>0</v>
      </c>
      <c r="L71" s="24" t="s">
        <v>1565</v>
      </c>
      <c r="M71" s="24">
        <v>50000</v>
      </c>
      <c r="N71" s="25">
        <v>1</v>
      </c>
      <c r="P71" s="25">
        <v>0</v>
      </c>
      <c r="Q71" s="24">
        <v>0</v>
      </c>
      <c r="S71" s="24">
        <v>1000</v>
      </c>
      <c r="T71" s="24">
        <v>0</v>
      </c>
      <c r="V71" s="24">
        <v>1</v>
      </c>
      <c r="W71" s="24">
        <v>1</v>
      </c>
      <c r="X71" s="31"/>
      <c r="Y71" s="24" t="s">
        <v>2007</v>
      </c>
      <c r="Z71" s="36" t="s">
        <v>2919</v>
      </c>
      <c r="AA71" s="24" t="s">
        <v>2017</v>
      </c>
      <c r="AB71" s="24">
        <v>0</v>
      </c>
      <c r="AC71" s="24">
        <v>15</v>
      </c>
      <c r="AD71" s="24">
        <v>0</v>
      </c>
      <c r="AE71" s="24">
        <v>0</v>
      </c>
      <c r="AF71" s="24">
        <v>1</v>
      </c>
      <c r="AI71" s="24">
        <v>0</v>
      </c>
      <c r="AJ71" s="24">
        <v>0</v>
      </c>
      <c r="AK71" s="24">
        <v>0</v>
      </c>
      <c r="AL71" s="24">
        <v>0</v>
      </c>
      <c r="AM71" s="24">
        <v>0</v>
      </c>
      <c r="AN71" s="24">
        <v>0</v>
      </c>
      <c r="AP71" s="24">
        <v>1</v>
      </c>
      <c r="AR71" s="24">
        <v>0</v>
      </c>
      <c r="AS71" s="24">
        <v>0</v>
      </c>
      <c r="AT71" s="24">
        <v>1</v>
      </c>
      <c r="BD71" s="25"/>
      <c r="BE71" s="25">
        <v>240</v>
      </c>
      <c r="BG71" s="24">
        <v>2</v>
      </c>
      <c r="BL71" s="7">
        <v>0</v>
      </c>
    </row>
    <row r="72" spans="1:64" s="15" customFormat="1">
      <c r="A72" s="15">
        <v>2101</v>
      </c>
      <c r="B72" s="15" t="s">
        <v>549</v>
      </c>
      <c r="C72" s="15" t="s">
        <v>540</v>
      </c>
      <c r="D72" s="15" t="s">
        <v>550</v>
      </c>
      <c r="E72" s="15">
        <v>1</v>
      </c>
      <c r="F72" s="15" t="s">
        <v>959</v>
      </c>
      <c r="G72" s="15">
        <v>0</v>
      </c>
      <c r="H72" s="15">
        <v>0</v>
      </c>
      <c r="I72" s="15">
        <v>99999</v>
      </c>
      <c r="J72" s="15">
        <v>0</v>
      </c>
      <c r="K72" s="15">
        <v>0</v>
      </c>
      <c r="L72" s="15" t="s">
        <v>1562</v>
      </c>
      <c r="M72" s="15">
        <v>99</v>
      </c>
      <c r="N72" s="7">
        <v>1</v>
      </c>
      <c r="P72" s="16">
        <v>0</v>
      </c>
      <c r="Q72" s="15">
        <v>0</v>
      </c>
      <c r="S72" s="15">
        <v>1</v>
      </c>
      <c r="T72" s="15">
        <v>0</v>
      </c>
      <c r="V72" s="15">
        <v>0</v>
      </c>
      <c r="W72" s="15">
        <v>1</v>
      </c>
      <c r="X72" s="30" t="s">
        <v>551</v>
      </c>
      <c r="Y72" s="15" t="s">
        <v>552</v>
      </c>
      <c r="Z72" s="15" t="s">
        <v>2443</v>
      </c>
      <c r="AA72" s="15" t="s">
        <v>527</v>
      </c>
      <c r="AB72" s="15">
        <v>0</v>
      </c>
      <c r="AC72" s="15">
        <v>15</v>
      </c>
      <c r="AD72" s="15">
        <v>0</v>
      </c>
      <c r="AE72" s="15">
        <v>0</v>
      </c>
      <c r="AF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P72" s="15">
        <v>1</v>
      </c>
      <c r="AR72" s="15">
        <v>0</v>
      </c>
      <c r="AS72" s="15">
        <v>0</v>
      </c>
      <c r="AT72" s="15">
        <v>1</v>
      </c>
      <c r="BD72" s="16"/>
      <c r="BE72" s="7">
        <v>240</v>
      </c>
      <c r="BL72" s="7">
        <v>0</v>
      </c>
    </row>
    <row r="73" spans="1:64" s="15" customFormat="1">
      <c r="A73" s="15">
        <v>2102</v>
      </c>
      <c r="B73" s="15" t="s">
        <v>553</v>
      </c>
      <c r="C73" s="15" t="s">
        <v>540</v>
      </c>
      <c r="D73" s="15" t="s">
        <v>550</v>
      </c>
      <c r="E73" s="15">
        <v>1</v>
      </c>
      <c r="F73" s="15" t="s">
        <v>959</v>
      </c>
      <c r="G73" s="15">
        <v>0</v>
      </c>
      <c r="H73" s="15">
        <v>0</v>
      </c>
      <c r="I73" s="15">
        <v>99999</v>
      </c>
      <c r="J73" s="15">
        <v>0</v>
      </c>
      <c r="K73" s="15">
        <v>0</v>
      </c>
      <c r="L73" s="15" t="s">
        <v>1562</v>
      </c>
      <c r="M73" s="15">
        <v>99</v>
      </c>
      <c r="N73" s="7">
        <v>1</v>
      </c>
      <c r="P73" s="16">
        <v>0</v>
      </c>
      <c r="Q73" s="15">
        <v>0</v>
      </c>
      <c r="S73" s="15">
        <v>1</v>
      </c>
      <c r="T73" s="15">
        <v>0</v>
      </c>
      <c r="V73" s="15">
        <v>0</v>
      </c>
      <c r="W73" s="15">
        <v>1</v>
      </c>
      <c r="X73" s="30" t="s">
        <v>554</v>
      </c>
      <c r="Y73" s="15" t="s">
        <v>552</v>
      </c>
      <c r="Z73" s="15" t="s">
        <v>2444</v>
      </c>
      <c r="AA73" s="15" t="s">
        <v>527</v>
      </c>
      <c r="AB73" s="15">
        <v>0</v>
      </c>
      <c r="AC73" s="15">
        <v>15</v>
      </c>
      <c r="AD73" s="15">
        <v>0</v>
      </c>
      <c r="AE73" s="15">
        <v>0</v>
      </c>
      <c r="AF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P73" s="15">
        <v>1</v>
      </c>
      <c r="AR73" s="15">
        <v>0</v>
      </c>
      <c r="AS73" s="15">
        <v>0</v>
      </c>
      <c r="AT73" s="15">
        <v>1</v>
      </c>
      <c r="BD73" s="16"/>
      <c r="BE73" s="7">
        <v>240</v>
      </c>
      <c r="BL73" s="7">
        <v>0</v>
      </c>
    </row>
    <row r="74" spans="1:64" s="15" customFormat="1">
      <c r="A74" s="15">
        <v>2103</v>
      </c>
      <c r="B74" s="15" t="s">
        <v>555</v>
      </c>
      <c r="C74" s="15" t="s">
        <v>540</v>
      </c>
      <c r="D74" s="15" t="s">
        <v>550</v>
      </c>
      <c r="E74" s="15">
        <v>1</v>
      </c>
      <c r="F74" s="15" t="s">
        <v>959</v>
      </c>
      <c r="G74" s="15">
        <v>0</v>
      </c>
      <c r="H74" s="15">
        <v>0</v>
      </c>
      <c r="I74" s="15">
        <v>99999</v>
      </c>
      <c r="J74" s="15">
        <v>0</v>
      </c>
      <c r="K74" s="15">
        <v>0</v>
      </c>
      <c r="L74" s="15" t="s">
        <v>1562</v>
      </c>
      <c r="M74" s="15">
        <v>99</v>
      </c>
      <c r="N74" s="7">
        <v>1</v>
      </c>
      <c r="P74" s="16">
        <v>0</v>
      </c>
      <c r="Q74" s="15">
        <v>0</v>
      </c>
      <c r="S74" s="15">
        <v>1</v>
      </c>
      <c r="T74" s="15">
        <v>0</v>
      </c>
      <c r="V74" s="15">
        <v>0</v>
      </c>
      <c r="W74" s="15">
        <v>1</v>
      </c>
      <c r="X74" s="30" t="s">
        <v>556</v>
      </c>
      <c r="Y74" s="15" t="s">
        <v>552</v>
      </c>
      <c r="Z74" s="15" t="s">
        <v>2445</v>
      </c>
      <c r="AA74" s="15" t="s">
        <v>527</v>
      </c>
      <c r="AB74" s="15">
        <v>0</v>
      </c>
      <c r="AC74" s="15">
        <v>15</v>
      </c>
      <c r="AD74" s="15">
        <v>0</v>
      </c>
      <c r="AE74" s="15">
        <v>0</v>
      </c>
      <c r="AF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P74" s="15">
        <v>1</v>
      </c>
      <c r="AR74" s="15">
        <v>0</v>
      </c>
      <c r="AS74" s="15">
        <v>0</v>
      </c>
      <c r="AT74" s="15">
        <v>1</v>
      </c>
      <c r="BD74" s="16"/>
      <c r="BE74" s="7">
        <v>240</v>
      </c>
      <c r="BL74" s="7">
        <v>0</v>
      </c>
    </row>
    <row r="75" spans="1:64" s="7" customFormat="1">
      <c r="A75" s="7">
        <v>2201</v>
      </c>
      <c r="B75" s="7" t="s">
        <v>557</v>
      </c>
      <c r="C75" s="7" t="s">
        <v>540</v>
      </c>
      <c r="D75" s="7" t="s">
        <v>550</v>
      </c>
      <c r="E75" s="7">
        <v>1</v>
      </c>
      <c r="F75" s="7" t="s">
        <v>959</v>
      </c>
      <c r="G75" s="7">
        <v>0</v>
      </c>
      <c r="H75" s="7">
        <v>0</v>
      </c>
      <c r="I75" s="7">
        <v>99999</v>
      </c>
      <c r="J75" s="7">
        <v>0</v>
      </c>
      <c r="K75" s="7">
        <v>0</v>
      </c>
      <c r="L75" s="7" t="s">
        <v>1562</v>
      </c>
      <c r="M75" s="7">
        <v>99</v>
      </c>
      <c r="N75" s="7">
        <v>0</v>
      </c>
      <c r="P75" s="7">
        <v>0</v>
      </c>
      <c r="Q75" s="7">
        <v>0</v>
      </c>
      <c r="S75" s="7">
        <v>5000</v>
      </c>
      <c r="T75" s="7">
        <v>0</v>
      </c>
      <c r="V75" s="7">
        <v>1</v>
      </c>
      <c r="W75" s="7">
        <v>1</v>
      </c>
      <c r="X75" s="6"/>
      <c r="Y75" s="7" t="s">
        <v>1950</v>
      </c>
      <c r="Z75" s="7" t="s">
        <v>2446</v>
      </c>
      <c r="AA75" s="7" t="s">
        <v>1954</v>
      </c>
      <c r="AB75" s="7">
        <v>0</v>
      </c>
      <c r="AC75" s="7">
        <v>15</v>
      </c>
      <c r="AD75" s="7">
        <v>0</v>
      </c>
      <c r="AE75" s="7">
        <v>0</v>
      </c>
      <c r="AF75" s="7">
        <v>1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P75" s="7">
        <v>1</v>
      </c>
      <c r="AQ75" s="7">
        <v>1</v>
      </c>
      <c r="AR75" s="7">
        <v>0</v>
      </c>
      <c r="AS75" s="7">
        <v>0</v>
      </c>
      <c r="AT75" s="7">
        <v>1</v>
      </c>
      <c r="BE75" s="7">
        <v>240</v>
      </c>
      <c r="BG75" s="7">
        <v>2</v>
      </c>
      <c r="BL75" s="7">
        <v>0</v>
      </c>
    </row>
    <row r="76" spans="1:64" s="24" customFormat="1">
      <c r="A76" s="24">
        <v>2211</v>
      </c>
      <c r="B76" s="24" t="s">
        <v>558</v>
      </c>
      <c r="C76" s="24" t="s">
        <v>540</v>
      </c>
      <c r="D76" s="24" t="s">
        <v>550</v>
      </c>
      <c r="E76" s="24">
        <v>1</v>
      </c>
      <c r="F76" s="24" t="s">
        <v>959</v>
      </c>
      <c r="G76" s="24">
        <v>0</v>
      </c>
      <c r="H76" s="24">
        <v>0</v>
      </c>
      <c r="I76" s="24">
        <v>99999</v>
      </c>
      <c r="J76" s="24">
        <v>0</v>
      </c>
      <c r="K76" s="24">
        <v>0</v>
      </c>
      <c r="L76" s="24" t="s">
        <v>1562</v>
      </c>
      <c r="M76" s="24">
        <v>99</v>
      </c>
      <c r="N76" s="25">
        <v>0</v>
      </c>
      <c r="P76" s="25">
        <v>0</v>
      </c>
      <c r="Q76" s="24">
        <v>0</v>
      </c>
      <c r="S76" s="24">
        <v>25000</v>
      </c>
      <c r="T76" s="24">
        <v>0</v>
      </c>
      <c r="V76" s="24">
        <v>1</v>
      </c>
      <c r="W76" s="24">
        <v>1</v>
      </c>
      <c r="X76" s="31" t="s">
        <v>1966</v>
      </c>
      <c r="Y76" s="24" t="s">
        <v>1963</v>
      </c>
      <c r="Z76" s="24" t="s">
        <v>2447</v>
      </c>
      <c r="AA76" s="24" t="s">
        <v>1952</v>
      </c>
      <c r="AB76" s="24">
        <v>0</v>
      </c>
      <c r="AC76" s="24">
        <v>15</v>
      </c>
      <c r="AD76" s="24">
        <v>0</v>
      </c>
      <c r="AE76" s="24">
        <v>0</v>
      </c>
      <c r="AF76" s="24">
        <v>1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P76" s="24">
        <v>1</v>
      </c>
      <c r="AQ76" s="24">
        <v>1</v>
      </c>
      <c r="AR76" s="24">
        <v>0</v>
      </c>
      <c r="AS76" s="24">
        <v>0</v>
      </c>
      <c r="AT76" s="24">
        <v>1</v>
      </c>
      <c r="BD76" s="25"/>
      <c r="BE76" s="25">
        <v>240</v>
      </c>
      <c r="BG76" s="24">
        <v>2</v>
      </c>
      <c r="BL76" s="7">
        <v>0</v>
      </c>
    </row>
    <row r="77" spans="1:64" s="24" customFormat="1">
      <c r="A77" s="24">
        <v>2212</v>
      </c>
      <c r="B77" s="24" t="s">
        <v>1967</v>
      </c>
      <c r="C77" s="24" t="s">
        <v>540</v>
      </c>
      <c r="D77" s="24" t="s">
        <v>550</v>
      </c>
      <c r="E77" s="24">
        <v>1</v>
      </c>
      <c r="F77" s="24" t="s">
        <v>959</v>
      </c>
      <c r="G77" s="24">
        <v>0</v>
      </c>
      <c r="H77" s="24">
        <v>0</v>
      </c>
      <c r="I77" s="24">
        <v>99999</v>
      </c>
      <c r="J77" s="24">
        <v>0</v>
      </c>
      <c r="K77" s="24">
        <v>0</v>
      </c>
      <c r="L77" s="24" t="s">
        <v>1562</v>
      </c>
      <c r="M77" s="24">
        <v>99</v>
      </c>
      <c r="N77" s="25">
        <v>0</v>
      </c>
      <c r="P77" s="25">
        <v>0</v>
      </c>
      <c r="Q77" s="24">
        <v>0</v>
      </c>
      <c r="S77" s="24">
        <v>1500</v>
      </c>
      <c r="T77" s="24">
        <v>0</v>
      </c>
      <c r="V77" s="24">
        <v>1</v>
      </c>
      <c r="W77" s="24">
        <v>1</v>
      </c>
      <c r="X77" s="31" t="s">
        <v>1965</v>
      </c>
      <c r="Y77" s="24" t="s">
        <v>1964</v>
      </c>
      <c r="Z77" s="24" t="s">
        <v>2448</v>
      </c>
      <c r="AA77" s="24" t="s">
        <v>1968</v>
      </c>
      <c r="AB77" s="24">
        <v>0</v>
      </c>
      <c r="AC77" s="24">
        <v>15</v>
      </c>
      <c r="AD77" s="24">
        <v>0</v>
      </c>
      <c r="AE77" s="24">
        <v>0</v>
      </c>
      <c r="AF77" s="24">
        <v>1</v>
      </c>
      <c r="AI77" s="24">
        <v>0</v>
      </c>
      <c r="AJ77" s="24">
        <v>0</v>
      </c>
      <c r="AK77" s="24">
        <v>0</v>
      </c>
      <c r="AL77" s="24">
        <v>0</v>
      </c>
      <c r="AM77" s="24">
        <v>0</v>
      </c>
      <c r="AN77" s="24">
        <v>0</v>
      </c>
      <c r="AP77" s="24">
        <v>1</v>
      </c>
      <c r="AQ77" s="24">
        <v>1</v>
      </c>
      <c r="AR77" s="24">
        <v>0</v>
      </c>
      <c r="AS77" s="24">
        <v>0</v>
      </c>
      <c r="AT77" s="24">
        <v>1</v>
      </c>
      <c r="BD77" s="25"/>
      <c r="BE77" s="25">
        <v>240</v>
      </c>
      <c r="BG77" s="24">
        <v>2</v>
      </c>
      <c r="BL77" s="7">
        <v>0</v>
      </c>
    </row>
    <row r="78" spans="1:64" s="24" customFormat="1">
      <c r="A78" s="24">
        <v>2301</v>
      </c>
      <c r="B78" s="24" t="s">
        <v>3184</v>
      </c>
      <c r="C78" s="24" t="s">
        <v>540</v>
      </c>
      <c r="D78" s="24" t="s">
        <v>550</v>
      </c>
      <c r="E78" s="24">
        <v>1</v>
      </c>
      <c r="F78" s="24" t="s">
        <v>959</v>
      </c>
      <c r="G78" s="24">
        <v>0</v>
      </c>
      <c r="H78" s="24">
        <v>0</v>
      </c>
      <c r="I78" s="24">
        <v>99999</v>
      </c>
      <c r="J78" s="24">
        <v>0</v>
      </c>
      <c r="K78" s="24">
        <v>3</v>
      </c>
      <c r="L78" s="24" t="s">
        <v>1562</v>
      </c>
      <c r="M78" s="24">
        <v>20</v>
      </c>
      <c r="N78" s="25">
        <v>1</v>
      </c>
      <c r="P78" s="25">
        <v>0</v>
      </c>
      <c r="Q78" s="24">
        <v>0</v>
      </c>
      <c r="S78" s="24">
        <v>1</v>
      </c>
      <c r="T78" s="24">
        <v>0</v>
      </c>
      <c r="V78" s="24">
        <v>1</v>
      </c>
      <c r="W78" s="24">
        <v>1</v>
      </c>
      <c r="X78" s="31" t="s">
        <v>3221</v>
      </c>
      <c r="Y78" s="7" t="s">
        <v>3231</v>
      </c>
      <c r="Z78" s="24" t="s">
        <v>3214</v>
      </c>
      <c r="AA78" s="7" t="s">
        <v>527</v>
      </c>
      <c r="AB78" s="24">
        <v>0</v>
      </c>
      <c r="AC78" s="24">
        <v>16</v>
      </c>
      <c r="AD78" s="24">
        <v>0</v>
      </c>
      <c r="AE78" s="24">
        <v>0</v>
      </c>
      <c r="AF78" s="24">
        <v>1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</v>
      </c>
      <c r="AP78" s="24">
        <v>1</v>
      </c>
      <c r="AQ78" s="24">
        <v>1</v>
      </c>
      <c r="AR78" s="24">
        <v>0</v>
      </c>
      <c r="AS78" s="24">
        <v>0</v>
      </c>
      <c r="AT78" s="24">
        <v>1</v>
      </c>
      <c r="BD78" s="25"/>
      <c r="BE78" s="25">
        <v>240</v>
      </c>
      <c r="BG78" s="24">
        <v>2</v>
      </c>
      <c r="BL78" s="7">
        <v>0</v>
      </c>
    </row>
    <row r="79" spans="1:64" s="24" customFormat="1">
      <c r="A79" s="24">
        <v>2302</v>
      </c>
      <c r="B79" s="24" t="s">
        <v>3191</v>
      </c>
      <c r="C79" s="24" t="s">
        <v>540</v>
      </c>
      <c r="D79" s="24" t="s">
        <v>550</v>
      </c>
      <c r="E79" s="24">
        <v>1</v>
      </c>
      <c r="F79" s="24" t="s">
        <v>959</v>
      </c>
      <c r="G79" s="24">
        <v>0</v>
      </c>
      <c r="H79" s="24">
        <v>0</v>
      </c>
      <c r="I79" s="24">
        <v>99999</v>
      </c>
      <c r="J79" s="24">
        <v>0</v>
      </c>
      <c r="K79" s="24">
        <v>3</v>
      </c>
      <c r="L79" s="24" t="s">
        <v>1562</v>
      </c>
      <c r="M79" s="24">
        <v>99</v>
      </c>
      <c r="N79" s="25">
        <v>1</v>
      </c>
      <c r="P79" s="25">
        <v>0</v>
      </c>
      <c r="Q79" s="24">
        <v>0</v>
      </c>
      <c r="S79" s="24">
        <v>1</v>
      </c>
      <c r="T79" s="24">
        <v>0</v>
      </c>
      <c r="V79" s="24">
        <v>1</v>
      </c>
      <c r="W79" s="24">
        <v>1</v>
      </c>
      <c r="X79" s="31" t="s">
        <v>3276</v>
      </c>
      <c r="Y79" s="24" t="s">
        <v>3230</v>
      </c>
      <c r="Z79" s="24" t="s">
        <v>3192</v>
      </c>
      <c r="AA79" s="24" t="s">
        <v>2017</v>
      </c>
      <c r="AB79" s="24">
        <v>0</v>
      </c>
      <c r="AC79" s="24">
        <v>15</v>
      </c>
      <c r="AD79" s="24">
        <v>0</v>
      </c>
      <c r="AE79" s="24">
        <v>0</v>
      </c>
      <c r="AF79" s="24">
        <v>1</v>
      </c>
      <c r="AI79" s="24">
        <v>0</v>
      </c>
      <c r="AJ79" s="24">
        <v>0</v>
      </c>
      <c r="AK79" s="24">
        <v>0</v>
      </c>
      <c r="AL79" s="24">
        <v>0</v>
      </c>
      <c r="AM79" s="24">
        <v>0</v>
      </c>
      <c r="AN79" s="24">
        <v>0</v>
      </c>
      <c r="AP79" s="24">
        <v>1</v>
      </c>
      <c r="AQ79" s="24">
        <v>1</v>
      </c>
      <c r="AR79" s="24">
        <v>0</v>
      </c>
      <c r="AS79" s="24">
        <v>0</v>
      </c>
      <c r="AT79" s="24">
        <v>1</v>
      </c>
      <c r="BD79" s="25"/>
      <c r="BE79" s="25">
        <v>240</v>
      </c>
      <c r="BG79" s="24">
        <v>2</v>
      </c>
      <c r="BL79" s="7">
        <v>0</v>
      </c>
    </row>
    <row r="80" spans="1:64">
      <c r="A80">
        <v>10110</v>
      </c>
      <c r="B80" t="s">
        <v>1759</v>
      </c>
      <c r="C80" t="s">
        <v>37</v>
      </c>
      <c r="D80" t="s">
        <v>38</v>
      </c>
      <c r="E80">
        <v>1</v>
      </c>
      <c r="F80" t="s">
        <v>959</v>
      </c>
      <c r="G80">
        <v>0</v>
      </c>
      <c r="H80">
        <v>0</v>
      </c>
      <c r="I80">
        <v>99999</v>
      </c>
      <c r="J80">
        <v>0</v>
      </c>
      <c r="K80">
        <v>0</v>
      </c>
      <c r="L80" t="s">
        <v>1562</v>
      </c>
      <c r="M80">
        <v>1</v>
      </c>
      <c r="N80" s="7">
        <v>1</v>
      </c>
      <c r="P80">
        <v>0</v>
      </c>
      <c r="Q80">
        <v>0</v>
      </c>
      <c r="S80">
        <v>5000</v>
      </c>
      <c r="T80">
        <v>0</v>
      </c>
      <c r="V80">
        <v>1</v>
      </c>
      <c r="W80">
        <v>1</v>
      </c>
      <c r="Y80" t="s">
        <v>594</v>
      </c>
      <c r="Z80" t="s">
        <v>2912</v>
      </c>
      <c r="AA80" s="7" t="s">
        <v>2287</v>
      </c>
      <c r="AB80">
        <v>0</v>
      </c>
      <c r="AC80">
        <v>4</v>
      </c>
      <c r="AD80">
        <v>0</v>
      </c>
      <c r="AE80">
        <v>0</v>
      </c>
      <c r="AF80">
        <v>1</v>
      </c>
      <c r="AI80">
        <v>24</v>
      </c>
      <c r="AJ80">
        <v>8</v>
      </c>
      <c r="AK80" s="7">
        <v>0</v>
      </c>
      <c r="AL80" s="7">
        <v>0</v>
      </c>
      <c r="AM80" s="7">
        <v>0</v>
      </c>
      <c r="AN80" s="7">
        <v>0</v>
      </c>
      <c r="AP80">
        <v>1</v>
      </c>
      <c r="AQ80" s="7">
        <v>1</v>
      </c>
      <c r="AR80" s="7">
        <v>1</v>
      </c>
      <c r="AS80" s="7">
        <v>1</v>
      </c>
      <c r="AV80" s="7">
        <v>1</v>
      </c>
      <c r="AW80">
        <v>1</v>
      </c>
      <c r="AY80">
        <v>30000</v>
      </c>
      <c r="AZ80" s="7">
        <v>40000</v>
      </c>
      <c r="BA80" s="7">
        <v>50000</v>
      </c>
      <c r="BB80">
        <v>4</v>
      </c>
      <c r="BD80" s="7"/>
      <c r="BE80" s="7">
        <v>240</v>
      </c>
      <c r="BG80" s="7">
        <v>2</v>
      </c>
      <c r="BL80" s="7">
        <v>0</v>
      </c>
    </row>
    <row r="81" spans="1:64">
      <c r="A81">
        <v>10111</v>
      </c>
      <c r="B81" t="s">
        <v>1760</v>
      </c>
      <c r="C81" t="s">
        <v>37</v>
      </c>
      <c r="D81" t="s">
        <v>38</v>
      </c>
      <c r="E81">
        <v>1</v>
      </c>
      <c r="F81" t="s">
        <v>959</v>
      </c>
      <c r="G81">
        <v>0</v>
      </c>
      <c r="H81">
        <v>0</v>
      </c>
      <c r="I81">
        <v>99999</v>
      </c>
      <c r="J81">
        <v>0</v>
      </c>
      <c r="K81">
        <v>0</v>
      </c>
      <c r="L81" t="s">
        <v>1562</v>
      </c>
      <c r="M81" s="7">
        <v>1</v>
      </c>
      <c r="N81" s="7">
        <v>1</v>
      </c>
      <c r="P81">
        <v>0</v>
      </c>
      <c r="Q81">
        <v>0</v>
      </c>
      <c r="S81">
        <v>10000</v>
      </c>
      <c r="T81">
        <v>0</v>
      </c>
      <c r="V81">
        <v>1</v>
      </c>
      <c r="W81">
        <v>1</v>
      </c>
      <c r="Y81" t="s">
        <v>595</v>
      </c>
      <c r="Z81" t="s">
        <v>2449</v>
      </c>
      <c r="AA81" s="7" t="s">
        <v>2287</v>
      </c>
      <c r="AB81">
        <v>0</v>
      </c>
      <c r="AC81" s="7">
        <v>4</v>
      </c>
      <c r="AD81">
        <v>0</v>
      </c>
      <c r="AE81">
        <v>0</v>
      </c>
      <c r="AF81">
        <v>1</v>
      </c>
      <c r="AI81">
        <v>1200</v>
      </c>
      <c r="AJ81">
        <v>1</v>
      </c>
      <c r="AK81" s="7">
        <v>0</v>
      </c>
      <c r="AL81" s="7">
        <v>0</v>
      </c>
      <c r="AM81" s="7">
        <v>0</v>
      </c>
      <c r="AN81" s="7">
        <v>0</v>
      </c>
      <c r="AP81">
        <v>1</v>
      </c>
      <c r="AQ81" s="7">
        <v>1</v>
      </c>
      <c r="AR81" s="7">
        <v>1</v>
      </c>
      <c r="AS81" s="7">
        <v>1</v>
      </c>
      <c r="AV81" s="7">
        <v>1</v>
      </c>
      <c r="AY81">
        <v>30000</v>
      </c>
      <c r="AZ81" s="7">
        <v>40000</v>
      </c>
      <c r="BA81" s="7">
        <v>50000</v>
      </c>
      <c r="BB81">
        <v>4</v>
      </c>
      <c r="BC81" s="7"/>
      <c r="BD81" s="7"/>
      <c r="BE81" s="7">
        <v>240</v>
      </c>
      <c r="BG81" s="7">
        <v>2</v>
      </c>
      <c r="BL81" s="7">
        <v>0</v>
      </c>
    </row>
    <row r="82" spans="1:64" s="15" customFormat="1">
      <c r="A82" s="15">
        <v>10112</v>
      </c>
      <c r="B82" s="15" t="s">
        <v>1761</v>
      </c>
      <c r="C82" s="15" t="s">
        <v>37</v>
      </c>
      <c r="D82" s="15" t="s">
        <v>38</v>
      </c>
      <c r="E82" s="15">
        <v>1</v>
      </c>
      <c r="F82" s="15" t="s">
        <v>959</v>
      </c>
      <c r="G82" s="15">
        <v>0</v>
      </c>
      <c r="H82" s="15">
        <v>0</v>
      </c>
      <c r="I82" s="15">
        <v>99999</v>
      </c>
      <c r="J82" s="15">
        <v>0</v>
      </c>
      <c r="K82" s="15">
        <v>0</v>
      </c>
      <c r="L82" s="15" t="s">
        <v>1562</v>
      </c>
      <c r="M82" s="16">
        <v>1</v>
      </c>
      <c r="N82" s="16">
        <v>1</v>
      </c>
      <c r="P82" s="15">
        <v>0</v>
      </c>
      <c r="Q82" s="15">
        <v>0</v>
      </c>
      <c r="S82" s="15">
        <v>20000</v>
      </c>
      <c r="T82" s="15">
        <v>0</v>
      </c>
      <c r="V82" s="15">
        <v>1</v>
      </c>
      <c r="W82" s="15">
        <v>1</v>
      </c>
      <c r="X82" s="30"/>
      <c r="Y82" s="15" t="s">
        <v>596</v>
      </c>
      <c r="Z82" s="15" t="s">
        <v>2450</v>
      </c>
      <c r="AA82" s="15" t="s">
        <v>527</v>
      </c>
      <c r="AB82" s="15">
        <v>0</v>
      </c>
      <c r="AC82" s="16">
        <v>4</v>
      </c>
      <c r="AD82" s="15">
        <v>0</v>
      </c>
      <c r="AE82" s="15">
        <v>0</v>
      </c>
      <c r="AF82" s="15">
        <v>1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P82" s="15">
        <v>1</v>
      </c>
      <c r="AQ82" s="16">
        <v>1</v>
      </c>
      <c r="AR82" s="16">
        <v>1</v>
      </c>
      <c r="AS82" s="16">
        <v>1</v>
      </c>
      <c r="AV82" s="16">
        <v>1</v>
      </c>
      <c r="AY82" s="15">
        <v>30000</v>
      </c>
      <c r="AZ82" s="15">
        <v>40000</v>
      </c>
      <c r="BA82" s="15">
        <v>50000</v>
      </c>
      <c r="BB82" s="15">
        <v>4</v>
      </c>
      <c r="BC82" s="7"/>
      <c r="BD82" s="7"/>
      <c r="BE82" s="16">
        <v>240</v>
      </c>
      <c r="BG82" s="15">
        <v>2</v>
      </c>
      <c r="BL82" s="7">
        <v>0</v>
      </c>
    </row>
    <row r="83" spans="1:64" s="15" customFormat="1">
      <c r="A83" s="15">
        <v>10113</v>
      </c>
      <c r="B83" s="15" t="s">
        <v>1762</v>
      </c>
      <c r="C83" s="15" t="s">
        <v>37</v>
      </c>
      <c r="D83" s="15" t="s">
        <v>38</v>
      </c>
      <c r="E83" s="15">
        <v>1</v>
      </c>
      <c r="F83" s="15" t="s">
        <v>959</v>
      </c>
      <c r="G83" s="15">
        <v>0</v>
      </c>
      <c r="H83" s="15">
        <v>0</v>
      </c>
      <c r="I83" s="15">
        <v>99999</v>
      </c>
      <c r="J83" s="15">
        <v>0</v>
      </c>
      <c r="K83" s="15">
        <v>0</v>
      </c>
      <c r="L83" s="15" t="s">
        <v>1562</v>
      </c>
      <c r="M83" s="16">
        <v>1</v>
      </c>
      <c r="N83" s="7">
        <v>1</v>
      </c>
      <c r="P83" s="15">
        <v>0</v>
      </c>
      <c r="Q83" s="15">
        <v>0</v>
      </c>
      <c r="S83" s="15">
        <v>40000</v>
      </c>
      <c r="T83" s="15">
        <v>0</v>
      </c>
      <c r="V83" s="15">
        <v>1</v>
      </c>
      <c r="W83" s="15">
        <v>1</v>
      </c>
      <c r="X83" s="30"/>
      <c r="Y83" s="15" t="s">
        <v>597</v>
      </c>
      <c r="Z83" s="15" t="s">
        <v>2451</v>
      </c>
      <c r="AA83" s="15" t="s">
        <v>527</v>
      </c>
      <c r="AB83" s="15">
        <v>0</v>
      </c>
      <c r="AC83" s="7">
        <v>4</v>
      </c>
      <c r="AD83" s="15">
        <v>0</v>
      </c>
      <c r="AE83" s="15">
        <v>0</v>
      </c>
      <c r="AF83" s="15">
        <v>1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P83" s="15">
        <v>1</v>
      </c>
      <c r="AQ83" s="15">
        <v>1</v>
      </c>
      <c r="AR83" s="15">
        <v>1</v>
      </c>
      <c r="AS83" s="15">
        <v>1</v>
      </c>
      <c r="AV83" s="15">
        <v>1</v>
      </c>
      <c r="AY83" s="15">
        <v>30000</v>
      </c>
      <c r="AZ83" s="15">
        <v>40000</v>
      </c>
      <c r="BA83" s="15">
        <v>50000</v>
      </c>
      <c r="BB83" s="15">
        <v>4</v>
      </c>
      <c r="BC83" s="7"/>
      <c r="BD83" s="7"/>
      <c r="BE83" s="7">
        <v>240</v>
      </c>
      <c r="BG83" s="15">
        <v>2</v>
      </c>
      <c r="BL83" s="7">
        <v>0</v>
      </c>
    </row>
    <row r="84" spans="1:64" s="15" customFormat="1">
      <c r="A84" s="15">
        <v>10114</v>
      </c>
      <c r="B84" s="15" t="s">
        <v>1763</v>
      </c>
      <c r="C84" s="15" t="s">
        <v>37</v>
      </c>
      <c r="D84" s="15" t="s">
        <v>38</v>
      </c>
      <c r="E84" s="15">
        <v>1</v>
      </c>
      <c r="F84" s="15" t="s">
        <v>959</v>
      </c>
      <c r="G84" s="15">
        <v>0</v>
      </c>
      <c r="H84" s="15">
        <v>0</v>
      </c>
      <c r="I84" s="15">
        <v>99999</v>
      </c>
      <c r="J84" s="15">
        <v>0</v>
      </c>
      <c r="K84" s="15">
        <v>0</v>
      </c>
      <c r="L84" s="15" t="s">
        <v>1562</v>
      </c>
      <c r="M84" s="16">
        <v>1</v>
      </c>
      <c r="N84" s="7">
        <v>1</v>
      </c>
      <c r="P84" s="15">
        <v>0</v>
      </c>
      <c r="Q84" s="15">
        <v>0</v>
      </c>
      <c r="S84" s="15">
        <v>80000</v>
      </c>
      <c r="T84" s="15">
        <v>0</v>
      </c>
      <c r="V84" s="15">
        <v>1</v>
      </c>
      <c r="W84" s="15">
        <v>1</v>
      </c>
      <c r="X84" s="30"/>
      <c r="Y84" s="15" t="s">
        <v>598</v>
      </c>
      <c r="Z84" s="15" t="s">
        <v>2452</v>
      </c>
      <c r="AA84" s="15" t="s">
        <v>527</v>
      </c>
      <c r="AB84" s="15">
        <v>0</v>
      </c>
      <c r="AC84" s="7">
        <v>4</v>
      </c>
      <c r="AD84" s="15">
        <v>0</v>
      </c>
      <c r="AE84" s="15">
        <v>0</v>
      </c>
      <c r="AF84" s="15">
        <v>1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P84" s="15">
        <v>1</v>
      </c>
      <c r="AQ84" s="15">
        <v>1</v>
      </c>
      <c r="AR84" s="15">
        <v>1</v>
      </c>
      <c r="AS84" s="15">
        <v>1</v>
      </c>
      <c r="AV84" s="15">
        <v>1</v>
      </c>
      <c r="AY84" s="15">
        <v>30000</v>
      </c>
      <c r="AZ84" s="15">
        <v>40000</v>
      </c>
      <c r="BA84" s="15">
        <v>50000</v>
      </c>
      <c r="BB84" s="15">
        <v>4</v>
      </c>
      <c r="BC84" s="7"/>
      <c r="BD84" s="7"/>
      <c r="BE84" s="7">
        <v>240</v>
      </c>
      <c r="BG84" s="15">
        <v>2</v>
      </c>
      <c r="BL84" s="7">
        <v>0</v>
      </c>
    </row>
    <row r="85" spans="1:64" s="15" customFormat="1">
      <c r="A85" s="15">
        <v>10115</v>
      </c>
      <c r="B85" s="15" t="s">
        <v>1764</v>
      </c>
      <c r="C85" s="15" t="s">
        <v>37</v>
      </c>
      <c r="D85" s="15" t="s">
        <v>38</v>
      </c>
      <c r="E85" s="15">
        <v>1</v>
      </c>
      <c r="F85" s="15" t="s">
        <v>959</v>
      </c>
      <c r="G85" s="15">
        <v>0</v>
      </c>
      <c r="H85" s="15">
        <v>0</v>
      </c>
      <c r="I85" s="15">
        <v>99999</v>
      </c>
      <c r="J85" s="15">
        <v>0</v>
      </c>
      <c r="K85" s="15">
        <v>0</v>
      </c>
      <c r="L85" s="15" t="s">
        <v>1562</v>
      </c>
      <c r="M85" s="16">
        <v>1</v>
      </c>
      <c r="N85" s="7">
        <v>1</v>
      </c>
      <c r="P85" s="15">
        <v>0</v>
      </c>
      <c r="Q85" s="15">
        <v>0</v>
      </c>
      <c r="S85" s="15">
        <v>80000</v>
      </c>
      <c r="T85" s="15">
        <v>0</v>
      </c>
      <c r="V85" s="15">
        <v>1</v>
      </c>
      <c r="W85" s="15">
        <v>1</v>
      </c>
      <c r="X85" s="30"/>
      <c r="Y85" s="15" t="s">
        <v>599</v>
      </c>
      <c r="Z85" s="15" t="s">
        <v>2453</v>
      </c>
      <c r="AA85" s="15" t="s">
        <v>527</v>
      </c>
      <c r="AB85" s="15">
        <v>0</v>
      </c>
      <c r="AC85" s="7">
        <v>4</v>
      </c>
      <c r="AD85" s="15">
        <v>0</v>
      </c>
      <c r="AE85" s="15">
        <v>0</v>
      </c>
      <c r="AF85" s="15">
        <v>1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P85" s="15">
        <v>1</v>
      </c>
      <c r="AQ85" s="15">
        <v>1</v>
      </c>
      <c r="AR85" s="15">
        <v>1</v>
      </c>
      <c r="AS85" s="15">
        <v>1</v>
      </c>
      <c r="AV85" s="15">
        <v>1</v>
      </c>
      <c r="AY85" s="15">
        <v>30000</v>
      </c>
      <c r="AZ85" s="15">
        <v>40000</v>
      </c>
      <c r="BA85" s="15">
        <v>50000</v>
      </c>
      <c r="BB85" s="15">
        <v>4</v>
      </c>
      <c r="BC85" s="7"/>
      <c r="BD85" s="7"/>
      <c r="BE85" s="7">
        <v>240</v>
      </c>
      <c r="BG85" s="15">
        <v>2</v>
      </c>
      <c r="BL85" s="7">
        <v>0</v>
      </c>
    </row>
    <row r="86" spans="1:64" s="15" customFormat="1">
      <c r="A86" s="15">
        <v>10116</v>
      </c>
      <c r="B86" s="15" t="s">
        <v>1765</v>
      </c>
      <c r="C86" s="15" t="s">
        <v>37</v>
      </c>
      <c r="D86" s="15" t="s">
        <v>38</v>
      </c>
      <c r="E86" s="15">
        <v>1</v>
      </c>
      <c r="F86" s="15" t="s">
        <v>959</v>
      </c>
      <c r="G86" s="15">
        <v>0</v>
      </c>
      <c r="H86" s="15">
        <v>0</v>
      </c>
      <c r="I86" s="15">
        <v>99999</v>
      </c>
      <c r="J86" s="15">
        <v>0</v>
      </c>
      <c r="K86" s="15">
        <v>0</v>
      </c>
      <c r="L86" s="15" t="s">
        <v>1562</v>
      </c>
      <c r="M86" s="16">
        <v>1</v>
      </c>
      <c r="N86" s="7">
        <v>1</v>
      </c>
      <c r="P86" s="15">
        <v>0</v>
      </c>
      <c r="Q86" s="15">
        <v>0</v>
      </c>
      <c r="S86" s="15">
        <v>80000</v>
      </c>
      <c r="T86" s="15">
        <v>0</v>
      </c>
      <c r="V86" s="15">
        <v>1</v>
      </c>
      <c r="W86" s="15">
        <v>1</v>
      </c>
      <c r="X86" s="30"/>
      <c r="Y86" s="15" t="s">
        <v>600</v>
      </c>
      <c r="Z86" s="15" t="s">
        <v>2454</v>
      </c>
      <c r="AA86" s="15" t="s">
        <v>527</v>
      </c>
      <c r="AB86" s="15">
        <v>0</v>
      </c>
      <c r="AC86" s="7">
        <v>4</v>
      </c>
      <c r="AD86" s="15">
        <v>0</v>
      </c>
      <c r="AE86" s="15">
        <v>0</v>
      </c>
      <c r="AF86" s="15">
        <v>1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P86" s="15">
        <v>1</v>
      </c>
      <c r="AQ86" s="15">
        <v>1</v>
      </c>
      <c r="AR86" s="15">
        <v>1</v>
      </c>
      <c r="AS86" s="15">
        <v>1</v>
      </c>
      <c r="AV86" s="15">
        <v>1</v>
      </c>
      <c r="AY86" s="15">
        <v>30000</v>
      </c>
      <c r="AZ86" s="15">
        <v>40000</v>
      </c>
      <c r="BA86" s="15">
        <v>50000</v>
      </c>
      <c r="BB86" s="15">
        <v>4</v>
      </c>
      <c r="BC86" s="7"/>
      <c r="BD86" s="7"/>
      <c r="BE86" s="7">
        <v>240</v>
      </c>
      <c r="BG86" s="15">
        <v>2</v>
      </c>
      <c r="BL86" s="7">
        <v>0</v>
      </c>
    </row>
    <row r="87" spans="1:64" s="15" customFormat="1">
      <c r="A87" s="15">
        <v>10117</v>
      </c>
      <c r="B87" s="15" t="s">
        <v>1766</v>
      </c>
      <c r="C87" s="15" t="s">
        <v>37</v>
      </c>
      <c r="D87" s="15" t="s">
        <v>38</v>
      </c>
      <c r="E87" s="15">
        <v>1</v>
      </c>
      <c r="F87" s="15" t="s">
        <v>959</v>
      </c>
      <c r="G87" s="15">
        <v>0</v>
      </c>
      <c r="H87" s="15">
        <v>0</v>
      </c>
      <c r="I87" s="15">
        <v>99999</v>
      </c>
      <c r="J87" s="15">
        <v>0</v>
      </c>
      <c r="K87" s="15">
        <v>0</v>
      </c>
      <c r="L87" s="15" t="s">
        <v>1562</v>
      </c>
      <c r="M87" s="16">
        <v>1</v>
      </c>
      <c r="N87" s="7">
        <v>1</v>
      </c>
      <c r="P87" s="15">
        <v>0</v>
      </c>
      <c r="Q87" s="15">
        <v>0</v>
      </c>
      <c r="S87" s="15">
        <v>80000</v>
      </c>
      <c r="T87" s="15">
        <v>0</v>
      </c>
      <c r="V87" s="15">
        <v>1</v>
      </c>
      <c r="W87" s="15">
        <v>1</v>
      </c>
      <c r="X87" s="30"/>
      <c r="Y87" s="15" t="s">
        <v>601</v>
      </c>
      <c r="Z87" s="15" t="s">
        <v>2455</v>
      </c>
      <c r="AA87" s="15" t="s">
        <v>527</v>
      </c>
      <c r="AB87" s="15">
        <v>0</v>
      </c>
      <c r="AC87" s="7">
        <v>4</v>
      </c>
      <c r="AD87" s="15">
        <v>0</v>
      </c>
      <c r="AE87" s="15">
        <v>0</v>
      </c>
      <c r="AF87" s="15">
        <v>1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P87" s="15">
        <v>1</v>
      </c>
      <c r="AQ87" s="15">
        <v>1</v>
      </c>
      <c r="AR87" s="15">
        <v>1</v>
      </c>
      <c r="AS87" s="15">
        <v>1</v>
      </c>
      <c r="AV87" s="15">
        <v>1</v>
      </c>
      <c r="AY87" s="15">
        <v>30000</v>
      </c>
      <c r="AZ87" s="15">
        <v>40000</v>
      </c>
      <c r="BA87" s="15">
        <v>50000</v>
      </c>
      <c r="BB87" s="15">
        <v>4</v>
      </c>
      <c r="BC87" s="7"/>
      <c r="BD87" s="7"/>
      <c r="BE87" s="7">
        <v>240</v>
      </c>
      <c r="BG87" s="15">
        <v>2</v>
      </c>
      <c r="BL87" s="7">
        <v>0</v>
      </c>
    </row>
    <row r="88" spans="1:64" s="15" customFormat="1">
      <c r="A88" s="15">
        <v>10118</v>
      </c>
      <c r="B88" s="15" t="s">
        <v>1767</v>
      </c>
      <c r="C88" s="15" t="s">
        <v>37</v>
      </c>
      <c r="D88" s="15" t="s">
        <v>38</v>
      </c>
      <c r="E88" s="15">
        <v>1</v>
      </c>
      <c r="F88" s="15" t="s">
        <v>959</v>
      </c>
      <c r="G88" s="15">
        <v>0</v>
      </c>
      <c r="H88" s="15">
        <v>0</v>
      </c>
      <c r="I88" s="15">
        <v>99999</v>
      </c>
      <c r="J88" s="15">
        <v>0</v>
      </c>
      <c r="K88" s="15">
        <v>0</v>
      </c>
      <c r="L88" s="15" t="s">
        <v>1562</v>
      </c>
      <c r="M88" s="16">
        <v>1</v>
      </c>
      <c r="N88" s="7">
        <v>1</v>
      </c>
      <c r="P88" s="15">
        <v>0</v>
      </c>
      <c r="Q88" s="15">
        <v>0</v>
      </c>
      <c r="S88" s="15">
        <v>80000</v>
      </c>
      <c r="T88" s="15">
        <v>0</v>
      </c>
      <c r="V88" s="15">
        <v>1</v>
      </c>
      <c r="W88" s="15">
        <v>1</v>
      </c>
      <c r="X88" s="30"/>
      <c r="Y88" s="15" t="s">
        <v>602</v>
      </c>
      <c r="Z88" s="15" t="s">
        <v>2456</v>
      </c>
      <c r="AA88" s="15" t="s">
        <v>527</v>
      </c>
      <c r="AB88" s="15">
        <v>0</v>
      </c>
      <c r="AC88" s="7">
        <v>4</v>
      </c>
      <c r="AD88" s="15">
        <v>0</v>
      </c>
      <c r="AE88" s="15">
        <v>0</v>
      </c>
      <c r="AF88" s="15">
        <v>1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P88" s="15">
        <v>1</v>
      </c>
      <c r="AQ88" s="15">
        <v>1</v>
      </c>
      <c r="AR88" s="15">
        <v>1</v>
      </c>
      <c r="AS88" s="15">
        <v>1</v>
      </c>
      <c r="AV88" s="15">
        <v>1</v>
      </c>
      <c r="AY88" s="15">
        <v>30000</v>
      </c>
      <c r="AZ88" s="15">
        <v>40000</v>
      </c>
      <c r="BA88" s="15">
        <v>50000</v>
      </c>
      <c r="BB88" s="15">
        <v>4</v>
      </c>
      <c r="BC88" s="7"/>
      <c r="BD88" s="7"/>
      <c r="BE88" s="7">
        <v>240</v>
      </c>
      <c r="BG88" s="15">
        <v>2</v>
      </c>
      <c r="BL88" s="7">
        <v>0</v>
      </c>
    </row>
    <row r="89" spans="1:64" s="15" customFormat="1">
      <c r="A89" s="15">
        <v>10119</v>
      </c>
      <c r="B89" s="15" t="s">
        <v>1768</v>
      </c>
      <c r="C89" s="15" t="s">
        <v>37</v>
      </c>
      <c r="D89" s="15" t="s">
        <v>38</v>
      </c>
      <c r="E89" s="15">
        <v>1</v>
      </c>
      <c r="F89" s="15" t="s">
        <v>959</v>
      </c>
      <c r="G89" s="15">
        <v>0</v>
      </c>
      <c r="H89" s="15">
        <v>0</v>
      </c>
      <c r="I89" s="15">
        <v>99999</v>
      </c>
      <c r="J89" s="15">
        <v>0</v>
      </c>
      <c r="K89" s="15">
        <v>0</v>
      </c>
      <c r="L89" s="15" t="s">
        <v>1562</v>
      </c>
      <c r="M89" s="16">
        <v>1</v>
      </c>
      <c r="N89" s="7">
        <v>1</v>
      </c>
      <c r="P89" s="15">
        <v>0</v>
      </c>
      <c r="Q89" s="15">
        <v>0</v>
      </c>
      <c r="S89" s="15">
        <v>80000</v>
      </c>
      <c r="T89" s="15">
        <v>0</v>
      </c>
      <c r="V89" s="15">
        <v>1</v>
      </c>
      <c r="W89" s="15">
        <v>1</v>
      </c>
      <c r="X89" s="30"/>
      <c r="Y89" s="15" t="s">
        <v>603</v>
      </c>
      <c r="Z89" s="15" t="s">
        <v>2457</v>
      </c>
      <c r="AA89" s="15" t="s">
        <v>527</v>
      </c>
      <c r="AB89" s="15">
        <v>0</v>
      </c>
      <c r="AC89" s="7">
        <v>4</v>
      </c>
      <c r="AD89" s="15">
        <v>0</v>
      </c>
      <c r="AE89" s="15">
        <v>0</v>
      </c>
      <c r="AF89" s="15">
        <v>1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P89" s="15">
        <v>1</v>
      </c>
      <c r="AQ89" s="15">
        <v>1</v>
      </c>
      <c r="AR89" s="15">
        <v>1</v>
      </c>
      <c r="AS89" s="15">
        <v>1</v>
      </c>
      <c r="AV89" s="15">
        <v>1</v>
      </c>
      <c r="AY89" s="15">
        <v>30000</v>
      </c>
      <c r="AZ89" s="15">
        <v>40000</v>
      </c>
      <c r="BA89" s="15">
        <v>50000</v>
      </c>
      <c r="BB89" s="15">
        <v>4</v>
      </c>
      <c r="BC89" s="7"/>
      <c r="BD89" s="7"/>
      <c r="BE89" s="7">
        <v>240</v>
      </c>
      <c r="BG89" s="15">
        <v>2</v>
      </c>
      <c r="BL89" s="7">
        <v>0</v>
      </c>
    </row>
    <row r="90" spans="1:64">
      <c r="A90">
        <v>10120</v>
      </c>
      <c r="B90" t="s">
        <v>1749</v>
      </c>
      <c r="C90" t="s">
        <v>37</v>
      </c>
      <c r="D90" t="s">
        <v>38</v>
      </c>
      <c r="E90">
        <v>1</v>
      </c>
      <c r="F90" t="s">
        <v>959</v>
      </c>
      <c r="G90">
        <v>0</v>
      </c>
      <c r="H90">
        <v>0</v>
      </c>
      <c r="I90">
        <v>99999</v>
      </c>
      <c r="J90">
        <v>0</v>
      </c>
      <c r="K90">
        <v>0</v>
      </c>
      <c r="L90" t="s">
        <v>1562</v>
      </c>
      <c r="M90" s="7">
        <v>1</v>
      </c>
      <c r="N90" s="7">
        <v>1</v>
      </c>
      <c r="P90">
        <v>0</v>
      </c>
      <c r="Q90">
        <v>0</v>
      </c>
      <c r="S90" s="7">
        <v>5000</v>
      </c>
      <c r="T90">
        <v>0</v>
      </c>
      <c r="V90">
        <v>1</v>
      </c>
      <c r="W90">
        <v>1</v>
      </c>
      <c r="Y90" t="s">
        <v>594</v>
      </c>
      <c r="Z90" t="s">
        <v>2946</v>
      </c>
      <c r="AA90" s="7" t="s">
        <v>2287</v>
      </c>
      <c r="AB90">
        <v>0</v>
      </c>
      <c r="AC90" s="7">
        <v>4</v>
      </c>
      <c r="AD90">
        <v>0</v>
      </c>
      <c r="AE90">
        <v>0</v>
      </c>
      <c r="AF90">
        <v>1</v>
      </c>
      <c r="AI90" s="7">
        <v>24</v>
      </c>
      <c r="AJ90" s="7">
        <v>8</v>
      </c>
      <c r="AK90" s="7">
        <v>0</v>
      </c>
      <c r="AL90" s="7">
        <v>0</v>
      </c>
      <c r="AM90" s="7">
        <v>0</v>
      </c>
      <c r="AN90" s="7">
        <v>0</v>
      </c>
      <c r="AP90">
        <v>1</v>
      </c>
      <c r="AQ90" s="7">
        <v>1</v>
      </c>
      <c r="AR90" s="7">
        <v>1</v>
      </c>
      <c r="AS90" s="7">
        <v>1</v>
      </c>
      <c r="AV90" s="7">
        <v>1</v>
      </c>
      <c r="AW90">
        <v>1</v>
      </c>
      <c r="AY90">
        <v>30000</v>
      </c>
      <c r="AZ90" s="7">
        <v>40000</v>
      </c>
      <c r="BA90" s="7">
        <v>50000</v>
      </c>
      <c r="BB90">
        <v>4</v>
      </c>
      <c r="BC90" s="7"/>
      <c r="BD90" s="7"/>
      <c r="BE90" s="7">
        <v>240</v>
      </c>
      <c r="BG90" s="7">
        <v>2</v>
      </c>
      <c r="BL90" s="7">
        <v>0</v>
      </c>
    </row>
    <row r="91" spans="1:64">
      <c r="A91">
        <v>10121</v>
      </c>
      <c r="B91" t="s">
        <v>1750</v>
      </c>
      <c r="C91" t="s">
        <v>37</v>
      </c>
      <c r="D91" t="s">
        <v>38</v>
      </c>
      <c r="E91">
        <v>1</v>
      </c>
      <c r="F91" t="s">
        <v>959</v>
      </c>
      <c r="G91">
        <v>0</v>
      </c>
      <c r="H91">
        <v>0</v>
      </c>
      <c r="I91">
        <v>99999</v>
      </c>
      <c r="J91">
        <v>0</v>
      </c>
      <c r="K91">
        <v>0</v>
      </c>
      <c r="L91" t="s">
        <v>1562</v>
      </c>
      <c r="M91" s="7">
        <v>1</v>
      </c>
      <c r="N91" s="7">
        <v>1</v>
      </c>
      <c r="P91">
        <v>0</v>
      </c>
      <c r="Q91">
        <v>0</v>
      </c>
      <c r="S91" s="7">
        <v>10000</v>
      </c>
      <c r="T91">
        <v>0</v>
      </c>
      <c r="V91">
        <v>1</v>
      </c>
      <c r="W91">
        <v>1</v>
      </c>
      <c r="Y91" t="s">
        <v>595</v>
      </c>
      <c r="Z91" t="s">
        <v>2947</v>
      </c>
      <c r="AA91" s="7" t="s">
        <v>2287</v>
      </c>
      <c r="AB91">
        <v>0</v>
      </c>
      <c r="AC91" s="7">
        <v>4</v>
      </c>
      <c r="AD91">
        <v>0</v>
      </c>
      <c r="AE91">
        <v>0</v>
      </c>
      <c r="AF91">
        <v>1</v>
      </c>
      <c r="AI91" s="7">
        <v>1200</v>
      </c>
      <c r="AJ91" s="7">
        <v>1</v>
      </c>
      <c r="AK91" s="7">
        <v>0</v>
      </c>
      <c r="AL91" s="7">
        <v>0</v>
      </c>
      <c r="AM91" s="7">
        <v>0</v>
      </c>
      <c r="AN91" s="7">
        <v>0</v>
      </c>
      <c r="AP91">
        <v>1</v>
      </c>
      <c r="AQ91" s="7">
        <v>1</v>
      </c>
      <c r="AR91" s="7">
        <v>1</v>
      </c>
      <c r="AS91" s="7">
        <v>1</v>
      </c>
      <c r="AV91" s="7">
        <v>1</v>
      </c>
      <c r="AY91">
        <v>30000</v>
      </c>
      <c r="AZ91" s="7">
        <v>40000</v>
      </c>
      <c r="BA91" s="7">
        <v>50000</v>
      </c>
      <c r="BB91">
        <v>4</v>
      </c>
      <c r="BC91" s="7"/>
      <c r="BD91" s="7"/>
      <c r="BE91" s="7">
        <v>240</v>
      </c>
      <c r="BG91" s="7">
        <v>2</v>
      </c>
      <c r="BL91" s="7">
        <v>0</v>
      </c>
    </row>
    <row r="92" spans="1:64" s="15" customFormat="1">
      <c r="A92" s="15">
        <v>10122</v>
      </c>
      <c r="B92" s="15" t="s">
        <v>1751</v>
      </c>
      <c r="C92" s="15" t="s">
        <v>37</v>
      </c>
      <c r="D92" s="15" t="s">
        <v>38</v>
      </c>
      <c r="E92" s="15">
        <v>1</v>
      </c>
      <c r="F92" s="15" t="s">
        <v>959</v>
      </c>
      <c r="G92" s="15">
        <v>0</v>
      </c>
      <c r="H92" s="15">
        <v>0</v>
      </c>
      <c r="I92" s="15">
        <v>99999</v>
      </c>
      <c r="J92" s="15">
        <v>0</v>
      </c>
      <c r="K92" s="15">
        <v>0</v>
      </c>
      <c r="L92" s="15" t="s">
        <v>1562</v>
      </c>
      <c r="M92" s="16">
        <v>1</v>
      </c>
      <c r="N92" s="16">
        <v>1</v>
      </c>
      <c r="P92" s="15">
        <v>0</v>
      </c>
      <c r="Q92" s="15">
        <v>0</v>
      </c>
      <c r="S92" s="15">
        <v>20000</v>
      </c>
      <c r="T92" s="15">
        <v>0</v>
      </c>
      <c r="V92" s="15">
        <v>1</v>
      </c>
      <c r="W92" s="15">
        <v>1</v>
      </c>
      <c r="X92" s="30"/>
      <c r="Y92" s="15" t="s">
        <v>596</v>
      </c>
      <c r="Z92" s="15" t="s">
        <v>2948</v>
      </c>
      <c r="AA92" s="15" t="s">
        <v>2288</v>
      </c>
      <c r="AB92" s="15">
        <v>0</v>
      </c>
      <c r="AC92" s="16">
        <v>4</v>
      </c>
      <c r="AD92" s="15">
        <v>0</v>
      </c>
      <c r="AE92" s="15">
        <v>0</v>
      </c>
      <c r="AF92" s="15">
        <v>1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6"/>
      <c r="AP92" s="15">
        <v>1</v>
      </c>
      <c r="AQ92" s="16">
        <v>1</v>
      </c>
      <c r="AR92" s="16">
        <v>1</v>
      </c>
      <c r="AS92" s="16">
        <v>1</v>
      </c>
      <c r="AV92" s="16">
        <v>1</v>
      </c>
      <c r="AY92" s="15">
        <v>30000</v>
      </c>
      <c r="AZ92" s="15">
        <v>40000</v>
      </c>
      <c r="BA92" s="15">
        <v>50000</v>
      </c>
      <c r="BB92" s="15">
        <v>4</v>
      </c>
      <c r="BC92" s="7"/>
      <c r="BD92" s="7"/>
      <c r="BE92" s="16">
        <v>240</v>
      </c>
      <c r="BG92" s="15">
        <v>2</v>
      </c>
      <c r="BL92" s="7">
        <v>0</v>
      </c>
    </row>
    <row r="93" spans="1:64" s="15" customFormat="1">
      <c r="A93" s="15">
        <v>10123</v>
      </c>
      <c r="B93" s="15" t="s">
        <v>1752</v>
      </c>
      <c r="C93" s="15" t="s">
        <v>37</v>
      </c>
      <c r="D93" s="15" t="s">
        <v>38</v>
      </c>
      <c r="E93" s="15">
        <v>1</v>
      </c>
      <c r="F93" s="15" t="s">
        <v>959</v>
      </c>
      <c r="G93" s="15">
        <v>0</v>
      </c>
      <c r="H93" s="15">
        <v>0</v>
      </c>
      <c r="I93" s="15">
        <v>99999</v>
      </c>
      <c r="J93" s="15">
        <v>0</v>
      </c>
      <c r="K93" s="15">
        <v>0</v>
      </c>
      <c r="L93" s="15" t="s">
        <v>1562</v>
      </c>
      <c r="M93" s="16">
        <v>1</v>
      </c>
      <c r="N93" s="7">
        <v>1</v>
      </c>
      <c r="P93" s="15">
        <v>0</v>
      </c>
      <c r="Q93" s="15">
        <v>0</v>
      </c>
      <c r="S93" s="15">
        <v>40000</v>
      </c>
      <c r="T93" s="15">
        <v>0</v>
      </c>
      <c r="V93" s="15">
        <v>1</v>
      </c>
      <c r="W93" s="15">
        <v>1</v>
      </c>
      <c r="X93" s="30"/>
      <c r="Y93" s="15" t="s">
        <v>597</v>
      </c>
      <c r="Z93" s="15" t="s">
        <v>2949</v>
      </c>
      <c r="AA93" s="15" t="s">
        <v>2288</v>
      </c>
      <c r="AB93" s="15">
        <v>0</v>
      </c>
      <c r="AC93" s="7">
        <v>4</v>
      </c>
      <c r="AD93" s="15">
        <v>0</v>
      </c>
      <c r="AE93" s="15">
        <v>0</v>
      </c>
      <c r="AF93" s="15">
        <v>1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P93" s="15">
        <v>1</v>
      </c>
      <c r="AQ93" s="15">
        <v>1</v>
      </c>
      <c r="AR93" s="15">
        <v>1</v>
      </c>
      <c r="AS93" s="15">
        <v>1</v>
      </c>
      <c r="AV93" s="15">
        <v>1</v>
      </c>
      <c r="AY93" s="15">
        <v>30000</v>
      </c>
      <c r="AZ93" s="15">
        <v>40000</v>
      </c>
      <c r="BA93" s="15">
        <v>50000</v>
      </c>
      <c r="BB93" s="15">
        <v>4</v>
      </c>
      <c r="BC93" s="7"/>
      <c r="BD93" s="7"/>
      <c r="BE93" s="7">
        <v>240</v>
      </c>
      <c r="BG93" s="15">
        <v>2</v>
      </c>
      <c r="BL93" s="7">
        <v>0</v>
      </c>
    </row>
    <row r="94" spans="1:64" s="15" customFormat="1">
      <c r="A94" s="15">
        <v>10124</v>
      </c>
      <c r="B94" s="15" t="s">
        <v>1753</v>
      </c>
      <c r="C94" s="15" t="s">
        <v>37</v>
      </c>
      <c r="D94" s="15" t="s">
        <v>38</v>
      </c>
      <c r="E94" s="15">
        <v>1</v>
      </c>
      <c r="F94" s="15" t="s">
        <v>959</v>
      </c>
      <c r="G94" s="15">
        <v>0</v>
      </c>
      <c r="H94" s="15">
        <v>0</v>
      </c>
      <c r="I94" s="15">
        <v>99999</v>
      </c>
      <c r="J94" s="15">
        <v>0</v>
      </c>
      <c r="K94" s="15">
        <v>0</v>
      </c>
      <c r="L94" s="15" t="s">
        <v>1562</v>
      </c>
      <c r="M94" s="16">
        <v>1</v>
      </c>
      <c r="N94" s="7">
        <v>1</v>
      </c>
      <c r="P94" s="15">
        <v>0</v>
      </c>
      <c r="Q94" s="15">
        <v>0</v>
      </c>
      <c r="S94" s="15">
        <v>80000</v>
      </c>
      <c r="T94" s="15">
        <v>0</v>
      </c>
      <c r="V94" s="15">
        <v>1</v>
      </c>
      <c r="W94" s="15">
        <v>1</v>
      </c>
      <c r="X94" s="30"/>
      <c r="Y94" s="15" t="s">
        <v>598</v>
      </c>
      <c r="Z94" s="15" t="s">
        <v>2950</v>
      </c>
      <c r="AA94" s="15" t="s">
        <v>2288</v>
      </c>
      <c r="AB94" s="15">
        <v>0</v>
      </c>
      <c r="AC94" s="7">
        <v>4</v>
      </c>
      <c r="AD94" s="15">
        <v>0</v>
      </c>
      <c r="AE94" s="15">
        <v>0</v>
      </c>
      <c r="AF94" s="15">
        <v>1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P94" s="15">
        <v>1</v>
      </c>
      <c r="AQ94" s="15">
        <v>1</v>
      </c>
      <c r="AR94" s="15">
        <v>1</v>
      </c>
      <c r="AS94" s="15">
        <v>1</v>
      </c>
      <c r="AV94" s="15">
        <v>1</v>
      </c>
      <c r="AY94" s="15">
        <v>30000</v>
      </c>
      <c r="AZ94" s="15">
        <v>40000</v>
      </c>
      <c r="BA94" s="15">
        <v>50000</v>
      </c>
      <c r="BB94" s="15">
        <v>4</v>
      </c>
      <c r="BC94" s="7"/>
      <c r="BD94" s="7"/>
      <c r="BE94" s="7">
        <v>240</v>
      </c>
      <c r="BG94" s="15">
        <v>2</v>
      </c>
      <c r="BL94" s="7">
        <v>0</v>
      </c>
    </row>
    <row r="95" spans="1:64" s="15" customFormat="1">
      <c r="A95" s="15">
        <v>10125</v>
      </c>
      <c r="B95" s="15" t="s">
        <v>1754</v>
      </c>
      <c r="C95" s="15" t="s">
        <v>37</v>
      </c>
      <c r="D95" s="15" t="s">
        <v>38</v>
      </c>
      <c r="E95" s="15">
        <v>1</v>
      </c>
      <c r="F95" s="15" t="s">
        <v>959</v>
      </c>
      <c r="G95" s="15">
        <v>0</v>
      </c>
      <c r="H95" s="15">
        <v>0</v>
      </c>
      <c r="I95" s="15">
        <v>99999</v>
      </c>
      <c r="J95" s="15">
        <v>0</v>
      </c>
      <c r="K95" s="15">
        <v>0</v>
      </c>
      <c r="L95" s="15" t="s">
        <v>1562</v>
      </c>
      <c r="M95" s="16">
        <v>1</v>
      </c>
      <c r="N95" s="7">
        <v>1</v>
      </c>
      <c r="P95" s="15">
        <v>0</v>
      </c>
      <c r="Q95" s="15">
        <v>0</v>
      </c>
      <c r="S95" s="15">
        <v>80000</v>
      </c>
      <c r="T95" s="15">
        <v>0</v>
      </c>
      <c r="V95" s="15">
        <v>1</v>
      </c>
      <c r="W95" s="15">
        <v>1</v>
      </c>
      <c r="X95" s="30"/>
      <c r="Y95" s="15" t="s">
        <v>599</v>
      </c>
      <c r="Z95" s="15" t="s">
        <v>2951</v>
      </c>
      <c r="AA95" s="15" t="s">
        <v>2288</v>
      </c>
      <c r="AB95" s="15">
        <v>0</v>
      </c>
      <c r="AC95" s="7">
        <v>4</v>
      </c>
      <c r="AD95" s="15">
        <v>0</v>
      </c>
      <c r="AE95" s="15">
        <v>0</v>
      </c>
      <c r="AF95" s="15">
        <v>1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P95" s="15">
        <v>1</v>
      </c>
      <c r="AQ95" s="15">
        <v>1</v>
      </c>
      <c r="AR95" s="15">
        <v>1</v>
      </c>
      <c r="AS95" s="15">
        <v>1</v>
      </c>
      <c r="AV95" s="15">
        <v>1</v>
      </c>
      <c r="AY95" s="15">
        <v>30000</v>
      </c>
      <c r="AZ95" s="15">
        <v>40000</v>
      </c>
      <c r="BA95" s="15">
        <v>50000</v>
      </c>
      <c r="BB95" s="15">
        <v>4</v>
      </c>
      <c r="BC95" s="7"/>
      <c r="BD95" s="7"/>
      <c r="BE95" s="7">
        <v>240</v>
      </c>
      <c r="BG95" s="15">
        <v>2</v>
      </c>
      <c r="BL95" s="7">
        <v>0</v>
      </c>
    </row>
    <row r="96" spans="1:64" s="15" customFormat="1">
      <c r="A96" s="15">
        <v>10126</v>
      </c>
      <c r="B96" s="15" t="s">
        <v>1755</v>
      </c>
      <c r="C96" s="15" t="s">
        <v>37</v>
      </c>
      <c r="D96" s="15" t="s">
        <v>38</v>
      </c>
      <c r="E96" s="15">
        <v>1</v>
      </c>
      <c r="F96" s="15" t="s">
        <v>959</v>
      </c>
      <c r="G96" s="15">
        <v>0</v>
      </c>
      <c r="H96" s="15">
        <v>0</v>
      </c>
      <c r="I96" s="15">
        <v>99999</v>
      </c>
      <c r="J96" s="15">
        <v>0</v>
      </c>
      <c r="K96" s="15">
        <v>0</v>
      </c>
      <c r="L96" s="15" t="s">
        <v>1562</v>
      </c>
      <c r="M96" s="16">
        <v>1</v>
      </c>
      <c r="N96" s="7">
        <v>1</v>
      </c>
      <c r="P96" s="15">
        <v>0</v>
      </c>
      <c r="Q96" s="15">
        <v>0</v>
      </c>
      <c r="S96" s="15">
        <v>80000</v>
      </c>
      <c r="T96" s="15">
        <v>0</v>
      </c>
      <c r="V96" s="15">
        <v>1</v>
      </c>
      <c r="W96" s="15">
        <v>1</v>
      </c>
      <c r="X96" s="30"/>
      <c r="Y96" s="15" t="s">
        <v>600</v>
      </c>
      <c r="Z96" s="15" t="s">
        <v>2952</v>
      </c>
      <c r="AA96" s="15" t="s">
        <v>2288</v>
      </c>
      <c r="AB96" s="15">
        <v>0</v>
      </c>
      <c r="AC96" s="7">
        <v>4</v>
      </c>
      <c r="AD96" s="15">
        <v>0</v>
      </c>
      <c r="AE96" s="15">
        <v>0</v>
      </c>
      <c r="AF96" s="15">
        <v>1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P96" s="15">
        <v>1</v>
      </c>
      <c r="AQ96" s="15">
        <v>1</v>
      </c>
      <c r="AR96" s="15">
        <v>1</v>
      </c>
      <c r="AS96" s="15">
        <v>1</v>
      </c>
      <c r="AV96" s="15">
        <v>1</v>
      </c>
      <c r="AY96" s="15">
        <v>30000</v>
      </c>
      <c r="AZ96" s="15">
        <v>40000</v>
      </c>
      <c r="BA96" s="15">
        <v>50000</v>
      </c>
      <c r="BB96" s="15">
        <v>4</v>
      </c>
      <c r="BC96" s="7"/>
      <c r="BD96" s="7"/>
      <c r="BE96" s="7">
        <v>240</v>
      </c>
      <c r="BG96" s="15">
        <v>2</v>
      </c>
      <c r="BL96" s="7">
        <v>0</v>
      </c>
    </row>
    <row r="97" spans="1:64" s="15" customFormat="1">
      <c r="A97" s="15">
        <v>10127</v>
      </c>
      <c r="B97" s="15" t="s">
        <v>1756</v>
      </c>
      <c r="C97" s="15" t="s">
        <v>37</v>
      </c>
      <c r="D97" s="15" t="s">
        <v>38</v>
      </c>
      <c r="E97" s="15">
        <v>1</v>
      </c>
      <c r="F97" s="15" t="s">
        <v>959</v>
      </c>
      <c r="G97" s="15">
        <v>0</v>
      </c>
      <c r="H97" s="15">
        <v>0</v>
      </c>
      <c r="I97" s="15">
        <v>99999</v>
      </c>
      <c r="J97" s="15">
        <v>0</v>
      </c>
      <c r="K97" s="15">
        <v>0</v>
      </c>
      <c r="L97" s="15" t="s">
        <v>1562</v>
      </c>
      <c r="M97" s="16">
        <v>1</v>
      </c>
      <c r="N97" s="7">
        <v>1</v>
      </c>
      <c r="P97" s="15">
        <v>0</v>
      </c>
      <c r="Q97" s="15">
        <v>0</v>
      </c>
      <c r="S97" s="15">
        <v>80000</v>
      </c>
      <c r="T97" s="15">
        <v>0</v>
      </c>
      <c r="V97" s="15">
        <v>1</v>
      </c>
      <c r="W97" s="15">
        <v>1</v>
      </c>
      <c r="X97" s="30"/>
      <c r="Y97" s="15" t="s">
        <v>601</v>
      </c>
      <c r="Z97" s="15" t="s">
        <v>2953</v>
      </c>
      <c r="AA97" s="15" t="s">
        <v>2288</v>
      </c>
      <c r="AB97" s="15">
        <v>0</v>
      </c>
      <c r="AC97" s="7">
        <v>4</v>
      </c>
      <c r="AD97" s="15">
        <v>0</v>
      </c>
      <c r="AE97" s="15">
        <v>0</v>
      </c>
      <c r="AF97" s="15">
        <v>1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P97" s="15">
        <v>1</v>
      </c>
      <c r="AQ97" s="15">
        <v>1</v>
      </c>
      <c r="AR97" s="15">
        <v>1</v>
      </c>
      <c r="AS97" s="15">
        <v>1</v>
      </c>
      <c r="AV97" s="15">
        <v>1</v>
      </c>
      <c r="AY97" s="15">
        <v>30000</v>
      </c>
      <c r="AZ97" s="15">
        <v>40000</v>
      </c>
      <c r="BA97" s="15">
        <v>50000</v>
      </c>
      <c r="BB97" s="15">
        <v>4</v>
      </c>
      <c r="BC97" s="7"/>
      <c r="BD97" s="7"/>
      <c r="BE97" s="7">
        <v>240</v>
      </c>
      <c r="BG97" s="15">
        <v>2</v>
      </c>
      <c r="BL97" s="7">
        <v>0</v>
      </c>
    </row>
    <row r="98" spans="1:64" s="15" customFormat="1">
      <c r="A98" s="15">
        <v>10128</v>
      </c>
      <c r="B98" s="15" t="s">
        <v>1757</v>
      </c>
      <c r="C98" s="15" t="s">
        <v>37</v>
      </c>
      <c r="D98" s="15" t="s">
        <v>38</v>
      </c>
      <c r="E98" s="15">
        <v>1</v>
      </c>
      <c r="F98" s="15" t="s">
        <v>959</v>
      </c>
      <c r="G98" s="15">
        <v>0</v>
      </c>
      <c r="H98" s="15">
        <v>0</v>
      </c>
      <c r="I98" s="15">
        <v>99999</v>
      </c>
      <c r="J98" s="15">
        <v>0</v>
      </c>
      <c r="K98" s="15">
        <v>0</v>
      </c>
      <c r="L98" s="15" t="s">
        <v>1562</v>
      </c>
      <c r="M98" s="16">
        <v>1</v>
      </c>
      <c r="N98" s="7">
        <v>1</v>
      </c>
      <c r="P98" s="15">
        <v>0</v>
      </c>
      <c r="Q98" s="15">
        <v>0</v>
      </c>
      <c r="S98" s="15">
        <v>80000</v>
      </c>
      <c r="T98" s="15">
        <v>0</v>
      </c>
      <c r="V98" s="15">
        <v>1</v>
      </c>
      <c r="W98" s="15">
        <v>1</v>
      </c>
      <c r="X98" s="30"/>
      <c r="Y98" s="15" t="s">
        <v>602</v>
      </c>
      <c r="Z98" s="15" t="s">
        <v>2954</v>
      </c>
      <c r="AA98" s="15" t="s">
        <v>2288</v>
      </c>
      <c r="AB98" s="15">
        <v>0</v>
      </c>
      <c r="AC98" s="7">
        <v>4</v>
      </c>
      <c r="AD98" s="15">
        <v>0</v>
      </c>
      <c r="AE98" s="15">
        <v>0</v>
      </c>
      <c r="AF98" s="15">
        <v>1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P98" s="15">
        <v>1</v>
      </c>
      <c r="AQ98" s="15">
        <v>1</v>
      </c>
      <c r="AR98" s="15">
        <v>1</v>
      </c>
      <c r="AS98" s="15">
        <v>1</v>
      </c>
      <c r="AV98" s="15">
        <v>1</v>
      </c>
      <c r="AY98" s="15">
        <v>30000</v>
      </c>
      <c r="AZ98" s="15">
        <v>40000</v>
      </c>
      <c r="BA98" s="15">
        <v>50000</v>
      </c>
      <c r="BB98" s="15">
        <v>4</v>
      </c>
      <c r="BC98" s="7"/>
      <c r="BD98" s="7"/>
      <c r="BE98" s="7">
        <v>240</v>
      </c>
      <c r="BG98" s="15">
        <v>2</v>
      </c>
      <c r="BL98" s="7">
        <v>0</v>
      </c>
    </row>
    <row r="99" spans="1:64" s="15" customFormat="1">
      <c r="A99" s="15">
        <v>10129</v>
      </c>
      <c r="B99" s="15" t="s">
        <v>1758</v>
      </c>
      <c r="C99" s="15" t="s">
        <v>37</v>
      </c>
      <c r="D99" s="15" t="s">
        <v>38</v>
      </c>
      <c r="E99" s="15">
        <v>1</v>
      </c>
      <c r="F99" s="15" t="s">
        <v>959</v>
      </c>
      <c r="G99" s="15">
        <v>0</v>
      </c>
      <c r="H99" s="15">
        <v>0</v>
      </c>
      <c r="I99" s="15">
        <v>99999</v>
      </c>
      <c r="J99" s="15">
        <v>0</v>
      </c>
      <c r="K99" s="15">
        <v>0</v>
      </c>
      <c r="L99" s="15" t="s">
        <v>1562</v>
      </c>
      <c r="M99" s="16">
        <v>1</v>
      </c>
      <c r="N99" s="7">
        <v>1</v>
      </c>
      <c r="P99" s="15">
        <v>0</v>
      </c>
      <c r="Q99" s="15">
        <v>0</v>
      </c>
      <c r="S99" s="15">
        <v>80000</v>
      </c>
      <c r="T99" s="15">
        <v>0</v>
      </c>
      <c r="V99" s="15">
        <v>1</v>
      </c>
      <c r="W99" s="15">
        <v>1</v>
      </c>
      <c r="X99" s="30"/>
      <c r="Y99" s="15" t="s">
        <v>603</v>
      </c>
      <c r="Z99" s="15" t="s">
        <v>2955</v>
      </c>
      <c r="AA99" s="15" t="s">
        <v>2288</v>
      </c>
      <c r="AB99" s="15">
        <v>0</v>
      </c>
      <c r="AC99" s="7">
        <v>4</v>
      </c>
      <c r="AD99" s="15">
        <v>0</v>
      </c>
      <c r="AE99" s="15">
        <v>0</v>
      </c>
      <c r="AF99" s="15">
        <v>1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P99" s="15">
        <v>1</v>
      </c>
      <c r="AQ99" s="15">
        <v>1</v>
      </c>
      <c r="AR99" s="15">
        <v>1</v>
      </c>
      <c r="AS99" s="15">
        <v>1</v>
      </c>
      <c r="AV99" s="15">
        <v>1</v>
      </c>
      <c r="AY99" s="15">
        <v>30000</v>
      </c>
      <c r="AZ99" s="15">
        <v>40000</v>
      </c>
      <c r="BA99" s="15">
        <v>50000</v>
      </c>
      <c r="BB99" s="15">
        <v>4</v>
      </c>
      <c r="BC99" s="7"/>
      <c r="BD99" s="7"/>
      <c r="BE99" s="7">
        <v>240</v>
      </c>
      <c r="BG99" s="15">
        <v>2</v>
      </c>
      <c r="BL99" s="7">
        <v>0</v>
      </c>
    </row>
    <row r="100" spans="1:64">
      <c r="A100">
        <v>10210</v>
      </c>
      <c r="B100" t="s">
        <v>3118</v>
      </c>
      <c r="C100" t="s">
        <v>37</v>
      </c>
      <c r="D100" t="s">
        <v>38</v>
      </c>
      <c r="E100">
        <v>1</v>
      </c>
      <c r="F100" t="s">
        <v>959</v>
      </c>
      <c r="G100">
        <v>0</v>
      </c>
      <c r="H100">
        <v>0</v>
      </c>
      <c r="I100">
        <v>99999</v>
      </c>
      <c r="J100">
        <v>0</v>
      </c>
      <c r="K100">
        <v>0</v>
      </c>
      <c r="L100" t="s">
        <v>1562</v>
      </c>
      <c r="M100" s="7">
        <v>1</v>
      </c>
      <c r="N100" s="7">
        <v>1</v>
      </c>
      <c r="P100">
        <v>0</v>
      </c>
      <c r="Q100">
        <v>0</v>
      </c>
      <c r="S100" s="7">
        <v>5000</v>
      </c>
      <c r="T100">
        <v>0</v>
      </c>
      <c r="V100">
        <v>1</v>
      </c>
      <c r="W100">
        <v>1</v>
      </c>
      <c r="Y100" t="s">
        <v>604</v>
      </c>
      <c r="Z100" t="s">
        <v>2458</v>
      </c>
      <c r="AA100" s="7" t="s">
        <v>2289</v>
      </c>
      <c r="AB100">
        <v>0</v>
      </c>
      <c r="AC100" s="7">
        <v>4</v>
      </c>
      <c r="AD100">
        <v>0</v>
      </c>
      <c r="AE100">
        <v>0</v>
      </c>
      <c r="AF100">
        <v>1</v>
      </c>
      <c r="AI100" s="7">
        <v>24</v>
      </c>
      <c r="AJ100" s="7">
        <v>8</v>
      </c>
      <c r="AK100" s="7">
        <v>0</v>
      </c>
      <c r="AL100" s="7">
        <v>0</v>
      </c>
      <c r="AM100" s="7">
        <v>0</v>
      </c>
      <c r="AN100" s="7">
        <v>0</v>
      </c>
      <c r="AP100">
        <v>1</v>
      </c>
      <c r="AQ100" s="7">
        <v>1</v>
      </c>
      <c r="AR100" s="7">
        <v>1</v>
      </c>
      <c r="AS100" s="7">
        <v>1</v>
      </c>
      <c r="AV100" s="7">
        <v>1</v>
      </c>
      <c r="AY100">
        <v>30000</v>
      </c>
      <c r="AZ100" s="7">
        <v>40000</v>
      </c>
      <c r="BA100" s="7">
        <v>50000</v>
      </c>
      <c r="BB100">
        <v>4</v>
      </c>
      <c r="BC100" s="7"/>
      <c r="BD100" s="7"/>
      <c r="BE100" s="7">
        <v>240</v>
      </c>
      <c r="BG100" s="7">
        <v>2</v>
      </c>
      <c r="BL100" s="7">
        <v>0</v>
      </c>
    </row>
    <row r="101" spans="1:64">
      <c r="A101">
        <v>10211</v>
      </c>
      <c r="B101" t="s">
        <v>3119</v>
      </c>
      <c r="C101" t="s">
        <v>37</v>
      </c>
      <c r="D101" t="s">
        <v>38</v>
      </c>
      <c r="E101">
        <v>1</v>
      </c>
      <c r="F101" t="s">
        <v>959</v>
      </c>
      <c r="G101">
        <v>0</v>
      </c>
      <c r="H101">
        <v>0</v>
      </c>
      <c r="I101">
        <v>99999</v>
      </c>
      <c r="J101">
        <v>0</v>
      </c>
      <c r="K101">
        <v>0</v>
      </c>
      <c r="L101" t="s">
        <v>1562</v>
      </c>
      <c r="M101" s="7">
        <v>1</v>
      </c>
      <c r="N101" s="7">
        <v>1</v>
      </c>
      <c r="P101">
        <v>0</v>
      </c>
      <c r="Q101">
        <v>0</v>
      </c>
      <c r="S101" s="7">
        <v>10000</v>
      </c>
      <c r="T101">
        <v>0</v>
      </c>
      <c r="V101">
        <v>1</v>
      </c>
      <c r="W101">
        <v>1</v>
      </c>
      <c r="Y101" t="s">
        <v>605</v>
      </c>
      <c r="Z101" t="s">
        <v>2459</v>
      </c>
      <c r="AA101" s="7" t="s">
        <v>2289</v>
      </c>
      <c r="AB101">
        <v>0</v>
      </c>
      <c r="AC101" s="7">
        <v>4</v>
      </c>
      <c r="AD101">
        <v>0</v>
      </c>
      <c r="AE101">
        <v>0</v>
      </c>
      <c r="AF101">
        <v>1</v>
      </c>
      <c r="AI101" s="7">
        <v>1200</v>
      </c>
      <c r="AJ101" s="7">
        <v>1</v>
      </c>
      <c r="AK101" s="7">
        <v>0</v>
      </c>
      <c r="AL101" s="7">
        <v>0</v>
      </c>
      <c r="AM101" s="7">
        <v>0</v>
      </c>
      <c r="AN101" s="7">
        <v>0</v>
      </c>
      <c r="AP101">
        <v>1</v>
      </c>
      <c r="AQ101" s="7">
        <v>1</v>
      </c>
      <c r="AR101" s="7">
        <v>1</v>
      </c>
      <c r="AS101" s="7">
        <v>1</v>
      </c>
      <c r="AV101" s="7">
        <v>1</v>
      </c>
      <c r="AY101">
        <v>30000</v>
      </c>
      <c r="AZ101" s="7">
        <v>40000</v>
      </c>
      <c r="BA101" s="7">
        <v>50000</v>
      </c>
      <c r="BB101">
        <v>4</v>
      </c>
      <c r="BC101" s="7"/>
      <c r="BD101" s="7"/>
      <c r="BE101" s="7">
        <v>240</v>
      </c>
      <c r="BG101" s="7">
        <v>2</v>
      </c>
      <c r="BL101" s="7">
        <v>0</v>
      </c>
    </row>
    <row r="102" spans="1:64" s="15" customFormat="1">
      <c r="A102" s="15">
        <v>10212</v>
      </c>
      <c r="B102" s="15" t="s">
        <v>3120</v>
      </c>
      <c r="C102" s="15" t="s">
        <v>37</v>
      </c>
      <c r="D102" s="15" t="s">
        <v>38</v>
      </c>
      <c r="E102" s="15">
        <v>1</v>
      </c>
      <c r="F102" s="15" t="s">
        <v>959</v>
      </c>
      <c r="G102" s="15">
        <v>0</v>
      </c>
      <c r="H102" s="15">
        <v>0</v>
      </c>
      <c r="I102" s="15">
        <v>99999</v>
      </c>
      <c r="J102" s="15">
        <v>0</v>
      </c>
      <c r="K102" s="15">
        <v>0</v>
      </c>
      <c r="L102" s="15" t="s">
        <v>1562</v>
      </c>
      <c r="M102" s="16">
        <v>1</v>
      </c>
      <c r="N102" s="16">
        <v>1</v>
      </c>
      <c r="P102" s="15">
        <v>0</v>
      </c>
      <c r="Q102" s="15">
        <v>0</v>
      </c>
      <c r="S102" s="15">
        <v>20000</v>
      </c>
      <c r="T102" s="15">
        <v>0</v>
      </c>
      <c r="V102" s="15">
        <v>1</v>
      </c>
      <c r="W102" s="15">
        <v>1</v>
      </c>
      <c r="X102" s="30"/>
      <c r="Y102" s="15" t="s">
        <v>606</v>
      </c>
      <c r="Z102" s="15" t="s">
        <v>2460</v>
      </c>
      <c r="AA102" s="15" t="s">
        <v>2290</v>
      </c>
      <c r="AB102" s="15">
        <v>0</v>
      </c>
      <c r="AC102" s="16">
        <v>4</v>
      </c>
      <c r="AD102" s="15">
        <v>0</v>
      </c>
      <c r="AE102" s="15">
        <v>0</v>
      </c>
      <c r="AF102" s="15">
        <v>1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6"/>
      <c r="AP102" s="15">
        <v>1</v>
      </c>
      <c r="AQ102" s="16">
        <v>1</v>
      </c>
      <c r="AR102" s="16">
        <v>1</v>
      </c>
      <c r="AS102" s="16">
        <v>1</v>
      </c>
      <c r="AV102" s="16">
        <v>1</v>
      </c>
      <c r="AY102" s="15">
        <v>30000</v>
      </c>
      <c r="AZ102" s="15">
        <v>40000</v>
      </c>
      <c r="BA102" s="15">
        <v>50000</v>
      </c>
      <c r="BB102" s="15">
        <v>4</v>
      </c>
      <c r="BC102" s="7"/>
      <c r="BD102" s="7"/>
      <c r="BE102" s="16">
        <v>240</v>
      </c>
      <c r="BG102" s="15">
        <v>2</v>
      </c>
      <c r="BL102" s="7">
        <v>0</v>
      </c>
    </row>
    <row r="103" spans="1:64" s="15" customFormat="1">
      <c r="A103" s="15">
        <v>10213</v>
      </c>
      <c r="B103" s="15" t="s">
        <v>3121</v>
      </c>
      <c r="C103" s="15" t="s">
        <v>37</v>
      </c>
      <c r="D103" s="15" t="s">
        <v>38</v>
      </c>
      <c r="E103" s="15">
        <v>1</v>
      </c>
      <c r="F103" s="15" t="s">
        <v>959</v>
      </c>
      <c r="G103" s="15">
        <v>0</v>
      </c>
      <c r="H103" s="15">
        <v>0</v>
      </c>
      <c r="I103" s="15">
        <v>99999</v>
      </c>
      <c r="J103" s="15">
        <v>0</v>
      </c>
      <c r="K103" s="15">
        <v>0</v>
      </c>
      <c r="L103" s="15" t="s">
        <v>1562</v>
      </c>
      <c r="M103" s="16">
        <v>1</v>
      </c>
      <c r="N103" s="7">
        <v>1</v>
      </c>
      <c r="P103" s="15">
        <v>0</v>
      </c>
      <c r="Q103" s="15">
        <v>0</v>
      </c>
      <c r="S103" s="15">
        <v>40000</v>
      </c>
      <c r="T103" s="15">
        <v>0</v>
      </c>
      <c r="V103" s="15">
        <v>1</v>
      </c>
      <c r="W103" s="15">
        <v>1</v>
      </c>
      <c r="X103" s="30"/>
      <c r="Y103" s="15" t="s">
        <v>607</v>
      </c>
      <c r="Z103" s="15" t="s">
        <v>2461</v>
      </c>
      <c r="AA103" s="15" t="s">
        <v>2290</v>
      </c>
      <c r="AB103" s="15">
        <v>0</v>
      </c>
      <c r="AC103" s="7">
        <v>4</v>
      </c>
      <c r="AD103" s="15">
        <v>0</v>
      </c>
      <c r="AE103" s="15">
        <v>0</v>
      </c>
      <c r="AF103" s="15">
        <v>1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P103" s="15">
        <v>1</v>
      </c>
      <c r="AQ103" s="15">
        <v>1</v>
      </c>
      <c r="AR103" s="15">
        <v>1</v>
      </c>
      <c r="AS103" s="15">
        <v>1</v>
      </c>
      <c r="AV103" s="15">
        <v>1</v>
      </c>
      <c r="AY103" s="15">
        <v>30000</v>
      </c>
      <c r="AZ103" s="15">
        <v>40000</v>
      </c>
      <c r="BA103" s="15">
        <v>50000</v>
      </c>
      <c r="BB103" s="15">
        <v>4</v>
      </c>
      <c r="BC103" s="7"/>
      <c r="BD103" s="7"/>
      <c r="BE103" s="7">
        <v>240</v>
      </c>
      <c r="BG103" s="15">
        <v>2</v>
      </c>
      <c r="BL103" s="7">
        <v>0</v>
      </c>
    </row>
    <row r="104" spans="1:64" s="15" customFormat="1">
      <c r="A104" s="15">
        <v>10214</v>
      </c>
      <c r="B104" s="15" t="s">
        <v>3122</v>
      </c>
      <c r="C104" s="15" t="s">
        <v>37</v>
      </c>
      <c r="D104" s="15" t="s">
        <v>38</v>
      </c>
      <c r="E104" s="15">
        <v>1</v>
      </c>
      <c r="F104" s="15" t="s">
        <v>959</v>
      </c>
      <c r="G104" s="15">
        <v>0</v>
      </c>
      <c r="H104" s="15">
        <v>0</v>
      </c>
      <c r="I104" s="15">
        <v>99999</v>
      </c>
      <c r="J104" s="15">
        <v>0</v>
      </c>
      <c r="K104" s="15">
        <v>0</v>
      </c>
      <c r="L104" s="15" t="s">
        <v>1562</v>
      </c>
      <c r="M104" s="16">
        <v>1</v>
      </c>
      <c r="N104" s="7">
        <v>1</v>
      </c>
      <c r="P104" s="15">
        <v>0</v>
      </c>
      <c r="Q104" s="15">
        <v>0</v>
      </c>
      <c r="S104" s="15">
        <v>80000</v>
      </c>
      <c r="T104" s="15">
        <v>0</v>
      </c>
      <c r="V104" s="15">
        <v>1</v>
      </c>
      <c r="W104" s="15">
        <v>1</v>
      </c>
      <c r="X104" s="30"/>
      <c r="Y104" s="15" t="s">
        <v>608</v>
      </c>
      <c r="Z104" s="15" t="s">
        <v>2462</v>
      </c>
      <c r="AA104" s="15" t="s">
        <v>2290</v>
      </c>
      <c r="AB104" s="15">
        <v>0</v>
      </c>
      <c r="AC104" s="7">
        <v>4</v>
      </c>
      <c r="AD104" s="15">
        <v>0</v>
      </c>
      <c r="AE104" s="15">
        <v>0</v>
      </c>
      <c r="AF104" s="15">
        <v>1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P104" s="15">
        <v>1</v>
      </c>
      <c r="AQ104" s="15">
        <v>1</v>
      </c>
      <c r="AR104" s="15">
        <v>1</v>
      </c>
      <c r="AS104" s="15">
        <v>1</v>
      </c>
      <c r="AV104" s="15">
        <v>1</v>
      </c>
      <c r="AY104" s="15">
        <v>30000</v>
      </c>
      <c r="AZ104" s="15">
        <v>40000</v>
      </c>
      <c r="BA104" s="15">
        <v>50000</v>
      </c>
      <c r="BB104" s="15">
        <v>4</v>
      </c>
      <c r="BC104" s="7"/>
      <c r="BD104" s="7"/>
      <c r="BE104" s="7">
        <v>240</v>
      </c>
      <c r="BG104" s="15">
        <v>2</v>
      </c>
      <c r="BL104" s="7">
        <v>0</v>
      </c>
    </row>
    <row r="105" spans="1:64" s="15" customFormat="1">
      <c r="A105" s="15">
        <v>10215</v>
      </c>
      <c r="B105" s="15" t="s">
        <v>3123</v>
      </c>
      <c r="C105" s="15" t="s">
        <v>37</v>
      </c>
      <c r="D105" s="15" t="s">
        <v>38</v>
      </c>
      <c r="E105" s="15">
        <v>1</v>
      </c>
      <c r="F105" s="15" t="s">
        <v>959</v>
      </c>
      <c r="G105" s="15">
        <v>0</v>
      </c>
      <c r="H105" s="15">
        <v>0</v>
      </c>
      <c r="I105" s="15">
        <v>99999</v>
      </c>
      <c r="J105" s="15">
        <v>0</v>
      </c>
      <c r="K105" s="15">
        <v>0</v>
      </c>
      <c r="L105" s="15" t="s">
        <v>1562</v>
      </c>
      <c r="M105" s="16">
        <v>1</v>
      </c>
      <c r="N105" s="7">
        <v>1</v>
      </c>
      <c r="P105" s="15">
        <v>0</v>
      </c>
      <c r="Q105" s="15">
        <v>0</v>
      </c>
      <c r="S105" s="15">
        <v>80000</v>
      </c>
      <c r="T105" s="15">
        <v>0</v>
      </c>
      <c r="V105" s="15">
        <v>1</v>
      </c>
      <c r="W105" s="15">
        <v>1</v>
      </c>
      <c r="X105" s="30"/>
      <c r="Y105" s="15" t="s">
        <v>609</v>
      </c>
      <c r="Z105" s="15" t="s">
        <v>2463</v>
      </c>
      <c r="AA105" s="15" t="s">
        <v>2290</v>
      </c>
      <c r="AB105" s="15">
        <v>0</v>
      </c>
      <c r="AC105" s="7">
        <v>4</v>
      </c>
      <c r="AD105" s="15">
        <v>0</v>
      </c>
      <c r="AE105" s="15">
        <v>0</v>
      </c>
      <c r="AF105" s="15">
        <v>1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P105" s="15">
        <v>1</v>
      </c>
      <c r="AQ105" s="15">
        <v>1</v>
      </c>
      <c r="AR105" s="15">
        <v>1</v>
      </c>
      <c r="AS105" s="15">
        <v>1</v>
      </c>
      <c r="AV105" s="15">
        <v>1</v>
      </c>
      <c r="AY105" s="15">
        <v>30000</v>
      </c>
      <c r="AZ105" s="15">
        <v>40000</v>
      </c>
      <c r="BA105" s="15">
        <v>50000</v>
      </c>
      <c r="BB105" s="15">
        <v>4</v>
      </c>
      <c r="BC105" s="7"/>
      <c r="BD105" s="7"/>
      <c r="BE105" s="7">
        <v>240</v>
      </c>
      <c r="BG105" s="15">
        <v>2</v>
      </c>
      <c r="BL105" s="7">
        <v>0</v>
      </c>
    </row>
    <row r="106" spans="1:64" s="15" customFormat="1">
      <c r="A106" s="15">
        <v>10216</v>
      </c>
      <c r="B106" s="15" t="s">
        <v>3124</v>
      </c>
      <c r="C106" s="15" t="s">
        <v>37</v>
      </c>
      <c r="D106" s="15" t="s">
        <v>38</v>
      </c>
      <c r="E106" s="15">
        <v>1</v>
      </c>
      <c r="F106" s="15" t="s">
        <v>959</v>
      </c>
      <c r="G106" s="15">
        <v>0</v>
      </c>
      <c r="H106" s="15">
        <v>0</v>
      </c>
      <c r="I106" s="15">
        <v>99999</v>
      </c>
      <c r="J106" s="15">
        <v>0</v>
      </c>
      <c r="K106" s="15">
        <v>0</v>
      </c>
      <c r="L106" s="15" t="s">
        <v>1562</v>
      </c>
      <c r="M106" s="16">
        <v>1</v>
      </c>
      <c r="N106" s="7">
        <v>1</v>
      </c>
      <c r="P106" s="15">
        <v>0</v>
      </c>
      <c r="Q106" s="15">
        <v>0</v>
      </c>
      <c r="S106" s="15">
        <v>80000</v>
      </c>
      <c r="T106" s="15">
        <v>0</v>
      </c>
      <c r="V106" s="15">
        <v>1</v>
      </c>
      <c r="W106" s="15">
        <v>1</v>
      </c>
      <c r="X106" s="30"/>
      <c r="Y106" s="15" t="s">
        <v>610</v>
      </c>
      <c r="Z106" s="15" t="s">
        <v>2464</v>
      </c>
      <c r="AA106" s="15" t="s">
        <v>2290</v>
      </c>
      <c r="AB106" s="15">
        <v>0</v>
      </c>
      <c r="AC106" s="7">
        <v>4</v>
      </c>
      <c r="AD106" s="15">
        <v>0</v>
      </c>
      <c r="AE106" s="15">
        <v>0</v>
      </c>
      <c r="AF106" s="15">
        <v>1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P106" s="15">
        <v>1</v>
      </c>
      <c r="AQ106" s="15">
        <v>1</v>
      </c>
      <c r="AR106" s="15">
        <v>1</v>
      </c>
      <c r="AS106" s="15">
        <v>1</v>
      </c>
      <c r="AV106" s="15">
        <v>1</v>
      </c>
      <c r="AY106" s="15">
        <v>30000</v>
      </c>
      <c r="AZ106" s="15">
        <v>40000</v>
      </c>
      <c r="BA106" s="15">
        <v>50000</v>
      </c>
      <c r="BB106" s="15">
        <v>4</v>
      </c>
      <c r="BC106" s="7"/>
      <c r="BD106" s="7"/>
      <c r="BE106" s="7">
        <v>240</v>
      </c>
      <c r="BG106" s="15">
        <v>2</v>
      </c>
      <c r="BL106" s="7">
        <v>0</v>
      </c>
    </row>
    <row r="107" spans="1:64" s="15" customFormat="1">
      <c r="A107" s="15">
        <v>10217</v>
      </c>
      <c r="B107" s="15" t="s">
        <v>3125</v>
      </c>
      <c r="C107" s="15" t="s">
        <v>37</v>
      </c>
      <c r="D107" s="15" t="s">
        <v>38</v>
      </c>
      <c r="E107" s="15">
        <v>1</v>
      </c>
      <c r="F107" s="15" t="s">
        <v>959</v>
      </c>
      <c r="G107" s="15">
        <v>0</v>
      </c>
      <c r="H107" s="15">
        <v>0</v>
      </c>
      <c r="I107" s="15">
        <v>99999</v>
      </c>
      <c r="J107" s="15">
        <v>0</v>
      </c>
      <c r="K107" s="15">
        <v>0</v>
      </c>
      <c r="L107" s="15" t="s">
        <v>1562</v>
      </c>
      <c r="M107" s="16">
        <v>1</v>
      </c>
      <c r="N107" s="7">
        <v>1</v>
      </c>
      <c r="P107" s="15">
        <v>0</v>
      </c>
      <c r="Q107" s="15">
        <v>0</v>
      </c>
      <c r="S107" s="15">
        <v>80000</v>
      </c>
      <c r="T107" s="15">
        <v>0</v>
      </c>
      <c r="V107" s="15">
        <v>1</v>
      </c>
      <c r="W107" s="15">
        <v>1</v>
      </c>
      <c r="X107" s="30"/>
      <c r="Y107" s="15" t="s">
        <v>611</v>
      </c>
      <c r="Z107" s="15" t="s">
        <v>2465</v>
      </c>
      <c r="AA107" s="15" t="s">
        <v>2290</v>
      </c>
      <c r="AB107" s="15">
        <v>0</v>
      </c>
      <c r="AC107" s="7">
        <v>4</v>
      </c>
      <c r="AD107" s="15">
        <v>0</v>
      </c>
      <c r="AE107" s="15">
        <v>0</v>
      </c>
      <c r="AF107" s="15">
        <v>1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P107" s="15">
        <v>1</v>
      </c>
      <c r="AQ107" s="15">
        <v>1</v>
      </c>
      <c r="AR107" s="15">
        <v>1</v>
      </c>
      <c r="AS107" s="15">
        <v>1</v>
      </c>
      <c r="AV107" s="15">
        <v>1</v>
      </c>
      <c r="AY107" s="15">
        <v>30000</v>
      </c>
      <c r="AZ107" s="15">
        <v>40000</v>
      </c>
      <c r="BA107" s="15">
        <v>50000</v>
      </c>
      <c r="BB107" s="15">
        <v>4</v>
      </c>
      <c r="BC107" s="7"/>
      <c r="BD107" s="7"/>
      <c r="BE107" s="7">
        <v>240</v>
      </c>
      <c r="BG107" s="15">
        <v>2</v>
      </c>
      <c r="BL107" s="7">
        <v>0</v>
      </c>
    </row>
    <row r="108" spans="1:64" s="15" customFormat="1">
      <c r="A108" s="15">
        <v>10218</v>
      </c>
      <c r="B108" s="15" t="s">
        <v>3126</v>
      </c>
      <c r="C108" s="15" t="s">
        <v>37</v>
      </c>
      <c r="D108" s="15" t="s">
        <v>38</v>
      </c>
      <c r="E108" s="15">
        <v>1</v>
      </c>
      <c r="F108" s="15" t="s">
        <v>959</v>
      </c>
      <c r="G108" s="15">
        <v>0</v>
      </c>
      <c r="H108" s="15">
        <v>0</v>
      </c>
      <c r="I108" s="15">
        <v>99999</v>
      </c>
      <c r="J108" s="15">
        <v>0</v>
      </c>
      <c r="K108" s="15">
        <v>0</v>
      </c>
      <c r="L108" s="15" t="s">
        <v>1562</v>
      </c>
      <c r="M108" s="16">
        <v>1</v>
      </c>
      <c r="N108" s="7">
        <v>1</v>
      </c>
      <c r="P108" s="15">
        <v>0</v>
      </c>
      <c r="Q108" s="15">
        <v>0</v>
      </c>
      <c r="S108" s="15">
        <v>80000</v>
      </c>
      <c r="T108" s="15">
        <v>0</v>
      </c>
      <c r="V108" s="15">
        <v>1</v>
      </c>
      <c r="W108" s="15">
        <v>1</v>
      </c>
      <c r="X108" s="30"/>
      <c r="Y108" s="15" t="s">
        <v>612</v>
      </c>
      <c r="Z108" s="15" t="s">
        <v>2466</v>
      </c>
      <c r="AA108" s="15" t="s">
        <v>2290</v>
      </c>
      <c r="AB108" s="15">
        <v>0</v>
      </c>
      <c r="AC108" s="7">
        <v>4</v>
      </c>
      <c r="AD108" s="15">
        <v>0</v>
      </c>
      <c r="AE108" s="15">
        <v>0</v>
      </c>
      <c r="AF108" s="15">
        <v>1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P108" s="15">
        <v>1</v>
      </c>
      <c r="AQ108" s="15">
        <v>1</v>
      </c>
      <c r="AR108" s="15">
        <v>1</v>
      </c>
      <c r="AS108" s="15">
        <v>1</v>
      </c>
      <c r="AV108" s="15">
        <v>1</v>
      </c>
      <c r="AY108" s="15">
        <v>30000</v>
      </c>
      <c r="AZ108" s="15">
        <v>40000</v>
      </c>
      <c r="BA108" s="15">
        <v>50000</v>
      </c>
      <c r="BB108" s="15">
        <v>4</v>
      </c>
      <c r="BC108" s="7"/>
      <c r="BD108" s="7"/>
      <c r="BE108" s="7">
        <v>240</v>
      </c>
      <c r="BG108" s="15">
        <v>2</v>
      </c>
      <c r="BL108" s="7">
        <v>0</v>
      </c>
    </row>
    <row r="109" spans="1:64" s="15" customFormat="1">
      <c r="A109" s="15">
        <v>10219</v>
      </c>
      <c r="B109" s="15" t="s">
        <v>3127</v>
      </c>
      <c r="C109" s="15" t="s">
        <v>37</v>
      </c>
      <c r="D109" s="15" t="s">
        <v>38</v>
      </c>
      <c r="E109" s="15">
        <v>1</v>
      </c>
      <c r="F109" s="15" t="s">
        <v>959</v>
      </c>
      <c r="G109" s="15">
        <v>0</v>
      </c>
      <c r="H109" s="15">
        <v>0</v>
      </c>
      <c r="I109" s="15">
        <v>99999</v>
      </c>
      <c r="J109" s="15">
        <v>0</v>
      </c>
      <c r="K109" s="15">
        <v>0</v>
      </c>
      <c r="L109" s="15" t="s">
        <v>1562</v>
      </c>
      <c r="M109" s="16">
        <v>1</v>
      </c>
      <c r="N109" s="7">
        <v>1</v>
      </c>
      <c r="P109" s="15">
        <v>0</v>
      </c>
      <c r="Q109" s="15">
        <v>0</v>
      </c>
      <c r="S109" s="15">
        <v>80000</v>
      </c>
      <c r="T109" s="15">
        <v>0</v>
      </c>
      <c r="V109" s="15">
        <v>1</v>
      </c>
      <c r="W109" s="15">
        <v>1</v>
      </c>
      <c r="X109" s="30"/>
      <c r="Y109" s="15" t="s">
        <v>613</v>
      </c>
      <c r="Z109" s="15" t="s">
        <v>2467</v>
      </c>
      <c r="AA109" s="15" t="s">
        <v>2290</v>
      </c>
      <c r="AB109" s="15">
        <v>0</v>
      </c>
      <c r="AC109" s="7">
        <v>4</v>
      </c>
      <c r="AD109" s="15">
        <v>0</v>
      </c>
      <c r="AE109" s="15">
        <v>0</v>
      </c>
      <c r="AF109" s="15">
        <v>1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P109" s="15">
        <v>1</v>
      </c>
      <c r="AQ109" s="15">
        <v>1</v>
      </c>
      <c r="AR109" s="15">
        <v>1</v>
      </c>
      <c r="AS109" s="15">
        <v>1</v>
      </c>
      <c r="AV109" s="15">
        <v>1</v>
      </c>
      <c r="AY109" s="15">
        <v>30000</v>
      </c>
      <c r="AZ109" s="15">
        <v>40000</v>
      </c>
      <c r="BA109" s="15">
        <v>50000</v>
      </c>
      <c r="BB109" s="15">
        <v>4</v>
      </c>
      <c r="BC109" s="7"/>
      <c r="BD109" s="7"/>
      <c r="BE109" s="7">
        <v>240</v>
      </c>
      <c r="BG109" s="15">
        <v>2</v>
      </c>
      <c r="BL109" s="7">
        <v>0</v>
      </c>
    </row>
    <row r="110" spans="1:64">
      <c r="A110">
        <v>10220</v>
      </c>
      <c r="B110" t="s">
        <v>3128</v>
      </c>
      <c r="C110" t="s">
        <v>37</v>
      </c>
      <c r="D110" t="s">
        <v>38</v>
      </c>
      <c r="E110">
        <v>1</v>
      </c>
      <c r="F110" t="s">
        <v>959</v>
      </c>
      <c r="G110">
        <v>0</v>
      </c>
      <c r="H110">
        <v>0</v>
      </c>
      <c r="I110">
        <v>99999</v>
      </c>
      <c r="J110">
        <v>0</v>
      </c>
      <c r="K110">
        <v>0</v>
      </c>
      <c r="L110" t="s">
        <v>1562</v>
      </c>
      <c r="M110" s="7">
        <v>1</v>
      </c>
      <c r="N110" s="7">
        <v>1</v>
      </c>
      <c r="P110">
        <v>0</v>
      </c>
      <c r="Q110">
        <v>0</v>
      </c>
      <c r="S110" s="7">
        <v>5000</v>
      </c>
      <c r="T110">
        <v>0</v>
      </c>
      <c r="V110">
        <v>1</v>
      </c>
      <c r="W110">
        <v>1</v>
      </c>
      <c r="Y110" t="s">
        <v>604</v>
      </c>
      <c r="Z110" t="s">
        <v>2468</v>
      </c>
      <c r="AA110" s="7" t="s">
        <v>2289</v>
      </c>
      <c r="AB110">
        <v>0</v>
      </c>
      <c r="AC110" s="7">
        <v>4</v>
      </c>
      <c r="AD110">
        <v>0</v>
      </c>
      <c r="AE110">
        <v>0</v>
      </c>
      <c r="AF110">
        <v>1</v>
      </c>
      <c r="AI110" s="7">
        <v>24</v>
      </c>
      <c r="AJ110" s="7">
        <v>8</v>
      </c>
      <c r="AK110" s="7">
        <v>0</v>
      </c>
      <c r="AL110" s="7">
        <v>0</v>
      </c>
      <c r="AM110" s="7">
        <v>0</v>
      </c>
      <c r="AN110" s="7">
        <v>0</v>
      </c>
      <c r="AP110">
        <v>1</v>
      </c>
      <c r="AQ110" s="7">
        <v>1</v>
      </c>
      <c r="AR110" s="7">
        <v>1</v>
      </c>
      <c r="AS110" s="7">
        <v>1</v>
      </c>
      <c r="AV110" s="7">
        <v>1</v>
      </c>
      <c r="AW110">
        <v>1</v>
      </c>
      <c r="AY110">
        <v>30000</v>
      </c>
      <c r="AZ110" s="7">
        <v>40000</v>
      </c>
      <c r="BA110" s="7">
        <v>50000</v>
      </c>
      <c r="BB110">
        <v>4</v>
      </c>
      <c r="BC110" s="7"/>
      <c r="BD110" s="7"/>
      <c r="BE110" s="7">
        <v>240</v>
      </c>
      <c r="BG110" s="7">
        <v>2</v>
      </c>
      <c r="BL110" s="7">
        <v>0</v>
      </c>
    </row>
    <row r="111" spans="1:64">
      <c r="A111">
        <v>10221</v>
      </c>
      <c r="B111" t="s">
        <v>3129</v>
      </c>
      <c r="C111" t="s">
        <v>37</v>
      </c>
      <c r="D111" t="s">
        <v>38</v>
      </c>
      <c r="E111">
        <v>1</v>
      </c>
      <c r="F111" t="s">
        <v>959</v>
      </c>
      <c r="G111">
        <v>0</v>
      </c>
      <c r="H111">
        <v>0</v>
      </c>
      <c r="I111">
        <v>99999</v>
      </c>
      <c r="J111">
        <v>0</v>
      </c>
      <c r="K111">
        <v>0</v>
      </c>
      <c r="L111" t="s">
        <v>1562</v>
      </c>
      <c r="M111" s="7">
        <v>1</v>
      </c>
      <c r="N111" s="7">
        <v>1</v>
      </c>
      <c r="P111">
        <v>0</v>
      </c>
      <c r="Q111">
        <v>0</v>
      </c>
      <c r="S111" s="7">
        <v>10000</v>
      </c>
      <c r="T111">
        <v>0</v>
      </c>
      <c r="V111">
        <v>1</v>
      </c>
      <c r="W111">
        <v>1</v>
      </c>
      <c r="Y111" t="s">
        <v>605</v>
      </c>
      <c r="Z111" t="s">
        <v>2469</v>
      </c>
      <c r="AA111" s="7" t="s">
        <v>2289</v>
      </c>
      <c r="AB111">
        <v>0</v>
      </c>
      <c r="AC111" s="7">
        <v>4</v>
      </c>
      <c r="AD111">
        <v>0</v>
      </c>
      <c r="AE111">
        <v>0</v>
      </c>
      <c r="AF111">
        <v>1</v>
      </c>
      <c r="AI111" s="7">
        <v>1200</v>
      </c>
      <c r="AJ111" s="7">
        <v>1</v>
      </c>
      <c r="AK111" s="7">
        <v>0</v>
      </c>
      <c r="AL111" s="7">
        <v>0</v>
      </c>
      <c r="AM111" s="7">
        <v>0</v>
      </c>
      <c r="AN111" s="7">
        <v>0</v>
      </c>
      <c r="AP111">
        <v>1</v>
      </c>
      <c r="AQ111" s="7">
        <v>1</v>
      </c>
      <c r="AR111" s="7">
        <v>1</v>
      </c>
      <c r="AS111" s="7">
        <v>1</v>
      </c>
      <c r="AV111" s="7">
        <v>1</v>
      </c>
      <c r="AY111">
        <v>30000</v>
      </c>
      <c r="AZ111" s="7">
        <v>40000</v>
      </c>
      <c r="BA111" s="7">
        <v>50000</v>
      </c>
      <c r="BB111">
        <v>4</v>
      </c>
      <c r="BC111" s="7"/>
      <c r="BD111" s="7"/>
      <c r="BE111" s="7">
        <v>240</v>
      </c>
      <c r="BG111" s="7">
        <v>2</v>
      </c>
      <c r="BL111" s="7">
        <v>0</v>
      </c>
    </row>
    <row r="112" spans="1:64" s="15" customFormat="1">
      <c r="A112" s="15">
        <v>10222</v>
      </c>
      <c r="B112" s="15" t="s">
        <v>3130</v>
      </c>
      <c r="C112" s="15" t="s">
        <v>37</v>
      </c>
      <c r="D112" s="15" t="s">
        <v>38</v>
      </c>
      <c r="E112" s="15">
        <v>1</v>
      </c>
      <c r="F112" s="15" t="s">
        <v>959</v>
      </c>
      <c r="G112" s="15">
        <v>0</v>
      </c>
      <c r="H112" s="15">
        <v>0</v>
      </c>
      <c r="I112" s="15">
        <v>99999</v>
      </c>
      <c r="J112" s="15">
        <v>0</v>
      </c>
      <c r="K112" s="15">
        <v>0</v>
      </c>
      <c r="L112" s="15" t="s">
        <v>1562</v>
      </c>
      <c r="M112" s="16">
        <v>1</v>
      </c>
      <c r="N112" s="16">
        <v>1</v>
      </c>
      <c r="P112" s="15">
        <v>0</v>
      </c>
      <c r="Q112" s="15">
        <v>0</v>
      </c>
      <c r="S112" s="15">
        <v>20000</v>
      </c>
      <c r="T112" s="15">
        <v>0</v>
      </c>
      <c r="V112" s="15">
        <v>1</v>
      </c>
      <c r="W112" s="15">
        <v>1</v>
      </c>
      <c r="X112" s="30"/>
      <c r="Y112" s="15" t="s">
        <v>606</v>
      </c>
      <c r="Z112" s="15" t="s">
        <v>2470</v>
      </c>
      <c r="AA112" s="15" t="s">
        <v>2290</v>
      </c>
      <c r="AB112" s="15">
        <v>0</v>
      </c>
      <c r="AC112" s="16">
        <v>4</v>
      </c>
      <c r="AD112" s="15">
        <v>0</v>
      </c>
      <c r="AE112" s="15">
        <v>0</v>
      </c>
      <c r="AF112" s="15">
        <v>1</v>
      </c>
      <c r="AI112" s="16">
        <v>24</v>
      </c>
      <c r="AJ112" s="16">
        <v>30</v>
      </c>
      <c r="AK112" s="16">
        <v>0</v>
      </c>
      <c r="AL112" s="16">
        <v>0</v>
      </c>
      <c r="AM112" s="16">
        <v>0</v>
      </c>
      <c r="AN112" s="16">
        <v>0</v>
      </c>
      <c r="AO112" s="16"/>
      <c r="AP112" s="15">
        <v>1</v>
      </c>
      <c r="AQ112" s="16">
        <v>1</v>
      </c>
      <c r="AR112" s="16">
        <v>1</v>
      </c>
      <c r="AS112" s="16">
        <v>1</v>
      </c>
      <c r="AV112" s="16">
        <v>1</v>
      </c>
      <c r="AY112" s="15">
        <v>30000</v>
      </c>
      <c r="AZ112" s="15">
        <v>40000</v>
      </c>
      <c r="BA112" s="15">
        <v>50000</v>
      </c>
      <c r="BB112" s="15">
        <v>4</v>
      </c>
      <c r="BC112" s="7"/>
      <c r="BD112" s="7"/>
      <c r="BE112" s="16">
        <v>240</v>
      </c>
      <c r="BG112" s="15">
        <v>2</v>
      </c>
      <c r="BL112" s="7">
        <v>0</v>
      </c>
    </row>
    <row r="113" spans="1:64" s="15" customFormat="1">
      <c r="A113" s="15">
        <v>10223</v>
      </c>
      <c r="B113" s="15" t="s">
        <v>3131</v>
      </c>
      <c r="C113" s="15" t="s">
        <v>37</v>
      </c>
      <c r="D113" s="15" t="s">
        <v>38</v>
      </c>
      <c r="E113" s="15">
        <v>1</v>
      </c>
      <c r="F113" s="15" t="s">
        <v>959</v>
      </c>
      <c r="G113" s="15">
        <v>0</v>
      </c>
      <c r="H113" s="15">
        <v>0</v>
      </c>
      <c r="I113" s="15">
        <v>99999</v>
      </c>
      <c r="J113" s="15">
        <v>0</v>
      </c>
      <c r="K113" s="15">
        <v>0</v>
      </c>
      <c r="L113" s="15" t="s">
        <v>1562</v>
      </c>
      <c r="M113" s="16">
        <v>1</v>
      </c>
      <c r="N113" s="7">
        <v>1</v>
      </c>
      <c r="P113" s="15">
        <v>0</v>
      </c>
      <c r="Q113" s="15">
        <v>0</v>
      </c>
      <c r="S113" s="15">
        <v>40000</v>
      </c>
      <c r="T113" s="15">
        <v>0</v>
      </c>
      <c r="V113" s="15">
        <v>1</v>
      </c>
      <c r="W113" s="15">
        <v>1</v>
      </c>
      <c r="X113" s="30"/>
      <c r="Y113" s="15" t="s">
        <v>607</v>
      </c>
      <c r="Z113" s="15" t="s">
        <v>2471</v>
      </c>
      <c r="AA113" s="15" t="s">
        <v>2290</v>
      </c>
      <c r="AB113" s="15">
        <v>0</v>
      </c>
      <c r="AC113" s="7">
        <v>4</v>
      </c>
      <c r="AD113" s="15">
        <v>0</v>
      </c>
      <c r="AE113" s="15">
        <v>0</v>
      </c>
      <c r="AF113" s="15">
        <v>1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P113" s="15">
        <v>1</v>
      </c>
      <c r="AQ113" s="15">
        <v>1</v>
      </c>
      <c r="AR113" s="15">
        <v>1</v>
      </c>
      <c r="AS113" s="15">
        <v>1</v>
      </c>
      <c r="AV113" s="15">
        <v>1</v>
      </c>
      <c r="AY113" s="15">
        <v>30000</v>
      </c>
      <c r="AZ113" s="15">
        <v>40000</v>
      </c>
      <c r="BA113" s="15">
        <v>50000</v>
      </c>
      <c r="BB113" s="15">
        <v>4</v>
      </c>
      <c r="BC113" s="7"/>
      <c r="BD113" s="7"/>
      <c r="BE113" s="7">
        <v>240</v>
      </c>
      <c r="BG113" s="15">
        <v>2</v>
      </c>
      <c r="BL113" s="7">
        <v>0</v>
      </c>
    </row>
    <row r="114" spans="1:64" s="15" customFormat="1">
      <c r="A114" s="15">
        <v>10224</v>
      </c>
      <c r="B114" s="15" t="s">
        <v>3132</v>
      </c>
      <c r="C114" s="15" t="s">
        <v>37</v>
      </c>
      <c r="D114" s="15" t="s">
        <v>38</v>
      </c>
      <c r="E114" s="15">
        <v>1</v>
      </c>
      <c r="F114" s="15" t="s">
        <v>959</v>
      </c>
      <c r="G114" s="15">
        <v>0</v>
      </c>
      <c r="H114" s="15">
        <v>0</v>
      </c>
      <c r="I114" s="15">
        <v>99999</v>
      </c>
      <c r="J114" s="15">
        <v>0</v>
      </c>
      <c r="K114" s="15">
        <v>0</v>
      </c>
      <c r="L114" s="15" t="s">
        <v>1562</v>
      </c>
      <c r="M114" s="16">
        <v>1</v>
      </c>
      <c r="N114" s="7">
        <v>1</v>
      </c>
      <c r="P114" s="15">
        <v>0</v>
      </c>
      <c r="Q114" s="15">
        <v>0</v>
      </c>
      <c r="S114" s="15">
        <v>80000</v>
      </c>
      <c r="T114" s="15">
        <v>0</v>
      </c>
      <c r="V114" s="15">
        <v>1</v>
      </c>
      <c r="W114" s="15">
        <v>1</v>
      </c>
      <c r="X114" s="30"/>
      <c r="Y114" s="15" t="s">
        <v>608</v>
      </c>
      <c r="Z114" s="15" t="s">
        <v>2472</v>
      </c>
      <c r="AA114" s="15" t="s">
        <v>2290</v>
      </c>
      <c r="AB114" s="15">
        <v>0</v>
      </c>
      <c r="AC114" s="7">
        <v>4</v>
      </c>
      <c r="AD114" s="15">
        <v>0</v>
      </c>
      <c r="AE114" s="15">
        <v>0</v>
      </c>
      <c r="AF114" s="15">
        <v>1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P114" s="15">
        <v>1</v>
      </c>
      <c r="AQ114" s="15">
        <v>1</v>
      </c>
      <c r="AR114" s="15">
        <v>1</v>
      </c>
      <c r="AS114" s="15">
        <v>1</v>
      </c>
      <c r="AV114" s="15">
        <v>1</v>
      </c>
      <c r="AY114" s="15">
        <v>30000</v>
      </c>
      <c r="AZ114" s="15">
        <v>40000</v>
      </c>
      <c r="BA114" s="15">
        <v>50000</v>
      </c>
      <c r="BB114" s="15">
        <v>4</v>
      </c>
      <c r="BC114" s="7"/>
      <c r="BD114" s="7"/>
      <c r="BE114" s="7">
        <v>240</v>
      </c>
      <c r="BG114" s="15">
        <v>2</v>
      </c>
      <c r="BL114" s="7">
        <v>0</v>
      </c>
    </row>
    <row r="115" spans="1:64" s="15" customFormat="1">
      <c r="A115" s="15">
        <v>10225</v>
      </c>
      <c r="B115" s="15" t="s">
        <v>3133</v>
      </c>
      <c r="C115" s="15" t="s">
        <v>37</v>
      </c>
      <c r="D115" s="15" t="s">
        <v>38</v>
      </c>
      <c r="E115" s="15">
        <v>1</v>
      </c>
      <c r="F115" s="15" t="s">
        <v>959</v>
      </c>
      <c r="G115" s="15">
        <v>0</v>
      </c>
      <c r="H115" s="15">
        <v>0</v>
      </c>
      <c r="I115" s="15">
        <v>99999</v>
      </c>
      <c r="J115" s="15">
        <v>0</v>
      </c>
      <c r="K115" s="15">
        <v>0</v>
      </c>
      <c r="L115" s="15" t="s">
        <v>1562</v>
      </c>
      <c r="M115" s="16">
        <v>1</v>
      </c>
      <c r="N115" s="7">
        <v>1</v>
      </c>
      <c r="P115" s="15">
        <v>0</v>
      </c>
      <c r="Q115" s="15">
        <v>0</v>
      </c>
      <c r="S115" s="15">
        <v>80000</v>
      </c>
      <c r="T115" s="15">
        <v>0</v>
      </c>
      <c r="V115" s="15">
        <v>1</v>
      </c>
      <c r="W115" s="15">
        <v>1</v>
      </c>
      <c r="X115" s="30"/>
      <c r="Y115" s="15" t="s">
        <v>609</v>
      </c>
      <c r="Z115" s="15" t="s">
        <v>2473</v>
      </c>
      <c r="AA115" s="15" t="s">
        <v>2290</v>
      </c>
      <c r="AB115" s="15">
        <v>0</v>
      </c>
      <c r="AC115" s="7">
        <v>4</v>
      </c>
      <c r="AD115" s="15">
        <v>0</v>
      </c>
      <c r="AE115" s="15">
        <v>0</v>
      </c>
      <c r="AF115" s="15">
        <v>1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P115" s="15">
        <v>1</v>
      </c>
      <c r="AQ115" s="15">
        <v>1</v>
      </c>
      <c r="AR115" s="15">
        <v>1</v>
      </c>
      <c r="AS115" s="15">
        <v>1</v>
      </c>
      <c r="AV115" s="15">
        <v>1</v>
      </c>
      <c r="AY115" s="15">
        <v>30000</v>
      </c>
      <c r="AZ115" s="15">
        <v>40000</v>
      </c>
      <c r="BA115" s="15">
        <v>50000</v>
      </c>
      <c r="BB115" s="15">
        <v>4</v>
      </c>
      <c r="BC115" s="7"/>
      <c r="BD115" s="7"/>
      <c r="BE115" s="7">
        <v>240</v>
      </c>
      <c r="BG115" s="15">
        <v>2</v>
      </c>
      <c r="BL115" s="7">
        <v>0</v>
      </c>
    </row>
    <row r="116" spans="1:64" s="15" customFormat="1">
      <c r="A116" s="15">
        <v>10226</v>
      </c>
      <c r="B116" s="15" t="s">
        <v>3134</v>
      </c>
      <c r="C116" s="15" t="s">
        <v>37</v>
      </c>
      <c r="D116" s="15" t="s">
        <v>38</v>
      </c>
      <c r="E116" s="15">
        <v>1</v>
      </c>
      <c r="F116" s="15" t="s">
        <v>959</v>
      </c>
      <c r="G116" s="15">
        <v>0</v>
      </c>
      <c r="H116" s="15">
        <v>0</v>
      </c>
      <c r="I116" s="15">
        <v>99999</v>
      </c>
      <c r="J116" s="15">
        <v>0</v>
      </c>
      <c r="K116" s="15">
        <v>0</v>
      </c>
      <c r="L116" s="15" t="s">
        <v>1562</v>
      </c>
      <c r="M116" s="16">
        <v>1</v>
      </c>
      <c r="N116" s="7">
        <v>1</v>
      </c>
      <c r="P116" s="15">
        <v>0</v>
      </c>
      <c r="Q116" s="15">
        <v>0</v>
      </c>
      <c r="S116" s="15">
        <v>80000</v>
      </c>
      <c r="T116" s="15">
        <v>0</v>
      </c>
      <c r="V116" s="15">
        <v>1</v>
      </c>
      <c r="W116" s="15">
        <v>1</v>
      </c>
      <c r="X116" s="30"/>
      <c r="Y116" s="15" t="s">
        <v>610</v>
      </c>
      <c r="Z116" s="15" t="s">
        <v>2474</v>
      </c>
      <c r="AA116" s="15" t="s">
        <v>2290</v>
      </c>
      <c r="AB116" s="15">
        <v>0</v>
      </c>
      <c r="AC116" s="7">
        <v>4</v>
      </c>
      <c r="AD116" s="15">
        <v>0</v>
      </c>
      <c r="AE116" s="15">
        <v>0</v>
      </c>
      <c r="AF116" s="15">
        <v>1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P116" s="15">
        <v>1</v>
      </c>
      <c r="AQ116" s="15">
        <v>1</v>
      </c>
      <c r="AR116" s="15">
        <v>1</v>
      </c>
      <c r="AS116" s="15">
        <v>1</v>
      </c>
      <c r="AV116" s="15">
        <v>1</v>
      </c>
      <c r="AY116" s="15">
        <v>30000</v>
      </c>
      <c r="AZ116" s="15">
        <v>40000</v>
      </c>
      <c r="BA116" s="15">
        <v>50000</v>
      </c>
      <c r="BB116" s="15">
        <v>4</v>
      </c>
      <c r="BC116" s="7"/>
      <c r="BD116" s="7"/>
      <c r="BE116" s="7">
        <v>240</v>
      </c>
      <c r="BG116" s="15">
        <v>2</v>
      </c>
      <c r="BL116" s="7">
        <v>0</v>
      </c>
    </row>
    <row r="117" spans="1:64" s="15" customFormat="1">
      <c r="A117" s="15">
        <v>10227</v>
      </c>
      <c r="B117" s="15" t="s">
        <v>3135</v>
      </c>
      <c r="C117" s="15" t="s">
        <v>37</v>
      </c>
      <c r="D117" s="15" t="s">
        <v>38</v>
      </c>
      <c r="E117" s="15">
        <v>1</v>
      </c>
      <c r="F117" s="15" t="s">
        <v>959</v>
      </c>
      <c r="G117" s="15">
        <v>0</v>
      </c>
      <c r="H117" s="15">
        <v>0</v>
      </c>
      <c r="I117" s="15">
        <v>99999</v>
      </c>
      <c r="J117" s="15">
        <v>0</v>
      </c>
      <c r="K117" s="15">
        <v>0</v>
      </c>
      <c r="L117" s="15" t="s">
        <v>1562</v>
      </c>
      <c r="M117" s="16">
        <v>1</v>
      </c>
      <c r="N117" s="7">
        <v>1</v>
      </c>
      <c r="P117" s="15">
        <v>0</v>
      </c>
      <c r="Q117" s="15">
        <v>0</v>
      </c>
      <c r="S117" s="15">
        <v>80000</v>
      </c>
      <c r="T117" s="15">
        <v>0</v>
      </c>
      <c r="V117" s="15">
        <v>1</v>
      </c>
      <c r="W117" s="15">
        <v>1</v>
      </c>
      <c r="X117" s="30"/>
      <c r="Y117" s="15" t="s">
        <v>611</v>
      </c>
      <c r="Z117" s="15" t="s">
        <v>2475</v>
      </c>
      <c r="AA117" s="15" t="s">
        <v>2290</v>
      </c>
      <c r="AB117" s="15">
        <v>0</v>
      </c>
      <c r="AC117" s="7">
        <v>4</v>
      </c>
      <c r="AD117" s="15">
        <v>0</v>
      </c>
      <c r="AE117" s="15">
        <v>0</v>
      </c>
      <c r="AF117" s="15">
        <v>1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P117" s="15">
        <v>1</v>
      </c>
      <c r="AQ117" s="15">
        <v>1</v>
      </c>
      <c r="AR117" s="15">
        <v>1</v>
      </c>
      <c r="AS117" s="15">
        <v>1</v>
      </c>
      <c r="AV117" s="15">
        <v>1</v>
      </c>
      <c r="AY117" s="15">
        <v>30000</v>
      </c>
      <c r="AZ117" s="15">
        <v>40000</v>
      </c>
      <c r="BA117" s="15">
        <v>50000</v>
      </c>
      <c r="BB117" s="15">
        <v>4</v>
      </c>
      <c r="BC117" s="7"/>
      <c r="BD117" s="7"/>
      <c r="BE117" s="7">
        <v>240</v>
      </c>
      <c r="BG117" s="15">
        <v>2</v>
      </c>
      <c r="BL117" s="7">
        <v>0</v>
      </c>
    </row>
    <row r="118" spans="1:64" s="15" customFormat="1">
      <c r="A118" s="15">
        <v>10228</v>
      </c>
      <c r="B118" s="15" t="s">
        <v>3136</v>
      </c>
      <c r="C118" s="15" t="s">
        <v>37</v>
      </c>
      <c r="D118" s="15" t="s">
        <v>38</v>
      </c>
      <c r="E118" s="15">
        <v>1</v>
      </c>
      <c r="F118" s="15" t="s">
        <v>959</v>
      </c>
      <c r="G118" s="15">
        <v>0</v>
      </c>
      <c r="H118" s="15">
        <v>0</v>
      </c>
      <c r="I118" s="15">
        <v>99999</v>
      </c>
      <c r="J118" s="15">
        <v>0</v>
      </c>
      <c r="K118" s="15">
        <v>0</v>
      </c>
      <c r="L118" s="15" t="s">
        <v>1562</v>
      </c>
      <c r="M118" s="16">
        <v>1</v>
      </c>
      <c r="N118" s="7">
        <v>1</v>
      </c>
      <c r="P118" s="15">
        <v>0</v>
      </c>
      <c r="Q118" s="15">
        <v>0</v>
      </c>
      <c r="S118" s="15">
        <v>80000</v>
      </c>
      <c r="T118" s="15">
        <v>0</v>
      </c>
      <c r="V118" s="15">
        <v>1</v>
      </c>
      <c r="W118" s="15">
        <v>1</v>
      </c>
      <c r="X118" s="30"/>
      <c r="Y118" s="15" t="s">
        <v>612</v>
      </c>
      <c r="Z118" s="15" t="s">
        <v>2476</v>
      </c>
      <c r="AA118" s="15" t="s">
        <v>2290</v>
      </c>
      <c r="AB118" s="15">
        <v>0</v>
      </c>
      <c r="AC118" s="7">
        <v>4</v>
      </c>
      <c r="AD118" s="15">
        <v>0</v>
      </c>
      <c r="AE118" s="15">
        <v>0</v>
      </c>
      <c r="AF118" s="15">
        <v>1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P118" s="15">
        <v>1</v>
      </c>
      <c r="AQ118" s="15">
        <v>1</v>
      </c>
      <c r="AR118" s="15">
        <v>1</v>
      </c>
      <c r="AS118" s="15">
        <v>1</v>
      </c>
      <c r="AV118" s="15">
        <v>1</v>
      </c>
      <c r="AY118" s="15">
        <v>30000</v>
      </c>
      <c r="AZ118" s="15">
        <v>40000</v>
      </c>
      <c r="BA118" s="15">
        <v>50000</v>
      </c>
      <c r="BB118" s="15">
        <v>4</v>
      </c>
      <c r="BC118" s="7"/>
      <c r="BD118" s="7"/>
      <c r="BE118" s="7">
        <v>240</v>
      </c>
      <c r="BG118" s="15">
        <v>2</v>
      </c>
      <c r="BL118" s="7">
        <v>0</v>
      </c>
    </row>
    <row r="119" spans="1:64" s="15" customFormat="1">
      <c r="A119" s="15">
        <v>10229</v>
      </c>
      <c r="B119" s="15" t="s">
        <v>3137</v>
      </c>
      <c r="C119" s="15" t="s">
        <v>37</v>
      </c>
      <c r="D119" s="15" t="s">
        <v>38</v>
      </c>
      <c r="E119" s="15">
        <v>1</v>
      </c>
      <c r="F119" s="15" t="s">
        <v>959</v>
      </c>
      <c r="G119" s="15">
        <v>0</v>
      </c>
      <c r="H119" s="15">
        <v>0</v>
      </c>
      <c r="I119" s="15">
        <v>99999</v>
      </c>
      <c r="J119" s="15">
        <v>0</v>
      </c>
      <c r="K119" s="15">
        <v>0</v>
      </c>
      <c r="L119" s="15" t="s">
        <v>1562</v>
      </c>
      <c r="M119" s="16">
        <v>1</v>
      </c>
      <c r="N119" s="7">
        <v>1</v>
      </c>
      <c r="P119" s="15">
        <v>0</v>
      </c>
      <c r="Q119" s="15">
        <v>0</v>
      </c>
      <c r="S119" s="15">
        <v>80000</v>
      </c>
      <c r="T119" s="15">
        <v>0</v>
      </c>
      <c r="V119" s="15">
        <v>1</v>
      </c>
      <c r="W119" s="15">
        <v>1</v>
      </c>
      <c r="X119" s="30"/>
      <c r="Y119" s="15" t="s">
        <v>613</v>
      </c>
      <c r="Z119" s="15" t="s">
        <v>2477</v>
      </c>
      <c r="AA119" s="15" t="s">
        <v>2290</v>
      </c>
      <c r="AB119" s="15">
        <v>0</v>
      </c>
      <c r="AC119" s="7">
        <v>4</v>
      </c>
      <c r="AD119" s="15">
        <v>0</v>
      </c>
      <c r="AE119" s="15">
        <v>0</v>
      </c>
      <c r="AF119" s="15">
        <v>1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P119" s="15">
        <v>1</v>
      </c>
      <c r="AQ119" s="15">
        <v>1</v>
      </c>
      <c r="AR119" s="15">
        <v>1</v>
      </c>
      <c r="AS119" s="15">
        <v>1</v>
      </c>
      <c r="AV119" s="15">
        <v>1</v>
      </c>
      <c r="AY119" s="15">
        <v>30000</v>
      </c>
      <c r="AZ119" s="15">
        <v>40000</v>
      </c>
      <c r="BA119" s="15">
        <v>50000</v>
      </c>
      <c r="BB119" s="15">
        <v>4</v>
      </c>
      <c r="BC119" s="7"/>
      <c r="BD119" s="7"/>
      <c r="BE119" s="7">
        <v>240</v>
      </c>
      <c r="BG119" s="15">
        <v>2</v>
      </c>
      <c r="BL119" s="7">
        <v>0</v>
      </c>
    </row>
    <row r="120" spans="1:64">
      <c r="A120">
        <v>10310</v>
      </c>
      <c r="B120" t="s">
        <v>1799</v>
      </c>
      <c r="C120" t="s">
        <v>37</v>
      </c>
      <c r="D120" t="s">
        <v>38</v>
      </c>
      <c r="E120">
        <v>1</v>
      </c>
      <c r="F120" t="s">
        <v>959</v>
      </c>
      <c r="G120">
        <v>0</v>
      </c>
      <c r="H120">
        <v>0</v>
      </c>
      <c r="I120">
        <v>99999</v>
      </c>
      <c r="J120">
        <v>0</v>
      </c>
      <c r="K120">
        <v>0</v>
      </c>
      <c r="L120" t="s">
        <v>1562</v>
      </c>
      <c r="M120" s="7">
        <v>1</v>
      </c>
      <c r="N120" s="7">
        <v>1</v>
      </c>
      <c r="P120">
        <v>0</v>
      </c>
      <c r="Q120">
        <v>0</v>
      </c>
      <c r="S120" s="7">
        <v>5000</v>
      </c>
      <c r="T120">
        <v>0</v>
      </c>
      <c r="V120">
        <v>1</v>
      </c>
      <c r="W120">
        <v>1</v>
      </c>
      <c r="Y120" t="s">
        <v>614</v>
      </c>
      <c r="Z120" t="s">
        <v>2478</v>
      </c>
      <c r="AA120" s="7" t="s">
        <v>2291</v>
      </c>
      <c r="AB120">
        <v>0</v>
      </c>
      <c r="AC120" s="7">
        <v>4</v>
      </c>
      <c r="AD120">
        <v>0</v>
      </c>
      <c r="AE120">
        <v>0</v>
      </c>
      <c r="AF120">
        <v>1</v>
      </c>
      <c r="AI120" s="7">
        <v>24</v>
      </c>
      <c r="AJ120" s="7">
        <v>8</v>
      </c>
      <c r="AK120" s="7">
        <v>0</v>
      </c>
      <c r="AL120" s="7">
        <v>0</v>
      </c>
      <c r="AM120" s="7">
        <v>0</v>
      </c>
      <c r="AN120" s="7">
        <v>0</v>
      </c>
      <c r="AP120">
        <v>1</v>
      </c>
      <c r="AQ120" s="7">
        <v>1</v>
      </c>
      <c r="AR120" s="7">
        <v>1</v>
      </c>
      <c r="AS120" s="7">
        <v>1</v>
      </c>
      <c r="AV120" s="7">
        <v>1</v>
      </c>
      <c r="AY120">
        <v>30000</v>
      </c>
      <c r="AZ120" s="7">
        <v>40000</v>
      </c>
      <c r="BA120" s="7">
        <v>50000</v>
      </c>
      <c r="BB120">
        <v>4</v>
      </c>
      <c r="BC120" s="7"/>
      <c r="BD120" s="7"/>
      <c r="BE120" s="7">
        <v>240</v>
      </c>
      <c r="BG120" s="7">
        <v>2</v>
      </c>
      <c r="BL120" s="7">
        <v>0</v>
      </c>
    </row>
    <row r="121" spans="1:64">
      <c r="A121">
        <v>10311</v>
      </c>
      <c r="B121" t="s">
        <v>1800</v>
      </c>
      <c r="C121" t="s">
        <v>37</v>
      </c>
      <c r="D121" t="s">
        <v>38</v>
      </c>
      <c r="E121">
        <v>1</v>
      </c>
      <c r="F121" t="s">
        <v>959</v>
      </c>
      <c r="G121">
        <v>0</v>
      </c>
      <c r="H121">
        <v>0</v>
      </c>
      <c r="I121">
        <v>99999</v>
      </c>
      <c r="J121">
        <v>0</v>
      </c>
      <c r="K121">
        <v>0</v>
      </c>
      <c r="L121" t="s">
        <v>1562</v>
      </c>
      <c r="M121" s="7">
        <v>1</v>
      </c>
      <c r="N121" s="7">
        <v>1</v>
      </c>
      <c r="P121">
        <v>0</v>
      </c>
      <c r="Q121">
        <v>0</v>
      </c>
      <c r="S121" s="7">
        <v>10000</v>
      </c>
      <c r="T121">
        <v>0</v>
      </c>
      <c r="V121">
        <v>1</v>
      </c>
      <c r="W121">
        <v>1</v>
      </c>
      <c r="Y121" t="s">
        <v>615</v>
      </c>
      <c r="Z121" t="s">
        <v>2479</v>
      </c>
      <c r="AA121" s="7" t="s">
        <v>2291</v>
      </c>
      <c r="AB121">
        <v>0</v>
      </c>
      <c r="AC121" s="7">
        <v>4</v>
      </c>
      <c r="AD121">
        <v>0</v>
      </c>
      <c r="AE121">
        <v>0</v>
      </c>
      <c r="AF121">
        <v>1</v>
      </c>
      <c r="AI121" s="7">
        <v>1200</v>
      </c>
      <c r="AJ121" s="7">
        <v>1</v>
      </c>
      <c r="AK121" s="7">
        <v>0</v>
      </c>
      <c r="AL121" s="7">
        <v>0</v>
      </c>
      <c r="AM121" s="7">
        <v>0</v>
      </c>
      <c r="AN121" s="7">
        <v>0</v>
      </c>
      <c r="AP121">
        <v>1</v>
      </c>
      <c r="AQ121" s="7">
        <v>1</v>
      </c>
      <c r="AR121" s="7">
        <v>1</v>
      </c>
      <c r="AS121" s="7">
        <v>1</v>
      </c>
      <c r="AV121" s="7">
        <v>1</v>
      </c>
      <c r="AY121">
        <v>30000</v>
      </c>
      <c r="AZ121" s="7">
        <v>40000</v>
      </c>
      <c r="BA121" s="7">
        <v>50000</v>
      </c>
      <c r="BB121">
        <v>4</v>
      </c>
      <c r="BC121" s="7"/>
      <c r="BD121" s="7"/>
      <c r="BE121" s="7">
        <v>240</v>
      </c>
      <c r="BG121" s="7">
        <v>2</v>
      </c>
      <c r="BL121" s="7">
        <v>0</v>
      </c>
    </row>
    <row r="122" spans="1:64" s="15" customFormat="1">
      <c r="A122" s="15">
        <v>10312</v>
      </c>
      <c r="B122" s="15" t="s">
        <v>1801</v>
      </c>
      <c r="C122" s="15" t="s">
        <v>37</v>
      </c>
      <c r="D122" s="15" t="s">
        <v>38</v>
      </c>
      <c r="E122" s="15">
        <v>1</v>
      </c>
      <c r="F122" s="15" t="s">
        <v>959</v>
      </c>
      <c r="G122" s="15">
        <v>0</v>
      </c>
      <c r="H122" s="15">
        <v>0</v>
      </c>
      <c r="I122" s="15">
        <v>99999</v>
      </c>
      <c r="J122" s="15">
        <v>0</v>
      </c>
      <c r="K122" s="15">
        <v>0</v>
      </c>
      <c r="L122" s="15" t="s">
        <v>1562</v>
      </c>
      <c r="M122" s="16">
        <v>1</v>
      </c>
      <c r="N122" s="16">
        <v>1</v>
      </c>
      <c r="P122" s="15">
        <v>0</v>
      </c>
      <c r="Q122" s="15">
        <v>0</v>
      </c>
      <c r="S122" s="15">
        <v>20000</v>
      </c>
      <c r="T122" s="15">
        <v>0</v>
      </c>
      <c r="V122" s="15">
        <v>1</v>
      </c>
      <c r="W122" s="15">
        <v>1</v>
      </c>
      <c r="X122" s="30"/>
      <c r="Y122" s="15" t="s">
        <v>616</v>
      </c>
      <c r="Z122" s="15" t="s">
        <v>2480</v>
      </c>
      <c r="AA122" s="15" t="s">
        <v>2292</v>
      </c>
      <c r="AB122" s="15">
        <v>0</v>
      </c>
      <c r="AC122" s="16">
        <v>4</v>
      </c>
      <c r="AD122" s="15">
        <v>0</v>
      </c>
      <c r="AE122" s="15">
        <v>0</v>
      </c>
      <c r="AF122" s="15">
        <v>1</v>
      </c>
      <c r="AI122" s="16">
        <v>24</v>
      </c>
      <c r="AJ122" s="16">
        <v>30</v>
      </c>
      <c r="AK122" s="16">
        <v>0</v>
      </c>
      <c r="AL122" s="16">
        <v>0</v>
      </c>
      <c r="AM122" s="16">
        <v>0</v>
      </c>
      <c r="AN122" s="16">
        <v>0</v>
      </c>
      <c r="AO122" s="16"/>
      <c r="AP122" s="15">
        <v>1</v>
      </c>
      <c r="AQ122" s="16">
        <v>1</v>
      </c>
      <c r="AR122" s="16">
        <v>1</v>
      </c>
      <c r="AS122" s="16">
        <v>1</v>
      </c>
      <c r="AV122" s="16">
        <v>1</v>
      </c>
      <c r="AY122" s="15">
        <v>30000</v>
      </c>
      <c r="AZ122" s="15">
        <v>40000</v>
      </c>
      <c r="BA122" s="15">
        <v>50000</v>
      </c>
      <c r="BB122" s="15">
        <v>4</v>
      </c>
      <c r="BC122" s="7"/>
      <c r="BD122" s="7"/>
      <c r="BE122" s="16">
        <v>240</v>
      </c>
      <c r="BG122" s="15">
        <v>2</v>
      </c>
      <c r="BL122" s="7">
        <v>0</v>
      </c>
    </row>
    <row r="123" spans="1:64" s="15" customFormat="1">
      <c r="A123" s="15">
        <v>10313</v>
      </c>
      <c r="B123" s="15" t="s">
        <v>1802</v>
      </c>
      <c r="C123" s="15" t="s">
        <v>37</v>
      </c>
      <c r="D123" s="15" t="s">
        <v>38</v>
      </c>
      <c r="E123" s="15">
        <v>1</v>
      </c>
      <c r="F123" s="15" t="s">
        <v>959</v>
      </c>
      <c r="G123" s="15">
        <v>0</v>
      </c>
      <c r="H123" s="15">
        <v>0</v>
      </c>
      <c r="I123" s="15">
        <v>99999</v>
      </c>
      <c r="J123" s="15">
        <v>0</v>
      </c>
      <c r="K123" s="15">
        <v>0</v>
      </c>
      <c r="L123" s="15" t="s">
        <v>1562</v>
      </c>
      <c r="M123" s="16">
        <v>1</v>
      </c>
      <c r="N123" s="7">
        <v>1</v>
      </c>
      <c r="P123" s="15">
        <v>0</v>
      </c>
      <c r="Q123" s="15">
        <v>0</v>
      </c>
      <c r="S123" s="15">
        <v>40000</v>
      </c>
      <c r="T123" s="15">
        <v>0</v>
      </c>
      <c r="V123" s="15">
        <v>1</v>
      </c>
      <c r="W123" s="15">
        <v>1</v>
      </c>
      <c r="X123" s="30"/>
      <c r="Y123" s="15" t="s">
        <v>617</v>
      </c>
      <c r="Z123" s="15" t="s">
        <v>2481</v>
      </c>
      <c r="AA123" s="15" t="s">
        <v>2292</v>
      </c>
      <c r="AB123" s="15">
        <v>0</v>
      </c>
      <c r="AC123" s="7">
        <v>4</v>
      </c>
      <c r="AD123" s="15">
        <v>0</v>
      </c>
      <c r="AE123" s="15">
        <v>0</v>
      </c>
      <c r="AF123" s="15">
        <v>1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P123" s="15">
        <v>1</v>
      </c>
      <c r="AQ123" s="15">
        <v>1</v>
      </c>
      <c r="AR123" s="15">
        <v>1</v>
      </c>
      <c r="AS123" s="15">
        <v>1</v>
      </c>
      <c r="AV123" s="15">
        <v>1</v>
      </c>
      <c r="AY123" s="15">
        <v>30000</v>
      </c>
      <c r="AZ123" s="15">
        <v>40000</v>
      </c>
      <c r="BA123" s="15">
        <v>50000</v>
      </c>
      <c r="BB123" s="15">
        <v>4</v>
      </c>
      <c r="BC123" s="7"/>
      <c r="BD123" s="7"/>
      <c r="BE123" s="7">
        <v>240</v>
      </c>
      <c r="BG123" s="15">
        <v>2</v>
      </c>
      <c r="BL123" s="7">
        <v>0</v>
      </c>
    </row>
    <row r="124" spans="1:64" s="15" customFormat="1">
      <c r="A124" s="15">
        <v>10314</v>
      </c>
      <c r="B124" s="15" t="s">
        <v>1803</v>
      </c>
      <c r="C124" s="15" t="s">
        <v>37</v>
      </c>
      <c r="D124" s="15" t="s">
        <v>38</v>
      </c>
      <c r="E124" s="15">
        <v>1</v>
      </c>
      <c r="F124" s="15" t="s">
        <v>959</v>
      </c>
      <c r="G124" s="15">
        <v>0</v>
      </c>
      <c r="H124" s="15">
        <v>0</v>
      </c>
      <c r="I124" s="15">
        <v>99999</v>
      </c>
      <c r="J124" s="15">
        <v>0</v>
      </c>
      <c r="K124" s="15">
        <v>0</v>
      </c>
      <c r="L124" s="15" t="s">
        <v>1562</v>
      </c>
      <c r="M124" s="16">
        <v>1</v>
      </c>
      <c r="N124" s="7">
        <v>1</v>
      </c>
      <c r="P124" s="15">
        <v>0</v>
      </c>
      <c r="Q124" s="15">
        <v>0</v>
      </c>
      <c r="S124" s="15">
        <v>80000</v>
      </c>
      <c r="T124" s="15">
        <v>0</v>
      </c>
      <c r="V124" s="15">
        <v>1</v>
      </c>
      <c r="W124" s="15">
        <v>1</v>
      </c>
      <c r="X124" s="30"/>
      <c r="Y124" s="15" t="s">
        <v>618</v>
      </c>
      <c r="Z124" s="15" t="s">
        <v>2482</v>
      </c>
      <c r="AA124" s="15" t="s">
        <v>2292</v>
      </c>
      <c r="AB124" s="15">
        <v>0</v>
      </c>
      <c r="AC124" s="7">
        <v>4</v>
      </c>
      <c r="AD124" s="15">
        <v>0</v>
      </c>
      <c r="AE124" s="15">
        <v>0</v>
      </c>
      <c r="AF124" s="15">
        <v>1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P124" s="15">
        <v>1</v>
      </c>
      <c r="AQ124" s="15">
        <v>1</v>
      </c>
      <c r="AR124" s="15">
        <v>1</v>
      </c>
      <c r="AS124" s="15">
        <v>1</v>
      </c>
      <c r="AV124" s="15">
        <v>1</v>
      </c>
      <c r="AY124" s="15">
        <v>30000</v>
      </c>
      <c r="AZ124" s="15">
        <v>40000</v>
      </c>
      <c r="BA124" s="15">
        <v>50000</v>
      </c>
      <c r="BB124" s="15">
        <v>4</v>
      </c>
      <c r="BC124" s="7"/>
      <c r="BD124" s="7"/>
      <c r="BE124" s="7">
        <v>240</v>
      </c>
      <c r="BG124" s="15">
        <v>2</v>
      </c>
      <c r="BL124" s="7">
        <v>0</v>
      </c>
    </row>
    <row r="125" spans="1:64" s="15" customFormat="1">
      <c r="A125" s="15">
        <v>10315</v>
      </c>
      <c r="B125" s="15" t="s">
        <v>1804</v>
      </c>
      <c r="C125" s="15" t="s">
        <v>37</v>
      </c>
      <c r="D125" s="15" t="s">
        <v>38</v>
      </c>
      <c r="E125" s="15">
        <v>1</v>
      </c>
      <c r="F125" s="15" t="s">
        <v>959</v>
      </c>
      <c r="G125" s="15">
        <v>0</v>
      </c>
      <c r="H125" s="15">
        <v>0</v>
      </c>
      <c r="I125" s="15">
        <v>99999</v>
      </c>
      <c r="J125" s="15">
        <v>0</v>
      </c>
      <c r="K125" s="15">
        <v>0</v>
      </c>
      <c r="L125" s="15" t="s">
        <v>1562</v>
      </c>
      <c r="M125" s="16">
        <v>1</v>
      </c>
      <c r="N125" s="7">
        <v>1</v>
      </c>
      <c r="P125" s="15">
        <v>0</v>
      </c>
      <c r="Q125" s="15">
        <v>0</v>
      </c>
      <c r="S125" s="15">
        <v>80000</v>
      </c>
      <c r="T125" s="15">
        <v>0</v>
      </c>
      <c r="V125" s="15">
        <v>1</v>
      </c>
      <c r="W125" s="15">
        <v>1</v>
      </c>
      <c r="X125" s="30"/>
      <c r="Y125" s="15" t="s">
        <v>619</v>
      </c>
      <c r="Z125" s="15" t="s">
        <v>2483</v>
      </c>
      <c r="AA125" s="15" t="s">
        <v>2292</v>
      </c>
      <c r="AB125" s="15">
        <v>0</v>
      </c>
      <c r="AC125" s="7">
        <v>4</v>
      </c>
      <c r="AD125" s="15">
        <v>0</v>
      </c>
      <c r="AE125" s="15">
        <v>0</v>
      </c>
      <c r="AF125" s="15">
        <v>1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P125" s="15">
        <v>1</v>
      </c>
      <c r="AQ125" s="15">
        <v>1</v>
      </c>
      <c r="AR125" s="15">
        <v>1</v>
      </c>
      <c r="AS125" s="15">
        <v>1</v>
      </c>
      <c r="AV125" s="15">
        <v>1</v>
      </c>
      <c r="AY125" s="15">
        <v>30000</v>
      </c>
      <c r="AZ125" s="15">
        <v>40000</v>
      </c>
      <c r="BA125" s="15">
        <v>50000</v>
      </c>
      <c r="BB125" s="15">
        <v>4</v>
      </c>
      <c r="BC125" s="7"/>
      <c r="BD125" s="7"/>
      <c r="BE125" s="7">
        <v>240</v>
      </c>
      <c r="BG125" s="15">
        <v>2</v>
      </c>
      <c r="BL125" s="7">
        <v>0</v>
      </c>
    </row>
    <row r="126" spans="1:64" s="15" customFormat="1">
      <c r="A126" s="15">
        <v>10316</v>
      </c>
      <c r="B126" s="15" t="s">
        <v>1805</v>
      </c>
      <c r="C126" s="15" t="s">
        <v>37</v>
      </c>
      <c r="D126" s="15" t="s">
        <v>38</v>
      </c>
      <c r="E126" s="15">
        <v>1</v>
      </c>
      <c r="F126" s="15" t="s">
        <v>959</v>
      </c>
      <c r="G126" s="15">
        <v>0</v>
      </c>
      <c r="H126" s="15">
        <v>0</v>
      </c>
      <c r="I126" s="15">
        <v>99999</v>
      </c>
      <c r="J126" s="15">
        <v>0</v>
      </c>
      <c r="K126" s="15">
        <v>0</v>
      </c>
      <c r="L126" s="15" t="s">
        <v>1562</v>
      </c>
      <c r="M126" s="16">
        <v>1</v>
      </c>
      <c r="N126" s="7">
        <v>1</v>
      </c>
      <c r="P126" s="15">
        <v>0</v>
      </c>
      <c r="Q126" s="15">
        <v>0</v>
      </c>
      <c r="S126" s="15">
        <v>80000</v>
      </c>
      <c r="T126" s="15">
        <v>0</v>
      </c>
      <c r="V126" s="15">
        <v>1</v>
      </c>
      <c r="W126" s="15">
        <v>1</v>
      </c>
      <c r="X126" s="30"/>
      <c r="Y126" s="15" t="s">
        <v>620</v>
      </c>
      <c r="Z126" s="15" t="s">
        <v>2484</v>
      </c>
      <c r="AA126" s="15" t="s">
        <v>2292</v>
      </c>
      <c r="AB126" s="15">
        <v>0</v>
      </c>
      <c r="AC126" s="7">
        <v>4</v>
      </c>
      <c r="AD126" s="15">
        <v>0</v>
      </c>
      <c r="AE126" s="15">
        <v>0</v>
      </c>
      <c r="AF126" s="15">
        <v>1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P126" s="15">
        <v>1</v>
      </c>
      <c r="AQ126" s="15">
        <v>1</v>
      </c>
      <c r="AR126" s="15">
        <v>1</v>
      </c>
      <c r="AS126" s="15">
        <v>1</v>
      </c>
      <c r="AV126" s="15">
        <v>1</v>
      </c>
      <c r="AY126" s="15">
        <v>30000</v>
      </c>
      <c r="AZ126" s="15">
        <v>40000</v>
      </c>
      <c r="BA126" s="15">
        <v>50000</v>
      </c>
      <c r="BB126" s="15">
        <v>4</v>
      </c>
      <c r="BC126" s="7"/>
      <c r="BD126" s="7"/>
      <c r="BE126" s="7">
        <v>240</v>
      </c>
      <c r="BG126" s="15">
        <v>2</v>
      </c>
      <c r="BL126" s="7">
        <v>0</v>
      </c>
    </row>
    <row r="127" spans="1:64" s="15" customFormat="1">
      <c r="A127" s="15">
        <v>10317</v>
      </c>
      <c r="B127" s="15" t="s">
        <v>1806</v>
      </c>
      <c r="C127" s="15" t="s">
        <v>37</v>
      </c>
      <c r="D127" s="15" t="s">
        <v>38</v>
      </c>
      <c r="E127" s="15">
        <v>1</v>
      </c>
      <c r="F127" s="15" t="s">
        <v>959</v>
      </c>
      <c r="G127" s="15">
        <v>0</v>
      </c>
      <c r="H127" s="15">
        <v>0</v>
      </c>
      <c r="I127" s="15">
        <v>99999</v>
      </c>
      <c r="J127" s="15">
        <v>0</v>
      </c>
      <c r="K127" s="15">
        <v>0</v>
      </c>
      <c r="L127" s="15" t="s">
        <v>1562</v>
      </c>
      <c r="M127" s="16">
        <v>1</v>
      </c>
      <c r="N127" s="7">
        <v>1</v>
      </c>
      <c r="P127" s="15">
        <v>0</v>
      </c>
      <c r="Q127" s="15">
        <v>0</v>
      </c>
      <c r="S127" s="15">
        <v>80000</v>
      </c>
      <c r="T127" s="15">
        <v>0</v>
      </c>
      <c r="V127" s="15">
        <v>1</v>
      </c>
      <c r="W127" s="15">
        <v>1</v>
      </c>
      <c r="X127" s="30"/>
      <c r="Y127" s="15" t="s">
        <v>621</v>
      </c>
      <c r="Z127" s="15" t="s">
        <v>2485</v>
      </c>
      <c r="AA127" s="15" t="s">
        <v>2292</v>
      </c>
      <c r="AB127" s="15">
        <v>0</v>
      </c>
      <c r="AC127" s="7">
        <v>4</v>
      </c>
      <c r="AD127" s="15">
        <v>0</v>
      </c>
      <c r="AE127" s="15">
        <v>0</v>
      </c>
      <c r="AF127" s="15">
        <v>1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P127" s="15">
        <v>1</v>
      </c>
      <c r="AQ127" s="15">
        <v>1</v>
      </c>
      <c r="AR127" s="15">
        <v>1</v>
      </c>
      <c r="AS127" s="15">
        <v>1</v>
      </c>
      <c r="AV127" s="15">
        <v>1</v>
      </c>
      <c r="AY127" s="15">
        <v>30000</v>
      </c>
      <c r="AZ127" s="15">
        <v>40000</v>
      </c>
      <c r="BA127" s="15">
        <v>50000</v>
      </c>
      <c r="BB127" s="15">
        <v>4</v>
      </c>
      <c r="BC127" s="7"/>
      <c r="BD127" s="7"/>
      <c r="BE127" s="7">
        <v>240</v>
      </c>
      <c r="BG127" s="15">
        <v>2</v>
      </c>
      <c r="BL127" s="7">
        <v>0</v>
      </c>
    </row>
    <row r="128" spans="1:64" s="15" customFormat="1">
      <c r="A128" s="15">
        <v>10318</v>
      </c>
      <c r="B128" s="15" t="s">
        <v>1807</v>
      </c>
      <c r="C128" s="15" t="s">
        <v>37</v>
      </c>
      <c r="D128" s="15" t="s">
        <v>38</v>
      </c>
      <c r="E128" s="15">
        <v>1</v>
      </c>
      <c r="F128" s="15" t="s">
        <v>959</v>
      </c>
      <c r="G128" s="15">
        <v>0</v>
      </c>
      <c r="H128" s="15">
        <v>0</v>
      </c>
      <c r="I128" s="15">
        <v>99999</v>
      </c>
      <c r="J128" s="15">
        <v>0</v>
      </c>
      <c r="K128" s="15">
        <v>0</v>
      </c>
      <c r="L128" s="15" t="s">
        <v>1562</v>
      </c>
      <c r="M128" s="16">
        <v>1</v>
      </c>
      <c r="N128" s="7">
        <v>1</v>
      </c>
      <c r="P128" s="15">
        <v>0</v>
      </c>
      <c r="Q128" s="15">
        <v>0</v>
      </c>
      <c r="S128" s="15">
        <v>80000</v>
      </c>
      <c r="T128" s="15">
        <v>0</v>
      </c>
      <c r="V128" s="15">
        <v>1</v>
      </c>
      <c r="W128" s="15">
        <v>1</v>
      </c>
      <c r="X128" s="30"/>
      <c r="Y128" s="15" t="s">
        <v>622</v>
      </c>
      <c r="Z128" s="15" t="s">
        <v>2486</v>
      </c>
      <c r="AA128" s="15" t="s">
        <v>2292</v>
      </c>
      <c r="AB128" s="15">
        <v>0</v>
      </c>
      <c r="AC128" s="7">
        <v>4</v>
      </c>
      <c r="AD128" s="15">
        <v>0</v>
      </c>
      <c r="AE128" s="15">
        <v>0</v>
      </c>
      <c r="AF128" s="15">
        <v>1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P128" s="15">
        <v>1</v>
      </c>
      <c r="AQ128" s="15">
        <v>1</v>
      </c>
      <c r="AR128" s="15">
        <v>1</v>
      </c>
      <c r="AS128" s="15">
        <v>1</v>
      </c>
      <c r="AV128" s="15">
        <v>1</v>
      </c>
      <c r="AY128" s="15">
        <v>30000</v>
      </c>
      <c r="AZ128" s="15">
        <v>40000</v>
      </c>
      <c r="BA128" s="15">
        <v>50000</v>
      </c>
      <c r="BB128" s="15">
        <v>4</v>
      </c>
      <c r="BC128" s="7"/>
      <c r="BD128" s="7"/>
      <c r="BE128" s="7">
        <v>240</v>
      </c>
      <c r="BG128" s="15">
        <v>2</v>
      </c>
      <c r="BL128" s="7">
        <v>0</v>
      </c>
    </row>
    <row r="129" spans="1:64" s="15" customFormat="1">
      <c r="A129" s="15">
        <v>10319</v>
      </c>
      <c r="B129" s="15" t="s">
        <v>1808</v>
      </c>
      <c r="C129" s="15" t="s">
        <v>37</v>
      </c>
      <c r="D129" s="15" t="s">
        <v>38</v>
      </c>
      <c r="E129" s="15">
        <v>1</v>
      </c>
      <c r="F129" s="15" t="s">
        <v>959</v>
      </c>
      <c r="G129" s="15">
        <v>0</v>
      </c>
      <c r="H129" s="15">
        <v>0</v>
      </c>
      <c r="I129" s="15">
        <v>99999</v>
      </c>
      <c r="J129" s="15">
        <v>0</v>
      </c>
      <c r="K129" s="15">
        <v>0</v>
      </c>
      <c r="L129" s="15" t="s">
        <v>1562</v>
      </c>
      <c r="M129" s="16">
        <v>1</v>
      </c>
      <c r="N129" s="7">
        <v>1</v>
      </c>
      <c r="P129" s="15">
        <v>0</v>
      </c>
      <c r="Q129" s="15">
        <v>0</v>
      </c>
      <c r="S129" s="15">
        <v>80000</v>
      </c>
      <c r="T129" s="15">
        <v>0</v>
      </c>
      <c r="V129" s="15">
        <v>1</v>
      </c>
      <c r="W129" s="15">
        <v>1</v>
      </c>
      <c r="X129" s="30"/>
      <c r="Y129" s="15" t="s">
        <v>623</v>
      </c>
      <c r="Z129" s="15" t="s">
        <v>2487</v>
      </c>
      <c r="AA129" s="15" t="s">
        <v>2292</v>
      </c>
      <c r="AB129" s="15">
        <v>0</v>
      </c>
      <c r="AC129" s="7">
        <v>4</v>
      </c>
      <c r="AD129" s="15">
        <v>0</v>
      </c>
      <c r="AE129" s="15">
        <v>0</v>
      </c>
      <c r="AF129" s="15">
        <v>1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P129" s="15">
        <v>1</v>
      </c>
      <c r="AQ129" s="15">
        <v>1</v>
      </c>
      <c r="AR129" s="15">
        <v>1</v>
      </c>
      <c r="AS129" s="15">
        <v>1</v>
      </c>
      <c r="AV129" s="15">
        <v>1</v>
      </c>
      <c r="AY129" s="15">
        <v>30000</v>
      </c>
      <c r="AZ129" s="15">
        <v>40000</v>
      </c>
      <c r="BA129" s="15">
        <v>50000</v>
      </c>
      <c r="BB129" s="15">
        <v>4</v>
      </c>
      <c r="BC129" s="7"/>
      <c r="BD129" s="7"/>
      <c r="BE129" s="7">
        <v>240</v>
      </c>
      <c r="BG129" s="15">
        <v>2</v>
      </c>
      <c r="BL129" s="7">
        <v>0</v>
      </c>
    </row>
    <row r="130" spans="1:64">
      <c r="A130">
        <v>10320</v>
      </c>
      <c r="B130" t="s">
        <v>1789</v>
      </c>
      <c r="C130" t="s">
        <v>37</v>
      </c>
      <c r="D130" t="s">
        <v>38</v>
      </c>
      <c r="E130">
        <v>1</v>
      </c>
      <c r="F130" t="s">
        <v>959</v>
      </c>
      <c r="G130">
        <v>0</v>
      </c>
      <c r="H130">
        <v>0</v>
      </c>
      <c r="I130">
        <v>99999</v>
      </c>
      <c r="J130">
        <v>0</v>
      </c>
      <c r="K130">
        <v>0</v>
      </c>
      <c r="L130" t="s">
        <v>1562</v>
      </c>
      <c r="M130" s="7">
        <v>1</v>
      </c>
      <c r="N130" s="7">
        <v>1</v>
      </c>
      <c r="P130">
        <v>0</v>
      </c>
      <c r="Q130">
        <v>0</v>
      </c>
      <c r="S130" s="7">
        <v>5000</v>
      </c>
      <c r="T130">
        <v>0</v>
      </c>
      <c r="V130">
        <v>1</v>
      </c>
      <c r="W130">
        <v>1</v>
      </c>
      <c r="Y130" t="s">
        <v>614</v>
      </c>
      <c r="Z130" t="s">
        <v>2488</v>
      </c>
      <c r="AA130" s="7" t="s">
        <v>2291</v>
      </c>
      <c r="AB130">
        <v>0</v>
      </c>
      <c r="AC130" s="7">
        <v>4</v>
      </c>
      <c r="AD130">
        <v>0</v>
      </c>
      <c r="AE130">
        <v>0</v>
      </c>
      <c r="AF130">
        <v>1</v>
      </c>
      <c r="AI130" s="7">
        <v>24</v>
      </c>
      <c r="AJ130" s="7">
        <v>8</v>
      </c>
      <c r="AK130" s="7">
        <v>0</v>
      </c>
      <c r="AL130" s="7">
        <v>0</v>
      </c>
      <c r="AM130" s="7">
        <v>0</v>
      </c>
      <c r="AN130" s="7">
        <v>0</v>
      </c>
      <c r="AP130">
        <v>1</v>
      </c>
      <c r="AQ130" s="7">
        <v>1</v>
      </c>
      <c r="AR130" s="7">
        <v>1</v>
      </c>
      <c r="AS130" s="7">
        <v>1</v>
      </c>
      <c r="AV130" s="7">
        <v>1</v>
      </c>
      <c r="AW130">
        <v>1</v>
      </c>
      <c r="AY130">
        <v>30000</v>
      </c>
      <c r="AZ130" s="7">
        <v>40000</v>
      </c>
      <c r="BA130" s="7">
        <v>50000</v>
      </c>
      <c r="BB130">
        <v>4</v>
      </c>
      <c r="BC130" s="7"/>
      <c r="BD130" s="7"/>
      <c r="BE130" s="7">
        <v>240</v>
      </c>
      <c r="BG130" s="7">
        <v>2</v>
      </c>
      <c r="BL130" s="7">
        <v>0</v>
      </c>
    </row>
    <row r="131" spans="1:64">
      <c r="A131">
        <v>10321</v>
      </c>
      <c r="B131" t="s">
        <v>1790</v>
      </c>
      <c r="C131" t="s">
        <v>37</v>
      </c>
      <c r="D131" t="s">
        <v>38</v>
      </c>
      <c r="E131">
        <v>1</v>
      </c>
      <c r="F131" t="s">
        <v>959</v>
      </c>
      <c r="G131">
        <v>0</v>
      </c>
      <c r="H131">
        <v>0</v>
      </c>
      <c r="I131">
        <v>99999</v>
      </c>
      <c r="J131">
        <v>0</v>
      </c>
      <c r="K131">
        <v>0</v>
      </c>
      <c r="L131" t="s">
        <v>1562</v>
      </c>
      <c r="M131" s="7">
        <v>1</v>
      </c>
      <c r="N131" s="7">
        <v>1</v>
      </c>
      <c r="P131">
        <v>0</v>
      </c>
      <c r="Q131">
        <v>0</v>
      </c>
      <c r="S131" s="7">
        <v>10000</v>
      </c>
      <c r="T131">
        <v>0</v>
      </c>
      <c r="V131">
        <v>1</v>
      </c>
      <c r="W131">
        <v>1</v>
      </c>
      <c r="Y131" t="s">
        <v>615</v>
      </c>
      <c r="Z131" t="s">
        <v>2489</v>
      </c>
      <c r="AA131" s="7" t="s">
        <v>2291</v>
      </c>
      <c r="AB131">
        <v>0</v>
      </c>
      <c r="AC131" s="7">
        <v>4</v>
      </c>
      <c r="AD131">
        <v>0</v>
      </c>
      <c r="AE131">
        <v>0</v>
      </c>
      <c r="AF131">
        <v>1</v>
      </c>
      <c r="AI131" s="7">
        <v>1200</v>
      </c>
      <c r="AJ131" s="7">
        <v>1</v>
      </c>
      <c r="AK131" s="7">
        <v>0</v>
      </c>
      <c r="AL131" s="7">
        <v>0</v>
      </c>
      <c r="AM131" s="7">
        <v>0</v>
      </c>
      <c r="AN131" s="7">
        <v>0</v>
      </c>
      <c r="AP131">
        <v>1</v>
      </c>
      <c r="AQ131" s="7">
        <v>1</v>
      </c>
      <c r="AR131" s="7">
        <v>1</v>
      </c>
      <c r="AS131" s="7">
        <v>1</v>
      </c>
      <c r="AV131" s="7">
        <v>1</v>
      </c>
      <c r="AY131">
        <v>30000</v>
      </c>
      <c r="AZ131" s="7">
        <v>40000</v>
      </c>
      <c r="BA131" s="7">
        <v>50000</v>
      </c>
      <c r="BB131">
        <v>4</v>
      </c>
      <c r="BC131" s="7"/>
      <c r="BD131" s="7"/>
      <c r="BE131" s="7">
        <v>240</v>
      </c>
      <c r="BG131" s="7">
        <v>2</v>
      </c>
      <c r="BL131" s="7">
        <v>0</v>
      </c>
    </row>
    <row r="132" spans="1:64" s="15" customFormat="1">
      <c r="A132" s="15">
        <v>10322</v>
      </c>
      <c r="B132" s="15" t="s">
        <v>1791</v>
      </c>
      <c r="C132" s="15" t="s">
        <v>37</v>
      </c>
      <c r="D132" s="15" t="s">
        <v>38</v>
      </c>
      <c r="E132" s="15">
        <v>1</v>
      </c>
      <c r="F132" s="15" t="s">
        <v>959</v>
      </c>
      <c r="G132" s="15">
        <v>0</v>
      </c>
      <c r="H132" s="15">
        <v>0</v>
      </c>
      <c r="I132" s="15">
        <v>99999</v>
      </c>
      <c r="J132" s="15">
        <v>0</v>
      </c>
      <c r="K132" s="15">
        <v>0</v>
      </c>
      <c r="L132" s="15" t="s">
        <v>1562</v>
      </c>
      <c r="M132" s="16">
        <v>1</v>
      </c>
      <c r="N132" s="16">
        <v>1</v>
      </c>
      <c r="P132" s="15">
        <v>0</v>
      </c>
      <c r="Q132" s="15">
        <v>0</v>
      </c>
      <c r="S132" s="15">
        <v>20000</v>
      </c>
      <c r="T132" s="15">
        <v>0</v>
      </c>
      <c r="V132" s="15">
        <v>1</v>
      </c>
      <c r="W132" s="15">
        <v>1</v>
      </c>
      <c r="X132" s="30"/>
      <c r="Y132" s="15" t="s">
        <v>616</v>
      </c>
      <c r="Z132" s="15" t="s">
        <v>2490</v>
      </c>
      <c r="AA132" s="15" t="s">
        <v>2292</v>
      </c>
      <c r="AB132" s="15">
        <v>0</v>
      </c>
      <c r="AC132" s="16">
        <v>4</v>
      </c>
      <c r="AD132" s="15">
        <v>0</v>
      </c>
      <c r="AE132" s="15">
        <v>0</v>
      </c>
      <c r="AF132" s="15">
        <v>1</v>
      </c>
      <c r="AI132" s="16">
        <v>24</v>
      </c>
      <c r="AJ132" s="16">
        <v>30</v>
      </c>
      <c r="AK132" s="16">
        <v>0</v>
      </c>
      <c r="AL132" s="16">
        <v>0</v>
      </c>
      <c r="AM132" s="16">
        <v>0</v>
      </c>
      <c r="AN132" s="16">
        <v>0</v>
      </c>
      <c r="AO132" s="16"/>
      <c r="AP132" s="15">
        <v>1</v>
      </c>
      <c r="AQ132" s="16">
        <v>1</v>
      </c>
      <c r="AR132" s="16">
        <v>1</v>
      </c>
      <c r="AS132" s="16">
        <v>1</v>
      </c>
      <c r="AV132" s="16">
        <v>1</v>
      </c>
      <c r="AY132" s="15">
        <v>30000</v>
      </c>
      <c r="AZ132" s="15">
        <v>40000</v>
      </c>
      <c r="BA132" s="15">
        <v>50000</v>
      </c>
      <c r="BB132" s="15">
        <v>4</v>
      </c>
      <c r="BC132" s="7"/>
      <c r="BD132" s="7"/>
      <c r="BE132" s="16">
        <v>240</v>
      </c>
      <c r="BG132" s="15">
        <v>2</v>
      </c>
      <c r="BL132" s="7">
        <v>0</v>
      </c>
    </row>
    <row r="133" spans="1:64" s="15" customFormat="1">
      <c r="A133" s="15">
        <v>10323</v>
      </c>
      <c r="B133" s="15" t="s">
        <v>1792</v>
      </c>
      <c r="C133" s="15" t="s">
        <v>37</v>
      </c>
      <c r="D133" s="15" t="s">
        <v>38</v>
      </c>
      <c r="E133" s="15">
        <v>1</v>
      </c>
      <c r="F133" s="15" t="s">
        <v>959</v>
      </c>
      <c r="G133" s="15">
        <v>0</v>
      </c>
      <c r="H133" s="15">
        <v>0</v>
      </c>
      <c r="I133" s="15">
        <v>99999</v>
      </c>
      <c r="J133" s="15">
        <v>0</v>
      </c>
      <c r="K133" s="15">
        <v>0</v>
      </c>
      <c r="L133" s="15" t="s">
        <v>1562</v>
      </c>
      <c r="M133" s="16">
        <v>1</v>
      </c>
      <c r="N133" s="7">
        <v>1</v>
      </c>
      <c r="P133" s="15">
        <v>0</v>
      </c>
      <c r="Q133" s="15">
        <v>0</v>
      </c>
      <c r="S133" s="15">
        <v>40000</v>
      </c>
      <c r="T133" s="15">
        <v>0</v>
      </c>
      <c r="V133" s="15">
        <v>1</v>
      </c>
      <c r="W133" s="15">
        <v>1</v>
      </c>
      <c r="X133" s="30"/>
      <c r="Y133" s="15" t="s">
        <v>617</v>
      </c>
      <c r="Z133" s="15" t="s">
        <v>3070</v>
      </c>
      <c r="AA133" s="15" t="s">
        <v>2292</v>
      </c>
      <c r="AB133" s="15">
        <v>0</v>
      </c>
      <c r="AC133" s="7">
        <v>4</v>
      </c>
      <c r="AD133" s="15">
        <v>0</v>
      </c>
      <c r="AE133" s="15">
        <v>0</v>
      </c>
      <c r="AF133" s="15">
        <v>1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P133" s="15">
        <v>1</v>
      </c>
      <c r="AQ133" s="15">
        <v>1</v>
      </c>
      <c r="AR133" s="15">
        <v>1</v>
      </c>
      <c r="AS133" s="15">
        <v>1</v>
      </c>
      <c r="AV133" s="15">
        <v>1</v>
      </c>
      <c r="AY133" s="15">
        <v>30000</v>
      </c>
      <c r="AZ133" s="15">
        <v>40000</v>
      </c>
      <c r="BA133" s="15">
        <v>50000</v>
      </c>
      <c r="BB133" s="15">
        <v>4</v>
      </c>
      <c r="BC133" s="7"/>
      <c r="BD133" s="7"/>
      <c r="BE133" s="7">
        <v>240</v>
      </c>
      <c r="BG133" s="15">
        <v>2</v>
      </c>
      <c r="BL133" s="7">
        <v>0</v>
      </c>
    </row>
    <row r="134" spans="1:64" s="15" customFormat="1">
      <c r="A134" s="15">
        <v>10324</v>
      </c>
      <c r="B134" s="15" t="s">
        <v>1793</v>
      </c>
      <c r="C134" s="15" t="s">
        <v>37</v>
      </c>
      <c r="D134" s="15" t="s">
        <v>38</v>
      </c>
      <c r="E134" s="15">
        <v>1</v>
      </c>
      <c r="F134" s="15" t="s">
        <v>959</v>
      </c>
      <c r="G134" s="15">
        <v>0</v>
      </c>
      <c r="H134" s="15">
        <v>0</v>
      </c>
      <c r="I134" s="15">
        <v>99999</v>
      </c>
      <c r="J134" s="15">
        <v>0</v>
      </c>
      <c r="K134" s="15">
        <v>0</v>
      </c>
      <c r="L134" s="15" t="s">
        <v>1562</v>
      </c>
      <c r="M134" s="16">
        <v>1</v>
      </c>
      <c r="N134" s="7">
        <v>1</v>
      </c>
      <c r="P134" s="15">
        <v>0</v>
      </c>
      <c r="Q134" s="15">
        <v>0</v>
      </c>
      <c r="S134" s="15">
        <v>80000</v>
      </c>
      <c r="T134" s="15">
        <v>0</v>
      </c>
      <c r="V134" s="15">
        <v>1</v>
      </c>
      <c r="W134" s="15">
        <v>1</v>
      </c>
      <c r="X134" s="30"/>
      <c r="Y134" s="15" t="s">
        <v>618</v>
      </c>
      <c r="Z134" s="15" t="s">
        <v>3071</v>
      </c>
      <c r="AA134" s="15" t="s">
        <v>2292</v>
      </c>
      <c r="AB134" s="15">
        <v>0</v>
      </c>
      <c r="AC134" s="7">
        <v>4</v>
      </c>
      <c r="AD134" s="15">
        <v>0</v>
      </c>
      <c r="AE134" s="15">
        <v>0</v>
      </c>
      <c r="AF134" s="15">
        <v>1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P134" s="15">
        <v>1</v>
      </c>
      <c r="AQ134" s="15">
        <v>1</v>
      </c>
      <c r="AR134" s="15">
        <v>1</v>
      </c>
      <c r="AS134" s="15">
        <v>1</v>
      </c>
      <c r="AV134" s="15">
        <v>1</v>
      </c>
      <c r="AY134" s="15">
        <v>30000</v>
      </c>
      <c r="AZ134" s="15">
        <v>40000</v>
      </c>
      <c r="BA134" s="15">
        <v>50000</v>
      </c>
      <c r="BB134" s="15">
        <v>4</v>
      </c>
      <c r="BC134" s="7"/>
      <c r="BD134" s="7"/>
      <c r="BE134" s="7">
        <v>240</v>
      </c>
      <c r="BG134" s="15">
        <v>2</v>
      </c>
      <c r="BL134" s="7">
        <v>0</v>
      </c>
    </row>
    <row r="135" spans="1:64" s="15" customFormat="1">
      <c r="A135" s="15">
        <v>10325</v>
      </c>
      <c r="B135" s="15" t="s">
        <v>1794</v>
      </c>
      <c r="C135" s="15" t="s">
        <v>37</v>
      </c>
      <c r="D135" s="15" t="s">
        <v>38</v>
      </c>
      <c r="E135" s="15">
        <v>1</v>
      </c>
      <c r="F135" s="15" t="s">
        <v>959</v>
      </c>
      <c r="G135" s="15">
        <v>0</v>
      </c>
      <c r="H135" s="15">
        <v>0</v>
      </c>
      <c r="I135" s="15">
        <v>99999</v>
      </c>
      <c r="J135" s="15">
        <v>0</v>
      </c>
      <c r="K135" s="15">
        <v>0</v>
      </c>
      <c r="L135" s="15" t="s">
        <v>1562</v>
      </c>
      <c r="M135" s="16">
        <v>1</v>
      </c>
      <c r="N135" s="7">
        <v>1</v>
      </c>
      <c r="P135" s="15">
        <v>0</v>
      </c>
      <c r="Q135" s="15">
        <v>0</v>
      </c>
      <c r="S135" s="15">
        <v>80000</v>
      </c>
      <c r="T135" s="15">
        <v>0</v>
      </c>
      <c r="V135" s="15">
        <v>1</v>
      </c>
      <c r="W135" s="15">
        <v>1</v>
      </c>
      <c r="X135" s="30"/>
      <c r="Y135" s="15" t="s">
        <v>619</v>
      </c>
      <c r="Z135" s="15" t="s">
        <v>3072</v>
      </c>
      <c r="AA135" s="15" t="s">
        <v>2292</v>
      </c>
      <c r="AB135" s="15">
        <v>0</v>
      </c>
      <c r="AC135" s="7">
        <v>4</v>
      </c>
      <c r="AD135" s="15">
        <v>0</v>
      </c>
      <c r="AE135" s="15">
        <v>0</v>
      </c>
      <c r="AF135" s="15">
        <v>1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P135" s="15">
        <v>1</v>
      </c>
      <c r="AQ135" s="15">
        <v>1</v>
      </c>
      <c r="AR135" s="15">
        <v>1</v>
      </c>
      <c r="AS135" s="15">
        <v>1</v>
      </c>
      <c r="AV135" s="15">
        <v>1</v>
      </c>
      <c r="AY135" s="15">
        <v>30000</v>
      </c>
      <c r="AZ135" s="15">
        <v>40000</v>
      </c>
      <c r="BA135" s="15">
        <v>50000</v>
      </c>
      <c r="BB135" s="15">
        <v>4</v>
      </c>
      <c r="BC135" s="7"/>
      <c r="BD135" s="7"/>
      <c r="BE135" s="7">
        <v>240</v>
      </c>
      <c r="BG135" s="15">
        <v>2</v>
      </c>
      <c r="BL135" s="7">
        <v>0</v>
      </c>
    </row>
    <row r="136" spans="1:64" s="15" customFormat="1">
      <c r="A136" s="15">
        <v>10326</v>
      </c>
      <c r="B136" s="15" t="s">
        <v>1795</v>
      </c>
      <c r="C136" s="15" t="s">
        <v>37</v>
      </c>
      <c r="D136" s="15" t="s">
        <v>38</v>
      </c>
      <c r="E136" s="15">
        <v>1</v>
      </c>
      <c r="F136" s="15" t="s">
        <v>959</v>
      </c>
      <c r="G136" s="15">
        <v>0</v>
      </c>
      <c r="H136" s="15">
        <v>0</v>
      </c>
      <c r="I136" s="15">
        <v>99999</v>
      </c>
      <c r="J136" s="15">
        <v>0</v>
      </c>
      <c r="K136" s="15">
        <v>0</v>
      </c>
      <c r="L136" s="15" t="s">
        <v>1562</v>
      </c>
      <c r="M136" s="16">
        <v>1</v>
      </c>
      <c r="N136" s="7">
        <v>1</v>
      </c>
      <c r="P136" s="15">
        <v>0</v>
      </c>
      <c r="Q136" s="15">
        <v>0</v>
      </c>
      <c r="S136" s="15">
        <v>80000</v>
      </c>
      <c r="T136" s="15">
        <v>0</v>
      </c>
      <c r="V136" s="15">
        <v>1</v>
      </c>
      <c r="W136" s="15">
        <v>1</v>
      </c>
      <c r="X136" s="30"/>
      <c r="Y136" s="15" t="s">
        <v>620</v>
      </c>
      <c r="Z136" s="15" t="s">
        <v>3073</v>
      </c>
      <c r="AA136" s="15" t="s">
        <v>2292</v>
      </c>
      <c r="AB136" s="15">
        <v>0</v>
      </c>
      <c r="AC136" s="7">
        <v>4</v>
      </c>
      <c r="AD136" s="15">
        <v>0</v>
      </c>
      <c r="AE136" s="15">
        <v>0</v>
      </c>
      <c r="AF136" s="15">
        <v>1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P136" s="15">
        <v>1</v>
      </c>
      <c r="AQ136" s="15">
        <v>1</v>
      </c>
      <c r="AR136" s="15">
        <v>1</v>
      </c>
      <c r="AS136" s="15">
        <v>1</v>
      </c>
      <c r="AV136" s="15">
        <v>1</v>
      </c>
      <c r="AY136" s="15">
        <v>30000</v>
      </c>
      <c r="AZ136" s="15">
        <v>40000</v>
      </c>
      <c r="BA136" s="15">
        <v>50000</v>
      </c>
      <c r="BB136" s="15">
        <v>4</v>
      </c>
      <c r="BC136" s="7"/>
      <c r="BD136" s="7"/>
      <c r="BE136" s="7">
        <v>240</v>
      </c>
      <c r="BG136" s="15">
        <v>2</v>
      </c>
      <c r="BL136" s="7">
        <v>0</v>
      </c>
    </row>
    <row r="137" spans="1:64" s="15" customFormat="1">
      <c r="A137" s="15">
        <v>10327</v>
      </c>
      <c r="B137" s="15" t="s">
        <v>1796</v>
      </c>
      <c r="C137" s="15" t="s">
        <v>37</v>
      </c>
      <c r="D137" s="15" t="s">
        <v>38</v>
      </c>
      <c r="E137" s="15">
        <v>1</v>
      </c>
      <c r="F137" s="15" t="s">
        <v>959</v>
      </c>
      <c r="G137" s="15">
        <v>0</v>
      </c>
      <c r="H137" s="15">
        <v>0</v>
      </c>
      <c r="I137" s="15">
        <v>99999</v>
      </c>
      <c r="J137" s="15">
        <v>0</v>
      </c>
      <c r="K137" s="15">
        <v>0</v>
      </c>
      <c r="L137" s="15" t="s">
        <v>1562</v>
      </c>
      <c r="M137" s="16">
        <v>1</v>
      </c>
      <c r="N137" s="7">
        <v>1</v>
      </c>
      <c r="P137" s="15">
        <v>0</v>
      </c>
      <c r="Q137" s="15">
        <v>0</v>
      </c>
      <c r="S137" s="15">
        <v>80000</v>
      </c>
      <c r="T137" s="15">
        <v>0</v>
      </c>
      <c r="V137" s="15">
        <v>1</v>
      </c>
      <c r="W137" s="15">
        <v>1</v>
      </c>
      <c r="X137" s="30"/>
      <c r="Y137" s="15" t="s">
        <v>621</v>
      </c>
      <c r="Z137" s="15" t="s">
        <v>3074</v>
      </c>
      <c r="AA137" s="15" t="s">
        <v>2292</v>
      </c>
      <c r="AB137" s="15">
        <v>0</v>
      </c>
      <c r="AC137" s="7">
        <v>4</v>
      </c>
      <c r="AD137" s="15">
        <v>0</v>
      </c>
      <c r="AE137" s="15">
        <v>0</v>
      </c>
      <c r="AF137" s="15">
        <v>1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P137" s="15">
        <v>1</v>
      </c>
      <c r="AQ137" s="15">
        <v>1</v>
      </c>
      <c r="AR137" s="15">
        <v>1</v>
      </c>
      <c r="AS137" s="15">
        <v>1</v>
      </c>
      <c r="AV137" s="15">
        <v>1</v>
      </c>
      <c r="AY137" s="15">
        <v>30000</v>
      </c>
      <c r="AZ137" s="15">
        <v>40000</v>
      </c>
      <c r="BA137" s="15">
        <v>50000</v>
      </c>
      <c r="BB137" s="15">
        <v>4</v>
      </c>
      <c r="BC137" s="7"/>
      <c r="BD137" s="7"/>
      <c r="BE137" s="7">
        <v>240</v>
      </c>
      <c r="BG137" s="15">
        <v>2</v>
      </c>
      <c r="BL137" s="7">
        <v>0</v>
      </c>
    </row>
    <row r="138" spans="1:64" s="15" customFormat="1">
      <c r="A138" s="15">
        <v>10328</v>
      </c>
      <c r="B138" s="15" t="s">
        <v>1797</v>
      </c>
      <c r="C138" s="15" t="s">
        <v>37</v>
      </c>
      <c r="D138" s="15" t="s">
        <v>38</v>
      </c>
      <c r="E138" s="15">
        <v>1</v>
      </c>
      <c r="F138" s="15" t="s">
        <v>959</v>
      </c>
      <c r="G138" s="15">
        <v>0</v>
      </c>
      <c r="H138" s="15">
        <v>0</v>
      </c>
      <c r="I138" s="15">
        <v>99999</v>
      </c>
      <c r="J138" s="15">
        <v>0</v>
      </c>
      <c r="K138" s="15">
        <v>0</v>
      </c>
      <c r="L138" s="15" t="s">
        <v>1562</v>
      </c>
      <c r="M138" s="16">
        <v>1</v>
      </c>
      <c r="N138" s="7">
        <v>1</v>
      </c>
      <c r="P138" s="15">
        <v>0</v>
      </c>
      <c r="Q138" s="15">
        <v>0</v>
      </c>
      <c r="S138" s="15">
        <v>80000</v>
      </c>
      <c r="T138" s="15">
        <v>0</v>
      </c>
      <c r="V138" s="15">
        <v>1</v>
      </c>
      <c r="W138" s="15">
        <v>1</v>
      </c>
      <c r="X138" s="30"/>
      <c r="Y138" s="15" t="s">
        <v>622</v>
      </c>
      <c r="Z138" s="15" t="s">
        <v>3075</v>
      </c>
      <c r="AA138" s="15" t="s">
        <v>2292</v>
      </c>
      <c r="AB138" s="15">
        <v>0</v>
      </c>
      <c r="AC138" s="7">
        <v>4</v>
      </c>
      <c r="AD138" s="15">
        <v>0</v>
      </c>
      <c r="AE138" s="15">
        <v>0</v>
      </c>
      <c r="AF138" s="15">
        <v>1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P138" s="15">
        <v>1</v>
      </c>
      <c r="AQ138" s="15">
        <v>1</v>
      </c>
      <c r="AR138" s="15">
        <v>1</v>
      </c>
      <c r="AS138" s="15">
        <v>1</v>
      </c>
      <c r="AV138" s="15">
        <v>1</v>
      </c>
      <c r="AY138" s="15">
        <v>30000</v>
      </c>
      <c r="AZ138" s="15">
        <v>40000</v>
      </c>
      <c r="BA138" s="15">
        <v>50000</v>
      </c>
      <c r="BB138" s="15">
        <v>4</v>
      </c>
      <c r="BC138" s="7"/>
      <c r="BD138" s="7"/>
      <c r="BE138" s="7">
        <v>240</v>
      </c>
      <c r="BG138" s="15">
        <v>2</v>
      </c>
      <c r="BL138" s="7">
        <v>0</v>
      </c>
    </row>
    <row r="139" spans="1:64" s="15" customFormat="1">
      <c r="A139" s="15">
        <v>10329</v>
      </c>
      <c r="B139" s="15" t="s">
        <v>1798</v>
      </c>
      <c r="C139" s="15" t="s">
        <v>37</v>
      </c>
      <c r="D139" s="15" t="s">
        <v>38</v>
      </c>
      <c r="E139" s="15">
        <v>1</v>
      </c>
      <c r="F139" s="15" t="s">
        <v>959</v>
      </c>
      <c r="G139" s="15">
        <v>0</v>
      </c>
      <c r="H139" s="15">
        <v>0</v>
      </c>
      <c r="I139" s="15">
        <v>99999</v>
      </c>
      <c r="J139" s="15">
        <v>0</v>
      </c>
      <c r="K139" s="15">
        <v>0</v>
      </c>
      <c r="L139" s="15" t="s">
        <v>1562</v>
      </c>
      <c r="M139" s="16">
        <v>1</v>
      </c>
      <c r="N139" s="7">
        <v>1</v>
      </c>
      <c r="P139" s="15">
        <v>0</v>
      </c>
      <c r="Q139" s="15">
        <v>0</v>
      </c>
      <c r="S139" s="15">
        <v>80000</v>
      </c>
      <c r="T139" s="15">
        <v>0</v>
      </c>
      <c r="V139" s="15">
        <v>1</v>
      </c>
      <c r="W139" s="15">
        <v>1</v>
      </c>
      <c r="X139" s="30"/>
      <c r="Y139" s="15" t="s">
        <v>623</v>
      </c>
      <c r="Z139" s="15" t="s">
        <v>3076</v>
      </c>
      <c r="AA139" s="15" t="s">
        <v>2292</v>
      </c>
      <c r="AB139" s="15">
        <v>0</v>
      </c>
      <c r="AC139" s="7">
        <v>4</v>
      </c>
      <c r="AD139" s="15">
        <v>0</v>
      </c>
      <c r="AE139" s="15">
        <v>0</v>
      </c>
      <c r="AF139" s="15">
        <v>1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P139" s="15">
        <v>1</v>
      </c>
      <c r="AQ139" s="15">
        <v>1</v>
      </c>
      <c r="AR139" s="15">
        <v>1</v>
      </c>
      <c r="AS139" s="15">
        <v>1</v>
      </c>
      <c r="AV139" s="15">
        <v>1</v>
      </c>
      <c r="AY139" s="15">
        <v>30000</v>
      </c>
      <c r="AZ139" s="15">
        <v>40000</v>
      </c>
      <c r="BA139" s="15">
        <v>50000</v>
      </c>
      <c r="BB139" s="15">
        <v>4</v>
      </c>
      <c r="BC139" s="7"/>
      <c r="BD139" s="7"/>
      <c r="BE139" s="7">
        <v>240</v>
      </c>
      <c r="BG139" s="15">
        <v>2</v>
      </c>
      <c r="BL139" s="7">
        <v>0</v>
      </c>
    </row>
    <row r="140" spans="1:64">
      <c r="A140">
        <v>10410</v>
      </c>
      <c r="B140" t="s">
        <v>1809</v>
      </c>
      <c r="C140" t="s">
        <v>37</v>
      </c>
      <c r="D140" t="s">
        <v>38</v>
      </c>
      <c r="E140">
        <v>1</v>
      </c>
      <c r="F140" t="s">
        <v>959</v>
      </c>
      <c r="G140">
        <v>0</v>
      </c>
      <c r="H140">
        <v>0</v>
      </c>
      <c r="I140">
        <v>99999</v>
      </c>
      <c r="J140">
        <v>0</v>
      </c>
      <c r="K140">
        <v>0</v>
      </c>
      <c r="L140" t="s">
        <v>1562</v>
      </c>
      <c r="M140" s="7">
        <v>1</v>
      </c>
      <c r="N140" s="7">
        <v>1</v>
      </c>
      <c r="P140">
        <v>0</v>
      </c>
      <c r="Q140">
        <v>0</v>
      </c>
      <c r="S140" s="7">
        <v>5000</v>
      </c>
      <c r="T140">
        <v>0</v>
      </c>
      <c r="V140">
        <v>1</v>
      </c>
      <c r="W140">
        <v>1</v>
      </c>
      <c r="Y140" t="s">
        <v>624</v>
      </c>
      <c r="Z140" t="s">
        <v>2491</v>
      </c>
      <c r="AA140" s="7" t="s">
        <v>2293</v>
      </c>
      <c r="AB140">
        <v>0</v>
      </c>
      <c r="AC140" s="7">
        <v>4</v>
      </c>
      <c r="AD140">
        <v>0</v>
      </c>
      <c r="AE140">
        <v>0</v>
      </c>
      <c r="AF140">
        <v>1</v>
      </c>
      <c r="AI140" s="7">
        <v>24</v>
      </c>
      <c r="AJ140" s="7">
        <v>8</v>
      </c>
      <c r="AK140" s="7">
        <v>0</v>
      </c>
      <c r="AL140" s="7">
        <v>0</v>
      </c>
      <c r="AM140" s="7">
        <v>0</v>
      </c>
      <c r="AN140" s="7">
        <v>0</v>
      </c>
      <c r="AP140">
        <v>1</v>
      </c>
      <c r="AQ140" s="7">
        <v>1</v>
      </c>
      <c r="AR140" s="7">
        <v>1</v>
      </c>
      <c r="AS140" s="7">
        <v>1</v>
      </c>
      <c r="AV140" s="7">
        <v>1</v>
      </c>
      <c r="AY140">
        <v>30000</v>
      </c>
      <c r="AZ140" s="7">
        <v>40000</v>
      </c>
      <c r="BA140" s="7">
        <v>50000</v>
      </c>
      <c r="BB140">
        <v>4</v>
      </c>
      <c r="BC140" s="7"/>
      <c r="BD140" s="7"/>
      <c r="BE140" s="7">
        <v>240</v>
      </c>
      <c r="BG140" s="7">
        <v>2</v>
      </c>
      <c r="BL140" s="7">
        <v>0</v>
      </c>
    </row>
    <row r="141" spans="1:64">
      <c r="A141">
        <v>10411</v>
      </c>
      <c r="B141" t="s">
        <v>1810</v>
      </c>
      <c r="C141" t="s">
        <v>37</v>
      </c>
      <c r="D141" t="s">
        <v>38</v>
      </c>
      <c r="E141">
        <v>1</v>
      </c>
      <c r="F141" t="s">
        <v>959</v>
      </c>
      <c r="G141">
        <v>0</v>
      </c>
      <c r="H141">
        <v>0</v>
      </c>
      <c r="I141">
        <v>99999</v>
      </c>
      <c r="J141">
        <v>0</v>
      </c>
      <c r="K141">
        <v>0</v>
      </c>
      <c r="L141" t="s">
        <v>1562</v>
      </c>
      <c r="M141" s="7">
        <v>1</v>
      </c>
      <c r="N141" s="7">
        <v>1</v>
      </c>
      <c r="P141">
        <v>0</v>
      </c>
      <c r="Q141">
        <v>0</v>
      </c>
      <c r="S141" s="7">
        <v>10000</v>
      </c>
      <c r="T141">
        <v>0</v>
      </c>
      <c r="V141">
        <v>1</v>
      </c>
      <c r="W141">
        <v>1</v>
      </c>
      <c r="Y141" t="s">
        <v>625</v>
      </c>
      <c r="Z141" t="s">
        <v>2492</v>
      </c>
      <c r="AA141" s="7" t="s">
        <v>2293</v>
      </c>
      <c r="AB141">
        <v>0</v>
      </c>
      <c r="AC141" s="7">
        <v>4</v>
      </c>
      <c r="AD141">
        <v>0</v>
      </c>
      <c r="AE141">
        <v>0</v>
      </c>
      <c r="AF141">
        <v>1</v>
      </c>
      <c r="AI141" s="7">
        <v>1200</v>
      </c>
      <c r="AJ141" s="7">
        <v>1</v>
      </c>
      <c r="AK141" s="7">
        <v>0</v>
      </c>
      <c r="AL141" s="7">
        <v>0</v>
      </c>
      <c r="AM141" s="7">
        <v>0</v>
      </c>
      <c r="AN141" s="7">
        <v>0</v>
      </c>
      <c r="AP141">
        <v>1</v>
      </c>
      <c r="AQ141" s="7">
        <v>1</v>
      </c>
      <c r="AR141" s="7">
        <v>1</v>
      </c>
      <c r="AS141" s="7">
        <v>1</v>
      </c>
      <c r="AV141" s="7">
        <v>1</v>
      </c>
      <c r="AY141">
        <v>30000</v>
      </c>
      <c r="AZ141" s="7">
        <v>40000</v>
      </c>
      <c r="BA141" s="7">
        <v>50000</v>
      </c>
      <c r="BB141">
        <v>4</v>
      </c>
      <c r="BC141" s="7"/>
      <c r="BD141" s="7"/>
      <c r="BE141" s="7">
        <v>240</v>
      </c>
      <c r="BG141" s="7">
        <v>2</v>
      </c>
      <c r="BL141" s="7">
        <v>0</v>
      </c>
    </row>
    <row r="142" spans="1:64" s="15" customFormat="1">
      <c r="A142" s="15">
        <v>10412</v>
      </c>
      <c r="B142" s="15" t="s">
        <v>1811</v>
      </c>
      <c r="C142" s="15" t="s">
        <v>37</v>
      </c>
      <c r="D142" s="15" t="s">
        <v>38</v>
      </c>
      <c r="E142" s="15">
        <v>1</v>
      </c>
      <c r="F142" s="15" t="s">
        <v>959</v>
      </c>
      <c r="G142" s="15">
        <v>0</v>
      </c>
      <c r="H142" s="15">
        <v>0</v>
      </c>
      <c r="I142" s="15">
        <v>99999</v>
      </c>
      <c r="J142" s="15">
        <v>0</v>
      </c>
      <c r="K142" s="15">
        <v>0</v>
      </c>
      <c r="L142" s="15" t="s">
        <v>1562</v>
      </c>
      <c r="M142" s="16">
        <v>1</v>
      </c>
      <c r="N142" s="16">
        <v>1</v>
      </c>
      <c r="P142" s="15">
        <v>0</v>
      </c>
      <c r="Q142" s="15">
        <v>0</v>
      </c>
      <c r="S142" s="15">
        <v>20000</v>
      </c>
      <c r="T142" s="15">
        <v>0</v>
      </c>
      <c r="V142" s="15">
        <v>1</v>
      </c>
      <c r="W142" s="15">
        <v>1</v>
      </c>
      <c r="X142" s="30"/>
      <c r="Y142" s="15" t="s">
        <v>626</v>
      </c>
      <c r="Z142" s="15" t="s">
        <v>2493</v>
      </c>
      <c r="AA142" s="15" t="s">
        <v>2294</v>
      </c>
      <c r="AB142" s="15">
        <v>0</v>
      </c>
      <c r="AC142" s="16">
        <v>4</v>
      </c>
      <c r="AD142" s="15">
        <v>0</v>
      </c>
      <c r="AE142" s="15">
        <v>0</v>
      </c>
      <c r="AF142" s="15">
        <v>1</v>
      </c>
      <c r="AI142" s="16">
        <v>24</v>
      </c>
      <c r="AJ142" s="16">
        <v>30</v>
      </c>
      <c r="AK142" s="16">
        <v>0</v>
      </c>
      <c r="AL142" s="16">
        <v>0</v>
      </c>
      <c r="AM142" s="16">
        <v>0</v>
      </c>
      <c r="AN142" s="16">
        <v>0</v>
      </c>
      <c r="AO142" s="16"/>
      <c r="AP142" s="15">
        <v>1</v>
      </c>
      <c r="AQ142" s="16">
        <v>1</v>
      </c>
      <c r="AR142" s="16">
        <v>1</v>
      </c>
      <c r="AS142" s="16">
        <v>1</v>
      </c>
      <c r="AV142" s="16">
        <v>1</v>
      </c>
      <c r="AY142" s="15">
        <v>30000</v>
      </c>
      <c r="AZ142" s="15">
        <v>40000</v>
      </c>
      <c r="BA142" s="15">
        <v>50000</v>
      </c>
      <c r="BB142" s="15">
        <v>4</v>
      </c>
      <c r="BC142" s="7"/>
      <c r="BD142" s="7"/>
      <c r="BE142" s="16">
        <v>240</v>
      </c>
      <c r="BG142" s="15">
        <v>2</v>
      </c>
      <c r="BL142" s="7">
        <v>0</v>
      </c>
    </row>
    <row r="143" spans="1:64" s="15" customFormat="1">
      <c r="A143" s="15">
        <v>10413</v>
      </c>
      <c r="B143" s="15" t="s">
        <v>1812</v>
      </c>
      <c r="C143" s="15" t="s">
        <v>37</v>
      </c>
      <c r="D143" s="15" t="s">
        <v>38</v>
      </c>
      <c r="E143" s="15">
        <v>1</v>
      </c>
      <c r="F143" s="15" t="s">
        <v>959</v>
      </c>
      <c r="G143" s="15">
        <v>0</v>
      </c>
      <c r="H143" s="15">
        <v>0</v>
      </c>
      <c r="I143" s="15">
        <v>99999</v>
      </c>
      <c r="J143" s="15">
        <v>0</v>
      </c>
      <c r="K143" s="15">
        <v>0</v>
      </c>
      <c r="L143" s="15" t="s">
        <v>1562</v>
      </c>
      <c r="M143" s="16">
        <v>1</v>
      </c>
      <c r="N143" s="7">
        <v>1</v>
      </c>
      <c r="P143" s="15">
        <v>0</v>
      </c>
      <c r="Q143" s="15">
        <v>0</v>
      </c>
      <c r="S143" s="15">
        <v>40000</v>
      </c>
      <c r="T143" s="15">
        <v>0</v>
      </c>
      <c r="V143" s="15">
        <v>1</v>
      </c>
      <c r="W143" s="15">
        <v>1</v>
      </c>
      <c r="X143" s="30"/>
      <c r="Y143" s="15" t="s">
        <v>627</v>
      </c>
      <c r="Z143" s="15" t="s">
        <v>2494</v>
      </c>
      <c r="AA143" s="15" t="s">
        <v>2294</v>
      </c>
      <c r="AB143" s="15">
        <v>0</v>
      </c>
      <c r="AC143" s="7">
        <v>4</v>
      </c>
      <c r="AD143" s="15">
        <v>0</v>
      </c>
      <c r="AE143" s="15">
        <v>0</v>
      </c>
      <c r="AF143" s="15">
        <v>1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P143" s="15">
        <v>1</v>
      </c>
      <c r="AQ143" s="15">
        <v>1</v>
      </c>
      <c r="AR143" s="15">
        <v>1</v>
      </c>
      <c r="AS143" s="15">
        <v>1</v>
      </c>
      <c r="AV143" s="15">
        <v>1</v>
      </c>
      <c r="AY143" s="15">
        <v>30000</v>
      </c>
      <c r="AZ143" s="15">
        <v>40000</v>
      </c>
      <c r="BA143" s="15">
        <v>50000</v>
      </c>
      <c r="BB143" s="15">
        <v>4</v>
      </c>
      <c r="BC143" s="7"/>
      <c r="BD143" s="7"/>
      <c r="BE143" s="7">
        <v>240</v>
      </c>
      <c r="BG143" s="15">
        <v>2</v>
      </c>
      <c r="BL143" s="7">
        <v>0</v>
      </c>
    </row>
    <row r="144" spans="1:64" s="15" customFormat="1">
      <c r="A144" s="15">
        <v>10414</v>
      </c>
      <c r="B144" s="15" t="s">
        <v>1813</v>
      </c>
      <c r="C144" s="15" t="s">
        <v>37</v>
      </c>
      <c r="D144" s="15" t="s">
        <v>38</v>
      </c>
      <c r="E144" s="15">
        <v>1</v>
      </c>
      <c r="F144" s="15" t="s">
        <v>959</v>
      </c>
      <c r="G144" s="15">
        <v>0</v>
      </c>
      <c r="H144" s="15">
        <v>0</v>
      </c>
      <c r="I144" s="15">
        <v>99999</v>
      </c>
      <c r="J144" s="15">
        <v>0</v>
      </c>
      <c r="K144" s="15">
        <v>0</v>
      </c>
      <c r="L144" s="15" t="s">
        <v>1562</v>
      </c>
      <c r="M144" s="16">
        <v>1</v>
      </c>
      <c r="N144" s="7">
        <v>1</v>
      </c>
      <c r="P144" s="15">
        <v>0</v>
      </c>
      <c r="Q144" s="15">
        <v>0</v>
      </c>
      <c r="S144" s="15">
        <v>80000</v>
      </c>
      <c r="T144" s="15">
        <v>0</v>
      </c>
      <c r="V144" s="15">
        <v>1</v>
      </c>
      <c r="W144" s="15">
        <v>1</v>
      </c>
      <c r="X144" s="30"/>
      <c r="Y144" s="15" t="s">
        <v>628</v>
      </c>
      <c r="Z144" s="15" t="s">
        <v>2495</v>
      </c>
      <c r="AA144" s="15" t="s">
        <v>2294</v>
      </c>
      <c r="AB144" s="15">
        <v>0</v>
      </c>
      <c r="AC144" s="7">
        <v>4</v>
      </c>
      <c r="AD144" s="15">
        <v>0</v>
      </c>
      <c r="AE144" s="15">
        <v>0</v>
      </c>
      <c r="AF144" s="15">
        <v>1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P144" s="15">
        <v>1</v>
      </c>
      <c r="AQ144" s="15">
        <v>1</v>
      </c>
      <c r="AR144" s="15">
        <v>1</v>
      </c>
      <c r="AS144" s="15">
        <v>1</v>
      </c>
      <c r="AV144" s="15">
        <v>1</v>
      </c>
      <c r="AY144" s="15">
        <v>30000</v>
      </c>
      <c r="AZ144" s="15">
        <v>40000</v>
      </c>
      <c r="BA144" s="15">
        <v>50000</v>
      </c>
      <c r="BB144" s="15">
        <v>4</v>
      </c>
      <c r="BC144" s="7"/>
      <c r="BD144" s="7"/>
      <c r="BE144" s="7">
        <v>240</v>
      </c>
      <c r="BG144" s="15">
        <v>2</v>
      </c>
      <c r="BL144" s="7">
        <v>0</v>
      </c>
    </row>
    <row r="145" spans="1:64" s="15" customFormat="1">
      <c r="A145" s="15">
        <v>10415</v>
      </c>
      <c r="B145" s="15" t="s">
        <v>1814</v>
      </c>
      <c r="C145" s="15" t="s">
        <v>37</v>
      </c>
      <c r="D145" s="15" t="s">
        <v>38</v>
      </c>
      <c r="E145" s="15">
        <v>1</v>
      </c>
      <c r="F145" s="15" t="s">
        <v>959</v>
      </c>
      <c r="G145" s="15">
        <v>0</v>
      </c>
      <c r="H145" s="15">
        <v>0</v>
      </c>
      <c r="I145" s="15">
        <v>99999</v>
      </c>
      <c r="J145" s="15">
        <v>0</v>
      </c>
      <c r="K145" s="15">
        <v>0</v>
      </c>
      <c r="L145" s="15" t="s">
        <v>1562</v>
      </c>
      <c r="M145" s="16">
        <v>1</v>
      </c>
      <c r="N145" s="7">
        <v>1</v>
      </c>
      <c r="P145" s="15">
        <v>0</v>
      </c>
      <c r="Q145" s="15">
        <v>0</v>
      </c>
      <c r="S145" s="15">
        <v>80000</v>
      </c>
      <c r="T145" s="15">
        <v>0</v>
      </c>
      <c r="V145" s="15">
        <v>1</v>
      </c>
      <c r="W145" s="15">
        <v>1</v>
      </c>
      <c r="X145" s="30"/>
      <c r="Y145" s="15" t="s">
        <v>629</v>
      </c>
      <c r="Z145" s="15" t="s">
        <v>2496</v>
      </c>
      <c r="AA145" s="15" t="s">
        <v>2294</v>
      </c>
      <c r="AB145" s="15">
        <v>0</v>
      </c>
      <c r="AC145" s="7">
        <v>4</v>
      </c>
      <c r="AD145" s="15">
        <v>0</v>
      </c>
      <c r="AE145" s="15">
        <v>0</v>
      </c>
      <c r="AF145" s="15">
        <v>1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P145" s="15">
        <v>1</v>
      </c>
      <c r="AQ145" s="15">
        <v>1</v>
      </c>
      <c r="AR145" s="15">
        <v>1</v>
      </c>
      <c r="AS145" s="15">
        <v>1</v>
      </c>
      <c r="AV145" s="15">
        <v>1</v>
      </c>
      <c r="AY145" s="15">
        <v>30000</v>
      </c>
      <c r="AZ145" s="15">
        <v>40000</v>
      </c>
      <c r="BA145" s="15">
        <v>50000</v>
      </c>
      <c r="BB145" s="15">
        <v>4</v>
      </c>
      <c r="BC145" s="7"/>
      <c r="BD145" s="7"/>
      <c r="BE145" s="7">
        <v>240</v>
      </c>
      <c r="BG145" s="15">
        <v>2</v>
      </c>
      <c r="BL145" s="7">
        <v>0</v>
      </c>
    </row>
    <row r="146" spans="1:64" s="15" customFormat="1">
      <c r="A146" s="15">
        <v>10416</v>
      </c>
      <c r="B146" s="15" t="s">
        <v>1815</v>
      </c>
      <c r="C146" s="15" t="s">
        <v>37</v>
      </c>
      <c r="D146" s="15" t="s">
        <v>38</v>
      </c>
      <c r="E146" s="15">
        <v>1</v>
      </c>
      <c r="F146" s="15" t="s">
        <v>959</v>
      </c>
      <c r="G146" s="15">
        <v>0</v>
      </c>
      <c r="H146" s="15">
        <v>0</v>
      </c>
      <c r="I146" s="15">
        <v>99999</v>
      </c>
      <c r="J146" s="15">
        <v>0</v>
      </c>
      <c r="K146" s="15">
        <v>0</v>
      </c>
      <c r="L146" s="15" t="s">
        <v>1562</v>
      </c>
      <c r="M146" s="16">
        <v>1</v>
      </c>
      <c r="N146" s="7">
        <v>1</v>
      </c>
      <c r="P146" s="15">
        <v>0</v>
      </c>
      <c r="Q146" s="15">
        <v>0</v>
      </c>
      <c r="S146" s="15">
        <v>80000</v>
      </c>
      <c r="T146" s="15">
        <v>0</v>
      </c>
      <c r="V146" s="15">
        <v>1</v>
      </c>
      <c r="W146" s="15">
        <v>1</v>
      </c>
      <c r="X146" s="30"/>
      <c r="Y146" s="15" t="s">
        <v>630</v>
      </c>
      <c r="Z146" s="15" t="s">
        <v>2497</v>
      </c>
      <c r="AA146" s="15" t="s">
        <v>2294</v>
      </c>
      <c r="AB146" s="15">
        <v>0</v>
      </c>
      <c r="AC146" s="7">
        <v>4</v>
      </c>
      <c r="AD146" s="15">
        <v>0</v>
      </c>
      <c r="AE146" s="15">
        <v>0</v>
      </c>
      <c r="AF146" s="15">
        <v>1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P146" s="15">
        <v>1</v>
      </c>
      <c r="AQ146" s="15">
        <v>1</v>
      </c>
      <c r="AR146" s="15">
        <v>1</v>
      </c>
      <c r="AS146" s="15">
        <v>1</v>
      </c>
      <c r="AV146" s="15">
        <v>1</v>
      </c>
      <c r="AY146" s="15">
        <v>30000</v>
      </c>
      <c r="AZ146" s="15">
        <v>40000</v>
      </c>
      <c r="BA146" s="15">
        <v>50000</v>
      </c>
      <c r="BB146" s="15">
        <v>4</v>
      </c>
      <c r="BC146" s="7"/>
      <c r="BD146" s="7"/>
      <c r="BE146" s="7">
        <v>240</v>
      </c>
      <c r="BG146" s="15">
        <v>2</v>
      </c>
      <c r="BL146" s="7">
        <v>0</v>
      </c>
    </row>
    <row r="147" spans="1:64" s="15" customFormat="1">
      <c r="A147" s="15">
        <v>10417</v>
      </c>
      <c r="B147" s="15" t="s">
        <v>1816</v>
      </c>
      <c r="C147" s="15" t="s">
        <v>37</v>
      </c>
      <c r="D147" s="15" t="s">
        <v>38</v>
      </c>
      <c r="E147" s="15">
        <v>1</v>
      </c>
      <c r="F147" s="15" t="s">
        <v>959</v>
      </c>
      <c r="G147" s="15">
        <v>0</v>
      </c>
      <c r="H147" s="15">
        <v>0</v>
      </c>
      <c r="I147" s="15">
        <v>99999</v>
      </c>
      <c r="J147" s="15">
        <v>0</v>
      </c>
      <c r="K147" s="15">
        <v>0</v>
      </c>
      <c r="L147" s="15" t="s">
        <v>1562</v>
      </c>
      <c r="M147" s="16">
        <v>1</v>
      </c>
      <c r="N147" s="7">
        <v>1</v>
      </c>
      <c r="P147" s="15">
        <v>0</v>
      </c>
      <c r="Q147" s="15">
        <v>0</v>
      </c>
      <c r="S147" s="15">
        <v>80000</v>
      </c>
      <c r="T147" s="15">
        <v>0</v>
      </c>
      <c r="V147" s="15">
        <v>1</v>
      </c>
      <c r="W147" s="15">
        <v>1</v>
      </c>
      <c r="X147" s="30"/>
      <c r="Y147" s="15" t="s">
        <v>631</v>
      </c>
      <c r="Z147" s="15" t="s">
        <v>2498</v>
      </c>
      <c r="AA147" s="15" t="s">
        <v>2294</v>
      </c>
      <c r="AB147" s="15">
        <v>0</v>
      </c>
      <c r="AC147" s="7">
        <v>4</v>
      </c>
      <c r="AD147" s="15">
        <v>0</v>
      </c>
      <c r="AE147" s="15">
        <v>0</v>
      </c>
      <c r="AF147" s="15">
        <v>1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P147" s="15">
        <v>1</v>
      </c>
      <c r="AQ147" s="15">
        <v>1</v>
      </c>
      <c r="AR147" s="15">
        <v>1</v>
      </c>
      <c r="AS147" s="15">
        <v>1</v>
      </c>
      <c r="AV147" s="15">
        <v>1</v>
      </c>
      <c r="AY147" s="15">
        <v>30000</v>
      </c>
      <c r="AZ147" s="15">
        <v>40000</v>
      </c>
      <c r="BA147" s="15">
        <v>50000</v>
      </c>
      <c r="BB147" s="15">
        <v>4</v>
      </c>
      <c r="BC147" s="7"/>
      <c r="BD147" s="7"/>
      <c r="BE147" s="7">
        <v>240</v>
      </c>
      <c r="BG147" s="15">
        <v>2</v>
      </c>
      <c r="BL147" s="7">
        <v>0</v>
      </c>
    </row>
    <row r="148" spans="1:64" s="15" customFormat="1">
      <c r="A148" s="15">
        <v>10418</v>
      </c>
      <c r="B148" s="15" t="s">
        <v>1817</v>
      </c>
      <c r="C148" s="15" t="s">
        <v>37</v>
      </c>
      <c r="D148" s="15" t="s">
        <v>38</v>
      </c>
      <c r="E148" s="15">
        <v>1</v>
      </c>
      <c r="F148" s="15" t="s">
        <v>959</v>
      </c>
      <c r="G148" s="15">
        <v>0</v>
      </c>
      <c r="H148" s="15">
        <v>0</v>
      </c>
      <c r="I148" s="15">
        <v>99999</v>
      </c>
      <c r="J148" s="15">
        <v>0</v>
      </c>
      <c r="K148" s="15">
        <v>0</v>
      </c>
      <c r="L148" s="15" t="s">
        <v>1562</v>
      </c>
      <c r="M148" s="16">
        <v>1</v>
      </c>
      <c r="N148" s="7">
        <v>1</v>
      </c>
      <c r="P148" s="15">
        <v>0</v>
      </c>
      <c r="Q148" s="15">
        <v>0</v>
      </c>
      <c r="S148" s="15">
        <v>80000</v>
      </c>
      <c r="T148" s="15">
        <v>0</v>
      </c>
      <c r="V148" s="15">
        <v>1</v>
      </c>
      <c r="W148" s="15">
        <v>1</v>
      </c>
      <c r="X148" s="30"/>
      <c r="Y148" s="15" t="s">
        <v>632</v>
      </c>
      <c r="Z148" s="15" t="s">
        <v>2499</v>
      </c>
      <c r="AA148" s="15" t="s">
        <v>2294</v>
      </c>
      <c r="AB148" s="15">
        <v>0</v>
      </c>
      <c r="AC148" s="7">
        <v>4</v>
      </c>
      <c r="AD148" s="15">
        <v>0</v>
      </c>
      <c r="AE148" s="15">
        <v>0</v>
      </c>
      <c r="AF148" s="15">
        <v>1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P148" s="15">
        <v>1</v>
      </c>
      <c r="AQ148" s="15">
        <v>1</v>
      </c>
      <c r="AR148" s="15">
        <v>1</v>
      </c>
      <c r="AS148" s="15">
        <v>1</v>
      </c>
      <c r="AV148" s="15">
        <v>1</v>
      </c>
      <c r="AY148" s="15">
        <v>30000</v>
      </c>
      <c r="AZ148" s="15">
        <v>40000</v>
      </c>
      <c r="BA148" s="15">
        <v>50000</v>
      </c>
      <c r="BB148" s="15">
        <v>4</v>
      </c>
      <c r="BC148" s="7"/>
      <c r="BD148" s="7"/>
      <c r="BE148" s="7">
        <v>240</v>
      </c>
      <c r="BG148" s="15">
        <v>2</v>
      </c>
      <c r="BL148" s="7">
        <v>0</v>
      </c>
    </row>
    <row r="149" spans="1:64" s="15" customFormat="1">
      <c r="A149" s="15">
        <v>10419</v>
      </c>
      <c r="B149" s="15" t="s">
        <v>1818</v>
      </c>
      <c r="C149" s="15" t="s">
        <v>37</v>
      </c>
      <c r="D149" s="15" t="s">
        <v>38</v>
      </c>
      <c r="E149" s="15">
        <v>1</v>
      </c>
      <c r="F149" s="15" t="s">
        <v>959</v>
      </c>
      <c r="G149" s="15">
        <v>0</v>
      </c>
      <c r="H149" s="15">
        <v>0</v>
      </c>
      <c r="I149" s="15">
        <v>99999</v>
      </c>
      <c r="J149" s="15">
        <v>0</v>
      </c>
      <c r="K149" s="15">
        <v>0</v>
      </c>
      <c r="L149" s="15" t="s">
        <v>1562</v>
      </c>
      <c r="M149" s="16">
        <v>1</v>
      </c>
      <c r="N149" s="7">
        <v>1</v>
      </c>
      <c r="P149" s="15">
        <v>0</v>
      </c>
      <c r="Q149" s="15">
        <v>0</v>
      </c>
      <c r="S149" s="15">
        <v>80000</v>
      </c>
      <c r="T149" s="15">
        <v>0</v>
      </c>
      <c r="V149" s="15">
        <v>1</v>
      </c>
      <c r="W149" s="15">
        <v>1</v>
      </c>
      <c r="X149" s="30"/>
      <c r="Y149" s="15" t="s">
        <v>633</v>
      </c>
      <c r="Z149" s="15" t="s">
        <v>2500</v>
      </c>
      <c r="AA149" s="15" t="s">
        <v>2294</v>
      </c>
      <c r="AB149" s="15">
        <v>0</v>
      </c>
      <c r="AC149" s="7">
        <v>4</v>
      </c>
      <c r="AD149" s="15">
        <v>0</v>
      </c>
      <c r="AE149" s="15">
        <v>0</v>
      </c>
      <c r="AF149" s="15">
        <v>1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P149" s="15">
        <v>1</v>
      </c>
      <c r="AQ149" s="15">
        <v>1</v>
      </c>
      <c r="AR149" s="15">
        <v>1</v>
      </c>
      <c r="AS149" s="15">
        <v>1</v>
      </c>
      <c r="AV149" s="15">
        <v>1</v>
      </c>
      <c r="AY149" s="15">
        <v>30000</v>
      </c>
      <c r="AZ149" s="15">
        <v>40000</v>
      </c>
      <c r="BA149" s="15">
        <v>50000</v>
      </c>
      <c r="BB149" s="15">
        <v>4</v>
      </c>
      <c r="BC149" s="7"/>
      <c r="BD149" s="7"/>
      <c r="BE149" s="7">
        <v>240</v>
      </c>
      <c r="BG149" s="15">
        <v>2</v>
      </c>
      <c r="BL149" s="7">
        <v>0</v>
      </c>
    </row>
    <row r="150" spans="1:64">
      <c r="A150">
        <v>10420</v>
      </c>
      <c r="B150" t="s">
        <v>1819</v>
      </c>
      <c r="C150" t="s">
        <v>37</v>
      </c>
      <c r="D150" t="s">
        <v>38</v>
      </c>
      <c r="E150">
        <v>1</v>
      </c>
      <c r="F150" t="s">
        <v>959</v>
      </c>
      <c r="G150">
        <v>0</v>
      </c>
      <c r="H150">
        <v>0</v>
      </c>
      <c r="I150">
        <v>99999</v>
      </c>
      <c r="J150">
        <v>0</v>
      </c>
      <c r="K150">
        <v>0</v>
      </c>
      <c r="L150" t="s">
        <v>1562</v>
      </c>
      <c r="M150" s="7">
        <v>1</v>
      </c>
      <c r="N150" s="7">
        <v>1</v>
      </c>
      <c r="P150">
        <v>0</v>
      </c>
      <c r="Q150">
        <v>0</v>
      </c>
      <c r="S150" s="7">
        <v>5000</v>
      </c>
      <c r="T150">
        <v>0</v>
      </c>
      <c r="V150">
        <v>1</v>
      </c>
      <c r="W150">
        <v>1</v>
      </c>
      <c r="Y150" t="s">
        <v>624</v>
      </c>
      <c r="Z150" t="s">
        <v>2501</v>
      </c>
      <c r="AA150" s="7" t="s">
        <v>2294</v>
      </c>
      <c r="AB150">
        <v>0</v>
      </c>
      <c r="AC150" s="7">
        <v>4</v>
      </c>
      <c r="AD150">
        <v>0</v>
      </c>
      <c r="AE150">
        <v>0</v>
      </c>
      <c r="AF150">
        <v>1</v>
      </c>
      <c r="AI150" s="7">
        <v>24</v>
      </c>
      <c r="AJ150" s="7">
        <v>8</v>
      </c>
      <c r="AK150" s="7">
        <v>0</v>
      </c>
      <c r="AL150" s="7">
        <v>0</v>
      </c>
      <c r="AM150" s="7">
        <v>0</v>
      </c>
      <c r="AN150" s="7">
        <v>0</v>
      </c>
      <c r="AP150">
        <v>1</v>
      </c>
      <c r="AQ150" s="7">
        <v>1</v>
      </c>
      <c r="AR150" s="7">
        <v>1</v>
      </c>
      <c r="AS150" s="7">
        <v>1</v>
      </c>
      <c r="AV150" s="7">
        <v>1</v>
      </c>
      <c r="AW150">
        <v>1</v>
      </c>
      <c r="AY150">
        <v>30000</v>
      </c>
      <c r="AZ150" s="7">
        <v>40000</v>
      </c>
      <c r="BA150" s="7">
        <v>50000</v>
      </c>
      <c r="BB150">
        <v>4</v>
      </c>
      <c r="BC150" s="7"/>
      <c r="BD150" s="7"/>
      <c r="BE150" s="7">
        <v>240</v>
      </c>
      <c r="BG150" s="7">
        <v>2</v>
      </c>
      <c r="BL150" s="7">
        <v>0</v>
      </c>
    </row>
    <row r="151" spans="1:64">
      <c r="A151">
        <v>10421</v>
      </c>
      <c r="B151" t="s">
        <v>1820</v>
      </c>
      <c r="C151" t="s">
        <v>37</v>
      </c>
      <c r="D151" t="s">
        <v>38</v>
      </c>
      <c r="E151">
        <v>1</v>
      </c>
      <c r="F151" t="s">
        <v>959</v>
      </c>
      <c r="G151">
        <v>0</v>
      </c>
      <c r="H151">
        <v>0</v>
      </c>
      <c r="I151">
        <v>99999</v>
      </c>
      <c r="J151">
        <v>0</v>
      </c>
      <c r="K151">
        <v>0</v>
      </c>
      <c r="L151" t="s">
        <v>1562</v>
      </c>
      <c r="M151" s="7">
        <v>1</v>
      </c>
      <c r="N151" s="7">
        <v>1</v>
      </c>
      <c r="P151">
        <v>0</v>
      </c>
      <c r="Q151">
        <v>0</v>
      </c>
      <c r="S151" s="7">
        <v>10000</v>
      </c>
      <c r="T151">
        <v>0</v>
      </c>
      <c r="V151">
        <v>1</v>
      </c>
      <c r="W151">
        <v>1</v>
      </c>
      <c r="Y151" t="s">
        <v>625</v>
      </c>
      <c r="Z151" t="s">
        <v>2502</v>
      </c>
      <c r="AA151" s="7" t="s">
        <v>2294</v>
      </c>
      <c r="AB151">
        <v>0</v>
      </c>
      <c r="AC151" s="7">
        <v>4</v>
      </c>
      <c r="AD151">
        <v>0</v>
      </c>
      <c r="AE151">
        <v>0</v>
      </c>
      <c r="AF151">
        <v>1</v>
      </c>
      <c r="AI151" s="7">
        <v>1200</v>
      </c>
      <c r="AJ151" s="7">
        <v>1</v>
      </c>
      <c r="AK151" s="7">
        <v>0</v>
      </c>
      <c r="AL151" s="7">
        <v>0</v>
      </c>
      <c r="AM151" s="7">
        <v>0</v>
      </c>
      <c r="AN151" s="7">
        <v>0</v>
      </c>
      <c r="AP151">
        <v>1</v>
      </c>
      <c r="AQ151" s="7">
        <v>1</v>
      </c>
      <c r="AR151" s="7">
        <v>1</v>
      </c>
      <c r="AS151" s="7">
        <v>1</v>
      </c>
      <c r="AV151" s="7">
        <v>1</v>
      </c>
      <c r="AY151">
        <v>30000</v>
      </c>
      <c r="AZ151" s="7">
        <v>40000</v>
      </c>
      <c r="BA151" s="7">
        <v>50000</v>
      </c>
      <c r="BB151">
        <v>4</v>
      </c>
      <c r="BC151" s="7"/>
      <c r="BD151" s="7"/>
      <c r="BE151" s="7">
        <v>240</v>
      </c>
      <c r="BG151" s="7">
        <v>2</v>
      </c>
      <c r="BL151" s="7">
        <v>0</v>
      </c>
    </row>
    <row r="152" spans="1:64" s="15" customFormat="1">
      <c r="A152" s="15">
        <v>10422</v>
      </c>
      <c r="B152" s="15" t="s">
        <v>1821</v>
      </c>
      <c r="C152" s="15" t="s">
        <v>37</v>
      </c>
      <c r="D152" s="15" t="s">
        <v>38</v>
      </c>
      <c r="E152" s="15">
        <v>1</v>
      </c>
      <c r="F152" s="15" t="s">
        <v>959</v>
      </c>
      <c r="G152" s="15">
        <v>0</v>
      </c>
      <c r="H152" s="15">
        <v>0</v>
      </c>
      <c r="I152" s="15">
        <v>99999</v>
      </c>
      <c r="J152" s="15">
        <v>0</v>
      </c>
      <c r="K152" s="15">
        <v>0</v>
      </c>
      <c r="L152" s="15" t="s">
        <v>1562</v>
      </c>
      <c r="M152" s="16">
        <v>1</v>
      </c>
      <c r="N152" s="16">
        <v>1</v>
      </c>
      <c r="P152" s="15">
        <v>0</v>
      </c>
      <c r="Q152" s="15">
        <v>0</v>
      </c>
      <c r="S152" s="15">
        <v>20000</v>
      </c>
      <c r="T152" s="15">
        <v>0</v>
      </c>
      <c r="V152" s="15">
        <v>1</v>
      </c>
      <c r="W152" s="15">
        <v>1</v>
      </c>
      <c r="X152" s="30"/>
      <c r="Y152" s="15" t="s">
        <v>626</v>
      </c>
      <c r="Z152" s="15" t="s">
        <v>2503</v>
      </c>
      <c r="AA152" s="15" t="s">
        <v>2294</v>
      </c>
      <c r="AB152" s="15">
        <v>0</v>
      </c>
      <c r="AC152" s="16">
        <v>4</v>
      </c>
      <c r="AD152" s="15">
        <v>0</v>
      </c>
      <c r="AE152" s="15">
        <v>0</v>
      </c>
      <c r="AF152" s="15">
        <v>1</v>
      </c>
      <c r="AI152" s="16">
        <v>24</v>
      </c>
      <c r="AJ152" s="16">
        <v>30</v>
      </c>
      <c r="AK152" s="16">
        <v>0</v>
      </c>
      <c r="AL152" s="16">
        <v>0</v>
      </c>
      <c r="AM152" s="16">
        <v>0</v>
      </c>
      <c r="AN152" s="16">
        <v>0</v>
      </c>
      <c r="AO152" s="16"/>
      <c r="AP152" s="15">
        <v>1</v>
      </c>
      <c r="AQ152" s="16">
        <v>1</v>
      </c>
      <c r="AR152" s="16">
        <v>1</v>
      </c>
      <c r="AS152" s="16">
        <v>1</v>
      </c>
      <c r="AV152" s="16">
        <v>1</v>
      </c>
      <c r="AY152" s="15">
        <v>30000</v>
      </c>
      <c r="AZ152" s="15">
        <v>40000</v>
      </c>
      <c r="BA152" s="15">
        <v>50000</v>
      </c>
      <c r="BB152" s="15">
        <v>4</v>
      </c>
      <c r="BC152" s="7"/>
      <c r="BD152" s="7"/>
      <c r="BE152" s="16">
        <v>240</v>
      </c>
      <c r="BG152" s="15">
        <v>2</v>
      </c>
      <c r="BL152" s="7">
        <v>0</v>
      </c>
    </row>
    <row r="153" spans="1:64" s="15" customFormat="1">
      <c r="A153" s="15">
        <v>10423</v>
      </c>
      <c r="B153" s="15" t="s">
        <v>1822</v>
      </c>
      <c r="C153" s="15" t="s">
        <v>37</v>
      </c>
      <c r="D153" s="15" t="s">
        <v>38</v>
      </c>
      <c r="E153" s="15">
        <v>1</v>
      </c>
      <c r="F153" s="15" t="s">
        <v>959</v>
      </c>
      <c r="G153" s="15">
        <v>0</v>
      </c>
      <c r="H153" s="15">
        <v>0</v>
      </c>
      <c r="I153" s="15">
        <v>99999</v>
      </c>
      <c r="J153" s="15">
        <v>0</v>
      </c>
      <c r="K153" s="15">
        <v>0</v>
      </c>
      <c r="L153" s="15" t="s">
        <v>1562</v>
      </c>
      <c r="M153" s="16">
        <v>1</v>
      </c>
      <c r="N153" s="7">
        <v>1</v>
      </c>
      <c r="P153" s="15">
        <v>0</v>
      </c>
      <c r="Q153" s="15">
        <v>0</v>
      </c>
      <c r="S153" s="15">
        <v>40000</v>
      </c>
      <c r="T153" s="15">
        <v>0</v>
      </c>
      <c r="V153" s="15">
        <v>1</v>
      </c>
      <c r="W153" s="15">
        <v>1</v>
      </c>
      <c r="X153" s="30"/>
      <c r="Y153" s="15" t="s">
        <v>627</v>
      </c>
      <c r="Z153" s="15" t="s">
        <v>2504</v>
      </c>
      <c r="AA153" s="15" t="s">
        <v>2294</v>
      </c>
      <c r="AB153" s="15">
        <v>0</v>
      </c>
      <c r="AC153" s="7">
        <v>4</v>
      </c>
      <c r="AD153" s="15">
        <v>0</v>
      </c>
      <c r="AE153" s="15">
        <v>0</v>
      </c>
      <c r="AF153" s="15">
        <v>1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P153" s="15">
        <v>1</v>
      </c>
      <c r="AQ153" s="15">
        <v>1</v>
      </c>
      <c r="AR153" s="15">
        <v>1</v>
      </c>
      <c r="AS153" s="15">
        <v>1</v>
      </c>
      <c r="AV153" s="15">
        <v>1</v>
      </c>
      <c r="AY153" s="15">
        <v>30000</v>
      </c>
      <c r="AZ153" s="15">
        <v>40000</v>
      </c>
      <c r="BA153" s="15">
        <v>50000</v>
      </c>
      <c r="BB153" s="15">
        <v>4</v>
      </c>
      <c r="BC153" s="7"/>
      <c r="BD153" s="7"/>
      <c r="BE153" s="7">
        <v>240</v>
      </c>
      <c r="BG153" s="15">
        <v>2</v>
      </c>
      <c r="BL153" s="7">
        <v>0</v>
      </c>
    </row>
    <row r="154" spans="1:64" s="15" customFormat="1">
      <c r="A154" s="15">
        <v>10424</v>
      </c>
      <c r="B154" s="15" t="s">
        <v>1823</v>
      </c>
      <c r="C154" s="15" t="s">
        <v>37</v>
      </c>
      <c r="D154" s="15" t="s">
        <v>38</v>
      </c>
      <c r="E154" s="15">
        <v>1</v>
      </c>
      <c r="F154" s="15" t="s">
        <v>959</v>
      </c>
      <c r="G154" s="15">
        <v>0</v>
      </c>
      <c r="H154" s="15">
        <v>0</v>
      </c>
      <c r="I154" s="15">
        <v>99999</v>
      </c>
      <c r="J154" s="15">
        <v>0</v>
      </c>
      <c r="K154" s="15">
        <v>0</v>
      </c>
      <c r="L154" s="15" t="s">
        <v>1562</v>
      </c>
      <c r="M154" s="16">
        <v>1</v>
      </c>
      <c r="N154" s="7">
        <v>1</v>
      </c>
      <c r="P154" s="15">
        <v>0</v>
      </c>
      <c r="Q154" s="15">
        <v>0</v>
      </c>
      <c r="S154" s="15">
        <v>80000</v>
      </c>
      <c r="T154" s="15">
        <v>0</v>
      </c>
      <c r="V154" s="15">
        <v>1</v>
      </c>
      <c r="W154" s="15">
        <v>1</v>
      </c>
      <c r="X154" s="30"/>
      <c r="Y154" s="15" t="s">
        <v>628</v>
      </c>
      <c r="Z154" s="15" t="s">
        <v>2505</v>
      </c>
      <c r="AA154" s="15" t="s">
        <v>2294</v>
      </c>
      <c r="AB154" s="15">
        <v>0</v>
      </c>
      <c r="AC154" s="7">
        <v>4</v>
      </c>
      <c r="AD154" s="15">
        <v>0</v>
      </c>
      <c r="AE154" s="15">
        <v>0</v>
      </c>
      <c r="AF154" s="15">
        <v>1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P154" s="15">
        <v>1</v>
      </c>
      <c r="AQ154" s="15">
        <v>1</v>
      </c>
      <c r="AR154" s="15">
        <v>1</v>
      </c>
      <c r="AS154" s="15">
        <v>1</v>
      </c>
      <c r="AV154" s="15">
        <v>1</v>
      </c>
      <c r="AY154" s="15">
        <v>30000</v>
      </c>
      <c r="AZ154" s="15">
        <v>40000</v>
      </c>
      <c r="BA154" s="15">
        <v>50000</v>
      </c>
      <c r="BB154" s="15">
        <v>4</v>
      </c>
      <c r="BC154" s="7"/>
      <c r="BD154" s="7"/>
      <c r="BE154" s="7">
        <v>240</v>
      </c>
      <c r="BG154" s="15">
        <v>2</v>
      </c>
      <c r="BL154" s="7">
        <v>0</v>
      </c>
    </row>
    <row r="155" spans="1:64" s="15" customFormat="1">
      <c r="A155" s="15">
        <v>10425</v>
      </c>
      <c r="B155" s="15" t="s">
        <v>1824</v>
      </c>
      <c r="C155" s="15" t="s">
        <v>37</v>
      </c>
      <c r="D155" s="15" t="s">
        <v>38</v>
      </c>
      <c r="E155" s="15">
        <v>1</v>
      </c>
      <c r="F155" s="15" t="s">
        <v>959</v>
      </c>
      <c r="G155" s="15">
        <v>0</v>
      </c>
      <c r="H155" s="15">
        <v>0</v>
      </c>
      <c r="I155" s="15">
        <v>99999</v>
      </c>
      <c r="J155" s="15">
        <v>0</v>
      </c>
      <c r="K155" s="15">
        <v>0</v>
      </c>
      <c r="L155" s="15" t="s">
        <v>1562</v>
      </c>
      <c r="M155" s="16">
        <v>1</v>
      </c>
      <c r="N155" s="7">
        <v>1</v>
      </c>
      <c r="P155" s="15">
        <v>0</v>
      </c>
      <c r="Q155" s="15">
        <v>0</v>
      </c>
      <c r="S155" s="15">
        <v>80000</v>
      </c>
      <c r="T155" s="15">
        <v>0</v>
      </c>
      <c r="V155" s="15">
        <v>1</v>
      </c>
      <c r="W155" s="15">
        <v>1</v>
      </c>
      <c r="X155" s="30"/>
      <c r="Y155" s="15" t="s">
        <v>629</v>
      </c>
      <c r="Z155" s="15" t="s">
        <v>2506</v>
      </c>
      <c r="AA155" s="15" t="s">
        <v>2294</v>
      </c>
      <c r="AB155" s="15">
        <v>0</v>
      </c>
      <c r="AC155" s="7">
        <v>4</v>
      </c>
      <c r="AD155" s="15">
        <v>0</v>
      </c>
      <c r="AE155" s="15">
        <v>0</v>
      </c>
      <c r="AF155" s="15">
        <v>1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P155" s="15">
        <v>1</v>
      </c>
      <c r="AQ155" s="15">
        <v>1</v>
      </c>
      <c r="AR155" s="15">
        <v>1</v>
      </c>
      <c r="AS155" s="15">
        <v>1</v>
      </c>
      <c r="AV155" s="15">
        <v>1</v>
      </c>
      <c r="AY155" s="15">
        <v>30000</v>
      </c>
      <c r="AZ155" s="15">
        <v>40000</v>
      </c>
      <c r="BA155" s="15">
        <v>50000</v>
      </c>
      <c r="BB155" s="15">
        <v>4</v>
      </c>
      <c r="BC155" s="7"/>
      <c r="BD155" s="7"/>
      <c r="BE155" s="7">
        <v>240</v>
      </c>
      <c r="BG155" s="15">
        <v>2</v>
      </c>
      <c r="BL155" s="7">
        <v>0</v>
      </c>
    </row>
    <row r="156" spans="1:64" s="15" customFormat="1">
      <c r="A156" s="15">
        <v>10426</v>
      </c>
      <c r="B156" s="15" t="s">
        <v>1825</v>
      </c>
      <c r="C156" s="15" t="s">
        <v>37</v>
      </c>
      <c r="D156" s="15" t="s">
        <v>38</v>
      </c>
      <c r="E156" s="15">
        <v>1</v>
      </c>
      <c r="F156" s="15" t="s">
        <v>959</v>
      </c>
      <c r="G156" s="15">
        <v>0</v>
      </c>
      <c r="H156" s="15">
        <v>0</v>
      </c>
      <c r="I156" s="15">
        <v>99999</v>
      </c>
      <c r="J156" s="15">
        <v>0</v>
      </c>
      <c r="K156" s="15">
        <v>0</v>
      </c>
      <c r="L156" s="15" t="s">
        <v>1562</v>
      </c>
      <c r="M156" s="16">
        <v>1</v>
      </c>
      <c r="N156" s="7">
        <v>1</v>
      </c>
      <c r="P156" s="15">
        <v>0</v>
      </c>
      <c r="Q156" s="15">
        <v>0</v>
      </c>
      <c r="S156" s="15">
        <v>80000</v>
      </c>
      <c r="T156" s="15">
        <v>0</v>
      </c>
      <c r="V156" s="15">
        <v>1</v>
      </c>
      <c r="W156" s="15">
        <v>1</v>
      </c>
      <c r="X156" s="30"/>
      <c r="Y156" s="15" t="s">
        <v>630</v>
      </c>
      <c r="Z156" s="15" t="s">
        <v>2507</v>
      </c>
      <c r="AA156" s="15" t="s">
        <v>2294</v>
      </c>
      <c r="AB156" s="15">
        <v>0</v>
      </c>
      <c r="AC156" s="7">
        <v>4</v>
      </c>
      <c r="AD156" s="15">
        <v>0</v>
      </c>
      <c r="AE156" s="15">
        <v>0</v>
      </c>
      <c r="AF156" s="15">
        <v>1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P156" s="15">
        <v>1</v>
      </c>
      <c r="AQ156" s="15">
        <v>1</v>
      </c>
      <c r="AR156" s="15">
        <v>1</v>
      </c>
      <c r="AS156" s="15">
        <v>1</v>
      </c>
      <c r="AV156" s="15">
        <v>1</v>
      </c>
      <c r="AY156" s="15">
        <v>30000</v>
      </c>
      <c r="AZ156" s="15">
        <v>40000</v>
      </c>
      <c r="BA156" s="15">
        <v>50000</v>
      </c>
      <c r="BB156" s="15">
        <v>4</v>
      </c>
      <c r="BC156" s="7"/>
      <c r="BD156" s="7"/>
      <c r="BE156" s="7">
        <v>240</v>
      </c>
      <c r="BG156" s="15">
        <v>2</v>
      </c>
      <c r="BL156" s="7">
        <v>0</v>
      </c>
    </row>
    <row r="157" spans="1:64" s="15" customFormat="1">
      <c r="A157" s="15">
        <v>10427</v>
      </c>
      <c r="B157" s="15" t="s">
        <v>1826</v>
      </c>
      <c r="C157" s="15" t="s">
        <v>37</v>
      </c>
      <c r="D157" s="15" t="s">
        <v>38</v>
      </c>
      <c r="E157" s="15">
        <v>1</v>
      </c>
      <c r="F157" s="15" t="s">
        <v>959</v>
      </c>
      <c r="G157" s="15">
        <v>0</v>
      </c>
      <c r="H157" s="15">
        <v>0</v>
      </c>
      <c r="I157" s="15">
        <v>99999</v>
      </c>
      <c r="J157" s="15">
        <v>0</v>
      </c>
      <c r="K157" s="15">
        <v>0</v>
      </c>
      <c r="L157" s="15" t="s">
        <v>1562</v>
      </c>
      <c r="M157" s="16">
        <v>1</v>
      </c>
      <c r="N157" s="7">
        <v>1</v>
      </c>
      <c r="P157" s="15">
        <v>0</v>
      </c>
      <c r="Q157" s="15">
        <v>0</v>
      </c>
      <c r="S157" s="15">
        <v>80000</v>
      </c>
      <c r="T157" s="15">
        <v>0</v>
      </c>
      <c r="V157" s="15">
        <v>1</v>
      </c>
      <c r="W157" s="15">
        <v>1</v>
      </c>
      <c r="X157" s="30"/>
      <c r="Y157" s="15" t="s">
        <v>631</v>
      </c>
      <c r="Z157" s="15" t="s">
        <v>2508</v>
      </c>
      <c r="AA157" s="15" t="s">
        <v>2294</v>
      </c>
      <c r="AB157" s="15">
        <v>0</v>
      </c>
      <c r="AC157" s="7">
        <v>4</v>
      </c>
      <c r="AD157" s="15">
        <v>0</v>
      </c>
      <c r="AE157" s="15">
        <v>0</v>
      </c>
      <c r="AF157" s="15">
        <v>1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P157" s="15">
        <v>1</v>
      </c>
      <c r="AQ157" s="15">
        <v>1</v>
      </c>
      <c r="AR157" s="15">
        <v>1</v>
      </c>
      <c r="AS157" s="15">
        <v>1</v>
      </c>
      <c r="AV157" s="15">
        <v>1</v>
      </c>
      <c r="AY157" s="15">
        <v>30000</v>
      </c>
      <c r="AZ157" s="15">
        <v>40000</v>
      </c>
      <c r="BA157" s="15">
        <v>50000</v>
      </c>
      <c r="BB157" s="15">
        <v>4</v>
      </c>
      <c r="BC157" s="7"/>
      <c r="BD157" s="7"/>
      <c r="BE157" s="7">
        <v>240</v>
      </c>
      <c r="BG157" s="15">
        <v>2</v>
      </c>
      <c r="BL157" s="7">
        <v>0</v>
      </c>
    </row>
    <row r="158" spans="1:64" s="15" customFormat="1">
      <c r="A158" s="15">
        <v>10428</v>
      </c>
      <c r="B158" s="15" t="s">
        <v>1827</v>
      </c>
      <c r="C158" s="15" t="s">
        <v>37</v>
      </c>
      <c r="D158" s="15" t="s">
        <v>38</v>
      </c>
      <c r="E158" s="15">
        <v>1</v>
      </c>
      <c r="F158" s="15" t="s">
        <v>959</v>
      </c>
      <c r="G158" s="15">
        <v>0</v>
      </c>
      <c r="H158" s="15">
        <v>0</v>
      </c>
      <c r="I158" s="15">
        <v>99999</v>
      </c>
      <c r="J158" s="15">
        <v>0</v>
      </c>
      <c r="K158" s="15">
        <v>0</v>
      </c>
      <c r="L158" s="15" t="s">
        <v>1562</v>
      </c>
      <c r="M158" s="16">
        <v>1</v>
      </c>
      <c r="N158" s="7">
        <v>1</v>
      </c>
      <c r="P158" s="15">
        <v>0</v>
      </c>
      <c r="Q158" s="15">
        <v>0</v>
      </c>
      <c r="S158" s="15">
        <v>80000</v>
      </c>
      <c r="T158" s="15">
        <v>0</v>
      </c>
      <c r="V158" s="15">
        <v>1</v>
      </c>
      <c r="W158" s="15">
        <v>1</v>
      </c>
      <c r="X158" s="30"/>
      <c r="Y158" s="15" t="s">
        <v>632</v>
      </c>
      <c r="Z158" s="15" t="s">
        <v>2509</v>
      </c>
      <c r="AA158" s="15" t="s">
        <v>2294</v>
      </c>
      <c r="AB158" s="15">
        <v>0</v>
      </c>
      <c r="AC158" s="7">
        <v>4</v>
      </c>
      <c r="AD158" s="15">
        <v>0</v>
      </c>
      <c r="AE158" s="15">
        <v>0</v>
      </c>
      <c r="AF158" s="15">
        <v>1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P158" s="15">
        <v>1</v>
      </c>
      <c r="AQ158" s="15">
        <v>1</v>
      </c>
      <c r="AR158" s="15">
        <v>1</v>
      </c>
      <c r="AS158" s="15">
        <v>1</v>
      </c>
      <c r="AV158" s="15">
        <v>1</v>
      </c>
      <c r="AY158" s="15">
        <v>30000</v>
      </c>
      <c r="AZ158" s="15">
        <v>40000</v>
      </c>
      <c r="BA158" s="15">
        <v>50000</v>
      </c>
      <c r="BB158" s="15">
        <v>4</v>
      </c>
      <c r="BC158" s="7"/>
      <c r="BD158" s="7"/>
      <c r="BE158" s="7">
        <v>240</v>
      </c>
      <c r="BG158" s="15">
        <v>2</v>
      </c>
      <c r="BL158" s="7">
        <v>0</v>
      </c>
    </row>
    <row r="159" spans="1:64" s="15" customFormat="1">
      <c r="A159" s="15">
        <v>10429</v>
      </c>
      <c r="B159" s="15" t="s">
        <v>1828</v>
      </c>
      <c r="C159" s="15" t="s">
        <v>37</v>
      </c>
      <c r="D159" s="15" t="s">
        <v>38</v>
      </c>
      <c r="E159" s="15">
        <v>1</v>
      </c>
      <c r="F159" s="15" t="s">
        <v>959</v>
      </c>
      <c r="G159" s="15">
        <v>0</v>
      </c>
      <c r="H159" s="15">
        <v>0</v>
      </c>
      <c r="I159" s="15">
        <v>99999</v>
      </c>
      <c r="J159" s="15">
        <v>0</v>
      </c>
      <c r="K159" s="15">
        <v>0</v>
      </c>
      <c r="L159" s="15" t="s">
        <v>1562</v>
      </c>
      <c r="M159" s="16">
        <v>1</v>
      </c>
      <c r="N159" s="7">
        <v>1</v>
      </c>
      <c r="P159" s="15">
        <v>0</v>
      </c>
      <c r="Q159" s="15">
        <v>0</v>
      </c>
      <c r="S159" s="15">
        <v>80000</v>
      </c>
      <c r="T159" s="15">
        <v>0</v>
      </c>
      <c r="V159" s="15">
        <v>1</v>
      </c>
      <c r="W159" s="15">
        <v>1</v>
      </c>
      <c r="X159" s="30"/>
      <c r="Y159" s="15" t="s">
        <v>633</v>
      </c>
      <c r="Z159" s="15" t="s">
        <v>2510</v>
      </c>
      <c r="AA159" s="15" t="s">
        <v>2294</v>
      </c>
      <c r="AB159" s="15">
        <v>0</v>
      </c>
      <c r="AC159" s="7">
        <v>4</v>
      </c>
      <c r="AD159" s="15">
        <v>0</v>
      </c>
      <c r="AE159" s="15">
        <v>0</v>
      </c>
      <c r="AF159" s="15">
        <v>1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P159" s="15">
        <v>1</v>
      </c>
      <c r="AQ159" s="15">
        <v>1</v>
      </c>
      <c r="AR159" s="15">
        <v>1</v>
      </c>
      <c r="AS159" s="15">
        <v>1</v>
      </c>
      <c r="AV159" s="15">
        <v>1</v>
      </c>
      <c r="AY159" s="15">
        <v>30000</v>
      </c>
      <c r="AZ159" s="15">
        <v>40000</v>
      </c>
      <c r="BA159" s="15">
        <v>50000</v>
      </c>
      <c r="BB159" s="15">
        <v>4</v>
      </c>
      <c r="BC159" s="7"/>
      <c r="BD159" s="7"/>
      <c r="BE159" s="7">
        <v>240</v>
      </c>
      <c r="BG159" s="15">
        <v>2</v>
      </c>
      <c r="BL159" s="7">
        <v>0</v>
      </c>
    </row>
    <row r="160" spans="1:64">
      <c r="A160">
        <v>10510</v>
      </c>
      <c r="B160" t="s">
        <v>1829</v>
      </c>
      <c r="C160" t="s">
        <v>37</v>
      </c>
      <c r="D160" t="s">
        <v>38</v>
      </c>
      <c r="E160">
        <v>1</v>
      </c>
      <c r="F160" t="s">
        <v>959</v>
      </c>
      <c r="G160">
        <v>0</v>
      </c>
      <c r="H160">
        <v>0</v>
      </c>
      <c r="I160">
        <v>99999</v>
      </c>
      <c r="J160">
        <v>0</v>
      </c>
      <c r="K160">
        <v>0</v>
      </c>
      <c r="L160" t="s">
        <v>1562</v>
      </c>
      <c r="M160" s="7">
        <v>1</v>
      </c>
      <c r="N160" s="7">
        <v>1</v>
      </c>
      <c r="P160">
        <v>0</v>
      </c>
      <c r="Q160">
        <v>0</v>
      </c>
      <c r="S160" s="7">
        <v>5000</v>
      </c>
      <c r="T160">
        <v>0</v>
      </c>
      <c r="V160">
        <v>1</v>
      </c>
      <c r="W160">
        <v>1</v>
      </c>
      <c r="Y160" t="s">
        <v>634</v>
      </c>
      <c r="Z160" t="s">
        <v>2511</v>
      </c>
      <c r="AA160" s="7" t="s">
        <v>2295</v>
      </c>
      <c r="AB160">
        <v>0</v>
      </c>
      <c r="AC160" s="7">
        <v>4</v>
      </c>
      <c r="AD160">
        <v>0</v>
      </c>
      <c r="AE160">
        <v>0</v>
      </c>
      <c r="AF160">
        <v>1</v>
      </c>
      <c r="AI160" s="7">
        <v>24</v>
      </c>
      <c r="AJ160" s="7">
        <v>8</v>
      </c>
      <c r="AK160" s="7">
        <v>0</v>
      </c>
      <c r="AL160" s="7">
        <v>0</v>
      </c>
      <c r="AM160" s="7">
        <v>0</v>
      </c>
      <c r="AN160" s="7">
        <v>0</v>
      </c>
      <c r="AP160">
        <v>1</v>
      </c>
      <c r="AQ160" s="7">
        <v>1</v>
      </c>
      <c r="AR160" s="7">
        <v>1</v>
      </c>
      <c r="AS160" s="7">
        <v>1</v>
      </c>
      <c r="AV160" s="7">
        <v>1</v>
      </c>
      <c r="AY160">
        <v>30000</v>
      </c>
      <c r="AZ160" s="7">
        <v>40000</v>
      </c>
      <c r="BA160" s="7">
        <v>50000</v>
      </c>
      <c r="BB160">
        <v>4</v>
      </c>
      <c r="BC160" s="7"/>
      <c r="BD160" s="7"/>
      <c r="BE160" s="7">
        <v>240</v>
      </c>
      <c r="BG160" s="7">
        <v>2</v>
      </c>
      <c r="BL160" s="7">
        <v>0</v>
      </c>
    </row>
    <row r="161" spans="1:64">
      <c r="A161">
        <v>10511</v>
      </c>
      <c r="B161" t="s">
        <v>1830</v>
      </c>
      <c r="C161" t="s">
        <v>37</v>
      </c>
      <c r="D161" t="s">
        <v>38</v>
      </c>
      <c r="E161">
        <v>1</v>
      </c>
      <c r="F161" t="s">
        <v>959</v>
      </c>
      <c r="G161">
        <v>0</v>
      </c>
      <c r="H161">
        <v>0</v>
      </c>
      <c r="I161">
        <v>99999</v>
      </c>
      <c r="J161">
        <v>0</v>
      </c>
      <c r="K161">
        <v>0</v>
      </c>
      <c r="L161" t="s">
        <v>1562</v>
      </c>
      <c r="M161" s="7">
        <v>1</v>
      </c>
      <c r="N161" s="7">
        <v>1</v>
      </c>
      <c r="P161">
        <v>0</v>
      </c>
      <c r="Q161">
        <v>0</v>
      </c>
      <c r="S161" s="7">
        <v>10000</v>
      </c>
      <c r="T161">
        <v>0</v>
      </c>
      <c r="V161">
        <v>1</v>
      </c>
      <c r="W161">
        <v>1</v>
      </c>
      <c r="Y161" t="s">
        <v>635</v>
      </c>
      <c r="Z161" t="s">
        <v>2512</v>
      </c>
      <c r="AA161" s="7" t="s">
        <v>2295</v>
      </c>
      <c r="AB161">
        <v>0</v>
      </c>
      <c r="AC161" s="7">
        <v>4</v>
      </c>
      <c r="AD161">
        <v>0</v>
      </c>
      <c r="AE161">
        <v>0</v>
      </c>
      <c r="AF161">
        <v>1</v>
      </c>
      <c r="AI161" s="7">
        <v>1200</v>
      </c>
      <c r="AJ161" s="7">
        <v>1</v>
      </c>
      <c r="AK161" s="7">
        <v>0</v>
      </c>
      <c r="AL161" s="7">
        <v>0</v>
      </c>
      <c r="AM161" s="7">
        <v>0</v>
      </c>
      <c r="AN161" s="7">
        <v>0</v>
      </c>
      <c r="AP161">
        <v>1</v>
      </c>
      <c r="AQ161" s="7">
        <v>1</v>
      </c>
      <c r="AR161" s="7">
        <v>1</v>
      </c>
      <c r="AS161" s="7">
        <v>1</v>
      </c>
      <c r="AV161" s="7">
        <v>1</v>
      </c>
      <c r="AY161">
        <v>30000</v>
      </c>
      <c r="AZ161" s="7">
        <v>40000</v>
      </c>
      <c r="BA161" s="7">
        <v>50000</v>
      </c>
      <c r="BB161">
        <v>4</v>
      </c>
      <c r="BC161" s="7"/>
      <c r="BD161" s="7"/>
      <c r="BE161" s="7">
        <v>240</v>
      </c>
      <c r="BG161" s="7">
        <v>2</v>
      </c>
      <c r="BL161" s="7">
        <v>0</v>
      </c>
    </row>
    <row r="162" spans="1:64" s="15" customFormat="1">
      <c r="A162" s="15">
        <v>10512</v>
      </c>
      <c r="B162" s="15" t="s">
        <v>1831</v>
      </c>
      <c r="C162" s="15" t="s">
        <v>37</v>
      </c>
      <c r="D162" s="15" t="s">
        <v>38</v>
      </c>
      <c r="E162" s="15">
        <v>1</v>
      </c>
      <c r="F162" s="15" t="s">
        <v>959</v>
      </c>
      <c r="G162" s="15">
        <v>0</v>
      </c>
      <c r="H162" s="15">
        <v>0</v>
      </c>
      <c r="I162" s="15">
        <v>99999</v>
      </c>
      <c r="J162" s="15">
        <v>0</v>
      </c>
      <c r="K162" s="15">
        <v>0</v>
      </c>
      <c r="L162" s="15" t="s">
        <v>1562</v>
      </c>
      <c r="M162" s="16">
        <v>1</v>
      </c>
      <c r="N162" s="16">
        <v>1</v>
      </c>
      <c r="P162" s="15">
        <v>0</v>
      </c>
      <c r="Q162" s="15">
        <v>0</v>
      </c>
      <c r="S162" s="15">
        <v>20000</v>
      </c>
      <c r="T162" s="15">
        <v>0</v>
      </c>
      <c r="V162" s="15">
        <v>1</v>
      </c>
      <c r="W162" s="15">
        <v>1</v>
      </c>
      <c r="X162" s="30"/>
      <c r="Y162" s="15" t="s">
        <v>636</v>
      </c>
      <c r="Z162" s="15" t="s">
        <v>2513</v>
      </c>
      <c r="AA162" s="15" t="s">
        <v>2296</v>
      </c>
      <c r="AB162" s="15">
        <v>0</v>
      </c>
      <c r="AC162" s="16">
        <v>4</v>
      </c>
      <c r="AD162" s="15">
        <v>0</v>
      </c>
      <c r="AE162" s="15">
        <v>0</v>
      </c>
      <c r="AF162" s="15">
        <v>1</v>
      </c>
      <c r="AI162" s="16">
        <v>24</v>
      </c>
      <c r="AJ162" s="16">
        <v>30</v>
      </c>
      <c r="AK162" s="16">
        <v>0</v>
      </c>
      <c r="AL162" s="16">
        <v>0</v>
      </c>
      <c r="AM162" s="16">
        <v>0</v>
      </c>
      <c r="AN162" s="16">
        <v>0</v>
      </c>
      <c r="AO162" s="16"/>
      <c r="AP162" s="15">
        <v>1</v>
      </c>
      <c r="AQ162" s="16">
        <v>1</v>
      </c>
      <c r="AR162" s="16">
        <v>1</v>
      </c>
      <c r="AS162" s="16">
        <v>1</v>
      </c>
      <c r="AV162" s="16">
        <v>1</v>
      </c>
      <c r="AY162" s="15">
        <v>30000</v>
      </c>
      <c r="AZ162" s="15">
        <v>40000</v>
      </c>
      <c r="BA162" s="15">
        <v>50000</v>
      </c>
      <c r="BB162" s="15">
        <v>4</v>
      </c>
      <c r="BC162" s="7"/>
      <c r="BD162" s="7"/>
      <c r="BE162" s="16">
        <v>240</v>
      </c>
      <c r="BG162" s="15">
        <v>2</v>
      </c>
      <c r="BL162" s="7">
        <v>0</v>
      </c>
    </row>
    <row r="163" spans="1:64" s="15" customFormat="1">
      <c r="A163" s="15">
        <v>10513</v>
      </c>
      <c r="B163" s="15" t="s">
        <v>1832</v>
      </c>
      <c r="C163" s="15" t="s">
        <v>37</v>
      </c>
      <c r="D163" s="15" t="s">
        <v>38</v>
      </c>
      <c r="E163" s="15">
        <v>1</v>
      </c>
      <c r="F163" s="15" t="s">
        <v>959</v>
      </c>
      <c r="G163" s="15">
        <v>0</v>
      </c>
      <c r="H163" s="15">
        <v>0</v>
      </c>
      <c r="I163" s="15">
        <v>99999</v>
      </c>
      <c r="J163" s="15">
        <v>0</v>
      </c>
      <c r="K163" s="15">
        <v>0</v>
      </c>
      <c r="L163" s="15" t="s">
        <v>1562</v>
      </c>
      <c r="M163" s="16">
        <v>1</v>
      </c>
      <c r="N163" s="7">
        <v>1</v>
      </c>
      <c r="P163" s="15">
        <v>0</v>
      </c>
      <c r="Q163" s="15">
        <v>0</v>
      </c>
      <c r="S163" s="15">
        <v>40000</v>
      </c>
      <c r="T163" s="15">
        <v>0</v>
      </c>
      <c r="V163" s="15">
        <v>1</v>
      </c>
      <c r="W163" s="15">
        <v>1</v>
      </c>
      <c r="X163" s="30"/>
      <c r="Y163" s="15" t="s">
        <v>637</v>
      </c>
      <c r="Z163" s="15" t="s">
        <v>2514</v>
      </c>
      <c r="AA163" s="15" t="s">
        <v>2296</v>
      </c>
      <c r="AB163" s="15">
        <v>0</v>
      </c>
      <c r="AC163" s="7">
        <v>4</v>
      </c>
      <c r="AD163" s="15">
        <v>0</v>
      </c>
      <c r="AE163" s="15">
        <v>0</v>
      </c>
      <c r="AF163" s="15">
        <v>1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P163" s="15">
        <v>1</v>
      </c>
      <c r="AQ163" s="15">
        <v>1</v>
      </c>
      <c r="AR163" s="15">
        <v>1</v>
      </c>
      <c r="AS163" s="15">
        <v>1</v>
      </c>
      <c r="AV163" s="15">
        <v>1</v>
      </c>
      <c r="AY163" s="15">
        <v>30000</v>
      </c>
      <c r="AZ163" s="15">
        <v>40000</v>
      </c>
      <c r="BA163" s="15">
        <v>50000</v>
      </c>
      <c r="BB163" s="15">
        <v>4</v>
      </c>
      <c r="BC163" s="7"/>
      <c r="BD163" s="7"/>
      <c r="BE163" s="7">
        <v>240</v>
      </c>
      <c r="BG163" s="15">
        <v>2</v>
      </c>
      <c r="BL163" s="7">
        <v>0</v>
      </c>
    </row>
    <row r="164" spans="1:64" s="15" customFormat="1">
      <c r="A164" s="15">
        <v>10514</v>
      </c>
      <c r="B164" s="15" t="s">
        <v>1833</v>
      </c>
      <c r="C164" s="15" t="s">
        <v>37</v>
      </c>
      <c r="D164" s="15" t="s">
        <v>38</v>
      </c>
      <c r="E164" s="15">
        <v>1</v>
      </c>
      <c r="F164" s="15" t="s">
        <v>959</v>
      </c>
      <c r="G164" s="15">
        <v>0</v>
      </c>
      <c r="H164" s="15">
        <v>0</v>
      </c>
      <c r="I164" s="15">
        <v>99999</v>
      </c>
      <c r="J164" s="15">
        <v>0</v>
      </c>
      <c r="K164" s="15">
        <v>0</v>
      </c>
      <c r="L164" s="15" t="s">
        <v>1562</v>
      </c>
      <c r="M164" s="16">
        <v>1</v>
      </c>
      <c r="N164" s="7">
        <v>1</v>
      </c>
      <c r="P164" s="15">
        <v>0</v>
      </c>
      <c r="Q164" s="15">
        <v>0</v>
      </c>
      <c r="S164" s="15">
        <v>80000</v>
      </c>
      <c r="T164" s="15">
        <v>0</v>
      </c>
      <c r="V164" s="15">
        <v>1</v>
      </c>
      <c r="W164" s="15">
        <v>1</v>
      </c>
      <c r="X164" s="30"/>
      <c r="Y164" s="15" t="s">
        <v>638</v>
      </c>
      <c r="Z164" s="15" t="s">
        <v>2515</v>
      </c>
      <c r="AA164" s="15" t="s">
        <v>2296</v>
      </c>
      <c r="AB164" s="15">
        <v>0</v>
      </c>
      <c r="AC164" s="7">
        <v>4</v>
      </c>
      <c r="AD164" s="15">
        <v>0</v>
      </c>
      <c r="AE164" s="15">
        <v>0</v>
      </c>
      <c r="AF164" s="15">
        <v>1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P164" s="15">
        <v>1</v>
      </c>
      <c r="AQ164" s="15">
        <v>1</v>
      </c>
      <c r="AR164" s="15">
        <v>1</v>
      </c>
      <c r="AS164" s="15">
        <v>1</v>
      </c>
      <c r="AV164" s="15">
        <v>1</v>
      </c>
      <c r="AY164" s="15">
        <v>30000</v>
      </c>
      <c r="AZ164" s="15">
        <v>40000</v>
      </c>
      <c r="BA164" s="15">
        <v>50000</v>
      </c>
      <c r="BB164" s="15">
        <v>4</v>
      </c>
      <c r="BC164" s="7"/>
      <c r="BD164" s="7"/>
      <c r="BE164" s="7">
        <v>240</v>
      </c>
      <c r="BG164" s="15">
        <v>2</v>
      </c>
      <c r="BL164" s="7">
        <v>0</v>
      </c>
    </row>
    <row r="165" spans="1:64" s="15" customFormat="1">
      <c r="A165" s="15">
        <v>10515</v>
      </c>
      <c r="B165" s="15" t="s">
        <v>1834</v>
      </c>
      <c r="C165" s="15" t="s">
        <v>37</v>
      </c>
      <c r="D165" s="15" t="s">
        <v>38</v>
      </c>
      <c r="E165" s="15">
        <v>1</v>
      </c>
      <c r="F165" s="15" t="s">
        <v>959</v>
      </c>
      <c r="G165" s="15">
        <v>0</v>
      </c>
      <c r="H165" s="15">
        <v>0</v>
      </c>
      <c r="I165" s="15">
        <v>99999</v>
      </c>
      <c r="J165" s="15">
        <v>0</v>
      </c>
      <c r="K165" s="15">
        <v>0</v>
      </c>
      <c r="L165" s="15" t="s">
        <v>1562</v>
      </c>
      <c r="M165" s="16">
        <v>1</v>
      </c>
      <c r="N165" s="7">
        <v>1</v>
      </c>
      <c r="P165" s="15">
        <v>0</v>
      </c>
      <c r="Q165" s="15">
        <v>0</v>
      </c>
      <c r="S165" s="15">
        <v>80000</v>
      </c>
      <c r="T165" s="15">
        <v>0</v>
      </c>
      <c r="V165" s="15">
        <v>1</v>
      </c>
      <c r="W165" s="15">
        <v>1</v>
      </c>
      <c r="X165" s="30"/>
      <c r="Y165" s="15" t="s">
        <v>639</v>
      </c>
      <c r="Z165" s="15" t="s">
        <v>2516</v>
      </c>
      <c r="AA165" s="15" t="s">
        <v>2296</v>
      </c>
      <c r="AB165" s="15">
        <v>0</v>
      </c>
      <c r="AC165" s="7">
        <v>4</v>
      </c>
      <c r="AD165" s="15">
        <v>0</v>
      </c>
      <c r="AE165" s="15">
        <v>0</v>
      </c>
      <c r="AF165" s="15">
        <v>1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P165" s="15">
        <v>1</v>
      </c>
      <c r="AQ165" s="15">
        <v>1</v>
      </c>
      <c r="AR165" s="15">
        <v>1</v>
      </c>
      <c r="AS165" s="15">
        <v>1</v>
      </c>
      <c r="AV165" s="15">
        <v>1</v>
      </c>
      <c r="AY165" s="15">
        <v>30000</v>
      </c>
      <c r="AZ165" s="15">
        <v>40000</v>
      </c>
      <c r="BA165" s="15">
        <v>50000</v>
      </c>
      <c r="BB165" s="15">
        <v>4</v>
      </c>
      <c r="BC165" s="7"/>
      <c r="BD165" s="7"/>
      <c r="BE165" s="7">
        <v>240</v>
      </c>
      <c r="BG165" s="15">
        <v>2</v>
      </c>
      <c r="BL165" s="7">
        <v>0</v>
      </c>
    </row>
    <row r="166" spans="1:64" s="15" customFormat="1">
      <c r="A166" s="15">
        <v>10516</v>
      </c>
      <c r="B166" s="15" t="s">
        <v>1835</v>
      </c>
      <c r="C166" s="15" t="s">
        <v>37</v>
      </c>
      <c r="D166" s="15" t="s">
        <v>38</v>
      </c>
      <c r="E166" s="15">
        <v>1</v>
      </c>
      <c r="F166" s="15" t="s">
        <v>959</v>
      </c>
      <c r="G166" s="15">
        <v>0</v>
      </c>
      <c r="H166" s="15">
        <v>0</v>
      </c>
      <c r="I166" s="15">
        <v>99999</v>
      </c>
      <c r="J166" s="15">
        <v>0</v>
      </c>
      <c r="K166" s="15">
        <v>0</v>
      </c>
      <c r="L166" s="15" t="s">
        <v>1562</v>
      </c>
      <c r="M166" s="16">
        <v>1</v>
      </c>
      <c r="N166" s="7">
        <v>1</v>
      </c>
      <c r="P166" s="15">
        <v>0</v>
      </c>
      <c r="Q166" s="15">
        <v>0</v>
      </c>
      <c r="S166" s="15">
        <v>80000</v>
      </c>
      <c r="T166" s="15">
        <v>0</v>
      </c>
      <c r="V166" s="15">
        <v>1</v>
      </c>
      <c r="W166" s="15">
        <v>1</v>
      </c>
      <c r="X166" s="30"/>
      <c r="Y166" s="15" t="s">
        <v>640</v>
      </c>
      <c r="Z166" s="15" t="s">
        <v>2517</v>
      </c>
      <c r="AA166" s="15" t="s">
        <v>2296</v>
      </c>
      <c r="AB166" s="15">
        <v>0</v>
      </c>
      <c r="AC166" s="7">
        <v>4</v>
      </c>
      <c r="AD166" s="15">
        <v>0</v>
      </c>
      <c r="AE166" s="15">
        <v>0</v>
      </c>
      <c r="AF166" s="15">
        <v>1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P166" s="15">
        <v>1</v>
      </c>
      <c r="AQ166" s="15">
        <v>1</v>
      </c>
      <c r="AR166" s="15">
        <v>1</v>
      </c>
      <c r="AS166" s="15">
        <v>1</v>
      </c>
      <c r="AV166" s="15">
        <v>1</v>
      </c>
      <c r="AY166" s="15">
        <v>30000</v>
      </c>
      <c r="AZ166" s="15">
        <v>40000</v>
      </c>
      <c r="BA166" s="15">
        <v>50000</v>
      </c>
      <c r="BB166" s="15">
        <v>4</v>
      </c>
      <c r="BC166" s="7"/>
      <c r="BD166" s="7"/>
      <c r="BE166" s="7">
        <v>240</v>
      </c>
      <c r="BG166" s="15">
        <v>2</v>
      </c>
      <c r="BL166" s="7">
        <v>0</v>
      </c>
    </row>
    <row r="167" spans="1:64" s="15" customFormat="1">
      <c r="A167" s="15">
        <v>10517</v>
      </c>
      <c r="B167" s="15" t="s">
        <v>1836</v>
      </c>
      <c r="C167" s="15" t="s">
        <v>37</v>
      </c>
      <c r="D167" s="15" t="s">
        <v>38</v>
      </c>
      <c r="E167" s="15">
        <v>1</v>
      </c>
      <c r="F167" s="15" t="s">
        <v>959</v>
      </c>
      <c r="G167" s="15">
        <v>0</v>
      </c>
      <c r="H167" s="15">
        <v>0</v>
      </c>
      <c r="I167" s="15">
        <v>99999</v>
      </c>
      <c r="J167" s="15">
        <v>0</v>
      </c>
      <c r="K167" s="15">
        <v>0</v>
      </c>
      <c r="L167" s="15" t="s">
        <v>1562</v>
      </c>
      <c r="M167" s="16">
        <v>1</v>
      </c>
      <c r="N167" s="7">
        <v>1</v>
      </c>
      <c r="P167" s="15">
        <v>0</v>
      </c>
      <c r="Q167" s="15">
        <v>0</v>
      </c>
      <c r="S167" s="15">
        <v>80000</v>
      </c>
      <c r="T167" s="15">
        <v>0</v>
      </c>
      <c r="V167" s="15">
        <v>1</v>
      </c>
      <c r="W167" s="15">
        <v>1</v>
      </c>
      <c r="X167" s="30"/>
      <c r="Y167" s="15" t="s">
        <v>641</v>
      </c>
      <c r="Z167" s="15" t="s">
        <v>2518</v>
      </c>
      <c r="AA167" s="15" t="s">
        <v>2296</v>
      </c>
      <c r="AB167" s="15">
        <v>0</v>
      </c>
      <c r="AC167" s="7">
        <v>4</v>
      </c>
      <c r="AD167" s="15">
        <v>0</v>
      </c>
      <c r="AE167" s="15">
        <v>0</v>
      </c>
      <c r="AF167" s="15">
        <v>1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P167" s="15">
        <v>1</v>
      </c>
      <c r="AQ167" s="15">
        <v>1</v>
      </c>
      <c r="AR167" s="15">
        <v>1</v>
      </c>
      <c r="AS167" s="15">
        <v>1</v>
      </c>
      <c r="AV167" s="15">
        <v>1</v>
      </c>
      <c r="AY167" s="15">
        <v>30000</v>
      </c>
      <c r="AZ167" s="15">
        <v>40000</v>
      </c>
      <c r="BA167" s="15">
        <v>50000</v>
      </c>
      <c r="BB167" s="15">
        <v>4</v>
      </c>
      <c r="BC167" s="7"/>
      <c r="BD167" s="7"/>
      <c r="BE167" s="7">
        <v>240</v>
      </c>
      <c r="BG167" s="15">
        <v>2</v>
      </c>
      <c r="BL167" s="7">
        <v>0</v>
      </c>
    </row>
    <row r="168" spans="1:64" s="15" customFormat="1">
      <c r="A168" s="15">
        <v>10518</v>
      </c>
      <c r="B168" s="15" t="s">
        <v>1837</v>
      </c>
      <c r="C168" s="15" t="s">
        <v>37</v>
      </c>
      <c r="D168" s="15" t="s">
        <v>38</v>
      </c>
      <c r="E168" s="15">
        <v>1</v>
      </c>
      <c r="F168" s="15" t="s">
        <v>959</v>
      </c>
      <c r="G168" s="15">
        <v>0</v>
      </c>
      <c r="H168" s="15">
        <v>0</v>
      </c>
      <c r="I168" s="15">
        <v>99999</v>
      </c>
      <c r="J168" s="15">
        <v>0</v>
      </c>
      <c r="K168" s="15">
        <v>0</v>
      </c>
      <c r="L168" s="15" t="s">
        <v>1562</v>
      </c>
      <c r="M168" s="16">
        <v>1</v>
      </c>
      <c r="N168" s="7">
        <v>1</v>
      </c>
      <c r="P168" s="15">
        <v>0</v>
      </c>
      <c r="Q168" s="15">
        <v>0</v>
      </c>
      <c r="S168" s="15">
        <v>80000</v>
      </c>
      <c r="T168" s="15">
        <v>0</v>
      </c>
      <c r="V168" s="15">
        <v>1</v>
      </c>
      <c r="W168" s="15">
        <v>1</v>
      </c>
      <c r="X168" s="30"/>
      <c r="Y168" s="15" t="s">
        <v>642</v>
      </c>
      <c r="Z168" s="15" t="s">
        <v>2519</v>
      </c>
      <c r="AA168" s="15" t="s">
        <v>2296</v>
      </c>
      <c r="AB168" s="15">
        <v>0</v>
      </c>
      <c r="AC168" s="7">
        <v>4</v>
      </c>
      <c r="AD168" s="15">
        <v>0</v>
      </c>
      <c r="AE168" s="15">
        <v>0</v>
      </c>
      <c r="AF168" s="15">
        <v>1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P168" s="15">
        <v>1</v>
      </c>
      <c r="AQ168" s="15">
        <v>1</v>
      </c>
      <c r="AR168" s="15">
        <v>1</v>
      </c>
      <c r="AS168" s="15">
        <v>1</v>
      </c>
      <c r="AV168" s="15">
        <v>1</v>
      </c>
      <c r="AY168" s="15">
        <v>30000</v>
      </c>
      <c r="AZ168" s="15">
        <v>40000</v>
      </c>
      <c r="BA168" s="15">
        <v>50000</v>
      </c>
      <c r="BB168" s="15">
        <v>4</v>
      </c>
      <c r="BC168" s="7"/>
      <c r="BD168" s="7"/>
      <c r="BE168" s="7">
        <v>240</v>
      </c>
      <c r="BG168" s="15">
        <v>2</v>
      </c>
      <c r="BL168" s="7">
        <v>0</v>
      </c>
    </row>
    <row r="169" spans="1:64" s="15" customFormat="1">
      <c r="A169" s="15">
        <v>10519</v>
      </c>
      <c r="B169" s="15" t="s">
        <v>1838</v>
      </c>
      <c r="C169" s="15" t="s">
        <v>37</v>
      </c>
      <c r="D169" s="15" t="s">
        <v>38</v>
      </c>
      <c r="E169" s="15">
        <v>1</v>
      </c>
      <c r="F169" s="15" t="s">
        <v>959</v>
      </c>
      <c r="G169" s="15">
        <v>0</v>
      </c>
      <c r="H169" s="15">
        <v>0</v>
      </c>
      <c r="I169" s="15">
        <v>99999</v>
      </c>
      <c r="J169" s="15">
        <v>0</v>
      </c>
      <c r="K169" s="15">
        <v>0</v>
      </c>
      <c r="L169" s="15" t="s">
        <v>1562</v>
      </c>
      <c r="M169" s="16">
        <v>1</v>
      </c>
      <c r="N169" s="7">
        <v>1</v>
      </c>
      <c r="P169" s="15">
        <v>0</v>
      </c>
      <c r="Q169" s="15">
        <v>0</v>
      </c>
      <c r="S169" s="15">
        <v>80000</v>
      </c>
      <c r="T169" s="15">
        <v>0</v>
      </c>
      <c r="V169" s="15">
        <v>1</v>
      </c>
      <c r="W169" s="15">
        <v>1</v>
      </c>
      <c r="X169" s="30"/>
      <c r="Y169" s="15" t="s">
        <v>643</v>
      </c>
      <c r="Z169" s="15" t="s">
        <v>2520</v>
      </c>
      <c r="AA169" s="15" t="s">
        <v>2296</v>
      </c>
      <c r="AB169" s="15">
        <v>0</v>
      </c>
      <c r="AC169" s="7">
        <v>4</v>
      </c>
      <c r="AD169" s="15">
        <v>0</v>
      </c>
      <c r="AE169" s="15">
        <v>0</v>
      </c>
      <c r="AF169" s="15">
        <v>1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P169" s="15">
        <v>1</v>
      </c>
      <c r="AQ169" s="15">
        <v>1</v>
      </c>
      <c r="AR169" s="15">
        <v>1</v>
      </c>
      <c r="AS169" s="15">
        <v>1</v>
      </c>
      <c r="AV169" s="15">
        <v>1</v>
      </c>
      <c r="AY169" s="15">
        <v>30000</v>
      </c>
      <c r="AZ169" s="15">
        <v>40000</v>
      </c>
      <c r="BA169" s="15">
        <v>50000</v>
      </c>
      <c r="BB169" s="15">
        <v>4</v>
      </c>
      <c r="BC169" s="7"/>
      <c r="BD169" s="7"/>
      <c r="BE169" s="7">
        <v>240</v>
      </c>
      <c r="BG169" s="15">
        <v>2</v>
      </c>
      <c r="BL169" s="7">
        <v>0</v>
      </c>
    </row>
    <row r="170" spans="1:64">
      <c r="A170">
        <v>10520</v>
      </c>
      <c r="B170" t="s">
        <v>1839</v>
      </c>
      <c r="C170" t="s">
        <v>37</v>
      </c>
      <c r="D170" t="s">
        <v>38</v>
      </c>
      <c r="E170">
        <v>1</v>
      </c>
      <c r="F170" t="s">
        <v>959</v>
      </c>
      <c r="G170">
        <v>0</v>
      </c>
      <c r="H170">
        <v>0</v>
      </c>
      <c r="I170">
        <v>99999</v>
      </c>
      <c r="J170">
        <v>0</v>
      </c>
      <c r="K170">
        <v>0</v>
      </c>
      <c r="L170" t="s">
        <v>1562</v>
      </c>
      <c r="M170" s="7">
        <v>1</v>
      </c>
      <c r="N170" s="7">
        <v>1</v>
      </c>
      <c r="P170">
        <v>0</v>
      </c>
      <c r="Q170">
        <v>0</v>
      </c>
      <c r="S170" s="7">
        <v>5000</v>
      </c>
      <c r="T170">
        <v>0</v>
      </c>
      <c r="V170">
        <v>1</v>
      </c>
      <c r="W170">
        <v>1</v>
      </c>
      <c r="Y170" t="s">
        <v>634</v>
      </c>
      <c r="Z170" t="s">
        <v>2521</v>
      </c>
      <c r="AA170" s="7" t="s">
        <v>2296</v>
      </c>
      <c r="AB170">
        <v>0</v>
      </c>
      <c r="AC170" s="7">
        <v>4</v>
      </c>
      <c r="AD170">
        <v>0</v>
      </c>
      <c r="AE170">
        <v>0</v>
      </c>
      <c r="AF170">
        <v>1</v>
      </c>
      <c r="AI170" s="7">
        <v>24</v>
      </c>
      <c r="AJ170" s="7">
        <v>8</v>
      </c>
      <c r="AK170" s="7">
        <v>0</v>
      </c>
      <c r="AL170" s="7">
        <v>0</v>
      </c>
      <c r="AM170" s="7">
        <v>0</v>
      </c>
      <c r="AN170" s="7">
        <v>0</v>
      </c>
      <c r="AP170">
        <v>1</v>
      </c>
      <c r="AQ170" s="7">
        <v>1</v>
      </c>
      <c r="AR170" s="7">
        <v>1</v>
      </c>
      <c r="AS170" s="7">
        <v>1</v>
      </c>
      <c r="AV170" s="7">
        <v>1</v>
      </c>
      <c r="AW170">
        <v>1</v>
      </c>
      <c r="AY170">
        <v>30000</v>
      </c>
      <c r="AZ170" s="7">
        <v>40000</v>
      </c>
      <c r="BA170" s="7">
        <v>50000</v>
      </c>
      <c r="BB170">
        <v>4</v>
      </c>
      <c r="BC170" s="7"/>
      <c r="BD170" s="7"/>
      <c r="BE170" s="7">
        <v>240</v>
      </c>
      <c r="BG170" s="7">
        <v>2</v>
      </c>
      <c r="BL170" s="7">
        <v>0</v>
      </c>
    </row>
    <row r="171" spans="1:64">
      <c r="A171">
        <v>10521</v>
      </c>
      <c r="B171" t="s">
        <v>1840</v>
      </c>
      <c r="C171" t="s">
        <v>37</v>
      </c>
      <c r="D171" t="s">
        <v>38</v>
      </c>
      <c r="E171">
        <v>1</v>
      </c>
      <c r="F171" t="s">
        <v>959</v>
      </c>
      <c r="G171">
        <v>0</v>
      </c>
      <c r="H171">
        <v>0</v>
      </c>
      <c r="I171">
        <v>99999</v>
      </c>
      <c r="J171">
        <v>0</v>
      </c>
      <c r="K171">
        <v>0</v>
      </c>
      <c r="L171" t="s">
        <v>1562</v>
      </c>
      <c r="M171" s="7">
        <v>1</v>
      </c>
      <c r="N171" s="7">
        <v>1</v>
      </c>
      <c r="P171">
        <v>0</v>
      </c>
      <c r="Q171">
        <v>0</v>
      </c>
      <c r="S171" s="7">
        <v>10000</v>
      </c>
      <c r="T171">
        <v>0</v>
      </c>
      <c r="V171">
        <v>1</v>
      </c>
      <c r="W171">
        <v>1</v>
      </c>
      <c r="Y171" t="s">
        <v>635</v>
      </c>
      <c r="Z171" t="s">
        <v>2522</v>
      </c>
      <c r="AA171" s="7" t="s">
        <v>2296</v>
      </c>
      <c r="AB171">
        <v>0</v>
      </c>
      <c r="AC171" s="7">
        <v>4</v>
      </c>
      <c r="AD171">
        <v>0</v>
      </c>
      <c r="AE171">
        <v>0</v>
      </c>
      <c r="AF171">
        <v>1</v>
      </c>
      <c r="AI171" s="7">
        <v>1200</v>
      </c>
      <c r="AJ171" s="7">
        <v>1</v>
      </c>
      <c r="AK171" s="7">
        <v>0</v>
      </c>
      <c r="AL171" s="7">
        <v>0</v>
      </c>
      <c r="AM171" s="7">
        <v>0</v>
      </c>
      <c r="AN171" s="7">
        <v>0</v>
      </c>
      <c r="AP171">
        <v>1</v>
      </c>
      <c r="AQ171" s="7">
        <v>1</v>
      </c>
      <c r="AR171" s="7">
        <v>1</v>
      </c>
      <c r="AS171" s="7">
        <v>1</v>
      </c>
      <c r="AV171" s="7">
        <v>1</v>
      </c>
      <c r="AY171">
        <v>30000</v>
      </c>
      <c r="AZ171" s="7">
        <v>40000</v>
      </c>
      <c r="BA171" s="7">
        <v>50000</v>
      </c>
      <c r="BB171">
        <v>4</v>
      </c>
      <c r="BC171" s="7"/>
      <c r="BD171" s="7"/>
      <c r="BE171" s="7">
        <v>240</v>
      </c>
      <c r="BG171" s="7">
        <v>2</v>
      </c>
      <c r="BL171" s="7">
        <v>0</v>
      </c>
    </row>
    <row r="172" spans="1:64" s="15" customFormat="1">
      <c r="A172" s="15">
        <v>10522</v>
      </c>
      <c r="B172" s="15" t="s">
        <v>1841</v>
      </c>
      <c r="C172" s="15" t="s">
        <v>37</v>
      </c>
      <c r="D172" s="15" t="s">
        <v>38</v>
      </c>
      <c r="E172" s="15">
        <v>1</v>
      </c>
      <c r="F172" s="15" t="s">
        <v>959</v>
      </c>
      <c r="G172" s="15">
        <v>0</v>
      </c>
      <c r="H172" s="15">
        <v>0</v>
      </c>
      <c r="I172" s="15">
        <v>99999</v>
      </c>
      <c r="J172" s="15">
        <v>0</v>
      </c>
      <c r="K172" s="15">
        <v>0</v>
      </c>
      <c r="L172" s="15" t="s">
        <v>1562</v>
      </c>
      <c r="M172" s="16">
        <v>1</v>
      </c>
      <c r="N172" s="16">
        <v>1</v>
      </c>
      <c r="P172" s="15">
        <v>0</v>
      </c>
      <c r="Q172" s="15">
        <v>0</v>
      </c>
      <c r="S172" s="15">
        <v>20000</v>
      </c>
      <c r="T172" s="15">
        <v>0</v>
      </c>
      <c r="V172" s="15">
        <v>1</v>
      </c>
      <c r="W172" s="15">
        <v>1</v>
      </c>
      <c r="X172" s="30"/>
      <c r="Y172" s="15" t="s">
        <v>636</v>
      </c>
      <c r="Z172" s="15" t="s">
        <v>2523</v>
      </c>
      <c r="AA172" s="15" t="s">
        <v>2296</v>
      </c>
      <c r="AB172" s="15">
        <v>0</v>
      </c>
      <c r="AC172" s="16">
        <v>4</v>
      </c>
      <c r="AD172" s="15">
        <v>0</v>
      </c>
      <c r="AE172" s="15">
        <v>0</v>
      </c>
      <c r="AF172" s="15">
        <v>1</v>
      </c>
      <c r="AI172" s="16">
        <v>24</v>
      </c>
      <c r="AJ172" s="16">
        <v>30</v>
      </c>
      <c r="AK172" s="16">
        <v>0</v>
      </c>
      <c r="AL172" s="16">
        <v>0</v>
      </c>
      <c r="AM172" s="16">
        <v>0</v>
      </c>
      <c r="AN172" s="16">
        <v>0</v>
      </c>
      <c r="AO172" s="16"/>
      <c r="AP172" s="15">
        <v>1</v>
      </c>
      <c r="AQ172" s="16">
        <v>1</v>
      </c>
      <c r="AR172" s="16">
        <v>1</v>
      </c>
      <c r="AS172" s="16">
        <v>1</v>
      </c>
      <c r="AV172" s="16">
        <v>1</v>
      </c>
      <c r="AY172" s="15">
        <v>30000</v>
      </c>
      <c r="AZ172" s="15">
        <v>40000</v>
      </c>
      <c r="BA172" s="15">
        <v>50000</v>
      </c>
      <c r="BB172" s="15">
        <v>4</v>
      </c>
      <c r="BC172" s="7"/>
      <c r="BD172" s="7"/>
      <c r="BE172" s="16">
        <v>240</v>
      </c>
      <c r="BG172" s="15">
        <v>2</v>
      </c>
      <c r="BL172" s="7">
        <v>0</v>
      </c>
    </row>
    <row r="173" spans="1:64" s="15" customFormat="1">
      <c r="A173" s="15">
        <v>10523</v>
      </c>
      <c r="B173" s="15" t="s">
        <v>1842</v>
      </c>
      <c r="C173" s="15" t="s">
        <v>37</v>
      </c>
      <c r="D173" s="15" t="s">
        <v>38</v>
      </c>
      <c r="E173" s="15">
        <v>1</v>
      </c>
      <c r="F173" s="15" t="s">
        <v>959</v>
      </c>
      <c r="G173" s="15">
        <v>0</v>
      </c>
      <c r="H173" s="15">
        <v>0</v>
      </c>
      <c r="I173" s="15">
        <v>99999</v>
      </c>
      <c r="J173" s="15">
        <v>0</v>
      </c>
      <c r="K173" s="15">
        <v>0</v>
      </c>
      <c r="L173" s="15" t="s">
        <v>1562</v>
      </c>
      <c r="M173" s="16">
        <v>1</v>
      </c>
      <c r="N173" s="7">
        <v>1</v>
      </c>
      <c r="P173" s="15">
        <v>0</v>
      </c>
      <c r="Q173" s="15">
        <v>0</v>
      </c>
      <c r="S173" s="15">
        <v>40000</v>
      </c>
      <c r="T173" s="15">
        <v>0</v>
      </c>
      <c r="V173" s="15">
        <v>1</v>
      </c>
      <c r="W173" s="15">
        <v>1</v>
      </c>
      <c r="X173" s="30"/>
      <c r="Y173" s="15" t="s">
        <v>637</v>
      </c>
      <c r="Z173" s="15" t="s">
        <v>2524</v>
      </c>
      <c r="AA173" s="15" t="s">
        <v>2296</v>
      </c>
      <c r="AB173" s="15">
        <v>0</v>
      </c>
      <c r="AC173" s="7">
        <v>4</v>
      </c>
      <c r="AD173" s="15">
        <v>0</v>
      </c>
      <c r="AE173" s="15">
        <v>0</v>
      </c>
      <c r="AF173" s="15">
        <v>1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P173" s="15">
        <v>1</v>
      </c>
      <c r="AQ173" s="15">
        <v>1</v>
      </c>
      <c r="AR173" s="15">
        <v>1</v>
      </c>
      <c r="AS173" s="15">
        <v>1</v>
      </c>
      <c r="AV173" s="15">
        <v>1</v>
      </c>
      <c r="AY173" s="15">
        <v>30000</v>
      </c>
      <c r="AZ173" s="15">
        <v>40000</v>
      </c>
      <c r="BA173" s="15">
        <v>50000</v>
      </c>
      <c r="BB173" s="15">
        <v>4</v>
      </c>
      <c r="BC173" s="7"/>
      <c r="BD173" s="7"/>
      <c r="BE173" s="7">
        <v>240</v>
      </c>
      <c r="BG173" s="15">
        <v>2</v>
      </c>
      <c r="BL173" s="7">
        <v>0</v>
      </c>
    </row>
    <row r="174" spans="1:64" s="15" customFormat="1">
      <c r="A174" s="15">
        <v>10524</v>
      </c>
      <c r="B174" s="15" t="s">
        <v>1843</v>
      </c>
      <c r="C174" s="15" t="s">
        <v>37</v>
      </c>
      <c r="D174" s="15" t="s">
        <v>38</v>
      </c>
      <c r="E174" s="15">
        <v>1</v>
      </c>
      <c r="F174" s="15" t="s">
        <v>959</v>
      </c>
      <c r="G174" s="15">
        <v>0</v>
      </c>
      <c r="H174" s="15">
        <v>0</v>
      </c>
      <c r="I174" s="15">
        <v>99999</v>
      </c>
      <c r="J174" s="15">
        <v>0</v>
      </c>
      <c r="K174" s="15">
        <v>0</v>
      </c>
      <c r="L174" s="15" t="s">
        <v>1562</v>
      </c>
      <c r="M174" s="16">
        <v>1</v>
      </c>
      <c r="N174" s="7">
        <v>1</v>
      </c>
      <c r="P174" s="15">
        <v>0</v>
      </c>
      <c r="Q174" s="15">
        <v>0</v>
      </c>
      <c r="S174" s="15">
        <v>80000</v>
      </c>
      <c r="T174" s="15">
        <v>0</v>
      </c>
      <c r="V174" s="15">
        <v>1</v>
      </c>
      <c r="W174" s="15">
        <v>1</v>
      </c>
      <c r="X174" s="30"/>
      <c r="Y174" s="15" t="s">
        <v>638</v>
      </c>
      <c r="Z174" s="15" t="s">
        <v>2525</v>
      </c>
      <c r="AA174" s="15" t="s">
        <v>2296</v>
      </c>
      <c r="AB174" s="15">
        <v>0</v>
      </c>
      <c r="AC174" s="7">
        <v>4</v>
      </c>
      <c r="AD174" s="15">
        <v>0</v>
      </c>
      <c r="AE174" s="15">
        <v>0</v>
      </c>
      <c r="AF174" s="15">
        <v>1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P174" s="15">
        <v>1</v>
      </c>
      <c r="AQ174" s="15">
        <v>1</v>
      </c>
      <c r="AR174" s="15">
        <v>1</v>
      </c>
      <c r="AS174" s="15">
        <v>1</v>
      </c>
      <c r="AV174" s="15">
        <v>1</v>
      </c>
      <c r="AY174" s="15">
        <v>30000</v>
      </c>
      <c r="AZ174" s="15">
        <v>40000</v>
      </c>
      <c r="BA174" s="15">
        <v>50000</v>
      </c>
      <c r="BB174" s="15">
        <v>4</v>
      </c>
      <c r="BC174" s="7"/>
      <c r="BD174" s="7"/>
      <c r="BE174" s="7">
        <v>240</v>
      </c>
      <c r="BG174" s="15">
        <v>2</v>
      </c>
      <c r="BL174" s="7">
        <v>0</v>
      </c>
    </row>
    <row r="175" spans="1:64" s="15" customFormat="1">
      <c r="A175" s="15">
        <v>10525</v>
      </c>
      <c r="B175" s="15" t="s">
        <v>1844</v>
      </c>
      <c r="C175" s="15" t="s">
        <v>37</v>
      </c>
      <c r="D175" s="15" t="s">
        <v>38</v>
      </c>
      <c r="E175" s="15">
        <v>1</v>
      </c>
      <c r="F175" s="15" t="s">
        <v>959</v>
      </c>
      <c r="G175" s="15">
        <v>0</v>
      </c>
      <c r="H175" s="15">
        <v>0</v>
      </c>
      <c r="I175" s="15">
        <v>99999</v>
      </c>
      <c r="J175" s="15">
        <v>0</v>
      </c>
      <c r="K175" s="15">
        <v>0</v>
      </c>
      <c r="L175" s="15" t="s">
        <v>1562</v>
      </c>
      <c r="M175" s="16">
        <v>1</v>
      </c>
      <c r="N175" s="7">
        <v>1</v>
      </c>
      <c r="P175" s="15">
        <v>0</v>
      </c>
      <c r="Q175" s="15">
        <v>0</v>
      </c>
      <c r="S175" s="15">
        <v>80000</v>
      </c>
      <c r="T175" s="15">
        <v>0</v>
      </c>
      <c r="V175" s="15">
        <v>1</v>
      </c>
      <c r="W175" s="15">
        <v>1</v>
      </c>
      <c r="X175" s="30"/>
      <c r="Y175" s="15" t="s">
        <v>639</v>
      </c>
      <c r="Z175" s="15" t="s">
        <v>2526</v>
      </c>
      <c r="AA175" s="15" t="s">
        <v>2296</v>
      </c>
      <c r="AB175" s="15">
        <v>0</v>
      </c>
      <c r="AC175" s="7">
        <v>4</v>
      </c>
      <c r="AD175" s="15">
        <v>0</v>
      </c>
      <c r="AE175" s="15">
        <v>0</v>
      </c>
      <c r="AF175" s="15">
        <v>1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P175" s="15">
        <v>1</v>
      </c>
      <c r="AQ175" s="15">
        <v>1</v>
      </c>
      <c r="AR175" s="15">
        <v>1</v>
      </c>
      <c r="AS175" s="15">
        <v>1</v>
      </c>
      <c r="AV175" s="15">
        <v>1</v>
      </c>
      <c r="AY175" s="15">
        <v>30000</v>
      </c>
      <c r="AZ175" s="15">
        <v>40000</v>
      </c>
      <c r="BA175" s="15">
        <v>50000</v>
      </c>
      <c r="BB175" s="15">
        <v>4</v>
      </c>
      <c r="BC175" s="7"/>
      <c r="BD175" s="7"/>
      <c r="BE175" s="7">
        <v>240</v>
      </c>
      <c r="BG175" s="15">
        <v>2</v>
      </c>
      <c r="BL175" s="7">
        <v>0</v>
      </c>
    </row>
    <row r="176" spans="1:64" s="15" customFormat="1">
      <c r="A176" s="15">
        <v>10526</v>
      </c>
      <c r="B176" s="15" t="s">
        <v>1845</v>
      </c>
      <c r="C176" s="15" t="s">
        <v>37</v>
      </c>
      <c r="D176" s="15" t="s">
        <v>38</v>
      </c>
      <c r="E176" s="15">
        <v>1</v>
      </c>
      <c r="F176" s="15" t="s">
        <v>959</v>
      </c>
      <c r="G176" s="15">
        <v>0</v>
      </c>
      <c r="H176" s="15">
        <v>0</v>
      </c>
      <c r="I176" s="15">
        <v>99999</v>
      </c>
      <c r="J176" s="15">
        <v>0</v>
      </c>
      <c r="K176" s="15">
        <v>0</v>
      </c>
      <c r="L176" s="15" t="s">
        <v>1562</v>
      </c>
      <c r="M176" s="16">
        <v>1</v>
      </c>
      <c r="N176" s="7">
        <v>1</v>
      </c>
      <c r="P176" s="15">
        <v>0</v>
      </c>
      <c r="Q176" s="15">
        <v>0</v>
      </c>
      <c r="S176" s="15">
        <v>80000</v>
      </c>
      <c r="T176" s="15">
        <v>0</v>
      </c>
      <c r="V176" s="15">
        <v>1</v>
      </c>
      <c r="W176" s="15">
        <v>1</v>
      </c>
      <c r="X176" s="30"/>
      <c r="Y176" s="15" t="s">
        <v>640</v>
      </c>
      <c r="Z176" s="15" t="s">
        <v>2527</v>
      </c>
      <c r="AA176" s="15" t="s">
        <v>2296</v>
      </c>
      <c r="AB176" s="15">
        <v>0</v>
      </c>
      <c r="AC176" s="7">
        <v>4</v>
      </c>
      <c r="AD176" s="15">
        <v>0</v>
      </c>
      <c r="AE176" s="15">
        <v>0</v>
      </c>
      <c r="AF176" s="15">
        <v>1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P176" s="15">
        <v>1</v>
      </c>
      <c r="AQ176" s="15">
        <v>1</v>
      </c>
      <c r="AR176" s="15">
        <v>1</v>
      </c>
      <c r="AS176" s="15">
        <v>1</v>
      </c>
      <c r="AV176" s="15">
        <v>1</v>
      </c>
      <c r="AY176" s="15">
        <v>30000</v>
      </c>
      <c r="AZ176" s="15">
        <v>40000</v>
      </c>
      <c r="BA176" s="15">
        <v>50000</v>
      </c>
      <c r="BB176" s="15">
        <v>4</v>
      </c>
      <c r="BC176" s="7"/>
      <c r="BD176" s="7"/>
      <c r="BE176" s="7">
        <v>240</v>
      </c>
      <c r="BG176" s="15">
        <v>2</v>
      </c>
      <c r="BL176" s="7">
        <v>0</v>
      </c>
    </row>
    <row r="177" spans="1:64" s="15" customFormat="1">
      <c r="A177" s="15">
        <v>10527</v>
      </c>
      <c r="B177" s="15" t="s">
        <v>1846</v>
      </c>
      <c r="C177" s="15" t="s">
        <v>37</v>
      </c>
      <c r="D177" s="15" t="s">
        <v>38</v>
      </c>
      <c r="E177" s="15">
        <v>1</v>
      </c>
      <c r="F177" s="15" t="s">
        <v>959</v>
      </c>
      <c r="G177" s="15">
        <v>0</v>
      </c>
      <c r="H177" s="15">
        <v>0</v>
      </c>
      <c r="I177" s="15">
        <v>99999</v>
      </c>
      <c r="J177" s="15">
        <v>0</v>
      </c>
      <c r="K177" s="15">
        <v>0</v>
      </c>
      <c r="L177" s="15" t="s">
        <v>1562</v>
      </c>
      <c r="M177" s="16">
        <v>1</v>
      </c>
      <c r="N177" s="7">
        <v>1</v>
      </c>
      <c r="P177" s="15">
        <v>0</v>
      </c>
      <c r="Q177" s="15">
        <v>0</v>
      </c>
      <c r="S177" s="15">
        <v>80000</v>
      </c>
      <c r="T177" s="15">
        <v>0</v>
      </c>
      <c r="V177" s="15">
        <v>1</v>
      </c>
      <c r="W177" s="15">
        <v>1</v>
      </c>
      <c r="X177" s="30"/>
      <c r="Y177" s="15" t="s">
        <v>641</v>
      </c>
      <c r="Z177" s="15" t="s">
        <v>2528</v>
      </c>
      <c r="AA177" s="15" t="s">
        <v>2296</v>
      </c>
      <c r="AB177" s="15">
        <v>0</v>
      </c>
      <c r="AC177" s="7">
        <v>4</v>
      </c>
      <c r="AD177" s="15">
        <v>0</v>
      </c>
      <c r="AE177" s="15">
        <v>0</v>
      </c>
      <c r="AF177" s="15">
        <v>1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P177" s="15">
        <v>1</v>
      </c>
      <c r="AQ177" s="15">
        <v>1</v>
      </c>
      <c r="AR177" s="15">
        <v>1</v>
      </c>
      <c r="AS177" s="15">
        <v>1</v>
      </c>
      <c r="AV177" s="15">
        <v>1</v>
      </c>
      <c r="AY177" s="15">
        <v>30000</v>
      </c>
      <c r="AZ177" s="15">
        <v>40000</v>
      </c>
      <c r="BA177" s="15">
        <v>50000</v>
      </c>
      <c r="BB177" s="15">
        <v>4</v>
      </c>
      <c r="BC177" s="7"/>
      <c r="BD177" s="7"/>
      <c r="BE177" s="7">
        <v>240</v>
      </c>
      <c r="BG177" s="15">
        <v>2</v>
      </c>
      <c r="BL177" s="7">
        <v>0</v>
      </c>
    </row>
    <row r="178" spans="1:64" s="15" customFormat="1">
      <c r="A178" s="15">
        <v>10528</v>
      </c>
      <c r="B178" s="15" t="s">
        <v>1847</v>
      </c>
      <c r="C178" s="15" t="s">
        <v>37</v>
      </c>
      <c r="D178" s="15" t="s">
        <v>38</v>
      </c>
      <c r="E178" s="15">
        <v>1</v>
      </c>
      <c r="F178" s="15" t="s">
        <v>959</v>
      </c>
      <c r="G178" s="15">
        <v>0</v>
      </c>
      <c r="H178" s="15">
        <v>0</v>
      </c>
      <c r="I178" s="15">
        <v>99999</v>
      </c>
      <c r="J178" s="15">
        <v>0</v>
      </c>
      <c r="K178" s="15">
        <v>0</v>
      </c>
      <c r="L178" s="15" t="s">
        <v>1562</v>
      </c>
      <c r="M178" s="16">
        <v>1</v>
      </c>
      <c r="N178" s="7">
        <v>1</v>
      </c>
      <c r="P178" s="15">
        <v>0</v>
      </c>
      <c r="Q178" s="15">
        <v>0</v>
      </c>
      <c r="S178" s="15">
        <v>80000</v>
      </c>
      <c r="T178" s="15">
        <v>0</v>
      </c>
      <c r="V178" s="15">
        <v>1</v>
      </c>
      <c r="W178" s="15">
        <v>1</v>
      </c>
      <c r="X178" s="30"/>
      <c r="Y178" s="15" t="s">
        <v>642</v>
      </c>
      <c r="Z178" s="15" t="s">
        <v>2529</v>
      </c>
      <c r="AA178" s="15" t="s">
        <v>2296</v>
      </c>
      <c r="AB178" s="15">
        <v>0</v>
      </c>
      <c r="AC178" s="7">
        <v>4</v>
      </c>
      <c r="AD178" s="15">
        <v>0</v>
      </c>
      <c r="AE178" s="15">
        <v>0</v>
      </c>
      <c r="AF178" s="15">
        <v>1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P178" s="15">
        <v>1</v>
      </c>
      <c r="AQ178" s="15">
        <v>1</v>
      </c>
      <c r="AR178" s="15">
        <v>1</v>
      </c>
      <c r="AS178" s="15">
        <v>1</v>
      </c>
      <c r="AV178" s="15">
        <v>1</v>
      </c>
      <c r="AY178" s="15">
        <v>30000</v>
      </c>
      <c r="AZ178" s="15">
        <v>40000</v>
      </c>
      <c r="BA178" s="15">
        <v>50000</v>
      </c>
      <c r="BB178" s="15">
        <v>4</v>
      </c>
      <c r="BC178" s="7"/>
      <c r="BD178" s="7"/>
      <c r="BE178" s="7">
        <v>240</v>
      </c>
      <c r="BG178" s="15">
        <v>2</v>
      </c>
      <c r="BL178" s="7">
        <v>0</v>
      </c>
    </row>
    <row r="179" spans="1:64" s="15" customFormat="1">
      <c r="A179" s="15">
        <v>10529</v>
      </c>
      <c r="B179" s="15" t="s">
        <v>1848</v>
      </c>
      <c r="C179" s="15" t="s">
        <v>37</v>
      </c>
      <c r="D179" s="15" t="s">
        <v>38</v>
      </c>
      <c r="E179" s="15">
        <v>1</v>
      </c>
      <c r="F179" s="15" t="s">
        <v>959</v>
      </c>
      <c r="G179" s="15">
        <v>0</v>
      </c>
      <c r="H179" s="15">
        <v>0</v>
      </c>
      <c r="I179" s="15">
        <v>99999</v>
      </c>
      <c r="J179" s="15">
        <v>0</v>
      </c>
      <c r="K179" s="15">
        <v>0</v>
      </c>
      <c r="L179" s="15" t="s">
        <v>1562</v>
      </c>
      <c r="M179" s="16">
        <v>1</v>
      </c>
      <c r="N179" s="7">
        <v>1</v>
      </c>
      <c r="P179" s="15">
        <v>0</v>
      </c>
      <c r="Q179" s="15">
        <v>0</v>
      </c>
      <c r="S179" s="15">
        <v>80000</v>
      </c>
      <c r="T179" s="15">
        <v>0</v>
      </c>
      <c r="V179" s="15">
        <v>1</v>
      </c>
      <c r="W179" s="15">
        <v>1</v>
      </c>
      <c r="X179" s="30"/>
      <c r="Y179" s="15" t="s">
        <v>643</v>
      </c>
      <c r="Z179" s="15" t="s">
        <v>2530</v>
      </c>
      <c r="AA179" s="15" t="s">
        <v>2296</v>
      </c>
      <c r="AB179" s="15">
        <v>0</v>
      </c>
      <c r="AC179" s="7">
        <v>4</v>
      </c>
      <c r="AD179" s="15">
        <v>0</v>
      </c>
      <c r="AE179" s="15">
        <v>0</v>
      </c>
      <c r="AF179" s="15">
        <v>1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P179" s="15">
        <v>1</v>
      </c>
      <c r="AQ179" s="15">
        <v>1</v>
      </c>
      <c r="AR179" s="15">
        <v>1</v>
      </c>
      <c r="AS179" s="15">
        <v>1</v>
      </c>
      <c r="AV179" s="15">
        <v>1</v>
      </c>
      <c r="AY179" s="15">
        <v>30000</v>
      </c>
      <c r="AZ179" s="15">
        <v>40000</v>
      </c>
      <c r="BA179" s="15">
        <v>50000</v>
      </c>
      <c r="BB179" s="15">
        <v>4</v>
      </c>
      <c r="BC179" s="7"/>
      <c r="BD179" s="7"/>
      <c r="BE179" s="7">
        <v>240</v>
      </c>
      <c r="BG179" s="15">
        <v>2</v>
      </c>
      <c r="BL179" s="7">
        <v>0</v>
      </c>
    </row>
    <row r="180" spans="1:64" s="15" customFormat="1">
      <c r="A180" s="15">
        <v>10900</v>
      </c>
      <c r="B180" s="15" t="s">
        <v>644</v>
      </c>
      <c r="C180" s="15" t="s">
        <v>37</v>
      </c>
      <c r="D180" s="15" t="s">
        <v>38</v>
      </c>
      <c r="E180" s="15">
        <v>1</v>
      </c>
      <c r="F180" s="15" t="s">
        <v>959</v>
      </c>
      <c r="G180" s="15">
        <v>0</v>
      </c>
      <c r="H180" s="15">
        <v>0</v>
      </c>
      <c r="I180" s="15">
        <v>99999</v>
      </c>
      <c r="J180" s="15">
        <v>0</v>
      </c>
      <c r="K180" s="15">
        <v>0</v>
      </c>
      <c r="L180" s="15" t="s">
        <v>1562</v>
      </c>
      <c r="M180" s="16">
        <v>1</v>
      </c>
      <c r="N180" s="7">
        <v>1</v>
      </c>
      <c r="P180" s="15">
        <v>0</v>
      </c>
      <c r="Q180" s="15">
        <v>0</v>
      </c>
      <c r="S180" s="7">
        <v>5000</v>
      </c>
      <c r="T180" s="15">
        <v>0</v>
      </c>
      <c r="V180" s="15">
        <v>1</v>
      </c>
      <c r="W180" s="15">
        <v>1</v>
      </c>
      <c r="X180" s="30"/>
      <c r="Y180" s="15" t="s">
        <v>645</v>
      </c>
      <c r="Z180" s="15" t="s">
        <v>3077</v>
      </c>
      <c r="AA180" s="15" t="s">
        <v>527</v>
      </c>
      <c r="AB180" s="15">
        <v>0</v>
      </c>
      <c r="AC180" s="7">
        <v>4</v>
      </c>
      <c r="AD180" s="15">
        <v>0</v>
      </c>
      <c r="AE180" s="15">
        <v>0</v>
      </c>
      <c r="AF180" s="15">
        <v>1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P180" s="15">
        <v>1</v>
      </c>
      <c r="AQ180" s="15">
        <v>1</v>
      </c>
      <c r="AR180" s="15">
        <v>1</v>
      </c>
      <c r="AS180" s="15">
        <v>1</v>
      </c>
      <c r="AV180" s="15">
        <v>1</v>
      </c>
      <c r="AY180" s="15">
        <v>30000</v>
      </c>
      <c r="AZ180" s="15">
        <v>40000</v>
      </c>
      <c r="BA180" s="15">
        <v>50000</v>
      </c>
      <c r="BB180" s="15">
        <v>4</v>
      </c>
      <c r="BC180" s="7"/>
      <c r="BD180" s="7"/>
      <c r="BE180" s="7">
        <v>240</v>
      </c>
      <c r="BG180" s="15">
        <v>2</v>
      </c>
      <c r="BL180" s="7">
        <v>0</v>
      </c>
    </row>
    <row r="181" spans="1:64" s="15" customFormat="1">
      <c r="A181" s="15">
        <v>10901</v>
      </c>
      <c r="B181" s="15" t="s">
        <v>210</v>
      </c>
      <c r="C181" s="15" t="s">
        <v>37</v>
      </c>
      <c r="D181" s="15" t="s">
        <v>38</v>
      </c>
      <c r="E181" s="15">
        <v>1</v>
      </c>
      <c r="F181" s="15" t="s">
        <v>959</v>
      </c>
      <c r="G181" s="15">
        <v>0</v>
      </c>
      <c r="H181" s="15">
        <v>0</v>
      </c>
      <c r="I181" s="15">
        <v>99999</v>
      </c>
      <c r="J181" s="15">
        <v>0</v>
      </c>
      <c r="K181" s="15">
        <v>0</v>
      </c>
      <c r="L181" s="15" t="s">
        <v>1562</v>
      </c>
      <c r="M181" s="16">
        <v>1</v>
      </c>
      <c r="N181" s="7">
        <v>1</v>
      </c>
      <c r="P181" s="15">
        <v>0</v>
      </c>
      <c r="Q181" s="15">
        <v>0</v>
      </c>
      <c r="S181" s="7">
        <v>10000</v>
      </c>
      <c r="T181" s="15">
        <v>0</v>
      </c>
      <c r="V181" s="15">
        <v>1</v>
      </c>
      <c r="W181" s="15">
        <v>1</v>
      </c>
      <c r="X181" s="30"/>
      <c r="Y181" s="15" t="s">
        <v>646</v>
      </c>
      <c r="Z181" s="15" t="s">
        <v>3077</v>
      </c>
      <c r="AA181" s="15" t="s">
        <v>527</v>
      </c>
      <c r="AB181" s="15">
        <v>0</v>
      </c>
      <c r="AC181" s="7">
        <v>4</v>
      </c>
      <c r="AD181" s="15">
        <v>0</v>
      </c>
      <c r="AE181" s="15">
        <v>0</v>
      </c>
      <c r="AF181" s="15">
        <v>1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P181" s="15">
        <v>1</v>
      </c>
      <c r="AQ181" s="15">
        <v>1</v>
      </c>
      <c r="AR181" s="15">
        <v>1</v>
      </c>
      <c r="AS181" s="15">
        <v>1</v>
      </c>
      <c r="AV181" s="15">
        <v>1</v>
      </c>
      <c r="AY181" s="15">
        <v>30000</v>
      </c>
      <c r="AZ181" s="15">
        <v>40000</v>
      </c>
      <c r="BA181" s="15">
        <v>50000</v>
      </c>
      <c r="BB181" s="15">
        <v>4</v>
      </c>
      <c r="BC181" s="7"/>
      <c r="BD181" s="7"/>
      <c r="BE181" s="7">
        <v>240</v>
      </c>
      <c r="BG181" s="15">
        <v>2</v>
      </c>
      <c r="BL181" s="7">
        <v>0</v>
      </c>
    </row>
    <row r="182" spans="1:64" s="15" customFormat="1">
      <c r="A182" s="15">
        <v>10902</v>
      </c>
      <c r="B182" s="15" t="s">
        <v>211</v>
      </c>
      <c r="C182" s="15" t="s">
        <v>37</v>
      </c>
      <c r="D182" s="15" t="s">
        <v>38</v>
      </c>
      <c r="E182" s="15">
        <v>1</v>
      </c>
      <c r="F182" s="15" t="s">
        <v>959</v>
      </c>
      <c r="G182" s="15">
        <v>0</v>
      </c>
      <c r="H182" s="15">
        <v>0</v>
      </c>
      <c r="I182" s="15">
        <v>99999</v>
      </c>
      <c r="J182" s="15">
        <v>0</v>
      </c>
      <c r="K182" s="15">
        <v>0</v>
      </c>
      <c r="L182" s="15" t="s">
        <v>1562</v>
      </c>
      <c r="M182" s="16">
        <v>1</v>
      </c>
      <c r="N182" s="7">
        <v>1</v>
      </c>
      <c r="P182" s="15">
        <v>0</v>
      </c>
      <c r="Q182" s="15">
        <v>0</v>
      </c>
      <c r="S182" s="15">
        <v>20000</v>
      </c>
      <c r="T182" s="15">
        <v>0</v>
      </c>
      <c r="V182" s="15">
        <v>1</v>
      </c>
      <c r="W182" s="15">
        <v>1</v>
      </c>
      <c r="X182" s="30"/>
      <c r="Y182" s="15" t="s">
        <v>647</v>
      </c>
      <c r="Z182" s="15" t="s">
        <v>3077</v>
      </c>
      <c r="AA182" s="15" t="s">
        <v>527</v>
      </c>
      <c r="AB182" s="15">
        <v>0</v>
      </c>
      <c r="AC182" s="7">
        <v>4</v>
      </c>
      <c r="AD182" s="15">
        <v>0</v>
      </c>
      <c r="AE182" s="15">
        <v>0</v>
      </c>
      <c r="AF182" s="15">
        <v>1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P182" s="15">
        <v>1</v>
      </c>
      <c r="AQ182" s="15">
        <v>1</v>
      </c>
      <c r="AR182" s="15">
        <v>1</v>
      </c>
      <c r="AS182" s="15">
        <v>1</v>
      </c>
      <c r="AV182" s="15">
        <v>1</v>
      </c>
      <c r="AY182" s="15">
        <v>30000</v>
      </c>
      <c r="AZ182" s="15">
        <v>40000</v>
      </c>
      <c r="BA182" s="15">
        <v>50000</v>
      </c>
      <c r="BB182" s="15">
        <v>4</v>
      </c>
      <c r="BC182" s="7"/>
      <c r="BD182" s="7"/>
      <c r="BE182" s="7">
        <v>240</v>
      </c>
      <c r="BG182" s="15">
        <v>2</v>
      </c>
      <c r="BL182" s="7">
        <v>0</v>
      </c>
    </row>
    <row r="183" spans="1:64" s="15" customFormat="1">
      <c r="A183" s="15">
        <v>10903</v>
      </c>
      <c r="B183" s="15" t="s">
        <v>212</v>
      </c>
      <c r="C183" s="15" t="s">
        <v>37</v>
      </c>
      <c r="D183" s="15" t="s">
        <v>38</v>
      </c>
      <c r="E183" s="15">
        <v>1</v>
      </c>
      <c r="F183" s="15" t="s">
        <v>959</v>
      </c>
      <c r="G183" s="15">
        <v>0</v>
      </c>
      <c r="H183" s="15">
        <v>0</v>
      </c>
      <c r="I183" s="15">
        <v>99999</v>
      </c>
      <c r="J183" s="15">
        <v>0</v>
      </c>
      <c r="K183" s="15">
        <v>0</v>
      </c>
      <c r="L183" s="15" t="s">
        <v>1562</v>
      </c>
      <c r="M183" s="16">
        <v>1</v>
      </c>
      <c r="N183" s="7">
        <v>1</v>
      </c>
      <c r="P183" s="15">
        <v>0</v>
      </c>
      <c r="Q183" s="15">
        <v>0</v>
      </c>
      <c r="S183" s="15">
        <v>40000</v>
      </c>
      <c r="T183" s="15">
        <v>0</v>
      </c>
      <c r="V183" s="15">
        <v>1</v>
      </c>
      <c r="W183" s="15">
        <v>1</v>
      </c>
      <c r="X183" s="30"/>
      <c r="Y183" s="15" t="s">
        <v>648</v>
      </c>
      <c r="Z183" s="15" t="s">
        <v>3077</v>
      </c>
      <c r="AA183" s="15" t="s">
        <v>527</v>
      </c>
      <c r="AB183" s="15">
        <v>0</v>
      </c>
      <c r="AC183" s="7">
        <v>4</v>
      </c>
      <c r="AD183" s="15">
        <v>0</v>
      </c>
      <c r="AE183" s="15">
        <v>0</v>
      </c>
      <c r="AF183" s="15">
        <v>1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P183" s="15">
        <v>1</v>
      </c>
      <c r="AQ183" s="15">
        <v>1</v>
      </c>
      <c r="AR183" s="15">
        <v>1</v>
      </c>
      <c r="AS183" s="15">
        <v>1</v>
      </c>
      <c r="AV183" s="15">
        <v>1</v>
      </c>
      <c r="AY183" s="15">
        <v>30000</v>
      </c>
      <c r="AZ183" s="15">
        <v>40000</v>
      </c>
      <c r="BA183" s="15">
        <v>50000</v>
      </c>
      <c r="BB183" s="15">
        <v>4</v>
      </c>
      <c r="BC183" s="7"/>
      <c r="BD183" s="7"/>
      <c r="BE183" s="7">
        <v>240</v>
      </c>
      <c r="BG183" s="15">
        <v>2</v>
      </c>
      <c r="BL183" s="7">
        <v>0</v>
      </c>
    </row>
    <row r="184" spans="1:64" s="15" customFormat="1">
      <c r="A184" s="15">
        <v>10904</v>
      </c>
      <c r="B184" s="15" t="s">
        <v>213</v>
      </c>
      <c r="C184" s="15" t="s">
        <v>37</v>
      </c>
      <c r="D184" s="15" t="s">
        <v>38</v>
      </c>
      <c r="E184" s="15">
        <v>1</v>
      </c>
      <c r="F184" s="15" t="s">
        <v>959</v>
      </c>
      <c r="G184" s="15">
        <v>0</v>
      </c>
      <c r="H184" s="15">
        <v>0</v>
      </c>
      <c r="I184" s="15">
        <v>99999</v>
      </c>
      <c r="J184" s="15">
        <v>0</v>
      </c>
      <c r="K184" s="15">
        <v>0</v>
      </c>
      <c r="L184" s="15" t="s">
        <v>1562</v>
      </c>
      <c r="M184" s="16">
        <v>1</v>
      </c>
      <c r="N184" s="7">
        <v>1</v>
      </c>
      <c r="P184" s="15">
        <v>0</v>
      </c>
      <c r="Q184" s="15">
        <v>0</v>
      </c>
      <c r="S184" s="15">
        <v>80000</v>
      </c>
      <c r="T184" s="15">
        <v>0</v>
      </c>
      <c r="V184" s="15">
        <v>1</v>
      </c>
      <c r="W184" s="15">
        <v>1</v>
      </c>
      <c r="X184" s="30"/>
      <c r="Y184" s="15" t="s">
        <v>649</v>
      </c>
      <c r="Z184" s="15" t="s">
        <v>3077</v>
      </c>
      <c r="AA184" s="15" t="s">
        <v>527</v>
      </c>
      <c r="AB184" s="15">
        <v>0</v>
      </c>
      <c r="AC184" s="7">
        <v>4</v>
      </c>
      <c r="AD184" s="15">
        <v>0</v>
      </c>
      <c r="AE184" s="15">
        <v>0</v>
      </c>
      <c r="AF184" s="15">
        <v>1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P184" s="15">
        <v>1</v>
      </c>
      <c r="AQ184" s="15">
        <v>1</v>
      </c>
      <c r="AR184" s="15">
        <v>1</v>
      </c>
      <c r="AS184" s="15">
        <v>1</v>
      </c>
      <c r="AV184" s="15">
        <v>1</v>
      </c>
      <c r="AY184" s="15">
        <v>30000</v>
      </c>
      <c r="AZ184" s="15">
        <v>40000</v>
      </c>
      <c r="BA184" s="15">
        <v>50000</v>
      </c>
      <c r="BB184" s="15">
        <v>4</v>
      </c>
      <c r="BC184" s="7"/>
      <c r="BD184" s="7"/>
      <c r="BE184" s="7">
        <v>240</v>
      </c>
      <c r="BG184" s="15">
        <v>2</v>
      </c>
      <c r="BL184" s="7">
        <v>0</v>
      </c>
    </row>
    <row r="185" spans="1:64" s="15" customFormat="1">
      <c r="A185" s="15">
        <v>10905</v>
      </c>
      <c r="B185" s="15" t="s">
        <v>214</v>
      </c>
      <c r="C185" s="15" t="s">
        <v>37</v>
      </c>
      <c r="D185" s="15" t="s">
        <v>38</v>
      </c>
      <c r="E185" s="15">
        <v>1</v>
      </c>
      <c r="F185" s="15" t="s">
        <v>959</v>
      </c>
      <c r="G185" s="15">
        <v>0</v>
      </c>
      <c r="H185" s="15">
        <v>0</v>
      </c>
      <c r="I185" s="15">
        <v>99999</v>
      </c>
      <c r="J185" s="15">
        <v>0</v>
      </c>
      <c r="K185" s="15">
        <v>0</v>
      </c>
      <c r="L185" s="15" t="s">
        <v>1562</v>
      </c>
      <c r="M185" s="16">
        <v>1</v>
      </c>
      <c r="N185" s="7">
        <v>1</v>
      </c>
      <c r="P185" s="15">
        <v>0</v>
      </c>
      <c r="Q185" s="15">
        <v>0</v>
      </c>
      <c r="S185" s="15">
        <v>80000</v>
      </c>
      <c r="T185" s="15">
        <v>0</v>
      </c>
      <c r="V185" s="15">
        <v>1</v>
      </c>
      <c r="W185" s="15">
        <v>1</v>
      </c>
      <c r="X185" s="30"/>
      <c r="Y185" s="15" t="s">
        <v>650</v>
      </c>
      <c r="Z185" s="15" t="s">
        <v>3077</v>
      </c>
      <c r="AA185" s="15" t="s">
        <v>527</v>
      </c>
      <c r="AB185" s="15">
        <v>0</v>
      </c>
      <c r="AC185" s="7">
        <v>4</v>
      </c>
      <c r="AD185" s="15">
        <v>0</v>
      </c>
      <c r="AE185" s="15">
        <v>0</v>
      </c>
      <c r="AF185" s="15">
        <v>1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P185" s="15">
        <v>1</v>
      </c>
      <c r="AQ185" s="15">
        <v>1</v>
      </c>
      <c r="AR185" s="15">
        <v>1</v>
      </c>
      <c r="AS185" s="15">
        <v>1</v>
      </c>
      <c r="AV185" s="15">
        <v>1</v>
      </c>
      <c r="AY185" s="15">
        <v>30000</v>
      </c>
      <c r="AZ185" s="15">
        <v>40000</v>
      </c>
      <c r="BA185" s="15">
        <v>50000</v>
      </c>
      <c r="BB185" s="15">
        <v>4</v>
      </c>
      <c r="BC185" s="7"/>
      <c r="BD185" s="7"/>
      <c r="BE185" s="7">
        <v>240</v>
      </c>
      <c r="BG185" s="15">
        <v>2</v>
      </c>
      <c r="BL185" s="7">
        <v>0</v>
      </c>
    </row>
    <row r="186" spans="1:64" s="15" customFormat="1">
      <c r="A186" s="15">
        <v>10906</v>
      </c>
      <c r="B186" s="15" t="s">
        <v>215</v>
      </c>
      <c r="C186" s="15" t="s">
        <v>37</v>
      </c>
      <c r="D186" s="15" t="s">
        <v>38</v>
      </c>
      <c r="E186" s="15">
        <v>1</v>
      </c>
      <c r="F186" s="15" t="s">
        <v>959</v>
      </c>
      <c r="G186" s="15">
        <v>0</v>
      </c>
      <c r="H186" s="15">
        <v>0</v>
      </c>
      <c r="I186" s="15">
        <v>99999</v>
      </c>
      <c r="J186" s="15">
        <v>0</v>
      </c>
      <c r="K186" s="15">
        <v>0</v>
      </c>
      <c r="L186" s="15" t="s">
        <v>1562</v>
      </c>
      <c r="M186" s="16">
        <v>1</v>
      </c>
      <c r="N186" s="7">
        <v>1</v>
      </c>
      <c r="P186" s="15">
        <v>0</v>
      </c>
      <c r="Q186" s="15">
        <v>0</v>
      </c>
      <c r="S186" s="15">
        <v>80000</v>
      </c>
      <c r="T186" s="15">
        <v>0</v>
      </c>
      <c r="V186" s="15">
        <v>1</v>
      </c>
      <c r="W186" s="15">
        <v>1</v>
      </c>
      <c r="X186" s="30"/>
      <c r="Y186" s="15" t="s">
        <v>651</v>
      </c>
      <c r="Z186" s="15" t="s">
        <v>3077</v>
      </c>
      <c r="AA186" s="15" t="s">
        <v>527</v>
      </c>
      <c r="AB186" s="15">
        <v>0</v>
      </c>
      <c r="AC186" s="7">
        <v>4</v>
      </c>
      <c r="AD186" s="15">
        <v>0</v>
      </c>
      <c r="AE186" s="15">
        <v>0</v>
      </c>
      <c r="AF186" s="15">
        <v>1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P186" s="15">
        <v>1</v>
      </c>
      <c r="AQ186" s="15">
        <v>1</v>
      </c>
      <c r="AR186" s="15">
        <v>1</v>
      </c>
      <c r="AS186" s="15">
        <v>1</v>
      </c>
      <c r="AV186" s="15">
        <v>1</v>
      </c>
      <c r="AY186" s="15">
        <v>30000</v>
      </c>
      <c r="AZ186" s="15">
        <v>40000</v>
      </c>
      <c r="BA186" s="15">
        <v>50000</v>
      </c>
      <c r="BB186" s="15">
        <v>4</v>
      </c>
      <c r="BC186" s="7"/>
      <c r="BD186" s="7"/>
      <c r="BE186" s="7">
        <v>240</v>
      </c>
      <c r="BG186" s="15">
        <v>2</v>
      </c>
      <c r="BL186" s="7">
        <v>0</v>
      </c>
    </row>
    <row r="187" spans="1:64" s="15" customFormat="1">
      <c r="A187" s="15">
        <v>10907</v>
      </c>
      <c r="B187" s="15" t="s">
        <v>216</v>
      </c>
      <c r="C187" s="15" t="s">
        <v>37</v>
      </c>
      <c r="D187" s="15" t="s">
        <v>38</v>
      </c>
      <c r="E187" s="15">
        <v>1</v>
      </c>
      <c r="F187" s="15" t="s">
        <v>959</v>
      </c>
      <c r="G187" s="15">
        <v>0</v>
      </c>
      <c r="H187" s="15">
        <v>0</v>
      </c>
      <c r="I187" s="15">
        <v>99999</v>
      </c>
      <c r="J187" s="15">
        <v>0</v>
      </c>
      <c r="K187" s="15">
        <v>0</v>
      </c>
      <c r="L187" s="15" t="s">
        <v>1562</v>
      </c>
      <c r="M187" s="16">
        <v>1</v>
      </c>
      <c r="N187" s="7">
        <v>1</v>
      </c>
      <c r="P187" s="15">
        <v>0</v>
      </c>
      <c r="Q187" s="15">
        <v>0</v>
      </c>
      <c r="S187" s="15">
        <v>80000</v>
      </c>
      <c r="T187" s="15">
        <v>0</v>
      </c>
      <c r="V187" s="15">
        <v>1</v>
      </c>
      <c r="W187" s="15">
        <v>1</v>
      </c>
      <c r="X187" s="30"/>
      <c r="Y187" s="15" t="s">
        <v>652</v>
      </c>
      <c r="Z187" s="15" t="s">
        <v>3077</v>
      </c>
      <c r="AA187" s="15" t="s">
        <v>527</v>
      </c>
      <c r="AB187" s="15">
        <v>0</v>
      </c>
      <c r="AC187" s="7">
        <v>4</v>
      </c>
      <c r="AD187" s="15">
        <v>0</v>
      </c>
      <c r="AE187" s="15">
        <v>0</v>
      </c>
      <c r="AF187" s="15">
        <v>1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P187" s="15">
        <v>1</v>
      </c>
      <c r="AQ187" s="15">
        <v>1</v>
      </c>
      <c r="AR187" s="15">
        <v>1</v>
      </c>
      <c r="AS187" s="15">
        <v>1</v>
      </c>
      <c r="AV187" s="15">
        <v>1</v>
      </c>
      <c r="AY187" s="15">
        <v>30000</v>
      </c>
      <c r="AZ187" s="15">
        <v>40000</v>
      </c>
      <c r="BA187" s="15">
        <v>50000</v>
      </c>
      <c r="BB187" s="15">
        <v>4</v>
      </c>
      <c r="BC187" s="7"/>
      <c r="BD187" s="7"/>
      <c r="BE187" s="7">
        <v>240</v>
      </c>
      <c r="BG187" s="15">
        <v>2</v>
      </c>
      <c r="BL187" s="7">
        <v>0</v>
      </c>
    </row>
    <row r="188" spans="1:64" s="15" customFormat="1">
      <c r="A188" s="15">
        <v>10908</v>
      </c>
      <c r="B188" s="15" t="s">
        <v>217</v>
      </c>
      <c r="C188" s="15" t="s">
        <v>37</v>
      </c>
      <c r="D188" s="15" t="s">
        <v>38</v>
      </c>
      <c r="E188" s="15">
        <v>1</v>
      </c>
      <c r="F188" s="15" t="s">
        <v>959</v>
      </c>
      <c r="G188" s="15">
        <v>0</v>
      </c>
      <c r="H188" s="15">
        <v>0</v>
      </c>
      <c r="I188" s="15">
        <v>99999</v>
      </c>
      <c r="J188" s="15">
        <v>0</v>
      </c>
      <c r="K188" s="15">
        <v>0</v>
      </c>
      <c r="L188" s="15" t="s">
        <v>1562</v>
      </c>
      <c r="M188" s="16">
        <v>1</v>
      </c>
      <c r="N188" s="7">
        <v>1</v>
      </c>
      <c r="P188" s="15">
        <v>0</v>
      </c>
      <c r="Q188" s="15">
        <v>0</v>
      </c>
      <c r="S188" s="15">
        <v>80000</v>
      </c>
      <c r="T188" s="15">
        <v>0</v>
      </c>
      <c r="V188" s="15">
        <v>1</v>
      </c>
      <c r="W188" s="15">
        <v>1</v>
      </c>
      <c r="X188" s="30"/>
      <c r="Y188" s="15" t="s">
        <v>653</v>
      </c>
      <c r="Z188" s="15" t="s">
        <v>3077</v>
      </c>
      <c r="AA188" s="15" t="s">
        <v>527</v>
      </c>
      <c r="AB188" s="15">
        <v>0</v>
      </c>
      <c r="AC188" s="7">
        <v>4</v>
      </c>
      <c r="AD188" s="15">
        <v>0</v>
      </c>
      <c r="AE188" s="15">
        <v>0</v>
      </c>
      <c r="AF188" s="15">
        <v>1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P188" s="15">
        <v>1</v>
      </c>
      <c r="AQ188" s="15">
        <v>1</v>
      </c>
      <c r="AR188" s="15">
        <v>1</v>
      </c>
      <c r="AS188" s="15">
        <v>1</v>
      </c>
      <c r="AV188" s="15">
        <v>1</v>
      </c>
      <c r="AY188" s="15">
        <v>30000</v>
      </c>
      <c r="AZ188" s="15">
        <v>40000</v>
      </c>
      <c r="BA188" s="15">
        <v>50000</v>
      </c>
      <c r="BB188" s="15">
        <v>4</v>
      </c>
      <c r="BC188" s="7"/>
      <c r="BD188" s="7"/>
      <c r="BE188" s="7">
        <v>240</v>
      </c>
      <c r="BG188" s="15">
        <v>2</v>
      </c>
      <c r="BL188" s="7">
        <v>0</v>
      </c>
    </row>
    <row r="189" spans="1:64" s="15" customFormat="1">
      <c r="A189" s="15">
        <v>10909</v>
      </c>
      <c r="B189" s="15" t="s">
        <v>218</v>
      </c>
      <c r="C189" s="15" t="s">
        <v>37</v>
      </c>
      <c r="D189" s="15" t="s">
        <v>38</v>
      </c>
      <c r="E189" s="15">
        <v>1</v>
      </c>
      <c r="F189" s="15" t="s">
        <v>959</v>
      </c>
      <c r="G189" s="15">
        <v>0</v>
      </c>
      <c r="H189" s="15">
        <v>0</v>
      </c>
      <c r="I189" s="15">
        <v>99999</v>
      </c>
      <c r="J189" s="15">
        <v>0</v>
      </c>
      <c r="K189" s="15">
        <v>0</v>
      </c>
      <c r="L189" s="15" t="s">
        <v>1562</v>
      </c>
      <c r="M189" s="16">
        <v>1</v>
      </c>
      <c r="N189" s="7">
        <v>1</v>
      </c>
      <c r="P189" s="15">
        <v>0</v>
      </c>
      <c r="Q189" s="15">
        <v>0</v>
      </c>
      <c r="S189" s="15">
        <v>80000</v>
      </c>
      <c r="T189" s="15">
        <v>0</v>
      </c>
      <c r="V189" s="15">
        <v>1</v>
      </c>
      <c r="W189" s="15">
        <v>1</v>
      </c>
      <c r="X189" s="30"/>
      <c r="Y189" s="15" t="s">
        <v>654</v>
      </c>
      <c r="Z189" s="15" t="s">
        <v>3077</v>
      </c>
      <c r="AA189" s="15" t="s">
        <v>527</v>
      </c>
      <c r="AB189" s="15">
        <v>0</v>
      </c>
      <c r="AC189" s="7">
        <v>4</v>
      </c>
      <c r="AD189" s="15">
        <v>0</v>
      </c>
      <c r="AE189" s="15">
        <v>0</v>
      </c>
      <c r="AF189" s="15">
        <v>1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0</v>
      </c>
      <c r="AP189" s="15">
        <v>1</v>
      </c>
      <c r="AQ189" s="15">
        <v>1</v>
      </c>
      <c r="AR189" s="15">
        <v>1</v>
      </c>
      <c r="AS189" s="15">
        <v>1</v>
      </c>
      <c r="AV189" s="15">
        <v>1</v>
      </c>
      <c r="AY189" s="15">
        <v>30000</v>
      </c>
      <c r="AZ189" s="15">
        <v>40000</v>
      </c>
      <c r="BA189" s="15">
        <v>50000</v>
      </c>
      <c r="BB189" s="15">
        <v>4</v>
      </c>
      <c r="BC189" s="7"/>
      <c r="BD189" s="7"/>
      <c r="BE189" s="7">
        <v>240</v>
      </c>
      <c r="BG189" s="15">
        <v>2</v>
      </c>
      <c r="BL189" s="7">
        <v>0</v>
      </c>
    </row>
    <row r="190" spans="1:64" s="15" customFormat="1">
      <c r="A190" s="15">
        <v>10910</v>
      </c>
      <c r="B190" s="15" t="s">
        <v>655</v>
      </c>
      <c r="C190" s="15" t="s">
        <v>37</v>
      </c>
      <c r="D190" s="15" t="s">
        <v>38</v>
      </c>
      <c r="E190" s="15">
        <v>1</v>
      </c>
      <c r="F190" s="15" t="s">
        <v>959</v>
      </c>
      <c r="G190" s="15">
        <v>0</v>
      </c>
      <c r="H190" s="15">
        <v>0</v>
      </c>
      <c r="I190" s="15">
        <v>99999</v>
      </c>
      <c r="J190" s="15">
        <v>0</v>
      </c>
      <c r="K190" s="15">
        <v>0</v>
      </c>
      <c r="L190" s="15" t="s">
        <v>1562</v>
      </c>
      <c r="M190" s="16">
        <v>1</v>
      </c>
      <c r="N190" s="7">
        <v>1</v>
      </c>
      <c r="P190" s="15">
        <v>0</v>
      </c>
      <c r="Q190" s="15">
        <v>0</v>
      </c>
      <c r="S190" s="7">
        <v>5000</v>
      </c>
      <c r="T190" s="15">
        <v>0</v>
      </c>
      <c r="V190" s="15">
        <v>1</v>
      </c>
      <c r="W190" s="15">
        <v>1</v>
      </c>
      <c r="X190" s="30"/>
      <c r="Y190" s="15" t="s">
        <v>645</v>
      </c>
      <c r="Z190" s="15" t="s">
        <v>3077</v>
      </c>
      <c r="AA190" s="15" t="s">
        <v>527</v>
      </c>
      <c r="AB190" s="15">
        <v>0</v>
      </c>
      <c r="AC190" s="7">
        <v>4</v>
      </c>
      <c r="AD190" s="15">
        <v>0</v>
      </c>
      <c r="AE190" s="15">
        <v>0</v>
      </c>
      <c r="AF190" s="15">
        <v>1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P190" s="15">
        <v>1</v>
      </c>
      <c r="AQ190" s="15">
        <v>1</v>
      </c>
      <c r="AR190" s="15">
        <v>1</v>
      </c>
      <c r="AS190" s="15">
        <v>1</v>
      </c>
      <c r="AV190" s="15">
        <v>1</v>
      </c>
      <c r="AY190" s="15">
        <v>30000</v>
      </c>
      <c r="AZ190" s="15">
        <v>40000</v>
      </c>
      <c r="BA190" s="15">
        <v>50000</v>
      </c>
      <c r="BB190" s="15">
        <v>4</v>
      </c>
      <c r="BC190" s="7"/>
      <c r="BD190" s="7"/>
      <c r="BE190" s="7">
        <v>240</v>
      </c>
      <c r="BG190" s="15">
        <v>2</v>
      </c>
      <c r="BL190" s="7">
        <v>0</v>
      </c>
    </row>
    <row r="191" spans="1:64" s="15" customFormat="1">
      <c r="A191" s="15">
        <v>10911</v>
      </c>
      <c r="B191" s="15" t="s">
        <v>220</v>
      </c>
      <c r="C191" s="15" t="s">
        <v>37</v>
      </c>
      <c r="D191" s="15" t="s">
        <v>38</v>
      </c>
      <c r="E191" s="15">
        <v>1</v>
      </c>
      <c r="F191" s="15" t="s">
        <v>959</v>
      </c>
      <c r="G191" s="15">
        <v>0</v>
      </c>
      <c r="H191" s="15">
        <v>0</v>
      </c>
      <c r="I191" s="15">
        <v>99999</v>
      </c>
      <c r="J191" s="15">
        <v>0</v>
      </c>
      <c r="K191" s="15">
        <v>0</v>
      </c>
      <c r="L191" s="15" t="s">
        <v>1562</v>
      </c>
      <c r="M191" s="16">
        <v>1</v>
      </c>
      <c r="N191" s="7">
        <v>1</v>
      </c>
      <c r="P191" s="15">
        <v>0</v>
      </c>
      <c r="Q191" s="15">
        <v>0</v>
      </c>
      <c r="S191" s="7">
        <v>10000</v>
      </c>
      <c r="T191" s="15">
        <v>0</v>
      </c>
      <c r="V191" s="15">
        <v>1</v>
      </c>
      <c r="W191" s="15">
        <v>1</v>
      </c>
      <c r="X191" s="30"/>
      <c r="Y191" s="15" t="s">
        <v>646</v>
      </c>
      <c r="Z191" s="15" t="s">
        <v>3077</v>
      </c>
      <c r="AA191" s="15" t="s">
        <v>527</v>
      </c>
      <c r="AB191" s="15">
        <v>0</v>
      </c>
      <c r="AC191" s="7">
        <v>4</v>
      </c>
      <c r="AD191" s="15">
        <v>0</v>
      </c>
      <c r="AE191" s="15">
        <v>0</v>
      </c>
      <c r="AF191" s="15">
        <v>1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P191" s="15">
        <v>1</v>
      </c>
      <c r="AQ191" s="15">
        <v>1</v>
      </c>
      <c r="AR191" s="15">
        <v>1</v>
      </c>
      <c r="AS191" s="15">
        <v>1</v>
      </c>
      <c r="AV191" s="15">
        <v>1</v>
      </c>
      <c r="AY191" s="15">
        <v>30000</v>
      </c>
      <c r="AZ191" s="15">
        <v>40000</v>
      </c>
      <c r="BA191" s="15">
        <v>50000</v>
      </c>
      <c r="BB191" s="15">
        <v>4</v>
      </c>
      <c r="BC191" s="7"/>
      <c r="BD191" s="7"/>
      <c r="BE191" s="7">
        <v>240</v>
      </c>
      <c r="BG191" s="15">
        <v>2</v>
      </c>
      <c r="BL191" s="7">
        <v>0</v>
      </c>
    </row>
    <row r="192" spans="1:64" s="15" customFormat="1">
      <c r="A192" s="15">
        <v>10912</v>
      </c>
      <c r="B192" s="15" t="s">
        <v>221</v>
      </c>
      <c r="C192" s="15" t="s">
        <v>37</v>
      </c>
      <c r="D192" s="15" t="s">
        <v>38</v>
      </c>
      <c r="E192" s="15">
        <v>1</v>
      </c>
      <c r="F192" s="15" t="s">
        <v>959</v>
      </c>
      <c r="G192" s="15">
        <v>0</v>
      </c>
      <c r="H192" s="15">
        <v>0</v>
      </c>
      <c r="I192" s="15">
        <v>99999</v>
      </c>
      <c r="J192" s="15">
        <v>0</v>
      </c>
      <c r="K192" s="15">
        <v>0</v>
      </c>
      <c r="L192" s="15" t="s">
        <v>1562</v>
      </c>
      <c r="M192" s="16">
        <v>1</v>
      </c>
      <c r="N192" s="7">
        <v>1</v>
      </c>
      <c r="P192" s="15">
        <v>0</v>
      </c>
      <c r="Q192" s="15">
        <v>0</v>
      </c>
      <c r="S192" s="15">
        <v>20000</v>
      </c>
      <c r="T192" s="15">
        <v>0</v>
      </c>
      <c r="V192" s="15">
        <v>1</v>
      </c>
      <c r="W192" s="15">
        <v>1</v>
      </c>
      <c r="X192" s="30"/>
      <c r="Y192" s="15" t="s">
        <v>647</v>
      </c>
      <c r="Z192" s="15" t="s">
        <v>3077</v>
      </c>
      <c r="AA192" s="15" t="s">
        <v>527</v>
      </c>
      <c r="AB192" s="15">
        <v>0</v>
      </c>
      <c r="AC192" s="7">
        <v>4</v>
      </c>
      <c r="AD192" s="15">
        <v>0</v>
      </c>
      <c r="AE192" s="15">
        <v>0</v>
      </c>
      <c r="AF192" s="15">
        <v>1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P192" s="15">
        <v>1</v>
      </c>
      <c r="AQ192" s="15">
        <v>1</v>
      </c>
      <c r="AR192" s="15">
        <v>1</v>
      </c>
      <c r="AS192" s="15">
        <v>1</v>
      </c>
      <c r="AV192" s="15">
        <v>1</v>
      </c>
      <c r="AY192" s="15">
        <v>30000</v>
      </c>
      <c r="AZ192" s="15">
        <v>40000</v>
      </c>
      <c r="BA192" s="15">
        <v>50000</v>
      </c>
      <c r="BB192" s="15">
        <v>4</v>
      </c>
      <c r="BC192" s="7"/>
      <c r="BD192" s="7"/>
      <c r="BE192" s="7">
        <v>240</v>
      </c>
      <c r="BG192" s="15">
        <v>2</v>
      </c>
      <c r="BL192" s="7">
        <v>0</v>
      </c>
    </row>
    <row r="193" spans="1:64" s="15" customFormat="1">
      <c r="A193" s="15">
        <v>10913</v>
      </c>
      <c r="B193" s="15" t="s">
        <v>222</v>
      </c>
      <c r="C193" s="15" t="s">
        <v>37</v>
      </c>
      <c r="D193" s="15" t="s">
        <v>38</v>
      </c>
      <c r="E193" s="15">
        <v>1</v>
      </c>
      <c r="F193" s="15" t="s">
        <v>959</v>
      </c>
      <c r="G193" s="15">
        <v>0</v>
      </c>
      <c r="H193" s="15">
        <v>0</v>
      </c>
      <c r="I193" s="15">
        <v>99999</v>
      </c>
      <c r="J193" s="15">
        <v>0</v>
      </c>
      <c r="K193" s="15">
        <v>0</v>
      </c>
      <c r="L193" s="15" t="s">
        <v>1562</v>
      </c>
      <c r="M193" s="16">
        <v>1</v>
      </c>
      <c r="N193" s="7">
        <v>1</v>
      </c>
      <c r="P193" s="15">
        <v>0</v>
      </c>
      <c r="Q193" s="15">
        <v>0</v>
      </c>
      <c r="S193" s="15">
        <v>40000</v>
      </c>
      <c r="T193" s="15">
        <v>0</v>
      </c>
      <c r="V193" s="15">
        <v>1</v>
      </c>
      <c r="W193" s="15">
        <v>1</v>
      </c>
      <c r="X193" s="30"/>
      <c r="Y193" s="15" t="s">
        <v>648</v>
      </c>
      <c r="Z193" s="15" t="s">
        <v>3077</v>
      </c>
      <c r="AA193" s="15" t="s">
        <v>527</v>
      </c>
      <c r="AB193" s="15">
        <v>0</v>
      </c>
      <c r="AC193" s="7">
        <v>4</v>
      </c>
      <c r="AD193" s="15">
        <v>0</v>
      </c>
      <c r="AE193" s="15">
        <v>0</v>
      </c>
      <c r="AF193" s="15">
        <v>1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P193" s="15">
        <v>1</v>
      </c>
      <c r="AQ193" s="15">
        <v>1</v>
      </c>
      <c r="AR193" s="15">
        <v>1</v>
      </c>
      <c r="AS193" s="15">
        <v>1</v>
      </c>
      <c r="AV193" s="15">
        <v>1</v>
      </c>
      <c r="AY193" s="15">
        <v>30000</v>
      </c>
      <c r="AZ193" s="15">
        <v>40000</v>
      </c>
      <c r="BA193" s="15">
        <v>50000</v>
      </c>
      <c r="BB193" s="15">
        <v>4</v>
      </c>
      <c r="BC193" s="7"/>
      <c r="BD193" s="7"/>
      <c r="BE193" s="7">
        <v>240</v>
      </c>
      <c r="BG193" s="15">
        <v>2</v>
      </c>
      <c r="BL193" s="7">
        <v>0</v>
      </c>
    </row>
    <row r="194" spans="1:64" s="15" customFormat="1">
      <c r="A194" s="15">
        <v>10914</v>
      </c>
      <c r="B194" s="15" t="s">
        <v>223</v>
      </c>
      <c r="C194" s="15" t="s">
        <v>37</v>
      </c>
      <c r="D194" s="15" t="s">
        <v>38</v>
      </c>
      <c r="E194" s="15">
        <v>1</v>
      </c>
      <c r="F194" s="15" t="s">
        <v>959</v>
      </c>
      <c r="G194" s="15">
        <v>0</v>
      </c>
      <c r="H194" s="15">
        <v>0</v>
      </c>
      <c r="I194" s="15">
        <v>99999</v>
      </c>
      <c r="J194" s="15">
        <v>0</v>
      </c>
      <c r="K194" s="15">
        <v>0</v>
      </c>
      <c r="L194" s="15" t="s">
        <v>1562</v>
      </c>
      <c r="M194" s="16">
        <v>1</v>
      </c>
      <c r="N194" s="7">
        <v>1</v>
      </c>
      <c r="P194" s="15">
        <v>0</v>
      </c>
      <c r="Q194" s="15">
        <v>0</v>
      </c>
      <c r="S194" s="15">
        <v>80000</v>
      </c>
      <c r="T194" s="15">
        <v>0</v>
      </c>
      <c r="V194" s="15">
        <v>1</v>
      </c>
      <c r="W194" s="15">
        <v>1</v>
      </c>
      <c r="X194" s="30"/>
      <c r="Y194" s="15" t="s">
        <v>649</v>
      </c>
      <c r="Z194" s="15" t="s">
        <v>3077</v>
      </c>
      <c r="AA194" s="15" t="s">
        <v>527</v>
      </c>
      <c r="AB194" s="15">
        <v>0</v>
      </c>
      <c r="AC194" s="7">
        <v>4</v>
      </c>
      <c r="AD194" s="15">
        <v>0</v>
      </c>
      <c r="AE194" s="15">
        <v>0</v>
      </c>
      <c r="AF194" s="15">
        <v>1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P194" s="15">
        <v>1</v>
      </c>
      <c r="AQ194" s="15">
        <v>1</v>
      </c>
      <c r="AR194" s="15">
        <v>1</v>
      </c>
      <c r="AS194" s="15">
        <v>1</v>
      </c>
      <c r="AV194" s="15">
        <v>1</v>
      </c>
      <c r="AY194" s="15">
        <v>30000</v>
      </c>
      <c r="AZ194" s="15">
        <v>40000</v>
      </c>
      <c r="BA194" s="15">
        <v>50000</v>
      </c>
      <c r="BB194" s="15">
        <v>4</v>
      </c>
      <c r="BC194" s="7"/>
      <c r="BD194" s="7"/>
      <c r="BE194" s="7">
        <v>240</v>
      </c>
      <c r="BG194" s="15">
        <v>2</v>
      </c>
      <c r="BL194" s="7">
        <v>0</v>
      </c>
    </row>
    <row r="195" spans="1:64" s="15" customFormat="1">
      <c r="A195" s="15">
        <v>10915</v>
      </c>
      <c r="B195" s="15" t="s">
        <v>224</v>
      </c>
      <c r="C195" s="15" t="s">
        <v>37</v>
      </c>
      <c r="D195" s="15" t="s">
        <v>38</v>
      </c>
      <c r="E195" s="15">
        <v>1</v>
      </c>
      <c r="F195" s="15" t="s">
        <v>959</v>
      </c>
      <c r="G195" s="15">
        <v>0</v>
      </c>
      <c r="H195" s="15">
        <v>0</v>
      </c>
      <c r="I195" s="15">
        <v>99999</v>
      </c>
      <c r="J195" s="15">
        <v>0</v>
      </c>
      <c r="K195" s="15">
        <v>0</v>
      </c>
      <c r="L195" s="15" t="s">
        <v>1562</v>
      </c>
      <c r="M195" s="16">
        <v>1</v>
      </c>
      <c r="N195" s="7">
        <v>1</v>
      </c>
      <c r="P195" s="15">
        <v>0</v>
      </c>
      <c r="Q195" s="15">
        <v>0</v>
      </c>
      <c r="S195" s="15">
        <v>80000</v>
      </c>
      <c r="T195" s="15">
        <v>0</v>
      </c>
      <c r="V195" s="15">
        <v>1</v>
      </c>
      <c r="W195" s="15">
        <v>1</v>
      </c>
      <c r="X195" s="30"/>
      <c r="Y195" s="15" t="s">
        <v>650</v>
      </c>
      <c r="Z195" s="15" t="s">
        <v>3077</v>
      </c>
      <c r="AA195" s="15" t="s">
        <v>527</v>
      </c>
      <c r="AB195" s="15">
        <v>0</v>
      </c>
      <c r="AC195" s="7">
        <v>4</v>
      </c>
      <c r="AD195" s="15">
        <v>0</v>
      </c>
      <c r="AE195" s="15">
        <v>0</v>
      </c>
      <c r="AF195" s="15">
        <v>1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P195" s="15">
        <v>1</v>
      </c>
      <c r="AQ195" s="15">
        <v>1</v>
      </c>
      <c r="AR195" s="15">
        <v>1</v>
      </c>
      <c r="AS195" s="15">
        <v>1</v>
      </c>
      <c r="AV195" s="15">
        <v>1</v>
      </c>
      <c r="AY195" s="15">
        <v>30000</v>
      </c>
      <c r="AZ195" s="15">
        <v>40000</v>
      </c>
      <c r="BA195" s="15">
        <v>50000</v>
      </c>
      <c r="BB195" s="15">
        <v>4</v>
      </c>
      <c r="BC195" s="7"/>
      <c r="BD195" s="7"/>
      <c r="BE195" s="7">
        <v>240</v>
      </c>
      <c r="BG195" s="15">
        <v>2</v>
      </c>
      <c r="BL195" s="7">
        <v>0</v>
      </c>
    </row>
    <row r="196" spans="1:64" s="15" customFormat="1">
      <c r="A196" s="15">
        <v>10916</v>
      </c>
      <c r="B196" s="15" t="s">
        <v>225</v>
      </c>
      <c r="C196" s="15" t="s">
        <v>37</v>
      </c>
      <c r="D196" s="15" t="s">
        <v>38</v>
      </c>
      <c r="E196" s="15">
        <v>1</v>
      </c>
      <c r="F196" s="15" t="s">
        <v>959</v>
      </c>
      <c r="G196" s="15">
        <v>0</v>
      </c>
      <c r="H196" s="15">
        <v>0</v>
      </c>
      <c r="I196" s="15">
        <v>99999</v>
      </c>
      <c r="J196" s="15">
        <v>0</v>
      </c>
      <c r="K196" s="15">
        <v>0</v>
      </c>
      <c r="L196" s="15" t="s">
        <v>1562</v>
      </c>
      <c r="M196" s="16">
        <v>1</v>
      </c>
      <c r="N196" s="7">
        <v>1</v>
      </c>
      <c r="P196" s="15">
        <v>0</v>
      </c>
      <c r="Q196" s="15">
        <v>0</v>
      </c>
      <c r="S196" s="15">
        <v>80000</v>
      </c>
      <c r="T196" s="15">
        <v>0</v>
      </c>
      <c r="V196" s="15">
        <v>1</v>
      </c>
      <c r="W196" s="15">
        <v>1</v>
      </c>
      <c r="X196" s="30"/>
      <c r="Y196" s="15" t="s">
        <v>651</v>
      </c>
      <c r="Z196" s="15" t="s">
        <v>3077</v>
      </c>
      <c r="AA196" s="15" t="s">
        <v>527</v>
      </c>
      <c r="AB196" s="15">
        <v>0</v>
      </c>
      <c r="AC196" s="7">
        <v>4</v>
      </c>
      <c r="AD196" s="15">
        <v>0</v>
      </c>
      <c r="AE196" s="15">
        <v>0</v>
      </c>
      <c r="AF196" s="15">
        <v>1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P196" s="15">
        <v>1</v>
      </c>
      <c r="AQ196" s="15">
        <v>1</v>
      </c>
      <c r="AR196" s="15">
        <v>1</v>
      </c>
      <c r="AS196" s="15">
        <v>1</v>
      </c>
      <c r="AV196" s="15">
        <v>1</v>
      </c>
      <c r="AY196" s="15">
        <v>30000</v>
      </c>
      <c r="AZ196" s="15">
        <v>40000</v>
      </c>
      <c r="BA196" s="15">
        <v>50000</v>
      </c>
      <c r="BB196" s="15">
        <v>4</v>
      </c>
      <c r="BC196" s="7"/>
      <c r="BD196" s="7"/>
      <c r="BE196" s="7">
        <v>240</v>
      </c>
      <c r="BG196" s="15">
        <v>2</v>
      </c>
      <c r="BL196" s="7">
        <v>0</v>
      </c>
    </row>
    <row r="197" spans="1:64" s="15" customFormat="1">
      <c r="A197" s="15">
        <v>10917</v>
      </c>
      <c r="B197" s="15" t="s">
        <v>226</v>
      </c>
      <c r="C197" s="15" t="s">
        <v>37</v>
      </c>
      <c r="D197" s="15" t="s">
        <v>38</v>
      </c>
      <c r="E197" s="15">
        <v>1</v>
      </c>
      <c r="F197" s="15" t="s">
        <v>959</v>
      </c>
      <c r="G197" s="15">
        <v>0</v>
      </c>
      <c r="H197" s="15">
        <v>0</v>
      </c>
      <c r="I197" s="15">
        <v>99999</v>
      </c>
      <c r="J197" s="15">
        <v>0</v>
      </c>
      <c r="K197" s="15">
        <v>0</v>
      </c>
      <c r="L197" s="15" t="s">
        <v>1562</v>
      </c>
      <c r="M197" s="16">
        <v>1</v>
      </c>
      <c r="N197" s="7">
        <v>1</v>
      </c>
      <c r="P197" s="15">
        <v>0</v>
      </c>
      <c r="Q197" s="15">
        <v>0</v>
      </c>
      <c r="S197" s="15">
        <v>80000</v>
      </c>
      <c r="T197" s="15">
        <v>0</v>
      </c>
      <c r="V197" s="15">
        <v>1</v>
      </c>
      <c r="W197" s="15">
        <v>1</v>
      </c>
      <c r="X197" s="30"/>
      <c r="Y197" s="15" t="s">
        <v>652</v>
      </c>
      <c r="Z197" s="15" t="s">
        <v>3077</v>
      </c>
      <c r="AA197" s="15" t="s">
        <v>527</v>
      </c>
      <c r="AB197" s="15">
        <v>0</v>
      </c>
      <c r="AC197" s="7">
        <v>4</v>
      </c>
      <c r="AD197" s="15">
        <v>0</v>
      </c>
      <c r="AE197" s="15">
        <v>0</v>
      </c>
      <c r="AF197" s="15">
        <v>1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P197" s="15">
        <v>1</v>
      </c>
      <c r="AQ197" s="15">
        <v>1</v>
      </c>
      <c r="AR197" s="15">
        <v>1</v>
      </c>
      <c r="AS197" s="15">
        <v>1</v>
      </c>
      <c r="AV197" s="15">
        <v>1</v>
      </c>
      <c r="AY197" s="15">
        <v>30000</v>
      </c>
      <c r="AZ197" s="15">
        <v>40000</v>
      </c>
      <c r="BA197" s="15">
        <v>50000</v>
      </c>
      <c r="BB197" s="15">
        <v>4</v>
      </c>
      <c r="BC197" s="7"/>
      <c r="BD197" s="7"/>
      <c r="BE197" s="7">
        <v>240</v>
      </c>
      <c r="BG197" s="15">
        <v>2</v>
      </c>
      <c r="BL197" s="7">
        <v>0</v>
      </c>
    </row>
    <row r="198" spans="1:64" s="15" customFormat="1">
      <c r="A198" s="15">
        <v>10918</v>
      </c>
      <c r="B198" s="15" t="s">
        <v>227</v>
      </c>
      <c r="C198" s="15" t="s">
        <v>37</v>
      </c>
      <c r="D198" s="15" t="s">
        <v>38</v>
      </c>
      <c r="E198" s="15">
        <v>1</v>
      </c>
      <c r="F198" s="15" t="s">
        <v>959</v>
      </c>
      <c r="G198" s="15">
        <v>0</v>
      </c>
      <c r="H198" s="15">
        <v>0</v>
      </c>
      <c r="I198" s="15">
        <v>99999</v>
      </c>
      <c r="J198" s="15">
        <v>0</v>
      </c>
      <c r="K198" s="15">
        <v>0</v>
      </c>
      <c r="L198" s="15" t="s">
        <v>1562</v>
      </c>
      <c r="M198" s="16">
        <v>1</v>
      </c>
      <c r="N198" s="7">
        <v>1</v>
      </c>
      <c r="P198" s="15">
        <v>0</v>
      </c>
      <c r="Q198" s="15">
        <v>0</v>
      </c>
      <c r="S198" s="15">
        <v>80000</v>
      </c>
      <c r="T198" s="15">
        <v>0</v>
      </c>
      <c r="V198" s="15">
        <v>1</v>
      </c>
      <c r="W198" s="15">
        <v>1</v>
      </c>
      <c r="X198" s="30"/>
      <c r="Y198" s="15" t="s">
        <v>653</v>
      </c>
      <c r="Z198" s="15" t="s">
        <v>3077</v>
      </c>
      <c r="AA198" s="15" t="s">
        <v>527</v>
      </c>
      <c r="AB198" s="15">
        <v>0</v>
      </c>
      <c r="AC198" s="7">
        <v>4</v>
      </c>
      <c r="AD198" s="15">
        <v>0</v>
      </c>
      <c r="AE198" s="15">
        <v>0</v>
      </c>
      <c r="AF198" s="15">
        <v>1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P198" s="15">
        <v>1</v>
      </c>
      <c r="AQ198" s="15">
        <v>1</v>
      </c>
      <c r="AR198" s="15">
        <v>1</v>
      </c>
      <c r="AS198" s="15">
        <v>1</v>
      </c>
      <c r="AV198" s="15">
        <v>1</v>
      </c>
      <c r="AY198" s="15">
        <v>30000</v>
      </c>
      <c r="AZ198" s="15">
        <v>40000</v>
      </c>
      <c r="BA198" s="15">
        <v>50000</v>
      </c>
      <c r="BB198" s="15">
        <v>4</v>
      </c>
      <c r="BC198" s="7"/>
      <c r="BD198" s="7"/>
      <c r="BE198" s="7">
        <v>240</v>
      </c>
      <c r="BG198" s="15">
        <v>2</v>
      </c>
      <c r="BL198" s="7">
        <v>0</v>
      </c>
    </row>
    <row r="199" spans="1:64" s="15" customFormat="1">
      <c r="A199" s="15">
        <v>10919</v>
      </c>
      <c r="B199" s="15" t="s">
        <v>228</v>
      </c>
      <c r="C199" s="15" t="s">
        <v>37</v>
      </c>
      <c r="D199" s="15" t="s">
        <v>38</v>
      </c>
      <c r="E199" s="15">
        <v>1</v>
      </c>
      <c r="F199" s="15" t="s">
        <v>959</v>
      </c>
      <c r="G199" s="15">
        <v>0</v>
      </c>
      <c r="H199" s="15">
        <v>0</v>
      </c>
      <c r="I199" s="15">
        <v>99999</v>
      </c>
      <c r="J199" s="15">
        <v>0</v>
      </c>
      <c r="K199" s="15">
        <v>0</v>
      </c>
      <c r="L199" s="15" t="s">
        <v>1562</v>
      </c>
      <c r="M199" s="16">
        <v>1</v>
      </c>
      <c r="N199" s="7">
        <v>1</v>
      </c>
      <c r="P199" s="15">
        <v>0</v>
      </c>
      <c r="Q199" s="15">
        <v>0</v>
      </c>
      <c r="S199" s="15">
        <v>80000</v>
      </c>
      <c r="T199" s="15">
        <v>0</v>
      </c>
      <c r="V199" s="15">
        <v>1</v>
      </c>
      <c r="W199" s="15">
        <v>1</v>
      </c>
      <c r="X199" s="30"/>
      <c r="Y199" s="15" t="s">
        <v>654</v>
      </c>
      <c r="Z199" s="15" t="s">
        <v>3077</v>
      </c>
      <c r="AA199" s="15" t="s">
        <v>527</v>
      </c>
      <c r="AB199" s="15">
        <v>0</v>
      </c>
      <c r="AC199" s="7">
        <v>4</v>
      </c>
      <c r="AD199" s="15">
        <v>0</v>
      </c>
      <c r="AE199" s="15">
        <v>0</v>
      </c>
      <c r="AF199" s="15">
        <v>1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P199" s="15">
        <v>1</v>
      </c>
      <c r="AQ199" s="15">
        <v>1</v>
      </c>
      <c r="AR199" s="15">
        <v>1</v>
      </c>
      <c r="AS199" s="15">
        <v>1</v>
      </c>
      <c r="AV199" s="15">
        <v>1</v>
      </c>
      <c r="AY199" s="15">
        <v>30000</v>
      </c>
      <c r="AZ199" s="15">
        <v>40000</v>
      </c>
      <c r="BA199" s="15">
        <v>50000</v>
      </c>
      <c r="BB199" s="15">
        <v>4</v>
      </c>
      <c r="BC199" s="7"/>
      <c r="BD199" s="7"/>
      <c r="BE199" s="7">
        <v>240</v>
      </c>
      <c r="BG199" s="15">
        <v>2</v>
      </c>
      <c r="BL199" s="7">
        <v>0</v>
      </c>
    </row>
    <row r="200" spans="1:64" s="15" customFormat="1">
      <c r="A200" s="15">
        <v>10920</v>
      </c>
      <c r="B200" s="15" t="s">
        <v>656</v>
      </c>
      <c r="C200" s="15" t="s">
        <v>37</v>
      </c>
      <c r="D200" s="15" t="s">
        <v>38</v>
      </c>
      <c r="E200" s="15">
        <v>1</v>
      </c>
      <c r="F200" s="15" t="s">
        <v>959</v>
      </c>
      <c r="G200" s="15">
        <v>0</v>
      </c>
      <c r="H200" s="15">
        <v>0</v>
      </c>
      <c r="I200" s="15">
        <v>99999</v>
      </c>
      <c r="J200" s="15">
        <v>0</v>
      </c>
      <c r="K200" s="15">
        <v>0</v>
      </c>
      <c r="L200" s="15" t="s">
        <v>1562</v>
      </c>
      <c r="M200" s="16">
        <v>1</v>
      </c>
      <c r="N200" s="7">
        <v>1</v>
      </c>
      <c r="P200" s="15">
        <v>0</v>
      </c>
      <c r="Q200" s="15">
        <v>0</v>
      </c>
      <c r="S200" s="7">
        <v>5000</v>
      </c>
      <c r="T200" s="15">
        <v>0</v>
      </c>
      <c r="V200" s="15">
        <v>1</v>
      </c>
      <c r="W200" s="15">
        <v>1</v>
      </c>
      <c r="X200" s="30"/>
      <c r="Y200" s="15" t="s">
        <v>645</v>
      </c>
      <c r="Z200" s="15" t="s">
        <v>3077</v>
      </c>
      <c r="AA200" s="15" t="s">
        <v>527</v>
      </c>
      <c r="AB200" s="15">
        <v>0</v>
      </c>
      <c r="AC200" s="7">
        <v>4</v>
      </c>
      <c r="AD200" s="15">
        <v>0</v>
      </c>
      <c r="AE200" s="15">
        <v>0</v>
      </c>
      <c r="AF200" s="15">
        <v>1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P200" s="15">
        <v>1</v>
      </c>
      <c r="AQ200" s="15">
        <v>1</v>
      </c>
      <c r="AR200" s="15">
        <v>1</v>
      </c>
      <c r="AS200" s="15">
        <v>1</v>
      </c>
      <c r="AV200" s="15">
        <v>1</v>
      </c>
      <c r="AY200" s="15">
        <v>30000</v>
      </c>
      <c r="AZ200" s="15">
        <v>40000</v>
      </c>
      <c r="BA200" s="15">
        <v>50000</v>
      </c>
      <c r="BB200" s="15">
        <v>4</v>
      </c>
      <c r="BC200" s="7"/>
      <c r="BD200" s="7"/>
      <c r="BE200" s="7">
        <v>240</v>
      </c>
      <c r="BG200" s="15">
        <v>2</v>
      </c>
      <c r="BL200" s="7">
        <v>0</v>
      </c>
    </row>
    <row r="201" spans="1:64" s="15" customFormat="1">
      <c r="A201" s="15">
        <v>10921</v>
      </c>
      <c r="B201" s="15" t="s">
        <v>230</v>
      </c>
      <c r="C201" s="15" t="s">
        <v>37</v>
      </c>
      <c r="D201" s="15" t="s">
        <v>38</v>
      </c>
      <c r="E201" s="15">
        <v>1</v>
      </c>
      <c r="F201" s="15" t="s">
        <v>959</v>
      </c>
      <c r="G201" s="15">
        <v>0</v>
      </c>
      <c r="H201" s="15">
        <v>0</v>
      </c>
      <c r="I201" s="15">
        <v>99999</v>
      </c>
      <c r="J201" s="15">
        <v>0</v>
      </c>
      <c r="K201" s="15">
        <v>0</v>
      </c>
      <c r="L201" s="15" t="s">
        <v>1562</v>
      </c>
      <c r="M201" s="16">
        <v>1</v>
      </c>
      <c r="N201" s="7">
        <v>1</v>
      </c>
      <c r="P201" s="15">
        <v>0</v>
      </c>
      <c r="Q201" s="15">
        <v>0</v>
      </c>
      <c r="S201" s="7">
        <v>10000</v>
      </c>
      <c r="T201" s="15">
        <v>0</v>
      </c>
      <c r="V201" s="15">
        <v>1</v>
      </c>
      <c r="W201" s="15">
        <v>1</v>
      </c>
      <c r="X201" s="30"/>
      <c r="Y201" s="15" t="s">
        <v>646</v>
      </c>
      <c r="Z201" s="15" t="s">
        <v>3077</v>
      </c>
      <c r="AA201" s="15" t="s">
        <v>527</v>
      </c>
      <c r="AB201" s="15">
        <v>0</v>
      </c>
      <c r="AC201" s="7">
        <v>4</v>
      </c>
      <c r="AD201" s="15">
        <v>0</v>
      </c>
      <c r="AE201" s="15">
        <v>0</v>
      </c>
      <c r="AF201" s="15">
        <v>1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P201" s="15">
        <v>1</v>
      </c>
      <c r="AQ201" s="15">
        <v>1</v>
      </c>
      <c r="AR201" s="15">
        <v>1</v>
      </c>
      <c r="AS201" s="15">
        <v>1</v>
      </c>
      <c r="AV201" s="15">
        <v>1</v>
      </c>
      <c r="AY201" s="15">
        <v>30000</v>
      </c>
      <c r="AZ201" s="15">
        <v>40000</v>
      </c>
      <c r="BA201" s="15">
        <v>50000</v>
      </c>
      <c r="BB201" s="15">
        <v>4</v>
      </c>
      <c r="BC201" s="7"/>
      <c r="BD201" s="7"/>
      <c r="BE201" s="7">
        <v>240</v>
      </c>
      <c r="BG201" s="15">
        <v>2</v>
      </c>
      <c r="BL201" s="7">
        <v>0</v>
      </c>
    </row>
    <row r="202" spans="1:64" s="15" customFormat="1">
      <c r="A202" s="15">
        <v>10922</v>
      </c>
      <c r="B202" s="15" t="s">
        <v>231</v>
      </c>
      <c r="C202" s="15" t="s">
        <v>37</v>
      </c>
      <c r="D202" s="15" t="s">
        <v>38</v>
      </c>
      <c r="E202" s="15">
        <v>1</v>
      </c>
      <c r="F202" s="15" t="s">
        <v>959</v>
      </c>
      <c r="G202" s="15">
        <v>0</v>
      </c>
      <c r="H202" s="15">
        <v>0</v>
      </c>
      <c r="I202" s="15">
        <v>99999</v>
      </c>
      <c r="J202" s="15">
        <v>0</v>
      </c>
      <c r="K202" s="15">
        <v>0</v>
      </c>
      <c r="L202" s="15" t="s">
        <v>1562</v>
      </c>
      <c r="M202" s="16">
        <v>1</v>
      </c>
      <c r="N202" s="7">
        <v>1</v>
      </c>
      <c r="P202" s="15">
        <v>0</v>
      </c>
      <c r="Q202" s="15">
        <v>0</v>
      </c>
      <c r="S202" s="15">
        <v>20000</v>
      </c>
      <c r="T202" s="15">
        <v>0</v>
      </c>
      <c r="V202" s="15">
        <v>1</v>
      </c>
      <c r="W202" s="15">
        <v>1</v>
      </c>
      <c r="X202" s="30"/>
      <c r="Y202" s="15" t="s">
        <v>647</v>
      </c>
      <c r="Z202" s="15" t="s">
        <v>3077</v>
      </c>
      <c r="AA202" s="15" t="s">
        <v>527</v>
      </c>
      <c r="AB202" s="15">
        <v>0</v>
      </c>
      <c r="AC202" s="7">
        <v>4</v>
      </c>
      <c r="AD202" s="15">
        <v>0</v>
      </c>
      <c r="AE202" s="15">
        <v>0</v>
      </c>
      <c r="AF202" s="15">
        <v>1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P202" s="15">
        <v>1</v>
      </c>
      <c r="AQ202" s="15">
        <v>1</v>
      </c>
      <c r="AR202" s="15">
        <v>1</v>
      </c>
      <c r="AS202" s="15">
        <v>1</v>
      </c>
      <c r="AV202" s="15">
        <v>1</v>
      </c>
      <c r="AY202" s="15">
        <v>30000</v>
      </c>
      <c r="AZ202" s="15">
        <v>40000</v>
      </c>
      <c r="BA202" s="15">
        <v>50000</v>
      </c>
      <c r="BB202" s="15">
        <v>4</v>
      </c>
      <c r="BC202" s="7"/>
      <c r="BD202" s="7"/>
      <c r="BE202" s="7">
        <v>240</v>
      </c>
      <c r="BG202" s="15">
        <v>2</v>
      </c>
      <c r="BL202" s="7">
        <v>0</v>
      </c>
    </row>
    <row r="203" spans="1:64" s="15" customFormat="1">
      <c r="A203" s="15">
        <v>10923</v>
      </c>
      <c r="B203" s="15" t="s">
        <v>232</v>
      </c>
      <c r="C203" s="15" t="s">
        <v>37</v>
      </c>
      <c r="D203" s="15" t="s">
        <v>38</v>
      </c>
      <c r="E203" s="15">
        <v>1</v>
      </c>
      <c r="F203" s="15" t="s">
        <v>959</v>
      </c>
      <c r="G203" s="15">
        <v>0</v>
      </c>
      <c r="H203" s="15">
        <v>0</v>
      </c>
      <c r="I203" s="15">
        <v>99999</v>
      </c>
      <c r="J203" s="15">
        <v>0</v>
      </c>
      <c r="K203" s="15">
        <v>0</v>
      </c>
      <c r="L203" s="15" t="s">
        <v>1562</v>
      </c>
      <c r="M203" s="16">
        <v>1</v>
      </c>
      <c r="N203" s="7">
        <v>1</v>
      </c>
      <c r="P203" s="15">
        <v>0</v>
      </c>
      <c r="Q203" s="15">
        <v>0</v>
      </c>
      <c r="S203" s="15">
        <v>40000</v>
      </c>
      <c r="T203" s="15">
        <v>0</v>
      </c>
      <c r="V203" s="15">
        <v>1</v>
      </c>
      <c r="W203" s="15">
        <v>1</v>
      </c>
      <c r="X203" s="30"/>
      <c r="Y203" s="15" t="s">
        <v>648</v>
      </c>
      <c r="Z203" s="15" t="s">
        <v>3077</v>
      </c>
      <c r="AA203" s="15" t="s">
        <v>527</v>
      </c>
      <c r="AB203" s="15">
        <v>0</v>
      </c>
      <c r="AC203" s="7">
        <v>4</v>
      </c>
      <c r="AD203" s="15">
        <v>0</v>
      </c>
      <c r="AE203" s="15">
        <v>0</v>
      </c>
      <c r="AF203" s="15">
        <v>1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0</v>
      </c>
      <c r="AP203" s="15">
        <v>1</v>
      </c>
      <c r="AQ203" s="15">
        <v>1</v>
      </c>
      <c r="AR203" s="15">
        <v>1</v>
      </c>
      <c r="AS203" s="15">
        <v>1</v>
      </c>
      <c r="AV203" s="15">
        <v>1</v>
      </c>
      <c r="AY203" s="15">
        <v>30000</v>
      </c>
      <c r="AZ203" s="15">
        <v>40000</v>
      </c>
      <c r="BA203" s="15">
        <v>50000</v>
      </c>
      <c r="BB203" s="15">
        <v>4</v>
      </c>
      <c r="BC203" s="7"/>
      <c r="BD203" s="7"/>
      <c r="BE203" s="7">
        <v>240</v>
      </c>
      <c r="BG203" s="15">
        <v>2</v>
      </c>
      <c r="BL203" s="7">
        <v>0</v>
      </c>
    </row>
    <row r="204" spans="1:64" s="15" customFormat="1">
      <c r="A204" s="15">
        <v>10924</v>
      </c>
      <c r="B204" s="15" t="s">
        <v>233</v>
      </c>
      <c r="C204" s="15" t="s">
        <v>37</v>
      </c>
      <c r="D204" s="15" t="s">
        <v>38</v>
      </c>
      <c r="E204" s="15">
        <v>1</v>
      </c>
      <c r="F204" s="15" t="s">
        <v>959</v>
      </c>
      <c r="G204" s="15">
        <v>0</v>
      </c>
      <c r="H204" s="15">
        <v>0</v>
      </c>
      <c r="I204" s="15">
        <v>99999</v>
      </c>
      <c r="J204" s="15">
        <v>0</v>
      </c>
      <c r="K204" s="15">
        <v>0</v>
      </c>
      <c r="L204" s="15" t="s">
        <v>1562</v>
      </c>
      <c r="M204" s="16">
        <v>1</v>
      </c>
      <c r="N204" s="7">
        <v>1</v>
      </c>
      <c r="P204" s="15">
        <v>0</v>
      </c>
      <c r="Q204" s="15">
        <v>0</v>
      </c>
      <c r="S204" s="15">
        <v>80000</v>
      </c>
      <c r="T204" s="15">
        <v>0</v>
      </c>
      <c r="V204" s="15">
        <v>1</v>
      </c>
      <c r="W204" s="15">
        <v>1</v>
      </c>
      <c r="X204" s="30"/>
      <c r="Y204" s="15" t="s">
        <v>649</v>
      </c>
      <c r="Z204" s="15" t="s">
        <v>3077</v>
      </c>
      <c r="AA204" s="15" t="s">
        <v>527</v>
      </c>
      <c r="AB204" s="15">
        <v>0</v>
      </c>
      <c r="AC204" s="7">
        <v>4</v>
      </c>
      <c r="AD204" s="15">
        <v>0</v>
      </c>
      <c r="AE204" s="15">
        <v>0</v>
      </c>
      <c r="AF204" s="15">
        <v>1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P204" s="15">
        <v>1</v>
      </c>
      <c r="AQ204" s="15">
        <v>1</v>
      </c>
      <c r="AR204" s="15">
        <v>1</v>
      </c>
      <c r="AS204" s="15">
        <v>1</v>
      </c>
      <c r="AV204" s="15">
        <v>1</v>
      </c>
      <c r="AY204" s="15">
        <v>30000</v>
      </c>
      <c r="AZ204" s="15">
        <v>40000</v>
      </c>
      <c r="BA204" s="15">
        <v>50000</v>
      </c>
      <c r="BB204" s="15">
        <v>4</v>
      </c>
      <c r="BC204" s="7"/>
      <c r="BD204" s="7"/>
      <c r="BE204" s="7">
        <v>240</v>
      </c>
      <c r="BG204" s="15">
        <v>2</v>
      </c>
      <c r="BL204" s="7">
        <v>0</v>
      </c>
    </row>
    <row r="205" spans="1:64" s="15" customFormat="1">
      <c r="A205" s="15">
        <v>10925</v>
      </c>
      <c r="B205" s="15" t="s">
        <v>234</v>
      </c>
      <c r="C205" s="15" t="s">
        <v>37</v>
      </c>
      <c r="D205" s="15" t="s">
        <v>38</v>
      </c>
      <c r="E205" s="15">
        <v>1</v>
      </c>
      <c r="F205" s="15" t="s">
        <v>959</v>
      </c>
      <c r="G205" s="15">
        <v>0</v>
      </c>
      <c r="H205" s="15">
        <v>0</v>
      </c>
      <c r="I205" s="15">
        <v>99999</v>
      </c>
      <c r="J205" s="15">
        <v>0</v>
      </c>
      <c r="K205" s="15">
        <v>0</v>
      </c>
      <c r="L205" s="15" t="s">
        <v>1562</v>
      </c>
      <c r="M205" s="16">
        <v>1</v>
      </c>
      <c r="N205" s="7">
        <v>1</v>
      </c>
      <c r="P205" s="15">
        <v>0</v>
      </c>
      <c r="Q205" s="15">
        <v>0</v>
      </c>
      <c r="S205" s="15">
        <v>80000</v>
      </c>
      <c r="T205" s="15">
        <v>0</v>
      </c>
      <c r="V205" s="15">
        <v>1</v>
      </c>
      <c r="W205" s="15">
        <v>1</v>
      </c>
      <c r="X205" s="30"/>
      <c r="Y205" s="15" t="s">
        <v>650</v>
      </c>
      <c r="Z205" s="15" t="s">
        <v>3077</v>
      </c>
      <c r="AA205" s="15" t="s">
        <v>527</v>
      </c>
      <c r="AB205" s="15">
        <v>0</v>
      </c>
      <c r="AC205" s="7">
        <v>4</v>
      </c>
      <c r="AD205" s="15">
        <v>0</v>
      </c>
      <c r="AE205" s="15">
        <v>0</v>
      </c>
      <c r="AF205" s="15">
        <v>1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P205" s="15">
        <v>1</v>
      </c>
      <c r="AQ205" s="15">
        <v>1</v>
      </c>
      <c r="AR205" s="15">
        <v>1</v>
      </c>
      <c r="AS205" s="15">
        <v>1</v>
      </c>
      <c r="AV205" s="15">
        <v>1</v>
      </c>
      <c r="AY205" s="15">
        <v>30000</v>
      </c>
      <c r="AZ205" s="15">
        <v>40000</v>
      </c>
      <c r="BA205" s="15">
        <v>50000</v>
      </c>
      <c r="BB205" s="15">
        <v>4</v>
      </c>
      <c r="BC205" s="7"/>
      <c r="BD205" s="7"/>
      <c r="BE205" s="7">
        <v>240</v>
      </c>
      <c r="BG205" s="15">
        <v>2</v>
      </c>
      <c r="BL205" s="7">
        <v>0</v>
      </c>
    </row>
    <row r="206" spans="1:64" s="15" customFormat="1">
      <c r="A206" s="15">
        <v>10926</v>
      </c>
      <c r="B206" s="15" t="s">
        <v>235</v>
      </c>
      <c r="C206" s="15" t="s">
        <v>37</v>
      </c>
      <c r="D206" s="15" t="s">
        <v>38</v>
      </c>
      <c r="E206" s="15">
        <v>1</v>
      </c>
      <c r="F206" s="15" t="s">
        <v>959</v>
      </c>
      <c r="G206" s="15">
        <v>0</v>
      </c>
      <c r="H206" s="15">
        <v>0</v>
      </c>
      <c r="I206" s="15">
        <v>99999</v>
      </c>
      <c r="J206" s="15">
        <v>0</v>
      </c>
      <c r="K206" s="15">
        <v>0</v>
      </c>
      <c r="L206" s="15" t="s">
        <v>1562</v>
      </c>
      <c r="M206" s="16">
        <v>1</v>
      </c>
      <c r="N206" s="7">
        <v>1</v>
      </c>
      <c r="P206" s="15">
        <v>0</v>
      </c>
      <c r="Q206" s="15">
        <v>0</v>
      </c>
      <c r="S206" s="15">
        <v>80000</v>
      </c>
      <c r="T206" s="15">
        <v>0</v>
      </c>
      <c r="V206" s="15">
        <v>1</v>
      </c>
      <c r="W206" s="15">
        <v>1</v>
      </c>
      <c r="X206" s="30"/>
      <c r="Y206" s="15" t="s">
        <v>651</v>
      </c>
      <c r="Z206" s="15" t="s">
        <v>3077</v>
      </c>
      <c r="AA206" s="15" t="s">
        <v>527</v>
      </c>
      <c r="AB206" s="15">
        <v>0</v>
      </c>
      <c r="AC206" s="7">
        <v>4</v>
      </c>
      <c r="AD206" s="15">
        <v>0</v>
      </c>
      <c r="AE206" s="15">
        <v>0</v>
      </c>
      <c r="AF206" s="15">
        <v>1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P206" s="15">
        <v>1</v>
      </c>
      <c r="AQ206" s="15">
        <v>1</v>
      </c>
      <c r="AR206" s="15">
        <v>1</v>
      </c>
      <c r="AS206" s="15">
        <v>1</v>
      </c>
      <c r="AV206" s="15">
        <v>1</v>
      </c>
      <c r="AY206" s="15">
        <v>30000</v>
      </c>
      <c r="AZ206" s="15">
        <v>40000</v>
      </c>
      <c r="BA206" s="15">
        <v>50000</v>
      </c>
      <c r="BB206" s="15">
        <v>4</v>
      </c>
      <c r="BC206" s="7"/>
      <c r="BD206" s="7"/>
      <c r="BE206" s="7">
        <v>240</v>
      </c>
      <c r="BG206" s="15">
        <v>2</v>
      </c>
      <c r="BL206" s="7">
        <v>0</v>
      </c>
    </row>
    <row r="207" spans="1:64" s="15" customFormat="1">
      <c r="A207" s="15">
        <v>10927</v>
      </c>
      <c r="B207" s="15" t="s">
        <v>236</v>
      </c>
      <c r="C207" s="15" t="s">
        <v>37</v>
      </c>
      <c r="D207" s="15" t="s">
        <v>38</v>
      </c>
      <c r="E207" s="15">
        <v>1</v>
      </c>
      <c r="F207" s="15" t="s">
        <v>959</v>
      </c>
      <c r="G207" s="15">
        <v>0</v>
      </c>
      <c r="H207" s="15">
        <v>0</v>
      </c>
      <c r="I207" s="15">
        <v>99999</v>
      </c>
      <c r="J207" s="15">
        <v>0</v>
      </c>
      <c r="K207" s="15">
        <v>0</v>
      </c>
      <c r="L207" s="15" t="s">
        <v>1562</v>
      </c>
      <c r="M207" s="16">
        <v>1</v>
      </c>
      <c r="N207" s="7">
        <v>1</v>
      </c>
      <c r="P207" s="15">
        <v>0</v>
      </c>
      <c r="Q207" s="15">
        <v>0</v>
      </c>
      <c r="S207" s="15">
        <v>80000</v>
      </c>
      <c r="T207" s="15">
        <v>0</v>
      </c>
      <c r="V207" s="15">
        <v>1</v>
      </c>
      <c r="W207" s="15">
        <v>1</v>
      </c>
      <c r="X207" s="30"/>
      <c r="Y207" s="15" t="s">
        <v>652</v>
      </c>
      <c r="Z207" s="15" t="s">
        <v>3077</v>
      </c>
      <c r="AA207" s="15" t="s">
        <v>527</v>
      </c>
      <c r="AB207" s="15">
        <v>0</v>
      </c>
      <c r="AC207" s="7">
        <v>4</v>
      </c>
      <c r="AD207" s="15">
        <v>0</v>
      </c>
      <c r="AE207" s="15">
        <v>0</v>
      </c>
      <c r="AF207" s="15">
        <v>1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P207" s="15">
        <v>1</v>
      </c>
      <c r="AQ207" s="15">
        <v>1</v>
      </c>
      <c r="AR207" s="15">
        <v>1</v>
      </c>
      <c r="AS207" s="15">
        <v>1</v>
      </c>
      <c r="AV207" s="15">
        <v>1</v>
      </c>
      <c r="AY207" s="15">
        <v>30000</v>
      </c>
      <c r="AZ207" s="15">
        <v>40000</v>
      </c>
      <c r="BA207" s="15">
        <v>50000</v>
      </c>
      <c r="BB207" s="15">
        <v>4</v>
      </c>
      <c r="BC207" s="7"/>
      <c r="BD207" s="7"/>
      <c r="BE207" s="7">
        <v>240</v>
      </c>
      <c r="BG207" s="15">
        <v>2</v>
      </c>
      <c r="BL207" s="7">
        <v>0</v>
      </c>
    </row>
    <row r="208" spans="1:64" s="15" customFormat="1">
      <c r="A208" s="15">
        <v>10928</v>
      </c>
      <c r="B208" s="15" t="s">
        <v>237</v>
      </c>
      <c r="C208" s="15" t="s">
        <v>37</v>
      </c>
      <c r="D208" s="15" t="s">
        <v>38</v>
      </c>
      <c r="E208" s="15">
        <v>1</v>
      </c>
      <c r="F208" s="15" t="s">
        <v>959</v>
      </c>
      <c r="G208" s="15">
        <v>0</v>
      </c>
      <c r="H208" s="15">
        <v>0</v>
      </c>
      <c r="I208" s="15">
        <v>99999</v>
      </c>
      <c r="J208" s="15">
        <v>0</v>
      </c>
      <c r="K208" s="15">
        <v>0</v>
      </c>
      <c r="L208" s="15" t="s">
        <v>1562</v>
      </c>
      <c r="M208" s="16">
        <v>1</v>
      </c>
      <c r="N208" s="7">
        <v>1</v>
      </c>
      <c r="P208" s="15">
        <v>0</v>
      </c>
      <c r="Q208" s="15">
        <v>0</v>
      </c>
      <c r="S208" s="15">
        <v>80000</v>
      </c>
      <c r="T208" s="15">
        <v>0</v>
      </c>
      <c r="V208" s="15">
        <v>1</v>
      </c>
      <c r="W208" s="15">
        <v>1</v>
      </c>
      <c r="X208" s="30"/>
      <c r="Y208" s="15" t="s">
        <v>653</v>
      </c>
      <c r="Z208" s="15" t="s">
        <v>3077</v>
      </c>
      <c r="AA208" s="15" t="s">
        <v>527</v>
      </c>
      <c r="AB208" s="15">
        <v>0</v>
      </c>
      <c r="AC208" s="7">
        <v>4</v>
      </c>
      <c r="AD208" s="15">
        <v>0</v>
      </c>
      <c r="AE208" s="15">
        <v>0</v>
      </c>
      <c r="AF208" s="15">
        <v>1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P208" s="15">
        <v>1</v>
      </c>
      <c r="AQ208" s="15">
        <v>1</v>
      </c>
      <c r="AR208" s="15">
        <v>1</v>
      </c>
      <c r="AS208" s="15">
        <v>1</v>
      </c>
      <c r="AV208" s="15">
        <v>1</v>
      </c>
      <c r="AY208" s="15">
        <v>30000</v>
      </c>
      <c r="AZ208" s="15">
        <v>40000</v>
      </c>
      <c r="BA208" s="15">
        <v>50000</v>
      </c>
      <c r="BB208" s="15">
        <v>4</v>
      </c>
      <c r="BC208" s="7"/>
      <c r="BD208" s="7"/>
      <c r="BE208" s="7">
        <v>240</v>
      </c>
      <c r="BG208" s="15">
        <v>2</v>
      </c>
      <c r="BL208" s="7">
        <v>0</v>
      </c>
    </row>
    <row r="209" spans="1:65" s="15" customFormat="1">
      <c r="A209" s="15">
        <v>10929</v>
      </c>
      <c r="B209" s="15" t="s">
        <v>238</v>
      </c>
      <c r="C209" s="15" t="s">
        <v>37</v>
      </c>
      <c r="D209" s="15" t="s">
        <v>38</v>
      </c>
      <c r="E209" s="15">
        <v>1</v>
      </c>
      <c r="F209" s="15" t="s">
        <v>959</v>
      </c>
      <c r="G209" s="15">
        <v>0</v>
      </c>
      <c r="H209" s="15">
        <v>0</v>
      </c>
      <c r="I209" s="15">
        <v>99999</v>
      </c>
      <c r="J209" s="15">
        <v>0</v>
      </c>
      <c r="K209" s="15">
        <v>0</v>
      </c>
      <c r="L209" s="15" t="s">
        <v>1562</v>
      </c>
      <c r="M209" s="16">
        <v>1</v>
      </c>
      <c r="N209" s="7">
        <v>1</v>
      </c>
      <c r="P209" s="15">
        <v>0</v>
      </c>
      <c r="Q209" s="15">
        <v>0</v>
      </c>
      <c r="S209" s="15">
        <v>80000</v>
      </c>
      <c r="T209" s="15">
        <v>0</v>
      </c>
      <c r="V209" s="15">
        <v>1</v>
      </c>
      <c r="W209" s="15">
        <v>1</v>
      </c>
      <c r="X209" s="30"/>
      <c r="Y209" s="15" t="s">
        <v>654</v>
      </c>
      <c r="Z209" s="15" t="s">
        <v>3077</v>
      </c>
      <c r="AA209" s="15" t="s">
        <v>527</v>
      </c>
      <c r="AB209" s="15">
        <v>0</v>
      </c>
      <c r="AC209" s="7">
        <v>4</v>
      </c>
      <c r="AD209" s="15">
        <v>0</v>
      </c>
      <c r="AE209" s="15">
        <v>0</v>
      </c>
      <c r="AF209" s="15">
        <v>1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P209" s="15">
        <v>1</v>
      </c>
      <c r="AQ209" s="15">
        <v>1</v>
      </c>
      <c r="AR209" s="15">
        <v>1</v>
      </c>
      <c r="AS209" s="15">
        <v>1</v>
      </c>
      <c r="AV209" s="15">
        <v>1</v>
      </c>
      <c r="AY209" s="15">
        <v>30000</v>
      </c>
      <c r="AZ209" s="15">
        <v>40000</v>
      </c>
      <c r="BA209" s="15">
        <v>50000</v>
      </c>
      <c r="BB209" s="15">
        <v>4</v>
      </c>
      <c r="BC209" s="7"/>
      <c r="BD209" s="7"/>
      <c r="BE209" s="7">
        <v>240</v>
      </c>
      <c r="BG209" s="15">
        <v>2</v>
      </c>
      <c r="BL209" s="7">
        <v>0</v>
      </c>
    </row>
    <row r="210" spans="1:65" s="17" customFormat="1">
      <c r="A210" s="17">
        <v>11120</v>
      </c>
      <c r="B210" s="17" t="s">
        <v>1044</v>
      </c>
      <c r="C210" s="17" t="s">
        <v>37</v>
      </c>
      <c r="D210" s="17" t="s">
        <v>38</v>
      </c>
      <c r="E210" s="17">
        <v>1</v>
      </c>
      <c r="F210" s="17" t="s">
        <v>997</v>
      </c>
      <c r="G210" s="17">
        <v>0</v>
      </c>
      <c r="H210" s="17">
        <v>0</v>
      </c>
      <c r="I210" s="17">
        <v>99999</v>
      </c>
      <c r="J210" s="17">
        <v>0</v>
      </c>
      <c r="K210" s="17">
        <v>3</v>
      </c>
      <c r="L210" s="17" t="s">
        <v>1562</v>
      </c>
      <c r="M210" s="18">
        <v>1</v>
      </c>
      <c r="N210" s="7">
        <v>1</v>
      </c>
      <c r="P210" s="17">
        <v>0</v>
      </c>
      <c r="Q210" s="17">
        <v>0</v>
      </c>
      <c r="S210" s="17">
        <v>1</v>
      </c>
      <c r="T210" s="17">
        <v>0</v>
      </c>
      <c r="V210" s="17">
        <v>0</v>
      </c>
      <c r="W210" s="17">
        <v>1</v>
      </c>
      <c r="X210" s="32"/>
      <c r="Y210" s="17" t="s">
        <v>594</v>
      </c>
      <c r="Z210" s="17" t="s">
        <v>3069</v>
      </c>
      <c r="AA210" s="17" t="s">
        <v>527</v>
      </c>
      <c r="AB210" s="17">
        <v>0</v>
      </c>
      <c r="AC210" s="7">
        <v>4</v>
      </c>
      <c r="AD210" s="17">
        <v>0</v>
      </c>
      <c r="AE210" s="17">
        <v>0</v>
      </c>
      <c r="AF210" s="17">
        <v>1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P210" s="17">
        <v>1</v>
      </c>
      <c r="AR210" s="17">
        <v>0</v>
      </c>
      <c r="AS210" s="17">
        <v>0</v>
      </c>
      <c r="AT210" s="17">
        <v>1</v>
      </c>
      <c r="BD210" s="18"/>
      <c r="BE210" s="7">
        <v>240</v>
      </c>
      <c r="BG210" s="17">
        <v>2</v>
      </c>
      <c r="BL210" s="7">
        <v>0</v>
      </c>
    </row>
    <row r="211" spans="1:65" s="15" customFormat="1">
      <c r="A211" s="15">
        <v>20001</v>
      </c>
      <c r="B211" s="15" t="s">
        <v>657</v>
      </c>
      <c r="C211" s="15" t="s">
        <v>525</v>
      </c>
      <c r="D211" s="15" t="s">
        <v>658</v>
      </c>
      <c r="E211" s="15">
        <v>1</v>
      </c>
      <c r="F211" s="15" t="s">
        <v>959</v>
      </c>
      <c r="G211" s="15">
        <v>0</v>
      </c>
      <c r="H211" s="15">
        <v>0</v>
      </c>
      <c r="I211" s="15">
        <v>99999</v>
      </c>
      <c r="J211" s="15">
        <v>0</v>
      </c>
      <c r="K211" s="15">
        <v>0</v>
      </c>
      <c r="L211" s="15" t="s">
        <v>1562</v>
      </c>
      <c r="M211" s="16">
        <v>1</v>
      </c>
      <c r="N211" s="7">
        <v>1</v>
      </c>
      <c r="P211" s="15">
        <v>0</v>
      </c>
      <c r="Q211" s="15">
        <v>0</v>
      </c>
      <c r="S211" s="15">
        <v>1</v>
      </c>
      <c r="T211" s="15">
        <v>0</v>
      </c>
      <c r="V211" s="15">
        <v>1</v>
      </c>
      <c r="W211" s="15">
        <v>1</v>
      </c>
      <c r="X211" s="30"/>
      <c r="Y211" s="15" t="s">
        <v>659</v>
      </c>
      <c r="Z211" s="15" t="s">
        <v>660</v>
      </c>
      <c r="AA211" s="15" t="s">
        <v>527</v>
      </c>
      <c r="AB211" s="15">
        <v>0</v>
      </c>
      <c r="AC211" s="15">
        <v>4</v>
      </c>
      <c r="AD211" s="15">
        <v>0</v>
      </c>
      <c r="AE211" s="15">
        <v>0</v>
      </c>
      <c r="AF211" s="15">
        <v>1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P211" s="15">
        <v>1</v>
      </c>
      <c r="AR211" s="15">
        <v>1</v>
      </c>
      <c r="AS211" s="15">
        <v>0</v>
      </c>
      <c r="BD211" s="16"/>
      <c r="BE211" s="7">
        <v>240</v>
      </c>
      <c r="BL211" s="7">
        <v>0</v>
      </c>
      <c r="BM211" s="24"/>
    </row>
    <row r="212" spans="1:65" s="15" customFormat="1">
      <c r="A212" s="15">
        <v>20002</v>
      </c>
      <c r="B212" s="15" t="s">
        <v>661</v>
      </c>
      <c r="C212" s="15" t="s">
        <v>525</v>
      </c>
      <c r="D212" s="15" t="s">
        <v>658</v>
      </c>
      <c r="E212" s="15">
        <v>1</v>
      </c>
      <c r="F212" s="15" t="s">
        <v>959</v>
      </c>
      <c r="G212" s="15">
        <v>0</v>
      </c>
      <c r="H212" s="15">
        <v>0</v>
      </c>
      <c r="I212" s="15">
        <v>99999</v>
      </c>
      <c r="J212" s="15">
        <v>0</v>
      </c>
      <c r="K212" s="15">
        <v>0</v>
      </c>
      <c r="L212" s="15" t="s">
        <v>1562</v>
      </c>
      <c r="M212" s="16">
        <v>1</v>
      </c>
      <c r="N212" s="7">
        <v>1</v>
      </c>
      <c r="P212" s="15">
        <v>0</v>
      </c>
      <c r="Q212" s="15">
        <v>0</v>
      </c>
      <c r="S212" s="15">
        <v>1</v>
      </c>
      <c r="T212" s="15">
        <v>0</v>
      </c>
      <c r="V212" s="15">
        <v>1</v>
      </c>
      <c r="W212" s="15">
        <v>1</v>
      </c>
      <c r="X212" s="30"/>
      <c r="Y212" s="15" t="s">
        <v>662</v>
      </c>
      <c r="Z212" s="15" t="s">
        <v>663</v>
      </c>
      <c r="AA212" s="15" t="s">
        <v>527</v>
      </c>
      <c r="AB212" s="15">
        <v>0</v>
      </c>
      <c r="AC212" s="15">
        <v>4</v>
      </c>
      <c r="AD212" s="15">
        <v>0</v>
      </c>
      <c r="AE212" s="15">
        <v>0</v>
      </c>
      <c r="AF212" s="15">
        <v>1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P212" s="15">
        <v>1</v>
      </c>
      <c r="AR212" s="15">
        <v>1</v>
      </c>
      <c r="AS212" s="15">
        <v>0</v>
      </c>
      <c r="BD212" s="16"/>
      <c r="BE212" s="7">
        <v>240</v>
      </c>
      <c r="BL212" s="7">
        <v>0</v>
      </c>
      <c r="BM212" s="24"/>
    </row>
    <row r="213" spans="1:65" s="15" customFormat="1">
      <c r="A213" s="15">
        <v>20003</v>
      </c>
      <c r="B213" s="15" t="s">
        <v>664</v>
      </c>
      <c r="C213" s="15" t="s">
        <v>525</v>
      </c>
      <c r="D213" s="15" t="s">
        <v>658</v>
      </c>
      <c r="E213" s="15">
        <v>1</v>
      </c>
      <c r="F213" s="15" t="s">
        <v>959</v>
      </c>
      <c r="G213" s="15">
        <v>0</v>
      </c>
      <c r="H213" s="15">
        <v>0</v>
      </c>
      <c r="I213" s="15">
        <v>99999</v>
      </c>
      <c r="J213" s="15">
        <v>0</v>
      </c>
      <c r="K213" s="15">
        <v>0</v>
      </c>
      <c r="L213" s="15" t="s">
        <v>1562</v>
      </c>
      <c r="M213" s="16">
        <v>1</v>
      </c>
      <c r="N213" s="7">
        <v>1</v>
      </c>
      <c r="P213" s="15">
        <v>0</v>
      </c>
      <c r="Q213" s="15">
        <v>0</v>
      </c>
      <c r="S213" s="15">
        <v>1</v>
      </c>
      <c r="T213" s="15">
        <v>0</v>
      </c>
      <c r="V213" s="15">
        <v>1</v>
      </c>
      <c r="W213" s="15">
        <v>1</v>
      </c>
      <c r="X213" s="30"/>
      <c r="Y213" s="15" t="s">
        <v>665</v>
      </c>
      <c r="Z213" s="15" t="s">
        <v>666</v>
      </c>
      <c r="AA213" s="15" t="s">
        <v>527</v>
      </c>
      <c r="AB213" s="15">
        <v>0</v>
      </c>
      <c r="AC213" s="15">
        <v>4</v>
      </c>
      <c r="AD213" s="15">
        <v>0</v>
      </c>
      <c r="AE213" s="15">
        <v>0</v>
      </c>
      <c r="AF213" s="15">
        <v>1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P213" s="15">
        <v>1</v>
      </c>
      <c r="AR213" s="15">
        <v>1</v>
      </c>
      <c r="AS213" s="15">
        <v>0</v>
      </c>
      <c r="BD213" s="16"/>
      <c r="BE213" s="7">
        <v>240</v>
      </c>
      <c r="BL213" s="7">
        <v>0</v>
      </c>
      <c r="BM213" s="24"/>
    </row>
    <row r="214" spans="1:65" s="15" customFormat="1">
      <c r="A214" s="15">
        <v>20004</v>
      </c>
      <c r="B214" s="15" t="s">
        <v>667</v>
      </c>
      <c r="C214" s="15" t="s">
        <v>525</v>
      </c>
      <c r="D214" s="15" t="s">
        <v>658</v>
      </c>
      <c r="E214" s="15">
        <v>1</v>
      </c>
      <c r="F214" s="15" t="s">
        <v>959</v>
      </c>
      <c r="G214" s="15">
        <v>0</v>
      </c>
      <c r="H214" s="15">
        <v>0</v>
      </c>
      <c r="I214" s="15">
        <v>99999</v>
      </c>
      <c r="J214" s="15">
        <v>0</v>
      </c>
      <c r="K214" s="15">
        <v>0</v>
      </c>
      <c r="L214" s="15" t="s">
        <v>1562</v>
      </c>
      <c r="M214" s="16">
        <v>1</v>
      </c>
      <c r="N214" s="7">
        <v>1</v>
      </c>
      <c r="P214" s="15">
        <v>0</v>
      </c>
      <c r="Q214" s="15">
        <v>0</v>
      </c>
      <c r="S214" s="15">
        <v>1</v>
      </c>
      <c r="T214" s="15">
        <v>0</v>
      </c>
      <c r="V214" s="15">
        <v>1</v>
      </c>
      <c r="W214" s="15">
        <v>1</v>
      </c>
      <c r="X214" s="30"/>
      <c r="Y214" s="15" t="s">
        <v>668</v>
      </c>
      <c r="Z214" s="15" t="s">
        <v>669</v>
      </c>
      <c r="AA214" s="15" t="s">
        <v>527</v>
      </c>
      <c r="AB214" s="15">
        <v>0</v>
      </c>
      <c r="AC214" s="15">
        <v>4</v>
      </c>
      <c r="AD214" s="15">
        <v>0</v>
      </c>
      <c r="AE214" s="15">
        <v>0</v>
      </c>
      <c r="AF214" s="15">
        <v>1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P214" s="15">
        <v>1</v>
      </c>
      <c r="AR214" s="15">
        <v>1</v>
      </c>
      <c r="AS214" s="15">
        <v>0</v>
      </c>
      <c r="BD214" s="16"/>
      <c r="BE214" s="7">
        <v>240</v>
      </c>
      <c r="BL214" s="7">
        <v>0</v>
      </c>
      <c r="BM214" s="24"/>
    </row>
    <row r="215" spans="1:65" s="15" customFormat="1">
      <c r="A215" s="15">
        <v>20005</v>
      </c>
      <c r="B215" s="15" t="s">
        <v>670</v>
      </c>
      <c r="C215" s="15" t="s">
        <v>525</v>
      </c>
      <c r="D215" s="15" t="s">
        <v>658</v>
      </c>
      <c r="E215" s="15">
        <v>1</v>
      </c>
      <c r="F215" s="15" t="s">
        <v>959</v>
      </c>
      <c r="G215" s="15">
        <v>0</v>
      </c>
      <c r="H215" s="15">
        <v>0</v>
      </c>
      <c r="I215" s="15">
        <v>99999</v>
      </c>
      <c r="J215" s="15">
        <v>0</v>
      </c>
      <c r="K215" s="15">
        <v>0</v>
      </c>
      <c r="L215" s="15" t="s">
        <v>1562</v>
      </c>
      <c r="M215" s="16">
        <v>1</v>
      </c>
      <c r="N215" s="7">
        <v>1</v>
      </c>
      <c r="P215" s="15">
        <v>0</v>
      </c>
      <c r="Q215" s="15">
        <v>0</v>
      </c>
      <c r="S215" s="15">
        <v>1</v>
      </c>
      <c r="T215" s="15">
        <v>0</v>
      </c>
      <c r="V215" s="15">
        <v>1</v>
      </c>
      <c r="W215" s="15">
        <v>1</v>
      </c>
      <c r="X215" s="30"/>
      <c r="Y215" s="15" t="s">
        <v>671</v>
      </c>
      <c r="Z215" s="15" t="s">
        <v>672</v>
      </c>
      <c r="AA215" s="15" t="s">
        <v>527</v>
      </c>
      <c r="AB215" s="15">
        <v>0</v>
      </c>
      <c r="AC215" s="15">
        <v>4</v>
      </c>
      <c r="AD215" s="15">
        <v>0</v>
      </c>
      <c r="AE215" s="15">
        <v>0</v>
      </c>
      <c r="AF215" s="15">
        <v>1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P215" s="15">
        <v>1</v>
      </c>
      <c r="AR215" s="15">
        <v>1</v>
      </c>
      <c r="AS215" s="15">
        <v>0</v>
      </c>
      <c r="BD215" s="16"/>
      <c r="BE215" s="7">
        <v>240</v>
      </c>
      <c r="BL215" s="7">
        <v>0</v>
      </c>
      <c r="BM215" s="24"/>
    </row>
    <row r="216" spans="1:65">
      <c r="A216">
        <v>21001</v>
      </c>
      <c r="B216" t="s">
        <v>1722</v>
      </c>
      <c r="C216" s="7" t="s">
        <v>1057</v>
      </c>
      <c r="D216" s="7" t="s">
        <v>1058</v>
      </c>
      <c r="E216">
        <v>25</v>
      </c>
      <c r="F216" t="s">
        <v>959</v>
      </c>
      <c r="G216">
        <v>0</v>
      </c>
      <c r="H216">
        <v>0</v>
      </c>
      <c r="I216">
        <v>99999</v>
      </c>
      <c r="J216">
        <v>0</v>
      </c>
      <c r="K216">
        <v>0</v>
      </c>
      <c r="L216" t="s">
        <v>1562</v>
      </c>
      <c r="M216" s="7">
        <v>20</v>
      </c>
      <c r="N216" s="7">
        <v>0</v>
      </c>
      <c r="P216">
        <v>0</v>
      </c>
      <c r="Q216">
        <v>0</v>
      </c>
      <c r="S216">
        <v>500</v>
      </c>
      <c r="T216">
        <v>0</v>
      </c>
      <c r="V216">
        <v>1</v>
      </c>
      <c r="W216">
        <v>1</v>
      </c>
      <c r="Y216" s="7" t="s">
        <v>1572</v>
      </c>
      <c r="Z216" t="s">
        <v>2531</v>
      </c>
      <c r="AA216" t="s">
        <v>2933</v>
      </c>
      <c r="AB216">
        <v>0</v>
      </c>
      <c r="AC216">
        <v>4</v>
      </c>
      <c r="AD216">
        <v>0</v>
      </c>
      <c r="AE216">
        <v>0</v>
      </c>
      <c r="AF216">
        <v>1</v>
      </c>
      <c r="AI216">
        <v>1</v>
      </c>
      <c r="AJ216">
        <v>140</v>
      </c>
      <c r="AK216" s="7">
        <v>1</v>
      </c>
      <c r="AL216" s="7">
        <v>40</v>
      </c>
      <c r="AM216" s="7">
        <v>0</v>
      </c>
      <c r="AN216" s="7">
        <v>0</v>
      </c>
      <c r="AP216">
        <v>1</v>
      </c>
      <c r="AQ216" s="7">
        <v>1</v>
      </c>
      <c r="AR216" s="7">
        <v>1</v>
      </c>
      <c r="AS216" s="7">
        <v>0</v>
      </c>
      <c r="AV216" s="7">
        <v>1</v>
      </c>
      <c r="BD216" s="7"/>
      <c r="BE216" s="7">
        <v>240</v>
      </c>
      <c r="BG216" s="7">
        <v>2</v>
      </c>
      <c r="BL216" s="7">
        <v>0</v>
      </c>
      <c r="BM216" s="24"/>
    </row>
    <row r="217" spans="1:65" s="7" customFormat="1">
      <c r="A217" s="7">
        <v>21002</v>
      </c>
      <c r="B217" s="7" t="s">
        <v>1723</v>
      </c>
      <c r="C217" s="7" t="s">
        <v>1057</v>
      </c>
      <c r="D217" s="7" t="s">
        <v>1058</v>
      </c>
      <c r="E217" s="7">
        <v>25</v>
      </c>
      <c r="F217" s="7" t="s">
        <v>959</v>
      </c>
      <c r="G217" s="7">
        <v>0</v>
      </c>
      <c r="H217" s="7">
        <v>0</v>
      </c>
      <c r="I217" s="7">
        <v>99999</v>
      </c>
      <c r="J217" s="7">
        <v>0</v>
      </c>
      <c r="K217" s="7">
        <v>0</v>
      </c>
      <c r="L217" s="7" t="s">
        <v>1562</v>
      </c>
      <c r="M217" s="7">
        <v>20</v>
      </c>
      <c r="N217" s="7">
        <v>0</v>
      </c>
      <c r="P217" s="7">
        <v>0</v>
      </c>
      <c r="Q217" s="7">
        <v>0</v>
      </c>
      <c r="S217" s="7">
        <v>500</v>
      </c>
      <c r="T217" s="7">
        <v>0</v>
      </c>
      <c r="V217" s="7">
        <v>1</v>
      </c>
      <c r="W217" s="7">
        <v>1</v>
      </c>
      <c r="X217" s="6"/>
      <c r="Y217" s="7" t="s">
        <v>1573</v>
      </c>
      <c r="Z217" s="7" t="s">
        <v>2532</v>
      </c>
      <c r="AA217" s="7" t="s">
        <v>2935</v>
      </c>
      <c r="AB217" s="7">
        <v>0</v>
      </c>
      <c r="AC217" s="7">
        <v>4</v>
      </c>
      <c r="AD217" s="7">
        <v>0</v>
      </c>
      <c r="AE217" s="7">
        <v>0</v>
      </c>
      <c r="AF217" s="7">
        <v>1</v>
      </c>
      <c r="AI217" s="7">
        <v>1</v>
      </c>
      <c r="AJ217" s="7">
        <v>140</v>
      </c>
      <c r="AK217" s="7">
        <v>1</v>
      </c>
      <c r="AL217" s="7">
        <v>40</v>
      </c>
      <c r="AM217" s="7">
        <v>0</v>
      </c>
      <c r="AN217" s="7">
        <v>0</v>
      </c>
      <c r="AP217" s="7">
        <v>1</v>
      </c>
      <c r="AQ217" s="7">
        <v>1</v>
      </c>
      <c r="AR217" s="7">
        <v>1</v>
      </c>
      <c r="AS217" s="7">
        <v>0</v>
      </c>
      <c r="AV217" s="7">
        <v>1</v>
      </c>
      <c r="BE217" s="7">
        <v>240</v>
      </c>
      <c r="BG217" s="7">
        <v>2</v>
      </c>
      <c r="BL217" s="7">
        <v>0</v>
      </c>
      <c r="BM217" s="24"/>
    </row>
    <row r="218" spans="1:65" s="7" customFormat="1">
      <c r="A218" s="7">
        <v>21003</v>
      </c>
      <c r="B218" s="7" t="s">
        <v>1724</v>
      </c>
      <c r="C218" s="7" t="s">
        <v>1057</v>
      </c>
      <c r="D218" s="7" t="s">
        <v>1058</v>
      </c>
      <c r="E218" s="7">
        <v>25</v>
      </c>
      <c r="F218" s="7" t="s">
        <v>959</v>
      </c>
      <c r="G218" s="7">
        <v>0</v>
      </c>
      <c r="H218" s="7">
        <v>0</v>
      </c>
      <c r="I218" s="7">
        <v>99999</v>
      </c>
      <c r="J218" s="7">
        <v>0</v>
      </c>
      <c r="K218" s="7">
        <v>0</v>
      </c>
      <c r="L218" s="7" t="s">
        <v>1562</v>
      </c>
      <c r="M218" s="7">
        <v>20</v>
      </c>
      <c r="N218" s="7">
        <v>0</v>
      </c>
      <c r="P218" s="7">
        <v>0</v>
      </c>
      <c r="Q218" s="7">
        <v>0</v>
      </c>
      <c r="S218" s="7">
        <v>500</v>
      </c>
      <c r="T218" s="7">
        <v>0</v>
      </c>
      <c r="V218" s="7">
        <v>1</v>
      </c>
      <c r="W218" s="7">
        <v>1</v>
      </c>
      <c r="X218" s="6"/>
      <c r="Y218" s="7" t="s">
        <v>1574</v>
      </c>
      <c r="Z218" s="7" t="s">
        <v>2533</v>
      </c>
      <c r="AA218" s="7" t="s">
        <v>2934</v>
      </c>
      <c r="AB218" s="7">
        <v>0</v>
      </c>
      <c r="AC218" s="7">
        <v>4</v>
      </c>
      <c r="AD218" s="7">
        <v>0</v>
      </c>
      <c r="AE218" s="7">
        <v>0</v>
      </c>
      <c r="AF218" s="7">
        <v>1</v>
      </c>
      <c r="AI218" s="7">
        <v>1</v>
      </c>
      <c r="AJ218" s="7">
        <v>140</v>
      </c>
      <c r="AK218" s="7">
        <v>1</v>
      </c>
      <c r="AL218" s="7">
        <v>40</v>
      </c>
      <c r="AM218" s="7">
        <v>0</v>
      </c>
      <c r="AN218" s="7">
        <v>0</v>
      </c>
      <c r="AP218" s="7">
        <v>1</v>
      </c>
      <c r="AQ218" s="7">
        <v>1</v>
      </c>
      <c r="AR218" s="7">
        <v>1</v>
      </c>
      <c r="AS218" s="7">
        <v>0</v>
      </c>
      <c r="AV218" s="7">
        <v>1</v>
      </c>
      <c r="BE218" s="7">
        <v>240</v>
      </c>
      <c r="BG218" s="7">
        <v>2</v>
      </c>
      <c r="BL218" s="7">
        <v>0</v>
      </c>
    </row>
    <row r="219" spans="1:65" s="7" customFormat="1">
      <c r="A219" s="7">
        <v>21011</v>
      </c>
      <c r="B219" s="7" t="s">
        <v>1725</v>
      </c>
      <c r="C219" s="7" t="s">
        <v>1057</v>
      </c>
      <c r="D219" s="7" t="s">
        <v>1058</v>
      </c>
      <c r="E219" s="7">
        <v>25</v>
      </c>
      <c r="F219" s="7" t="s">
        <v>1611</v>
      </c>
      <c r="G219" s="7">
        <v>0</v>
      </c>
      <c r="H219" s="7">
        <v>0</v>
      </c>
      <c r="I219" s="7">
        <v>99999</v>
      </c>
      <c r="J219" s="7">
        <v>0</v>
      </c>
      <c r="K219" s="7">
        <v>3</v>
      </c>
      <c r="L219" s="7" t="s">
        <v>1562</v>
      </c>
      <c r="M219" s="7">
        <v>20</v>
      </c>
      <c r="N219" s="7">
        <v>1</v>
      </c>
      <c r="P219" s="7">
        <v>0</v>
      </c>
      <c r="Q219" s="7">
        <v>0</v>
      </c>
      <c r="S219" s="7">
        <v>1</v>
      </c>
      <c r="T219" s="7">
        <v>0</v>
      </c>
      <c r="V219" s="7">
        <v>1</v>
      </c>
      <c r="W219" s="7">
        <v>1</v>
      </c>
      <c r="X219" s="6"/>
      <c r="Y219" s="7" t="s">
        <v>1572</v>
      </c>
      <c r="Z219" s="7" t="s">
        <v>2531</v>
      </c>
      <c r="AA219" s="7" t="s">
        <v>2933</v>
      </c>
      <c r="AB219" s="7">
        <v>0</v>
      </c>
      <c r="AC219" s="7">
        <v>4</v>
      </c>
      <c r="AD219" s="7">
        <v>0</v>
      </c>
      <c r="AE219" s="7">
        <v>0</v>
      </c>
      <c r="AF219" s="7">
        <v>1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P219" s="7">
        <v>1</v>
      </c>
      <c r="AQ219" s="7">
        <v>1</v>
      </c>
      <c r="AR219" s="7">
        <v>0</v>
      </c>
      <c r="AS219" s="7">
        <v>0</v>
      </c>
      <c r="AT219" s="7">
        <v>1</v>
      </c>
      <c r="BE219" s="7">
        <v>240</v>
      </c>
      <c r="BG219" s="7">
        <v>2</v>
      </c>
      <c r="BL219" s="7">
        <v>0</v>
      </c>
    </row>
    <row r="220" spans="1:65" s="7" customFormat="1">
      <c r="A220" s="7">
        <v>21012</v>
      </c>
      <c r="B220" s="7" t="s">
        <v>1726</v>
      </c>
      <c r="C220" s="7" t="s">
        <v>1057</v>
      </c>
      <c r="D220" s="7" t="s">
        <v>1058</v>
      </c>
      <c r="E220" s="7">
        <v>25</v>
      </c>
      <c r="F220" s="7" t="s">
        <v>1612</v>
      </c>
      <c r="G220" s="7">
        <v>0</v>
      </c>
      <c r="H220" s="7">
        <v>0</v>
      </c>
      <c r="I220" s="7">
        <v>99999</v>
      </c>
      <c r="J220" s="7">
        <v>0</v>
      </c>
      <c r="K220" s="7">
        <v>3</v>
      </c>
      <c r="L220" s="7" t="s">
        <v>1562</v>
      </c>
      <c r="M220" s="7">
        <v>20</v>
      </c>
      <c r="N220" s="7">
        <v>1</v>
      </c>
      <c r="P220" s="7">
        <v>0</v>
      </c>
      <c r="Q220" s="7">
        <v>0</v>
      </c>
      <c r="S220" s="7">
        <v>1</v>
      </c>
      <c r="T220" s="7">
        <v>0</v>
      </c>
      <c r="V220" s="7">
        <v>1</v>
      </c>
      <c r="W220" s="7">
        <v>1</v>
      </c>
      <c r="X220" s="6"/>
      <c r="Y220" s="7" t="s">
        <v>1573</v>
      </c>
      <c r="Z220" s="7" t="s">
        <v>2532</v>
      </c>
      <c r="AA220" s="7" t="s">
        <v>2935</v>
      </c>
      <c r="AB220" s="7">
        <v>0</v>
      </c>
      <c r="AC220" s="7">
        <v>4</v>
      </c>
      <c r="AD220" s="7">
        <v>0</v>
      </c>
      <c r="AE220" s="7">
        <v>0</v>
      </c>
      <c r="AF220" s="7">
        <v>1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P220" s="7">
        <v>1</v>
      </c>
      <c r="AQ220" s="7">
        <v>1</v>
      </c>
      <c r="AR220" s="7">
        <v>0</v>
      </c>
      <c r="AS220" s="7">
        <v>0</v>
      </c>
      <c r="AT220" s="7">
        <v>1</v>
      </c>
      <c r="BE220" s="7">
        <v>240</v>
      </c>
      <c r="BG220" s="7">
        <v>2</v>
      </c>
      <c r="BL220" s="7">
        <v>0</v>
      </c>
    </row>
    <row r="221" spans="1:65" s="7" customFormat="1">
      <c r="A221" s="7">
        <v>21013</v>
      </c>
      <c r="B221" s="7" t="s">
        <v>1727</v>
      </c>
      <c r="C221" s="7" t="s">
        <v>1057</v>
      </c>
      <c r="D221" s="7" t="s">
        <v>1058</v>
      </c>
      <c r="E221" s="7">
        <v>25</v>
      </c>
      <c r="F221" s="7" t="s">
        <v>1613</v>
      </c>
      <c r="G221" s="7">
        <v>0</v>
      </c>
      <c r="H221" s="7">
        <v>0</v>
      </c>
      <c r="I221" s="7">
        <v>99999</v>
      </c>
      <c r="J221" s="7">
        <v>0</v>
      </c>
      <c r="K221" s="7">
        <v>3</v>
      </c>
      <c r="L221" s="7" t="s">
        <v>1562</v>
      </c>
      <c r="M221" s="7">
        <v>20</v>
      </c>
      <c r="N221" s="7">
        <v>1</v>
      </c>
      <c r="P221" s="7">
        <v>0</v>
      </c>
      <c r="Q221" s="7">
        <v>0</v>
      </c>
      <c r="S221" s="7">
        <v>1</v>
      </c>
      <c r="T221" s="7">
        <v>0</v>
      </c>
      <c r="V221" s="7">
        <v>1</v>
      </c>
      <c r="W221" s="7">
        <v>1</v>
      </c>
      <c r="X221" s="6"/>
      <c r="Y221" s="7" t="s">
        <v>1574</v>
      </c>
      <c r="Z221" s="7" t="s">
        <v>2533</v>
      </c>
      <c r="AA221" s="7" t="s">
        <v>2934</v>
      </c>
      <c r="AB221" s="7">
        <v>0</v>
      </c>
      <c r="AC221" s="7">
        <v>4</v>
      </c>
      <c r="AD221" s="7">
        <v>0</v>
      </c>
      <c r="AE221" s="7">
        <v>0</v>
      </c>
      <c r="AF221" s="7">
        <v>1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P221" s="7">
        <v>1</v>
      </c>
      <c r="AQ221" s="7">
        <v>1</v>
      </c>
      <c r="AR221" s="7">
        <v>0</v>
      </c>
      <c r="AS221" s="7">
        <v>0</v>
      </c>
      <c r="AT221" s="7">
        <v>1</v>
      </c>
      <c r="BE221" s="7">
        <v>240</v>
      </c>
      <c r="BG221" s="7">
        <v>2</v>
      </c>
      <c r="BL221" s="7">
        <v>0</v>
      </c>
    </row>
    <row r="222" spans="1:65" s="15" customFormat="1">
      <c r="A222" s="15">
        <v>21091</v>
      </c>
      <c r="B222" s="15" t="s">
        <v>674</v>
      </c>
      <c r="C222" s="15" t="s">
        <v>525</v>
      </c>
      <c r="D222" s="15" t="s">
        <v>673</v>
      </c>
      <c r="E222" s="15">
        <v>1</v>
      </c>
      <c r="F222" s="15" t="s">
        <v>959</v>
      </c>
      <c r="G222" s="15">
        <v>0</v>
      </c>
      <c r="H222" s="15">
        <v>0</v>
      </c>
      <c r="I222" s="15">
        <v>99999</v>
      </c>
      <c r="J222" s="15">
        <v>0</v>
      </c>
      <c r="K222" s="15">
        <v>0</v>
      </c>
      <c r="L222" s="15" t="s">
        <v>1562</v>
      </c>
      <c r="M222" s="16">
        <v>1</v>
      </c>
      <c r="N222" s="7">
        <v>1</v>
      </c>
      <c r="P222" s="15">
        <v>0</v>
      </c>
      <c r="Q222" s="15">
        <v>0</v>
      </c>
      <c r="S222" s="15">
        <v>1</v>
      </c>
      <c r="T222" s="15">
        <v>0</v>
      </c>
      <c r="V222" s="15">
        <v>1</v>
      </c>
      <c r="W222" s="15">
        <v>1</v>
      </c>
      <c r="X222" s="30"/>
      <c r="Y222" s="15" t="s">
        <v>675</v>
      </c>
      <c r="Z222" s="15" t="s">
        <v>2534</v>
      </c>
      <c r="AA222" s="15" t="s">
        <v>527</v>
      </c>
      <c r="AB222" s="15">
        <v>0</v>
      </c>
      <c r="AC222" s="15">
        <v>4</v>
      </c>
      <c r="AD222" s="15">
        <v>0</v>
      </c>
      <c r="AE222" s="15">
        <v>0</v>
      </c>
      <c r="AF222" s="15">
        <v>1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P222" s="15">
        <v>1</v>
      </c>
      <c r="AR222" s="15">
        <v>0</v>
      </c>
      <c r="AS222" s="15">
        <v>0</v>
      </c>
      <c r="BD222" s="16"/>
      <c r="BE222" s="7">
        <v>240</v>
      </c>
      <c r="BL222" s="7">
        <v>0</v>
      </c>
      <c r="BM222" s="24"/>
    </row>
    <row r="223" spans="1:65" s="15" customFormat="1">
      <c r="A223" s="15">
        <v>21092</v>
      </c>
      <c r="B223" s="15" t="s">
        <v>676</v>
      </c>
      <c r="C223" s="15" t="s">
        <v>525</v>
      </c>
      <c r="D223" s="15" t="s">
        <v>673</v>
      </c>
      <c r="E223" s="15">
        <v>1</v>
      </c>
      <c r="F223" s="15" t="s">
        <v>959</v>
      </c>
      <c r="G223" s="15">
        <v>0</v>
      </c>
      <c r="H223" s="15">
        <v>0</v>
      </c>
      <c r="I223" s="15">
        <v>99999</v>
      </c>
      <c r="J223" s="15">
        <v>0</v>
      </c>
      <c r="K223" s="15">
        <v>0</v>
      </c>
      <c r="L223" s="15" t="s">
        <v>1562</v>
      </c>
      <c r="M223" s="16">
        <v>1</v>
      </c>
      <c r="N223" s="7">
        <v>1</v>
      </c>
      <c r="P223" s="15">
        <v>0</v>
      </c>
      <c r="Q223" s="15">
        <v>0</v>
      </c>
      <c r="S223" s="15">
        <v>1</v>
      </c>
      <c r="T223" s="15">
        <v>0</v>
      </c>
      <c r="V223" s="15">
        <v>1</v>
      </c>
      <c r="W223" s="15">
        <v>1</v>
      </c>
      <c r="X223" s="30"/>
      <c r="Y223" s="15" t="s">
        <v>677</v>
      </c>
      <c r="Z223" s="15" t="s">
        <v>2535</v>
      </c>
      <c r="AA223" s="15" t="s">
        <v>527</v>
      </c>
      <c r="AB223" s="15">
        <v>0</v>
      </c>
      <c r="AC223" s="15">
        <v>4</v>
      </c>
      <c r="AD223" s="15">
        <v>0</v>
      </c>
      <c r="AE223" s="15">
        <v>0</v>
      </c>
      <c r="AF223" s="15">
        <v>1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P223" s="15">
        <v>1</v>
      </c>
      <c r="AR223" s="15">
        <v>0</v>
      </c>
      <c r="AS223" s="15">
        <v>0</v>
      </c>
      <c r="BD223" s="16"/>
      <c r="BE223" s="7">
        <v>240</v>
      </c>
      <c r="BL223" s="7">
        <v>0</v>
      </c>
      <c r="BM223" s="24"/>
    </row>
    <row r="224" spans="1:65" s="7" customFormat="1">
      <c r="A224" s="7">
        <v>31031</v>
      </c>
      <c r="B224" s="7" t="s">
        <v>1053</v>
      </c>
      <c r="C224" s="7" t="s">
        <v>560</v>
      </c>
      <c r="D224" s="7" t="s">
        <v>561</v>
      </c>
      <c r="E224" s="10">
        <v>7</v>
      </c>
      <c r="F224" s="11" t="s">
        <v>955</v>
      </c>
      <c r="G224" s="7">
        <v>0</v>
      </c>
      <c r="H224" s="7">
        <v>0</v>
      </c>
      <c r="I224" s="7">
        <v>99999</v>
      </c>
      <c r="J224" s="7">
        <v>0</v>
      </c>
      <c r="K224" s="7">
        <v>0</v>
      </c>
      <c r="L224" s="7" t="s">
        <v>1562</v>
      </c>
      <c r="M224" s="7">
        <v>1</v>
      </c>
      <c r="N224" s="7">
        <v>1</v>
      </c>
      <c r="O224" s="14">
        <v>1031</v>
      </c>
      <c r="P224" s="7">
        <v>0</v>
      </c>
      <c r="Q224" s="7">
        <v>0</v>
      </c>
      <c r="S224" s="7">
        <v>25</v>
      </c>
      <c r="T224" s="7">
        <v>3</v>
      </c>
      <c r="U224" s="7">
        <v>0</v>
      </c>
      <c r="V224" s="7">
        <v>1</v>
      </c>
      <c r="W224" s="7">
        <v>1</v>
      </c>
      <c r="X224" s="6"/>
      <c r="Y224" s="7" t="s">
        <v>562</v>
      </c>
      <c r="Z224" s="12" t="s">
        <v>2536</v>
      </c>
      <c r="AA224" s="7" t="s">
        <v>563</v>
      </c>
      <c r="AB224" s="7">
        <v>0</v>
      </c>
      <c r="AC224" s="7">
        <v>1</v>
      </c>
      <c r="AD224" s="7">
        <v>0</v>
      </c>
      <c r="AE224" s="7">
        <v>0</v>
      </c>
      <c r="AF224" s="7">
        <v>1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P224" s="7">
        <v>0</v>
      </c>
      <c r="AQ224" s="7">
        <v>0</v>
      </c>
      <c r="AR224" s="7">
        <v>0</v>
      </c>
      <c r="AS224" s="7">
        <v>0</v>
      </c>
      <c r="BE224" s="7">
        <v>240</v>
      </c>
      <c r="BG224" s="7">
        <v>3</v>
      </c>
      <c r="BL224" s="7">
        <v>0</v>
      </c>
    </row>
    <row r="225" spans="1:64" s="7" customFormat="1">
      <c r="A225" s="7">
        <v>31032</v>
      </c>
      <c r="B225" s="7" t="s">
        <v>977</v>
      </c>
      <c r="C225" s="7" t="s">
        <v>560</v>
      </c>
      <c r="D225" s="7" t="s">
        <v>561</v>
      </c>
      <c r="E225" s="10">
        <v>19</v>
      </c>
      <c r="F225" s="11" t="s">
        <v>955</v>
      </c>
      <c r="G225" s="7">
        <v>0</v>
      </c>
      <c r="H225" s="7">
        <v>0</v>
      </c>
      <c r="I225" s="7">
        <v>99999</v>
      </c>
      <c r="J225" s="7">
        <v>0</v>
      </c>
      <c r="K225" s="7">
        <v>0</v>
      </c>
      <c r="L225" s="7" t="s">
        <v>1562</v>
      </c>
      <c r="M225" s="7">
        <v>1</v>
      </c>
      <c r="N225" s="7">
        <v>1</v>
      </c>
      <c r="O225" s="14">
        <v>1032</v>
      </c>
      <c r="P225" s="7">
        <v>0</v>
      </c>
      <c r="Q225" s="7">
        <v>0</v>
      </c>
      <c r="S225" s="7">
        <v>1000</v>
      </c>
      <c r="T225" s="7">
        <v>3</v>
      </c>
      <c r="U225" s="7">
        <v>1</v>
      </c>
      <c r="V225" s="7">
        <v>1</v>
      </c>
      <c r="W225" s="7">
        <v>1</v>
      </c>
      <c r="X225" s="6"/>
      <c r="Y225" s="7" t="s">
        <v>562</v>
      </c>
      <c r="Z225" s="12" t="s">
        <v>2537</v>
      </c>
      <c r="AA225" s="7" t="s">
        <v>563</v>
      </c>
      <c r="AB225" s="7">
        <v>0</v>
      </c>
      <c r="AC225" s="7">
        <v>1</v>
      </c>
      <c r="AD225" s="7">
        <v>0</v>
      </c>
      <c r="AE225" s="7">
        <v>0</v>
      </c>
      <c r="AF225" s="7">
        <v>1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P225" s="7">
        <v>0</v>
      </c>
      <c r="AQ225" s="7">
        <v>0</v>
      </c>
      <c r="AR225" s="7">
        <v>0</v>
      </c>
      <c r="AS225" s="7">
        <v>0</v>
      </c>
      <c r="BE225" s="7">
        <v>240</v>
      </c>
      <c r="BG225" s="7">
        <v>3</v>
      </c>
      <c r="BL225" s="7">
        <v>0</v>
      </c>
    </row>
    <row r="226" spans="1:64" s="7" customFormat="1">
      <c r="A226" s="7">
        <v>31033</v>
      </c>
      <c r="B226" s="7" t="s">
        <v>978</v>
      </c>
      <c r="C226" s="7" t="s">
        <v>560</v>
      </c>
      <c r="D226" s="7" t="s">
        <v>561</v>
      </c>
      <c r="E226" s="10">
        <v>25</v>
      </c>
      <c r="F226" s="11" t="s">
        <v>955</v>
      </c>
      <c r="G226" s="7">
        <v>0</v>
      </c>
      <c r="H226" s="7">
        <v>0</v>
      </c>
      <c r="I226" s="7">
        <v>99999</v>
      </c>
      <c r="J226" s="7">
        <v>0</v>
      </c>
      <c r="K226" s="7">
        <v>0</v>
      </c>
      <c r="L226" s="7" t="s">
        <v>1562</v>
      </c>
      <c r="M226" s="7">
        <v>1</v>
      </c>
      <c r="N226" s="7">
        <v>1</v>
      </c>
      <c r="O226" s="14">
        <v>1033</v>
      </c>
      <c r="P226" s="7">
        <v>0</v>
      </c>
      <c r="Q226" s="7">
        <v>0</v>
      </c>
      <c r="S226" s="7">
        <v>2500</v>
      </c>
      <c r="T226" s="7">
        <v>3</v>
      </c>
      <c r="U226" s="7">
        <v>1</v>
      </c>
      <c r="V226" s="7">
        <v>1</v>
      </c>
      <c r="W226" s="7">
        <v>1</v>
      </c>
      <c r="X226" s="6"/>
      <c r="Y226" s="7" t="s">
        <v>562</v>
      </c>
      <c r="Z226" s="12" t="s">
        <v>2538</v>
      </c>
      <c r="AA226" s="7" t="s">
        <v>563</v>
      </c>
      <c r="AB226" s="7">
        <v>0</v>
      </c>
      <c r="AC226" s="7">
        <v>1</v>
      </c>
      <c r="AD226" s="7">
        <v>0</v>
      </c>
      <c r="AE226" s="7">
        <v>0</v>
      </c>
      <c r="AF226" s="7">
        <v>1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P226" s="7">
        <v>0</v>
      </c>
      <c r="AQ226" s="7">
        <v>0</v>
      </c>
      <c r="AR226" s="7">
        <v>0</v>
      </c>
      <c r="AS226" s="7">
        <v>0</v>
      </c>
      <c r="BE226" s="7">
        <v>240</v>
      </c>
      <c r="BG226" s="7">
        <v>3</v>
      </c>
      <c r="BL226" s="7">
        <v>0</v>
      </c>
    </row>
    <row r="227" spans="1:64" s="7" customFormat="1">
      <c r="A227" s="7">
        <v>31034</v>
      </c>
      <c r="B227" s="7" t="s">
        <v>979</v>
      </c>
      <c r="C227" s="7" t="s">
        <v>560</v>
      </c>
      <c r="D227" s="7" t="s">
        <v>561</v>
      </c>
      <c r="E227" s="10">
        <v>28</v>
      </c>
      <c r="F227" s="11" t="s">
        <v>955</v>
      </c>
      <c r="G227" s="7">
        <v>0</v>
      </c>
      <c r="H227" s="7">
        <v>0</v>
      </c>
      <c r="I227" s="7">
        <v>99999</v>
      </c>
      <c r="J227" s="7">
        <v>0</v>
      </c>
      <c r="K227" s="7">
        <v>0</v>
      </c>
      <c r="L227" s="7" t="s">
        <v>1562</v>
      </c>
      <c r="M227" s="7">
        <v>1</v>
      </c>
      <c r="N227" s="7">
        <v>1</v>
      </c>
      <c r="O227" s="14">
        <v>1034</v>
      </c>
      <c r="P227" s="7">
        <v>0</v>
      </c>
      <c r="Q227" s="7">
        <v>0</v>
      </c>
      <c r="S227" s="7">
        <v>4000</v>
      </c>
      <c r="T227" s="7">
        <v>3</v>
      </c>
      <c r="U227" s="7">
        <v>0</v>
      </c>
      <c r="V227" s="7">
        <v>1</v>
      </c>
      <c r="W227" s="7">
        <v>1</v>
      </c>
      <c r="X227" s="6"/>
      <c r="Y227" s="7" t="s">
        <v>562</v>
      </c>
      <c r="Z227" s="12" t="s">
        <v>2539</v>
      </c>
      <c r="AA227" s="7" t="s">
        <v>563</v>
      </c>
      <c r="AB227" s="7">
        <v>0</v>
      </c>
      <c r="AC227" s="7">
        <v>1</v>
      </c>
      <c r="AD227" s="7">
        <v>0</v>
      </c>
      <c r="AE227" s="7">
        <v>0</v>
      </c>
      <c r="AF227" s="7">
        <v>1</v>
      </c>
      <c r="AI227" s="7">
        <v>24</v>
      </c>
      <c r="AJ227" s="7">
        <v>10</v>
      </c>
      <c r="AK227" s="7">
        <v>24</v>
      </c>
      <c r="AL227" s="7">
        <v>13</v>
      </c>
      <c r="AM227" s="7">
        <v>24</v>
      </c>
      <c r="AN227" s="7">
        <v>20</v>
      </c>
      <c r="AO227" s="7">
        <v>24</v>
      </c>
      <c r="AP227" s="7">
        <v>1</v>
      </c>
      <c r="AQ227" s="7">
        <v>1</v>
      </c>
      <c r="AR227" s="7">
        <v>0</v>
      </c>
      <c r="AS227" s="7">
        <v>0</v>
      </c>
      <c r="AV227" s="7">
        <v>1</v>
      </c>
      <c r="AW227" s="7">
        <v>1</v>
      </c>
      <c r="AY227" s="7">
        <v>30000</v>
      </c>
      <c r="AZ227" s="7">
        <v>40000</v>
      </c>
      <c r="BA227" s="7">
        <v>50000</v>
      </c>
      <c r="BB227" s="7">
        <v>4</v>
      </c>
      <c r="BE227" s="7">
        <v>240</v>
      </c>
      <c r="BG227" s="7">
        <v>3</v>
      </c>
      <c r="BL227" s="7">
        <v>0</v>
      </c>
    </row>
    <row r="228" spans="1:64" s="7" customFormat="1">
      <c r="A228" s="7">
        <v>31035</v>
      </c>
      <c r="B228" s="7" t="s">
        <v>980</v>
      </c>
      <c r="C228" s="7" t="s">
        <v>560</v>
      </c>
      <c r="D228" s="7" t="s">
        <v>561</v>
      </c>
      <c r="E228" s="10">
        <v>30</v>
      </c>
      <c r="F228" s="11" t="s">
        <v>955</v>
      </c>
      <c r="G228" s="7">
        <v>0</v>
      </c>
      <c r="H228" s="7">
        <v>0</v>
      </c>
      <c r="I228" s="7">
        <v>99999</v>
      </c>
      <c r="J228" s="7">
        <v>0</v>
      </c>
      <c r="K228" s="7">
        <v>0</v>
      </c>
      <c r="L228" s="7" t="s">
        <v>1562</v>
      </c>
      <c r="M228" s="7">
        <v>1</v>
      </c>
      <c r="N228" s="7">
        <v>1</v>
      </c>
      <c r="O228" s="14">
        <v>1035</v>
      </c>
      <c r="P228" s="7">
        <v>0</v>
      </c>
      <c r="Q228" s="7">
        <v>0</v>
      </c>
      <c r="S228" s="7">
        <v>4000</v>
      </c>
      <c r="T228" s="7">
        <v>3</v>
      </c>
      <c r="U228" s="7">
        <v>0</v>
      </c>
      <c r="V228" s="7">
        <v>1</v>
      </c>
      <c r="W228" s="7">
        <v>1</v>
      </c>
      <c r="X228" s="6"/>
      <c r="Y228" s="7" t="s">
        <v>562</v>
      </c>
      <c r="Z228" s="12" t="s">
        <v>2540</v>
      </c>
      <c r="AA228" s="7" t="s">
        <v>563</v>
      </c>
      <c r="AB228" s="7">
        <v>0</v>
      </c>
      <c r="AC228" s="7">
        <v>1</v>
      </c>
      <c r="AD228" s="7">
        <v>0</v>
      </c>
      <c r="AE228" s="7">
        <v>0</v>
      </c>
      <c r="AF228" s="7">
        <v>1</v>
      </c>
      <c r="AI228" s="7">
        <v>24</v>
      </c>
      <c r="AJ228" s="7">
        <v>10</v>
      </c>
      <c r="AK228" s="7">
        <v>24</v>
      </c>
      <c r="AL228" s="7">
        <v>13</v>
      </c>
      <c r="AM228" s="7">
        <v>24</v>
      </c>
      <c r="AN228" s="7">
        <v>20</v>
      </c>
      <c r="AO228" s="7">
        <v>24</v>
      </c>
      <c r="AP228" s="7">
        <v>1</v>
      </c>
      <c r="AQ228" s="7">
        <v>1</v>
      </c>
      <c r="AR228" s="7">
        <v>0</v>
      </c>
      <c r="AS228" s="7">
        <v>0</v>
      </c>
      <c r="AV228" s="7">
        <v>1</v>
      </c>
      <c r="AW228" s="7">
        <v>1</v>
      </c>
      <c r="AY228" s="7">
        <v>30000</v>
      </c>
      <c r="AZ228" s="7">
        <v>40000</v>
      </c>
      <c r="BA228" s="7">
        <v>50000</v>
      </c>
      <c r="BB228" s="7">
        <v>4</v>
      </c>
      <c r="BE228" s="7">
        <v>240</v>
      </c>
      <c r="BG228" s="7">
        <v>3</v>
      </c>
      <c r="BL228" s="7">
        <v>0</v>
      </c>
    </row>
    <row r="229" spans="1:64" s="7" customFormat="1">
      <c r="A229" s="7">
        <v>31036</v>
      </c>
      <c r="B229" s="7" t="s">
        <v>981</v>
      </c>
      <c r="C229" s="7" t="s">
        <v>560</v>
      </c>
      <c r="D229" s="7" t="s">
        <v>561</v>
      </c>
      <c r="E229" s="10">
        <v>35</v>
      </c>
      <c r="F229" s="11" t="s">
        <v>955</v>
      </c>
      <c r="G229" s="7">
        <v>0</v>
      </c>
      <c r="H229" s="7">
        <v>0</v>
      </c>
      <c r="I229" s="7">
        <v>99999</v>
      </c>
      <c r="J229" s="7">
        <v>0</v>
      </c>
      <c r="K229" s="7">
        <v>0</v>
      </c>
      <c r="L229" s="7" t="s">
        <v>1562</v>
      </c>
      <c r="M229" s="7">
        <v>1</v>
      </c>
      <c r="N229" s="7">
        <v>1</v>
      </c>
      <c r="O229" s="14">
        <v>1036</v>
      </c>
      <c r="P229" s="7">
        <v>0</v>
      </c>
      <c r="Q229" s="7">
        <v>0</v>
      </c>
      <c r="S229" s="7">
        <v>10000</v>
      </c>
      <c r="T229" s="7">
        <v>3</v>
      </c>
      <c r="U229" s="7">
        <v>0</v>
      </c>
      <c r="V229" s="7">
        <v>1</v>
      </c>
      <c r="W229" s="7">
        <v>1</v>
      </c>
      <c r="X229" s="6"/>
      <c r="Y229" s="7" t="s">
        <v>562</v>
      </c>
      <c r="Z229" s="12" t="s">
        <v>2541</v>
      </c>
      <c r="AA229" s="7" t="s">
        <v>563</v>
      </c>
      <c r="AB229" s="7">
        <v>0</v>
      </c>
      <c r="AC229" s="7">
        <v>1</v>
      </c>
      <c r="AD229" s="7">
        <v>0</v>
      </c>
      <c r="AE229" s="7">
        <v>0</v>
      </c>
      <c r="AF229" s="7">
        <v>1</v>
      </c>
      <c r="AI229" s="7">
        <v>24</v>
      </c>
      <c r="AJ229" s="7">
        <v>1</v>
      </c>
      <c r="AK229" s="7">
        <v>24</v>
      </c>
      <c r="AL229" s="7">
        <v>1</v>
      </c>
      <c r="AM229" s="7">
        <v>24</v>
      </c>
      <c r="AN229" s="7">
        <v>3</v>
      </c>
      <c r="AO229" s="7">
        <v>72</v>
      </c>
      <c r="AP229" s="7">
        <v>1</v>
      </c>
      <c r="AQ229" s="7">
        <v>1</v>
      </c>
      <c r="AR229" s="7">
        <v>1</v>
      </c>
      <c r="AS229" s="7">
        <v>1</v>
      </c>
      <c r="AV229" s="7">
        <v>1</v>
      </c>
      <c r="AW229" s="7">
        <v>1</v>
      </c>
      <c r="AY229" s="7">
        <v>30000</v>
      </c>
      <c r="AZ229" s="7">
        <v>40000</v>
      </c>
      <c r="BA229" s="7">
        <v>50000</v>
      </c>
      <c r="BB229" s="7">
        <v>4</v>
      </c>
      <c r="BE229" s="7">
        <v>240</v>
      </c>
      <c r="BG229" s="7">
        <v>3</v>
      </c>
      <c r="BL229" s="7">
        <v>0</v>
      </c>
    </row>
    <row r="230" spans="1:64" s="7" customFormat="1">
      <c r="A230" s="7">
        <v>31037</v>
      </c>
      <c r="B230" s="7" t="s">
        <v>982</v>
      </c>
      <c r="C230" s="7" t="s">
        <v>560</v>
      </c>
      <c r="D230" s="7" t="s">
        <v>561</v>
      </c>
      <c r="E230" s="10">
        <v>38</v>
      </c>
      <c r="F230" s="11" t="s">
        <v>955</v>
      </c>
      <c r="G230" s="7">
        <v>0</v>
      </c>
      <c r="H230" s="7">
        <v>0</v>
      </c>
      <c r="I230" s="7">
        <v>99999</v>
      </c>
      <c r="J230" s="7">
        <v>0</v>
      </c>
      <c r="K230" s="7">
        <v>0</v>
      </c>
      <c r="L230" s="7" t="s">
        <v>1562</v>
      </c>
      <c r="M230" s="7">
        <v>1</v>
      </c>
      <c r="N230" s="7">
        <v>1</v>
      </c>
      <c r="O230" s="14">
        <v>1037</v>
      </c>
      <c r="P230" s="7">
        <v>0</v>
      </c>
      <c r="Q230" s="7">
        <v>0</v>
      </c>
      <c r="S230" s="7">
        <v>10000</v>
      </c>
      <c r="T230" s="7">
        <v>3</v>
      </c>
      <c r="U230" s="7">
        <v>0</v>
      </c>
      <c r="V230" s="7">
        <v>1</v>
      </c>
      <c r="W230" s="7">
        <v>1</v>
      </c>
      <c r="X230" s="6"/>
      <c r="Y230" s="7" t="s">
        <v>562</v>
      </c>
      <c r="Z230" s="12" t="s">
        <v>2542</v>
      </c>
      <c r="AA230" s="7" t="s">
        <v>563</v>
      </c>
      <c r="AB230" s="7">
        <v>0</v>
      </c>
      <c r="AC230" s="7">
        <v>1</v>
      </c>
      <c r="AD230" s="7">
        <v>0</v>
      </c>
      <c r="AE230" s="7">
        <v>0</v>
      </c>
      <c r="AF230" s="7">
        <v>1</v>
      </c>
      <c r="AI230" s="7">
        <v>48</v>
      </c>
      <c r="AJ230" s="7">
        <v>1</v>
      </c>
      <c r="AK230" s="7">
        <v>24</v>
      </c>
      <c r="AL230" s="7">
        <v>1</v>
      </c>
      <c r="AM230" s="7">
        <v>999</v>
      </c>
      <c r="AN230" s="7">
        <v>1</v>
      </c>
      <c r="AO230" s="7">
        <v>72</v>
      </c>
      <c r="AP230" s="7">
        <v>1</v>
      </c>
      <c r="AQ230" s="7">
        <v>1</v>
      </c>
      <c r="AR230" s="7">
        <v>1</v>
      </c>
      <c r="AS230" s="7">
        <v>1</v>
      </c>
      <c r="AV230" s="7">
        <v>1</v>
      </c>
      <c r="AY230" s="7">
        <v>30000</v>
      </c>
      <c r="AZ230" s="7">
        <v>40000</v>
      </c>
      <c r="BA230" s="7">
        <v>50000</v>
      </c>
      <c r="BB230" s="7">
        <v>4</v>
      </c>
      <c r="BE230" s="7">
        <v>240</v>
      </c>
      <c r="BG230" s="7">
        <v>3</v>
      </c>
      <c r="BL230" s="7">
        <v>0</v>
      </c>
    </row>
    <row r="231" spans="1:64" s="7" customFormat="1">
      <c r="A231" s="7">
        <v>31038</v>
      </c>
      <c r="B231" s="7" t="s">
        <v>983</v>
      </c>
      <c r="C231" s="7" t="s">
        <v>560</v>
      </c>
      <c r="D231" s="7" t="s">
        <v>561</v>
      </c>
      <c r="E231" s="10">
        <v>47</v>
      </c>
      <c r="F231" s="11" t="s">
        <v>955</v>
      </c>
      <c r="G231" s="7">
        <v>0</v>
      </c>
      <c r="H231" s="7">
        <v>0</v>
      </c>
      <c r="I231" s="7">
        <v>99999</v>
      </c>
      <c r="J231" s="7">
        <v>0</v>
      </c>
      <c r="K231" s="7">
        <v>0</v>
      </c>
      <c r="L231" s="7" t="s">
        <v>1562</v>
      </c>
      <c r="M231" s="7">
        <v>1</v>
      </c>
      <c r="N231" s="7">
        <v>1</v>
      </c>
      <c r="O231" s="14">
        <v>1038</v>
      </c>
      <c r="P231" s="7">
        <v>0</v>
      </c>
      <c r="Q231" s="7">
        <v>0</v>
      </c>
      <c r="S231" s="7">
        <v>10000</v>
      </c>
      <c r="T231" s="7">
        <v>3</v>
      </c>
      <c r="U231" s="7">
        <v>0</v>
      </c>
      <c r="V231" s="7">
        <v>1</v>
      </c>
      <c r="W231" s="7">
        <v>1</v>
      </c>
      <c r="X231" s="6"/>
      <c r="Y231" s="7" t="s">
        <v>562</v>
      </c>
      <c r="Z231" s="12" t="s">
        <v>2543</v>
      </c>
      <c r="AA231" s="7" t="s">
        <v>563</v>
      </c>
      <c r="AB231" s="7">
        <v>0</v>
      </c>
      <c r="AC231" s="7">
        <v>1</v>
      </c>
      <c r="AD231" s="7">
        <v>0</v>
      </c>
      <c r="AE231" s="7">
        <v>0</v>
      </c>
      <c r="AF231" s="7">
        <v>1</v>
      </c>
      <c r="AI231" s="7">
        <v>999</v>
      </c>
      <c r="AJ231" s="7">
        <v>1</v>
      </c>
      <c r="AK231" s="7">
        <v>999</v>
      </c>
      <c r="AL231" s="7">
        <v>1</v>
      </c>
      <c r="AM231" s="7">
        <v>999</v>
      </c>
      <c r="AN231" s="7">
        <v>1</v>
      </c>
      <c r="AO231" s="7">
        <v>72</v>
      </c>
      <c r="AP231" s="7">
        <v>1</v>
      </c>
      <c r="AQ231" s="7">
        <v>1</v>
      </c>
      <c r="AR231" s="7">
        <v>1</v>
      </c>
      <c r="AS231" s="7">
        <v>1</v>
      </c>
      <c r="AV231" s="7">
        <v>1</v>
      </c>
      <c r="AY231" s="7">
        <v>30000</v>
      </c>
      <c r="AZ231" s="7">
        <v>40000</v>
      </c>
      <c r="BA231" s="7">
        <v>50000</v>
      </c>
      <c r="BB231" s="7">
        <v>4</v>
      </c>
      <c r="BE231" s="7">
        <v>240</v>
      </c>
      <c r="BG231" s="7">
        <v>3</v>
      </c>
      <c r="BL231" s="7">
        <v>0</v>
      </c>
    </row>
    <row r="232" spans="1:64" s="7" customFormat="1">
      <c r="A232" s="7">
        <v>32531</v>
      </c>
      <c r="B232" s="7" t="s">
        <v>999</v>
      </c>
      <c r="C232" s="7" t="s">
        <v>560</v>
      </c>
      <c r="D232" s="7" t="s">
        <v>561</v>
      </c>
      <c r="E232" s="10">
        <v>7</v>
      </c>
      <c r="F232" s="11" t="s">
        <v>956</v>
      </c>
      <c r="G232" s="7">
        <v>0</v>
      </c>
      <c r="H232" s="7">
        <v>0</v>
      </c>
      <c r="I232" s="7">
        <v>99999</v>
      </c>
      <c r="J232" s="7">
        <v>0</v>
      </c>
      <c r="K232" s="7">
        <v>0</v>
      </c>
      <c r="L232" s="7" t="s">
        <v>1562</v>
      </c>
      <c r="M232" s="7">
        <v>1</v>
      </c>
      <c r="N232" s="7">
        <v>1</v>
      </c>
      <c r="O232" s="14">
        <v>2531</v>
      </c>
      <c r="P232" s="7">
        <v>0</v>
      </c>
      <c r="Q232" s="7">
        <v>0</v>
      </c>
      <c r="S232" s="7">
        <v>25</v>
      </c>
      <c r="T232" s="7">
        <v>3</v>
      </c>
      <c r="U232" s="7">
        <v>0</v>
      </c>
      <c r="V232" s="7">
        <v>1</v>
      </c>
      <c r="W232" s="7">
        <v>1</v>
      </c>
      <c r="X232" s="6"/>
      <c r="Y232" s="7" t="s">
        <v>562</v>
      </c>
      <c r="Z232" s="12" t="s">
        <v>2544</v>
      </c>
      <c r="AA232" s="7" t="s">
        <v>563</v>
      </c>
      <c r="AB232" s="7">
        <v>0</v>
      </c>
      <c r="AC232" s="7">
        <v>1</v>
      </c>
      <c r="AD232" s="7">
        <v>0</v>
      </c>
      <c r="AE232" s="7">
        <v>0</v>
      </c>
      <c r="AF232" s="7">
        <v>1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P232" s="7">
        <v>0</v>
      </c>
      <c r="AQ232" s="7">
        <v>0</v>
      </c>
      <c r="AR232" s="7">
        <v>0</v>
      </c>
      <c r="AS232" s="7">
        <v>0</v>
      </c>
      <c r="BE232" s="7">
        <v>240</v>
      </c>
      <c r="BG232" s="7">
        <v>3</v>
      </c>
      <c r="BL232" s="7">
        <v>0</v>
      </c>
    </row>
    <row r="233" spans="1:64" s="7" customFormat="1">
      <c r="A233" s="7">
        <v>32532</v>
      </c>
      <c r="B233" s="7" t="s">
        <v>1000</v>
      </c>
      <c r="C233" s="7" t="s">
        <v>560</v>
      </c>
      <c r="D233" s="7" t="s">
        <v>561</v>
      </c>
      <c r="E233" s="10">
        <v>12</v>
      </c>
      <c r="F233" s="11" t="s">
        <v>956</v>
      </c>
      <c r="G233" s="7">
        <v>0</v>
      </c>
      <c r="H233" s="7">
        <v>0</v>
      </c>
      <c r="I233" s="7">
        <v>99999</v>
      </c>
      <c r="J233" s="7">
        <v>0</v>
      </c>
      <c r="K233" s="7">
        <v>0</v>
      </c>
      <c r="L233" s="7" t="s">
        <v>1562</v>
      </c>
      <c r="M233" s="7">
        <v>1</v>
      </c>
      <c r="N233" s="7">
        <v>1</v>
      </c>
      <c r="O233" s="14">
        <v>2532</v>
      </c>
      <c r="P233" s="7">
        <v>0</v>
      </c>
      <c r="Q233" s="7">
        <v>0</v>
      </c>
      <c r="S233" s="7">
        <v>250</v>
      </c>
      <c r="T233" s="7">
        <v>3</v>
      </c>
      <c r="U233" s="7">
        <v>1</v>
      </c>
      <c r="V233" s="7">
        <v>1</v>
      </c>
      <c r="W233" s="7">
        <v>1</v>
      </c>
      <c r="X233" s="6"/>
      <c r="Y233" s="7" t="s">
        <v>562</v>
      </c>
      <c r="Z233" s="12" t="s">
        <v>2545</v>
      </c>
      <c r="AA233" s="7" t="s">
        <v>563</v>
      </c>
      <c r="AB233" s="7">
        <v>0</v>
      </c>
      <c r="AC233" s="7">
        <v>1</v>
      </c>
      <c r="AD233" s="7">
        <v>0</v>
      </c>
      <c r="AE233" s="7">
        <v>0</v>
      </c>
      <c r="AF233" s="7">
        <v>1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P233" s="7">
        <v>0</v>
      </c>
      <c r="AQ233" s="7">
        <v>0</v>
      </c>
      <c r="AR233" s="7">
        <v>0</v>
      </c>
      <c r="AS233" s="7">
        <v>0</v>
      </c>
      <c r="BE233" s="7">
        <v>240</v>
      </c>
      <c r="BG233" s="7">
        <v>3</v>
      </c>
      <c r="BL233" s="7">
        <v>0</v>
      </c>
    </row>
    <row r="234" spans="1:64" s="7" customFormat="1">
      <c r="A234" s="7">
        <v>32541</v>
      </c>
      <c r="B234" s="7" t="s">
        <v>1001</v>
      </c>
      <c r="C234" s="7" t="s">
        <v>560</v>
      </c>
      <c r="D234" s="7" t="s">
        <v>561</v>
      </c>
      <c r="E234" s="10">
        <v>13</v>
      </c>
      <c r="F234" s="11" t="s">
        <v>956</v>
      </c>
      <c r="G234" s="7">
        <v>0</v>
      </c>
      <c r="H234" s="7">
        <v>0</v>
      </c>
      <c r="I234" s="7">
        <v>99999</v>
      </c>
      <c r="J234" s="7">
        <v>0</v>
      </c>
      <c r="K234" s="7">
        <v>0</v>
      </c>
      <c r="L234" s="7" t="s">
        <v>1562</v>
      </c>
      <c r="M234" s="7">
        <v>1</v>
      </c>
      <c r="N234" s="7">
        <v>1</v>
      </c>
      <c r="O234" s="14">
        <v>2541</v>
      </c>
      <c r="P234" s="7">
        <v>0</v>
      </c>
      <c r="Q234" s="7">
        <v>0</v>
      </c>
      <c r="S234" s="7">
        <v>500</v>
      </c>
      <c r="T234" s="7">
        <v>3</v>
      </c>
      <c r="U234" s="7">
        <v>1</v>
      </c>
      <c r="V234" s="7">
        <v>1</v>
      </c>
      <c r="W234" s="7">
        <v>1</v>
      </c>
      <c r="X234" s="6"/>
      <c r="Y234" s="7" t="s">
        <v>562</v>
      </c>
      <c r="Z234" s="12" t="s">
        <v>2546</v>
      </c>
      <c r="AA234" s="7" t="s">
        <v>563</v>
      </c>
      <c r="AB234" s="7">
        <v>0</v>
      </c>
      <c r="AC234" s="7">
        <v>1</v>
      </c>
      <c r="AD234" s="7">
        <v>0</v>
      </c>
      <c r="AE234" s="7">
        <v>0</v>
      </c>
      <c r="AF234" s="7">
        <v>1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P234" s="7">
        <v>0</v>
      </c>
      <c r="AQ234" s="7">
        <v>0</v>
      </c>
      <c r="AR234" s="7">
        <v>0</v>
      </c>
      <c r="AS234" s="7">
        <v>0</v>
      </c>
      <c r="BE234" s="7">
        <v>240</v>
      </c>
      <c r="BG234" s="7">
        <v>3</v>
      </c>
      <c r="BL234" s="7">
        <v>0</v>
      </c>
    </row>
    <row r="235" spans="1:64" s="7" customFormat="1">
      <c r="A235" s="7">
        <v>32544</v>
      </c>
      <c r="B235" s="7" t="s">
        <v>1002</v>
      </c>
      <c r="C235" s="7" t="s">
        <v>560</v>
      </c>
      <c r="D235" s="7" t="s">
        <v>561</v>
      </c>
      <c r="E235" s="10">
        <v>16</v>
      </c>
      <c r="F235" s="11" t="s">
        <v>956</v>
      </c>
      <c r="G235" s="7">
        <v>0</v>
      </c>
      <c r="H235" s="7">
        <v>0</v>
      </c>
      <c r="I235" s="7">
        <v>99999</v>
      </c>
      <c r="J235" s="7">
        <v>0</v>
      </c>
      <c r="K235" s="7">
        <v>0</v>
      </c>
      <c r="L235" s="7" t="s">
        <v>1562</v>
      </c>
      <c r="M235" s="7">
        <v>1</v>
      </c>
      <c r="N235" s="7">
        <v>1</v>
      </c>
      <c r="O235" s="14">
        <v>2544</v>
      </c>
      <c r="P235" s="7">
        <v>0</v>
      </c>
      <c r="Q235" s="7">
        <v>0</v>
      </c>
      <c r="S235" s="7">
        <v>500</v>
      </c>
      <c r="T235" s="7">
        <v>3</v>
      </c>
      <c r="U235" s="7">
        <v>1</v>
      </c>
      <c r="V235" s="7">
        <v>1</v>
      </c>
      <c r="W235" s="7">
        <v>1</v>
      </c>
      <c r="X235" s="6"/>
      <c r="Y235" s="7" t="s">
        <v>562</v>
      </c>
      <c r="Z235" s="12" t="s">
        <v>2547</v>
      </c>
      <c r="AA235" s="7" t="s">
        <v>563</v>
      </c>
      <c r="AB235" s="7">
        <v>0</v>
      </c>
      <c r="AC235" s="7">
        <v>1</v>
      </c>
      <c r="AD235" s="7">
        <v>0</v>
      </c>
      <c r="AE235" s="7">
        <v>0</v>
      </c>
      <c r="AF235" s="7">
        <v>1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P235" s="7">
        <v>0</v>
      </c>
      <c r="AQ235" s="7">
        <v>0</v>
      </c>
      <c r="AR235" s="7">
        <v>0</v>
      </c>
      <c r="AS235" s="7">
        <v>0</v>
      </c>
      <c r="BE235" s="7">
        <v>240</v>
      </c>
      <c r="BG235" s="7">
        <v>3</v>
      </c>
      <c r="BL235" s="7">
        <v>0</v>
      </c>
    </row>
    <row r="236" spans="1:64" s="7" customFormat="1">
      <c r="A236" s="7">
        <v>32533</v>
      </c>
      <c r="B236" s="7" t="s">
        <v>1003</v>
      </c>
      <c r="C236" s="7" t="s">
        <v>560</v>
      </c>
      <c r="D236" s="7" t="s">
        <v>561</v>
      </c>
      <c r="E236" s="10">
        <v>17</v>
      </c>
      <c r="F236" s="11" t="s">
        <v>956</v>
      </c>
      <c r="G236" s="7">
        <v>0</v>
      </c>
      <c r="H236" s="7">
        <v>0</v>
      </c>
      <c r="I236" s="7">
        <v>99999</v>
      </c>
      <c r="J236" s="7">
        <v>0</v>
      </c>
      <c r="K236" s="7">
        <v>0</v>
      </c>
      <c r="L236" s="7" t="s">
        <v>1562</v>
      </c>
      <c r="M236" s="7">
        <v>1</v>
      </c>
      <c r="N236" s="7">
        <v>1</v>
      </c>
      <c r="O236" s="14">
        <v>2533</v>
      </c>
      <c r="P236" s="7">
        <v>0</v>
      </c>
      <c r="Q236" s="7">
        <v>0</v>
      </c>
      <c r="S236" s="7">
        <v>500</v>
      </c>
      <c r="T236" s="7">
        <v>3</v>
      </c>
      <c r="U236" s="7">
        <v>1</v>
      </c>
      <c r="V236" s="7">
        <v>1</v>
      </c>
      <c r="W236" s="7">
        <v>1</v>
      </c>
      <c r="X236" s="6"/>
      <c r="Y236" s="7" t="s">
        <v>562</v>
      </c>
      <c r="Z236" s="12" t="s">
        <v>2548</v>
      </c>
      <c r="AA236" s="7" t="s">
        <v>563</v>
      </c>
      <c r="AB236" s="7">
        <v>0</v>
      </c>
      <c r="AC236" s="7">
        <v>1</v>
      </c>
      <c r="AD236" s="7">
        <v>0</v>
      </c>
      <c r="AE236" s="7">
        <v>0</v>
      </c>
      <c r="AF236" s="7">
        <v>1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P236" s="7">
        <v>0</v>
      </c>
      <c r="AQ236" s="7">
        <v>0</v>
      </c>
      <c r="AR236" s="7">
        <v>0</v>
      </c>
      <c r="AS236" s="7">
        <v>0</v>
      </c>
      <c r="BE236" s="7">
        <v>240</v>
      </c>
      <c r="BG236" s="7">
        <v>3</v>
      </c>
      <c r="BL236" s="7">
        <v>0</v>
      </c>
    </row>
    <row r="237" spans="1:64" s="7" customFormat="1">
      <c r="A237" s="7">
        <v>32538</v>
      </c>
      <c r="B237" s="7" t="s">
        <v>1004</v>
      </c>
      <c r="C237" s="7" t="s">
        <v>560</v>
      </c>
      <c r="D237" s="7" t="s">
        <v>561</v>
      </c>
      <c r="E237" s="10">
        <v>19</v>
      </c>
      <c r="F237" s="11" t="s">
        <v>956</v>
      </c>
      <c r="G237" s="7">
        <v>0</v>
      </c>
      <c r="H237" s="7">
        <v>0</v>
      </c>
      <c r="I237" s="7">
        <v>99999</v>
      </c>
      <c r="J237" s="7">
        <v>0</v>
      </c>
      <c r="K237" s="7">
        <v>0</v>
      </c>
      <c r="L237" s="7" t="s">
        <v>1562</v>
      </c>
      <c r="M237" s="7">
        <v>1</v>
      </c>
      <c r="N237" s="7">
        <v>1</v>
      </c>
      <c r="O237" s="14">
        <v>2538</v>
      </c>
      <c r="P237" s="7">
        <v>0</v>
      </c>
      <c r="Q237" s="7">
        <v>0</v>
      </c>
      <c r="S237" s="7">
        <v>1000</v>
      </c>
      <c r="T237" s="7">
        <v>3</v>
      </c>
      <c r="U237" s="7">
        <v>1</v>
      </c>
      <c r="V237" s="7">
        <v>1</v>
      </c>
      <c r="W237" s="7">
        <v>1</v>
      </c>
      <c r="X237" s="6"/>
      <c r="Y237" s="7" t="s">
        <v>562</v>
      </c>
      <c r="Z237" s="12" t="s">
        <v>2549</v>
      </c>
      <c r="AA237" s="7" t="s">
        <v>563</v>
      </c>
      <c r="AB237" s="7">
        <v>0</v>
      </c>
      <c r="AC237" s="7">
        <v>1</v>
      </c>
      <c r="AD237" s="7">
        <v>0</v>
      </c>
      <c r="AE237" s="7">
        <v>0</v>
      </c>
      <c r="AF237" s="7">
        <v>1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P237" s="7">
        <v>0</v>
      </c>
      <c r="AQ237" s="7">
        <v>0</v>
      </c>
      <c r="AR237" s="7">
        <v>0</v>
      </c>
      <c r="AS237" s="7">
        <v>0</v>
      </c>
      <c r="BE237" s="7">
        <v>240</v>
      </c>
      <c r="BG237" s="7">
        <v>3</v>
      </c>
      <c r="BL237" s="7">
        <v>0</v>
      </c>
    </row>
    <row r="238" spans="1:64" s="7" customFormat="1">
      <c r="A238" s="7">
        <v>32545</v>
      </c>
      <c r="B238" s="7" t="s">
        <v>1005</v>
      </c>
      <c r="C238" s="7" t="s">
        <v>560</v>
      </c>
      <c r="D238" s="7" t="s">
        <v>561</v>
      </c>
      <c r="E238" s="10">
        <v>22</v>
      </c>
      <c r="F238" s="11" t="s">
        <v>956</v>
      </c>
      <c r="G238" s="7">
        <v>0</v>
      </c>
      <c r="H238" s="7">
        <v>0</v>
      </c>
      <c r="I238" s="7">
        <v>99999</v>
      </c>
      <c r="J238" s="7">
        <v>0</v>
      </c>
      <c r="K238" s="7">
        <v>0</v>
      </c>
      <c r="L238" s="7" t="s">
        <v>1562</v>
      </c>
      <c r="M238" s="7">
        <v>1</v>
      </c>
      <c r="N238" s="7">
        <v>1</v>
      </c>
      <c r="O238" s="14">
        <v>2545</v>
      </c>
      <c r="P238" s="7">
        <v>0</v>
      </c>
      <c r="Q238" s="7">
        <v>0</v>
      </c>
      <c r="S238" s="7">
        <v>1500</v>
      </c>
      <c r="T238" s="7">
        <v>3</v>
      </c>
      <c r="U238" s="7">
        <v>1</v>
      </c>
      <c r="V238" s="7">
        <v>1</v>
      </c>
      <c r="W238" s="7">
        <v>1</v>
      </c>
      <c r="X238" s="6"/>
      <c r="Y238" s="7" t="s">
        <v>562</v>
      </c>
      <c r="Z238" s="12" t="s">
        <v>2550</v>
      </c>
      <c r="AA238" s="7" t="s">
        <v>563</v>
      </c>
      <c r="AB238" s="7">
        <v>0</v>
      </c>
      <c r="AC238" s="7">
        <v>1</v>
      </c>
      <c r="AD238" s="7">
        <v>0</v>
      </c>
      <c r="AE238" s="7">
        <v>0</v>
      </c>
      <c r="AF238" s="7">
        <v>1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P238" s="7">
        <v>0</v>
      </c>
      <c r="AQ238" s="7">
        <v>0</v>
      </c>
      <c r="AR238" s="7">
        <v>0</v>
      </c>
      <c r="AS238" s="7">
        <v>0</v>
      </c>
      <c r="BE238" s="7">
        <v>240</v>
      </c>
      <c r="BG238" s="7">
        <v>3</v>
      </c>
      <c r="BL238" s="7">
        <v>0</v>
      </c>
    </row>
    <row r="239" spans="1:64" s="7" customFormat="1">
      <c r="A239" s="7">
        <v>32534</v>
      </c>
      <c r="B239" s="7" t="s">
        <v>1006</v>
      </c>
      <c r="C239" s="7" t="s">
        <v>560</v>
      </c>
      <c r="D239" s="7" t="s">
        <v>561</v>
      </c>
      <c r="E239" s="10">
        <v>24</v>
      </c>
      <c r="F239" s="11" t="s">
        <v>956</v>
      </c>
      <c r="G239" s="7">
        <v>0</v>
      </c>
      <c r="H239" s="7">
        <v>0</v>
      </c>
      <c r="I239" s="7">
        <v>99999</v>
      </c>
      <c r="J239" s="7">
        <v>0</v>
      </c>
      <c r="K239" s="7">
        <v>0</v>
      </c>
      <c r="L239" s="7" t="s">
        <v>1562</v>
      </c>
      <c r="M239" s="7">
        <v>1</v>
      </c>
      <c r="N239" s="7">
        <v>1</v>
      </c>
      <c r="O239" s="14">
        <v>2534</v>
      </c>
      <c r="P239" s="7">
        <v>0</v>
      </c>
      <c r="Q239" s="7">
        <v>0</v>
      </c>
      <c r="S239" s="7">
        <v>1500</v>
      </c>
      <c r="T239" s="7">
        <v>3</v>
      </c>
      <c r="U239" s="7">
        <v>1</v>
      </c>
      <c r="V239" s="7">
        <v>1</v>
      </c>
      <c r="W239" s="7">
        <v>1</v>
      </c>
      <c r="X239" s="6"/>
      <c r="Y239" s="7" t="s">
        <v>562</v>
      </c>
      <c r="Z239" s="12" t="s">
        <v>2551</v>
      </c>
      <c r="AA239" s="7" t="s">
        <v>563</v>
      </c>
      <c r="AB239" s="7">
        <v>0</v>
      </c>
      <c r="AC239" s="7">
        <v>1</v>
      </c>
      <c r="AD239" s="7">
        <v>0</v>
      </c>
      <c r="AE239" s="7">
        <v>0</v>
      </c>
      <c r="AF239" s="7">
        <v>1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P239" s="7">
        <v>0</v>
      </c>
      <c r="AQ239" s="7">
        <v>0</v>
      </c>
      <c r="AR239" s="7">
        <v>0</v>
      </c>
      <c r="AS239" s="7">
        <v>0</v>
      </c>
      <c r="BE239" s="7">
        <v>240</v>
      </c>
      <c r="BG239" s="7">
        <v>3</v>
      </c>
      <c r="BL239" s="7">
        <v>0</v>
      </c>
    </row>
    <row r="240" spans="1:64" s="7" customFormat="1">
      <c r="A240" s="7">
        <v>32536</v>
      </c>
      <c r="B240" s="7" t="s">
        <v>1007</v>
      </c>
      <c r="C240" s="7" t="s">
        <v>560</v>
      </c>
      <c r="D240" s="7" t="s">
        <v>561</v>
      </c>
      <c r="E240" s="10">
        <v>26</v>
      </c>
      <c r="F240" s="11" t="s">
        <v>956</v>
      </c>
      <c r="G240" s="7">
        <v>0</v>
      </c>
      <c r="H240" s="7">
        <v>0</v>
      </c>
      <c r="I240" s="7">
        <v>99999</v>
      </c>
      <c r="J240" s="7">
        <v>0</v>
      </c>
      <c r="K240" s="7">
        <v>0</v>
      </c>
      <c r="L240" s="7" t="s">
        <v>1562</v>
      </c>
      <c r="M240" s="7">
        <v>1</v>
      </c>
      <c r="N240" s="7">
        <v>1</v>
      </c>
      <c r="O240" s="14">
        <v>2536</v>
      </c>
      <c r="P240" s="7">
        <v>0</v>
      </c>
      <c r="Q240" s="7">
        <v>0</v>
      </c>
      <c r="S240" s="7">
        <v>5000</v>
      </c>
      <c r="T240" s="7">
        <v>3</v>
      </c>
      <c r="U240" s="7">
        <v>1</v>
      </c>
      <c r="V240" s="7">
        <v>1</v>
      </c>
      <c r="W240" s="7">
        <v>1</v>
      </c>
      <c r="X240" s="6"/>
      <c r="Y240" s="7" t="s">
        <v>562</v>
      </c>
      <c r="Z240" s="12" t="s">
        <v>2552</v>
      </c>
      <c r="AA240" s="7" t="s">
        <v>563</v>
      </c>
      <c r="AB240" s="7">
        <v>0</v>
      </c>
      <c r="AC240" s="7">
        <v>1</v>
      </c>
      <c r="AD240" s="7">
        <v>0</v>
      </c>
      <c r="AE240" s="7">
        <v>0</v>
      </c>
      <c r="AF240" s="7">
        <v>1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P240" s="7">
        <v>1</v>
      </c>
      <c r="AQ240" s="7">
        <v>1</v>
      </c>
      <c r="AR240" s="7">
        <v>0</v>
      </c>
      <c r="AS240" s="7">
        <v>0</v>
      </c>
      <c r="BE240" s="7">
        <v>240</v>
      </c>
      <c r="BG240" s="7">
        <v>3</v>
      </c>
      <c r="BL240" s="7">
        <v>0</v>
      </c>
    </row>
    <row r="241" spans="1:64" s="7" customFormat="1">
      <c r="A241" s="7">
        <v>32546</v>
      </c>
      <c r="B241" s="7" t="s">
        <v>1008</v>
      </c>
      <c r="C241" s="7" t="s">
        <v>560</v>
      </c>
      <c r="D241" s="7" t="s">
        <v>561</v>
      </c>
      <c r="E241" s="10">
        <v>30</v>
      </c>
      <c r="F241" s="11" t="s">
        <v>956</v>
      </c>
      <c r="G241" s="7">
        <v>0</v>
      </c>
      <c r="H241" s="7">
        <v>0</v>
      </c>
      <c r="I241" s="7">
        <v>99999</v>
      </c>
      <c r="J241" s="7">
        <v>0</v>
      </c>
      <c r="K241" s="7">
        <v>0</v>
      </c>
      <c r="L241" s="7" t="s">
        <v>1562</v>
      </c>
      <c r="M241" s="7">
        <v>1</v>
      </c>
      <c r="N241" s="7">
        <v>1</v>
      </c>
      <c r="O241" s="14">
        <v>2546</v>
      </c>
      <c r="P241" s="7">
        <v>0</v>
      </c>
      <c r="Q241" s="7">
        <v>0</v>
      </c>
      <c r="S241" s="7">
        <v>4000</v>
      </c>
      <c r="T241" s="7">
        <v>3</v>
      </c>
      <c r="U241" s="7">
        <v>0</v>
      </c>
      <c r="V241" s="7">
        <v>1</v>
      </c>
      <c r="W241" s="7">
        <v>1</v>
      </c>
      <c r="X241" s="6"/>
      <c r="Y241" s="7" t="s">
        <v>562</v>
      </c>
      <c r="Z241" s="12" t="s">
        <v>2553</v>
      </c>
      <c r="AA241" s="7" t="s">
        <v>563</v>
      </c>
      <c r="AB241" s="7">
        <v>0</v>
      </c>
      <c r="AC241" s="7">
        <v>1</v>
      </c>
      <c r="AD241" s="7">
        <v>0</v>
      </c>
      <c r="AE241" s="7">
        <v>0</v>
      </c>
      <c r="AF241" s="7">
        <v>1</v>
      </c>
      <c r="AI241" s="7">
        <v>24</v>
      </c>
      <c r="AJ241" s="7">
        <v>10</v>
      </c>
      <c r="AK241" s="7">
        <v>24</v>
      </c>
      <c r="AL241" s="7">
        <v>13</v>
      </c>
      <c r="AM241" s="7">
        <v>24</v>
      </c>
      <c r="AN241" s="7">
        <v>20</v>
      </c>
      <c r="AO241" s="7">
        <v>24</v>
      </c>
      <c r="AP241" s="7">
        <v>1</v>
      </c>
      <c r="AQ241" s="7">
        <v>1</v>
      </c>
      <c r="AR241" s="7">
        <v>0</v>
      </c>
      <c r="AS241" s="7">
        <v>0</v>
      </c>
      <c r="AV241" s="7">
        <v>1</v>
      </c>
      <c r="AW241" s="7">
        <v>1</v>
      </c>
      <c r="AY241" s="7">
        <v>30000</v>
      </c>
      <c r="AZ241" s="7">
        <v>40000</v>
      </c>
      <c r="BA241" s="7">
        <v>50000</v>
      </c>
      <c r="BB241" s="7">
        <v>4</v>
      </c>
      <c r="BE241" s="7">
        <v>240</v>
      </c>
      <c r="BG241" s="7">
        <v>3</v>
      </c>
      <c r="BL241" s="7">
        <v>0</v>
      </c>
    </row>
    <row r="242" spans="1:64" s="7" customFormat="1">
      <c r="A242" s="7">
        <v>32535</v>
      </c>
      <c r="B242" s="7" t="s">
        <v>1009</v>
      </c>
      <c r="C242" s="7" t="s">
        <v>560</v>
      </c>
      <c r="D242" s="7" t="s">
        <v>561</v>
      </c>
      <c r="E242" s="10">
        <v>31</v>
      </c>
      <c r="F242" s="11" t="s">
        <v>956</v>
      </c>
      <c r="G242" s="7">
        <v>0</v>
      </c>
      <c r="H242" s="7">
        <v>0</v>
      </c>
      <c r="I242" s="7">
        <v>99999</v>
      </c>
      <c r="J242" s="7">
        <v>0</v>
      </c>
      <c r="K242" s="7">
        <v>0</v>
      </c>
      <c r="L242" s="7" t="s">
        <v>1562</v>
      </c>
      <c r="M242" s="7">
        <v>1</v>
      </c>
      <c r="N242" s="7">
        <v>1</v>
      </c>
      <c r="O242" s="14">
        <v>2535</v>
      </c>
      <c r="P242" s="7">
        <v>0</v>
      </c>
      <c r="Q242" s="7">
        <v>0</v>
      </c>
      <c r="S242" s="7">
        <v>5000</v>
      </c>
      <c r="T242" s="7">
        <v>3</v>
      </c>
      <c r="U242" s="7">
        <v>0</v>
      </c>
      <c r="V242" s="7">
        <v>1</v>
      </c>
      <c r="W242" s="7">
        <v>1</v>
      </c>
      <c r="X242" s="6"/>
      <c r="Y242" s="7" t="s">
        <v>562</v>
      </c>
      <c r="Z242" s="12" t="s">
        <v>2554</v>
      </c>
      <c r="AA242" s="7" t="s">
        <v>563</v>
      </c>
      <c r="AB242" s="7">
        <v>0</v>
      </c>
      <c r="AC242" s="7">
        <v>1</v>
      </c>
      <c r="AD242" s="7">
        <v>0</v>
      </c>
      <c r="AE242" s="7">
        <v>0</v>
      </c>
      <c r="AF242" s="7">
        <v>1</v>
      </c>
      <c r="AI242" s="7">
        <v>24</v>
      </c>
      <c r="AJ242" s="7">
        <v>5</v>
      </c>
      <c r="AK242" s="7">
        <v>24</v>
      </c>
      <c r="AL242" s="7">
        <v>5</v>
      </c>
      <c r="AM242" s="7">
        <v>24</v>
      </c>
      <c r="AN242" s="7">
        <v>10</v>
      </c>
      <c r="AO242" s="7">
        <v>72</v>
      </c>
      <c r="AP242" s="7">
        <v>1</v>
      </c>
      <c r="AQ242" s="7">
        <v>1</v>
      </c>
      <c r="AR242" s="7">
        <v>1</v>
      </c>
      <c r="AS242" s="7">
        <v>1</v>
      </c>
      <c r="AV242" s="7">
        <v>1</v>
      </c>
      <c r="AW242" s="7">
        <v>1</v>
      </c>
      <c r="AY242" s="7">
        <v>30000</v>
      </c>
      <c r="AZ242" s="7">
        <v>40000</v>
      </c>
      <c r="BA242" s="7">
        <v>50000</v>
      </c>
      <c r="BB242" s="7">
        <v>4</v>
      </c>
      <c r="BE242" s="7">
        <v>240</v>
      </c>
      <c r="BG242" s="7">
        <v>3</v>
      </c>
      <c r="BL242" s="7">
        <v>0</v>
      </c>
    </row>
    <row r="243" spans="1:64" s="7" customFormat="1">
      <c r="A243" s="7">
        <v>32547</v>
      </c>
      <c r="B243" s="7" t="s">
        <v>1010</v>
      </c>
      <c r="C243" s="7" t="s">
        <v>560</v>
      </c>
      <c r="D243" s="7" t="s">
        <v>561</v>
      </c>
      <c r="E243" s="10">
        <v>32</v>
      </c>
      <c r="F243" s="11" t="s">
        <v>956</v>
      </c>
      <c r="G243" s="7">
        <v>0</v>
      </c>
      <c r="H243" s="7">
        <v>0</v>
      </c>
      <c r="I243" s="7">
        <v>99999</v>
      </c>
      <c r="J243" s="7">
        <v>0</v>
      </c>
      <c r="K243" s="7">
        <v>0</v>
      </c>
      <c r="L243" s="7" t="s">
        <v>1562</v>
      </c>
      <c r="M243" s="7">
        <v>1</v>
      </c>
      <c r="N243" s="7">
        <v>1</v>
      </c>
      <c r="O243" s="14">
        <v>2547</v>
      </c>
      <c r="P243" s="7">
        <v>0</v>
      </c>
      <c r="Q243" s="7">
        <v>0</v>
      </c>
      <c r="S243" s="7">
        <v>5000</v>
      </c>
      <c r="T243" s="7">
        <v>3</v>
      </c>
      <c r="U243" s="7">
        <v>0</v>
      </c>
      <c r="V243" s="7">
        <v>1</v>
      </c>
      <c r="W243" s="7">
        <v>1</v>
      </c>
      <c r="X243" s="6"/>
      <c r="Y243" s="7" t="s">
        <v>562</v>
      </c>
      <c r="Z243" s="12" t="s">
        <v>2555</v>
      </c>
      <c r="AA243" s="7" t="s">
        <v>563</v>
      </c>
      <c r="AB243" s="7">
        <v>0</v>
      </c>
      <c r="AC243" s="7">
        <v>1</v>
      </c>
      <c r="AD243" s="7">
        <v>0</v>
      </c>
      <c r="AE243" s="7">
        <v>0</v>
      </c>
      <c r="AF243" s="7">
        <v>1</v>
      </c>
      <c r="AI243" s="7">
        <v>24</v>
      </c>
      <c r="AJ243" s="7">
        <v>10</v>
      </c>
      <c r="AK243" s="7">
        <v>24</v>
      </c>
      <c r="AL243" s="7">
        <v>13</v>
      </c>
      <c r="AM243" s="7">
        <v>24</v>
      </c>
      <c r="AN243" s="7">
        <v>20</v>
      </c>
      <c r="AO243" s="7">
        <v>24</v>
      </c>
      <c r="AP243" s="7">
        <v>1</v>
      </c>
      <c r="AQ243" s="7">
        <v>1</v>
      </c>
      <c r="AR243" s="7">
        <v>0</v>
      </c>
      <c r="AS243" s="7">
        <v>0</v>
      </c>
      <c r="AV243" s="7">
        <v>1</v>
      </c>
      <c r="AW243" s="7">
        <v>1</v>
      </c>
      <c r="AY243" s="7">
        <v>30000</v>
      </c>
      <c r="AZ243" s="7">
        <v>40000</v>
      </c>
      <c r="BA243" s="7">
        <v>50000</v>
      </c>
      <c r="BB243" s="7">
        <v>4</v>
      </c>
      <c r="BE243" s="7">
        <v>240</v>
      </c>
      <c r="BG243" s="7">
        <v>3</v>
      </c>
      <c r="BL243" s="7">
        <v>0</v>
      </c>
    </row>
    <row r="244" spans="1:64" s="7" customFormat="1">
      <c r="A244" s="7">
        <v>32537</v>
      </c>
      <c r="B244" s="7" t="s">
        <v>1011</v>
      </c>
      <c r="C244" s="7" t="s">
        <v>560</v>
      </c>
      <c r="D244" s="7" t="s">
        <v>561</v>
      </c>
      <c r="E244" s="10">
        <v>35</v>
      </c>
      <c r="F244" s="11" t="s">
        <v>956</v>
      </c>
      <c r="G244" s="7">
        <v>0</v>
      </c>
      <c r="H244" s="7">
        <v>0</v>
      </c>
      <c r="I244" s="7">
        <v>99999</v>
      </c>
      <c r="J244" s="7">
        <v>0</v>
      </c>
      <c r="K244" s="7">
        <v>0</v>
      </c>
      <c r="L244" s="7" t="s">
        <v>1562</v>
      </c>
      <c r="M244" s="7">
        <v>1</v>
      </c>
      <c r="N244" s="7">
        <v>1</v>
      </c>
      <c r="O244" s="14">
        <v>2537</v>
      </c>
      <c r="P244" s="7">
        <v>0</v>
      </c>
      <c r="Q244" s="7">
        <v>0</v>
      </c>
      <c r="S244" s="7">
        <v>10000</v>
      </c>
      <c r="T244" s="7">
        <v>3</v>
      </c>
      <c r="U244" s="7">
        <v>0</v>
      </c>
      <c r="V244" s="7">
        <v>1</v>
      </c>
      <c r="W244" s="7">
        <v>1</v>
      </c>
      <c r="X244" s="6"/>
      <c r="Y244" s="7" t="s">
        <v>562</v>
      </c>
      <c r="Z244" s="12" t="s">
        <v>2556</v>
      </c>
      <c r="AA244" s="7" t="s">
        <v>563</v>
      </c>
      <c r="AB244" s="7">
        <v>0</v>
      </c>
      <c r="AC244" s="7">
        <v>1</v>
      </c>
      <c r="AD244" s="7">
        <v>0</v>
      </c>
      <c r="AE244" s="7">
        <v>0</v>
      </c>
      <c r="AF244" s="7">
        <v>1</v>
      </c>
      <c r="AI244" s="7">
        <v>24</v>
      </c>
      <c r="AJ244" s="7">
        <v>1</v>
      </c>
      <c r="AK244" s="7">
        <v>24</v>
      </c>
      <c r="AL244" s="7">
        <v>1</v>
      </c>
      <c r="AM244" s="7">
        <v>24</v>
      </c>
      <c r="AN244" s="7">
        <v>3</v>
      </c>
      <c r="AO244" s="7">
        <v>72</v>
      </c>
      <c r="AP244" s="7">
        <v>1</v>
      </c>
      <c r="AQ244" s="7">
        <v>1</v>
      </c>
      <c r="AR244" s="7">
        <v>1</v>
      </c>
      <c r="AS244" s="7">
        <v>1</v>
      </c>
      <c r="AV244" s="7">
        <v>1</v>
      </c>
      <c r="AW244" s="7">
        <v>1</v>
      </c>
      <c r="AY244" s="7">
        <v>30000</v>
      </c>
      <c r="AZ244" s="7">
        <v>40000</v>
      </c>
      <c r="BA244" s="7">
        <v>50000</v>
      </c>
      <c r="BB244" s="7">
        <v>4</v>
      </c>
      <c r="BE244" s="7">
        <v>240</v>
      </c>
      <c r="BG244" s="7">
        <v>3</v>
      </c>
      <c r="BL244" s="7">
        <v>0</v>
      </c>
    </row>
    <row r="245" spans="1:64" s="7" customFormat="1">
      <c r="A245" s="7">
        <v>32550</v>
      </c>
      <c r="B245" s="7" t="s">
        <v>1012</v>
      </c>
      <c r="C245" s="7" t="s">
        <v>560</v>
      </c>
      <c r="D245" s="7" t="s">
        <v>561</v>
      </c>
      <c r="E245" s="10">
        <v>36</v>
      </c>
      <c r="F245" s="11" t="s">
        <v>956</v>
      </c>
      <c r="G245" s="7">
        <v>0</v>
      </c>
      <c r="H245" s="7">
        <v>0</v>
      </c>
      <c r="I245" s="7">
        <v>99999</v>
      </c>
      <c r="J245" s="7">
        <v>0</v>
      </c>
      <c r="K245" s="7">
        <v>0</v>
      </c>
      <c r="L245" s="7" t="s">
        <v>1562</v>
      </c>
      <c r="M245" s="7">
        <v>1</v>
      </c>
      <c r="N245" s="7">
        <v>1</v>
      </c>
      <c r="O245" s="14">
        <v>2550</v>
      </c>
      <c r="P245" s="7">
        <v>0</v>
      </c>
      <c r="Q245" s="7">
        <v>0</v>
      </c>
      <c r="S245" s="7">
        <v>10000</v>
      </c>
      <c r="T245" s="7">
        <v>3</v>
      </c>
      <c r="U245" s="7">
        <v>0</v>
      </c>
      <c r="V245" s="7">
        <v>1</v>
      </c>
      <c r="W245" s="7">
        <v>1</v>
      </c>
      <c r="X245" s="6"/>
      <c r="Y245" s="7" t="s">
        <v>562</v>
      </c>
      <c r="Z245" s="12" t="s">
        <v>2557</v>
      </c>
      <c r="AA245" s="7" t="s">
        <v>563</v>
      </c>
      <c r="AB245" s="7">
        <v>0</v>
      </c>
      <c r="AC245" s="7">
        <v>1</v>
      </c>
      <c r="AD245" s="7">
        <v>0</v>
      </c>
      <c r="AE245" s="7">
        <v>0</v>
      </c>
      <c r="AF245" s="7">
        <v>1</v>
      </c>
      <c r="AI245" s="7">
        <v>48</v>
      </c>
      <c r="AJ245" s="7">
        <v>1</v>
      </c>
      <c r="AK245" s="7">
        <v>24</v>
      </c>
      <c r="AL245" s="7">
        <v>1</v>
      </c>
      <c r="AM245" s="7">
        <v>999</v>
      </c>
      <c r="AN245" s="7">
        <v>1</v>
      </c>
      <c r="AO245" s="7">
        <v>72</v>
      </c>
      <c r="AP245" s="7">
        <v>1</v>
      </c>
      <c r="AQ245" s="7">
        <v>1</v>
      </c>
      <c r="AR245" s="7">
        <v>1</v>
      </c>
      <c r="AS245" s="7">
        <v>1</v>
      </c>
      <c r="AV245" s="7">
        <v>1</v>
      </c>
      <c r="AY245" s="7">
        <v>30000</v>
      </c>
      <c r="AZ245" s="7">
        <v>40000</v>
      </c>
      <c r="BA245" s="7">
        <v>50000</v>
      </c>
      <c r="BB245" s="7">
        <v>4</v>
      </c>
      <c r="BE245" s="7">
        <v>240</v>
      </c>
      <c r="BG245" s="7">
        <v>3</v>
      </c>
      <c r="BL245" s="7">
        <v>0</v>
      </c>
    </row>
    <row r="246" spans="1:64" s="7" customFormat="1">
      <c r="A246" s="7">
        <v>32549</v>
      </c>
      <c r="B246" s="7" t="s">
        <v>1013</v>
      </c>
      <c r="C246" s="7" t="s">
        <v>560</v>
      </c>
      <c r="D246" s="7" t="s">
        <v>561</v>
      </c>
      <c r="E246" s="10">
        <v>19</v>
      </c>
      <c r="F246" s="11" t="s">
        <v>956</v>
      </c>
      <c r="G246" s="7">
        <v>0</v>
      </c>
      <c r="H246" s="7">
        <v>0</v>
      </c>
      <c r="I246" s="7">
        <v>99999</v>
      </c>
      <c r="J246" s="7">
        <v>0</v>
      </c>
      <c r="K246" s="7">
        <v>0</v>
      </c>
      <c r="L246" s="7" t="s">
        <v>1562</v>
      </c>
      <c r="M246" s="7">
        <v>1</v>
      </c>
      <c r="N246" s="7">
        <v>1</v>
      </c>
      <c r="O246" s="14">
        <v>2549</v>
      </c>
      <c r="P246" s="7">
        <v>0</v>
      </c>
      <c r="Q246" s="7">
        <v>0</v>
      </c>
      <c r="S246" s="7">
        <v>1000</v>
      </c>
      <c r="T246" s="7">
        <v>3</v>
      </c>
      <c r="U246" s="7">
        <v>1</v>
      </c>
      <c r="V246" s="7">
        <v>1</v>
      </c>
      <c r="W246" s="7">
        <v>1</v>
      </c>
      <c r="X246" s="6"/>
      <c r="Y246" s="7" t="s">
        <v>562</v>
      </c>
      <c r="Z246" s="12" t="s">
        <v>2558</v>
      </c>
      <c r="AA246" s="7" t="s">
        <v>563</v>
      </c>
      <c r="AB246" s="7">
        <v>0</v>
      </c>
      <c r="AC246" s="7">
        <v>1</v>
      </c>
      <c r="AD246" s="7">
        <v>0</v>
      </c>
      <c r="AE246" s="7">
        <v>0</v>
      </c>
      <c r="AF246" s="7">
        <v>1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P246" s="7">
        <v>0</v>
      </c>
      <c r="AQ246" s="7">
        <v>0</v>
      </c>
      <c r="AR246" s="7">
        <v>0</v>
      </c>
      <c r="AS246" s="7">
        <v>0</v>
      </c>
      <c r="BE246" s="7">
        <v>240</v>
      </c>
      <c r="BG246" s="7">
        <v>3</v>
      </c>
      <c r="BL246" s="7">
        <v>0</v>
      </c>
    </row>
    <row r="247" spans="1:64" s="7" customFormat="1">
      <c r="A247" s="7">
        <v>32539</v>
      </c>
      <c r="B247" s="7" t="s">
        <v>1014</v>
      </c>
      <c r="C247" s="7" t="s">
        <v>560</v>
      </c>
      <c r="D247" s="7" t="s">
        <v>561</v>
      </c>
      <c r="E247" s="10">
        <v>38</v>
      </c>
      <c r="F247" s="11" t="s">
        <v>956</v>
      </c>
      <c r="G247" s="7">
        <v>0</v>
      </c>
      <c r="H247" s="7">
        <v>0</v>
      </c>
      <c r="I247" s="7">
        <v>99999</v>
      </c>
      <c r="J247" s="7">
        <v>0</v>
      </c>
      <c r="K247" s="7">
        <v>0</v>
      </c>
      <c r="L247" s="7" t="s">
        <v>1562</v>
      </c>
      <c r="M247" s="7">
        <v>1</v>
      </c>
      <c r="N247" s="7">
        <v>1</v>
      </c>
      <c r="O247" s="14">
        <v>2539</v>
      </c>
      <c r="P247" s="7">
        <v>0</v>
      </c>
      <c r="Q247" s="7">
        <v>0</v>
      </c>
      <c r="S247" s="7">
        <v>10000</v>
      </c>
      <c r="T247" s="7">
        <v>3</v>
      </c>
      <c r="U247" s="7">
        <v>0</v>
      </c>
      <c r="V247" s="7">
        <v>1</v>
      </c>
      <c r="W247" s="7">
        <v>1</v>
      </c>
      <c r="X247" s="6"/>
      <c r="Y247" s="7" t="s">
        <v>562</v>
      </c>
      <c r="Z247" s="12" t="s">
        <v>2559</v>
      </c>
      <c r="AA247" s="7" t="s">
        <v>563</v>
      </c>
      <c r="AB247" s="7">
        <v>0</v>
      </c>
      <c r="AC247" s="7">
        <v>1</v>
      </c>
      <c r="AD247" s="7">
        <v>0</v>
      </c>
      <c r="AE247" s="7">
        <v>0</v>
      </c>
      <c r="AF247" s="7">
        <v>1</v>
      </c>
      <c r="AI247" s="7">
        <v>999</v>
      </c>
      <c r="AJ247" s="7">
        <v>1</v>
      </c>
      <c r="AK247" s="7">
        <v>999</v>
      </c>
      <c r="AL247" s="7">
        <v>1</v>
      </c>
      <c r="AM247" s="7">
        <v>999</v>
      </c>
      <c r="AN247" s="7">
        <v>1</v>
      </c>
      <c r="AO247" s="7">
        <v>72</v>
      </c>
      <c r="AP247" s="7">
        <v>1</v>
      </c>
      <c r="AQ247" s="7">
        <v>1</v>
      </c>
      <c r="AR247" s="7">
        <v>1</v>
      </c>
      <c r="AS247" s="7">
        <v>1</v>
      </c>
      <c r="AV247" s="7">
        <v>1</v>
      </c>
      <c r="AY247" s="7">
        <v>30000</v>
      </c>
      <c r="AZ247" s="7">
        <v>40000</v>
      </c>
      <c r="BA247" s="7">
        <v>50000</v>
      </c>
      <c r="BB247" s="7">
        <v>4</v>
      </c>
      <c r="BE247" s="7">
        <v>240</v>
      </c>
      <c r="BG247" s="7">
        <v>3</v>
      </c>
      <c r="BL247" s="7">
        <v>0</v>
      </c>
    </row>
    <row r="248" spans="1:64" s="7" customFormat="1">
      <c r="A248" s="7">
        <v>32540</v>
      </c>
      <c r="B248" s="7" t="s">
        <v>1015</v>
      </c>
      <c r="C248" s="7" t="s">
        <v>560</v>
      </c>
      <c r="D248" s="7" t="s">
        <v>561</v>
      </c>
      <c r="E248" s="10">
        <v>47</v>
      </c>
      <c r="F248" s="11" t="s">
        <v>956</v>
      </c>
      <c r="G248" s="7">
        <v>0</v>
      </c>
      <c r="H248" s="7">
        <v>0</v>
      </c>
      <c r="I248" s="7">
        <v>99999</v>
      </c>
      <c r="J248" s="7">
        <v>0</v>
      </c>
      <c r="K248" s="7">
        <v>0</v>
      </c>
      <c r="L248" s="7" t="s">
        <v>1562</v>
      </c>
      <c r="M248" s="7">
        <v>1</v>
      </c>
      <c r="N248" s="7">
        <v>1</v>
      </c>
      <c r="O248" s="14">
        <v>2540</v>
      </c>
      <c r="P248" s="7">
        <v>0</v>
      </c>
      <c r="Q248" s="7">
        <v>0</v>
      </c>
      <c r="S248" s="7">
        <v>10000</v>
      </c>
      <c r="T248" s="7">
        <v>3</v>
      </c>
      <c r="U248" s="7">
        <v>0</v>
      </c>
      <c r="V248" s="7">
        <v>1</v>
      </c>
      <c r="W248" s="7">
        <v>1</v>
      </c>
      <c r="X248" s="6"/>
      <c r="Y248" s="7" t="s">
        <v>562</v>
      </c>
      <c r="Z248" s="12" t="s">
        <v>2560</v>
      </c>
      <c r="AA248" s="7" t="s">
        <v>563</v>
      </c>
      <c r="AB248" s="7">
        <v>0</v>
      </c>
      <c r="AC248" s="7">
        <v>1</v>
      </c>
      <c r="AD248" s="7">
        <v>0</v>
      </c>
      <c r="AE248" s="7">
        <v>0</v>
      </c>
      <c r="AF248" s="7">
        <v>1</v>
      </c>
      <c r="AI248" s="7">
        <v>999</v>
      </c>
      <c r="AJ248" s="7">
        <v>1</v>
      </c>
      <c r="AK248" s="7">
        <v>999</v>
      </c>
      <c r="AL248" s="7">
        <v>1</v>
      </c>
      <c r="AM248" s="7">
        <v>999</v>
      </c>
      <c r="AN248" s="7">
        <v>1</v>
      </c>
      <c r="AO248" s="7">
        <v>72</v>
      </c>
      <c r="AP248" s="7">
        <v>1</v>
      </c>
      <c r="AQ248" s="7">
        <v>1</v>
      </c>
      <c r="AR248" s="7">
        <v>1</v>
      </c>
      <c r="AS248" s="7">
        <v>1</v>
      </c>
      <c r="AV248" s="7">
        <v>1</v>
      </c>
      <c r="AY248" s="7">
        <v>30000</v>
      </c>
      <c r="AZ248" s="7">
        <v>40000</v>
      </c>
      <c r="BA248" s="7">
        <v>50000</v>
      </c>
      <c r="BB248" s="7">
        <v>4</v>
      </c>
      <c r="BE248" s="7">
        <v>240</v>
      </c>
      <c r="BG248" s="7">
        <v>3</v>
      </c>
      <c r="BL248" s="7">
        <v>0</v>
      </c>
    </row>
    <row r="249" spans="1:64" s="7" customFormat="1">
      <c r="A249" s="7">
        <v>33002</v>
      </c>
      <c r="B249" s="7" t="s">
        <v>984</v>
      </c>
      <c r="C249" s="7" t="s">
        <v>560</v>
      </c>
      <c r="D249" s="7" t="s">
        <v>561</v>
      </c>
      <c r="E249" s="12">
        <v>7</v>
      </c>
      <c r="F249" s="12" t="s">
        <v>998</v>
      </c>
      <c r="G249" s="7">
        <v>0</v>
      </c>
      <c r="H249" s="7">
        <v>0</v>
      </c>
      <c r="I249" s="7">
        <v>99999</v>
      </c>
      <c r="J249" s="7">
        <v>0</v>
      </c>
      <c r="K249" s="7">
        <v>0</v>
      </c>
      <c r="L249" s="7" t="s">
        <v>1562</v>
      </c>
      <c r="M249" s="7">
        <v>1</v>
      </c>
      <c r="N249" s="7">
        <v>1</v>
      </c>
      <c r="O249" s="12">
        <v>3002</v>
      </c>
      <c r="P249" s="7">
        <v>0</v>
      </c>
      <c r="Q249" s="7">
        <v>0</v>
      </c>
      <c r="S249" s="7">
        <v>25</v>
      </c>
      <c r="T249" s="7">
        <v>3</v>
      </c>
      <c r="U249" s="7">
        <v>0</v>
      </c>
      <c r="V249" s="7">
        <v>1</v>
      </c>
      <c r="W249" s="7">
        <v>1</v>
      </c>
      <c r="X249" s="6"/>
      <c r="Y249" s="7" t="s">
        <v>562</v>
      </c>
      <c r="Z249" s="12" t="s">
        <v>2561</v>
      </c>
      <c r="AA249" s="7" t="s">
        <v>563</v>
      </c>
      <c r="AB249" s="7">
        <v>0</v>
      </c>
      <c r="AC249" s="7">
        <v>1</v>
      </c>
      <c r="AD249" s="7">
        <v>0</v>
      </c>
      <c r="AE249" s="7">
        <v>0</v>
      </c>
      <c r="AF249" s="7">
        <v>1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P249" s="7">
        <v>0</v>
      </c>
      <c r="AQ249" s="7">
        <v>0</v>
      </c>
      <c r="AR249" s="7">
        <v>0</v>
      </c>
      <c r="AS249" s="7">
        <v>0</v>
      </c>
      <c r="BE249" s="7">
        <v>240</v>
      </c>
      <c r="BG249" s="7">
        <v>3</v>
      </c>
      <c r="BL249" s="7">
        <v>0</v>
      </c>
    </row>
    <row r="250" spans="1:64" s="7" customFormat="1">
      <c r="A250" s="7">
        <v>33001</v>
      </c>
      <c r="B250" s="7" t="s">
        <v>985</v>
      </c>
      <c r="C250" s="7" t="s">
        <v>560</v>
      </c>
      <c r="D250" s="7" t="s">
        <v>561</v>
      </c>
      <c r="E250" s="12">
        <v>9</v>
      </c>
      <c r="F250" s="12" t="s">
        <v>998</v>
      </c>
      <c r="G250" s="7">
        <v>0</v>
      </c>
      <c r="H250" s="7">
        <v>0</v>
      </c>
      <c r="I250" s="7">
        <v>99999</v>
      </c>
      <c r="J250" s="7">
        <v>0</v>
      </c>
      <c r="K250" s="7">
        <v>0</v>
      </c>
      <c r="L250" s="7" t="s">
        <v>1562</v>
      </c>
      <c r="M250" s="7">
        <v>1</v>
      </c>
      <c r="N250" s="7">
        <v>1</v>
      </c>
      <c r="O250" s="12">
        <v>3001</v>
      </c>
      <c r="P250" s="7">
        <v>0</v>
      </c>
      <c r="Q250" s="7">
        <v>0</v>
      </c>
      <c r="S250" s="7">
        <v>250</v>
      </c>
      <c r="T250" s="7">
        <v>3</v>
      </c>
      <c r="U250" s="7">
        <v>1</v>
      </c>
      <c r="V250" s="7">
        <v>1</v>
      </c>
      <c r="W250" s="7">
        <v>1</v>
      </c>
      <c r="X250" s="6"/>
      <c r="Y250" s="7" t="s">
        <v>562</v>
      </c>
      <c r="Z250" s="12" t="s">
        <v>2562</v>
      </c>
      <c r="AA250" s="7" t="s">
        <v>563</v>
      </c>
      <c r="AB250" s="7">
        <v>0</v>
      </c>
      <c r="AC250" s="7">
        <v>1</v>
      </c>
      <c r="AD250" s="7">
        <v>0</v>
      </c>
      <c r="AE250" s="7">
        <v>0</v>
      </c>
      <c r="AF250" s="7">
        <v>1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P250" s="7">
        <v>0</v>
      </c>
      <c r="AQ250" s="7">
        <v>0</v>
      </c>
      <c r="AR250" s="7">
        <v>0</v>
      </c>
      <c r="AS250" s="7">
        <v>0</v>
      </c>
      <c r="BE250" s="7">
        <v>240</v>
      </c>
      <c r="BG250" s="7">
        <v>3</v>
      </c>
      <c r="BL250" s="7">
        <v>0</v>
      </c>
    </row>
    <row r="251" spans="1:64" s="7" customFormat="1">
      <c r="A251" s="7">
        <v>33004</v>
      </c>
      <c r="B251" s="7" t="s">
        <v>986</v>
      </c>
      <c r="C251" s="7" t="s">
        <v>560</v>
      </c>
      <c r="D251" s="7" t="s">
        <v>561</v>
      </c>
      <c r="E251" s="12">
        <v>14</v>
      </c>
      <c r="F251" s="12" t="s">
        <v>998</v>
      </c>
      <c r="G251" s="7">
        <v>0</v>
      </c>
      <c r="H251" s="7">
        <v>0</v>
      </c>
      <c r="I251" s="7">
        <v>99999</v>
      </c>
      <c r="J251" s="7">
        <v>0</v>
      </c>
      <c r="K251" s="7">
        <v>0</v>
      </c>
      <c r="L251" s="7" t="s">
        <v>1562</v>
      </c>
      <c r="M251" s="7">
        <v>1</v>
      </c>
      <c r="N251" s="7">
        <v>1</v>
      </c>
      <c r="O251" s="12">
        <v>3004</v>
      </c>
      <c r="P251" s="7">
        <v>0</v>
      </c>
      <c r="Q251" s="7">
        <v>0</v>
      </c>
      <c r="S251" s="7">
        <v>500</v>
      </c>
      <c r="T251" s="7">
        <v>3</v>
      </c>
      <c r="U251" s="7">
        <v>1</v>
      </c>
      <c r="V251" s="7">
        <v>1</v>
      </c>
      <c r="W251" s="7">
        <v>1</v>
      </c>
      <c r="X251" s="6"/>
      <c r="Y251" s="7" t="s">
        <v>562</v>
      </c>
      <c r="Z251" s="12" t="s">
        <v>2563</v>
      </c>
      <c r="AA251" s="7" t="s">
        <v>563</v>
      </c>
      <c r="AB251" s="7">
        <v>0</v>
      </c>
      <c r="AC251" s="7">
        <v>1</v>
      </c>
      <c r="AD251" s="7">
        <v>0</v>
      </c>
      <c r="AE251" s="7">
        <v>0</v>
      </c>
      <c r="AF251" s="7">
        <v>1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P251" s="7">
        <v>0</v>
      </c>
      <c r="AQ251" s="7">
        <v>0</v>
      </c>
      <c r="AR251" s="7">
        <v>0</v>
      </c>
      <c r="AS251" s="7">
        <v>0</v>
      </c>
      <c r="BE251" s="7">
        <v>240</v>
      </c>
      <c r="BG251" s="7">
        <v>3</v>
      </c>
      <c r="BL251" s="7">
        <v>0</v>
      </c>
    </row>
    <row r="252" spans="1:64" s="7" customFormat="1">
      <c r="A252" s="7">
        <v>33005</v>
      </c>
      <c r="B252" s="7" t="s">
        <v>987</v>
      </c>
      <c r="C252" s="7" t="s">
        <v>560</v>
      </c>
      <c r="D252" s="7" t="s">
        <v>561</v>
      </c>
      <c r="E252" s="12">
        <v>18</v>
      </c>
      <c r="F252" s="12" t="s">
        <v>998</v>
      </c>
      <c r="G252" s="7">
        <v>0</v>
      </c>
      <c r="H252" s="7">
        <v>0</v>
      </c>
      <c r="I252" s="7">
        <v>99999</v>
      </c>
      <c r="J252" s="7">
        <v>0</v>
      </c>
      <c r="K252" s="7">
        <v>0</v>
      </c>
      <c r="L252" s="7" t="s">
        <v>1562</v>
      </c>
      <c r="M252" s="7">
        <v>1</v>
      </c>
      <c r="N252" s="7">
        <v>1</v>
      </c>
      <c r="O252" s="12">
        <v>3005</v>
      </c>
      <c r="P252" s="7">
        <v>0</v>
      </c>
      <c r="Q252" s="7">
        <v>0</v>
      </c>
      <c r="S252" s="7">
        <v>500</v>
      </c>
      <c r="T252" s="7">
        <v>3</v>
      </c>
      <c r="U252" s="7">
        <v>1</v>
      </c>
      <c r="V252" s="7">
        <v>1</v>
      </c>
      <c r="W252" s="7">
        <v>1</v>
      </c>
      <c r="X252" s="6"/>
      <c r="Y252" s="7" t="s">
        <v>562</v>
      </c>
      <c r="Z252" s="12" t="s">
        <v>2564</v>
      </c>
      <c r="AA252" s="7" t="s">
        <v>563</v>
      </c>
      <c r="AB252" s="7">
        <v>0</v>
      </c>
      <c r="AC252" s="7">
        <v>1</v>
      </c>
      <c r="AD252" s="7">
        <v>0</v>
      </c>
      <c r="AE252" s="7">
        <v>0</v>
      </c>
      <c r="AF252" s="7">
        <v>1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P252" s="7">
        <v>0</v>
      </c>
      <c r="AQ252" s="7">
        <v>0</v>
      </c>
      <c r="AR252" s="7">
        <v>0</v>
      </c>
      <c r="AS252" s="7">
        <v>0</v>
      </c>
      <c r="BE252" s="7">
        <v>240</v>
      </c>
      <c r="BG252" s="7">
        <v>3</v>
      </c>
      <c r="BL252" s="7">
        <v>0</v>
      </c>
    </row>
    <row r="253" spans="1:64" s="7" customFormat="1">
      <c r="A253" s="7">
        <v>33003</v>
      </c>
      <c r="B253" s="7" t="s">
        <v>1336</v>
      </c>
      <c r="C253" s="7" t="s">
        <v>560</v>
      </c>
      <c r="D253" s="7" t="s">
        <v>561</v>
      </c>
      <c r="E253" s="12">
        <v>19</v>
      </c>
      <c r="F253" s="12" t="s">
        <v>998</v>
      </c>
      <c r="G253" s="7">
        <v>0</v>
      </c>
      <c r="H253" s="7">
        <v>0</v>
      </c>
      <c r="I253" s="7">
        <v>99999</v>
      </c>
      <c r="J253" s="7">
        <v>0</v>
      </c>
      <c r="K253" s="7">
        <v>0</v>
      </c>
      <c r="L253" s="7" t="s">
        <v>1562</v>
      </c>
      <c r="M253" s="7">
        <v>1</v>
      </c>
      <c r="N253" s="7">
        <v>1</v>
      </c>
      <c r="O253" s="12">
        <v>3003</v>
      </c>
      <c r="P253" s="7">
        <v>0</v>
      </c>
      <c r="Q253" s="7">
        <v>0</v>
      </c>
      <c r="S253" s="7">
        <v>1000</v>
      </c>
      <c r="T253" s="7">
        <v>3</v>
      </c>
      <c r="U253" s="7">
        <v>1</v>
      </c>
      <c r="V253" s="7">
        <v>1</v>
      </c>
      <c r="W253" s="7">
        <v>1</v>
      </c>
      <c r="X253" s="6"/>
      <c r="Y253" s="7" t="s">
        <v>562</v>
      </c>
      <c r="Z253" s="12" t="s">
        <v>2565</v>
      </c>
      <c r="AA253" s="7" t="s">
        <v>563</v>
      </c>
      <c r="AB253" s="7">
        <v>0</v>
      </c>
      <c r="AC253" s="7">
        <v>1</v>
      </c>
      <c r="AD253" s="7">
        <v>0</v>
      </c>
      <c r="AE253" s="7">
        <v>0</v>
      </c>
      <c r="AF253" s="7">
        <v>1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P253" s="7">
        <v>0</v>
      </c>
      <c r="AQ253" s="7">
        <v>0</v>
      </c>
      <c r="AR253" s="7">
        <v>0</v>
      </c>
      <c r="AS253" s="7">
        <v>0</v>
      </c>
      <c r="BE253" s="7">
        <v>240</v>
      </c>
      <c r="BG253" s="7">
        <v>3</v>
      </c>
      <c r="BL253" s="7">
        <v>0</v>
      </c>
    </row>
    <row r="254" spans="1:64" s="7" customFormat="1">
      <c r="A254" s="7">
        <v>33009</v>
      </c>
      <c r="B254" s="7" t="s">
        <v>988</v>
      </c>
      <c r="C254" s="7" t="s">
        <v>560</v>
      </c>
      <c r="D254" s="7" t="s">
        <v>561</v>
      </c>
      <c r="E254" s="12">
        <v>20</v>
      </c>
      <c r="F254" s="12" t="s">
        <v>998</v>
      </c>
      <c r="G254" s="7">
        <v>0</v>
      </c>
      <c r="H254" s="7">
        <v>0</v>
      </c>
      <c r="I254" s="7">
        <v>99999</v>
      </c>
      <c r="J254" s="7">
        <v>0</v>
      </c>
      <c r="K254" s="7">
        <v>0</v>
      </c>
      <c r="L254" s="7" t="s">
        <v>1562</v>
      </c>
      <c r="M254" s="7">
        <v>1</v>
      </c>
      <c r="N254" s="7">
        <v>1</v>
      </c>
      <c r="O254" s="12">
        <v>3009</v>
      </c>
      <c r="P254" s="7">
        <v>0</v>
      </c>
      <c r="Q254" s="7">
        <v>0</v>
      </c>
      <c r="S254" s="7">
        <v>1000</v>
      </c>
      <c r="T254" s="7">
        <v>3</v>
      </c>
      <c r="U254" s="7">
        <v>1</v>
      </c>
      <c r="V254" s="7">
        <v>1</v>
      </c>
      <c r="W254" s="7">
        <v>1</v>
      </c>
      <c r="X254" s="6"/>
      <c r="Y254" s="7" t="s">
        <v>562</v>
      </c>
      <c r="Z254" s="12" t="s">
        <v>2566</v>
      </c>
      <c r="AA254" s="7" t="s">
        <v>563</v>
      </c>
      <c r="AB254" s="7">
        <v>0</v>
      </c>
      <c r="AC254" s="7">
        <v>1</v>
      </c>
      <c r="AD254" s="7">
        <v>0</v>
      </c>
      <c r="AE254" s="7">
        <v>0</v>
      </c>
      <c r="AF254" s="7">
        <v>1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P254" s="7">
        <v>0</v>
      </c>
      <c r="AQ254" s="7">
        <v>0</v>
      </c>
      <c r="AR254" s="7">
        <v>0</v>
      </c>
      <c r="AS254" s="7">
        <v>0</v>
      </c>
      <c r="BE254" s="7">
        <v>240</v>
      </c>
      <c r="BG254" s="7">
        <v>3</v>
      </c>
      <c r="BL254" s="7">
        <v>0</v>
      </c>
    </row>
    <row r="255" spans="1:64" s="7" customFormat="1">
      <c r="A255" s="7">
        <v>33014</v>
      </c>
      <c r="B255" s="7" t="s">
        <v>989</v>
      </c>
      <c r="C255" s="7" t="s">
        <v>560</v>
      </c>
      <c r="D255" s="7" t="s">
        <v>561</v>
      </c>
      <c r="E255" s="12">
        <v>21</v>
      </c>
      <c r="F255" s="12" t="s">
        <v>998</v>
      </c>
      <c r="G255" s="7">
        <v>0</v>
      </c>
      <c r="H255" s="7">
        <v>0</v>
      </c>
      <c r="I255" s="7">
        <v>99999</v>
      </c>
      <c r="J255" s="7">
        <v>0</v>
      </c>
      <c r="K255" s="7">
        <v>0</v>
      </c>
      <c r="L255" s="7" t="s">
        <v>1562</v>
      </c>
      <c r="M255" s="7">
        <v>1</v>
      </c>
      <c r="N255" s="7">
        <v>1</v>
      </c>
      <c r="O255" s="12">
        <v>3014</v>
      </c>
      <c r="P255" s="7">
        <v>0</v>
      </c>
      <c r="Q255" s="7">
        <v>0</v>
      </c>
      <c r="S255" s="7">
        <v>1500</v>
      </c>
      <c r="T255" s="7">
        <v>3</v>
      </c>
      <c r="U255" s="7">
        <v>1</v>
      </c>
      <c r="V255" s="7">
        <v>1</v>
      </c>
      <c r="W255" s="7">
        <v>1</v>
      </c>
      <c r="X255" s="6"/>
      <c r="Y255" s="7" t="s">
        <v>562</v>
      </c>
      <c r="Z255" s="12" t="s">
        <v>2567</v>
      </c>
      <c r="AA255" s="7" t="s">
        <v>563</v>
      </c>
      <c r="AB255" s="7">
        <v>0</v>
      </c>
      <c r="AC255" s="7">
        <v>1</v>
      </c>
      <c r="AD255" s="7">
        <v>0</v>
      </c>
      <c r="AE255" s="7">
        <v>0</v>
      </c>
      <c r="AF255" s="7">
        <v>1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P255" s="7">
        <v>0</v>
      </c>
      <c r="AQ255" s="7">
        <v>0</v>
      </c>
      <c r="AR255" s="7">
        <v>0</v>
      </c>
      <c r="AS255" s="7">
        <v>0</v>
      </c>
      <c r="BE255" s="7">
        <v>240</v>
      </c>
      <c r="BG255" s="7">
        <v>3</v>
      </c>
      <c r="BL255" s="7">
        <v>0</v>
      </c>
    </row>
    <row r="256" spans="1:64" s="7" customFormat="1">
      <c r="A256" s="7">
        <v>33006</v>
      </c>
      <c r="B256" s="7" t="s">
        <v>990</v>
      </c>
      <c r="C256" s="7" t="s">
        <v>560</v>
      </c>
      <c r="D256" s="7" t="s">
        <v>561</v>
      </c>
      <c r="E256" s="12">
        <v>22</v>
      </c>
      <c r="F256" s="12" t="s">
        <v>998</v>
      </c>
      <c r="G256" s="7">
        <v>0</v>
      </c>
      <c r="H256" s="7">
        <v>0</v>
      </c>
      <c r="I256" s="7">
        <v>99999</v>
      </c>
      <c r="J256" s="7">
        <v>0</v>
      </c>
      <c r="K256" s="7">
        <v>0</v>
      </c>
      <c r="L256" s="7" t="s">
        <v>1562</v>
      </c>
      <c r="M256" s="7">
        <v>1</v>
      </c>
      <c r="N256" s="7">
        <v>1</v>
      </c>
      <c r="O256" s="12">
        <v>3006</v>
      </c>
      <c r="P256" s="7">
        <v>0</v>
      </c>
      <c r="Q256" s="7">
        <v>0</v>
      </c>
      <c r="S256" s="7">
        <v>2500</v>
      </c>
      <c r="T256" s="7">
        <v>3</v>
      </c>
      <c r="U256" s="7">
        <v>1</v>
      </c>
      <c r="V256" s="7">
        <v>1</v>
      </c>
      <c r="W256" s="7">
        <v>1</v>
      </c>
      <c r="X256" s="6"/>
      <c r="Y256" s="7" t="s">
        <v>562</v>
      </c>
      <c r="Z256" s="12" t="s">
        <v>2568</v>
      </c>
      <c r="AA256" s="7" t="s">
        <v>563</v>
      </c>
      <c r="AB256" s="7">
        <v>0</v>
      </c>
      <c r="AC256" s="7">
        <v>1</v>
      </c>
      <c r="AD256" s="7">
        <v>0</v>
      </c>
      <c r="AE256" s="7">
        <v>0</v>
      </c>
      <c r="AF256" s="7">
        <v>1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P256" s="7">
        <v>0</v>
      </c>
      <c r="AQ256" s="7">
        <v>0</v>
      </c>
      <c r="AR256" s="7">
        <v>0</v>
      </c>
      <c r="AS256" s="7">
        <v>0</v>
      </c>
      <c r="BE256" s="7">
        <v>240</v>
      </c>
      <c r="BG256" s="7">
        <v>3</v>
      </c>
      <c r="BL256" s="7">
        <v>0</v>
      </c>
    </row>
    <row r="257" spans="1:64" s="7" customFormat="1">
      <c r="A257" s="7">
        <v>33007</v>
      </c>
      <c r="B257" s="7" t="s">
        <v>991</v>
      </c>
      <c r="C257" s="7" t="s">
        <v>560</v>
      </c>
      <c r="D257" s="7" t="s">
        <v>561</v>
      </c>
      <c r="E257" s="12">
        <v>25</v>
      </c>
      <c r="F257" s="12" t="s">
        <v>998</v>
      </c>
      <c r="G257" s="7">
        <v>0</v>
      </c>
      <c r="H257" s="7">
        <v>0</v>
      </c>
      <c r="I257" s="7">
        <v>99999</v>
      </c>
      <c r="J257" s="7">
        <v>0</v>
      </c>
      <c r="K257" s="7">
        <v>0</v>
      </c>
      <c r="L257" s="7" t="s">
        <v>1562</v>
      </c>
      <c r="M257" s="7">
        <v>1</v>
      </c>
      <c r="N257" s="7">
        <v>1</v>
      </c>
      <c r="O257" s="12">
        <v>3007</v>
      </c>
      <c r="P257" s="7">
        <v>0</v>
      </c>
      <c r="Q257" s="7">
        <v>0</v>
      </c>
      <c r="S257" s="7">
        <v>5000</v>
      </c>
      <c r="T257" s="7">
        <v>3</v>
      </c>
      <c r="U257" s="7">
        <v>1</v>
      </c>
      <c r="V257" s="7">
        <v>1</v>
      </c>
      <c r="W257" s="7">
        <v>1</v>
      </c>
      <c r="X257" s="6"/>
      <c r="Y257" s="7" t="s">
        <v>562</v>
      </c>
      <c r="Z257" s="12" t="s">
        <v>2569</v>
      </c>
      <c r="AA257" s="7" t="s">
        <v>563</v>
      </c>
      <c r="AB257" s="7">
        <v>0</v>
      </c>
      <c r="AC257" s="7">
        <v>1</v>
      </c>
      <c r="AD257" s="7">
        <v>0</v>
      </c>
      <c r="AE257" s="7">
        <v>0</v>
      </c>
      <c r="AF257" s="7">
        <v>1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P257" s="7">
        <v>1</v>
      </c>
      <c r="AQ257" s="7">
        <v>1</v>
      </c>
      <c r="AR257" s="7">
        <v>0</v>
      </c>
      <c r="AS257" s="7">
        <v>0</v>
      </c>
      <c r="BE257" s="7">
        <v>240</v>
      </c>
      <c r="BG257" s="7">
        <v>3</v>
      </c>
      <c r="BL257" s="7">
        <v>0</v>
      </c>
    </row>
    <row r="258" spans="1:64" s="7" customFormat="1">
      <c r="A258" s="7">
        <v>33011</v>
      </c>
      <c r="B258" s="7" t="s">
        <v>1054</v>
      </c>
      <c r="C258" s="7" t="s">
        <v>560</v>
      </c>
      <c r="D258" s="7" t="s">
        <v>561</v>
      </c>
      <c r="E258" s="12">
        <v>28</v>
      </c>
      <c r="F258" s="12" t="s">
        <v>998</v>
      </c>
      <c r="G258" s="7">
        <v>0</v>
      </c>
      <c r="H258" s="7">
        <v>0</v>
      </c>
      <c r="I258" s="7">
        <v>99999</v>
      </c>
      <c r="J258" s="7">
        <v>0</v>
      </c>
      <c r="K258" s="7">
        <v>0</v>
      </c>
      <c r="L258" s="7" t="s">
        <v>1562</v>
      </c>
      <c r="M258" s="7">
        <v>1</v>
      </c>
      <c r="N258" s="7">
        <v>1</v>
      </c>
      <c r="O258" s="12">
        <v>3011</v>
      </c>
      <c r="P258" s="7">
        <v>0</v>
      </c>
      <c r="Q258" s="7">
        <v>0</v>
      </c>
      <c r="S258" s="7">
        <v>4000</v>
      </c>
      <c r="T258" s="7">
        <v>3</v>
      </c>
      <c r="U258" s="7">
        <v>0</v>
      </c>
      <c r="V258" s="7">
        <v>1</v>
      </c>
      <c r="W258" s="7">
        <v>1</v>
      </c>
      <c r="X258" s="6"/>
      <c r="Y258" s="7" t="s">
        <v>562</v>
      </c>
      <c r="Z258" s="12" t="s">
        <v>2570</v>
      </c>
      <c r="AA258" s="7" t="s">
        <v>563</v>
      </c>
      <c r="AB258" s="7">
        <v>0</v>
      </c>
      <c r="AC258" s="7">
        <v>1</v>
      </c>
      <c r="AD258" s="7">
        <v>0</v>
      </c>
      <c r="AE258" s="7">
        <v>0</v>
      </c>
      <c r="AF258" s="7">
        <v>1</v>
      </c>
      <c r="AI258" s="7">
        <v>24</v>
      </c>
      <c r="AJ258" s="7">
        <v>10</v>
      </c>
      <c r="AK258" s="7">
        <v>24</v>
      </c>
      <c r="AL258" s="7">
        <v>13</v>
      </c>
      <c r="AM258" s="7">
        <v>24</v>
      </c>
      <c r="AN258" s="7">
        <v>20</v>
      </c>
      <c r="AO258" s="7">
        <v>24</v>
      </c>
      <c r="AP258" s="7">
        <v>1</v>
      </c>
      <c r="AQ258" s="7">
        <v>1</v>
      </c>
      <c r="AR258" s="7">
        <v>0</v>
      </c>
      <c r="AS258" s="7">
        <v>0</v>
      </c>
      <c r="AV258" s="7">
        <v>1</v>
      </c>
      <c r="AW258" s="7">
        <v>1</v>
      </c>
      <c r="AY258" s="7">
        <v>30000</v>
      </c>
      <c r="AZ258" s="7">
        <v>40000</v>
      </c>
      <c r="BA258" s="7">
        <v>50000</v>
      </c>
      <c r="BB258" s="7">
        <v>4</v>
      </c>
      <c r="BE258" s="7">
        <v>240</v>
      </c>
      <c r="BG258" s="7">
        <v>3</v>
      </c>
      <c r="BL258" s="7">
        <v>0</v>
      </c>
    </row>
    <row r="259" spans="1:64" s="7" customFormat="1">
      <c r="A259" s="7">
        <v>33018</v>
      </c>
      <c r="B259" s="7" t="s">
        <v>992</v>
      </c>
      <c r="C259" s="7" t="s">
        <v>560</v>
      </c>
      <c r="D259" s="7" t="s">
        <v>561</v>
      </c>
      <c r="E259" s="12">
        <v>29</v>
      </c>
      <c r="F259" s="12" t="s">
        <v>998</v>
      </c>
      <c r="G259" s="7">
        <v>0</v>
      </c>
      <c r="H259" s="7">
        <v>0</v>
      </c>
      <c r="I259" s="7">
        <v>99999</v>
      </c>
      <c r="J259" s="7">
        <v>0</v>
      </c>
      <c r="K259" s="7">
        <v>0</v>
      </c>
      <c r="L259" s="7" t="s">
        <v>1562</v>
      </c>
      <c r="M259" s="7">
        <v>1</v>
      </c>
      <c r="N259" s="7">
        <v>1</v>
      </c>
      <c r="O259" s="12">
        <v>3018</v>
      </c>
      <c r="P259" s="7">
        <v>0</v>
      </c>
      <c r="Q259" s="7">
        <v>0</v>
      </c>
      <c r="S259" s="7">
        <v>10000</v>
      </c>
      <c r="T259" s="7">
        <v>3</v>
      </c>
      <c r="U259" s="7">
        <v>0</v>
      </c>
      <c r="V259" s="7">
        <v>1</v>
      </c>
      <c r="W259" s="7">
        <v>1</v>
      </c>
      <c r="X259" s="6"/>
      <c r="Y259" s="7" t="s">
        <v>562</v>
      </c>
      <c r="Z259" s="12" t="s">
        <v>2571</v>
      </c>
      <c r="AA259" s="7" t="s">
        <v>563</v>
      </c>
      <c r="AB259" s="7">
        <v>0</v>
      </c>
      <c r="AC259" s="7">
        <v>1</v>
      </c>
      <c r="AD259" s="7">
        <v>0</v>
      </c>
      <c r="AE259" s="7">
        <v>0</v>
      </c>
      <c r="AF259" s="7">
        <v>1</v>
      </c>
      <c r="AI259" s="7">
        <v>96</v>
      </c>
      <c r="AJ259" s="7">
        <v>1</v>
      </c>
      <c r="AK259" s="7">
        <v>48</v>
      </c>
      <c r="AL259" s="7">
        <v>1</v>
      </c>
      <c r="AM259" s="7">
        <v>999</v>
      </c>
      <c r="AN259" s="7">
        <v>1</v>
      </c>
      <c r="AO259" s="7">
        <v>72</v>
      </c>
      <c r="AP259" s="7">
        <v>1</v>
      </c>
      <c r="AQ259" s="7">
        <v>1</v>
      </c>
      <c r="AR259" s="7">
        <v>1</v>
      </c>
      <c r="AS259" s="7">
        <v>1</v>
      </c>
      <c r="AV259" s="7">
        <v>1</v>
      </c>
      <c r="AY259" s="7">
        <v>30000</v>
      </c>
      <c r="AZ259" s="7">
        <v>40000</v>
      </c>
      <c r="BA259" s="7">
        <v>50000</v>
      </c>
      <c r="BB259" s="7">
        <v>4</v>
      </c>
      <c r="BE259" s="7">
        <v>240</v>
      </c>
      <c r="BG259" s="7">
        <v>3</v>
      </c>
      <c r="BL259" s="7">
        <v>0</v>
      </c>
    </row>
    <row r="260" spans="1:64" s="7" customFormat="1">
      <c r="A260" s="7">
        <v>33012</v>
      </c>
      <c r="B260" s="7" t="s">
        <v>993</v>
      </c>
      <c r="C260" s="7" t="s">
        <v>560</v>
      </c>
      <c r="D260" s="7" t="s">
        <v>561</v>
      </c>
      <c r="E260" s="12">
        <v>33</v>
      </c>
      <c r="F260" s="12" t="s">
        <v>998</v>
      </c>
      <c r="G260" s="7">
        <v>0</v>
      </c>
      <c r="H260" s="7">
        <v>0</v>
      </c>
      <c r="I260" s="7">
        <v>99999</v>
      </c>
      <c r="J260" s="7">
        <v>0</v>
      </c>
      <c r="K260" s="7">
        <v>0</v>
      </c>
      <c r="L260" s="7" t="s">
        <v>1562</v>
      </c>
      <c r="M260" s="7">
        <v>1</v>
      </c>
      <c r="N260" s="7">
        <v>1</v>
      </c>
      <c r="O260" s="12">
        <v>3012</v>
      </c>
      <c r="P260" s="7">
        <v>0</v>
      </c>
      <c r="Q260" s="7">
        <v>0</v>
      </c>
      <c r="S260" s="7">
        <v>5000</v>
      </c>
      <c r="T260" s="7">
        <v>3</v>
      </c>
      <c r="U260" s="7">
        <v>0</v>
      </c>
      <c r="V260" s="7">
        <v>1</v>
      </c>
      <c r="W260" s="7">
        <v>1</v>
      </c>
      <c r="X260" s="6"/>
      <c r="Y260" s="7" t="s">
        <v>562</v>
      </c>
      <c r="Z260" s="12" t="s">
        <v>2572</v>
      </c>
      <c r="AA260" s="7" t="s">
        <v>563</v>
      </c>
      <c r="AB260" s="7">
        <v>0</v>
      </c>
      <c r="AC260" s="7">
        <v>1</v>
      </c>
      <c r="AD260" s="7">
        <v>0</v>
      </c>
      <c r="AE260" s="7">
        <v>0</v>
      </c>
      <c r="AF260" s="7">
        <v>1</v>
      </c>
      <c r="AI260" s="7">
        <v>24</v>
      </c>
      <c r="AJ260" s="7">
        <v>10</v>
      </c>
      <c r="AK260" s="7">
        <v>24</v>
      </c>
      <c r="AL260" s="7">
        <v>13</v>
      </c>
      <c r="AM260" s="7">
        <v>24</v>
      </c>
      <c r="AN260" s="7">
        <v>20</v>
      </c>
      <c r="AO260" s="7">
        <v>24</v>
      </c>
      <c r="AP260" s="7">
        <v>1</v>
      </c>
      <c r="AQ260" s="7">
        <v>1</v>
      </c>
      <c r="AR260" s="7">
        <v>0</v>
      </c>
      <c r="AS260" s="7">
        <v>0</v>
      </c>
      <c r="AV260" s="7">
        <v>1</v>
      </c>
      <c r="AW260" s="7">
        <v>1</v>
      </c>
      <c r="AY260" s="7">
        <v>30000</v>
      </c>
      <c r="AZ260" s="7">
        <v>40000</v>
      </c>
      <c r="BA260" s="7">
        <v>50000</v>
      </c>
      <c r="BB260" s="7">
        <v>4</v>
      </c>
      <c r="BE260" s="7">
        <v>240</v>
      </c>
      <c r="BG260" s="7">
        <v>3</v>
      </c>
      <c r="BL260" s="7">
        <v>0</v>
      </c>
    </row>
    <row r="261" spans="1:64" s="7" customFormat="1">
      <c r="A261" s="7">
        <v>33008</v>
      </c>
      <c r="B261" s="7" t="s">
        <v>994</v>
      </c>
      <c r="C261" s="7" t="s">
        <v>560</v>
      </c>
      <c r="D261" s="7" t="s">
        <v>561</v>
      </c>
      <c r="E261" s="12">
        <v>35</v>
      </c>
      <c r="F261" s="12" t="s">
        <v>998</v>
      </c>
      <c r="G261" s="7">
        <v>0</v>
      </c>
      <c r="H261" s="7">
        <v>0</v>
      </c>
      <c r="I261" s="7">
        <v>99999</v>
      </c>
      <c r="J261" s="7">
        <v>0</v>
      </c>
      <c r="K261" s="7">
        <v>0</v>
      </c>
      <c r="L261" s="7" t="s">
        <v>1562</v>
      </c>
      <c r="M261" s="7">
        <v>1</v>
      </c>
      <c r="N261" s="7">
        <v>1</v>
      </c>
      <c r="O261" s="12">
        <v>3008</v>
      </c>
      <c r="P261" s="7">
        <v>0</v>
      </c>
      <c r="Q261" s="7">
        <v>0</v>
      </c>
      <c r="S261" s="7">
        <v>10000</v>
      </c>
      <c r="T261" s="7">
        <v>3</v>
      </c>
      <c r="U261" s="7">
        <v>0</v>
      </c>
      <c r="V261" s="7">
        <v>1</v>
      </c>
      <c r="W261" s="7">
        <v>1</v>
      </c>
      <c r="X261" s="6"/>
      <c r="Y261" s="7" t="s">
        <v>562</v>
      </c>
      <c r="Z261" s="12" t="s">
        <v>2573</v>
      </c>
      <c r="AA261" s="7" t="s">
        <v>563</v>
      </c>
      <c r="AB261" s="7">
        <v>0</v>
      </c>
      <c r="AC261" s="7">
        <v>1</v>
      </c>
      <c r="AD261" s="7">
        <v>0</v>
      </c>
      <c r="AE261" s="7">
        <v>0</v>
      </c>
      <c r="AF261" s="7">
        <v>1</v>
      </c>
      <c r="AI261" s="7">
        <v>24</v>
      </c>
      <c r="AJ261" s="7">
        <v>1</v>
      </c>
      <c r="AK261" s="7">
        <v>24</v>
      </c>
      <c r="AL261" s="7">
        <v>1</v>
      </c>
      <c r="AM261" s="7">
        <v>24</v>
      </c>
      <c r="AN261" s="7">
        <v>3</v>
      </c>
      <c r="AO261" s="7">
        <v>72</v>
      </c>
      <c r="AP261" s="7">
        <v>1</v>
      </c>
      <c r="AQ261" s="7">
        <v>1</v>
      </c>
      <c r="AR261" s="7">
        <v>1</v>
      </c>
      <c r="AS261" s="7">
        <v>1</v>
      </c>
      <c r="AV261" s="7">
        <v>1</v>
      </c>
      <c r="AW261" s="7">
        <v>1</v>
      </c>
      <c r="AY261" s="7">
        <v>30000</v>
      </c>
      <c r="AZ261" s="7">
        <v>40000</v>
      </c>
      <c r="BA261" s="7">
        <v>50000</v>
      </c>
      <c r="BB261" s="7">
        <v>4</v>
      </c>
      <c r="BE261" s="7">
        <v>240</v>
      </c>
      <c r="BG261" s="7">
        <v>3</v>
      </c>
      <c r="BL261" s="7">
        <v>0</v>
      </c>
    </row>
    <row r="262" spans="1:64" s="7" customFormat="1">
      <c r="A262" s="7">
        <v>33015</v>
      </c>
      <c r="B262" s="7" t="s">
        <v>995</v>
      </c>
      <c r="C262" s="7" t="s">
        <v>560</v>
      </c>
      <c r="D262" s="7" t="s">
        <v>561</v>
      </c>
      <c r="E262" s="12">
        <v>37</v>
      </c>
      <c r="F262" s="12" t="s">
        <v>998</v>
      </c>
      <c r="G262" s="7">
        <v>0</v>
      </c>
      <c r="H262" s="7">
        <v>0</v>
      </c>
      <c r="I262" s="7">
        <v>99999</v>
      </c>
      <c r="J262" s="7">
        <v>0</v>
      </c>
      <c r="K262" s="7">
        <v>0</v>
      </c>
      <c r="L262" s="7" t="s">
        <v>1562</v>
      </c>
      <c r="M262" s="7">
        <v>1</v>
      </c>
      <c r="N262" s="7">
        <v>1</v>
      </c>
      <c r="O262" s="12">
        <v>3015</v>
      </c>
      <c r="P262" s="7">
        <v>0</v>
      </c>
      <c r="Q262" s="7">
        <v>0</v>
      </c>
      <c r="S262" s="7">
        <v>10000</v>
      </c>
      <c r="T262" s="7">
        <v>3</v>
      </c>
      <c r="U262" s="7">
        <v>0</v>
      </c>
      <c r="V262" s="7">
        <v>1</v>
      </c>
      <c r="W262" s="7">
        <v>1</v>
      </c>
      <c r="X262" s="6"/>
      <c r="Y262" s="7" t="s">
        <v>562</v>
      </c>
      <c r="Z262" s="12" t="s">
        <v>2574</v>
      </c>
      <c r="AA262" s="7" t="s">
        <v>563</v>
      </c>
      <c r="AB262" s="7">
        <v>0</v>
      </c>
      <c r="AC262" s="7">
        <v>1</v>
      </c>
      <c r="AD262" s="7">
        <v>0</v>
      </c>
      <c r="AE262" s="7">
        <v>0</v>
      </c>
      <c r="AF262" s="7">
        <v>1</v>
      </c>
      <c r="AI262" s="7">
        <v>999</v>
      </c>
      <c r="AJ262" s="7">
        <v>1</v>
      </c>
      <c r="AK262" s="7">
        <v>999</v>
      </c>
      <c r="AL262" s="7">
        <v>1</v>
      </c>
      <c r="AM262" s="7">
        <v>999</v>
      </c>
      <c r="AN262" s="7">
        <v>1</v>
      </c>
      <c r="AO262" s="7">
        <v>72</v>
      </c>
      <c r="AP262" s="7">
        <v>1</v>
      </c>
      <c r="AQ262" s="7">
        <v>1</v>
      </c>
      <c r="AR262" s="7">
        <v>1</v>
      </c>
      <c r="AS262" s="7">
        <v>1</v>
      </c>
      <c r="AV262" s="7">
        <v>1</v>
      </c>
      <c r="AY262" s="7">
        <v>30000</v>
      </c>
      <c r="AZ262" s="7">
        <v>40000</v>
      </c>
      <c r="BA262" s="7">
        <v>50000</v>
      </c>
      <c r="BB262" s="7">
        <v>4</v>
      </c>
      <c r="BE262" s="7">
        <v>240</v>
      </c>
      <c r="BG262" s="7">
        <v>3</v>
      </c>
      <c r="BL262" s="7">
        <v>0</v>
      </c>
    </row>
    <row r="263" spans="1:64" s="7" customFormat="1">
      <c r="A263" s="7">
        <v>33010</v>
      </c>
      <c r="B263" s="7" t="s">
        <v>996</v>
      </c>
      <c r="C263" s="7" t="s">
        <v>560</v>
      </c>
      <c r="D263" s="7" t="s">
        <v>561</v>
      </c>
      <c r="E263" s="12">
        <v>47</v>
      </c>
      <c r="F263" s="12" t="s">
        <v>998</v>
      </c>
      <c r="G263" s="7">
        <v>0</v>
      </c>
      <c r="H263" s="7">
        <v>0</v>
      </c>
      <c r="I263" s="7">
        <v>99999</v>
      </c>
      <c r="J263" s="7">
        <v>0</v>
      </c>
      <c r="K263" s="7">
        <v>0</v>
      </c>
      <c r="L263" s="7" t="s">
        <v>1562</v>
      </c>
      <c r="M263" s="7">
        <v>1</v>
      </c>
      <c r="N263" s="7">
        <v>1</v>
      </c>
      <c r="O263" s="12">
        <v>3010</v>
      </c>
      <c r="P263" s="7">
        <v>0</v>
      </c>
      <c r="Q263" s="7">
        <v>0</v>
      </c>
      <c r="S263" s="7">
        <v>10000</v>
      </c>
      <c r="T263" s="7">
        <v>3</v>
      </c>
      <c r="U263" s="7">
        <v>0</v>
      </c>
      <c r="V263" s="7">
        <v>1</v>
      </c>
      <c r="W263" s="7">
        <v>1</v>
      </c>
      <c r="X263" s="6"/>
      <c r="Y263" s="7" t="s">
        <v>562</v>
      </c>
      <c r="Z263" s="12" t="s">
        <v>2575</v>
      </c>
      <c r="AA263" s="7" t="s">
        <v>563</v>
      </c>
      <c r="AB263" s="7">
        <v>0</v>
      </c>
      <c r="AC263" s="7">
        <v>1</v>
      </c>
      <c r="AD263" s="7">
        <v>0</v>
      </c>
      <c r="AE263" s="7">
        <v>0</v>
      </c>
      <c r="AF263" s="7">
        <v>1</v>
      </c>
      <c r="AI263" s="7">
        <v>999</v>
      </c>
      <c r="AJ263" s="7">
        <v>1</v>
      </c>
      <c r="AK263" s="7">
        <v>999</v>
      </c>
      <c r="AL263" s="7">
        <v>1</v>
      </c>
      <c r="AM263" s="7">
        <v>999</v>
      </c>
      <c r="AN263" s="7">
        <v>1</v>
      </c>
      <c r="AO263" s="7">
        <v>72</v>
      </c>
      <c r="AP263" s="7">
        <v>1</v>
      </c>
      <c r="AQ263" s="7">
        <v>1</v>
      </c>
      <c r="AR263" s="7">
        <v>1</v>
      </c>
      <c r="AS263" s="7">
        <v>1</v>
      </c>
      <c r="AV263" s="7">
        <v>1</v>
      </c>
      <c r="AY263" s="7">
        <v>30000</v>
      </c>
      <c r="AZ263" s="7">
        <v>40000</v>
      </c>
      <c r="BA263" s="7">
        <v>50000</v>
      </c>
      <c r="BB263" s="7">
        <v>4</v>
      </c>
      <c r="BE263" s="7">
        <v>240</v>
      </c>
      <c r="BG263" s="7">
        <v>3</v>
      </c>
      <c r="BL263" s="7">
        <v>0</v>
      </c>
    </row>
    <row r="264" spans="1:64" s="15" customFormat="1">
      <c r="A264" s="15">
        <v>31504</v>
      </c>
      <c r="B264" s="19" t="s">
        <v>920</v>
      </c>
      <c r="C264" s="15" t="s">
        <v>560</v>
      </c>
      <c r="D264" s="15" t="s">
        <v>561</v>
      </c>
      <c r="E264" s="20">
        <v>2</v>
      </c>
      <c r="F264" s="20" t="s">
        <v>957</v>
      </c>
      <c r="G264" s="15">
        <v>0</v>
      </c>
      <c r="H264" s="15">
        <v>0</v>
      </c>
      <c r="I264" s="15">
        <v>99999</v>
      </c>
      <c r="J264" s="15">
        <v>0</v>
      </c>
      <c r="K264" s="15">
        <v>3</v>
      </c>
      <c r="L264" s="15" t="s">
        <v>1562</v>
      </c>
      <c r="M264" s="15">
        <v>1</v>
      </c>
      <c r="N264" s="7">
        <v>1</v>
      </c>
      <c r="O264" s="21"/>
      <c r="P264" s="15">
        <v>0</v>
      </c>
      <c r="Q264" s="15">
        <v>0</v>
      </c>
      <c r="S264" s="15">
        <v>1</v>
      </c>
      <c r="T264" s="15">
        <v>3</v>
      </c>
      <c r="V264" s="15">
        <v>1</v>
      </c>
      <c r="W264" s="15">
        <v>1</v>
      </c>
      <c r="X264" s="30"/>
      <c r="Y264" s="15" t="s">
        <v>562</v>
      </c>
      <c r="Z264" s="20" t="s">
        <v>2576</v>
      </c>
      <c r="AA264" s="15" t="s">
        <v>563</v>
      </c>
      <c r="AB264" s="15">
        <v>0</v>
      </c>
      <c r="AC264" s="7">
        <v>1</v>
      </c>
      <c r="AD264" s="15">
        <v>0</v>
      </c>
      <c r="AE264" s="15">
        <v>0</v>
      </c>
      <c r="AF264" s="15">
        <v>1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P264" s="15">
        <v>1</v>
      </c>
      <c r="AR264" s="15">
        <v>0</v>
      </c>
      <c r="AS264" s="15">
        <v>0</v>
      </c>
      <c r="BE264" s="7">
        <v>240</v>
      </c>
      <c r="BG264" s="15">
        <v>3</v>
      </c>
      <c r="BL264" s="7">
        <v>0</v>
      </c>
    </row>
    <row r="265" spans="1:64" s="15" customFormat="1">
      <c r="A265" s="15">
        <v>31510</v>
      </c>
      <c r="B265" s="19" t="s">
        <v>564</v>
      </c>
      <c r="C265" s="15" t="s">
        <v>560</v>
      </c>
      <c r="D265" s="15" t="s">
        <v>561</v>
      </c>
      <c r="E265" s="20">
        <v>4</v>
      </c>
      <c r="F265" s="20" t="s">
        <v>957</v>
      </c>
      <c r="G265" s="15">
        <v>0</v>
      </c>
      <c r="H265" s="15">
        <v>0</v>
      </c>
      <c r="I265" s="15">
        <v>99999</v>
      </c>
      <c r="J265" s="15">
        <v>0</v>
      </c>
      <c r="K265" s="15">
        <v>3</v>
      </c>
      <c r="L265" s="15" t="s">
        <v>1562</v>
      </c>
      <c r="M265" s="15">
        <v>1</v>
      </c>
      <c r="N265" s="7">
        <v>1</v>
      </c>
      <c r="O265" s="20"/>
      <c r="P265" s="15">
        <v>0</v>
      </c>
      <c r="Q265" s="15">
        <v>0</v>
      </c>
      <c r="S265" s="15">
        <v>1</v>
      </c>
      <c r="T265" s="15">
        <v>3</v>
      </c>
      <c r="V265" s="15">
        <v>1</v>
      </c>
      <c r="W265" s="15">
        <v>1</v>
      </c>
      <c r="X265" s="30"/>
      <c r="Y265" s="15" t="s">
        <v>562</v>
      </c>
      <c r="Z265" s="20" t="s">
        <v>2577</v>
      </c>
      <c r="AA265" s="15" t="s">
        <v>563</v>
      </c>
      <c r="AB265" s="15">
        <v>0</v>
      </c>
      <c r="AC265" s="7">
        <v>1</v>
      </c>
      <c r="AD265" s="15">
        <v>0</v>
      </c>
      <c r="AE265" s="15">
        <v>0</v>
      </c>
      <c r="AF265" s="15">
        <v>1</v>
      </c>
      <c r="AI265" s="15">
        <v>0</v>
      </c>
      <c r="AJ265" s="15">
        <v>0</v>
      </c>
      <c r="AK265" s="15">
        <v>0</v>
      </c>
      <c r="AL265" s="15">
        <v>0</v>
      </c>
      <c r="AM265" s="15">
        <v>0</v>
      </c>
      <c r="AN265" s="15">
        <v>0</v>
      </c>
      <c r="AP265" s="15">
        <v>1</v>
      </c>
      <c r="AR265" s="15">
        <v>0</v>
      </c>
      <c r="AS265" s="15">
        <v>0</v>
      </c>
      <c r="BE265" s="7">
        <v>240</v>
      </c>
      <c r="BG265" s="15">
        <v>3</v>
      </c>
      <c r="BL265" s="7">
        <v>0</v>
      </c>
    </row>
    <row r="266" spans="1:64" s="15" customFormat="1">
      <c r="A266" s="15">
        <v>31521</v>
      </c>
      <c r="B266" s="19" t="s">
        <v>566</v>
      </c>
      <c r="C266" s="15" t="s">
        <v>560</v>
      </c>
      <c r="D266" s="15" t="s">
        <v>561</v>
      </c>
      <c r="E266" s="20">
        <v>6</v>
      </c>
      <c r="F266" s="20" t="s">
        <v>957</v>
      </c>
      <c r="G266" s="15">
        <v>0</v>
      </c>
      <c r="H266" s="15">
        <v>0</v>
      </c>
      <c r="I266" s="15">
        <v>99999</v>
      </c>
      <c r="J266" s="15">
        <v>0</v>
      </c>
      <c r="K266" s="15">
        <v>0</v>
      </c>
      <c r="L266" s="15" t="s">
        <v>1562</v>
      </c>
      <c r="M266" s="15">
        <v>1</v>
      </c>
      <c r="N266" s="7">
        <v>1</v>
      </c>
      <c r="O266" s="20"/>
      <c r="P266" s="15">
        <v>0</v>
      </c>
      <c r="Q266" s="15">
        <v>0</v>
      </c>
      <c r="S266" s="15">
        <v>1</v>
      </c>
      <c r="T266" s="15">
        <v>3</v>
      </c>
      <c r="V266" s="15">
        <v>1</v>
      </c>
      <c r="W266" s="15">
        <v>1</v>
      </c>
      <c r="X266" s="30"/>
      <c r="Y266" s="15" t="s">
        <v>562</v>
      </c>
      <c r="Z266" s="20" t="s">
        <v>2578</v>
      </c>
      <c r="AA266" s="15" t="s">
        <v>563</v>
      </c>
      <c r="AB266" s="15">
        <v>0</v>
      </c>
      <c r="AC266" s="7">
        <v>1</v>
      </c>
      <c r="AD266" s="15">
        <v>0</v>
      </c>
      <c r="AE266" s="15">
        <v>0</v>
      </c>
      <c r="AF266" s="15">
        <v>1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P266" s="15">
        <v>1</v>
      </c>
      <c r="AR266" s="15">
        <v>0</v>
      </c>
      <c r="AS266" s="15">
        <v>0</v>
      </c>
      <c r="BE266" s="7">
        <v>240</v>
      </c>
      <c r="BG266" s="15">
        <v>3</v>
      </c>
      <c r="BL266" s="7">
        <v>0</v>
      </c>
    </row>
    <row r="267" spans="1:64" s="15" customFormat="1">
      <c r="A267" s="15">
        <v>31524</v>
      </c>
      <c r="B267" s="19" t="s">
        <v>567</v>
      </c>
      <c r="C267" s="15" t="s">
        <v>560</v>
      </c>
      <c r="D267" s="15" t="s">
        <v>561</v>
      </c>
      <c r="E267" s="20">
        <v>8</v>
      </c>
      <c r="F267" s="20" t="s">
        <v>957</v>
      </c>
      <c r="G267" s="15">
        <v>0</v>
      </c>
      <c r="H267" s="15">
        <v>0</v>
      </c>
      <c r="I267" s="15">
        <v>99999</v>
      </c>
      <c r="J267" s="15">
        <v>0</v>
      </c>
      <c r="K267" s="15">
        <v>0</v>
      </c>
      <c r="L267" s="15" t="s">
        <v>1562</v>
      </c>
      <c r="M267" s="15">
        <v>1</v>
      </c>
      <c r="N267" s="7">
        <v>1</v>
      </c>
      <c r="O267" s="20"/>
      <c r="P267" s="15">
        <v>0</v>
      </c>
      <c r="Q267" s="15">
        <v>0</v>
      </c>
      <c r="S267" s="15">
        <v>1</v>
      </c>
      <c r="T267" s="15">
        <v>3</v>
      </c>
      <c r="V267" s="15">
        <v>1</v>
      </c>
      <c r="W267" s="15">
        <v>1</v>
      </c>
      <c r="X267" s="30"/>
      <c r="Y267" s="15" t="s">
        <v>562</v>
      </c>
      <c r="Z267" s="20" t="s">
        <v>2579</v>
      </c>
      <c r="AA267" s="15" t="s">
        <v>563</v>
      </c>
      <c r="AB267" s="15">
        <v>0</v>
      </c>
      <c r="AC267" s="7">
        <v>1</v>
      </c>
      <c r="AD267" s="15">
        <v>0</v>
      </c>
      <c r="AE267" s="15">
        <v>0</v>
      </c>
      <c r="AF267" s="15">
        <v>1</v>
      </c>
      <c r="AI267" s="15">
        <v>0</v>
      </c>
      <c r="AJ267" s="15">
        <v>0</v>
      </c>
      <c r="AK267" s="15">
        <v>0</v>
      </c>
      <c r="AL267" s="15">
        <v>0</v>
      </c>
      <c r="AM267" s="15">
        <v>0</v>
      </c>
      <c r="AN267" s="15">
        <v>0</v>
      </c>
      <c r="AP267" s="15">
        <v>1</v>
      </c>
      <c r="AR267" s="15">
        <v>0</v>
      </c>
      <c r="AS267" s="15">
        <v>0</v>
      </c>
      <c r="BE267" s="7">
        <v>240</v>
      </c>
      <c r="BG267" s="15">
        <v>3</v>
      </c>
      <c r="BL267" s="7">
        <v>0</v>
      </c>
    </row>
    <row r="268" spans="1:64" s="15" customFormat="1">
      <c r="A268" s="15">
        <v>31516</v>
      </c>
      <c r="B268" s="19" t="s">
        <v>568</v>
      </c>
      <c r="C268" s="15" t="s">
        <v>560</v>
      </c>
      <c r="D268" s="15" t="s">
        <v>561</v>
      </c>
      <c r="E268" s="20">
        <v>10</v>
      </c>
      <c r="F268" s="20" t="s">
        <v>957</v>
      </c>
      <c r="G268" s="15">
        <v>0</v>
      </c>
      <c r="H268" s="15">
        <v>0</v>
      </c>
      <c r="I268" s="15">
        <v>99999</v>
      </c>
      <c r="J268" s="15">
        <v>0</v>
      </c>
      <c r="K268" s="15">
        <v>0</v>
      </c>
      <c r="L268" s="15" t="s">
        <v>1562</v>
      </c>
      <c r="M268" s="15">
        <v>1</v>
      </c>
      <c r="N268" s="7">
        <v>1</v>
      </c>
      <c r="O268" s="20"/>
      <c r="P268" s="15">
        <v>0</v>
      </c>
      <c r="Q268" s="15">
        <v>0</v>
      </c>
      <c r="S268" s="15">
        <v>1</v>
      </c>
      <c r="T268" s="15">
        <v>3</v>
      </c>
      <c r="V268" s="15">
        <v>1</v>
      </c>
      <c r="W268" s="15">
        <v>1</v>
      </c>
      <c r="X268" s="30"/>
      <c r="Y268" s="15" t="s">
        <v>562</v>
      </c>
      <c r="Z268" s="20" t="s">
        <v>2580</v>
      </c>
      <c r="AA268" s="15" t="s">
        <v>563</v>
      </c>
      <c r="AB268" s="15">
        <v>0</v>
      </c>
      <c r="AC268" s="7">
        <v>1</v>
      </c>
      <c r="AD268" s="15">
        <v>0</v>
      </c>
      <c r="AE268" s="15">
        <v>0</v>
      </c>
      <c r="AF268" s="15">
        <v>1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P268" s="15">
        <v>1</v>
      </c>
      <c r="AR268" s="15">
        <v>0</v>
      </c>
      <c r="AS268" s="15">
        <v>0</v>
      </c>
      <c r="BE268" s="7">
        <v>240</v>
      </c>
      <c r="BG268" s="15">
        <v>3</v>
      </c>
      <c r="BL268" s="7">
        <v>0</v>
      </c>
    </row>
    <row r="269" spans="1:64" s="15" customFormat="1">
      <c r="A269" s="15">
        <v>31502</v>
      </c>
      <c r="B269" s="19" t="s">
        <v>565</v>
      </c>
      <c r="C269" s="15" t="s">
        <v>560</v>
      </c>
      <c r="D269" s="15" t="s">
        <v>561</v>
      </c>
      <c r="E269" s="20">
        <v>12</v>
      </c>
      <c r="F269" s="20" t="s">
        <v>957</v>
      </c>
      <c r="G269" s="15">
        <v>0</v>
      </c>
      <c r="H269" s="15">
        <v>0</v>
      </c>
      <c r="I269" s="15">
        <v>99999</v>
      </c>
      <c r="J269" s="15">
        <v>0</v>
      </c>
      <c r="K269" s="15">
        <v>0</v>
      </c>
      <c r="L269" s="15" t="s">
        <v>1562</v>
      </c>
      <c r="M269" s="15">
        <v>1</v>
      </c>
      <c r="N269" s="7">
        <v>1</v>
      </c>
      <c r="O269" s="20"/>
      <c r="P269" s="15">
        <v>0</v>
      </c>
      <c r="Q269" s="15">
        <v>0</v>
      </c>
      <c r="S269" s="15">
        <v>1</v>
      </c>
      <c r="T269" s="15">
        <v>3</v>
      </c>
      <c r="V269" s="15">
        <v>1</v>
      </c>
      <c r="W269" s="15">
        <v>1</v>
      </c>
      <c r="X269" s="30"/>
      <c r="Y269" s="15" t="s">
        <v>562</v>
      </c>
      <c r="Z269" s="20" t="s">
        <v>2581</v>
      </c>
      <c r="AA269" s="15" t="s">
        <v>563</v>
      </c>
      <c r="AB269" s="15">
        <v>0</v>
      </c>
      <c r="AC269" s="7">
        <v>1</v>
      </c>
      <c r="AD269" s="15">
        <v>0</v>
      </c>
      <c r="AE269" s="15">
        <v>0</v>
      </c>
      <c r="AF269" s="15">
        <v>1</v>
      </c>
      <c r="AI269" s="15">
        <v>0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P269" s="15">
        <v>1</v>
      </c>
      <c r="AR269" s="15">
        <v>0</v>
      </c>
      <c r="AS269" s="15">
        <v>0</v>
      </c>
      <c r="BE269" s="7">
        <v>240</v>
      </c>
      <c r="BG269" s="15">
        <v>3</v>
      </c>
      <c r="BL269" s="7">
        <v>0</v>
      </c>
    </row>
    <row r="270" spans="1:64" s="15" customFormat="1">
      <c r="A270" s="15">
        <v>31508</v>
      </c>
      <c r="B270" s="19" t="s">
        <v>569</v>
      </c>
      <c r="C270" s="15" t="s">
        <v>560</v>
      </c>
      <c r="D270" s="15" t="s">
        <v>561</v>
      </c>
      <c r="E270" s="20">
        <v>14</v>
      </c>
      <c r="F270" s="20" t="s">
        <v>957</v>
      </c>
      <c r="G270" s="15">
        <v>0</v>
      </c>
      <c r="H270" s="15">
        <v>0</v>
      </c>
      <c r="I270" s="15">
        <v>99999</v>
      </c>
      <c r="J270" s="15">
        <v>0</v>
      </c>
      <c r="K270" s="15">
        <v>0</v>
      </c>
      <c r="L270" s="15" t="s">
        <v>1562</v>
      </c>
      <c r="M270" s="15">
        <v>1</v>
      </c>
      <c r="N270" s="7">
        <v>1</v>
      </c>
      <c r="O270" s="20"/>
      <c r="P270" s="15">
        <v>0</v>
      </c>
      <c r="Q270" s="15">
        <v>0</v>
      </c>
      <c r="S270" s="15">
        <v>1</v>
      </c>
      <c r="T270" s="15">
        <v>3</v>
      </c>
      <c r="V270" s="15">
        <v>1</v>
      </c>
      <c r="W270" s="15">
        <v>1</v>
      </c>
      <c r="X270" s="30"/>
      <c r="Y270" s="15" t="s">
        <v>562</v>
      </c>
      <c r="Z270" s="20" t="s">
        <v>2582</v>
      </c>
      <c r="AA270" s="15" t="s">
        <v>563</v>
      </c>
      <c r="AB270" s="15">
        <v>0</v>
      </c>
      <c r="AC270" s="7">
        <v>1</v>
      </c>
      <c r="AD270" s="15">
        <v>0</v>
      </c>
      <c r="AE270" s="15">
        <v>0</v>
      </c>
      <c r="AF270" s="15">
        <v>1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P270" s="15">
        <v>1</v>
      </c>
      <c r="AR270" s="15">
        <v>0</v>
      </c>
      <c r="AS270" s="15">
        <v>0</v>
      </c>
      <c r="BE270" s="7">
        <v>240</v>
      </c>
      <c r="BG270" s="15">
        <v>3</v>
      </c>
      <c r="BL270" s="7">
        <v>0</v>
      </c>
    </row>
    <row r="271" spans="1:64" s="15" customFormat="1">
      <c r="A271" s="15">
        <v>31509</v>
      </c>
      <c r="B271" s="19" t="s">
        <v>570</v>
      </c>
      <c r="C271" s="15" t="s">
        <v>560</v>
      </c>
      <c r="D271" s="15" t="s">
        <v>561</v>
      </c>
      <c r="E271" s="20">
        <v>16</v>
      </c>
      <c r="F271" s="20" t="s">
        <v>957</v>
      </c>
      <c r="G271" s="15">
        <v>0</v>
      </c>
      <c r="H271" s="15">
        <v>0</v>
      </c>
      <c r="I271" s="15">
        <v>99999</v>
      </c>
      <c r="J271" s="15">
        <v>0</v>
      </c>
      <c r="K271" s="15">
        <v>0</v>
      </c>
      <c r="L271" s="15" t="s">
        <v>1562</v>
      </c>
      <c r="M271" s="15">
        <v>1</v>
      </c>
      <c r="N271" s="7">
        <v>1</v>
      </c>
      <c r="O271" s="20"/>
      <c r="P271" s="15">
        <v>0</v>
      </c>
      <c r="Q271" s="15">
        <v>0</v>
      </c>
      <c r="S271" s="15">
        <v>1</v>
      </c>
      <c r="T271" s="15">
        <v>3</v>
      </c>
      <c r="V271" s="15">
        <v>1</v>
      </c>
      <c r="W271" s="15">
        <v>1</v>
      </c>
      <c r="X271" s="30"/>
      <c r="Y271" s="15" t="s">
        <v>562</v>
      </c>
      <c r="Z271" s="20" t="s">
        <v>2583</v>
      </c>
      <c r="AA271" s="15" t="s">
        <v>563</v>
      </c>
      <c r="AB271" s="15">
        <v>0</v>
      </c>
      <c r="AC271" s="7">
        <v>1</v>
      </c>
      <c r="AD271" s="15">
        <v>0</v>
      </c>
      <c r="AE271" s="15">
        <v>0</v>
      </c>
      <c r="AF271" s="15">
        <v>1</v>
      </c>
      <c r="AI271" s="15">
        <v>0</v>
      </c>
      <c r="AJ271" s="15">
        <v>0</v>
      </c>
      <c r="AK271" s="15">
        <v>0</v>
      </c>
      <c r="AL271" s="15">
        <v>0</v>
      </c>
      <c r="AM271" s="15">
        <v>0</v>
      </c>
      <c r="AN271" s="15">
        <v>0</v>
      </c>
      <c r="AP271" s="15">
        <v>1</v>
      </c>
      <c r="AR271" s="15">
        <v>0</v>
      </c>
      <c r="AS271" s="15">
        <v>0</v>
      </c>
      <c r="BE271" s="7">
        <v>240</v>
      </c>
      <c r="BG271" s="15">
        <v>3</v>
      </c>
      <c r="BL271" s="7">
        <v>0</v>
      </c>
    </row>
    <row r="272" spans="1:64" s="15" customFormat="1">
      <c r="A272" s="15">
        <v>31514</v>
      </c>
      <c r="B272" s="19" t="s">
        <v>921</v>
      </c>
      <c r="C272" s="15" t="s">
        <v>560</v>
      </c>
      <c r="D272" s="15" t="s">
        <v>561</v>
      </c>
      <c r="E272" s="20">
        <v>18</v>
      </c>
      <c r="F272" s="20" t="s">
        <v>957</v>
      </c>
      <c r="G272" s="15">
        <v>0</v>
      </c>
      <c r="H272" s="15">
        <v>0</v>
      </c>
      <c r="I272" s="15">
        <v>99999</v>
      </c>
      <c r="J272" s="15">
        <v>0</v>
      </c>
      <c r="K272" s="15">
        <v>0</v>
      </c>
      <c r="L272" s="15" t="s">
        <v>1562</v>
      </c>
      <c r="M272" s="15">
        <v>1</v>
      </c>
      <c r="N272" s="7">
        <v>1</v>
      </c>
      <c r="O272" s="20"/>
      <c r="P272" s="15">
        <v>0</v>
      </c>
      <c r="Q272" s="15">
        <v>0</v>
      </c>
      <c r="S272" s="15">
        <v>1</v>
      </c>
      <c r="T272" s="15">
        <v>3</v>
      </c>
      <c r="V272" s="15">
        <v>1</v>
      </c>
      <c r="W272" s="15">
        <v>1</v>
      </c>
      <c r="X272" s="30"/>
      <c r="Y272" s="15" t="s">
        <v>562</v>
      </c>
      <c r="Z272" s="20" t="s">
        <v>2584</v>
      </c>
      <c r="AA272" s="15" t="s">
        <v>563</v>
      </c>
      <c r="AB272" s="15">
        <v>0</v>
      </c>
      <c r="AC272" s="7">
        <v>1</v>
      </c>
      <c r="AD272" s="15">
        <v>0</v>
      </c>
      <c r="AE272" s="15">
        <v>0</v>
      </c>
      <c r="AF272" s="15">
        <v>1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P272" s="15">
        <v>1</v>
      </c>
      <c r="AR272" s="15">
        <v>0</v>
      </c>
      <c r="AS272" s="15">
        <v>0</v>
      </c>
      <c r="BE272" s="7">
        <v>240</v>
      </c>
      <c r="BG272" s="15">
        <v>3</v>
      </c>
      <c r="BL272" s="7">
        <v>0</v>
      </c>
    </row>
    <row r="273" spans="1:64" s="15" customFormat="1">
      <c r="A273" s="15">
        <v>31512</v>
      </c>
      <c r="B273" s="19" t="s">
        <v>577</v>
      </c>
      <c r="C273" s="15" t="s">
        <v>560</v>
      </c>
      <c r="D273" s="15" t="s">
        <v>561</v>
      </c>
      <c r="E273" s="20">
        <v>20</v>
      </c>
      <c r="F273" s="20" t="s">
        <v>957</v>
      </c>
      <c r="G273" s="15">
        <v>0</v>
      </c>
      <c r="H273" s="15">
        <v>0</v>
      </c>
      <c r="I273" s="15">
        <v>99999</v>
      </c>
      <c r="J273" s="15">
        <v>0</v>
      </c>
      <c r="K273" s="15">
        <v>0</v>
      </c>
      <c r="L273" s="15" t="s">
        <v>1562</v>
      </c>
      <c r="M273" s="15">
        <v>1</v>
      </c>
      <c r="N273" s="7">
        <v>1</v>
      </c>
      <c r="O273" s="20"/>
      <c r="P273" s="15">
        <v>0</v>
      </c>
      <c r="Q273" s="15">
        <v>0</v>
      </c>
      <c r="S273" s="15">
        <v>1</v>
      </c>
      <c r="T273" s="15">
        <v>3</v>
      </c>
      <c r="V273" s="15">
        <v>1</v>
      </c>
      <c r="W273" s="15">
        <v>1</v>
      </c>
      <c r="X273" s="30"/>
      <c r="Y273" s="15" t="s">
        <v>562</v>
      </c>
      <c r="Z273" s="20" t="s">
        <v>2585</v>
      </c>
      <c r="AA273" s="15" t="s">
        <v>563</v>
      </c>
      <c r="AB273" s="15">
        <v>0</v>
      </c>
      <c r="AC273" s="7">
        <v>1</v>
      </c>
      <c r="AD273" s="15">
        <v>0</v>
      </c>
      <c r="AE273" s="15">
        <v>0</v>
      </c>
      <c r="AF273" s="15">
        <v>1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P273" s="15">
        <v>1</v>
      </c>
      <c r="AR273" s="15">
        <v>0</v>
      </c>
      <c r="AS273" s="15">
        <v>0</v>
      </c>
      <c r="BE273" s="7">
        <v>240</v>
      </c>
      <c r="BG273" s="15">
        <v>3</v>
      </c>
      <c r="BL273" s="7">
        <v>0</v>
      </c>
    </row>
    <row r="274" spans="1:64" s="15" customFormat="1">
      <c r="A274" s="15">
        <v>31520</v>
      </c>
      <c r="B274" s="19" t="s">
        <v>571</v>
      </c>
      <c r="C274" s="15" t="s">
        <v>560</v>
      </c>
      <c r="D274" s="15" t="s">
        <v>561</v>
      </c>
      <c r="E274" s="20">
        <v>22</v>
      </c>
      <c r="F274" s="20" t="s">
        <v>957</v>
      </c>
      <c r="G274" s="15">
        <v>0</v>
      </c>
      <c r="H274" s="15">
        <v>0</v>
      </c>
      <c r="I274" s="15">
        <v>99999</v>
      </c>
      <c r="J274" s="15">
        <v>0</v>
      </c>
      <c r="K274" s="15">
        <v>0</v>
      </c>
      <c r="L274" s="15" t="s">
        <v>1562</v>
      </c>
      <c r="M274" s="15">
        <v>1</v>
      </c>
      <c r="N274" s="7">
        <v>1</v>
      </c>
      <c r="O274" s="20"/>
      <c r="P274" s="15">
        <v>0</v>
      </c>
      <c r="Q274" s="15">
        <v>0</v>
      </c>
      <c r="S274" s="15">
        <v>1</v>
      </c>
      <c r="T274" s="15">
        <v>3</v>
      </c>
      <c r="V274" s="15">
        <v>1</v>
      </c>
      <c r="W274" s="15">
        <v>1</v>
      </c>
      <c r="X274" s="30"/>
      <c r="Y274" s="15" t="s">
        <v>562</v>
      </c>
      <c r="Z274" s="20" t="s">
        <v>2586</v>
      </c>
      <c r="AA274" s="15" t="s">
        <v>563</v>
      </c>
      <c r="AB274" s="15">
        <v>0</v>
      </c>
      <c r="AC274" s="7">
        <v>1</v>
      </c>
      <c r="AD274" s="15">
        <v>0</v>
      </c>
      <c r="AE274" s="15">
        <v>0</v>
      </c>
      <c r="AF274" s="15">
        <v>1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P274" s="15">
        <v>1</v>
      </c>
      <c r="AR274" s="15">
        <v>0</v>
      </c>
      <c r="AS274" s="15">
        <v>0</v>
      </c>
      <c r="BE274" s="7">
        <v>240</v>
      </c>
      <c r="BG274" s="15">
        <v>3</v>
      </c>
      <c r="BL274" s="7">
        <v>0</v>
      </c>
    </row>
    <row r="275" spans="1:64" s="15" customFormat="1">
      <c r="A275" s="15">
        <v>31511</v>
      </c>
      <c r="B275" s="19" t="s">
        <v>922</v>
      </c>
      <c r="C275" s="15" t="s">
        <v>560</v>
      </c>
      <c r="D275" s="15" t="s">
        <v>561</v>
      </c>
      <c r="E275" s="20">
        <v>24</v>
      </c>
      <c r="F275" s="20" t="s">
        <v>957</v>
      </c>
      <c r="G275" s="15">
        <v>0</v>
      </c>
      <c r="H275" s="15">
        <v>0</v>
      </c>
      <c r="I275" s="15">
        <v>99999</v>
      </c>
      <c r="J275" s="15">
        <v>0</v>
      </c>
      <c r="K275" s="15">
        <v>0</v>
      </c>
      <c r="L275" s="15" t="s">
        <v>1562</v>
      </c>
      <c r="M275" s="15">
        <v>1</v>
      </c>
      <c r="N275" s="7">
        <v>1</v>
      </c>
      <c r="O275" s="20"/>
      <c r="P275" s="15">
        <v>0</v>
      </c>
      <c r="Q275" s="15">
        <v>0</v>
      </c>
      <c r="S275" s="15">
        <v>1</v>
      </c>
      <c r="T275" s="15">
        <v>3</v>
      </c>
      <c r="V275" s="15">
        <v>1</v>
      </c>
      <c r="W275" s="15">
        <v>1</v>
      </c>
      <c r="X275" s="30"/>
      <c r="Y275" s="15" t="s">
        <v>562</v>
      </c>
      <c r="Z275" s="20" t="s">
        <v>2587</v>
      </c>
      <c r="AA275" s="15" t="s">
        <v>563</v>
      </c>
      <c r="AB275" s="15">
        <v>0</v>
      </c>
      <c r="AC275" s="7">
        <v>1</v>
      </c>
      <c r="AD275" s="15">
        <v>0</v>
      </c>
      <c r="AE275" s="15">
        <v>0</v>
      </c>
      <c r="AF275" s="15">
        <v>1</v>
      </c>
      <c r="AI275" s="15">
        <v>0</v>
      </c>
      <c r="AJ275" s="15">
        <v>0</v>
      </c>
      <c r="AK275" s="15">
        <v>0</v>
      </c>
      <c r="AL275" s="15">
        <v>0</v>
      </c>
      <c r="AM275" s="15">
        <v>0</v>
      </c>
      <c r="AN275" s="15">
        <v>0</v>
      </c>
      <c r="AP275" s="15">
        <v>1</v>
      </c>
      <c r="AR275" s="15">
        <v>0</v>
      </c>
      <c r="AS275" s="15">
        <v>0</v>
      </c>
      <c r="BE275" s="7">
        <v>240</v>
      </c>
      <c r="BG275" s="15">
        <v>3</v>
      </c>
      <c r="BL275" s="7">
        <v>0</v>
      </c>
    </row>
    <row r="276" spans="1:64" s="15" customFormat="1">
      <c r="A276" s="15">
        <v>31513</v>
      </c>
      <c r="B276" s="19" t="s">
        <v>574</v>
      </c>
      <c r="C276" s="15" t="s">
        <v>560</v>
      </c>
      <c r="D276" s="15" t="s">
        <v>561</v>
      </c>
      <c r="E276" s="20">
        <v>26</v>
      </c>
      <c r="F276" s="20" t="s">
        <v>957</v>
      </c>
      <c r="G276" s="15">
        <v>0</v>
      </c>
      <c r="H276" s="15">
        <v>0</v>
      </c>
      <c r="I276" s="15">
        <v>99999</v>
      </c>
      <c r="J276" s="15">
        <v>0</v>
      </c>
      <c r="K276" s="15">
        <v>0</v>
      </c>
      <c r="L276" s="15" t="s">
        <v>1562</v>
      </c>
      <c r="M276" s="15">
        <v>1</v>
      </c>
      <c r="N276" s="7">
        <v>1</v>
      </c>
      <c r="O276" s="20"/>
      <c r="P276" s="15">
        <v>0</v>
      </c>
      <c r="Q276" s="15">
        <v>0</v>
      </c>
      <c r="S276" s="15">
        <v>1</v>
      </c>
      <c r="T276" s="15">
        <v>3</v>
      </c>
      <c r="V276" s="15">
        <v>1</v>
      </c>
      <c r="W276" s="15">
        <v>1</v>
      </c>
      <c r="X276" s="30"/>
      <c r="Y276" s="15" t="s">
        <v>562</v>
      </c>
      <c r="Z276" s="20" t="s">
        <v>2588</v>
      </c>
      <c r="AA276" s="15" t="s">
        <v>563</v>
      </c>
      <c r="AB276" s="15">
        <v>0</v>
      </c>
      <c r="AC276" s="7">
        <v>1</v>
      </c>
      <c r="AD276" s="15">
        <v>0</v>
      </c>
      <c r="AE276" s="15">
        <v>0</v>
      </c>
      <c r="AF276" s="15">
        <v>1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P276" s="15">
        <v>1</v>
      </c>
      <c r="AR276" s="15">
        <v>0</v>
      </c>
      <c r="AS276" s="15">
        <v>0</v>
      </c>
      <c r="BE276" s="7">
        <v>240</v>
      </c>
      <c r="BG276" s="15">
        <v>3</v>
      </c>
      <c r="BL276" s="7">
        <v>0</v>
      </c>
    </row>
    <row r="277" spans="1:64" s="15" customFormat="1">
      <c r="A277" s="15">
        <v>31518</v>
      </c>
      <c r="B277" s="19" t="s">
        <v>575</v>
      </c>
      <c r="C277" s="15" t="s">
        <v>560</v>
      </c>
      <c r="D277" s="15" t="s">
        <v>561</v>
      </c>
      <c r="E277" s="20">
        <v>28</v>
      </c>
      <c r="F277" s="20" t="s">
        <v>957</v>
      </c>
      <c r="G277" s="15">
        <v>0</v>
      </c>
      <c r="H277" s="15">
        <v>0</v>
      </c>
      <c r="I277" s="15">
        <v>99999</v>
      </c>
      <c r="J277" s="15">
        <v>0</v>
      </c>
      <c r="K277" s="15">
        <v>0</v>
      </c>
      <c r="L277" s="15" t="s">
        <v>1562</v>
      </c>
      <c r="M277" s="15">
        <v>1</v>
      </c>
      <c r="N277" s="7">
        <v>1</v>
      </c>
      <c r="O277" s="20"/>
      <c r="P277" s="15">
        <v>0</v>
      </c>
      <c r="Q277" s="15">
        <v>0</v>
      </c>
      <c r="S277" s="15">
        <v>1</v>
      </c>
      <c r="T277" s="15">
        <v>3</v>
      </c>
      <c r="V277" s="15">
        <v>1</v>
      </c>
      <c r="W277" s="15">
        <v>1</v>
      </c>
      <c r="X277" s="30"/>
      <c r="Y277" s="15" t="s">
        <v>562</v>
      </c>
      <c r="Z277" s="20" t="s">
        <v>2589</v>
      </c>
      <c r="AA277" s="15" t="s">
        <v>563</v>
      </c>
      <c r="AB277" s="15">
        <v>0</v>
      </c>
      <c r="AC277" s="7">
        <v>1</v>
      </c>
      <c r="AD277" s="15">
        <v>0</v>
      </c>
      <c r="AE277" s="15">
        <v>0</v>
      </c>
      <c r="AF277" s="15">
        <v>1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0</v>
      </c>
      <c r="AP277" s="15">
        <v>1</v>
      </c>
      <c r="AR277" s="15">
        <v>0</v>
      </c>
      <c r="AS277" s="15">
        <v>0</v>
      </c>
      <c r="BE277" s="7">
        <v>240</v>
      </c>
      <c r="BG277" s="15">
        <v>3</v>
      </c>
      <c r="BL277" s="7">
        <v>0</v>
      </c>
    </row>
    <row r="278" spans="1:64" s="15" customFormat="1">
      <c r="A278" s="15">
        <v>31506</v>
      </c>
      <c r="B278" s="19" t="s">
        <v>573</v>
      </c>
      <c r="C278" s="15" t="s">
        <v>560</v>
      </c>
      <c r="D278" s="15" t="s">
        <v>561</v>
      </c>
      <c r="E278" s="20">
        <v>30</v>
      </c>
      <c r="F278" s="20" t="s">
        <v>957</v>
      </c>
      <c r="G278" s="15">
        <v>0</v>
      </c>
      <c r="H278" s="15">
        <v>0</v>
      </c>
      <c r="I278" s="15">
        <v>99999</v>
      </c>
      <c r="J278" s="15">
        <v>0</v>
      </c>
      <c r="K278" s="15">
        <v>0</v>
      </c>
      <c r="L278" s="15" t="s">
        <v>1562</v>
      </c>
      <c r="M278" s="15">
        <v>1</v>
      </c>
      <c r="N278" s="7">
        <v>1</v>
      </c>
      <c r="O278" s="20"/>
      <c r="P278" s="15">
        <v>0</v>
      </c>
      <c r="Q278" s="15">
        <v>0</v>
      </c>
      <c r="S278" s="15">
        <v>1</v>
      </c>
      <c r="T278" s="15">
        <v>3</v>
      </c>
      <c r="V278" s="15">
        <v>1</v>
      </c>
      <c r="W278" s="15">
        <v>1</v>
      </c>
      <c r="X278" s="30"/>
      <c r="Y278" s="15" t="s">
        <v>562</v>
      </c>
      <c r="Z278" s="20" t="s">
        <v>2590</v>
      </c>
      <c r="AA278" s="15" t="s">
        <v>563</v>
      </c>
      <c r="AB278" s="15">
        <v>0</v>
      </c>
      <c r="AC278" s="7">
        <v>1</v>
      </c>
      <c r="AD278" s="15">
        <v>0</v>
      </c>
      <c r="AE278" s="15">
        <v>0</v>
      </c>
      <c r="AF278" s="15">
        <v>1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P278" s="15">
        <v>1</v>
      </c>
      <c r="AR278" s="15">
        <v>0</v>
      </c>
      <c r="AS278" s="15">
        <v>0</v>
      </c>
      <c r="BE278" s="7">
        <v>240</v>
      </c>
      <c r="BG278" s="15">
        <v>3</v>
      </c>
      <c r="BL278" s="7">
        <v>0</v>
      </c>
    </row>
    <row r="279" spans="1:64" s="15" customFormat="1">
      <c r="A279" s="15">
        <v>31517</v>
      </c>
      <c r="B279" s="19" t="s">
        <v>572</v>
      </c>
      <c r="C279" s="15" t="s">
        <v>560</v>
      </c>
      <c r="D279" s="15" t="s">
        <v>561</v>
      </c>
      <c r="E279" s="20">
        <v>32</v>
      </c>
      <c r="F279" s="20" t="s">
        <v>957</v>
      </c>
      <c r="G279" s="15">
        <v>0</v>
      </c>
      <c r="H279" s="15">
        <v>0</v>
      </c>
      <c r="I279" s="15">
        <v>99999</v>
      </c>
      <c r="J279" s="15">
        <v>0</v>
      </c>
      <c r="K279" s="15">
        <v>0</v>
      </c>
      <c r="L279" s="15" t="s">
        <v>1562</v>
      </c>
      <c r="M279" s="15">
        <v>1</v>
      </c>
      <c r="N279" s="7">
        <v>1</v>
      </c>
      <c r="O279" s="20"/>
      <c r="P279" s="15">
        <v>0</v>
      </c>
      <c r="Q279" s="15">
        <v>0</v>
      </c>
      <c r="S279" s="15">
        <v>1</v>
      </c>
      <c r="T279" s="15">
        <v>3</v>
      </c>
      <c r="V279" s="15">
        <v>1</v>
      </c>
      <c r="W279" s="15">
        <v>1</v>
      </c>
      <c r="X279" s="30"/>
      <c r="Y279" s="15" t="s">
        <v>562</v>
      </c>
      <c r="Z279" s="20" t="s">
        <v>2591</v>
      </c>
      <c r="AA279" s="15" t="s">
        <v>563</v>
      </c>
      <c r="AB279" s="15">
        <v>0</v>
      </c>
      <c r="AC279" s="7">
        <v>1</v>
      </c>
      <c r="AD279" s="15">
        <v>0</v>
      </c>
      <c r="AE279" s="15">
        <v>0</v>
      </c>
      <c r="AF279" s="15">
        <v>1</v>
      </c>
      <c r="AI279" s="15">
        <v>0</v>
      </c>
      <c r="AJ279" s="15">
        <v>0</v>
      </c>
      <c r="AK279" s="15">
        <v>0</v>
      </c>
      <c r="AL279" s="15">
        <v>0</v>
      </c>
      <c r="AM279" s="15">
        <v>0</v>
      </c>
      <c r="AN279" s="15">
        <v>0</v>
      </c>
      <c r="AP279" s="15">
        <v>1</v>
      </c>
      <c r="AR279" s="15">
        <v>0</v>
      </c>
      <c r="AS279" s="15">
        <v>0</v>
      </c>
      <c r="BE279" s="7">
        <v>240</v>
      </c>
      <c r="BG279" s="15">
        <v>3</v>
      </c>
      <c r="BL279" s="7">
        <v>0</v>
      </c>
    </row>
    <row r="280" spans="1:64" s="15" customFormat="1">
      <c r="A280" s="15">
        <v>31505</v>
      </c>
      <c r="B280" s="19" t="s">
        <v>923</v>
      </c>
      <c r="C280" s="15" t="s">
        <v>560</v>
      </c>
      <c r="D280" s="15" t="s">
        <v>561</v>
      </c>
      <c r="E280" s="20">
        <v>34</v>
      </c>
      <c r="F280" s="20" t="s">
        <v>957</v>
      </c>
      <c r="G280" s="15">
        <v>0</v>
      </c>
      <c r="H280" s="15">
        <v>0</v>
      </c>
      <c r="I280" s="15">
        <v>99999</v>
      </c>
      <c r="J280" s="15">
        <v>0</v>
      </c>
      <c r="K280" s="15">
        <v>0</v>
      </c>
      <c r="L280" s="15" t="s">
        <v>1562</v>
      </c>
      <c r="M280" s="15">
        <v>1</v>
      </c>
      <c r="N280" s="7">
        <v>1</v>
      </c>
      <c r="O280" s="20"/>
      <c r="P280" s="15">
        <v>0</v>
      </c>
      <c r="Q280" s="15">
        <v>0</v>
      </c>
      <c r="S280" s="15">
        <v>1</v>
      </c>
      <c r="T280" s="15">
        <v>3</v>
      </c>
      <c r="V280" s="15">
        <v>1</v>
      </c>
      <c r="W280" s="15">
        <v>1</v>
      </c>
      <c r="X280" s="30"/>
      <c r="Y280" s="15" t="s">
        <v>562</v>
      </c>
      <c r="Z280" s="20" t="s">
        <v>2592</v>
      </c>
      <c r="AA280" s="15" t="s">
        <v>563</v>
      </c>
      <c r="AB280" s="15">
        <v>0</v>
      </c>
      <c r="AC280" s="7">
        <v>1</v>
      </c>
      <c r="AD280" s="15">
        <v>0</v>
      </c>
      <c r="AE280" s="15">
        <v>0</v>
      </c>
      <c r="AF280" s="15">
        <v>1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P280" s="15">
        <v>1</v>
      </c>
      <c r="AR280" s="15">
        <v>0</v>
      </c>
      <c r="AS280" s="15">
        <v>0</v>
      </c>
      <c r="BE280" s="7">
        <v>240</v>
      </c>
      <c r="BG280" s="15">
        <v>3</v>
      </c>
      <c r="BL280" s="7">
        <v>0</v>
      </c>
    </row>
    <row r="281" spans="1:64" s="15" customFormat="1">
      <c r="A281" s="15">
        <v>31519</v>
      </c>
      <c r="B281" s="19" t="s">
        <v>576</v>
      </c>
      <c r="C281" s="15" t="s">
        <v>560</v>
      </c>
      <c r="D281" s="15" t="s">
        <v>561</v>
      </c>
      <c r="E281" s="20">
        <v>36</v>
      </c>
      <c r="F281" s="20" t="s">
        <v>957</v>
      </c>
      <c r="G281" s="15">
        <v>0</v>
      </c>
      <c r="H281" s="15">
        <v>0</v>
      </c>
      <c r="I281" s="15">
        <v>99999</v>
      </c>
      <c r="J281" s="15">
        <v>0</v>
      </c>
      <c r="K281" s="15">
        <v>0</v>
      </c>
      <c r="L281" s="15" t="s">
        <v>1562</v>
      </c>
      <c r="M281" s="15">
        <v>1</v>
      </c>
      <c r="N281" s="7">
        <v>1</v>
      </c>
      <c r="O281" s="20"/>
      <c r="P281" s="15">
        <v>0</v>
      </c>
      <c r="Q281" s="15">
        <v>0</v>
      </c>
      <c r="S281" s="15">
        <v>1</v>
      </c>
      <c r="T281" s="15">
        <v>3</v>
      </c>
      <c r="V281" s="15">
        <v>1</v>
      </c>
      <c r="W281" s="15">
        <v>1</v>
      </c>
      <c r="X281" s="30"/>
      <c r="Y281" s="15" t="s">
        <v>562</v>
      </c>
      <c r="Z281" s="20" t="s">
        <v>2593</v>
      </c>
      <c r="AA281" s="15" t="s">
        <v>563</v>
      </c>
      <c r="AB281" s="15">
        <v>0</v>
      </c>
      <c r="AC281" s="7">
        <v>1</v>
      </c>
      <c r="AD281" s="15">
        <v>0</v>
      </c>
      <c r="AE281" s="15">
        <v>0</v>
      </c>
      <c r="AF281" s="15">
        <v>1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  <c r="AN281" s="15">
        <v>0</v>
      </c>
      <c r="AP281" s="15">
        <v>1</v>
      </c>
      <c r="AR281" s="15">
        <v>0</v>
      </c>
      <c r="AS281" s="15">
        <v>0</v>
      </c>
      <c r="BE281" s="7">
        <v>240</v>
      </c>
      <c r="BG281" s="15">
        <v>3</v>
      </c>
      <c r="BL281" s="7">
        <v>0</v>
      </c>
    </row>
    <row r="282" spans="1:64" s="15" customFormat="1">
      <c r="A282" s="15">
        <v>31522</v>
      </c>
      <c r="B282" s="19" t="s">
        <v>578</v>
      </c>
      <c r="C282" s="15" t="s">
        <v>560</v>
      </c>
      <c r="D282" s="15" t="s">
        <v>561</v>
      </c>
      <c r="E282" s="20">
        <v>38</v>
      </c>
      <c r="F282" s="20" t="s">
        <v>957</v>
      </c>
      <c r="G282" s="15">
        <v>0</v>
      </c>
      <c r="H282" s="15">
        <v>0</v>
      </c>
      <c r="I282" s="15">
        <v>99999</v>
      </c>
      <c r="J282" s="15">
        <v>0</v>
      </c>
      <c r="K282" s="15">
        <v>0</v>
      </c>
      <c r="L282" s="15" t="s">
        <v>1562</v>
      </c>
      <c r="M282" s="15">
        <v>1</v>
      </c>
      <c r="N282" s="7">
        <v>1</v>
      </c>
      <c r="O282" s="20"/>
      <c r="P282" s="15">
        <v>0</v>
      </c>
      <c r="Q282" s="15">
        <v>0</v>
      </c>
      <c r="S282" s="15">
        <v>1</v>
      </c>
      <c r="T282" s="15">
        <v>3</v>
      </c>
      <c r="V282" s="15">
        <v>1</v>
      </c>
      <c r="W282" s="15">
        <v>1</v>
      </c>
      <c r="X282" s="30"/>
      <c r="Y282" s="15" t="s">
        <v>562</v>
      </c>
      <c r="Z282" s="20" t="s">
        <v>2594</v>
      </c>
      <c r="AA282" s="15" t="s">
        <v>563</v>
      </c>
      <c r="AB282" s="15">
        <v>0</v>
      </c>
      <c r="AC282" s="7">
        <v>1</v>
      </c>
      <c r="AD282" s="15">
        <v>0</v>
      </c>
      <c r="AE282" s="15">
        <v>0</v>
      </c>
      <c r="AF282" s="15">
        <v>1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P282" s="15">
        <v>1</v>
      </c>
      <c r="AR282" s="15">
        <v>0</v>
      </c>
      <c r="AS282" s="15">
        <v>0</v>
      </c>
      <c r="BE282" s="7">
        <v>240</v>
      </c>
      <c r="BG282" s="15">
        <v>3</v>
      </c>
      <c r="BL282" s="7">
        <v>0</v>
      </c>
    </row>
    <row r="283" spans="1:64" s="15" customFormat="1">
      <c r="A283" s="15">
        <v>32008</v>
      </c>
      <c r="B283" s="19" t="s">
        <v>924</v>
      </c>
      <c r="C283" s="15" t="s">
        <v>560</v>
      </c>
      <c r="D283" s="15" t="s">
        <v>561</v>
      </c>
      <c r="E283" s="20">
        <v>2</v>
      </c>
      <c r="F283" s="20" t="s">
        <v>958</v>
      </c>
      <c r="G283" s="15">
        <v>0</v>
      </c>
      <c r="H283" s="15">
        <v>0</v>
      </c>
      <c r="I283" s="15">
        <v>99999</v>
      </c>
      <c r="J283" s="15">
        <v>0</v>
      </c>
      <c r="K283" s="15">
        <v>3</v>
      </c>
      <c r="L283" s="15" t="s">
        <v>1562</v>
      </c>
      <c r="M283" s="15">
        <v>1</v>
      </c>
      <c r="N283" s="7">
        <v>1</v>
      </c>
      <c r="O283" s="20"/>
      <c r="P283" s="15">
        <v>0</v>
      </c>
      <c r="Q283" s="15">
        <v>0</v>
      </c>
      <c r="S283" s="15">
        <v>1</v>
      </c>
      <c r="T283" s="15">
        <v>3</v>
      </c>
      <c r="V283" s="15">
        <v>1</v>
      </c>
      <c r="W283" s="15">
        <v>1</v>
      </c>
      <c r="X283" s="30"/>
      <c r="Y283" s="15" t="s">
        <v>562</v>
      </c>
      <c r="Z283" s="20" t="s">
        <v>2595</v>
      </c>
      <c r="AA283" s="15" t="s">
        <v>563</v>
      </c>
      <c r="AB283" s="15">
        <v>0</v>
      </c>
      <c r="AC283" s="7">
        <v>1</v>
      </c>
      <c r="AD283" s="15">
        <v>0</v>
      </c>
      <c r="AE283" s="15">
        <v>0</v>
      </c>
      <c r="AF283" s="15">
        <v>1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P283" s="15">
        <v>1</v>
      </c>
      <c r="AR283" s="15">
        <v>0</v>
      </c>
      <c r="AS283" s="15">
        <v>0</v>
      </c>
      <c r="BE283" s="7">
        <v>240</v>
      </c>
      <c r="BG283" s="15">
        <v>3</v>
      </c>
      <c r="BL283" s="7">
        <v>0</v>
      </c>
    </row>
    <row r="284" spans="1:64" s="15" customFormat="1">
      <c r="A284" s="15">
        <v>32014</v>
      </c>
      <c r="B284" s="19" t="s">
        <v>579</v>
      </c>
      <c r="C284" s="15" t="s">
        <v>560</v>
      </c>
      <c r="D284" s="15" t="s">
        <v>561</v>
      </c>
      <c r="E284" s="20">
        <v>4</v>
      </c>
      <c r="F284" s="20" t="s">
        <v>958</v>
      </c>
      <c r="G284" s="15">
        <v>0</v>
      </c>
      <c r="H284" s="15">
        <v>0</v>
      </c>
      <c r="I284" s="15">
        <v>99999</v>
      </c>
      <c r="J284" s="15">
        <v>0</v>
      </c>
      <c r="K284" s="15">
        <v>3</v>
      </c>
      <c r="L284" s="15" t="s">
        <v>1562</v>
      </c>
      <c r="M284" s="15">
        <v>1</v>
      </c>
      <c r="N284" s="7">
        <v>1</v>
      </c>
      <c r="O284" s="20"/>
      <c r="P284" s="15">
        <v>0</v>
      </c>
      <c r="Q284" s="15">
        <v>0</v>
      </c>
      <c r="S284" s="15">
        <v>1</v>
      </c>
      <c r="T284" s="15">
        <v>3</v>
      </c>
      <c r="V284" s="15">
        <v>1</v>
      </c>
      <c r="W284" s="15">
        <v>1</v>
      </c>
      <c r="X284" s="30"/>
      <c r="Y284" s="15" t="s">
        <v>562</v>
      </c>
      <c r="Z284" s="20" t="s">
        <v>2596</v>
      </c>
      <c r="AA284" s="15" t="s">
        <v>563</v>
      </c>
      <c r="AB284" s="15">
        <v>0</v>
      </c>
      <c r="AC284" s="7">
        <v>1</v>
      </c>
      <c r="AD284" s="15">
        <v>0</v>
      </c>
      <c r="AE284" s="15">
        <v>0</v>
      </c>
      <c r="AF284" s="15">
        <v>1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P284" s="15">
        <v>1</v>
      </c>
      <c r="AR284" s="15">
        <v>0</v>
      </c>
      <c r="AS284" s="15">
        <v>0</v>
      </c>
      <c r="BE284" s="7">
        <v>240</v>
      </c>
      <c r="BG284" s="15">
        <v>3</v>
      </c>
      <c r="BL284" s="7">
        <v>0</v>
      </c>
    </row>
    <row r="285" spans="1:64" s="15" customFormat="1">
      <c r="A285" s="15">
        <v>32009</v>
      </c>
      <c r="B285" s="19" t="s">
        <v>925</v>
      </c>
      <c r="C285" s="15" t="s">
        <v>560</v>
      </c>
      <c r="D285" s="15" t="s">
        <v>561</v>
      </c>
      <c r="E285" s="20">
        <v>6</v>
      </c>
      <c r="F285" s="20" t="s">
        <v>958</v>
      </c>
      <c r="G285" s="15">
        <v>0</v>
      </c>
      <c r="H285" s="15">
        <v>0</v>
      </c>
      <c r="I285" s="15">
        <v>99999</v>
      </c>
      <c r="J285" s="15">
        <v>0</v>
      </c>
      <c r="K285" s="15">
        <v>0</v>
      </c>
      <c r="L285" s="15" t="s">
        <v>1562</v>
      </c>
      <c r="M285" s="15">
        <v>1</v>
      </c>
      <c r="N285" s="7">
        <v>1</v>
      </c>
      <c r="O285" s="20"/>
      <c r="P285" s="15">
        <v>0</v>
      </c>
      <c r="Q285" s="15">
        <v>0</v>
      </c>
      <c r="S285" s="15">
        <v>1</v>
      </c>
      <c r="T285" s="15">
        <v>3</v>
      </c>
      <c r="V285" s="15">
        <v>1</v>
      </c>
      <c r="W285" s="15">
        <v>1</v>
      </c>
      <c r="X285" s="30"/>
      <c r="Y285" s="15" t="s">
        <v>562</v>
      </c>
      <c r="Z285" s="20" t="s">
        <v>2597</v>
      </c>
      <c r="AA285" s="15" t="s">
        <v>563</v>
      </c>
      <c r="AB285" s="15">
        <v>0</v>
      </c>
      <c r="AC285" s="7">
        <v>1</v>
      </c>
      <c r="AD285" s="15">
        <v>0</v>
      </c>
      <c r="AE285" s="15">
        <v>0</v>
      </c>
      <c r="AF285" s="15">
        <v>1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P285" s="15">
        <v>1</v>
      </c>
      <c r="AR285" s="15">
        <v>0</v>
      </c>
      <c r="AS285" s="15">
        <v>0</v>
      </c>
      <c r="BE285" s="7">
        <v>240</v>
      </c>
      <c r="BG285" s="15">
        <v>3</v>
      </c>
      <c r="BL285" s="7">
        <v>0</v>
      </c>
    </row>
    <row r="286" spans="1:64" s="15" customFormat="1">
      <c r="A286" s="15">
        <v>32007</v>
      </c>
      <c r="B286" s="19" t="s">
        <v>581</v>
      </c>
      <c r="C286" s="15" t="s">
        <v>560</v>
      </c>
      <c r="D286" s="15" t="s">
        <v>561</v>
      </c>
      <c r="E286" s="20">
        <v>8</v>
      </c>
      <c r="F286" s="20" t="s">
        <v>958</v>
      </c>
      <c r="G286" s="15">
        <v>0</v>
      </c>
      <c r="H286" s="15">
        <v>0</v>
      </c>
      <c r="I286" s="15">
        <v>99999</v>
      </c>
      <c r="J286" s="15">
        <v>0</v>
      </c>
      <c r="K286" s="15">
        <v>0</v>
      </c>
      <c r="L286" s="15" t="s">
        <v>1562</v>
      </c>
      <c r="M286" s="15">
        <v>1</v>
      </c>
      <c r="N286" s="7">
        <v>1</v>
      </c>
      <c r="O286" s="20"/>
      <c r="P286" s="15">
        <v>0</v>
      </c>
      <c r="Q286" s="15">
        <v>0</v>
      </c>
      <c r="S286" s="15">
        <v>1</v>
      </c>
      <c r="T286" s="15">
        <v>3</v>
      </c>
      <c r="V286" s="15">
        <v>1</v>
      </c>
      <c r="W286" s="15">
        <v>1</v>
      </c>
      <c r="X286" s="30"/>
      <c r="Y286" s="15" t="s">
        <v>562</v>
      </c>
      <c r="Z286" s="20" t="s">
        <v>2598</v>
      </c>
      <c r="AA286" s="15" t="s">
        <v>563</v>
      </c>
      <c r="AB286" s="15">
        <v>0</v>
      </c>
      <c r="AC286" s="7">
        <v>1</v>
      </c>
      <c r="AD286" s="15">
        <v>0</v>
      </c>
      <c r="AE286" s="15">
        <v>0</v>
      </c>
      <c r="AF286" s="15">
        <v>1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P286" s="15">
        <v>1</v>
      </c>
      <c r="AR286" s="15">
        <v>0</v>
      </c>
      <c r="AS286" s="15">
        <v>0</v>
      </c>
      <c r="BE286" s="7">
        <v>240</v>
      </c>
      <c r="BG286" s="15">
        <v>3</v>
      </c>
      <c r="BL286" s="7">
        <v>0</v>
      </c>
    </row>
    <row r="287" spans="1:64" s="15" customFormat="1">
      <c r="A287" s="15">
        <v>32016</v>
      </c>
      <c r="B287" s="19" t="s">
        <v>582</v>
      </c>
      <c r="C287" s="15" t="s">
        <v>560</v>
      </c>
      <c r="D287" s="15" t="s">
        <v>561</v>
      </c>
      <c r="E287" s="20">
        <v>10</v>
      </c>
      <c r="F287" s="20" t="s">
        <v>958</v>
      </c>
      <c r="G287" s="15">
        <v>0</v>
      </c>
      <c r="H287" s="15">
        <v>0</v>
      </c>
      <c r="I287" s="15">
        <v>99999</v>
      </c>
      <c r="J287" s="15">
        <v>0</v>
      </c>
      <c r="K287" s="15">
        <v>0</v>
      </c>
      <c r="L287" s="15" t="s">
        <v>1562</v>
      </c>
      <c r="M287" s="15">
        <v>1</v>
      </c>
      <c r="N287" s="7">
        <v>1</v>
      </c>
      <c r="O287" s="20"/>
      <c r="P287" s="15">
        <v>0</v>
      </c>
      <c r="Q287" s="15">
        <v>0</v>
      </c>
      <c r="S287" s="15">
        <v>1</v>
      </c>
      <c r="T287" s="15">
        <v>3</v>
      </c>
      <c r="V287" s="15">
        <v>1</v>
      </c>
      <c r="W287" s="15">
        <v>1</v>
      </c>
      <c r="X287" s="30"/>
      <c r="Y287" s="15" t="s">
        <v>562</v>
      </c>
      <c r="Z287" s="20" t="s">
        <v>2599</v>
      </c>
      <c r="AA287" s="15" t="s">
        <v>563</v>
      </c>
      <c r="AB287" s="15">
        <v>0</v>
      </c>
      <c r="AC287" s="7">
        <v>1</v>
      </c>
      <c r="AD287" s="15">
        <v>0</v>
      </c>
      <c r="AE287" s="15">
        <v>0</v>
      </c>
      <c r="AF287" s="15">
        <v>1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P287" s="15">
        <v>1</v>
      </c>
      <c r="AR287" s="15">
        <v>0</v>
      </c>
      <c r="AS287" s="15">
        <v>0</v>
      </c>
      <c r="BE287" s="7">
        <v>240</v>
      </c>
      <c r="BG287" s="15">
        <v>3</v>
      </c>
      <c r="BL287" s="7">
        <v>0</v>
      </c>
    </row>
    <row r="288" spans="1:64" s="15" customFormat="1">
      <c r="A288" s="15">
        <v>32003</v>
      </c>
      <c r="B288" s="19" t="s">
        <v>926</v>
      </c>
      <c r="C288" s="15" t="s">
        <v>560</v>
      </c>
      <c r="D288" s="15" t="s">
        <v>561</v>
      </c>
      <c r="E288" s="20">
        <v>12</v>
      </c>
      <c r="F288" s="20" t="s">
        <v>958</v>
      </c>
      <c r="G288" s="15">
        <v>0</v>
      </c>
      <c r="H288" s="15">
        <v>0</v>
      </c>
      <c r="I288" s="15">
        <v>99999</v>
      </c>
      <c r="J288" s="15">
        <v>0</v>
      </c>
      <c r="K288" s="15">
        <v>0</v>
      </c>
      <c r="L288" s="15" t="s">
        <v>1562</v>
      </c>
      <c r="M288" s="15">
        <v>1</v>
      </c>
      <c r="N288" s="7">
        <v>1</v>
      </c>
      <c r="O288" s="20"/>
      <c r="P288" s="15">
        <v>0</v>
      </c>
      <c r="Q288" s="15">
        <v>0</v>
      </c>
      <c r="S288" s="15">
        <v>1</v>
      </c>
      <c r="T288" s="15">
        <v>3</v>
      </c>
      <c r="V288" s="15">
        <v>1</v>
      </c>
      <c r="W288" s="15">
        <v>1</v>
      </c>
      <c r="X288" s="30"/>
      <c r="Y288" s="15" t="s">
        <v>562</v>
      </c>
      <c r="Z288" s="20" t="s">
        <v>2600</v>
      </c>
      <c r="AA288" s="15" t="s">
        <v>563</v>
      </c>
      <c r="AB288" s="15">
        <v>0</v>
      </c>
      <c r="AC288" s="7">
        <v>1</v>
      </c>
      <c r="AD288" s="15">
        <v>0</v>
      </c>
      <c r="AE288" s="15">
        <v>0</v>
      </c>
      <c r="AF288" s="15">
        <v>1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P288" s="15">
        <v>1</v>
      </c>
      <c r="AR288" s="15">
        <v>0</v>
      </c>
      <c r="AS288" s="15">
        <v>0</v>
      </c>
      <c r="BE288" s="7">
        <v>240</v>
      </c>
      <c r="BG288" s="15">
        <v>3</v>
      </c>
      <c r="BL288" s="7">
        <v>0</v>
      </c>
    </row>
    <row r="289" spans="1:64" s="15" customFormat="1">
      <c r="A289" s="15">
        <v>32004</v>
      </c>
      <c r="B289" s="19" t="s">
        <v>583</v>
      </c>
      <c r="C289" s="15" t="s">
        <v>560</v>
      </c>
      <c r="D289" s="15" t="s">
        <v>561</v>
      </c>
      <c r="E289" s="20">
        <v>14</v>
      </c>
      <c r="F289" s="20" t="s">
        <v>958</v>
      </c>
      <c r="G289" s="15">
        <v>0</v>
      </c>
      <c r="H289" s="15">
        <v>0</v>
      </c>
      <c r="I289" s="15">
        <v>99999</v>
      </c>
      <c r="J289" s="15">
        <v>0</v>
      </c>
      <c r="K289" s="15">
        <v>0</v>
      </c>
      <c r="L289" s="15" t="s">
        <v>1562</v>
      </c>
      <c r="M289" s="15">
        <v>1</v>
      </c>
      <c r="N289" s="7">
        <v>1</v>
      </c>
      <c r="O289" s="20"/>
      <c r="P289" s="15">
        <v>0</v>
      </c>
      <c r="Q289" s="15">
        <v>0</v>
      </c>
      <c r="S289" s="15">
        <v>1</v>
      </c>
      <c r="T289" s="15">
        <v>3</v>
      </c>
      <c r="V289" s="15">
        <v>1</v>
      </c>
      <c r="W289" s="15">
        <v>1</v>
      </c>
      <c r="X289" s="30"/>
      <c r="Y289" s="15" t="s">
        <v>562</v>
      </c>
      <c r="Z289" s="20" t="s">
        <v>2601</v>
      </c>
      <c r="AA289" s="15" t="s">
        <v>563</v>
      </c>
      <c r="AB289" s="15">
        <v>0</v>
      </c>
      <c r="AC289" s="7">
        <v>1</v>
      </c>
      <c r="AD289" s="15">
        <v>0</v>
      </c>
      <c r="AE289" s="15">
        <v>0</v>
      </c>
      <c r="AF289" s="15">
        <v>1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P289" s="15">
        <v>1</v>
      </c>
      <c r="AR289" s="15">
        <v>0</v>
      </c>
      <c r="AS289" s="15">
        <v>0</v>
      </c>
      <c r="BE289" s="7">
        <v>240</v>
      </c>
      <c r="BG289" s="15">
        <v>3</v>
      </c>
      <c r="BL289" s="7">
        <v>0</v>
      </c>
    </row>
    <row r="290" spans="1:64" s="15" customFormat="1">
      <c r="A290" s="15">
        <v>32018</v>
      </c>
      <c r="B290" s="19" t="s">
        <v>590</v>
      </c>
      <c r="C290" s="15" t="s">
        <v>560</v>
      </c>
      <c r="D290" s="15" t="s">
        <v>561</v>
      </c>
      <c r="E290" s="20">
        <v>16</v>
      </c>
      <c r="F290" s="20" t="s">
        <v>958</v>
      </c>
      <c r="G290" s="15">
        <v>0</v>
      </c>
      <c r="H290" s="15">
        <v>0</v>
      </c>
      <c r="I290" s="15">
        <v>99999</v>
      </c>
      <c r="J290" s="15">
        <v>0</v>
      </c>
      <c r="K290" s="15">
        <v>0</v>
      </c>
      <c r="L290" s="15" t="s">
        <v>1562</v>
      </c>
      <c r="M290" s="15">
        <v>1</v>
      </c>
      <c r="N290" s="7">
        <v>1</v>
      </c>
      <c r="O290" s="20"/>
      <c r="P290" s="15">
        <v>0</v>
      </c>
      <c r="Q290" s="15">
        <v>0</v>
      </c>
      <c r="S290" s="15">
        <v>1</v>
      </c>
      <c r="T290" s="15">
        <v>3</v>
      </c>
      <c r="V290" s="15">
        <v>1</v>
      </c>
      <c r="W290" s="15">
        <v>1</v>
      </c>
      <c r="X290" s="30"/>
      <c r="Y290" s="15" t="s">
        <v>562</v>
      </c>
      <c r="Z290" s="20" t="s">
        <v>2602</v>
      </c>
      <c r="AA290" s="15" t="s">
        <v>563</v>
      </c>
      <c r="AB290" s="15">
        <v>0</v>
      </c>
      <c r="AC290" s="7">
        <v>1</v>
      </c>
      <c r="AD290" s="15">
        <v>0</v>
      </c>
      <c r="AE290" s="15">
        <v>0</v>
      </c>
      <c r="AF290" s="15">
        <v>1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P290" s="15">
        <v>1</v>
      </c>
      <c r="AR290" s="15">
        <v>0</v>
      </c>
      <c r="AS290" s="15">
        <v>0</v>
      </c>
      <c r="BE290" s="7">
        <v>240</v>
      </c>
      <c r="BG290" s="15">
        <v>3</v>
      </c>
      <c r="BL290" s="7">
        <v>0</v>
      </c>
    </row>
    <row r="291" spans="1:64" s="15" customFormat="1">
      <c r="A291" s="15">
        <v>32015</v>
      </c>
      <c r="B291" s="19" t="s">
        <v>585</v>
      </c>
      <c r="C291" s="15" t="s">
        <v>560</v>
      </c>
      <c r="D291" s="15" t="s">
        <v>561</v>
      </c>
      <c r="E291" s="20">
        <v>18</v>
      </c>
      <c r="F291" s="20" t="s">
        <v>958</v>
      </c>
      <c r="G291" s="15">
        <v>0</v>
      </c>
      <c r="H291" s="15">
        <v>0</v>
      </c>
      <c r="I291" s="15">
        <v>99999</v>
      </c>
      <c r="J291" s="15">
        <v>0</v>
      </c>
      <c r="K291" s="15">
        <v>0</v>
      </c>
      <c r="L291" s="15" t="s">
        <v>1562</v>
      </c>
      <c r="M291" s="15">
        <v>1</v>
      </c>
      <c r="N291" s="7">
        <v>1</v>
      </c>
      <c r="O291" s="20"/>
      <c r="P291" s="15">
        <v>0</v>
      </c>
      <c r="Q291" s="15">
        <v>0</v>
      </c>
      <c r="S291" s="15">
        <v>1</v>
      </c>
      <c r="T291" s="15">
        <v>3</v>
      </c>
      <c r="V291" s="15">
        <v>1</v>
      </c>
      <c r="W291" s="15">
        <v>1</v>
      </c>
      <c r="X291" s="30"/>
      <c r="Y291" s="15" t="s">
        <v>562</v>
      </c>
      <c r="Z291" s="20" t="s">
        <v>2603</v>
      </c>
      <c r="AA291" s="15" t="s">
        <v>563</v>
      </c>
      <c r="AB291" s="15">
        <v>0</v>
      </c>
      <c r="AC291" s="7">
        <v>1</v>
      </c>
      <c r="AD291" s="15">
        <v>0</v>
      </c>
      <c r="AE291" s="15">
        <v>0</v>
      </c>
      <c r="AF291" s="15">
        <v>1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P291" s="15">
        <v>1</v>
      </c>
      <c r="AR291" s="15">
        <v>0</v>
      </c>
      <c r="AS291" s="15">
        <v>0</v>
      </c>
      <c r="BE291" s="7">
        <v>240</v>
      </c>
      <c r="BG291" s="15">
        <v>3</v>
      </c>
      <c r="BL291" s="7">
        <v>0</v>
      </c>
    </row>
    <row r="292" spans="1:64" s="15" customFormat="1">
      <c r="A292" s="15">
        <v>32020</v>
      </c>
      <c r="B292" s="19" t="s">
        <v>586</v>
      </c>
      <c r="C292" s="15" t="s">
        <v>560</v>
      </c>
      <c r="D292" s="15" t="s">
        <v>561</v>
      </c>
      <c r="E292" s="20">
        <v>20</v>
      </c>
      <c r="F292" s="20" t="s">
        <v>958</v>
      </c>
      <c r="G292" s="15">
        <v>0</v>
      </c>
      <c r="H292" s="15">
        <v>0</v>
      </c>
      <c r="I292" s="15">
        <v>99999</v>
      </c>
      <c r="J292" s="15">
        <v>0</v>
      </c>
      <c r="K292" s="15">
        <v>0</v>
      </c>
      <c r="L292" s="15" t="s">
        <v>1562</v>
      </c>
      <c r="M292" s="15">
        <v>1</v>
      </c>
      <c r="N292" s="7">
        <v>1</v>
      </c>
      <c r="O292" s="20"/>
      <c r="P292" s="15">
        <v>0</v>
      </c>
      <c r="Q292" s="15">
        <v>0</v>
      </c>
      <c r="S292" s="15">
        <v>1</v>
      </c>
      <c r="T292" s="15">
        <v>3</v>
      </c>
      <c r="V292" s="15">
        <v>1</v>
      </c>
      <c r="W292" s="15">
        <v>1</v>
      </c>
      <c r="X292" s="30"/>
      <c r="Y292" s="15" t="s">
        <v>562</v>
      </c>
      <c r="Z292" s="20" t="s">
        <v>2604</v>
      </c>
      <c r="AA292" s="15" t="s">
        <v>563</v>
      </c>
      <c r="AB292" s="15">
        <v>0</v>
      </c>
      <c r="AC292" s="7">
        <v>1</v>
      </c>
      <c r="AD292" s="15">
        <v>0</v>
      </c>
      <c r="AE292" s="15">
        <v>0</v>
      </c>
      <c r="AF292" s="15">
        <v>1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P292" s="15">
        <v>1</v>
      </c>
      <c r="AR292" s="15">
        <v>0</v>
      </c>
      <c r="AS292" s="15">
        <v>0</v>
      </c>
      <c r="BE292" s="7">
        <v>240</v>
      </c>
      <c r="BG292" s="15">
        <v>3</v>
      </c>
      <c r="BL292" s="7">
        <v>0</v>
      </c>
    </row>
    <row r="293" spans="1:64" s="15" customFormat="1">
      <c r="A293" s="15">
        <v>32010</v>
      </c>
      <c r="B293" s="19" t="s">
        <v>591</v>
      </c>
      <c r="C293" s="15" t="s">
        <v>560</v>
      </c>
      <c r="D293" s="15" t="s">
        <v>561</v>
      </c>
      <c r="E293" s="20">
        <v>22</v>
      </c>
      <c r="F293" s="20" t="s">
        <v>958</v>
      </c>
      <c r="G293" s="15">
        <v>0</v>
      </c>
      <c r="H293" s="15">
        <v>0</v>
      </c>
      <c r="I293" s="15">
        <v>99999</v>
      </c>
      <c r="J293" s="15">
        <v>0</v>
      </c>
      <c r="K293" s="15">
        <v>0</v>
      </c>
      <c r="L293" s="15" t="s">
        <v>1562</v>
      </c>
      <c r="M293" s="15">
        <v>1</v>
      </c>
      <c r="N293" s="7">
        <v>1</v>
      </c>
      <c r="O293" s="20"/>
      <c r="P293" s="15">
        <v>0</v>
      </c>
      <c r="Q293" s="15">
        <v>0</v>
      </c>
      <c r="S293" s="15">
        <v>1</v>
      </c>
      <c r="T293" s="15">
        <v>3</v>
      </c>
      <c r="V293" s="15">
        <v>1</v>
      </c>
      <c r="W293" s="15">
        <v>1</v>
      </c>
      <c r="X293" s="30"/>
      <c r="Y293" s="15" t="s">
        <v>562</v>
      </c>
      <c r="Z293" s="20" t="s">
        <v>2605</v>
      </c>
      <c r="AA293" s="15" t="s">
        <v>563</v>
      </c>
      <c r="AB293" s="15">
        <v>0</v>
      </c>
      <c r="AC293" s="7">
        <v>1</v>
      </c>
      <c r="AD293" s="15">
        <v>0</v>
      </c>
      <c r="AE293" s="15">
        <v>0</v>
      </c>
      <c r="AF293" s="15">
        <v>1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P293" s="15">
        <v>1</v>
      </c>
      <c r="AR293" s="15">
        <v>0</v>
      </c>
      <c r="AS293" s="15">
        <v>0</v>
      </c>
      <c r="BE293" s="7">
        <v>240</v>
      </c>
      <c r="BG293" s="15">
        <v>3</v>
      </c>
      <c r="BL293" s="7">
        <v>0</v>
      </c>
    </row>
    <row r="294" spans="1:64" s="15" customFormat="1">
      <c r="A294" s="15">
        <v>32017</v>
      </c>
      <c r="B294" s="19" t="s">
        <v>587</v>
      </c>
      <c r="C294" s="15" t="s">
        <v>560</v>
      </c>
      <c r="D294" s="15" t="s">
        <v>561</v>
      </c>
      <c r="E294" s="20">
        <v>24</v>
      </c>
      <c r="F294" s="20" t="s">
        <v>958</v>
      </c>
      <c r="G294" s="15">
        <v>0</v>
      </c>
      <c r="H294" s="15">
        <v>0</v>
      </c>
      <c r="I294" s="15">
        <v>99999</v>
      </c>
      <c r="J294" s="15">
        <v>0</v>
      </c>
      <c r="K294" s="15">
        <v>0</v>
      </c>
      <c r="L294" s="15" t="s">
        <v>1562</v>
      </c>
      <c r="M294" s="15">
        <v>1</v>
      </c>
      <c r="N294" s="7">
        <v>1</v>
      </c>
      <c r="O294" s="20"/>
      <c r="P294" s="15">
        <v>0</v>
      </c>
      <c r="Q294" s="15">
        <v>0</v>
      </c>
      <c r="S294" s="15">
        <v>1</v>
      </c>
      <c r="T294" s="15">
        <v>3</v>
      </c>
      <c r="V294" s="15">
        <v>1</v>
      </c>
      <c r="W294" s="15">
        <v>1</v>
      </c>
      <c r="X294" s="30"/>
      <c r="Y294" s="15" t="s">
        <v>562</v>
      </c>
      <c r="Z294" s="20" t="s">
        <v>2606</v>
      </c>
      <c r="AA294" s="15" t="s">
        <v>563</v>
      </c>
      <c r="AB294" s="15">
        <v>0</v>
      </c>
      <c r="AC294" s="7">
        <v>1</v>
      </c>
      <c r="AD294" s="15">
        <v>0</v>
      </c>
      <c r="AE294" s="15">
        <v>0</v>
      </c>
      <c r="AF294" s="15">
        <v>1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P294" s="15">
        <v>1</v>
      </c>
      <c r="AR294" s="15">
        <v>0</v>
      </c>
      <c r="AS294" s="15">
        <v>0</v>
      </c>
      <c r="BE294" s="7">
        <v>240</v>
      </c>
      <c r="BG294" s="15">
        <v>3</v>
      </c>
      <c r="BL294" s="7">
        <v>0</v>
      </c>
    </row>
    <row r="295" spans="1:64" s="15" customFormat="1">
      <c r="A295" s="15">
        <v>32012</v>
      </c>
      <c r="B295" s="19" t="s">
        <v>584</v>
      </c>
      <c r="C295" s="15" t="s">
        <v>560</v>
      </c>
      <c r="D295" s="15" t="s">
        <v>561</v>
      </c>
      <c r="E295" s="20">
        <v>26</v>
      </c>
      <c r="F295" s="20" t="s">
        <v>958</v>
      </c>
      <c r="G295" s="15">
        <v>0</v>
      </c>
      <c r="H295" s="15">
        <v>0</v>
      </c>
      <c r="I295" s="15">
        <v>99999</v>
      </c>
      <c r="J295" s="15">
        <v>0</v>
      </c>
      <c r="K295" s="15">
        <v>0</v>
      </c>
      <c r="L295" s="15" t="s">
        <v>1562</v>
      </c>
      <c r="M295" s="15">
        <v>1</v>
      </c>
      <c r="N295" s="7">
        <v>1</v>
      </c>
      <c r="O295" s="20"/>
      <c r="P295" s="15">
        <v>0</v>
      </c>
      <c r="Q295" s="15">
        <v>0</v>
      </c>
      <c r="S295" s="15">
        <v>1</v>
      </c>
      <c r="T295" s="15">
        <v>3</v>
      </c>
      <c r="V295" s="15">
        <v>1</v>
      </c>
      <c r="W295" s="15">
        <v>1</v>
      </c>
      <c r="X295" s="30"/>
      <c r="Y295" s="15" t="s">
        <v>562</v>
      </c>
      <c r="Z295" s="20" t="s">
        <v>2607</v>
      </c>
      <c r="AA295" s="15" t="s">
        <v>563</v>
      </c>
      <c r="AB295" s="15">
        <v>0</v>
      </c>
      <c r="AC295" s="7">
        <v>1</v>
      </c>
      <c r="AD295" s="15">
        <v>0</v>
      </c>
      <c r="AE295" s="15">
        <v>0</v>
      </c>
      <c r="AF295" s="15">
        <v>1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P295" s="15">
        <v>1</v>
      </c>
      <c r="AR295" s="15">
        <v>0</v>
      </c>
      <c r="AS295" s="15">
        <v>0</v>
      </c>
      <c r="BE295" s="7">
        <v>240</v>
      </c>
      <c r="BG295" s="15">
        <v>3</v>
      </c>
      <c r="BL295" s="7">
        <v>0</v>
      </c>
    </row>
    <row r="296" spans="1:64" s="15" customFormat="1">
      <c r="A296" s="15">
        <v>32005</v>
      </c>
      <c r="B296" s="19" t="s">
        <v>592</v>
      </c>
      <c r="C296" s="15" t="s">
        <v>560</v>
      </c>
      <c r="D296" s="15" t="s">
        <v>561</v>
      </c>
      <c r="E296" s="20">
        <v>28</v>
      </c>
      <c r="F296" s="20" t="s">
        <v>958</v>
      </c>
      <c r="G296" s="15">
        <v>0</v>
      </c>
      <c r="H296" s="15">
        <v>0</v>
      </c>
      <c r="I296" s="15">
        <v>99999</v>
      </c>
      <c r="J296" s="15">
        <v>0</v>
      </c>
      <c r="K296" s="15">
        <v>0</v>
      </c>
      <c r="L296" s="15" t="s">
        <v>1562</v>
      </c>
      <c r="M296" s="15">
        <v>1</v>
      </c>
      <c r="N296" s="7">
        <v>1</v>
      </c>
      <c r="O296" s="20"/>
      <c r="P296" s="15">
        <v>0</v>
      </c>
      <c r="Q296" s="15">
        <v>0</v>
      </c>
      <c r="S296" s="15">
        <v>1</v>
      </c>
      <c r="T296" s="15">
        <v>3</v>
      </c>
      <c r="V296" s="15">
        <v>1</v>
      </c>
      <c r="W296" s="15">
        <v>1</v>
      </c>
      <c r="X296" s="30"/>
      <c r="Y296" s="15" t="s">
        <v>562</v>
      </c>
      <c r="Z296" s="20" t="s">
        <v>2608</v>
      </c>
      <c r="AA296" s="15" t="s">
        <v>563</v>
      </c>
      <c r="AB296" s="15">
        <v>0</v>
      </c>
      <c r="AC296" s="7">
        <v>1</v>
      </c>
      <c r="AD296" s="15">
        <v>0</v>
      </c>
      <c r="AE296" s="15">
        <v>0</v>
      </c>
      <c r="AF296" s="15">
        <v>1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P296" s="15">
        <v>1</v>
      </c>
      <c r="AR296" s="15">
        <v>0</v>
      </c>
      <c r="AS296" s="15">
        <v>0</v>
      </c>
      <c r="BE296" s="7">
        <v>240</v>
      </c>
      <c r="BG296" s="15">
        <v>3</v>
      </c>
      <c r="BL296" s="7">
        <v>0</v>
      </c>
    </row>
    <row r="297" spans="1:64" s="15" customFormat="1">
      <c r="A297" s="15">
        <v>32013</v>
      </c>
      <c r="B297" s="19" t="s">
        <v>927</v>
      </c>
      <c r="C297" s="15" t="s">
        <v>560</v>
      </c>
      <c r="D297" s="15" t="s">
        <v>561</v>
      </c>
      <c r="E297" s="20">
        <v>30</v>
      </c>
      <c r="F297" s="20" t="s">
        <v>958</v>
      </c>
      <c r="G297" s="15">
        <v>0</v>
      </c>
      <c r="H297" s="15">
        <v>0</v>
      </c>
      <c r="I297" s="15">
        <v>99999</v>
      </c>
      <c r="J297" s="15">
        <v>0</v>
      </c>
      <c r="K297" s="15">
        <v>0</v>
      </c>
      <c r="L297" s="15" t="s">
        <v>1562</v>
      </c>
      <c r="M297" s="15">
        <v>1</v>
      </c>
      <c r="N297" s="7">
        <v>1</v>
      </c>
      <c r="O297" s="20"/>
      <c r="P297" s="15">
        <v>0</v>
      </c>
      <c r="Q297" s="15">
        <v>0</v>
      </c>
      <c r="S297" s="15">
        <v>1</v>
      </c>
      <c r="T297" s="15">
        <v>3</v>
      </c>
      <c r="V297" s="15">
        <v>1</v>
      </c>
      <c r="W297" s="15">
        <v>1</v>
      </c>
      <c r="X297" s="30"/>
      <c r="Y297" s="15" t="s">
        <v>562</v>
      </c>
      <c r="Z297" s="20" t="s">
        <v>2609</v>
      </c>
      <c r="AA297" s="15" t="s">
        <v>563</v>
      </c>
      <c r="AB297" s="15">
        <v>0</v>
      </c>
      <c r="AC297" s="7">
        <v>1</v>
      </c>
      <c r="AD297" s="15">
        <v>0</v>
      </c>
      <c r="AE297" s="15">
        <v>0</v>
      </c>
      <c r="AF297" s="15">
        <v>1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P297" s="15">
        <v>1</v>
      </c>
      <c r="AR297" s="15">
        <v>0</v>
      </c>
      <c r="AS297" s="15">
        <v>0</v>
      </c>
      <c r="BE297" s="7">
        <v>240</v>
      </c>
      <c r="BG297" s="15">
        <v>3</v>
      </c>
      <c r="BL297" s="7">
        <v>0</v>
      </c>
    </row>
    <row r="298" spans="1:64" s="15" customFormat="1">
      <c r="A298" s="15">
        <v>32019</v>
      </c>
      <c r="B298" s="19" t="s">
        <v>589</v>
      </c>
      <c r="C298" s="15" t="s">
        <v>560</v>
      </c>
      <c r="D298" s="15" t="s">
        <v>561</v>
      </c>
      <c r="E298" s="20">
        <v>32</v>
      </c>
      <c r="F298" s="20" t="s">
        <v>958</v>
      </c>
      <c r="G298" s="15">
        <v>0</v>
      </c>
      <c r="H298" s="15">
        <v>0</v>
      </c>
      <c r="I298" s="15">
        <v>99999</v>
      </c>
      <c r="J298" s="15">
        <v>0</v>
      </c>
      <c r="K298" s="15">
        <v>0</v>
      </c>
      <c r="L298" s="15" t="s">
        <v>1562</v>
      </c>
      <c r="M298" s="15">
        <v>1</v>
      </c>
      <c r="N298" s="7">
        <v>1</v>
      </c>
      <c r="O298" s="20"/>
      <c r="P298" s="15">
        <v>0</v>
      </c>
      <c r="Q298" s="15">
        <v>0</v>
      </c>
      <c r="S298" s="15">
        <v>1</v>
      </c>
      <c r="T298" s="15">
        <v>3</v>
      </c>
      <c r="V298" s="15">
        <v>1</v>
      </c>
      <c r="W298" s="15">
        <v>1</v>
      </c>
      <c r="X298" s="30"/>
      <c r="Y298" s="15" t="s">
        <v>562</v>
      </c>
      <c r="Z298" s="20" t="s">
        <v>2610</v>
      </c>
      <c r="AA298" s="15" t="s">
        <v>563</v>
      </c>
      <c r="AB298" s="15">
        <v>0</v>
      </c>
      <c r="AC298" s="7">
        <v>1</v>
      </c>
      <c r="AD298" s="15">
        <v>0</v>
      </c>
      <c r="AE298" s="15">
        <v>0</v>
      </c>
      <c r="AF298" s="15">
        <v>1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P298" s="15">
        <v>1</v>
      </c>
      <c r="AR298" s="15">
        <v>0</v>
      </c>
      <c r="AS298" s="15">
        <v>0</v>
      </c>
      <c r="BE298" s="7">
        <v>240</v>
      </c>
      <c r="BG298" s="15">
        <v>3</v>
      </c>
      <c r="BL298" s="7">
        <v>0</v>
      </c>
    </row>
    <row r="299" spans="1:64" s="15" customFormat="1">
      <c r="A299" s="15">
        <v>32011</v>
      </c>
      <c r="B299" s="19" t="s">
        <v>593</v>
      </c>
      <c r="C299" s="15" t="s">
        <v>560</v>
      </c>
      <c r="D299" s="15" t="s">
        <v>561</v>
      </c>
      <c r="E299" s="20">
        <v>34</v>
      </c>
      <c r="F299" s="20" t="s">
        <v>958</v>
      </c>
      <c r="G299" s="15">
        <v>0</v>
      </c>
      <c r="H299" s="15">
        <v>0</v>
      </c>
      <c r="I299" s="15">
        <v>99999</v>
      </c>
      <c r="J299" s="15">
        <v>0</v>
      </c>
      <c r="K299" s="15">
        <v>0</v>
      </c>
      <c r="L299" s="15" t="s">
        <v>1562</v>
      </c>
      <c r="M299" s="15">
        <v>1</v>
      </c>
      <c r="N299" s="7">
        <v>1</v>
      </c>
      <c r="O299" s="20"/>
      <c r="P299" s="15">
        <v>0</v>
      </c>
      <c r="Q299" s="15">
        <v>0</v>
      </c>
      <c r="S299" s="15">
        <v>1</v>
      </c>
      <c r="T299" s="15">
        <v>3</v>
      </c>
      <c r="V299" s="15">
        <v>1</v>
      </c>
      <c r="W299" s="15">
        <v>1</v>
      </c>
      <c r="X299" s="30"/>
      <c r="Y299" s="15" t="s">
        <v>562</v>
      </c>
      <c r="Z299" s="20" t="s">
        <v>2611</v>
      </c>
      <c r="AA299" s="15" t="s">
        <v>563</v>
      </c>
      <c r="AB299" s="15">
        <v>0</v>
      </c>
      <c r="AC299" s="7">
        <v>1</v>
      </c>
      <c r="AD299" s="15">
        <v>0</v>
      </c>
      <c r="AE299" s="15">
        <v>0</v>
      </c>
      <c r="AF299" s="15">
        <v>1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P299" s="15">
        <v>1</v>
      </c>
      <c r="AR299" s="15">
        <v>0</v>
      </c>
      <c r="AS299" s="15">
        <v>0</v>
      </c>
      <c r="BE299" s="7">
        <v>240</v>
      </c>
      <c r="BG299" s="15">
        <v>3</v>
      </c>
      <c r="BL299" s="7">
        <v>0</v>
      </c>
    </row>
    <row r="300" spans="1:64" s="15" customFormat="1">
      <c r="A300" s="15">
        <v>32006</v>
      </c>
      <c r="B300" s="19" t="s">
        <v>580</v>
      </c>
      <c r="C300" s="15" t="s">
        <v>560</v>
      </c>
      <c r="D300" s="15" t="s">
        <v>561</v>
      </c>
      <c r="E300" s="20">
        <v>36</v>
      </c>
      <c r="F300" s="20" t="s">
        <v>958</v>
      </c>
      <c r="G300" s="15">
        <v>0</v>
      </c>
      <c r="H300" s="15">
        <v>0</v>
      </c>
      <c r="I300" s="15">
        <v>99999</v>
      </c>
      <c r="J300" s="15">
        <v>0</v>
      </c>
      <c r="K300" s="15">
        <v>0</v>
      </c>
      <c r="L300" s="15" t="s">
        <v>1562</v>
      </c>
      <c r="M300" s="15">
        <v>1</v>
      </c>
      <c r="N300" s="7">
        <v>1</v>
      </c>
      <c r="O300" s="20"/>
      <c r="P300" s="15">
        <v>0</v>
      </c>
      <c r="Q300" s="15">
        <v>0</v>
      </c>
      <c r="S300" s="15">
        <v>1</v>
      </c>
      <c r="T300" s="15">
        <v>3</v>
      </c>
      <c r="V300" s="15">
        <v>1</v>
      </c>
      <c r="W300" s="15">
        <v>1</v>
      </c>
      <c r="X300" s="30"/>
      <c r="Y300" s="15" t="s">
        <v>562</v>
      </c>
      <c r="Z300" s="20" t="s">
        <v>2612</v>
      </c>
      <c r="AA300" s="15" t="s">
        <v>563</v>
      </c>
      <c r="AB300" s="15">
        <v>0</v>
      </c>
      <c r="AC300" s="7">
        <v>1</v>
      </c>
      <c r="AD300" s="15">
        <v>0</v>
      </c>
      <c r="AE300" s="15">
        <v>0</v>
      </c>
      <c r="AF300" s="15">
        <v>1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P300" s="15">
        <v>1</v>
      </c>
      <c r="AR300" s="15">
        <v>0</v>
      </c>
      <c r="AS300" s="15">
        <v>0</v>
      </c>
      <c r="BE300" s="7">
        <v>240</v>
      </c>
      <c r="BG300" s="15">
        <v>3</v>
      </c>
      <c r="BL300" s="7">
        <v>0</v>
      </c>
    </row>
    <row r="301" spans="1:64" s="15" customFormat="1">
      <c r="A301" s="15">
        <v>32002</v>
      </c>
      <c r="B301" s="19" t="s">
        <v>588</v>
      </c>
      <c r="C301" s="15" t="s">
        <v>560</v>
      </c>
      <c r="D301" s="15" t="s">
        <v>561</v>
      </c>
      <c r="E301" s="20">
        <v>38</v>
      </c>
      <c r="F301" s="20" t="s">
        <v>958</v>
      </c>
      <c r="G301" s="15">
        <v>0</v>
      </c>
      <c r="H301" s="15">
        <v>0</v>
      </c>
      <c r="I301" s="15">
        <v>99999</v>
      </c>
      <c r="J301" s="15">
        <v>0</v>
      </c>
      <c r="K301" s="15">
        <v>0</v>
      </c>
      <c r="L301" s="15" t="s">
        <v>1562</v>
      </c>
      <c r="M301" s="15">
        <v>1</v>
      </c>
      <c r="N301" s="7">
        <v>1</v>
      </c>
      <c r="O301" s="20"/>
      <c r="P301" s="15">
        <v>0</v>
      </c>
      <c r="Q301" s="15">
        <v>0</v>
      </c>
      <c r="S301" s="15">
        <v>1</v>
      </c>
      <c r="T301" s="15">
        <v>3</v>
      </c>
      <c r="V301" s="15">
        <v>1</v>
      </c>
      <c r="W301" s="15">
        <v>1</v>
      </c>
      <c r="X301" s="30"/>
      <c r="Y301" s="15" t="s">
        <v>562</v>
      </c>
      <c r="Z301" s="20" t="s">
        <v>2613</v>
      </c>
      <c r="AA301" s="15" t="s">
        <v>563</v>
      </c>
      <c r="AB301" s="15">
        <v>0</v>
      </c>
      <c r="AC301" s="7">
        <v>1</v>
      </c>
      <c r="AD301" s="15">
        <v>0</v>
      </c>
      <c r="AE301" s="15">
        <v>0</v>
      </c>
      <c r="AF301" s="15">
        <v>1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P301" s="15">
        <v>1</v>
      </c>
      <c r="AR301" s="15">
        <v>0</v>
      </c>
      <c r="AS301" s="15">
        <v>0</v>
      </c>
      <c r="BE301" s="7">
        <v>240</v>
      </c>
      <c r="BG301" s="15">
        <v>3</v>
      </c>
      <c r="BL301" s="7">
        <v>0</v>
      </c>
    </row>
    <row r="302" spans="1:64" s="7" customFormat="1">
      <c r="A302" s="7">
        <v>40001</v>
      </c>
      <c r="B302" s="7" t="s">
        <v>1028</v>
      </c>
      <c r="C302" s="7" t="s">
        <v>540</v>
      </c>
      <c r="D302" s="7" t="s">
        <v>1016</v>
      </c>
      <c r="E302" s="7">
        <v>1</v>
      </c>
      <c r="F302" s="7" t="s">
        <v>959</v>
      </c>
      <c r="G302" s="7">
        <v>0</v>
      </c>
      <c r="H302" s="7">
        <v>0</v>
      </c>
      <c r="I302" s="7">
        <v>99999</v>
      </c>
      <c r="J302" s="7">
        <v>0</v>
      </c>
      <c r="K302" s="7">
        <v>0</v>
      </c>
      <c r="L302" s="7" t="s">
        <v>1564</v>
      </c>
      <c r="M302" s="7">
        <v>50</v>
      </c>
      <c r="N302" s="7">
        <v>1</v>
      </c>
      <c r="P302" s="7">
        <v>0</v>
      </c>
      <c r="Q302" s="7">
        <v>0</v>
      </c>
      <c r="S302" s="7">
        <v>2500</v>
      </c>
      <c r="T302" s="7">
        <v>0</v>
      </c>
      <c r="V302" s="7">
        <v>1</v>
      </c>
      <c r="W302" s="7">
        <v>1</v>
      </c>
      <c r="X302" s="6"/>
      <c r="Y302" s="7" t="s">
        <v>1061</v>
      </c>
      <c r="Z302" s="7" t="s">
        <v>2614</v>
      </c>
      <c r="AA302" s="7" t="s">
        <v>1065</v>
      </c>
      <c r="AB302" s="7">
        <v>0</v>
      </c>
      <c r="AC302" s="7">
        <v>2</v>
      </c>
      <c r="AD302" s="7">
        <v>0</v>
      </c>
      <c r="AE302" s="7">
        <v>0</v>
      </c>
      <c r="AF302" s="7">
        <v>1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P302" s="15">
        <v>0</v>
      </c>
      <c r="AQ302" s="7">
        <v>1</v>
      </c>
      <c r="AR302" s="7">
        <v>0</v>
      </c>
      <c r="AS302" s="7">
        <v>0</v>
      </c>
      <c r="BE302" s="7">
        <v>240</v>
      </c>
      <c r="BG302" s="7">
        <v>1</v>
      </c>
      <c r="BL302" s="7">
        <v>0</v>
      </c>
    </row>
    <row r="303" spans="1:64" s="7" customFormat="1">
      <c r="A303" s="7">
        <v>40002</v>
      </c>
      <c r="B303" s="7" t="s">
        <v>1029</v>
      </c>
      <c r="C303" s="7" t="s">
        <v>540</v>
      </c>
      <c r="D303" s="7" t="s">
        <v>1016</v>
      </c>
      <c r="E303" s="7">
        <v>1</v>
      </c>
      <c r="F303" s="7" t="s">
        <v>959</v>
      </c>
      <c r="G303" s="7">
        <v>0</v>
      </c>
      <c r="H303" s="7">
        <v>0</v>
      </c>
      <c r="I303" s="7">
        <v>99999</v>
      </c>
      <c r="J303" s="7">
        <v>0</v>
      </c>
      <c r="K303" s="7">
        <v>0</v>
      </c>
      <c r="L303" s="7" t="s">
        <v>1564</v>
      </c>
      <c r="M303" s="7">
        <v>100</v>
      </c>
      <c r="N303" s="7">
        <v>2</v>
      </c>
      <c r="P303" s="7">
        <v>0</v>
      </c>
      <c r="Q303" s="7">
        <v>0</v>
      </c>
      <c r="S303" s="7">
        <v>5500</v>
      </c>
      <c r="T303" s="7">
        <v>0</v>
      </c>
      <c r="V303" s="7">
        <v>1</v>
      </c>
      <c r="W303" s="7">
        <v>1</v>
      </c>
      <c r="X303" s="6"/>
      <c r="Y303" s="7" t="s">
        <v>1061</v>
      </c>
      <c r="Z303" s="7" t="s">
        <v>2615</v>
      </c>
      <c r="AA303" s="7" t="s">
        <v>1065</v>
      </c>
      <c r="AB303" s="7">
        <v>0</v>
      </c>
      <c r="AC303" s="7">
        <v>2</v>
      </c>
      <c r="AD303" s="7">
        <v>0</v>
      </c>
      <c r="AE303" s="7">
        <v>0</v>
      </c>
      <c r="AF303" s="7">
        <v>1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P303" s="15">
        <v>0</v>
      </c>
      <c r="AQ303" s="7">
        <v>1</v>
      </c>
      <c r="AR303" s="7">
        <v>0</v>
      </c>
      <c r="AS303" s="7">
        <v>0</v>
      </c>
      <c r="BE303" s="7">
        <v>240</v>
      </c>
      <c r="BG303" s="7">
        <v>1</v>
      </c>
      <c r="BL303" s="7">
        <v>0</v>
      </c>
    </row>
    <row r="304" spans="1:64" s="7" customFormat="1">
      <c r="A304" s="7">
        <v>40003</v>
      </c>
      <c r="B304" s="7" t="s">
        <v>1030</v>
      </c>
      <c r="C304" s="7" t="s">
        <v>540</v>
      </c>
      <c r="D304" s="7" t="s">
        <v>1016</v>
      </c>
      <c r="E304" s="7">
        <v>1</v>
      </c>
      <c r="F304" s="7" t="s">
        <v>959</v>
      </c>
      <c r="G304" s="7">
        <v>0</v>
      </c>
      <c r="H304" s="7">
        <v>0</v>
      </c>
      <c r="I304" s="7">
        <v>99999</v>
      </c>
      <c r="J304" s="7">
        <v>0</v>
      </c>
      <c r="K304" s="7">
        <v>0</v>
      </c>
      <c r="L304" s="7" t="s">
        <v>1564</v>
      </c>
      <c r="M304" s="7">
        <v>150</v>
      </c>
      <c r="N304" s="7">
        <v>3</v>
      </c>
      <c r="P304" s="7">
        <v>0</v>
      </c>
      <c r="Q304" s="7">
        <v>0</v>
      </c>
      <c r="S304" s="7">
        <v>9000</v>
      </c>
      <c r="T304" s="7">
        <v>0</v>
      </c>
      <c r="V304" s="7">
        <v>1</v>
      </c>
      <c r="W304" s="7">
        <v>1</v>
      </c>
      <c r="X304" s="6"/>
      <c r="Y304" s="7" t="s">
        <v>1061</v>
      </c>
      <c r="Z304" s="7" t="s">
        <v>2616</v>
      </c>
      <c r="AA304" s="7" t="s">
        <v>1065</v>
      </c>
      <c r="AB304" s="7">
        <v>0</v>
      </c>
      <c r="AC304" s="7">
        <v>2</v>
      </c>
      <c r="AD304" s="7">
        <v>0</v>
      </c>
      <c r="AE304" s="7">
        <v>0</v>
      </c>
      <c r="AF304" s="7">
        <v>1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P304" s="15">
        <v>0</v>
      </c>
      <c r="AQ304" s="7">
        <v>1</v>
      </c>
      <c r="AR304" s="7">
        <v>0</v>
      </c>
      <c r="AS304" s="7">
        <v>0</v>
      </c>
      <c r="BE304" s="7">
        <v>240</v>
      </c>
      <c r="BG304" s="7">
        <v>1</v>
      </c>
      <c r="BL304" s="7">
        <v>0</v>
      </c>
    </row>
    <row r="305" spans="1:64" s="15" customFormat="1">
      <c r="A305" s="15">
        <v>40004</v>
      </c>
      <c r="B305" s="15" t="s">
        <v>962</v>
      </c>
      <c r="C305" s="15" t="s">
        <v>540</v>
      </c>
      <c r="D305" s="15" t="s">
        <v>1016</v>
      </c>
      <c r="E305" s="15">
        <v>1</v>
      </c>
      <c r="F305" s="15" t="s">
        <v>959</v>
      </c>
      <c r="G305" s="15">
        <v>0</v>
      </c>
      <c r="H305" s="15">
        <v>0</v>
      </c>
      <c r="I305" s="15">
        <v>99999</v>
      </c>
      <c r="J305" s="15">
        <v>0</v>
      </c>
      <c r="K305" s="15">
        <v>0</v>
      </c>
      <c r="L305" s="15" t="s">
        <v>1564</v>
      </c>
      <c r="M305" s="15">
        <v>600</v>
      </c>
      <c r="N305" s="15">
        <v>1</v>
      </c>
      <c r="P305" s="15">
        <v>0</v>
      </c>
      <c r="Q305" s="15">
        <v>0</v>
      </c>
      <c r="S305" s="15">
        <v>50000</v>
      </c>
      <c r="T305" s="15">
        <v>0</v>
      </c>
      <c r="V305" s="15">
        <v>1</v>
      </c>
      <c r="W305" s="15">
        <v>1</v>
      </c>
      <c r="X305" s="30"/>
      <c r="Y305" s="15" t="s">
        <v>2015</v>
      </c>
      <c r="Z305" s="15" t="s">
        <v>2617</v>
      </c>
      <c r="AA305" s="15" t="s">
        <v>1065</v>
      </c>
      <c r="AB305" s="15">
        <v>0</v>
      </c>
      <c r="AC305" s="15">
        <v>2</v>
      </c>
      <c r="AD305" s="15">
        <v>0</v>
      </c>
      <c r="AE305" s="15">
        <v>0</v>
      </c>
      <c r="AF305" s="15">
        <v>1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P305" s="15">
        <v>0</v>
      </c>
      <c r="AQ305" s="15">
        <v>1</v>
      </c>
      <c r="AR305" s="15">
        <v>0</v>
      </c>
      <c r="AS305" s="15">
        <v>0</v>
      </c>
      <c r="BE305" s="15">
        <v>240</v>
      </c>
      <c r="BG305" s="15">
        <v>1</v>
      </c>
      <c r="BL305" s="7">
        <v>0</v>
      </c>
    </row>
    <row r="306" spans="1:64" s="7" customFormat="1">
      <c r="A306" s="13">
        <v>40011</v>
      </c>
      <c r="B306" s="7" t="s">
        <v>1031</v>
      </c>
      <c r="C306" s="7" t="s">
        <v>540</v>
      </c>
      <c r="D306" s="7" t="s">
        <v>1017</v>
      </c>
      <c r="E306" s="7">
        <v>1</v>
      </c>
      <c r="F306" s="7" t="s">
        <v>959</v>
      </c>
      <c r="G306" s="7">
        <v>0</v>
      </c>
      <c r="H306" s="7">
        <v>0</v>
      </c>
      <c r="I306" s="7">
        <v>99999</v>
      </c>
      <c r="J306" s="7">
        <v>0</v>
      </c>
      <c r="K306" s="7">
        <v>0</v>
      </c>
      <c r="L306" s="7" t="s">
        <v>1564</v>
      </c>
      <c r="M306" s="7">
        <v>50</v>
      </c>
      <c r="N306" s="7">
        <v>1</v>
      </c>
      <c r="P306" s="7">
        <v>0</v>
      </c>
      <c r="Q306" s="7">
        <v>0</v>
      </c>
      <c r="S306" s="7">
        <v>2500</v>
      </c>
      <c r="T306" s="7">
        <v>0</v>
      </c>
      <c r="V306" s="7">
        <v>1</v>
      </c>
      <c r="W306" s="7">
        <v>1</v>
      </c>
      <c r="X306" s="6"/>
      <c r="Y306" s="7" t="s">
        <v>1062</v>
      </c>
      <c r="Z306" s="7" t="s">
        <v>2618</v>
      </c>
      <c r="AA306" s="7" t="s">
        <v>1066</v>
      </c>
      <c r="AB306" s="7">
        <v>0</v>
      </c>
      <c r="AC306" s="7">
        <v>2</v>
      </c>
      <c r="AD306" s="7">
        <v>0</v>
      </c>
      <c r="AE306" s="7">
        <v>0</v>
      </c>
      <c r="AF306" s="7">
        <v>1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P306" s="7">
        <v>0</v>
      </c>
      <c r="AQ306" s="7">
        <v>1</v>
      </c>
      <c r="AR306" s="7">
        <v>0</v>
      </c>
      <c r="AS306" s="7">
        <v>0</v>
      </c>
      <c r="BE306" s="7">
        <v>240</v>
      </c>
      <c r="BG306" s="7">
        <v>1</v>
      </c>
      <c r="BL306" s="7">
        <v>0</v>
      </c>
    </row>
    <row r="307" spans="1:64" s="7" customFormat="1">
      <c r="A307" s="13">
        <v>40012</v>
      </c>
      <c r="B307" s="7" t="s">
        <v>1032</v>
      </c>
      <c r="C307" s="7" t="s">
        <v>540</v>
      </c>
      <c r="D307" s="7" t="s">
        <v>1017</v>
      </c>
      <c r="E307" s="7">
        <v>1</v>
      </c>
      <c r="F307" s="7" t="s">
        <v>959</v>
      </c>
      <c r="G307" s="7">
        <v>0</v>
      </c>
      <c r="H307" s="7">
        <v>0</v>
      </c>
      <c r="I307" s="7">
        <v>99999</v>
      </c>
      <c r="J307" s="7">
        <v>0</v>
      </c>
      <c r="K307" s="7">
        <v>0</v>
      </c>
      <c r="L307" s="7" t="s">
        <v>1564</v>
      </c>
      <c r="M307" s="7">
        <v>100</v>
      </c>
      <c r="N307" s="7">
        <v>2</v>
      </c>
      <c r="P307" s="7">
        <v>0</v>
      </c>
      <c r="Q307" s="7">
        <v>0</v>
      </c>
      <c r="S307" s="7">
        <v>5500</v>
      </c>
      <c r="T307" s="7">
        <v>0</v>
      </c>
      <c r="V307" s="7">
        <v>1</v>
      </c>
      <c r="W307" s="7">
        <v>1</v>
      </c>
      <c r="X307" s="6"/>
      <c r="Y307" s="7" t="s">
        <v>1062</v>
      </c>
      <c r="Z307" s="7" t="s">
        <v>2619</v>
      </c>
      <c r="AA307" s="7" t="s">
        <v>1066</v>
      </c>
      <c r="AB307" s="7">
        <v>0</v>
      </c>
      <c r="AC307" s="7">
        <v>2</v>
      </c>
      <c r="AD307" s="7">
        <v>0</v>
      </c>
      <c r="AE307" s="7">
        <v>0</v>
      </c>
      <c r="AF307" s="7">
        <v>1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P307" s="7">
        <v>0</v>
      </c>
      <c r="AQ307" s="7">
        <v>1</v>
      </c>
      <c r="AR307" s="7">
        <v>0</v>
      </c>
      <c r="AS307" s="7">
        <v>0</v>
      </c>
      <c r="BE307" s="7">
        <v>240</v>
      </c>
      <c r="BG307" s="7">
        <v>1</v>
      </c>
      <c r="BL307" s="7">
        <v>0</v>
      </c>
    </row>
    <row r="308" spans="1:64" s="7" customFormat="1">
      <c r="A308" s="13">
        <v>40013</v>
      </c>
      <c r="B308" s="7" t="s">
        <v>1033</v>
      </c>
      <c r="C308" s="7" t="s">
        <v>540</v>
      </c>
      <c r="D308" s="7" t="s">
        <v>1017</v>
      </c>
      <c r="E308" s="7">
        <v>1</v>
      </c>
      <c r="F308" s="7" t="s">
        <v>959</v>
      </c>
      <c r="G308" s="7">
        <v>0</v>
      </c>
      <c r="H308" s="7">
        <v>0</v>
      </c>
      <c r="I308" s="7">
        <v>99999</v>
      </c>
      <c r="J308" s="7">
        <v>0</v>
      </c>
      <c r="K308" s="7">
        <v>0</v>
      </c>
      <c r="L308" s="7" t="s">
        <v>1564</v>
      </c>
      <c r="M308" s="7">
        <v>150</v>
      </c>
      <c r="N308" s="7">
        <v>3</v>
      </c>
      <c r="P308" s="7">
        <v>0</v>
      </c>
      <c r="Q308" s="7">
        <v>0</v>
      </c>
      <c r="S308" s="7">
        <v>9000</v>
      </c>
      <c r="T308" s="7">
        <v>0</v>
      </c>
      <c r="V308" s="7">
        <v>1</v>
      </c>
      <c r="W308" s="7">
        <v>1</v>
      </c>
      <c r="X308" s="6"/>
      <c r="Y308" s="7" t="s">
        <v>1062</v>
      </c>
      <c r="Z308" s="7" t="s">
        <v>2620</v>
      </c>
      <c r="AA308" s="7" t="s">
        <v>1066</v>
      </c>
      <c r="AB308" s="7">
        <v>0</v>
      </c>
      <c r="AC308" s="7">
        <v>2</v>
      </c>
      <c r="AD308" s="7">
        <v>0</v>
      </c>
      <c r="AE308" s="7">
        <v>0</v>
      </c>
      <c r="AF308" s="7">
        <v>1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P308" s="7">
        <v>0</v>
      </c>
      <c r="AQ308" s="7">
        <v>1</v>
      </c>
      <c r="AR308" s="7">
        <v>0</v>
      </c>
      <c r="AS308" s="7">
        <v>0</v>
      </c>
      <c r="BE308" s="7">
        <v>240</v>
      </c>
      <c r="BG308" s="7">
        <v>1</v>
      </c>
      <c r="BL308" s="7">
        <v>0</v>
      </c>
    </row>
    <row r="309" spans="1:64" s="15" customFormat="1">
      <c r="A309" s="29">
        <v>40014</v>
      </c>
      <c r="B309" s="15" t="s">
        <v>963</v>
      </c>
      <c r="C309" s="15" t="s">
        <v>540</v>
      </c>
      <c r="D309" s="15" t="s">
        <v>1017</v>
      </c>
      <c r="E309" s="15">
        <v>1</v>
      </c>
      <c r="F309" s="15" t="s">
        <v>959</v>
      </c>
      <c r="G309" s="15">
        <v>0</v>
      </c>
      <c r="H309" s="15">
        <v>0</v>
      </c>
      <c r="I309" s="15">
        <v>99999</v>
      </c>
      <c r="J309" s="15">
        <v>0</v>
      </c>
      <c r="K309" s="15">
        <v>0</v>
      </c>
      <c r="L309" s="15" t="s">
        <v>1564</v>
      </c>
      <c r="M309" s="15">
        <v>600</v>
      </c>
      <c r="N309" s="15">
        <v>1</v>
      </c>
      <c r="P309" s="15">
        <v>0</v>
      </c>
      <c r="Q309" s="15">
        <v>0</v>
      </c>
      <c r="S309" s="15">
        <v>50000</v>
      </c>
      <c r="T309" s="15">
        <v>0</v>
      </c>
      <c r="V309" s="15">
        <v>1</v>
      </c>
      <c r="W309" s="15">
        <v>1</v>
      </c>
      <c r="X309" s="30"/>
      <c r="Y309" s="15" t="s">
        <v>2016</v>
      </c>
      <c r="Z309" s="15" t="s">
        <v>2621</v>
      </c>
      <c r="AA309" s="15" t="s">
        <v>1066</v>
      </c>
      <c r="AB309" s="15">
        <v>0</v>
      </c>
      <c r="AC309" s="15">
        <v>2</v>
      </c>
      <c r="AD309" s="15">
        <v>0</v>
      </c>
      <c r="AE309" s="15">
        <v>0</v>
      </c>
      <c r="AF309" s="15">
        <v>1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P309" s="15">
        <v>0</v>
      </c>
      <c r="AQ309" s="15">
        <v>1</v>
      </c>
      <c r="AR309" s="15">
        <v>0</v>
      </c>
      <c r="AS309" s="15">
        <v>0</v>
      </c>
      <c r="BE309" s="15">
        <v>240</v>
      </c>
      <c r="BG309" s="15">
        <v>1</v>
      </c>
      <c r="BL309" s="7">
        <v>0</v>
      </c>
    </row>
    <row r="310" spans="1:64" s="7" customFormat="1">
      <c r="A310" s="13">
        <v>40101</v>
      </c>
      <c r="B310" s="7" t="s">
        <v>964</v>
      </c>
      <c r="C310" s="7" t="s">
        <v>540</v>
      </c>
      <c r="D310" s="7" t="s">
        <v>1018</v>
      </c>
      <c r="E310" s="7">
        <v>1</v>
      </c>
      <c r="F310" s="7" t="s">
        <v>959</v>
      </c>
      <c r="G310" s="7">
        <v>0</v>
      </c>
      <c r="H310" s="7">
        <v>0</v>
      </c>
      <c r="I310" s="7">
        <v>99999</v>
      </c>
      <c r="J310" s="7">
        <v>0</v>
      </c>
      <c r="K310" s="7">
        <v>0</v>
      </c>
      <c r="L310" s="7" t="s">
        <v>1564</v>
      </c>
      <c r="M310" s="7">
        <v>100</v>
      </c>
      <c r="N310" s="7">
        <v>1</v>
      </c>
      <c r="P310" s="7">
        <v>0</v>
      </c>
      <c r="Q310" s="7">
        <v>0</v>
      </c>
      <c r="S310" s="7">
        <v>250</v>
      </c>
      <c r="T310" s="7">
        <v>0</v>
      </c>
      <c r="V310" s="7">
        <v>1</v>
      </c>
      <c r="W310" s="7">
        <v>1</v>
      </c>
      <c r="X310" s="6"/>
      <c r="Y310" s="7" t="s">
        <v>1063</v>
      </c>
      <c r="Z310" s="7" t="s">
        <v>2622</v>
      </c>
      <c r="AA310" s="7" t="s">
        <v>1067</v>
      </c>
      <c r="AB310" s="7">
        <v>0</v>
      </c>
      <c r="AC310" s="7">
        <v>2</v>
      </c>
      <c r="AD310" s="7">
        <v>0</v>
      </c>
      <c r="AE310" s="7">
        <v>0</v>
      </c>
      <c r="AF310" s="7">
        <v>1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P310" s="7">
        <v>0</v>
      </c>
      <c r="AQ310" s="7">
        <v>1</v>
      </c>
      <c r="AR310" s="7">
        <v>0</v>
      </c>
      <c r="AS310" s="7">
        <v>0</v>
      </c>
      <c r="BE310" s="7">
        <v>240</v>
      </c>
      <c r="BG310" s="7">
        <v>2</v>
      </c>
      <c r="BL310" s="7">
        <v>0</v>
      </c>
    </row>
    <row r="311" spans="1:64" s="7" customFormat="1">
      <c r="A311" s="13">
        <v>40102</v>
      </c>
      <c r="B311" s="7" t="s">
        <v>1034</v>
      </c>
      <c r="C311" s="7" t="s">
        <v>540</v>
      </c>
      <c r="D311" s="7" t="s">
        <v>1018</v>
      </c>
      <c r="E311" s="7">
        <v>1</v>
      </c>
      <c r="F311" s="7" t="s">
        <v>959</v>
      </c>
      <c r="G311" s="7">
        <v>0</v>
      </c>
      <c r="H311" s="7">
        <v>0</v>
      </c>
      <c r="I311" s="7">
        <v>99999</v>
      </c>
      <c r="J311" s="7">
        <v>0</v>
      </c>
      <c r="K311" s="7">
        <v>0</v>
      </c>
      <c r="L311" s="7" t="s">
        <v>1564</v>
      </c>
      <c r="M311" s="7">
        <v>200</v>
      </c>
      <c r="N311" s="7">
        <v>3</v>
      </c>
      <c r="P311" s="7">
        <v>0</v>
      </c>
      <c r="Q311" s="7">
        <v>0</v>
      </c>
      <c r="S311" s="7">
        <v>550</v>
      </c>
      <c r="T311" s="7">
        <v>0</v>
      </c>
      <c r="V311" s="7">
        <v>1</v>
      </c>
      <c r="W311" s="7">
        <v>1</v>
      </c>
      <c r="X311" s="6"/>
      <c r="Y311" s="7" t="s">
        <v>1063</v>
      </c>
      <c r="Z311" s="7" t="s">
        <v>2623</v>
      </c>
      <c r="AA311" s="7" t="s">
        <v>1067</v>
      </c>
      <c r="AB311" s="7">
        <v>0</v>
      </c>
      <c r="AC311" s="7">
        <v>2</v>
      </c>
      <c r="AD311" s="7">
        <v>0</v>
      </c>
      <c r="AE311" s="7">
        <v>0</v>
      </c>
      <c r="AF311" s="7">
        <v>1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P311" s="7">
        <v>0</v>
      </c>
      <c r="AQ311" s="7">
        <v>1</v>
      </c>
      <c r="AR311" s="7">
        <v>0</v>
      </c>
      <c r="AS311" s="7">
        <v>0</v>
      </c>
      <c r="BE311" s="7">
        <v>240</v>
      </c>
      <c r="BG311" s="7">
        <v>2</v>
      </c>
      <c r="BL311" s="7">
        <v>0</v>
      </c>
    </row>
    <row r="312" spans="1:64" s="7" customFormat="1">
      <c r="A312" s="13">
        <v>40103</v>
      </c>
      <c r="B312" s="7" t="s">
        <v>965</v>
      </c>
      <c r="C312" s="7" t="s">
        <v>540</v>
      </c>
      <c r="D312" s="7" t="s">
        <v>1018</v>
      </c>
      <c r="E312" s="7">
        <v>1</v>
      </c>
      <c r="F312" s="7" t="s">
        <v>959</v>
      </c>
      <c r="G312" s="7">
        <v>0</v>
      </c>
      <c r="H312" s="7">
        <v>0</v>
      </c>
      <c r="I312" s="7">
        <v>99999</v>
      </c>
      <c r="J312" s="7">
        <v>0</v>
      </c>
      <c r="K312" s="7">
        <v>0</v>
      </c>
      <c r="L312" s="7" t="s">
        <v>1564</v>
      </c>
      <c r="M312" s="7">
        <v>600</v>
      </c>
      <c r="N312" s="7">
        <v>5</v>
      </c>
      <c r="P312" s="7">
        <v>0</v>
      </c>
      <c r="Q312" s="7">
        <v>0</v>
      </c>
      <c r="S312" s="7">
        <v>2500</v>
      </c>
      <c r="T312" s="7">
        <v>0</v>
      </c>
      <c r="V312" s="7">
        <v>1</v>
      </c>
      <c r="W312" s="7">
        <v>1</v>
      </c>
      <c r="X312" s="6"/>
      <c r="Y312" s="7" t="s">
        <v>1063</v>
      </c>
      <c r="Z312" s="7" t="s">
        <v>2624</v>
      </c>
      <c r="AA312" s="7" t="s">
        <v>1067</v>
      </c>
      <c r="AB312" s="7">
        <v>0</v>
      </c>
      <c r="AC312" s="7">
        <v>2</v>
      </c>
      <c r="AD312" s="7">
        <v>0</v>
      </c>
      <c r="AE312" s="7">
        <v>0</v>
      </c>
      <c r="AF312" s="7">
        <v>1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P312" s="7">
        <v>0</v>
      </c>
      <c r="AQ312" s="7">
        <v>1</v>
      </c>
      <c r="AR312" s="7">
        <v>0</v>
      </c>
      <c r="AS312" s="7">
        <v>0</v>
      </c>
      <c r="BE312" s="7">
        <v>240</v>
      </c>
      <c r="BG312" s="7">
        <v>2</v>
      </c>
      <c r="BL312" s="7">
        <v>0</v>
      </c>
    </row>
    <row r="313" spans="1:64">
      <c r="A313">
        <v>80001</v>
      </c>
      <c r="B313" t="s">
        <v>1022</v>
      </c>
      <c r="C313" t="s">
        <v>540</v>
      </c>
      <c r="D313" t="s">
        <v>550</v>
      </c>
      <c r="E313">
        <v>1</v>
      </c>
      <c r="F313" t="s">
        <v>959</v>
      </c>
      <c r="G313">
        <v>0</v>
      </c>
      <c r="H313">
        <v>0</v>
      </c>
      <c r="I313">
        <v>99999</v>
      </c>
      <c r="J313">
        <v>0</v>
      </c>
      <c r="K313">
        <v>0</v>
      </c>
      <c r="L313" t="s">
        <v>1562</v>
      </c>
      <c r="M313">
        <v>1</v>
      </c>
      <c r="N313" s="7">
        <v>1</v>
      </c>
      <c r="Q313">
        <v>0</v>
      </c>
      <c r="R313">
        <v>0</v>
      </c>
      <c r="S313">
        <v>400</v>
      </c>
      <c r="T313">
        <v>0</v>
      </c>
      <c r="V313">
        <v>1</v>
      </c>
      <c r="W313">
        <v>1</v>
      </c>
      <c r="X313" s="6" t="s">
        <v>678</v>
      </c>
      <c r="Y313" s="7" t="s">
        <v>1109</v>
      </c>
      <c r="Z313" t="s">
        <v>2625</v>
      </c>
      <c r="AA313" s="7" t="s">
        <v>2937</v>
      </c>
      <c r="AB313">
        <v>0</v>
      </c>
      <c r="AC313">
        <v>11</v>
      </c>
      <c r="AD313">
        <v>0</v>
      </c>
      <c r="AE313">
        <v>0</v>
      </c>
      <c r="AF313">
        <v>1</v>
      </c>
      <c r="AI313">
        <v>0</v>
      </c>
      <c r="AJ313">
        <v>0</v>
      </c>
      <c r="AK313" s="7">
        <v>0</v>
      </c>
      <c r="AL313" s="7">
        <v>0</v>
      </c>
      <c r="AM313" s="7">
        <v>0</v>
      </c>
      <c r="AN313" s="7">
        <v>0</v>
      </c>
      <c r="AP313">
        <v>0</v>
      </c>
      <c r="AQ313" s="7">
        <v>1</v>
      </c>
      <c r="AR313" s="7">
        <v>0</v>
      </c>
      <c r="AS313" s="7">
        <v>0</v>
      </c>
      <c r="BD313" s="7"/>
      <c r="BE313" s="7">
        <v>240</v>
      </c>
      <c r="BG313" s="7">
        <v>2</v>
      </c>
      <c r="BI313" s="7">
        <v>80101</v>
      </c>
      <c r="BL313" s="7">
        <v>0</v>
      </c>
    </row>
    <row r="314" spans="1:64">
      <c r="A314">
        <v>80002</v>
      </c>
      <c r="B314" t="s">
        <v>952</v>
      </c>
      <c r="C314" t="s">
        <v>534</v>
      </c>
      <c r="D314" t="s">
        <v>535</v>
      </c>
      <c r="E314">
        <v>1</v>
      </c>
      <c r="F314" t="s">
        <v>959</v>
      </c>
      <c r="G314">
        <v>0</v>
      </c>
      <c r="H314">
        <v>0</v>
      </c>
      <c r="I314">
        <v>99999</v>
      </c>
      <c r="J314">
        <v>0</v>
      </c>
      <c r="K314">
        <v>0</v>
      </c>
      <c r="L314" t="s">
        <v>1562</v>
      </c>
      <c r="M314">
        <v>1</v>
      </c>
      <c r="N314" s="7">
        <v>1</v>
      </c>
      <c r="P314">
        <v>0</v>
      </c>
      <c r="Q314">
        <v>0</v>
      </c>
      <c r="S314">
        <v>10000</v>
      </c>
      <c r="T314">
        <v>0</v>
      </c>
      <c r="V314">
        <v>1</v>
      </c>
      <c r="W314">
        <v>1</v>
      </c>
      <c r="Y314" t="s">
        <v>1951</v>
      </c>
      <c r="Z314" t="s">
        <v>2913</v>
      </c>
      <c r="AA314" t="s">
        <v>2300</v>
      </c>
      <c r="AB314">
        <v>0</v>
      </c>
      <c r="AC314" s="7">
        <v>4</v>
      </c>
      <c r="AD314">
        <v>0</v>
      </c>
      <c r="AE314">
        <v>0</v>
      </c>
      <c r="AF314">
        <v>1</v>
      </c>
      <c r="AI314" s="7">
        <v>24</v>
      </c>
      <c r="AJ314" s="7">
        <v>5</v>
      </c>
      <c r="AK314" s="7">
        <v>0</v>
      </c>
      <c r="AL314" s="7">
        <v>0</v>
      </c>
      <c r="AM314" s="7">
        <v>0</v>
      </c>
      <c r="AN314" s="7">
        <v>0</v>
      </c>
      <c r="AP314">
        <v>1</v>
      </c>
      <c r="AQ314" s="7">
        <v>1</v>
      </c>
      <c r="AR314" s="7">
        <v>1</v>
      </c>
      <c r="AS314" s="7">
        <v>0</v>
      </c>
      <c r="AV314" s="7">
        <v>1</v>
      </c>
      <c r="AW314" s="7">
        <v>1</v>
      </c>
      <c r="AY314" s="7">
        <v>30000</v>
      </c>
      <c r="AZ314" s="7">
        <v>40000</v>
      </c>
      <c r="BA314" s="7">
        <v>50000</v>
      </c>
      <c r="BB314" s="7">
        <v>4</v>
      </c>
      <c r="BC314" s="7"/>
      <c r="BD314" s="7"/>
      <c r="BE314" s="7">
        <v>240</v>
      </c>
      <c r="BG314" s="7">
        <v>2</v>
      </c>
      <c r="BL314" s="7">
        <v>0</v>
      </c>
    </row>
    <row r="315" spans="1:64">
      <c r="A315">
        <v>80003</v>
      </c>
      <c r="B315" t="s">
        <v>681</v>
      </c>
      <c r="C315" t="s">
        <v>540</v>
      </c>
      <c r="D315" t="s">
        <v>550</v>
      </c>
      <c r="E315">
        <v>1</v>
      </c>
      <c r="F315" t="s">
        <v>959</v>
      </c>
      <c r="G315">
        <v>0</v>
      </c>
      <c r="H315">
        <v>0</v>
      </c>
      <c r="I315">
        <v>99999</v>
      </c>
      <c r="J315">
        <v>0</v>
      </c>
      <c r="K315">
        <v>0</v>
      </c>
      <c r="L315" t="s">
        <v>1562</v>
      </c>
      <c r="M315">
        <v>45</v>
      </c>
      <c r="N315" s="7">
        <v>0</v>
      </c>
      <c r="P315">
        <v>1</v>
      </c>
      <c r="Q315">
        <v>0</v>
      </c>
      <c r="S315">
        <v>5000</v>
      </c>
      <c r="T315">
        <v>0</v>
      </c>
      <c r="V315">
        <v>1</v>
      </c>
      <c r="W315">
        <v>1</v>
      </c>
      <c r="X315" s="6" t="s">
        <v>682</v>
      </c>
      <c r="Y315" t="s">
        <v>552</v>
      </c>
      <c r="Z315" t="s">
        <v>2626</v>
      </c>
      <c r="AA315" t="s">
        <v>932</v>
      </c>
      <c r="AB315">
        <v>0</v>
      </c>
      <c r="AC315">
        <v>15</v>
      </c>
      <c r="AD315">
        <v>0</v>
      </c>
      <c r="AE315">
        <v>0</v>
      </c>
      <c r="AF315">
        <v>1</v>
      </c>
      <c r="AI315" s="7">
        <v>24</v>
      </c>
      <c r="AJ315" s="7">
        <v>800</v>
      </c>
      <c r="AK315" s="7">
        <v>1</v>
      </c>
      <c r="AL315" s="7">
        <v>10</v>
      </c>
      <c r="AM315" s="7">
        <v>0</v>
      </c>
      <c r="AN315" s="7">
        <v>0</v>
      </c>
      <c r="AP315">
        <v>1</v>
      </c>
      <c r="AQ315" s="7">
        <v>1</v>
      </c>
      <c r="AR315" s="7">
        <v>1</v>
      </c>
      <c r="AS315" s="7">
        <v>0</v>
      </c>
      <c r="AV315" s="7">
        <v>1</v>
      </c>
      <c r="AW315" s="7"/>
      <c r="AY315" s="7"/>
      <c r="BB315" s="7"/>
      <c r="BC315" s="7"/>
      <c r="BD315" s="7"/>
      <c r="BE315" s="7">
        <v>240</v>
      </c>
      <c r="BG315" s="7">
        <v>2</v>
      </c>
      <c r="BL315" s="7">
        <v>0</v>
      </c>
    </row>
    <row r="316" spans="1:64" s="15" customFormat="1">
      <c r="A316" s="15">
        <v>80004</v>
      </c>
      <c r="B316" s="15" t="s">
        <v>683</v>
      </c>
      <c r="C316" s="15" t="s">
        <v>540</v>
      </c>
      <c r="D316" s="15" t="s">
        <v>550</v>
      </c>
      <c r="E316" s="15">
        <v>1</v>
      </c>
      <c r="F316" s="15" t="s">
        <v>959</v>
      </c>
      <c r="G316" s="15">
        <v>0</v>
      </c>
      <c r="H316" s="15">
        <v>0</v>
      </c>
      <c r="I316" s="15">
        <v>99999</v>
      </c>
      <c r="J316" s="15">
        <v>0</v>
      </c>
      <c r="K316" s="15">
        <v>0</v>
      </c>
      <c r="L316" s="15" t="s">
        <v>1562</v>
      </c>
      <c r="M316" s="15">
        <v>1</v>
      </c>
      <c r="N316" s="16">
        <v>1</v>
      </c>
      <c r="O316" s="15">
        <v>4500</v>
      </c>
      <c r="P316" s="15">
        <v>1</v>
      </c>
      <c r="Q316" s="15">
        <v>0</v>
      </c>
      <c r="R316" s="15">
        <v>0</v>
      </c>
      <c r="S316" s="15">
        <v>1</v>
      </c>
      <c r="T316" s="15">
        <v>0</v>
      </c>
      <c r="V316" s="15">
        <v>1</v>
      </c>
      <c r="W316" s="15">
        <v>0</v>
      </c>
      <c r="X316" s="30"/>
      <c r="Y316" s="15" t="s">
        <v>684</v>
      </c>
      <c r="Z316" s="15" t="s">
        <v>2627</v>
      </c>
      <c r="AA316" s="15" t="s">
        <v>679</v>
      </c>
      <c r="AB316" s="15">
        <v>0</v>
      </c>
      <c r="AC316" s="15">
        <v>4</v>
      </c>
      <c r="AD316" s="15">
        <v>0</v>
      </c>
      <c r="AE316" s="15">
        <v>0</v>
      </c>
      <c r="AF316" s="15">
        <v>1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P316" s="15">
        <v>1</v>
      </c>
      <c r="AQ316" s="16">
        <v>1</v>
      </c>
      <c r="AR316" s="16">
        <v>0</v>
      </c>
      <c r="AS316" s="16">
        <v>0</v>
      </c>
      <c r="AV316" s="16"/>
      <c r="BD316" s="16"/>
      <c r="BE316" s="16">
        <v>240</v>
      </c>
      <c r="BG316" s="15">
        <v>2</v>
      </c>
      <c r="BL316" s="7">
        <v>0</v>
      </c>
    </row>
    <row r="317" spans="1:64">
      <c r="A317">
        <v>80005</v>
      </c>
      <c r="B317" t="s">
        <v>1021</v>
      </c>
      <c r="C317" t="s">
        <v>540</v>
      </c>
      <c r="D317" t="s">
        <v>550</v>
      </c>
      <c r="E317">
        <v>1</v>
      </c>
      <c r="F317" t="s">
        <v>959</v>
      </c>
      <c r="G317">
        <v>0</v>
      </c>
      <c r="H317">
        <v>0</v>
      </c>
      <c r="I317">
        <v>99999</v>
      </c>
      <c r="J317">
        <v>0</v>
      </c>
      <c r="K317">
        <v>0</v>
      </c>
      <c r="L317" t="s">
        <v>1562</v>
      </c>
      <c r="M317">
        <v>1</v>
      </c>
      <c r="N317" s="7">
        <v>1</v>
      </c>
      <c r="Q317">
        <v>0</v>
      </c>
      <c r="R317">
        <v>0</v>
      </c>
      <c r="S317">
        <v>50</v>
      </c>
      <c r="T317">
        <v>0</v>
      </c>
      <c r="V317">
        <v>1</v>
      </c>
      <c r="W317">
        <v>0</v>
      </c>
      <c r="X317" s="6" t="s">
        <v>685</v>
      </c>
      <c r="Y317" t="s">
        <v>1106</v>
      </c>
      <c r="Z317" t="s">
        <v>2628</v>
      </c>
      <c r="AA317" t="s">
        <v>2936</v>
      </c>
      <c r="AB317">
        <v>0</v>
      </c>
      <c r="AC317">
        <v>11</v>
      </c>
      <c r="AD317">
        <v>0</v>
      </c>
      <c r="AE317">
        <v>0</v>
      </c>
      <c r="AF317">
        <v>1</v>
      </c>
      <c r="AI317">
        <v>0</v>
      </c>
      <c r="AJ317">
        <v>0</v>
      </c>
      <c r="AK317" s="7">
        <v>0</v>
      </c>
      <c r="AL317" s="7">
        <v>0</v>
      </c>
      <c r="AM317" s="7">
        <v>0</v>
      </c>
      <c r="AN317" s="7">
        <v>0</v>
      </c>
      <c r="AP317">
        <v>0</v>
      </c>
      <c r="AR317" s="7">
        <v>0</v>
      </c>
      <c r="AS317" s="7">
        <v>0</v>
      </c>
      <c r="BD317" s="7"/>
      <c r="BE317" s="7">
        <v>240</v>
      </c>
      <c r="BG317" s="7">
        <v>2</v>
      </c>
      <c r="BI317" s="7">
        <v>80105</v>
      </c>
      <c r="BL317" s="7">
        <v>0</v>
      </c>
    </row>
    <row r="318" spans="1:64">
      <c r="A318">
        <v>80006</v>
      </c>
      <c r="B318" t="s">
        <v>1276</v>
      </c>
      <c r="C318" t="s">
        <v>540</v>
      </c>
      <c r="D318" t="s">
        <v>550</v>
      </c>
      <c r="E318">
        <v>1</v>
      </c>
      <c r="F318" t="s">
        <v>959</v>
      </c>
      <c r="G318">
        <v>0</v>
      </c>
      <c r="H318">
        <v>0</v>
      </c>
      <c r="I318">
        <v>99999</v>
      </c>
      <c r="J318">
        <v>0</v>
      </c>
      <c r="K318">
        <v>3</v>
      </c>
      <c r="L318" t="s">
        <v>1562</v>
      </c>
      <c r="M318" s="7">
        <v>1</v>
      </c>
      <c r="N318" s="7">
        <v>1</v>
      </c>
      <c r="Q318">
        <v>0</v>
      </c>
      <c r="R318">
        <v>0</v>
      </c>
      <c r="S318">
        <v>1</v>
      </c>
      <c r="T318">
        <v>0</v>
      </c>
      <c r="V318">
        <v>0</v>
      </c>
      <c r="W318">
        <v>0</v>
      </c>
      <c r="X318" s="6" t="s">
        <v>678</v>
      </c>
      <c r="Y318" t="s">
        <v>1104</v>
      </c>
      <c r="Z318" t="s">
        <v>2625</v>
      </c>
      <c r="AA318" t="s">
        <v>2937</v>
      </c>
      <c r="AB318">
        <v>0</v>
      </c>
      <c r="AC318">
        <v>11</v>
      </c>
      <c r="AD318">
        <v>0</v>
      </c>
      <c r="AE318">
        <v>0</v>
      </c>
      <c r="AF318">
        <v>0</v>
      </c>
      <c r="AI318">
        <v>0</v>
      </c>
      <c r="AJ318">
        <v>0</v>
      </c>
      <c r="AK318" s="7">
        <v>0</v>
      </c>
      <c r="AL318" s="7">
        <v>0</v>
      </c>
      <c r="AM318" s="7">
        <v>0</v>
      </c>
      <c r="AN318" s="7">
        <v>0</v>
      </c>
      <c r="AP318">
        <v>0</v>
      </c>
      <c r="AR318" s="7">
        <v>0</v>
      </c>
      <c r="AS318" s="7">
        <v>0</v>
      </c>
      <c r="AW318" s="7"/>
      <c r="AY318" s="7"/>
      <c r="BB318" s="7"/>
      <c r="BC318" s="7"/>
      <c r="BD318" s="7"/>
      <c r="BE318" s="7">
        <v>240</v>
      </c>
      <c r="BG318" s="7">
        <v>2</v>
      </c>
      <c r="BI318">
        <v>80101</v>
      </c>
      <c r="BL318" s="7">
        <v>0</v>
      </c>
    </row>
    <row r="319" spans="1:64" s="7" customFormat="1">
      <c r="A319" s="7">
        <v>80007</v>
      </c>
      <c r="B319" s="7" t="s">
        <v>1275</v>
      </c>
      <c r="C319" s="7" t="s">
        <v>540</v>
      </c>
      <c r="D319" s="7" t="s">
        <v>550</v>
      </c>
      <c r="E319" s="7">
        <v>1</v>
      </c>
      <c r="F319" s="7" t="s">
        <v>959</v>
      </c>
      <c r="G319" s="7">
        <v>0</v>
      </c>
      <c r="H319" s="7">
        <v>0</v>
      </c>
      <c r="I319" s="7">
        <v>99999</v>
      </c>
      <c r="J319" s="7">
        <v>0</v>
      </c>
      <c r="K319" s="7">
        <v>0</v>
      </c>
      <c r="L319" s="7" t="s">
        <v>1562</v>
      </c>
      <c r="M319" s="7">
        <v>1</v>
      </c>
      <c r="N319" s="7">
        <v>1</v>
      </c>
      <c r="Q319" s="7">
        <v>0</v>
      </c>
      <c r="R319" s="7">
        <v>0</v>
      </c>
      <c r="S319" s="7">
        <v>400</v>
      </c>
      <c r="T319" s="7">
        <v>0</v>
      </c>
      <c r="V319" s="7">
        <v>1</v>
      </c>
      <c r="W319" s="7">
        <v>1</v>
      </c>
      <c r="X319" s="6" t="s">
        <v>1108</v>
      </c>
      <c r="Y319" s="7" t="s">
        <v>1956</v>
      </c>
      <c r="Z319" s="7" t="s">
        <v>2629</v>
      </c>
      <c r="AA319" s="7" t="s">
        <v>2938</v>
      </c>
      <c r="AB319" s="7">
        <v>0</v>
      </c>
      <c r="AC319" s="7">
        <v>11</v>
      </c>
      <c r="AD319" s="7">
        <v>0</v>
      </c>
      <c r="AE319" s="7">
        <v>0</v>
      </c>
      <c r="AF319" s="7">
        <v>1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P319" s="7">
        <v>0</v>
      </c>
      <c r="AR319" s="7">
        <v>0</v>
      </c>
      <c r="AS319" s="7">
        <v>0</v>
      </c>
      <c r="BE319" s="7">
        <v>240</v>
      </c>
      <c r="BG319" s="7">
        <v>2</v>
      </c>
      <c r="BI319" s="7">
        <v>80107</v>
      </c>
      <c r="BL319" s="7">
        <v>0</v>
      </c>
    </row>
    <row r="320" spans="1:64" s="7" customFormat="1">
      <c r="A320" s="7">
        <v>80008</v>
      </c>
      <c r="B320" s="7" t="s">
        <v>1628</v>
      </c>
      <c r="C320" s="7" t="s">
        <v>540</v>
      </c>
      <c r="D320" s="7" t="s">
        <v>550</v>
      </c>
      <c r="E320" s="7">
        <v>1</v>
      </c>
      <c r="F320" s="7" t="s">
        <v>959</v>
      </c>
      <c r="G320" s="7">
        <v>0</v>
      </c>
      <c r="H320" s="7">
        <v>0</v>
      </c>
      <c r="I320" s="7">
        <v>99999</v>
      </c>
      <c r="J320" s="7">
        <v>0</v>
      </c>
      <c r="K320" s="7">
        <v>0</v>
      </c>
      <c r="L320" s="7" t="s">
        <v>1562</v>
      </c>
      <c r="M320" s="7">
        <v>1</v>
      </c>
      <c r="N320" s="7">
        <v>1</v>
      </c>
      <c r="Q320" s="7">
        <v>0</v>
      </c>
      <c r="R320" s="7">
        <v>0</v>
      </c>
      <c r="S320" s="7">
        <v>400</v>
      </c>
      <c r="T320" s="7">
        <v>0</v>
      </c>
      <c r="V320" s="7">
        <v>1</v>
      </c>
      <c r="W320" s="7">
        <v>1</v>
      </c>
      <c r="X320" s="6" t="s">
        <v>1634</v>
      </c>
      <c r="Y320" s="7" t="s">
        <v>1959</v>
      </c>
      <c r="Z320" s="7" t="s">
        <v>2630</v>
      </c>
      <c r="AA320" s="7" t="s">
        <v>2939</v>
      </c>
      <c r="AB320" s="7">
        <v>0</v>
      </c>
      <c r="AC320" s="7">
        <v>11</v>
      </c>
      <c r="AD320" s="7">
        <v>0</v>
      </c>
      <c r="AE320" s="7">
        <v>0</v>
      </c>
      <c r="AF320" s="7">
        <v>1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P320" s="7">
        <v>0</v>
      </c>
      <c r="AR320" s="7">
        <v>0</v>
      </c>
      <c r="AS320" s="7">
        <v>0</v>
      </c>
      <c r="BE320" s="7">
        <v>240</v>
      </c>
      <c r="BG320" s="7">
        <v>2</v>
      </c>
      <c r="BI320" s="7">
        <v>80108</v>
      </c>
      <c r="BL320" s="7">
        <v>0</v>
      </c>
    </row>
    <row r="321" spans="1:64" s="7" customFormat="1">
      <c r="A321" s="7">
        <v>80101</v>
      </c>
      <c r="B321" s="7" t="s">
        <v>1023</v>
      </c>
      <c r="C321" s="7" t="s">
        <v>540</v>
      </c>
      <c r="D321" s="7" t="s">
        <v>550</v>
      </c>
      <c r="E321" s="7">
        <v>1</v>
      </c>
      <c r="F321" s="7" t="s">
        <v>959</v>
      </c>
      <c r="G321" s="7">
        <v>0</v>
      </c>
      <c r="H321" s="7">
        <v>0</v>
      </c>
      <c r="I321" s="7">
        <v>99999</v>
      </c>
      <c r="J321" s="7">
        <v>0</v>
      </c>
      <c r="K321" s="7">
        <v>0</v>
      </c>
      <c r="L321" s="7" t="s">
        <v>1562</v>
      </c>
      <c r="M321" s="7">
        <v>1</v>
      </c>
      <c r="N321" s="7">
        <v>7</v>
      </c>
      <c r="Q321" s="7">
        <v>0</v>
      </c>
      <c r="R321" s="7">
        <v>0</v>
      </c>
      <c r="S321" s="7">
        <v>3700</v>
      </c>
      <c r="T321" s="7">
        <v>0</v>
      </c>
      <c r="V321" s="7">
        <v>1</v>
      </c>
      <c r="W321" s="7">
        <v>1</v>
      </c>
      <c r="X321" s="6" t="s">
        <v>1254</v>
      </c>
      <c r="Y321" s="7" t="s">
        <v>1105</v>
      </c>
      <c r="Z321" s="7" t="s">
        <v>2631</v>
      </c>
      <c r="AA321" s="7" t="s">
        <v>2943</v>
      </c>
      <c r="AB321" s="7">
        <v>0</v>
      </c>
      <c r="AC321" s="7">
        <v>11</v>
      </c>
      <c r="AD321" s="7">
        <v>0</v>
      </c>
      <c r="AE321" s="7">
        <v>0</v>
      </c>
      <c r="AF321" s="7">
        <v>1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P321" s="7">
        <v>0</v>
      </c>
      <c r="AR321" s="7">
        <v>0</v>
      </c>
      <c r="AS321" s="7">
        <v>0</v>
      </c>
      <c r="BE321" s="7">
        <v>240</v>
      </c>
      <c r="BG321" s="7">
        <v>2</v>
      </c>
      <c r="BL321" s="7">
        <v>0</v>
      </c>
    </row>
    <row r="322" spans="1:64" s="7" customFormat="1">
      <c r="A322" s="7">
        <v>80105</v>
      </c>
      <c r="B322" s="7" t="s">
        <v>1024</v>
      </c>
      <c r="C322" s="7" t="s">
        <v>540</v>
      </c>
      <c r="D322" s="7" t="s">
        <v>550</v>
      </c>
      <c r="E322" s="7">
        <v>1</v>
      </c>
      <c r="F322" s="7" t="s">
        <v>959</v>
      </c>
      <c r="G322" s="7">
        <v>0</v>
      </c>
      <c r="H322" s="7">
        <v>0</v>
      </c>
      <c r="I322" s="7">
        <v>99999</v>
      </c>
      <c r="J322" s="7">
        <v>0</v>
      </c>
      <c r="K322" s="7">
        <v>0</v>
      </c>
      <c r="L322" s="7" t="s">
        <v>1562</v>
      </c>
      <c r="M322" s="7">
        <v>1</v>
      </c>
      <c r="N322" s="7">
        <v>7</v>
      </c>
      <c r="Q322" s="7">
        <v>0</v>
      </c>
      <c r="R322" s="7">
        <v>0</v>
      </c>
      <c r="S322" s="7">
        <v>400</v>
      </c>
      <c r="T322" s="7">
        <v>0</v>
      </c>
      <c r="V322" s="7">
        <v>1</v>
      </c>
      <c r="W322" s="7">
        <v>1</v>
      </c>
      <c r="X322" s="6" t="s">
        <v>1255</v>
      </c>
      <c r="Y322" s="7" t="s">
        <v>1107</v>
      </c>
      <c r="Z322" s="7" t="s">
        <v>2632</v>
      </c>
      <c r="AA322" s="7" t="s">
        <v>2940</v>
      </c>
      <c r="AB322" s="7">
        <v>0</v>
      </c>
      <c r="AC322" s="7">
        <v>11</v>
      </c>
      <c r="AD322" s="7">
        <v>0</v>
      </c>
      <c r="AE322" s="7">
        <v>0</v>
      </c>
      <c r="AF322" s="7">
        <v>1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P322" s="7">
        <v>0</v>
      </c>
      <c r="AR322" s="7">
        <v>0</v>
      </c>
      <c r="AS322" s="7">
        <v>0</v>
      </c>
      <c r="BE322" s="7">
        <v>240</v>
      </c>
      <c r="BG322" s="7">
        <v>2</v>
      </c>
      <c r="BL322" s="7">
        <v>0</v>
      </c>
    </row>
    <row r="323" spans="1:64" s="7" customFormat="1">
      <c r="A323" s="7">
        <v>80107</v>
      </c>
      <c r="B323" s="7" t="s">
        <v>1257</v>
      </c>
      <c r="C323" s="7" t="s">
        <v>540</v>
      </c>
      <c r="D323" s="7" t="s">
        <v>550</v>
      </c>
      <c r="E323" s="7">
        <v>1</v>
      </c>
      <c r="F323" s="7" t="s">
        <v>959</v>
      </c>
      <c r="G323" s="7">
        <v>0</v>
      </c>
      <c r="H323" s="7">
        <v>0</v>
      </c>
      <c r="I323" s="7">
        <v>99999</v>
      </c>
      <c r="J323" s="7">
        <v>0</v>
      </c>
      <c r="K323" s="7">
        <v>0</v>
      </c>
      <c r="L323" s="7" t="s">
        <v>1562</v>
      </c>
      <c r="M323" s="7">
        <v>1</v>
      </c>
      <c r="N323" s="7">
        <v>7</v>
      </c>
      <c r="Q323" s="7">
        <v>0</v>
      </c>
      <c r="R323" s="7">
        <v>0</v>
      </c>
      <c r="S323" s="7">
        <v>3700</v>
      </c>
      <c r="T323" s="7">
        <v>0</v>
      </c>
      <c r="V323" s="7">
        <v>1</v>
      </c>
      <c r="W323" s="7">
        <v>1</v>
      </c>
      <c r="X323" s="6" t="s">
        <v>1256</v>
      </c>
      <c r="Y323" s="7" t="s">
        <v>1957</v>
      </c>
      <c r="Z323" s="7" t="s">
        <v>2633</v>
      </c>
      <c r="AA323" s="7" t="s">
        <v>2941</v>
      </c>
      <c r="AB323" s="7">
        <v>0</v>
      </c>
      <c r="AC323" s="7">
        <v>11</v>
      </c>
      <c r="AD323" s="7">
        <v>0</v>
      </c>
      <c r="AE323" s="7">
        <v>0</v>
      </c>
      <c r="AF323" s="7">
        <v>1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P323" s="7">
        <v>0</v>
      </c>
      <c r="AR323" s="7">
        <v>0</v>
      </c>
      <c r="AS323" s="7">
        <v>0</v>
      </c>
      <c r="BE323" s="7">
        <v>240</v>
      </c>
      <c r="BG323" s="7">
        <v>2</v>
      </c>
      <c r="BL323" s="7">
        <v>0</v>
      </c>
    </row>
    <row r="324" spans="1:64" s="7" customFormat="1">
      <c r="A324" s="7">
        <v>80108</v>
      </c>
      <c r="B324" s="7" t="s">
        <v>1629</v>
      </c>
      <c r="C324" s="7" t="s">
        <v>540</v>
      </c>
      <c r="D324" s="7" t="s">
        <v>550</v>
      </c>
      <c r="E324" s="7">
        <v>1</v>
      </c>
      <c r="F324" s="7" t="s">
        <v>959</v>
      </c>
      <c r="G324" s="7">
        <v>0</v>
      </c>
      <c r="H324" s="7">
        <v>0</v>
      </c>
      <c r="I324" s="7">
        <v>99999</v>
      </c>
      <c r="J324" s="7">
        <v>0</v>
      </c>
      <c r="K324" s="7">
        <v>0</v>
      </c>
      <c r="L324" s="7" t="s">
        <v>1562</v>
      </c>
      <c r="M324" s="7">
        <v>1</v>
      </c>
      <c r="N324" s="7">
        <v>7</v>
      </c>
      <c r="Q324" s="7">
        <v>0</v>
      </c>
      <c r="R324" s="7">
        <v>0</v>
      </c>
      <c r="S324" s="7">
        <v>3700</v>
      </c>
      <c r="T324" s="7">
        <v>0</v>
      </c>
      <c r="V324" s="7">
        <v>1</v>
      </c>
      <c r="W324" s="7">
        <v>1</v>
      </c>
      <c r="X324" s="6" t="s">
        <v>1630</v>
      </c>
      <c r="Y324" s="7" t="s">
        <v>1958</v>
      </c>
      <c r="Z324" s="7" t="s">
        <v>2634</v>
      </c>
      <c r="AA324" s="7" t="s">
        <v>2942</v>
      </c>
      <c r="AB324" s="7">
        <v>0</v>
      </c>
      <c r="AC324" s="7">
        <v>11</v>
      </c>
      <c r="AD324" s="7">
        <v>0</v>
      </c>
      <c r="AE324" s="7">
        <v>0</v>
      </c>
      <c r="AF324" s="7">
        <v>1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P324" s="7">
        <v>0</v>
      </c>
      <c r="AR324" s="7">
        <v>0</v>
      </c>
      <c r="AS324" s="7">
        <v>0</v>
      </c>
      <c r="BE324" s="7">
        <v>240</v>
      </c>
      <c r="BG324" s="7">
        <v>2</v>
      </c>
      <c r="BL324" s="7">
        <v>0</v>
      </c>
    </row>
    <row r="325" spans="1:64" s="7" customFormat="1">
      <c r="A325" s="7">
        <v>80201</v>
      </c>
      <c r="B325" s="7" t="s">
        <v>1960</v>
      </c>
      <c r="C325" s="7" t="s">
        <v>540</v>
      </c>
      <c r="D325" s="7" t="s">
        <v>550</v>
      </c>
      <c r="E325" s="7">
        <v>1</v>
      </c>
      <c r="F325" s="7" t="s">
        <v>959</v>
      </c>
      <c r="G325" s="7">
        <v>0</v>
      </c>
      <c r="H325" s="7">
        <v>0</v>
      </c>
      <c r="I325" s="7">
        <v>99999</v>
      </c>
      <c r="J325" s="7">
        <v>0</v>
      </c>
      <c r="K325" s="7">
        <v>0</v>
      </c>
      <c r="L325" s="24" t="s">
        <v>1563</v>
      </c>
      <c r="M325" s="7">
        <v>20</v>
      </c>
      <c r="N325" s="7">
        <v>1</v>
      </c>
      <c r="Q325" s="7">
        <v>0</v>
      </c>
      <c r="R325" s="7">
        <v>0</v>
      </c>
      <c r="S325" s="7">
        <v>20000</v>
      </c>
      <c r="T325" s="7">
        <v>0</v>
      </c>
      <c r="V325" s="7">
        <v>1</v>
      </c>
      <c r="W325" s="7">
        <v>1</v>
      </c>
      <c r="X325" s="6" t="s">
        <v>678</v>
      </c>
      <c r="Y325" s="7" t="s">
        <v>1984</v>
      </c>
      <c r="Z325" s="7" t="s">
        <v>2635</v>
      </c>
      <c r="AA325" s="1" t="s">
        <v>1994</v>
      </c>
      <c r="AB325" s="7">
        <v>0</v>
      </c>
      <c r="AC325" s="7">
        <v>11</v>
      </c>
      <c r="AD325" s="7">
        <v>0</v>
      </c>
      <c r="AE325" s="7">
        <v>0</v>
      </c>
      <c r="AF325" s="7">
        <v>1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P325" s="7">
        <v>1</v>
      </c>
      <c r="AQ325" s="7">
        <v>1</v>
      </c>
      <c r="AR325" s="7">
        <v>0</v>
      </c>
      <c r="AS325" s="7">
        <v>0</v>
      </c>
      <c r="BE325" s="7">
        <v>240</v>
      </c>
      <c r="BG325" s="7">
        <v>2</v>
      </c>
      <c r="BL325" s="7">
        <v>0</v>
      </c>
    </row>
    <row r="326" spans="1:64" s="7" customFormat="1">
      <c r="A326" s="7">
        <v>80202</v>
      </c>
      <c r="B326" s="7" t="s">
        <v>1961</v>
      </c>
      <c r="C326" s="7" t="s">
        <v>540</v>
      </c>
      <c r="D326" s="7" t="s">
        <v>550</v>
      </c>
      <c r="E326" s="7">
        <v>1</v>
      </c>
      <c r="F326" s="7" t="s">
        <v>959</v>
      </c>
      <c r="G326" s="7">
        <v>0</v>
      </c>
      <c r="H326" s="7">
        <v>0</v>
      </c>
      <c r="I326" s="7">
        <v>99999</v>
      </c>
      <c r="J326" s="7">
        <v>0</v>
      </c>
      <c r="K326" s="7">
        <v>0</v>
      </c>
      <c r="L326" s="25" t="s">
        <v>1563</v>
      </c>
      <c r="M326" s="7">
        <v>20</v>
      </c>
      <c r="N326" s="7">
        <v>1</v>
      </c>
      <c r="Q326" s="7">
        <v>0</v>
      </c>
      <c r="R326" s="7">
        <v>0</v>
      </c>
      <c r="S326" s="7">
        <v>20000</v>
      </c>
      <c r="T326" s="7">
        <v>0</v>
      </c>
      <c r="V326" s="7">
        <v>1</v>
      </c>
      <c r="W326" s="7">
        <v>1</v>
      </c>
      <c r="X326" s="6" t="s">
        <v>1108</v>
      </c>
      <c r="Y326" s="7" t="s">
        <v>1985</v>
      </c>
      <c r="Z326" s="7" t="s">
        <v>2636</v>
      </c>
      <c r="AA326" s="1" t="s">
        <v>1993</v>
      </c>
      <c r="AB326" s="7">
        <v>0</v>
      </c>
      <c r="AC326" s="7">
        <v>11</v>
      </c>
      <c r="AD326" s="7">
        <v>0</v>
      </c>
      <c r="AE326" s="7">
        <v>0</v>
      </c>
      <c r="AF326" s="7">
        <v>1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P326" s="7">
        <v>1</v>
      </c>
      <c r="AQ326" s="7">
        <v>1</v>
      </c>
      <c r="AR326" s="7">
        <v>0</v>
      </c>
      <c r="AS326" s="7">
        <v>0</v>
      </c>
      <c r="BE326" s="7">
        <v>240</v>
      </c>
      <c r="BG326" s="7">
        <v>2</v>
      </c>
      <c r="BL326" s="7">
        <v>0</v>
      </c>
    </row>
    <row r="327" spans="1:64" s="7" customFormat="1">
      <c r="A327" s="7">
        <v>80203</v>
      </c>
      <c r="B327" s="7" t="s">
        <v>2956</v>
      </c>
      <c r="C327" s="7" t="s">
        <v>540</v>
      </c>
      <c r="D327" s="7" t="s">
        <v>550</v>
      </c>
      <c r="E327" s="7">
        <v>1</v>
      </c>
      <c r="F327" s="7" t="s">
        <v>959</v>
      </c>
      <c r="G327" s="7">
        <v>0</v>
      </c>
      <c r="H327" s="7">
        <v>0</v>
      </c>
      <c r="I327" s="7">
        <v>99999</v>
      </c>
      <c r="J327" s="7">
        <v>0</v>
      </c>
      <c r="K327" s="7">
        <v>0</v>
      </c>
      <c r="L327" s="25" t="s">
        <v>1563</v>
      </c>
      <c r="M327" s="7">
        <v>50</v>
      </c>
      <c r="N327" s="7">
        <v>1</v>
      </c>
      <c r="Q327" s="7">
        <v>0</v>
      </c>
      <c r="R327" s="7">
        <v>0</v>
      </c>
      <c r="S327" s="7">
        <v>20000</v>
      </c>
      <c r="T327" s="7">
        <v>0</v>
      </c>
      <c r="V327" s="7">
        <v>1</v>
      </c>
      <c r="W327" s="7">
        <v>1</v>
      </c>
      <c r="X327" s="6" t="s">
        <v>685</v>
      </c>
      <c r="Y327" s="7" t="s">
        <v>2959</v>
      </c>
      <c r="Z327" s="7" t="s">
        <v>2958</v>
      </c>
      <c r="AA327" s="1" t="s">
        <v>2972</v>
      </c>
      <c r="AB327" s="7">
        <v>0</v>
      </c>
      <c r="AC327" s="7">
        <v>11</v>
      </c>
      <c r="AD327" s="7">
        <v>0</v>
      </c>
      <c r="AE327" s="7">
        <v>0</v>
      </c>
      <c r="AF327" s="7">
        <v>1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P327" s="7">
        <v>1</v>
      </c>
      <c r="AQ327" s="7">
        <v>1</v>
      </c>
      <c r="AR327" s="7">
        <v>0</v>
      </c>
      <c r="AS327" s="7">
        <v>0</v>
      </c>
      <c r="BE327" s="7">
        <v>240</v>
      </c>
      <c r="BG327" s="7">
        <v>2</v>
      </c>
      <c r="BL327" s="7">
        <v>0</v>
      </c>
    </row>
    <row r="328" spans="1:64" s="15" customFormat="1">
      <c r="A328" s="15">
        <v>81001</v>
      </c>
      <c r="B328" s="15" t="s">
        <v>686</v>
      </c>
      <c r="C328" s="15" t="s">
        <v>540</v>
      </c>
      <c r="D328" s="15" t="s">
        <v>550</v>
      </c>
      <c r="E328" s="15">
        <v>1</v>
      </c>
      <c r="F328" s="15" t="s">
        <v>959</v>
      </c>
      <c r="G328" s="15">
        <v>0</v>
      </c>
      <c r="H328" s="15">
        <v>0</v>
      </c>
      <c r="I328" s="15">
        <v>99999</v>
      </c>
      <c r="J328" s="15">
        <v>0</v>
      </c>
      <c r="K328" s="15">
        <v>0</v>
      </c>
      <c r="L328" s="15" t="s">
        <v>1562</v>
      </c>
      <c r="M328" s="15">
        <v>1</v>
      </c>
      <c r="N328" s="7">
        <v>1</v>
      </c>
      <c r="O328" s="15">
        <v>4551</v>
      </c>
      <c r="P328" s="15">
        <v>1</v>
      </c>
      <c r="Q328" s="15">
        <v>0</v>
      </c>
      <c r="S328" s="15">
        <v>1</v>
      </c>
      <c r="T328" s="15">
        <v>0</v>
      </c>
      <c r="V328" s="15">
        <v>1</v>
      </c>
      <c r="W328" s="15">
        <v>1</v>
      </c>
      <c r="X328" s="30"/>
      <c r="Y328" s="15" t="s">
        <v>680</v>
      </c>
      <c r="Z328" s="15" t="s">
        <v>2638</v>
      </c>
      <c r="AA328" s="15" t="s">
        <v>527</v>
      </c>
      <c r="AB328" s="15">
        <v>0</v>
      </c>
      <c r="AC328" s="15">
        <v>15</v>
      </c>
      <c r="AD328" s="15">
        <v>0</v>
      </c>
      <c r="AE328" s="15">
        <v>0</v>
      </c>
      <c r="AF328" s="15">
        <v>1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P328" s="15">
        <v>1</v>
      </c>
      <c r="AR328" s="15">
        <v>0</v>
      </c>
      <c r="AS328" s="15">
        <v>0</v>
      </c>
      <c r="BD328" s="16"/>
      <c r="BE328" s="7">
        <v>240</v>
      </c>
      <c r="BG328" s="15">
        <v>2</v>
      </c>
      <c r="BL328" s="7">
        <v>0</v>
      </c>
    </row>
    <row r="329" spans="1:64" s="15" customFormat="1">
      <c r="A329" s="15">
        <v>81002</v>
      </c>
      <c r="B329" s="15" t="s">
        <v>687</v>
      </c>
      <c r="C329" s="15" t="s">
        <v>540</v>
      </c>
      <c r="D329" s="15" t="s">
        <v>550</v>
      </c>
      <c r="E329" s="15">
        <v>1</v>
      </c>
      <c r="F329" s="15" t="s">
        <v>959</v>
      </c>
      <c r="G329" s="15">
        <v>0</v>
      </c>
      <c r="H329" s="15">
        <v>0</v>
      </c>
      <c r="I329" s="15">
        <v>99999</v>
      </c>
      <c r="J329" s="15">
        <v>0</v>
      </c>
      <c r="K329" s="15">
        <v>0</v>
      </c>
      <c r="L329" s="15" t="s">
        <v>1562</v>
      </c>
      <c r="M329" s="15">
        <v>1</v>
      </c>
      <c r="N329" s="7">
        <v>1</v>
      </c>
      <c r="O329" s="15">
        <v>4552</v>
      </c>
      <c r="P329" s="15">
        <v>1</v>
      </c>
      <c r="Q329" s="15">
        <v>0</v>
      </c>
      <c r="S329" s="15">
        <v>1</v>
      </c>
      <c r="T329" s="15">
        <v>0</v>
      </c>
      <c r="V329" s="15">
        <v>1</v>
      </c>
      <c r="W329" s="15">
        <v>1</v>
      </c>
      <c r="X329" s="30"/>
      <c r="Y329" s="15" t="s">
        <v>680</v>
      </c>
      <c r="Z329" s="15" t="s">
        <v>2638</v>
      </c>
      <c r="AA329" s="15" t="s">
        <v>527</v>
      </c>
      <c r="AB329" s="15">
        <v>0</v>
      </c>
      <c r="AC329" s="15">
        <v>15</v>
      </c>
      <c r="AD329" s="15">
        <v>0</v>
      </c>
      <c r="AE329" s="15">
        <v>0</v>
      </c>
      <c r="AF329" s="15">
        <v>1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P329" s="15">
        <v>1</v>
      </c>
      <c r="AR329" s="15">
        <v>0</v>
      </c>
      <c r="AS329" s="15">
        <v>0</v>
      </c>
      <c r="BD329" s="16"/>
      <c r="BE329" s="7">
        <v>240</v>
      </c>
      <c r="BG329" s="15">
        <v>2</v>
      </c>
      <c r="BL329" s="7">
        <v>0</v>
      </c>
    </row>
    <row r="330" spans="1:64" s="15" customFormat="1">
      <c r="A330" s="15">
        <v>81003</v>
      </c>
      <c r="B330" s="15" t="s">
        <v>688</v>
      </c>
      <c r="C330" s="15" t="s">
        <v>540</v>
      </c>
      <c r="D330" s="15" t="s">
        <v>550</v>
      </c>
      <c r="E330" s="15">
        <v>1</v>
      </c>
      <c r="F330" s="15" t="s">
        <v>959</v>
      </c>
      <c r="G330" s="15">
        <v>0</v>
      </c>
      <c r="H330" s="15">
        <v>0</v>
      </c>
      <c r="I330" s="15">
        <v>99999</v>
      </c>
      <c r="J330" s="15">
        <v>0</v>
      </c>
      <c r="K330" s="15">
        <v>0</v>
      </c>
      <c r="L330" s="15" t="s">
        <v>1562</v>
      </c>
      <c r="M330" s="15">
        <v>1</v>
      </c>
      <c r="N330" s="7">
        <v>1</v>
      </c>
      <c r="O330" s="15">
        <v>4553</v>
      </c>
      <c r="P330" s="15">
        <v>1</v>
      </c>
      <c r="Q330" s="15">
        <v>0</v>
      </c>
      <c r="S330" s="15">
        <v>1</v>
      </c>
      <c r="T330" s="15">
        <v>0</v>
      </c>
      <c r="V330" s="15">
        <v>1</v>
      </c>
      <c r="W330" s="15">
        <v>1</v>
      </c>
      <c r="X330" s="30"/>
      <c r="Y330" s="15" t="s">
        <v>680</v>
      </c>
      <c r="Z330" s="15" t="s">
        <v>2638</v>
      </c>
      <c r="AA330" s="15" t="s">
        <v>527</v>
      </c>
      <c r="AB330" s="15">
        <v>0</v>
      </c>
      <c r="AC330" s="15">
        <v>15</v>
      </c>
      <c r="AD330" s="15">
        <v>0</v>
      </c>
      <c r="AE330" s="15">
        <v>0</v>
      </c>
      <c r="AF330" s="15">
        <v>1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P330" s="15">
        <v>1</v>
      </c>
      <c r="AR330" s="15">
        <v>0</v>
      </c>
      <c r="AS330" s="15">
        <v>0</v>
      </c>
      <c r="BD330" s="16"/>
      <c r="BE330" s="7">
        <v>240</v>
      </c>
      <c r="BG330" s="15">
        <v>2</v>
      </c>
      <c r="BL330" s="7">
        <v>0</v>
      </c>
    </row>
    <row r="331" spans="1:64">
      <c r="A331">
        <v>90166</v>
      </c>
      <c r="B331" t="s">
        <v>702</v>
      </c>
      <c r="C331" t="s">
        <v>689</v>
      </c>
      <c r="D331" t="s">
        <v>690</v>
      </c>
      <c r="E331">
        <v>1</v>
      </c>
      <c r="F331" t="s">
        <v>959</v>
      </c>
      <c r="G331">
        <v>0</v>
      </c>
      <c r="H331">
        <v>0</v>
      </c>
      <c r="I331">
        <v>99999</v>
      </c>
      <c r="J331">
        <v>0</v>
      </c>
      <c r="K331">
        <v>0</v>
      </c>
      <c r="L331" t="s">
        <v>1562</v>
      </c>
      <c r="M331">
        <v>99</v>
      </c>
      <c r="N331" s="7">
        <v>1</v>
      </c>
      <c r="P331">
        <v>0</v>
      </c>
      <c r="Q331">
        <v>0</v>
      </c>
      <c r="S331">
        <v>1</v>
      </c>
      <c r="T331">
        <v>0</v>
      </c>
      <c r="V331">
        <v>1</v>
      </c>
      <c r="W331">
        <v>0</v>
      </c>
      <c r="X331" s="6" t="s">
        <v>951</v>
      </c>
      <c r="Y331" t="s">
        <v>1644</v>
      </c>
      <c r="Z331" t="s">
        <v>2650</v>
      </c>
      <c r="AA331" t="s">
        <v>701</v>
      </c>
      <c r="AB331">
        <v>0</v>
      </c>
      <c r="AC331">
        <v>1</v>
      </c>
      <c r="AD331">
        <v>0</v>
      </c>
      <c r="AE331">
        <v>10</v>
      </c>
      <c r="AF331" s="7">
        <v>1</v>
      </c>
      <c r="AI331">
        <v>0</v>
      </c>
      <c r="AJ331">
        <v>0</v>
      </c>
      <c r="AK331" s="7">
        <v>0</v>
      </c>
      <c r="AL331" s="7">
        <v>0</v>
      </c>
      <c r="AM331" s="7">
        <v>0</v>
      </c>
      <c r="AN331" s="7">
        <v>0</v>
      </c>
      <c r="AP331">
        <v>0</v>
      </c>
      <c r="AR331" s="7">
        <v>0</v>
      </c>
      <c r="AS331" s="7">
        <v>0</v>
      </c>
      <c r="AT331">
        <v>1</v>
      </c>
      <c r="AW331" s="7"/>
      <c r="BD331" s="7"/>
      <c r="BE331" s="7">
        <v>240</v>
      </c>
      <c r="BG331" s="7">
        <v>2</v>
      </c>
      <c r="BL331" s="7">
        <v>0</v>
      </c>
    </row>
    <row r="332" spans="1:64">
      <c r="A332">
        <v>90167</v>
      </c>
      <c r="B332" t="s">
        <v>703</v>
      </c>
      <c r="C332" t="s">
        <v>689</v>
      </c>
      <c r="D332" t="s">
        <v>690</v>
      </c>
      <c r="E332">
        <v>1</v>
      </c>
      <c r="F332" t="s">
        <v>959</v>
      </c>
      <c r="G332">
        <v>0</v>
      </c>
      <c r="H332">
        <v>0</v>
      </c>
      <c r="I332">
        <v>99999</v>
      </c>
      <c r="J332">
        <v>0</v>
      </c>
      <c r="K332">
        <v>0</v>
      </c>
      <c r="L332" t="s">
        <v>1562</v>
      </c>
      <c r="M332">
        <v>99</v>
      </c>
      <c r="N332" s="7">
        <v>1</v>
      </c>
      <c r="P332">
        <v>0</v>
      </c>
      <c r="Q332">
        <v>0</v>
      </c>
      <c r="S332">
        <v>1</v>
      </c>
      <c r="T332">
        <v>0</v>
      </c>
      <c r="V332">
        <v>1</v>
      </c>
      <c r="W332">
        <v>0</v>
      </c>
      <c r="X332" s="6" t="s">
        <v>951</v>
      </c>
      <c r="Y332" t="s">
        <v>1644</v>
      </c>
      <c r="Z332" s="7" t="s">
        <v>2650</v>
      </c>
      <c r="AA332" t="s">
        <v>701</v>
      </c>
      <c r="AB332">
        <v>0</v>
      </c>
      <c r="AC332" s="7">
        <v>1</v>
      </c>
      <c r="AD332">
        <v>0</v>
      </c>
      <c r="AE332">
        <v>10</v>
      </c>
      <c r="AF332" s="7">
        <v>1</v>
      </c>
      <c r="AI332">
        <v>0</v>
      </c>
      <c r="AJ332">
        <v>0</v>
      </c>
      <c r="AK332" s="7">
        <v>0</v>
      </c>
      <c r="AL332" s="7">
        <v>0</v>
      </c>
      <c r="AM332" s="7">
        <v>0</v>
      </c>
      <c r="AN332" s="7">
        <v>0</v>
      </c>
      <c r="AP332">
        <v>0</v>
      </c>
      <c r="AR332" s="7">
        <v>0</v>
      </c>
      <c r="AS332" s="7">
        <v>0</v>
      </c>
      <c r="AT332">
        <v>1</v>
      </c>
      <c r="AW332" s="7"/>
      <c r="BD332" s="7"/>
      <c r="BE332" s="7">
        <v>240</v>
      </c>
      <c r="BG332" s="7">
        <v>2</v>
      </c>
      <c r="BL332" s="7">
        <v>0</v>
      </c>
    </row>
    <row r="333" spans="1:64">
      <c r="A333">
        <v>90168</v>
      </c>
      <c r="B333" t="s">
        <v>704</v>
      </c>
      <c r="C333" t="s">
        <v>689</v>
      </c>
      <c r="D333" t="s">
        <v>690</v>
      </c>
      <c r="E333">
        <v>1</v>
      </c>
      <c r="F333" t="s">
        <v>959</v>
      </c>
      <c r="G333">
        <v>0</v>
      </c>
      <c r="H333">
        <v>0</v>
      </c>
      <c r="I333">
        <v>99999</v>
      </c>
      <c r="J333">
        <v>0</v>
      </c>
      <c r="K333">
        <v>0</v>
      </c>
      <c r="L333" t="s">
        <v>1562</v>
      </c>
      <c r="M333">
        <v>99</v>
      </c>
      <c r="N333" s="7">
        <v>1</v>
      </c>
      <c r="P333">
        <v>0</v>
      </c>
      <c r="Q333">
        <v>0</v>
      </c>
      <c r="S333">
        <v>1</v>
      </c>
      <c r="T333">
        <v>0</v>
      </c>
      <c r="V333">
        <v>1</v>
      </c>
      <c r="W333">
        <v>0</v>
      </c>
      <c r="X333" s="6" t="s">
        <v>951</v>
      </c>
      <c r="Y333" t="s">
        <v>1644</v>
      </c>
      <c r="Z333" s="7" t="s">
        <v>2650</v>
      </c>
      <c r="AA333" t="s">
        <v>701</v>
      </c>
      <c r="AB333">
        <v>0</v>
      </c>
      <c r="AC333" s="7">
        <v>1</v>
      </c>
      <c r="AD333">
        <v>0</v>
      </c>
      <c r="AE333">
        <v>10</v>
      </c>
      <c r="AF333" s="7">
        <v>1</v>
      </c>
      <c r="AI333">
        <v>0</v>
      </c>
      <c r="AJ333">
        <v>0</v>
      </c>
      <c r="AK333" s="7">
        <v>0</v>
      </c>
      <c r="AL333" s="7">
        <v>0</v>
      </c>
      <c r="AM333" s="7">
        <v>0</v>
      </c>
      <c r="AN333" s="7">
        <v>0</v>
      </c>
      <c r="AP333">
        <v>0</v>
      </c>
      <c r="AR333" s="7">
        <v>0</v>
      </c>
      <c r="AS333" s="7">
        <v>0</v>
      </c>
      <c r="AT333">
        <v>1</v>
      </c>
      <c r="AW333" s="7"/>
      <c r="BD333" s="7"/>
      <c r="BE333" s="7">
        <v>240</v>
      </c>
      <c r="BG333" s="7">
        <v>2</v>
      </c>
      <c r="BL333" s="7">
        <v>0</v>
      </c>
    </row>
    <row r="334" spans="1:64">
      <c r="A334">
        <v>90169</v>
      </c>
      <c r="B334" t="s">
        <v>705</v>
      </c>
      <c r="C334" t="s">
        <v>689</v>
      </c>
      <c r="D334" t="s">
        <v>690</v>
      </c>
      <c r="E334">
        <v>1</v>
      </c>
      <c r="F334" t="s">
        <v>959</v>
      </c>
      <c r="G334">
        <v>0</v>
      </c>
      <c r="H334">
        <v>0</v>
      </c>
      <c r="I334">
        <v>99999</v>
      </c>
      <c r="J334">
        <v>0</v>
      </c>
      <c r="K334">
        <v>0</v>
      </c>
      <c r="L334" t="s">
        <v>1562</v>
      </c>
      <c r="M334">
        <v>99</v>
      </c>
      <c r="N334" s="7">
        <v>1</v>
      </c>
      <c r="P334">
        <v>0</v>
      </c>
      <c r="Q334">
        <v>0</v>
      </c>
      <c r="S334">
        <v>1</v>
      </c>
      <c r="T334">
        <v>0</v>
      </c>
      <c r="V334">
        <v>1</v>
      </c>
      <c r="W334">
        <v>0</v>
      </c>
      <c r="X334" s="6" t="s">
        <v>951</v>
      </c>
      <c r="Y334" t="s">
        <v>1644</v>
      </c>
      <c r="Z334" s="7" t="s">
        <v>2650</v>
      </c>
      <c r="AA334" t="s">
        <v>701</v>
      </c>
      <c r="AB334">
        <v>0</v>
      </c>
      <c r="AC334" s="7">
        <v>1</v>
      </c>
      <c r="AD334">
        <v>0</v>
      </c>
      <c r="AE334">
        <v>10</v>
      </c>
      <c r="AF334" s="7">
        <v>1</v>
      </c>
      <c r="AI334">
        <v>0</v>
      </c>
      <c r="AJ334">
        <v>0</v>
      </c>
      <c r="AK334" s="7">
        <v>0</v>
      </c>
      <c r="AL334" s="7">
        <v>0</v>
      </c>
      <c r="AM334" s="7">
        <v>0</v>
      </c>
      <c r="AN334" s="7">
        <v>0</v>
      </c>
      <c r="AP334">
        <v>0</v>
      </c>
      <c r="AR334" s="7">
        <v>0</v>
      </c>
      <c r="AS334" s="7">
        <v>0</v>
      </c>
      <c r="AT334">
        <v>1</v>
      </c>
      <c r="AW334" s="7"/>
      <c r="BD334" s="7"/>
      <c r="BE334" s="7">
        <v>240</v>
      </c>
      <c r="BG334" s="7">
        <v>2</v>
      </c>
      <c r="BL334" s="7">
        <v>0</v>
      </c>
    </row>
    <row r="335" spans="1:64">
      <c r="A335">
        <v>90170</v>
      </c>
      <c r="B335" t="s">
        <v>706</v>
      </c>
      <c r="C335" t="s">
        <v>689</v>
      </c>
      <c r="D335" t="s">
        <v>690</v>
      </c>
      <c r="E335">
        <v>1</v>
      </c>
      <c r="F335" t="s">
        <v>959</v>
      </c>
      <c r="G335">
        <v>0</v>
      </c>
      <c r="H335">
        <v>0</v>
      </c>
      <c r="I335">
        <v>99999</v>
      </c>
      <c r="J335">
        <v>0</v>
      </c>
      <c r="K335">
        <v>0</v>
      </c>
      <c r="L335" t="s">
        <v>1562</v>
      </c>
      <c r="M335">
        <v>99</v>
      </c>
      <c r="N335" s="7">
        <v>1</v>
      </c>
      <c r="P335">
        <v>0</v>
      </c>
      <c r="Q335">
        <v>0</v>
      </c>
      <c r="S335">
        <v>1</v>
      </c>
      <c r="T335">
        <v>0</v>
      </c>
      <c r="V335">
        <v>1</v>
      </c>
      <c r="W335">
        <v>0</v>
      </c>
      <c r="X335" s="6" t="s">
        <v>951</v>
      </c>
      <c r="Y335" t="s">
        <v>1644</v>
      </c>
      <c r="Z335" s="7" t="s">
        <v>2650</v>
      </c>
      <c r="AA335" t="s">
        <v>701</v>
      </c>
      <c r="AB335">
        <v>0</v>
      </c>
      <c r="AC335" s="7">
        <v>1</v>
      </c>
      <c r="AD335">
        <v>0</v>
      </c>
      <c r="AE335">
        <v>10</v>
      </c>
      <c r="AF335" s="7">
        <v>1</v>
      </c>
      <c r="AI335">
        <v>0</v>
      </c>
      <c r="AJ335">
        <v>0</v>
      </c>
      <c r="AK335" s="7">
        <v>0</v>
      </c>
      <c r="AL335" s="7">
        <v>0</v>
      </c>
      <c r="AM335" s="7">
        <v>0</v>
      </c>
      <c r="AN335" s="7">
        <v>0</v>
      </c>
      <c r="AP335">
        <v>0</v>
      </c>
      <c r="AR335" s="7">
        <v>0</v>
      </c>
      <c r="AS335" s="7">
        <v>0</v>
      </c>
      <c r="AT335">
        <v>1</v>
      </c>
      <c r="AW335" s="7"/>
      <c r="BD335" s="7"/>
      <c r="BE335" s="7">
        <v>240</v>
      </c>
      <c r="BG335" s="7">
        <v>2</v>
      </c>
      <c r="BL335" s="7">
        <v>0</v>
      </c>
    </row>
    <row r="336" spans="1:64">
      <c r="A336">
        <v>90171</v>
      </c>
      <c r="B336" t="s">
        <v>707</v>
      </c>
      <c r="C336" t="s">
        <v>689</v>
      </c>
      <c r="D336" t="s">
        <v>690</v>
      </c>
      <c r="E336">
        <v>1</v>
      </c>
      <c r="F336" t="s">
        <v>959</v>
      </c>
      <c r="G336">
        <v>0</v>
      </c>
      <c r="H336">
        <v>0</v>
      </c>
      <c r="I336">
        <v>99999</v>
      </c>
      <c r="J336">
        <v>0</v>
      </c>
      <c r="K336">
        <v>0</v>
      </c>
      <c r="L336" t="s">
        <v>1562</v>
      </c>
      <c r="M336">
        <v>99</v>
      </c>
      <c r="N336" s="7">
        <v>1</v>
      </c>
      <c r="P336">
        <v>0</v>
      </c>
      <c r="Q336">
        <v>0</v>
      </c>
      <c r="S336">
        <v>1</v>
      </c>
      <c r="T336">
        <v>0</v>
      </c>
      <c r="V336">
        <v>1</v>
      </c>
      <c r="W336">
        <v>0</v>
      </c>
      <c r="X336" s="6" t="s">
        <v>951</v>
      </c>
      <c r="Y336" t="s">
        <v>1644</v>
      </c>
      <c r="Z336" s="7" t="s">
        <v>2650</v>
      </c>
      <c r="AA336" t="s">
        <v>701</v>
      </c>
      <c r="AB336">
        <v>0</v>
      </c>
      <c r="AC336" s="7">
        <v>1</v>
      </c>
      <c r="AD336">
        <v>0</v>
      </c>
      <c r="AE336">
        <v>10</v>
      </c>
      <c r="AF336" s="7">
        <v>1</v>
      </c>
      <c r="AI336">
        <v>0</v>
      </c>
      <c r="AJ336">
        <v>0</v>
      </c>
      <c r="AK336" s="7">
        <v>0</v>
      </c>
      <c r="AL336" s="7">
        <v>0</v>
      </c>
      <c r="AM336" s="7">
        <v>0</v>
      </c>
      <c r="AN336" s="7">
        <v>0</v>
      </c>
      <c r="AP336">
        <v>0</v>
      </c>
      <c r="AR336" s="7">
        <v>0</v>
      </c>
      <c r="AS336" s="7">
        <v>0</v>
      </c>
      <c r="AT336">
        <v>1</v>
      </c>
      <c r="AW336" s="7"/>
      <c r="BD336" s="7"/>
      <c r="BE336" s="7">
        <v>240</v>
      </c>
      <c r="BG336" s="7">
        <v>2</v>
      </c>
      <c r="BL336" s="7">
        <v>0</v>
      </c>
    </row>
    <row r="337" spans="1:64">
      <c r="A337">
        <v>90172</v>
      </c>
      <c r="B337" t="s">
        <v>1045</v>
      </c>
      <c r="C337" t="s">
        <v>689</v>
      </c>
      <c r="D337" t="s">
        <v>690</v>
      </c>
      <c r="E337">
        <v>1</v>
      </c>
      <c r="F337" t="s">
        <v>959</v>
      </c>
      <c r="G337">
        <v>0</v>
      </c>
      <c r="H337">
        <v>0</v>
      </c>
      <c r="I337">
        <v>99999</v>
      </c>
      <c r="J337">
        <v>0</v>
      </c>
      <c r="K337">
        <v>0</v>
      </c>
      <c r="L337" t="s">
        <v>1562</v>
      </c>
      <c r="M337">
        <v>99</v>
      </c>
      <c r="N337" s="7">
        <v>1</v>
      </c>
      <c r="P337">
        <v>0</v>
      </c>
      <c r="Q337">
        <v>0</v>
      </c>
      <c r="S337">
        <v>1</v>
      </c>
      <c r="T337">
        <v>0</v>
      </c>
      <c r="V337">
        <v>1</v>
      </c>
      <c r="W337">
        <v>0</v>
      </c>
      <c r="X337" s="6" t="s">
        <v>951</v>
      </c>
      <c r="Y337" t="s">
        <v>1644</v>
      </c>
      <c r="Z337" s="7" t="s">
        <v>2650</v>
      </c>
      <c r="AA337" t="s">
        <v>701</v>
      </c>
      <c r="AB337">
        <v>0</v>
      </c>
      <c r="AC337" s="7">
        <v>1</v>
      </c>
      <c r="AD337">
        <v>0</v>
      </c>
      <c r="AE337">
        <v>10</v>
      </c>
      <c r="AF337" s="7">
        <v>1</v>
      </c>
      <c r="AI337">
        <v>0</v>
      </c>
      <c r="AJ337">
        <v>0</v>
      </c>
      <c r="AK337" s="7">
        <v>0</v>
      </c>
      <c r="AL337" s="7">
        <v>0</v>
      </c>
      <c r="AM337" s="7">
        <v>0</v>
      </c>
      <c r="AN337" s="7">
        <v>0</v>
      </c>
      <c r="AP337">
        <v>0</v>
      </c>
      <c r="AR337" s="7">
        <v>0</v>
      </c>
      <c r="AS337" s="7">
        <v>0</v>
      </c>
      <c r="AT337">
        <v>1</v>
      </c>
      <c r="AW337" s="7"/>
      <c r="BD337" s="7"/>
      <c r="BE337" s="7">
        <v>240</v>
      </c>
      <c r="BG337" s="7">
        <v>2</v>
      </c>
      <c r="BL337" s="7">
        <v>0</v>
      </c>
    </row>
    <row r="338" spans="1:64">
      <c r="A338">
        <v>90173</v>
      </c>
      <c r="B338" t="s">
        <v>1046</v>
      </c>
      <c r="C338" t="s">
        <v>689</v>
      </c>
      <c r="D338" t="s">
        <v>690</v>
      </c>
      <c r="E338">
        <v>1</v>
      </c>
      <c r="F338" t="s">
        <v>959</v>
      </c>
      <c r="G338">
        <v>0</v>
      </c>
      <c r="H338">
        <v>0</v>
      </c>
      <c r="I338">
        <v>99999</v>
      </c>
      <c r="J338">
        <v>0</v>
      </c>
      <c r="K338">
        <v>0</v>
      </c>
      <c r="L338" t="s">
        <v>1562</v>
      </c>
      <c r="M338">
        <v>99</v>
      </c>
      <c r="N338" s="7">
        <v>1</v>
      </c>
      <c r="P338">
        <v>0</v>
      </c>
      <c r="Q338">
        <v>0</v>
      </c>
      <c r="S338">
        <v>1</v>
      </c>
      <c r="T338">
        <v>0</v>
      </c>
      <c r="V338">
        <v>1</v>
      </c>
      <c r="W338">
        <v>0</v>
      </c>
      <c r="X338" s="6" t="s">
        <v>951</v>
      </c>
      <c r="Y338" t="s">
        <v>1644</v>
      </c>
      <c r="Z338" s="7" t="s">
        <v>2650</v>
      </c>
      <c r="AA338" t="s">
        <v>701</v>
      </c>
      <c r="AB338">
        <v>0</v>
      </c>
      <c r="AC338" s="7">
        <v>1</v>
      </c>
      <c r="AD338">
        <v>0</v>
      </c>
      <c r="AE338">
        <v>10</v>
      </c>
      <c r="AF338" s="7">
        <v>1</v>
      </c>
      <c r="AI338">
        <v>0</v>
      </c>
      <c r="AJ338">
        <v>0</v>
      </c>
      <c r="AK338" s="7">
        <v>0</v>
      </c>
      <c r="AL338" s="7">
        <v>0</v>
      </c>
      <c r="AM338" s="7">
        <v>0</v>
      </c>
      <c r="AN338" s="7">
        <v>0</v>
      </c>
      <c r="AP338">
        <v>0</v>
      </c>
      <c r="AR338" s="7">
        <v>0</v>
      </c>
      <c r="AS338" s="7">
        <v>0</v>
      </c>
      <c r="AT338">
        <v>1</v>
      </c>
      <c r="AW338" s="7"/>
      <c r="BD338" s="7"/>
      <c r="BE338" s="7">
        <v>240</v>
      </c>
      <c r="BG338" s="7">
        <v>2</v>
      </c>
      <c r="BL338" s="7">
        <v>0</v>
      </c>
    </row>
    <row r="339" spans="1:64" s="26" customFormat="1">
      <c r="A339" s="26">
        <v>90174</v>
      </c>
      <c r="B339" s="26" t="s">
        <v>708</v>
      </c>
      <c r="C339" s="26" t="s">
        <v>689</v>
      </c>
      <c r="D339" s="26" t="s">
        <v>690</v>
      </c>
      <c r="E339" s="26">
        <v>1</v>
      </c>
      <c r="F339" s="26" t="s">
        <v>959</v>
      </c>
      <c r="G339" s="26">
        <v>0</v>
      </c>
      <c r="H339" s="26">
        <v>0</v>
      </c>
      <c r="I339" s="26">
        <v>99999</v>
      </c>
      <c r="J339" s="26">
        <v>0</v>
      </c>
      <c r="K339" s="26">
        <v>0</v>
      </c>
      <c r="L339" s="26" t="s">
        <v>1562</v>
      </c>
      <c r="M339" s="26">
        <v>99</v>
      </c>
      <c r="N339" s="27">
        <v>1</v>
      </c>
      <c r="P339" s="26">
        <v>0</v>
      </c>
      <c r="Q339" s="26">
        <v>0</v>
      </c>
      <c r="S339" s="26">
        <v>1</v>
      </c>
      <c r="T339" s="26">
        <v>0</v>
      </c>
      <c r="V339" s="26">
        <v>1</v>
      </c>
      <c r="W339" s="26">
        <v>0</v>
      </c>
      <c r="X339" s="33"/>
      <c r="Y339" s="26" t="s">
        <v>1648</v>
      </c>
      <c r="Z339" s="26" t="s">
        <v>2639</v>
      </c>
      <c r="AA339" s="26" t="s">
        <v>528</v>
      </c>
      <c r="AB339" s="26">
        <v>0</v>
      </c>
      <c r="AC339" s="26">
        <v>13</v>
      </c>
      <c r="AD339" s="26">
        <v>0</v>
      </c>
      <c r="AE339" s="26">
        <v>10</v>
      </c>
      <c r="AF339" s="26">
        <v>1</v>
      </c>
      <c r="AI339" s="26">
        <v>0</v>
      </c>
      <c r="AJ339" s="26">
        <v>0</v>
      </c>
      <c r="AK339" s="26">
        <v>0</v>
      </c>
      <c r="AL339" s="26">
        <v>0</v>
      </c>
      <c r="AM339" s="26">
        <v>0</v>
      </c>
      <c r="AN339" s="26">
        <v>0</v>
      </c>
      <c r="AP339" s="26">
        <v>0</v>
      </c>
      <c r="AQ339" s="27"/>
      <c r="AR339" s="27">
        <v>0</v>
      </c>
      <c r="AS339" s="27">
        <v>0</v>
      </c>
      <c r="AT339" s="26">
        <v>1</v>
      </c>
      <c r="AV339" s="27"/>
      <c r="AW339" s="27"/>
      <c r="AX339" s="27"/>
      <c r="AY339" s="27"/>
      <c r="AZ339" s="27"/>
      <c r="BA339" s="27"/>
      <c r="BB339" s="27"/>
      <c r="BC339" s="27"/>
      <c r="BD339" s="27"/>
      <c r="BE339" s="27">
        <v>240</v>
      </c>
      <c r="BG339" s="26">
        <v>2</v>
      </c>
      <c r="BL339" s="7">
        <v>0</v>
      </c>
    </row>
    <row r="340" spans="1:64" s="26" customFormat="1">
      <c r="A340" s="26">
        <v>90175</v>
      </c>
      <c r="B340" s="26" t="s">
        <v>709</v>
      </c>
      <c r="C340" s="26" t="s">
        <v>689</v>
      </c>
      <c r="D340" s="26" t="s">
        <v>690</v>
      </c>
      <c r="E340" s="26">
        <v>1</v>
      </c>
      <c r="F340" s="26" t="s">
        <v>959</v>
      </c>
      <c r="G340" s="26">
        <v>0</v>
      </c>
      <c r="H340" s="26">
        <v>0</v>
      </c>
      <c r="I340" s="26">
        <v>99999</v>
      </c>
      <c r="J340" s="26">
        <v>0</v>
      </c>
      <c r="K340" s="26">
        <v>0</v>
      </c>
      <c r="L340" s="26" t="s">
        <v>1562</v>
      </c>
      <c r="M340" s="26">
        <v>99</v>
      </c>
      <c r="N340" s="27">
        <v>1</v>
      </c>
      <c r="P340" s="26">
        <v>0</v>
      </c>
      <c r="Q340" s="26">
        <v>0</v>
      </c>
      <c r="S340" s="26">
        <v>1</v>
      </c>
      <c r="T340" s="26">
        <v>0</v>
      </c>
      <c r="V340" s="26">
        <v>1</v>
      </c>
      <c r="W340" s="26">
        <v>0</v>
      </c>
      <c r="X340" s="33"/>
      <c r="Y340" s="26" t="s">
        <v>1645</v>
      </c>
      <c r="Z340" s="26" t="s">
        <v>2640</v>
      </c>
      <c r="AA340" s="26" t="s">
        <v>528</v>
      </c>
      <c r="AB340" s="26">
        <v>0</v>
      </c>
      <c r="AC340" s="26">
        <v>4</v>
      </c>
      <c r="AD340" s="26">
        <v>0</v>
      </c>
      <c r="AE340" s="26">
        <v>10</v>
      </c>
      <c r="AF340" s="26">
        <v>1</v>
      </c>
      <c r="AI340" s="26">
        <v>0</v>
      </c>
      <c r="AJ340" s="26">
        <v>0</v>
      </c>
      <c r="AK340" s="26">
        <v>0</v>
      </c>
      <c r="AL340" s="26">
        <v>0</v>
      </c>
      <c r="AM340" s="26">
        <v>0</v>
      </c>
      <c r="AN340" s="26">
        <v>0</v>
      </c>
      <c r="AP340" s="26">
        <v>0</v>
      </c>
      <c r="AQ340" s="27"/>
      <c r="AR340" s="27">
        <v>0</v>
      </c>
      <c r="AS340" s="27">
        <v>0</v>
      </c>
      <c r="AT340" s="26">
        <v>1</v>
      </c>
      <c r="AV340" s="27"/>
      <c r="AW340" s="27"/>
      <c r="AX340" s="27"/>
      <c r="AY340" s="27"/>
      <c r="AZ340" s="27"/>
      <c r="BA340" s="27"/>
      <c r="BB340" s="27"/>
      <c r="BC340" s="27"/>
      <c r="BD340" s="27"/>
      <c r="BE340" s="27">
        <v>240</v>
      </c>
      <c r="BG340" s="26">
        <v>2</v>
      </c>
      <c r="BL340" s="7">
        <v>0</v>
      </c>
    </row>
    <row r="341" spans="1:64">
      <c r="A341">
        <v>90176</v>
      </c>
      <c r="B341" t="s">
        <v>1679</v>
      </c>
      <c r="C341" s="7" t="s">
        <v>540</v>
      </c>
      <c r="D341" s="7" t="s">
        <v>550</v>
      </c>
      <c r="E341">
        <v>1</v>
      </c>
      <c r="F341" t="s">
        <v>959</v>
      </c>
      <c r="G341">
        <v>0</v>
      </c>
      <c r="H341">
        <v>0</v>
      </c>
      <c r="I341">
        <v>99999</v>
      </c>
      <c r="J341">
        <v>0</v>
      </c>
      <c r="K341">
        <v>0</v>
      </c>
      <c r="L341" s="7" t="s">
        <v>1562</v>
      </c>
      <c r="M341">
        <v>99</v>
      </c>
      <c r="N341" s="7">
        <v>1</v>
      </c>
      <c r="P341">
        <v>0</v>
      </c>
      <c r="Q341">
        <v>0</v>
      </c>
      <c r="S341">
        <v>1</v>
      </c>
      <c r="T341">
        <v>0</v>
      </c>
      <c r="V341">
        <v>1</v>
      </c>
      <c r="W341">
        <v>0</v>
      </c>
      <c r="X341" s="6" t="s">
        <v>951</v>
      </c>
      <c r="Y341" t="s">
        <v>1644</v>
      </c>
      <c r="Z341" s="7" t="s">
        <v>2650</v>
      </c>
      <c r="AA341" t="s">
        <v>701</v>
      </c>
      <c r="AB341">
        <v>0</v>
      </c>
      <c r="AC341">
        <v>1</v>
      </c>
      <c r="AD341">
        <v>0</v>
      </c>
      <c r="AE341">
        <v>10</v>
      </c>
      <c r="AF341" s="7">
        <v>1</v>
      </c>
      <c r="AI341">
        <v>0</v>
      </c>
      <c r="AJ341">
        <v>0</v>
      </c>
      <c r="AK341" s="7">
        <v>0</v>
      </c>
      <c r="AL341" s="7">
        <v>0</v>
      </c>
      <c r="AM341" s="7">
        <v>0</v>
      </c>
      <c r="AN341" s="7">
        <v>0</v>
      </c>
      <c r="AP341">
        <v>0</v>
      </c>
      <c r="AR341" s="7">
        <v>0</v>
      </c>
      <c r="AS341" s="7">
        <v>0</v>
      </c>
      <c r="AT341">
        <v>1</v>
      </c>
      <c r="AW341" s="7"/>
      <c r="BD341" s="7"/>
      <c r="BE341" s="7">
        <v>240</v>
      </c>
      <c r="BG341" s="7">
        <v>2</v>
      </c>
      <c r="BL341" s="7">
        <v>0</v>
      </c>
    </row>
    <row r="342" spans="1:64">
      <c r="A342">
        <v>90177</v>
      </c>
      <c r="B342" t="s">
        <v>1680</v>
      </c>
      <c r="C342" s="7" t="s">
        <v>540</v>
      </c>
      <c r="D342" s="7" t="s">
        <v>550</v>
      </c>
      <c r="E342">
        <v>1</v>
      </c>
      <c r="F342" t="s">
        <v>959</v>
      </c>
      <c r="G342">
        <v>0</v>
      </c>
      <c r="H342">
        <v>0</v>
      </c>
      <c r="I342">
        <v>99999</v>
      </c>
      <c r="J342">
        <v>0</v>
      </c>
      <c r="K342">
        <v>0</v>
      </c>
      <c r="L342" s="7" t="s">
        <v>1562</v>
      </c>
      <c r="M342" s="7">
        <v>99</v>
      </c>
      <c r="N342" s="7">
        <v>1</v>
      </c>
      <c r="P342">
        <v>0</v>
      </c>
      <c r="Q342">
        <v>0</v>
      </c>
      <c r="S342">
        <v>1</v>
      </c>
      <c r="T342">
        <v>0</v>
      </c>
      <c r="V342">
        <v>1</v>
      </c>
      <c r="W342">
        <v>0</v>
      </c>
      <c r="X342" s="6" t="s">
        <v>951</v>
      </c>
      <c r="Y342" t="s">
        <v>1644</v>
      </c>
      <c r="Z342" s="7" t="s">
        <v>2650</v>
      </c>
      <c r="AA342" t="s">
        <v>701</v>
      </c>
      <c r="AB342">
        <v>0</v>
      </c>
      <c r="AC342" s="7">
        <v>1</v>
      </c>
      <c r="AD342">
        <v>0</v>
      </c>
      <c r="AE342">
        <v>10</v>
      </c>
      <c r="AF342" s="7">
        <v>1</v>
      </c>
      <c r="AI342">
        <v>0</v>
      </c>
      <c r="AJ342">
        <v>0</v>
      </c>
      <c r="AK342" s="7">
        <v>0</v>
      </c>
      <c r="AL342" s="7">
        <v>0</v>
      </c>
      <c r="AM342" s="7">
        <v>0</v>
      </c>
      <c r="AN342" s="7">
        <v>0</v>
      </c>
      <c r="AP342">
        <v>0</v>
      </c>
      <c r="AR342" s="7">
        <v>0</v>
      </c>
      <c r="AS342" s="7">
        <v>0</v>
      </c>
      <c r="AT342">
        <v>1</v>
      </c>
      <c r="AW342" s="7"/>
      <c r="BD342" s="7"/>
      <c r="BE342" s="7">
        <v>240</v>
      </c>
      <c r="BG342" s="7">
        <v>2</v>
      </c>
      <c r="BL342" s="7">
        <v>0</v>
      </c>
    </row>
    <row r="343" spans="1:64">
      <c r="A343">
        <v>90178</v>
      </c>
      <c r="B343" t="s">
        <v>1681</v>
      </c>
      <c r="C343" s="7" t="s">
        <v>540</v>
      </c>
      <c r="D343" s="7" t="s">
        <v>550</v>
      </c>
      <c r="E343">
        <v>1</v>
      </c>
      <c r="F343" t="s">
        <v>959</v>
      </c>
      <c r="G343">
        <v>0</v>
      </c>
      <c r="H343">
        <v>0</v>
      </c>
      <c r="I343">
        <v>99999</v>
      </c>
      <c r="J343">
        <v>0</v>
      </c>
      <c r="K343">
        <v>0</v>
      </c>
      <c r="L343" s="7" t="s">
        <v>1562</v>
      </c>
      <c r="M343" s="7">
        <v>99</v>
      </c>
      <c r="N343" s="7">
        <v>1</v>
      </c>
      <c r="P343">
        <v>0</v>
      </c>
      <c r="Q343">
        <v>0</v>
      </c>
      <c r="S343">
        <v>1</v>
      </c>
      <c r="T343">
        <v>0</v>
      </c>
      <c r="V343">
        <v>1</v>
      </c>
      <c r="W343">
        <v>0</v>
      </c>
      <c r="X343" s="6" t="s">
        <v>951</v>
      </c>
      <c r="Y343" t="s">
        <v>1644</v>
      </c>
      <c r="Z343" s="7" t="s">
        <v>2650</v>
      </c>
      <c r="AA343" t="s">
        <v>701</v>
      </c>
      <c r="AB343">
        <v>0</v>
      </c>
      <c r="AC343" s="7">
        <v>1</v>
      </c>
      <c r="AD343">
        <v>0</v>
      </c>
      <c r="AE343">
        <v>10</v>
      </c>
      <c r="AF343" s="7">
        <v>1</v>
      </c>
      <c r="AI343">
        <v>0</v>
      </c>
      <c r="AJ343">
        <v>0</v>
      </c>
      <c r="AK343" s="7">
        <v>0</v>
      </c>
      <c r="AL343" s="7">
        <v>0</v>
      </c>
      <c r="AM343" s="7">
        <v>0</v>
      </c>
      <c r="AN343" s="7">
        <v>0</v>
      </c>
      <c r="AP343">
        <v>0</v>
      </c>
      <c r="AR343" s="7">
        <v>0</v>
      </c>
      <c r="AS343" s="7">
        <v>0</v>
      </c>
      <c r="AT343">
        <v>1</v>
      </c>
      <c r="AW343" s="7"/>
      <c r="BD343" s="7"/>
      <c r="BE343" s="7">
        <v>240</v>
      </c>
      <c r="BG343" s="7">
        <v>2</v>
      </c>
      <c r="BL343" s="7">
        <v>0</v>
      </c>
    </row>
    <row r="344" spans="1:64">
      <c r="A344">
        <v>90179</v>
      </c>
      <c r="B344" t="s">
        <v>1047</v>
      </c>
      <c r="C344" s="7" t="s">
        <v>540</v>
      </c>
      <c r="D344" s="7" t="s">
        <v>550</v>
      </c>
      <c r="E344">
        <v>1</v>
      </c>
      <c r="F344" t="s">
        <v>959</v>
      </c>
      <c r="G344">
        <v>0</v>
      </c>
      <c r="H344">
        <v>0</v>
      </c>
      <c r="I344">
        <v>99999</v>
      </c>
      <c r="J344">
        <v>0</v>
      </c>
      <c r="K344">
        <v>0</v>
      </c>
      <c r="L344" s="7" t="s">
        <v>1562</v>
      </c>
      <c r="M344" s="7">
        <v>99</v>
      </c>
      <c r="N344" s="7">
        <v>1</v>
      </c>
      <c r="P344">
        <v>0</v>
      </c>
      <c r="Q344">
        <v>0</v>
      </c>
      <c r="S344">
        <v>1</v>
      </c>
      <c r="T344">
        <v>0</v>
      </c>
      <c r="V344">
        <v>1</v>
      </c>
      <c r="W344">
        <v>0</v>
      </c>
      <c r="X344" s="6" t="s">
        <v>951</v>
      </c>
      <c r="Y344" t="s">
        <v>1644</v>
      </c>
      <c r="Z344" s="7" t="s">
        <v>2650</v>
      </c>
      <c r="AA344" t="s">
        <v>701</v>
      </c>
      <c r="AB344">
        <v>0</v>
      </c>
      <c r="AC344" s="7">
        <v>1</v>
      </c>
      <c r="AD344">
        <v>0</v>
      </c>
      <c r="AE344">
        <v>10</v>
      </c>
      <c r="AF344" s="7">
        <v>1</v>
      </c>
      <c r="AI344">
        <v>0</v>
      </c>
      <c r="AJ344">
        <v>0</v>
      </c>
      <c r="AK344" s="7">
        <v>0</v>
      </c>
      <c r="AL344" s="7">
        <v>0</v>
      </c>
      <c r="AM344" s="7">
        <v>0</v>
      </c>
      <c r="AN344" s="7">
        <v>0</v>
      </c>
      <c r="AP344">
        <v>0</v>
      </c>
      <c r="AR344" s="7">
        <v>0</v>
      </c>
      <c r="AS344" s="7">
        <v>0</v>
      </c>
      <c r="AT344">
        <v>1</v>
      </c>
      <c r="AW344" s="7"/>
      <c r="BD344" s="7"/>
      <c r="BE344" s="7">
        <v>240</v>
      </c>
      <c r="BG344" s="7">
        <v>2</v>
      </c>
      <c r="BL344" s="7">
        <v>0</v>
      </c>
    </row>
    <row r="345" spans="1:64">
      <c r="A345">
        <v>90180</v>
      </c>
      <c r="B345" t="s">
        <v>1048</v>
      </c>
      <c r="C345" s="7" t="s">
        <v>540</v>
      </c>
      <c r="D345" s="7" t="s">
        <v>550</v>
      </c>
      <c r="E345">
        <v>1</v>
      </c>
      <c r="F345" t="s">
        <v>959</v>
      </c>
      <c r="G345">
        <v>0</v>
      </c>
      <c r="H345">
        <v>0</v>
      </c>
      <c r="I345">
        <v>99999</v>
      </c>
      <c r="J345">
        <v>0</v>
      </c>
      <c r="K345">
        <v>0</v>
      </c>
      <c r="L345" s="7" t="s">
        <v>1562</v>
      </c>
      <c r="M345" s="7">
        <v>99</v>
      </c>
      <c r="N345" s="7">
        <v>1</v>
      </c>
      <c r="P345">
        <v>0</v>
      </c>
      <c r="Q345">
        <v>0</v>
      </c>
      <c r="S345">
        <v>1</v>
      </c>
      <c r="T345">
        <v>0</v>
      </c>
      <c r="V345">
        <v>1</v>
      </c>
      <c r="W345">
        <v>0</v>
      </c>
      <c r="X345" s="6" t="s">
        <v>951</v>
      </c>
      <c r="Y345" t="s">
        <v>1644</v>
      </c>
      <c r="Z345" s="7" t="s">
        <v>2650</v>
      </c>
      <c r="AA345" t="s">
        <v>701</v>
      </c>
      <c r="AB345">
        <v>0</v>
      </c>
      <c r="AC345" s="7">
        <v>1</v>
      </c>
      <c r="AD345">
        <v>0</v>
      </c>
      <c r="AE345">
        <v>10</v>
      </c>
      <c r="AF345" s="7">
        <v>1</v>
      </c>
      <c r="AI345">
        <v>0</v>
      </c>
      <c r="AJ345">
        <v>0</v>
      </c>
      <c r="AK345" s="7">
        <v>0</v>
      </c>
      <c r="AL345" s="7">
        <v>0</v>
      </c>
      <c r="AM345" s="7">
        <v>0</v>
      </c>
      <c r="AN345" s="7">
        <v>0</v>
      </c>
      <c r="AP345">
        <v>0</v>
      </c>
      <c r="AR345" s="7">
        <v>0</v>
      </c>
      <c r="AS345" s="7">
        <v>0</v>
      </c>
      <c r="AT345">
        <v>1</v>
      </c>
      <c r="AW345" s="7"/>
      <c r="BD345" s="7"/>
      <c r="BE345" s="7">
        <v>240</v>
      </c>
      <c r="BG345" s="7">
        <v>2</v>
      </c>
      <c r="BL345" s="7">
        <v>0</v>
      </c>
    </row>
    <row r="346" spans="1:64">
      <c r="A346">
        <v>90181</v>
      </c>
      <c r="B346" t="s">
        <v>1049</v>
      </c>
      <c r="C346" s="7" t="s">
        <v>540</v>
      </c>
      <c r="D346" s="7" t="s">
        <v>550</v>
      </c>
      <c r="E346">
        <v>1</v>
      </c>
      <c r="F346" t="s">
        <v>959</v>
      </c>
      <c r="G346">
        <v>0</v>
      </c>
      <c r="H346">
        <v>0</v>
      </c>
      <c r="I346">
        <v>99999</v>
      </c>
      <c r="J346">
        <v>0</v>
      </c>
      <c r="K346">
        <v>0</v>
      </c>
      <c r="L346" s="7" t="s">
        <v>1562</v>
      </c>
      <c r="M346" s="7">
        <v>99</v>
      </c>
      <c r="N346" s="7">
        <v>1</v>
      </c>
      <c r="P346">
        <v>0</v>
      </c>
      <c r="Q346">
        <v>0</v>
      </c>
      <c r="S346">
        <v>1</v>
      </c>
      <c r="T346">
        <v>0</v>
      </c>
      <c r="V346">
        <v>1</v>
      </c>
      <c r="W346">
        <v>0</v>
      </c>
      <c r="X346" s="6" t="s">
        <v>951</v>
      </c>
      <c r="Y346" t="s">
        <v>1644</v>
      </c>
      <c r="Z346" s="7" t="s">
        <v>2650</v>
      </c>
      <c r="AA346" t="s">
        <v>701</v>
      </c>
      <c r="AB346">
        <v>0</v>
      </c>
      <c r="AC346" s="7">
        <v>1</v>
      </c>
      <c r="AD346">
        <v>0</v>
      </c>
      <c r="AE346">
        <v>10</v>
      </c>
      <c r="AF346" s="7">
        <v>1</v>
      </c>
      <c r="AI346">
        <v>0</v>
      </c>
      <c r="AJ346">
        <v>0</v>
      </c>
      <c r="AK346" s="7">
        <v>0</v>
      </c>
      <c r="AL346" s="7">
        <v>0</v>
      </c>
      <c r="AM346" s="7">
        <v>0</v>
      </c>
      <c r="AN346" s="7">
        <v>0</v>
      </c>
      <c r="AP346">
        <v>0</v>
      </c>
      <c r="AR346" s="7">
        <v>0</v>
      </c>
      <c r="AS346" s="7">
        <v>0</v>
      </c>
      <c r="AT346">
        <v>1</v>
      </c>
      <c r="AW346" s="7"/>
      <c r="BD346" s="7"/>
      <c r="BE346" s="7">
        <v>240</v>
      </c>
      <c r="BG346" s="7">
        <v>2</v>
      </c>
      <c r="BL346" s="7">
        <v>0</v>
      </c>
    </row>
    <row r="347" spans="1:64">
      <c r="A347">
        <v>90182</v>
      </c>
      <c r="B347" t="s">
        <v>953</v>
      </c>
      <c r="C347" s="7" t="s">
        <v>540</v>
      </c>
      <c r="D347" s="7" t="s">
        <v>550</v>
      </c>
      <c r="E347">
        <v>1</v>
      </c>
      <c r="F347" t="s">
        <v>959</v>
      </c>
      <c r="G347">
        <v>0</v>
      </c>
      <c r="H347">
        <v>0</v>
      </c>
      <c r="I347">
        <v>99999</v>
      </c>
      <c r="J347">
        <v>0</v>
      </c>
      <c r="K347">
        <v>0</v>
      </c>
      <c r="L347" s="7" t="s">
        <v>1562</v>
      </c>
      <c r="M347" s="7">
        <v>99</v>
      </c>
      <c r="N347" s="7">
        <v>1</v>
      </c>
      <c r="P347">
        <v>0</v>
      </c>
      <c r="Q347">
        <v>0</v>
      </c>
      <c r="S347">
        <v>1</v>
      </c>
      <c r="T347">
        <v>0</v>
      </c>
      <c r="V347">
        <v>1</v>
      </c>
      <c r="W347">
        <v>0</v>
      </c>
      <c r="X347" s="6" t="s">
        <v>951</v>
      </c>
      <c r="Y347" t="s">
        <v>1644</v>
      </c>
      <c r="Z347" s="7" t="s">
        <v>2650</v>
      </c>
      <c r="AA347" t="s">
        <v>701</v>
      </c>
      <c r="AB347">
        <v>0</v>
      </c>
      <c r="AC347" s="7">
        <v>1</v>
      </c>
      <c r="AD347">
        <v>0</v>
      </c>
      <c r="AE347">
        <v>10</v>
      </c>
      <c r="AF347" s="7">
        <v>1</v>
      </c>
      <c r="AI347">
        <v>0</v>
      </c>
      <c r="AJ347">
        <v>0</v>
      </c>
      <c r="AK347" s="7">
        <v>0</v>
      </c>
      <c r="AL347" s="7">
        <v>0</v>
      </c>
      <c r="AM347" s="7">
        <v>0</v>
      </c>
      <c r="AN347" s="7">
        <v>0</v>
      </c>
      <c r="AP347">
        <v>0</v>
      </c>
      <c r="AR347" s="7">
        <v>0</v>
      </c>
      <c r="AS347" s="7">
        <v>0</v>
      </c>
      <c r="AT347">
        <v>1</v>
      </c>
      <c r="AW347" s="7"/>
      <c r="BD347" s="7"/>
      <c r="BE347" s="7">
        <v>240</v>
      </c>
      <c r="BG347" s="7">
        <v>2</v>
      </c>
      <c r="BL347" s="7">
        <v>0</v>
      </c>
    </row>
    <row r="348" spans="1:64">
      <c r="A348">
        <v>90183</v>
      </c>
      <c r="B348" t="s">
        <v>710</v>
      </c>
      <c r="C348" t="s">
        <v>689</v>
      </c>
      <c r="D348" t="s">
        <v>690</v>
      </c>
      <c r="E348">
        <v>1</v>
      </c>
      <c r="F348" t="s">
        <v>959</v>
      </c>
      <c r="G348">
        <v>0</v>
      </c>
      <c r="H348">
        <v>0</v>
      </c>
      <c r="I348">
        <v>99999</v>
      </c>
      <c r="J348">
        <v>0</v>
      </c>
      <c r="K348">
        <v>0</v>
      </c>
      <c r="L348" t="s">
        <v>1562</v>
      </c>
      <c r="M348">
        <v>99</v>
      </c>
      <c r="N348" s="7">
        <v>1</v>
      </c>
      <c r="P348">
        <v>0</v>
      </c>
      <c r="Q348">
        <v>0</v>
      </c>
      <c r="S348">
        <v>1</v>
      </c>
      <c r="T348">
        <v>0</v>
      </c>
      <c r="V348">
        <v>1</v>
      </c>
      <c r="W348">
        <v>0</v>
      </c>
      <c r="Y348" t="s">
        <v>1649</v>
      </c>
      <c r="Z348" t="s">
        <v>2641</v>
      </c>
      <c r="AA348" t="s">
        <v>2301</v>
      </c>
      <c r="AB348">
        <v>0</v>
      </c>
      <c r="AC348" s="7">
        <v>1</v>
      </c>
      <c r="AD348">
        <v>0</v>
      </c>
      <c r="AE348">
        <v>10</v>
      </c>
      <c r="AF348" s="7">
        <v>0</v>
      </c>
      <c r="AI348">
        <v>0</v>
      </c>
      <c r="AJ348">
        <v>0</v>
      </c>
      <c r="AK348" s="7">
        <v>0</v>
      </c>
      <c r="AL348" s="7">
        <v>0</v>
      </c>
      <c r="AM348" s="7">
        <v>0</v>
      </c>
      <c r="AN348" s="7">
        <v>0</v>
      </c>
      <c r="AP348">
        <v>0</v>
      </c>
      <c r="AR348" s="7">
        <v>0</v>
      </c>
      <c r="AS348" s="7">
        <v>0</v>
      </c>
      <c r="AT348">
        <v>1</v>
      </c>
      <c r="AW348" s="7"/>
      <c r="BD348" s="7"/>
      <c r="BE348" s="7">
        <v>240</v>
      </c>
      <c r="BG348" s="7">
        <v>2</v>
      </c>
      <c r="BL348" s="7">
        <v>0</v>
      </c>
    </row>
    <row r="349" spans="1:64">
      <c r="A349" s="7">
        <v>90184</v>
      </c>
      <c r="B349" t="s">
        <v>711</v>
      </c>
      <c r="C349" t="s">
        <v>689</v>
      </c>
      <c r="D349" t="s">
        <v>690</v>
      </c>
      <c r="E349">
        <v>1</v>
      </c>
      <c r="F349" t="s">
        <v>959</v>
      </c>
      <c r="G349">
        <v>0</v>
      </c>
      <c r="H349">
        <v>0</v>
      </c>
      <c r="I349">
        <v>99999</v>
      </c>
      <c r="J349">
        <v>0</v>
      </c>
      <c r="K349">
        <v>0</v>
      </c>
      <c r="L349" t="s">
        <v>1562</v>
      </c>
      <c r="M349">
        <v>99</v>
      </c>
      <c r="N349" s="7">
        <v>1</v>
      </c>
      <c r="P349">
        <v>0</v>
      </c>
      <c r="Q349">
        <v>0</v>
      </c>
      <c r="S349">
        <v>1</v>
      </c>
      <c r="T349">
        <v>0</v>
      </c>
      <c r="V349">
        <v>1</v>
      </c>
      <c r="W349">
        <v>0</v>
      </c>
      <c r="Y349" t="s">
        <v>1650</v>
      </c>
      <c r="Z349" t="s">
        <v>2642</v>
      </c>
      <c r="AA349" t="s">
        <v>1306</v>
      </c>
      <c r="AB349">
        <v>0</v>
      </c>
      <c r="AC349">
        <v>4</v>
      </c>
      <c r="AD349">
        <v>0</v>
      </c>
      <c r="AE349">
        <v>10</v>
      </c>
      <c r="AF349" s="7">
        <v>0</v>
      </c>
      <c r="AI349">
        <v>0</v>
      </c>
      <c r="AJ349">
        <v>0</v>
      </c>
      <c r="AK349" s="7">
        <v>0</v>
      </c>
      <c r="AL349" s="7">
        <v>0</v>
      </c>
      <c r="AM349" s="7">
        <v>0</v>
      </c>
      <c r="AN349" s="7">
        <v>0</v>
      </c>
      <c r="AP349">
        <v>0</v>
      </c>
      <c r="AR349" s="7">
        <v>0</v>
      </c>
      <c r="AS349" s="7">
        <v>0</v>
      </c>
      <c r="AT349">
        <v>1</v>
      </c>
      <c r="AW349" s="7"/>
      <c r="BD349" s="7"/>
      <c r="BE349" s="7">
        <v>240</v>
      </c>
      <c r="BG349" s="7">
        <v>2</v>
      </c>
      <c r="BL349" s="7">
        <v>0</v>
      </c>
    </row>
    <row r="350" spans="1:64" s="38" customFormat="1">
      <c r="A350" s="38">
        <v>90185</v>
      </c>
      <c r="B350" s="38" t="s">
        <v>1748</v>
      </c>
      <c r="C350" s="38" t="s">
        <v>689</v>
      </c>
      <c r="D350" s="38" t="s">
        <v>690</v>
      </c>
      <c r="E350" s="38">
        <v>1</v>
      </c>
      <c r="F350" s="38" t="s">
        <v>959</v>
      </c>
      <c r="G350" s="38">
        <v>0</v>
      </c>
      <c r="H350" s="38">
        <v>0</v>
      </c>
      <c r="I350" s="38">
        <v>99999</v>
      </c>
      <c r="J350" s="38">
        <v>0</v>
      </c>
      <c r="K350" s="38">
        <v>0</v>
      </c>
      <c r="L350" s="38" t="s">
        <v>1562</v>
      </c>
      <c r="M350" s="38">
        <v>99</v>
      </c>
      <c r="N350" s="38">
        <v>1</v>
      </c>
      <c r="P350" s="38">
        <v>0</v>
      </c>
      <c r="Q350" s="38">
        <v>0</v>
      </c>
      <c r="S350" s="38">
        <v>1</v>
      </c>
      <c r="T350" s="38">
        <v>0</v>
      </c>
      <c r="V350" s="38">
        <v>1</v>
      </c>
      <c r="W350" s="38">
        <v>0</v>
      </c>
      <c r="X350" s="39"/>
      <c r="Y350" s="38" t="s">
        <v>1651</v>
      </c>
      <c r="Z350" s="38" t="s">
        <v>2643</v>
      </c>
      <c r="AA350" s="38" t="s">
        <v>701</v>
      </c>
      <c r="AB350" s="38">
        <v>0</v>
      </c>
      <c r="AC350" s="38">
        <v>3</v>
      </c>
      <c r="AD350" s="38">
        <v>0</v>
      </c>
      <c r="AE350" s="38">
        <v>10</v>
      </c>
      <c r="AF350" s="38">
        <v>0</v>
      </c>
      <c r="AI350" s="38">
        <v>0</v>
      </c>
      <c r="AJ350" s="38">
        <v>0</v>
      </c>
      <c r="AK350" s="38">
        <v>0</v>
      </c>
      <c r="AL350" s="38">
        <v>0</v>
      </c>
      <c r="AM350" s="38">
        <v>0</v>
      </c>
      <c r="AN350" s="38">
        <v>0</v>
      </c>
      <c r="AP350" s="38">
        <v>0</v>
      </c>
      <c r="AR350" s="38">
        <v>0</v>
      </c>
      <c r="AS350" s="38">
        <v>0</v>
      </c>
      <c r="AT350" s="38">
        <v>1</v>
      </c>
      <c r="BE350" s="38">
        <v>240</v>
      </c>
      <c r="BG350" s="38">
        <v>2</v>
      </c>
      <c r="BL350" s="7">
        <v>0</v>
      </c>
    </row>
    <row r="351" spans="1:64" s="38" customFormat="1">
      <c r="A351" s="38">
        <v>90186</v>
      </c>
      <c r="B351" s="38" t="s">
        <v>916</v>
      </c>
      <c r="C351" s="38" t="s">
        <v>689</v>
      </c>
      <c r="D351" s="38" t="s">
        <v>690</v>
      </c>
      <c r="E351" s="38">
        <v>1</v>
      </c>
      <c r="F351" s="38" t="s">
        <v>959</v>
      </c>
      <c r="G351" s="38">
        <v>0</v>
      </c>
      <c r="H351" s="38">
        <v>0</v>
      </c>
      <c r="I351" s="38">
        <v>99999</v>
      </c>
      <c r="J351" s="38">
        <v>0</v>
      </c>
      <c r="K351" s="38">
        <v>0</v>
      </c>
      <c r="L351" s="38" t="s">
        <v>1562</v>
      </c>
      <c r="M351" s="38">
        <v>99</v>
      </c>
      <c r="N351" s="38">
        <v>1</v>
      </c>
      <c r="P351" s="38">
        <v>0</v>
      </c>
      <c r="Q351" s="38">
        <v>0</v>
      </c>
      <c r="S351" s="38">
        <v>1</v>
      </c>
      <c r="T351" s="38">
        <v>0</v>
      </c>
      <c r="V351" s="38">
        <v>1</v>
      </c>
      <c r="W351" s="38">
        <v>0</v>
      </c>
      <c r="X351" s="39"/>
      <c r="Y351" s="38" t="s">
        <v>1652</v>
      </c>
      <c r="Z351" s="38" t="s">
        <v>2644</v>
      </c>
      <c r="AA351" s="38" t="s">
        <v>701</v>
      </c>
      <c r="AB351" s="38">
        <v>0</v>
      </c>
      <c r="AC351" s="38">
        <v>13</v>
      </c>
      <c r="AD351" s="38">
        <v>0</v>
      </c>
      <c r="AE351" s="38">
        <v>10</v>
      </c>
      <c r="AF351" s="38">
        <v>0</v>
      </c>
      <c r="AI351" s="38">
        <v>0</v>
      </c>
      <c r="AJ351" s="38">
        <v>0</v>
      </c>
      <c r="AK351" s="38">
        <v>0</v>
      </c>
      <c r="AL351" s="38">
        <v>0</v>
      </c>
      <c r="AM351" s="38">
        <v>0</v>
      </c>
      <c r="AN351" s="38">
        <v>0</v>
      </c>
      <c r="AP351" s="38">
        <v>0</v>
      </c>
      <c r="AR351" s="38">
        <v>0</v>
      </c>
      <c r="AS351" s="38">
        <v>0</v>
      </c>
      <c r="AT351" s="38">
        <v>1</v>
      </c>
      <c r="BE351" s="38">
        <v>240</v>
      </c>
      <c r="BG351" s="38">
        <v>2</v>
      </c>
      <c r="BL351" s="7">
        <v>0</v>
      </c>
    </row>
    <row r="352" spans="1:64" s="38" customFormat="1">
      <c r="A352" s="38">
        <v>90187</v>
      </c>
      <c r="B352" s="38" t="s">
        <v>917</v>
      </c>
      <c r="C352" s="38" t="s">
        <v>689</v>
      </c>
      <c r="D352" s="38" t="s">
        <v>690</v>
      </c>
      <c r="E352" s="38">
        <v>1</v>
      </c>
      <c r="F352" s="38" t="s">
        <v>959</v>
      </c>
      <c r="G352" s="38">
        <v>0</v>
      </c>
      <c r="H352" s="38">
        <v>0</v>
      </c>
      <c r="I352" s="38">
        <v>99999</v>
      </c>
      <c r="J352" s="38">
        <v>0</v>
      </c>
      <c r="K352" s="38">
        <v>0</v>
      </c>
      <c r="L352" s="38" t="s">
        <v>1562</v>
      </c>
      <c r="M352" s="38">
        <v>99</v>
      </c>
      <c r="N352" s="38">
        <v>1</v>
      </c>
      <c r="P352" s="38">
        <v>0</v>
      </c>
      <c r="Q352" s="38">
        <v>0</v>
      </c>
      <c r="S352" s="38">
        <v>1</v>
      </c>
      <c r="T352" s="38">
        <v>0</v>
      </c>
      <c r="V352" s="38">
        <v>1</v>
      </c>
      <c r="W352" s="38">
        <v>0</v>
      </c>
      <c r="X352" s="39"/>
      <c r="Y352" s="38" t="s">
        <v>1653</v>
      </c>
      <c r="Z352" s="38" t="s">
        <v>2645</v>
      </c>
      <c r="AA352" s="38" t="s">
        <v>701</v>
      </c>
      <c r="AB352" s="38">
        <v>0</v>
      </c>
      <c r="AC352" s="38">
        <v>3</v>
      </c>
      <c r="AD352" s="38">
        <v>0</v>
      </c>
      <c r="AE352" s="38">
        <v>10</v>
      </c>
      <c r="AF352" s="38">
        <v>0</v>
      </c>
      <c r="AI352" s="38">
        <v>0</v>
      </c>
      <c r="AJ352" s="38">
        <v>0</v>
      </c>
      <c r="AK352" s="38">
        <v>0</v>
      </c>
      <c r="AL352" s="38">
        <v>0</v>
      </c>
      <c r="AM352" s="38">
        <v>0</v>
      </c>
      <c r="AN352" s="38">
        <v>0</v>
      </c>
      <c r="AP352" s="38">
        <v>0</v>
      </c>
      <c r="AR352" s="38">
        <v>0</v>
      </c>
      <c r="AS352" s="38">
        <v>0</v>
      </c>
      <c r="AT352" s="38">
        <v>1</v>
      </c>
      <c r="BE352" s="38">
        <v>240</v>
      </c>
      <c r="BG352" s="38">
        <v>2</v>
      </c>
      <c r="BL352" s="7">
        <v>0</v>
      </c>
    </row>
    <row r="353" spans="1:64" s="38" customFormat="1">
      <c r="A353" s="38">
        <v>90188</v>
      </c>
      <c r="B353" s="38" t="s">
        <v>1747</v>
      </c>
      <c r="C353" s="38" t="s">
        <v>689</v>
      </c>
      <c r="D353" s="38" t="s">
        <v>690</v>
      </c>
      <c r="E353" s="38">
        <v>1</v>
      </c>
      <c r="F353" s="38" t="s">
        <v>959</v>
      </c>
      <c r="G353" s="38">
        <v>0</v>
      </c>
      <c r="H353" s="38">
        <v>0</v>
      </c>
      <c r="I353" s="38">
        <v>99999</v>
      </c>
      <c r="J353" s="38">
        <v>0</v>
      </c>
      <c r="K353" s="38">
        <v>0</v>
      </c>
      <c r="L353" s="38" t="s">
        <v>1562</v>
      </c>
      <c r="M353" s="38">
        <v>99</v>
      </c>
      <c r="N353" s="38">
        <v>1</v>
      </c>
      <c r="P353" s="38">
        <v>0</v>
      </c>
      <c r="Q353" s="38">
        <v>0</v>
      </c>
      <c r="S353" s="38">
        <v>1</v>
      </c>
      <c r="T353" s="38">
        <v>0</v>
      </c>
      <c r="V353" s="38">
        <v>1</v>
      </c>
      <c r="W353" s="38">
        <v>0</v>
      </c>
      <c r="X353" s="39"/>
      <c r="Y353" s="38" t="s">
        <v>1654</v>
      </c>
      <c r="Z353" s="38" t="s">
        <v>2646</v>
      </c>
      <c r="AA353" s="38" t="s">
        <v>701</v>
      </c>
      <c r="AB353" s="38">
        <v>0</v>
      </c>
      <c r="AC353" s="38">
        <v>3</v>
      </c>
      <c r="AD353" s="38">
        <v>0</v>
      </c>
      <c r="AE353" s="38">
        <v>10</v>
      </c>
      <c r="AF353" s="38">
        <v>0</v>
      </c>
      <c r="AI353" s="38">
        <v>0</v>
      </c>
      <c r="AJ353" s="38">
        <v>0</v>
      </c>
      <c r="AK353" s="38">
        <v>0</v>
      </c>
      <c r="AL353" s="38">
        <v>0</v>
      </c>
      <c r="AM353" s="38">
        <v>0</v>
      </c>
      <c r="AN353" s="38">
        <v>0</v>
      </c>
      <c r="AP353" s="38">
        <v>0</v>
      </c>
      <c r="AR353" s="38">
        <v>0</v>
      </c>
      <c r="AS353" s="38">
        <v>0</v>
      </c>
      <c r="AT353" s="38">
        <v>1</v>
      </c>
      <c r="BE353" s="38">
        <v>240</v>
      </c>
      <c r="BG353" s="38">
        <v>2</v>
      </c>
      <c r="BL353" s="7">
        <v>0</v>
      </c>
    </row>
    <row r="354" spans="1:64" s="38" customFormat="1">
      <c r="A354" s="38">
        <v>90189</v>
      </c>
      <c r="B354" s="38" t="s">
        <v>918</v>
      </c>
      <c r="C354" s="38" t="s">
        <v>689</v>
      </c>
      <c r="D354" s="38" t="s">
        <v>690</v>
      </c>
      <c r="E354" s="38">
        <v>1</v>
      </c>
      <c r="F354" s="38" t="s">
        <v>959</v>
      </c>
      <c r="G354" s="38">
        <v>0</v>
      </c>
      <c r="H354" s="38">
        <v>0</v>
      </c>
      <c r="I354" s="38">
        <v>99999</v>
      </c>
      <c r="J354" s="38">
        <v>0</v>
      </c>
      <c r="K354" s="38">
        <v>0</v>
      </c>
      <c r="L354" s="38" t="s">
        <v>1562</v>
      </c>
      <c r="M354" s="38">
        <v>99</v>
      </c>
      <c r="N354" s="38">
        <v>1</v>
      </c>
      <c r="P354" s="38">
        <v>0</v>
      </c>
      <c r="Q354" s="38">
        <v>0</v>
      </c>
      <c r="S354" s="38">
        <v>1</v>
      </c>
      <c r="T354" s="38">
        <v>0</v>
      </c>
      <c r="V354" s="38">
        <v>1</v>
      </c>
      <c r="W354" s="38">
        <v>0</v>
      </c>
      <c r="X354" s="39"/>
      <c r="Y354" s="38" t="s">
        <v>1646</v>
      </c>
      <c r="Z354" s="38" t="s">
        <v>2647</v>
      </c>
      <c r="AA354" s="38" t="s">
        <v>701</v>
      </c>
      <c r="AB354" s="38">
        <v>0</v>
      </c>
      <c r="AC354" s="38">
        <v>3</v>
      </c>
      <c r="AD354" s="38">
        <v>0</v>
      </c>
      <c r="AE354" s="38">
        <v>10</v>
      </c>
      <c r="AF354" s="38">
        <v>0</v>
      </c>
      <c r="AI354" s="38">
        <v>0</v>
      </c>
      <c r="AJ354" s="38">
        <v>0</v>
      </c>
      <c r="AK354" s="38">
        <v>0</v>
      </c>
      <c r="AL354" s="38">
        <v>0</v>
      </c>
      <c r="AM354" s="38">
        <v>0</v>
      </c>
      <c r="AN354" s="38">
        <v>0</v>
      </c>
      <c r="AP354" s="38">
        <v>0</v>
      </c>
      <c r="AR354" s="38">
        <v>0</v>
      </c>
      <c r="AS354" s="38">
        <v>0</v>
      </c>
      <c r="AT354" s="38">
        <v>1</v>
      </c>
      <c r="BE354" s="38">
        <v>240</v>
      </c>
      <c r="BG354" s="38">
        <v>2</v>
      </c>
      <c r="BL354" s="7">
        <v>0</v>
      </c>
    </row>
    <row r="355" spans="1:64" s="38" customFormat="1">
      <c r="A355" s="38">
        <v>90190</v>
      </c>
      <c r="B355" s="38" t="s">
        <v>919</v>
      </c>
      <c r="C355" s="38" t="s">
        <v>689</v>
      </c>
      <c r="D355" s="38" t="s">
        <v>690</v>
      </c>
      <c r="E355" s="38">
        <v>1</v>
      </c>
      <c r="F355" s="38" t="s">
        <v>959</v>
      </c>
      <c r="G355" s="38">
        <v>0</v>
      </c>
      <c r="H355" s="38">
        <v>0</v>
      </c>
      <c r="I355" s="38">
        <v>99999</v>
      </c>
      <c r="J355" s="38">
        <v>0</v>
      </c>
      <c r="K355" s="38">
        <v>0</v>
      </c>
      <c r="L355" s="38" t="s">
        <v>1562</v>
      </c>
      <c r="M355" s="38">
        <v>99</v>
      </c>
      <c r="N355" s="38">
        <v>1</v>
      </c>
      <c r="P355" s="38">
        <v>0</v>
      </c>
      <c r="Q355" s="38">
        <v>0</v>
      </c>
      <c r="S355" s="38">
        <v>1</v>
      </c>
      <c r="T355" s="38">
        <v>0</v>
      </c>
      <c r="V355" s="38">
        <v>1</v>
      </c>
      <c r="W355" s="38">
        <v>0</v>
      </c>
      <c r="X355" s="39"/>
      <c r="Y355" s="38" t="s">
        <v>1647</v>
      </c>
      <c r="Z355" s="38" t="s">
        <v>2648</v>
      </c>
      <c r="AA355" s="38" t="s">
        <v>701</v>
      </c>
      <c r="AB355" s="38">
        <v>0</v>
      </c>
      <c r="AC355" s="38">
        <v>3</v>
      </c>
      <c r="AD355" s="38">
        <v>0</v>
      </c>
      <c r="AE355" s="38">
        <v>10</v>
      </c>
      <c r="AF355" s="38">
        <v>0</v>
      </c>
      <c r="AI355" s="38">
        <v>0</v>
      </c>
      <c r="AJ355" s="38">
        <v>0</v>
      </c>
      <c r="AK355" s="38">
        <v>0</v>
      </c>
      <c r="AL355" s="38">
        <v>0</v>
      </c>
      <c r="AM355" s="38">
        <v>0</v>
      </c>
      <c r="AN355" s="38">
        <v>0</v>
      </c>
      <c r="AP355" s="38">
        <v>0</v>
      </c>
      <c r="AR355" s="38">
        <v>0</v>
      </c>
      <c r="AS355" s="38">
        <v>0</v>
      </c>
      <c r="AT355" s="38">
        <v>1</v>
      </c>
      <c r="BE355" s="38">
        <v>240</v>
      </c>
      <c r="BG355" s="38">
        <v>2</v>
      </c>
      <c r="BL355" s="7">
        <v>0</v>
      </c>
    </row>
    <row r="356" spans="1:64" s="38" customFormat="1">
      <c r="A356" s="38">
        <v>90191</v>
      </c>
      <c r="B356" s="38" t="s">
        <v>936</v>
      </c>
      <c r="C356" s="38" t="s">
        <v>689</v>
      </c>
      <c r="D356" s="38" t="s">
        <v>690</v>
      </c>
      <c r="E356" s="38">
        <v>1</v>
      </c>
      <c r="F356" s="38" t="s">
        <v>959</v>
      </c>
      <c r="G356" s="38">
        <v>0</v>
      </c>
      <c r="H356" s="38">
        <v>0</v>
      </c>
      <c r="I356" s="38">
        <v>99999</v>
      </c>
      <c r="J356" s="38">
        <v>0</v>
      </c>
      <c r="K356" s="38">
        <v>0</v>
      </c>
      <c r="L356" s="38" t="s">
        <v>1562</v>
      </c>
      <c r="M356" s="38">
        <v>99</v>
      </c>
      <c r="N356" s="38">
        <v>1</v>
      </c>
      <c r="P356" s="38">
        <v>0</v>
      </c>
      <c r="Q356" s="38">
        <v>0</v>
      </c>
      <c r="S356" s="38">
        <v>1</v>
      </c>
      <c r="T356" s="38">
        <v>0</v>
      </c>
      <c r="V356" s="38">
        <v>1</v>
      </c>
      <c r="W356" s="38">
        <v>0</v>
      </c>
      <c r="X356" s="39"/>
      <c r="Y356" s="38" t="s">
        <v>1647</v>
      </c>
      <c r="Z356" s="38" t="s">
        <v>2649</v>
      </c>
      <c r="AA356" s="38" t="s">
        <v>701</v>
      </c>
      <c r="AB356" s="38">
        <v>0</v>
      </c>
      <c r="AC356" s="38">
        <v>3</v>
      </c>
      <c r="AD356" s="38">
        <v>0</v>
      </c>
      <c r="AE356" s="38">
        <v>10</v>
      </c>
      <c r="AF356" s="38">
        <v>0</v>
      </c>
      <c r="AI356" s="38">
        <v>0</v>
      </c>
      <c r="AJ356" s="38">
        <v>0</v>
      </c>
      <c r="AK356" s="38">
        <v>0</v>
      </c>
      <c r="AL356" s="38">
        <v>0</v>
      </c>
      <c r="AM356" s="38">
        <v>0</v>
      </c>
      <c r="AN356" s="38">
        <v>0</v>
      </c>
      <c r="AP356" s="38">
        <v>0</v>
      </c>
      <c r="AR356" s="38">
        <v>0</v>
      </c>
      <c r="AS356" s="38">
        <v>0</v>
      </c>
      <c r="AT356" s="38">
        <v>1</v>
      </c>
      <c r="BE356" s="38">
        <v>240</v>
      </c>
      <c r="BG356" s="38">
        <v>2</v>
      </c>
      <c r="BL356" s="7">
        <v>0</v>
      </c>
    </row>
    <row r="357" spans="1:64" s="7" customFormat="1">
      <c r="A357" s="7">
        <v>90192</v>
      </c>
      <c r="B357" s="7" t="s">
        <v>1462</v>
      </c>
      <c r="C357" s="7" t="s">
        <v>689</v>
      </c>
      <c r="D357" s="7" t="s">
        <v>690</v>
      </c>
      <c r="E357" s="7">
        <v>1</v>
      </c>
      <c r="F357" s="7" t="s">
        <v>959</v>
      </c>
      <c r="G357" s="7">
        <v>0</v>
      </c>
      <c r="H357" s="7">
        <v>0</v>
      </c>
      <c r="I357" s="7">
        <v>99999</v>
      </c>
      <c r="J357" s="7">
        <v>0</v>
      </c>
      <c r="K357" s="7">
        <v>0</v>
      </c>
      <c r="L357" s="7" t="s">
        <v>1562</v>
      </c>
      <c r="M357" s="7">
        <v>99</v>
      </c>
      <c r="N357" s="7">
        <v>1</v>
      </c>
      <c r="P357" s="7">
        <v>0</v>
      </c>
      <c r="Q357" s="7">
        <v>0</v>
      </c>
      <c r="S357" s="7">
        <v>3000</v>
      </c>
      <c r="T357" s="7">
        <v>0</v>
      </c>
      <c r="V357" s="7">
        <v>1</v>
      </c>
      <c r="W357" s="7">
        <v>0</v>
      </c>
      <c r="X357" s="6"/>
      <c r="Y357" s="7" t="s">
        <v>1661</v>
      </c>
      <c r="Z357" s="7" t="s">
        <v>2651</v>
      </c>
      <c r="AA357" s="7" t="s">
        <v>1635</v>
      </c>
      <c r="AB357" s="7">
        <v>0</v>
      </c>
      <c r="AC357" s="7">
        <v>3</v>
      </c>
      <c r="AD357" s="7">
        <v>0</v>
      </c>
      <c r="AE357" s="7">
        <v>10</v>
      </c>
      <c r="AF357" s="7">
        <v>1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P357" s="7">
        <v>1</v>
      </c>
      <c r="AR357" s="7">
        <v>0</v>
      </c>
      <c r="AS357" s="7">
        <v>0</v>
      </c>
      <c r="BE357" s="7">
        <v>240</v>
      </c>
      <c r="BG357" s="7">
        <v>2</v>
      </c>
      <c r="BL357" s="7">
        <v>0</v>
      </c>
    </row>
    <row r="358" spans="1:64" s="7" customFormat="1">
      <c r="A358" s="7">
        <v>90193</v>
      </c>
      <c r="B358" s="7" t="s">
        <v>1463</v>
      </c>
      <c r="C358" s="7" t="s">
        <v>689</v>
      </c>
      <c r="D358" s="7" t="s">
        <v>690</v>
      </c>
      <c r="E358" s="7">
        <v>1</v>
      </c>
      <c r="F358" s="7" t="s">
        <v>959</v>
      </c>
      <c r="G358" s="7">
        <v>0</v>
      </c>
      <c r="H358" s="7">
        <v>0</v>
      </c>
      <c r="I358" s="7">
        <v>99999</v>
      </c>
      <c r="J358" s="7">
        <v>0</v>
      </c>
      <c r="K358" s="7">
        <v>0</v>
      </c>
      <c r="L358" s="7" t="s">
        <v>1562</v>
      </c>
      <c r="M358" s="7">
        <v>99</v>
      </c>
      <c r="N358" s="7">
        <v>1</v>
      </c>
      <c r="P358" s="7">
        <v>0</v>
      </c>
      <c r="Q358" s="7">
        <v>0</v>
      </c>
      <c r="S358" s="7">
        <v>5000</v>
      </c>
      <c r="T358" s="7">
        <v>0</v>
      </c>
      <c r="V358" s="7">
        <v>1</v>
      </c>
      <c r="W358" s="7">
        <v>0</v>
      </c>
      <c r="X358" s="6"/>
      <c r="Y358" s="7" t="s">
        <v>1662</v>
      </c>
      <c r="Z358" s="7" t="s">
        <v>2652</v>
      </c>
      <c r="AA358" s="7" t="s">
        <v>2297</v>
      </c>
      <c r="AB358" s="7">
        <v>0</v>
      </c>
      <c r="AC358" s="7">
        <v>3</v>
      </c>
      <c r="AD358" s="7">
        <v>0</v>
      </c>
      <c r="AE358" s="7">
        <v>10</v>
      </c>
      <c r="AF358" s="7">
        <v>1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P358" s="7">
        <v>1</v>
      </c>
      <c r="AR358" s="7">
        <v>0</v>
      </c>
      <c r="AS358" s="7">
        <v>0</v>
      </c>
      <c r="BE358" s="7">
        <v>240</v>
      </c>
      <c r="BG358" s="7">
        <v>2</v>
      </c>
      <c r="BL358" s="7">
        <v>0</v>
      </c>
    </row>
    <row r="359" spans="1:64" s="7" customFormat="1">
      <c r="A359" s="7">
        <v>90194</v>
      </c>
      <c r="B359" s="7" t="s">
        <v>1464</v>
      </c>
      <c r="C359" s="7" t="s">
        <v>689</v>
      </c>
      <c r="D359" s="7" t="s">
        <v>690</v>
      </c>
      <c r="E359" s="7">
        <v>1</v>
      </c>
      <c r="F359" s="7" t="s">
        <v>959</v>
      </c>
      <c r="G359" s="7">
        <v>0</v>
      </c>
      <c r="H359" s="7">
        <v>0</v>
      </c>
      <c r="I359" s="7">
        <v>99999</v>
      </c>
      <c r="J359" s="7">
        <v>0</v>
      </c>
      <c r="K359" s="7">
        <v>0</v>
      </c>
      <c r="L359" s="7" t="s">
        <v>1562</v>
      </c>
      <c r="M359" s="7">
        <v>99</v>
      </c>
      <c r="N359" s="7">
        <v>1</v>
      </c>
      <c r="P359" s="7">
        <v>0</v>
      </c>
      <c r="Q359" s="7">
        <v>0</v>
      </c>
      <c r="S359" s="7">
        <v>5000</v>
      </c>
      <c r="T359" s="7">
        <v>0</v>
      </c>
      <c r="V359" s="7">
        <v>1</v>
      </c>
      <c r="W359" s="7">
        <v>0</v>
      </c>
      <c r="X359" s="6"/>
      <c r="Y359" s="7" t="s">
        <v>1663</v>
      </c>
      <c r="Z359" s="7" t="s">
        <v>2653</v>
      </c>
      <c r="AA359" s="7" t="s">
        <v>1636</v>
      </c>
      <c r="AB359" s="7">
        <v>0</v>
      </c>
      <c r="AC359" s="7">
        <v>3</v>
      </c>
      <c r="AD359" s="7">
        <v>0</v>
      </c>
      <c r="AE359" s="7">
        <v>10</v>
      </c>
      <c r="AF359" s="7">
        <v>1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P359" s="7">
        <v>1</v>
      </c>
      <c r="AR359" s="7">
        <v>0</v>
      </c>
      <c r="AS359" s="7">
        <v>0</v>
      </c>
      <c r="BE359" s="7">
        <v>240</v>
      </c>
      <c r="BG359" s="7">
        <v>2</v>
      </c>
      <c r="BL359" s="7">
        <v>0</v>
      </c>
    </row>
    <row r="360" spans="1:64" s="7" customFormat="1" ht="20.25" customHeight="1">
      <c r="A360" s="7">
        <v>90195</v>
      </c>
      <c r="B360" s="7" t="s">
        <v>1746</v>
      </c>
      <c r="C360" s="7" t="s">
        <v>689</v>
      </c>
      <c r="D360" s="7" t="s">
        <v>690</v>
      </c>
      <c r="E360" s="7">
        <v>1</v>
      </c>
      <c r="F360" s="7" t="s">
        <v>959</v>
      </c>
      <c r="G360" s="7">
        <v>0</v>
      </c>
      <c r="H360" s="7">
        <v>0</v>
      </c>
      <c r="I360" s="7">
        <v>99999</v>
      </c>
      <c r="J360" s="7">
        <v>0</v>
      </c>
      <c r="K360" s="7">
        <v>0</v>
      </c>
      <c r="L360" s="7" t="s">
        <v>1562</v>
      </c>
      <c r="M360" s="7">
        <v>99</v>
      </c>
      <c r="N360" s="7">
        <v>1</v>
      </c>
      <c r="P360" s="7">
        <v>0</v>
      </c>
      <c r="Q360" s="7">
        <v>0</v>
      </c>
      <c r="S360" s="7">
        <v>8000</v>
      </c>
      <c r="T360" s="7">
        <v>0</v>
      </c>
      <c r="V360" s="7">
        <v>1</v>
      </c>
      <c r="W360" s="7">
        <v>0</v>
      </c>
      <c r="X360" s="6"/>
      <c r="Y360" s="7" t="s">
        <v>1664</v>
      </c>
      <c r="Z360" s="28" t="s">
        <v>2659</v>
      </c>
      <c r="AA360" s="7" t="s">
        <v>1643</v>
      </c>
      <c r="AB360" s="7">
        <v>0</v>
      </c>
      <c r="AC360" s="7">
        <v>3</v>
      </c>
      <c r="AD360" s="7">
        <v>0</v>
      </c>
      <c r="AE360" s="7">
        <v>10</v>
      </c>
      <c r="AF360" s="7">
        <v>1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P360" s="7">
        <v>1</v>
      </c>
      <c r="AR360" s="7">
        <v>0</v>
      </c>
      <c r="AS360" s="7">
        <v>0</v>
      </c>
      <c r="BE360" s="7">
        <v>240</v>
      </c>
      <c r="BG360" s="7">
        <v>2</v>
      </c>
      <c r="BL360" s="7">
        <v>0</v>
      </c>
    </row>
    <row r="361" spans="1:64" s="7" customFormat="1">
      <c r="A361" s="7">
        <v>90196</v>
      </c>
      <c r="B361" s="7" t="s">
        <v>1610</v>
      </c>
      <c r="C361" s="7" t="s">
        <v>689</v>
      </c>
      <c r="D361" s="7" t="s">
        <v>690</v>
      </c>
      <c r="E361" s="7">
        <v>1</v>
      </c>
      <c r="F361" s="7" t="s">
        <v>959</v>
      </c>
      <c r="G361" s="7">
        <v>0</v>
      </c>
      <c r="H361" s="7">
        <v>0</v>
      </c>
      <c r="I361" s="7">
        <v>99999</v>
      </c>
      <c r="J361" s="7">
        <v>0</v>
      </c>
      <c r="K361" s="7">
        <v>0</v>
      </c>
      <c r="L361" s="7" t="s">
        <v>1562</v>
      </c>
      <c r="M361" s="7">
        <v>99</v>
      </c>
      <c r="N361" s="7">
        <v>1</v>
      </c>
      <c r="P361" s="7">
        <v>0</v>
      </c>
      <c r="Q361" s="7">
        <v>0</v>
      </c>
      <c r="S361" s="7">
        <v>10000</v>
      </c>
      <c r="T361" s="7">
        <v>0</v>
      </c>
      <c r="V361" s="7">
        <v>1</v>
      </c>
      <c r="W361" s="7">
        <v>0</v>
      </c>
      <c r="X361" s="6"/>
      <c r="Y361" s="7" t="s">
        <v>1665</v>
      </c>
      <c r="Z361" s="7" t="s">
        <v>2654</v>
      </c>
      <c r="AA361" s="7" t="s">
        <v>1637</v>
      </c>
      <c r="AB361" s="7">
        <v>0</v>
      </c>
      <c r="AC361" s="7">
        <v>3</v>
      </c>
      <c r="AD361" s="7">
        <v>0</v>
      </c>
      <c r="AE361" s="7">
        <v>10</v>
      </c>
      <c r="AF361" s="7">
        <v>1</v>
      </c>
      <c r="AI361" s="7">
        <v>24</v>
      </c>
      <c r="AJ361" s="7">
        <v>10</v>
      </c>
      <c r="AK361" s="7">
        <v>0</v>
      </c>
      <c r="AL361" s="7">
        <v>0</v>
      </c>
      <c r="AM361" s="7">
        <v>0</v>
      </c>
      <c r="AN361" s="7">
        <v>0</v>
      </c>
      <c r="AP361" s="7">
        <v>1</v>
      </c>
      <c r="AR361" s="7">
        <v>1</v>
      </c>
      <c r="AS361" s="7">
        <v>0</v>
      </c>
      <c r="AV361" s="7">
        <v>1</v>
      </c>
      <c r="AW361" s="7">
        <v>1</v>
      </c>
      <c r="AY361" s="7">
        <v>30000</v>
      </c>
      <c r="AZ361" s="7">
        <v>40000</v>
      </c>
      <c r="BA361" s="7">
        <v>50000</v>
      </c>
      <c r="BB361" s="7">
        <v>4</v>
      </c>
      <c r="BE361" s="7">
        <v>240</v>
      </c>
      <c r="BG361" s="7">
        <v>2</v>
      </c>
      <c r="BL361" s="7">
        <v>0</v>
      </c>
    </row>
    <row r="362" spans="1:64" s="7" customFormat="1">
      <c r="A362" s="7">
        <v>90197</v>
      </c>
      <c r="B362" s="7" t="s">
        <v>1631</v>
      </c>
      <c r="C362" s="7" t="s">
        <v>689</v>
      </c>
      <c r="D362" s="7" t="s">
        <v>690</v>
      </c>
      <c r="E362" s="7">
        <v>1</v>
      </c>
      <c r="F362" s="7" t="s">
        <v>959</v>
      </c>
      <c r="G362" s="7">
        <v>0</v>
      </c>
      <c r="H362" s="7">
        <v>0</v>
      </c>
      <c r="I362" s="7">
        <v>99999</v>
      </c>
      <c r="J362" s="7">
        <v>0</v>
      </c>
      <c r="K362" s="7">
        <v>0</v>
      </c>
      <c r="L362" s="7" t="s">
        <v>1562</v>
      </c>
      <c r="M362" s="7">
        <v>99</v>
      </c>
      <c r="N362" s="7">
        <v>1</v>
      </c>
      <c r="P362" s="7">
        <v>0</v>
      </c>
      <c r="Q362" s="7">
        <v>0</v>
      </c>
      <c r="S362" s="7">
        <v>1</v>
      </c>
      <c r="T362" s="7">
        <v>0</v>
      </c>
      <c r="V362" s="7">
        <v>1</v>
      </c>
      <c r="W362" s="7">
        <v>0</v>
      </c>
      <c r="X362" s="6"/>
      <c r="Y362" s="7" t="s">
        <v>1059</v>
      </c>
      <c r="Z362" s="7" t="s">
        <v>2655</v>
      </c>
      <c r="AA362" s="7" t="s">
        <v>1068</v>
      </c>
      <c r="AB362" s="7">
        <v>0</v>
      </c>
      <c r="AC362" s="7">
        <v>3</v>
      </c>
      <c r="AD362" s="7">
        <v>0</v>
      </c>
      <c r="AE362" s="7">
        <v>10</v>
      </c>
      <c r="AF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P362" s="7">
        <v>0</v>
      </c>
      <c r="AR362" s="7">
        <v>0</v>
      </c>
      <c r="AS362" s="7">
        <v>0</v>
      </c>
      <c r="AT362" s="7">
        <v>1</v>
      </c>
      <c r="BE362" s="7">
        <v>240</v>
      </c>
      <c r="BG362" s="7">
        <v>2</v>
      </c>
      <c r="BL362" s="7">
        <v>0</v>
      </c>
    </row>
    <row r="363" spans="1:64" s="7" customFormat="1">
      <c r="A363" s="7">
        <v>90198</v>
      </c>
      <c r="B363" s="7" t="s">
        <v>1666</v>
      </c>
      <c r="C363" s="7" t="s">
        <v>689</v>
      </c>
      <c r="D363" s="7" t="s">
        <v>690</v>
      </c>
      <c r="E363" s="7">
        <v>1</v>
      </c>
      <c r="F363" s="7" t="s">
        <v>1688</v>
      </c>
      <c r="G363" s="7">
        <v>0</v>
      </c>
      <c r="H363" s="7">
        <v>0</v>
      </c>
      <c r="I363" s="7">
        <v>99999</v>
      </c>
      <c r="J363" s="7">
        <v>0</v>
      </c>
      <c r="K363" s="7">
        <v>3</v>
      </c>
      <c r="L363" s="7" t="s">
        <v>1562</v>
      </c>
      <c r="M363" s="7">
        <v>99</v>
      </c>
      <c r="N363" s="7">
        <v>1</v>
      </c>
      <c r="P363" s="7">
        <v>0</v>
      </c>
      <c r="Q363" s="7">
        <v>0</v>
      </c>
      <c r="S363" s="7">
        <v>1</v>
      </c>
      <c r="T363" s="7">
        <v>0</v>
      </c>
      <c r="V363" s="7">
        <v>0</v>
      </c>
      <c r="W363" s="7">
        <v>0</v>
      </c>
      <c r="X363" s="6" t="s">
        <v>951</v>
      </c>
      <c r="Y363" s="7" t="s">
        <v>1644</v>
      </c>
      <c r="Z363" s="7" t="s">
        <v>2637</v>
      </c>
      <c r="AA363" s="7" t="s">
        <v>701</v>
      </c>
      <c r="AB363" s="7">
        <v>0</v>
      </c>
      <c r="AC363" s="7">
        <v>1</v>
      </c>
      <c r="AD363" s="7">
        <v>0</v>
      </c>
      <c r="AE363" s="7">
        <v>10</v>
      </c>
      <c r="AF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P363" s="7">
        <v>0</v>
      </c>
      <c r="AR363" s="7">
        <v>0</v>
      </c>
      <c r="AS363" s="7">
        <v>0</v>
      </c>
      <c r="AT363" s="7">
        <v>1</v>
      </c>
      <c r="BE363" s="7">
        <v>240</v>
      </c>
      <c r="BG363" s="7">
        <v>2</v>
      </c>
      <c r="BL363" s="7">
        <v>0</v>
      </c>
    </row>
    <row r="364" spans="1:64" s="7" customFormat="1">
      <c r="A364" s="7">
        <v>90199</v>
      </c>
      <c r="B364" s="7" t="s">
        <v>1667</v>
      </c>
      <c r="C364" s="7" t="s">
        <v>689</v>
      </c>
      <c r="D364" s="7" t="s">
        <v>690</v>
      </c>
      <c r="E364" s="7">
        <v>1</v>
      </c>
      <c r="F364" s="7" t="s">
        <v>1689</v>
      </c>
      <c r="G364" s="7">
        <v>0</v>
      </c>
      <c r="H364" s="7">
        <v>0</v>
      </c>
      <c r="I364" s="7">
        <v>99999</v>
      </c>
      <c r="J364" s="7">
        <v>0</v>
      </c>
      <c r="K364" s="7">
        <v>3</v>
      </c>
      <c r="L364" s="7" t="s">
        <v>1562</v>
      </c>
      <c r="M364" s="7">
        <v>99</v>
      </c>
      <c r="N364" s="7">
        <v>1</v>
      </c>
      <c r="P364" s="7">
        <v>0</v>
      </c>
      <c r="Q364" s="7">
        <v>0</v>
      </c>
      <c r="S364" s="7">
        <v>1</v>
      </c>
      <c r="T364" s="7">
        <v>0</v>
      </c>
      <c r="V364" s="7">
        <v>0</v>
      </c>
      <c r="W364" s="7">
        <v>0</v>
      </c>
      <c r="X364" s="6" t="s">
        <v>951</v>
      </c>
      <c r="Y364" s="7" t="s">
        <v>1644</v>
      </c>
      <c r="Z364" s="7" t="s">
        <v>2637</v>
      </c>
      <c r="AA364" s="7" t="s">
        <v>701</v>
      </c>
      <c r="AB364" s="7">
        <v>0</v>
      </c>
      <c r="AC364" s="7">
        <v>1</v>
      </c>
      <c r="AD364" s="7">
        <v>0</v>
      </c>
      <c r="AE364" s="7">
        <v>10</v>
      </c>
      <c r="AF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P364" s="7">
        <v>0</v>
      </c>
      <c r="AR364" s="7">
        <v>0</v>
      </c>
      <c r="AS364" s="7">
        <v>0</v>
      </c>
      <c r="AT364" s="7">
        <v>1</v>
      </c>
      <c r="BE364" s="7">
        <v>240</v>
      </c>
      <c r="BG364" s="7">
        <v>2</v>
      </c>
      <c r="BL364" s="7">
        <v>0</v>
      </c>
    </row>
    <row r="365" spans="1:64" s="7" customFormat="1">
      <c r="A365" s="7">
        <v>90200</v>
      </c>
      <c r="B365" s="7" t="s">
        <v>1668</v>
      </c>
      <c r="C365" s="7" t="s">
        <v>689</v>
      </c>
      <c r="D365" s="7" t="s">
        <v>690</v>
      </c>
      <c r="E365" s="7">
        <v>1</v>
      </c>
      <c r="F365" s="7" t="s">
        <v>1690</v>
      </c>
      <c r="G365" s="7">
        <v>0</v>
      </c>
      <c r="H365" s="7">
        <v>0</v>
      </c>
      <c r="I365" s="7">
        <v>99999</v>
      </c>
      <c r="J365" s="7">
        <v>0</v>
      </c>
      <c r="K365" s="7">
        <v>3</v>
      </c>
      <c r="L365" s="7" t="s">
        <v>1562</v>
      </c>
      <c r="M365" s="7">
        <v>99</v>
      </c>
      <c r="N365" s="7">
        <v>1</v>
      </c>
      <c r="P365" s="7">
        <v>0</v>
      </c>
      <c r="Q365" s="7">
        <v>0</v>
      </c>
      <c r="S365" s="7">
        <v>1</v>
      </c>
      <c r="T365" s="7">
        <v>0</v>
      </c>
      <c r="V365" s="7">
        <v>0</v>
      </c>
      <c r="W365" s="7">
        <v>0</v>
      </c>
      <c r="X365" s="6" t="s">
        <v>951</v>
      </c>
      <c r="Y365" s="7" t="s">
        <v>1644</v>
      </c>
      <c r="Z365" s="7" t="s">
        <v>2637</v>
      </c>
      <c r="AA365" s="7" t="s">
        <v>701</v>
      </c>
      <c r="AB365" s="7">
        <v>0</v>
      </c>
      <c r="AC365" s="7">
        <v>1</v>
      </c>
      <c r="AD365" s="7">
        <v>0</v>
      </c>
      <c r="AE365" s="7">
        <v>10</v>
      </c>
      <c r="AF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P365" s="7">
        <v>0</v>
      </c>
      <c r="AR365" s="7">
        <v>0</v>
      </c>
      <c r="AS365" s="7">
        <v>0</v>
      </c>
      <c r="AT365" s="7">
        <v>1</v>
      </c>
      <c r="BE365" s="7">
        <v>240</v>
      </c>
      <c r="BG365" s="7">
        <v>2</v>
      </c>
      <c r="BL365" s="7">
        <v>0</v>
      </c>
    </row>
    <row r="366" spans="1:64" s="7" customFormat="1" ht="15.75" customHeight="1">
      <c r="A366" s="7">
        <v>90201</v>
      </c>
      <c r="B366" s="7" t="s">
        <v>1986</v>
      </c>
      <c r="C366" s="7" t="s">
        <v>689</v>
      </c>
      <c r="D366" s="7" t="s">
        <v>690</v>
      </c>
      <c r="E366" s="7">
        <v>1</v>
      </c>
      <c r="F366" s="7" t="s">
        <v>959</v>
      </c>
      <c r="G366" s="7">
        <v>0</v>
      </c>
      <c r="H366" s="7">
        <v>0</v>
      </c>
      <c r="I366" s="7">
        <v>99999</v>
      </c>
      <c r="J366" s="7">
        <v>0</v>
      </c>
      <c r="K366" s="7">
        <v>0</v>
      </c>
      <c r="L366" s="7" t="s">
        <v>1562</v>
      </c>
      <c r="M366" s="7">
        <v>99</v>
      </c>
      <c r="N366" s="7">
        <v>1</v>
      </c>
      <c r="P366" s="7">
        <v>0</v>
      </c>
      <c r="Q366" s="7">
        <v>0</v>
      </c>
      <c r="S366" s="7">
        <v>8000</v>
      </c>
      <c r="T366" s="7">
        <v>0</v>
      </c>
      <c r="V366" s="7">
        <v>1</v>
      </c>
      <c r="W366" s="7">
        <v>0</v>
      </c>
      <c r="X366" s="6"/>
      <c r="Y366" s="7" t="s">
        <v>2014</v>
      </c>
      <c r="Z366" s="28" t="s">
        <v>2660</v>
      </c>
      <c r="AA366" s="7" t="s">
        <v>2002</v>
      </c>
      <c r="AB366" s="7">
        <v>0</v>
      </c>
      <c r="AC366" s="7">
        <v>3</v>
      </c>
      <c r="AD366" s="7">
        <v>0</v>
      </c>
      <c r="AE366" s="7">
        <v>10</v>
      </c>
      <c r="AF366" s="7">
        <v>1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P366" s="7">
        <v>1</v>
      </c>
      <c r="AR366" s="7">
        <v>0</v>
      </c>
      <c r="AS366" s="7">
        <v>0</v>
      </c>
      <c r="BE366" s="7">
        <v>240</v>
      </c>
      <c r="BG366" s="7">
        <v>2</v>
      </c>
      <c r="BL366" s="7">
        <v>0</v>
      </c>
    </row>
    <row r="367" spans="1:64" s="24" customFormat="1" ht="27">
      <c r="A367" s="24">
        <v>90202</v>
      </c>
      <c r="B367" s="24" t="s">
        <v>2009</v>
      </c>
      <c r="C367" s="24" t="s">
        <v>689</v>
      </c>
      <c r="D367" s="24" t="s">
        <v>690</v>
      </c>
      <c r="E367" s="24">
        <v>1</v>
      </c>
      <c r="F367" s="24" t="s">
        <v>959</v>
      </c>
      <c r="G367" s="24">
        <v>0</v>
      </c>
      <c r="H367" s="24">
        <v>0</v>
      </c>
      <c r="I367" s="24">
        <v>99999</v>
      </c>
      <c r="J367" s="24">
        <v>0</v>
      </c>
      <c r="K367" s="24">
        <v>0</v>
      </c>
      <c r="L367" s="24" t="s">
        <v>1562</v>
      </c>
      <c r="M367" s="24">
        <v>10</v>
      </c>
      <c r="N367" s="24">
        <v>1</v>
      </c>
      <c r="P367" s="24">
        <v>0</v>
      </c>
      <c r="Q367" s="24">
        <v>0</v>
      </c>
      <c r="S367" s="24">
        <v>2000</v>
      </c>
      <c r="T367" s="24">
        <v>0</v>
      </c>
      <c r="V367" s="24">
        <v>1</v>
      </c>
      <c r="W367" s="24">
        <v>0</v>
      </c>
      <c r="X367" s="35"/>
      <c r="Y367" s="25" t="s">
        <v>2011</v>
      </c>
      <c r="Z367" s="36" t="s">
        <v>2656</v>
      </c>
      <c r="AA367" s="24" t="s">
        <v>2013</v>
      </c>
      <c r="AB367" s="24">
        <v>0</v>
      </c>
      <c r="AC367" s="24">
        <v>3</v>
      </c>
      <c r="AD367" s="24">
        <v>0</v>
      </c>
      <c r="AE367" s="24">
        <v>10</v>
      </c>
      <c r="AF367" s="24">
        <v>1</v>
      </c>
      <c r="AI367" s="24">
        <v>0</v>
      </c>
      <c r="AJ367" s="24">
        <v>0</v>
      </c>
      <c r="AK367" s="24">
        <v>0</v>
      </c>
      <c r="AL367" s="24">
        <v>0</v>
      </c>
      <c r="AM367" s="24">
        <v>0</v>
      </c>
      <c r="AN367" s="24">
        <v>0</v>
      </c>
      <c r="AP367" s="24">
        <v>1</v>
      </c>
      <c r="AR367" s="24">
        <v>1</v>
      </c>
      <c r="AS367" s="24">
        <v>0</v>
      </c>
      <c r="AV367" s="24">
        <v>1</v>
      </c>
      <c r="BE367" s="24">
        <v>240</v>
      </c>
      <c r="BG367" s="24">
        <v>2</v>
      </c>
      <c r="BL367" s="7">
        <v>0</v>
      </c>
    </row>
    <row r="368" spans="1:64" s="24" customFormat="1">
      <c r="A368" s="24">
        <v>90203</v>
      </c>
      <c r="B368" s="24" t="s">
        <v>2010</v>
      </c>
      <c r="C368" s="7" t="s">
        <v>534</v>
      </c>
      <c r="D368" s="7" t="s">
        <v>535</v>
      </c>
      <c r="E368" s="24">
        <v>1</v>
      </c>
      <c r="F368" s="24" t="s">
        <v>959</v>
      </c>
      <c r="G368" s="24">
        <v>0</v>
      </c>
      <c r="H368" s="24">
        <v>0</v>
      </c>
      <c r="I368" s="24">
        <v>99999</v>
      </c>
      <c r="J368" s="24">
        <v>0</v>
      </c>
      <c r="K368" s="24">
        <v>0</v>
      </c>
      <c r="L368" s="24" t="s">
        <v>1562</v>
      </c>
      <c r="M368" s="24">
        <v>10</v>
      </c>
      <c r="N368" s="24">
        <v>1</v>
      </c>
      <c r="P368" s="24">
        <v>0</v>
      </c>
      <c r="Q368" s="24">
        <v>0</v>
      </c>
      <c r="S368" s="24">
        <v>100</v>
      </c>
      <c r="T368" s="24">
        <v>0</v>
      </c>
      <c r="V368" s="24">
        <v>1</v>
      </c>
      <c r="W368" s="24">
        <v>0</v>
      </c>
      <c r="X368" s="35"/>
      <c r="Y368" s="25" t="s">
        <v>2012</v>
      </c>
      <c r="Z368" s="24" t="s">
        <v>2657</v>
      </c>
      <c r="AA368" s="24" t="s">
        <v>2019</v>
      </c>
      <c r="AB368" s="24">
        <v>0</v>
      </c>
      <c r="AC368" s="24">
        <v>3</v>
      </c>
      <c r="AD368" s="24">
        <v>0</v>
      </c>
      <c r="AE368" s="24">
        <v>10</v>
      </c>
      <c r="AF368" s="24">
        <v>1</v>
      </c>
      <c r="AI368" s="24">
        <v>0</v>
      </c>
      <c r="AJ368" s="24">
        <v>0</v>
      </c>
      <c r="AK368" s="24">
        <v>0</v>
      </c>
      <c r="AL368" s="24">
        <v>0</v>
      </c>
      <c r="AM368" s="24">
        <v>0</v>
      </c>
      <c r="AN368" s="24">
        <v>0</v>
      </c>
      <c r="AP368" s="24">
        <v>1</v>
      </c>
      <c r="AR368" s="24">
        <v>1</v>
      </c>
      <c r="AS368" s="24">
        <v>0</v>
      </c>
      <c r="AV368" s="24">
        <v>1</v>
      </c>
      <c r="BE368" s="24">
        <v>240</v>
      </c>
      <c r="BG368" s="24">
        <v>2</v>
      </c>
      <c r="BL368" s="7">
        <v>0</v>
      </c>
    </row>
    <row r="369" spans="1:64" s="24" customFormat="1">
      <c r="A369" s="24">
        <v>90204</v>
      </c>
      <c r="B369" s="24" t="s">
        <v>2021</v>
      </c>
      <c r="C369" s="24" t="s">
        <v>689</v>
      </c>
      <c r="D369" s="24" t="s">
        <v>690</v>
      </c>
      <c r="E369" s="24">
        <v>1</v>
      </c>
      <c r="F369" s="24" t="s">
        <v>959</v>
      </c>
      <c r="G369" s="24">
        <v>0</v>
      </c>
      <c r="H369" s="24">
        <v>0</v>
      </c>
      <c r="I369" s="24">
        <v>99999</v>
      </c>
      <c r="J369" s="24">
        <v>0</v>
      </c>
      <c r="K369" s="24">
        <v>0</v>
      </c>
      <c r="L369" s="24" t="s">
        <v>1562</v>
      </c>
      <c r="M369" s="24">
        <v>10</v>
      </c>
      <c r="N369" s="24">
        <v>1</v>
      </c>
      <c r="P369" s="24">
        <v>0</v>
      </c>
      <c r="Q369" s="24">
        <v>0</v>
      </c>
      <c r="S369" s="24">
        <v>100</v>
      </c>
      <c r="T369" s="24">
        <v>0</v>
      </c>
      <c r="V369" s="24">
        <v>1</v>
      </c>
      <c r="W369" s="24">
        <v>0</v>
      </c>
      <c r="X369" s="35"/>
      <c r="Y369" s="25" t="s">
        <v>2022</v>
      </c>
      <c r="Z369" s="24" t="s">
        <v>2658</v>
      </c>
      <c r="AA369" s="24" t="s">
        <v>2028</v>
      </c>
      <c r="AB369" s="24">
        <v>0</v>
      </c>
      <c r="AC369" s="24">
        <v>3</v>
      </c>
      <c r="AD369" s="24">
        <v>0</v>
      </c>
      <c r="AE369" s="24">
        <v>10</v>
      </c>
      <c r="AF369" s="24">
        <v>1</v>
      </c>
      <c r="AI369" s="24">
        <v>3</v>
      </c>
      <c r="AJ369" s="24">
        <v>5</v>
      </c>
      <c r="AK369" s="24">
        <v>0</v>
      </c>
      <c r="AL369" s="24">
        <v>0</v>
      </c>
      <c r="AM369" s="24">
        <v>0</v>
      </c>
      <c r="AN369" s="24">
        <v>0</v>
      </c>
      <c r="AP369" s="24">
        <v>1</v>
      </c>
      <c r="AR369" s="24">
        <v>1</v>
      </c>
      <c r="AS369" s="24">
        <v>0</v>
      </c>
      <c r="AV369" s="24">
        <v>1</v>
      </c>
      <c r="BE369" s="24">
        <v>240</v>
      </c>
      <c r="BG369" s="24">
        <v>2</v>
      </c>
      <c r="BL369" s="7">
        <v>0</v>
      </c>
    </row>
    <row r="370" spans="1:64" s="24" customFormat="1">
      <c r="A370" s="24">
        <v>90205</v>
      </c>
      <c r="B370" s="24" t="s">
        <v>3054</v>
      </c>
      <c r="C370" s="24" t="s">
        <v>689</v>
      </c>
      <c r="D370" s="24" t="s">
        <v>690</v>
      </c>
      <c r="E370" s="24">
        <v>1</v>
      </c>
      <c r="F370" s="24" t="s">
        <v>959</v>
      </c>
      <c r="G370" s="24">
        <v>0</v>
      </c>
      <c r="H370" s="24">
        <v>0</v>
      </c>
      <c r="I370" s="24">
        <v>99999</v>
      </c>
      <c r="J370" s="24">
        <v>0</v>
      </c>
      <c r="K370" s="24">
        <v>0</v>
      </c>
      <c r="L370" s="24" t="s">
        <v>1562</v>
      </c>
      <c r="M370" s="24">
        <v>10</v>
      </c>
      <c r="N370" s="24">
        <v>1</v>
      </c>
      <c r="P370" s="24">
        <v>0</v>
      </c>
      <c r="Q370" s="24">
        <v>0</v>
      </c>
      <c r="S370" s="24">
        <v>100</v>
      </c>
      <c r="T370" s="24">
        <v>0</v>
      </c>
      <c r="V370" s="24">
        <v>1</v>
      </c>
      <c r="W370" s="24">
        <v>0</v>
      </c>
      <c r="X370" s="35"/>
      <c r="Y370" s="25" t="s">
        <v>2023</v>
      </c>
      <c r="Z370" s="24" t="s">
        <v>3055</v>
      </c>
      <c r="AA370" s="24" t="s">
        <v>2029</v>
      </c>
      <c r="AB370" s="24">
        <v>0</v>
      </c>
      <c r="AC370" s="24">
        <v>3</v>
      </c>
      <c r="AD370" s="24">
        <v>0</v>
      </c>
      <c r="AE370" s="24">
        <v>10</v>
      </c>
      <c r="AF370" s="24">
        <v>1</v>
      </c>
      <c r="AI370" s="24">
        <v>24</v>
      </c>
      <c r="AJ370" s="24">
        <v>2</v>
      </c>
      <c r="AK370" s="24">
        <v>0</v>
      </c>
      <c r="AL370" s="24">
        <v>0</v>
      </c>
      <c r="AM370" s="24">
        <v>0</v>
      </c>
      <c r="AN370" s="24">
        <v>0</v>
      </c>
      <c r="AP370" s="24">
        <v>1</v>
      </c>
      <c r="AR370" s="24">
        <v>1</v>
      </c>
      <c r="AS370" s="24">
        <v>0</v>
      </c>
      <c r="AV370" s="24">
        <v>1</v>
      </c>
      <c r="BE370" s="24">
        <v>240</v>
      </c>
      <c r="BG370" s="24">
        <v>2</v>
      </c>
      <c r="BL370" s="7">
        <v>0</v>
      </c>
    </row>
    <row r="371" spans="1:64" s="24" customFormat="1">
      <c r="A371" s="24">
        <v>90206</v>
      </c>
      <c r="B371" s="24" t="s">
        <v>3087</v>
      </c>
      <c r="C371" s="24" t="s">
        <v>689</v>
      </c>
      <c r="D371" s="24" t="s">
        <v>690</v>
      </c>
      <c r="E371" s="24">
        <v>1</v>
      </c>
      <c r="F371" s="24" t="s">
        <v>959</v>
      </c>
      <c r="G371" s="24">
        <v>0</v>
      </c>
      <c r="H371" s="24">
        <v>0</v>
      </c>
      <c r="I371" s="24">
        <v>99999</v>
      </c>
      <c r="J371" s="24">
        <v>0</v>
      </c>
      <c r="K371" s="24">
        <v>0</v>
      </c>
      <c r="L371" s="24" t="s">
        <v>1562</v>
      </c>
      <c r="M371" s="24">
        <v>10</v>
      </c>
      <c r="N371" s="24">
        <v>1</v>
      </c>
      <c r="P371" s="24">
        <v>0</v>
      </c>
      <c r="Q371" s="24">
        <v>0</v>
      </c>
      <c r="S371" s="24">
        <v>100</v>
      </c>
      <c r="T371" s="24">
        <v>0</v>
      </c>
      <c r="V371" s="24">
        <v>1</v>
      </c>
      <c r="W371" s="24">
        <v>0</v>
      </c>
      <c r="X371" s="35"/>
      <c r="Y371" s="25" t="s">
        <v>3095</v>
      </c>
      <c r="Z371" s="1" t="s">
        <v>3099</v>
      </c>
      <c r="AA371" s="7" t="s">
        <v>3109</v>
      </c>
      <c r="AB371" s="24">
        <v>0</v>
      </c>
      <c r="AC371" s="24">
        <v>3</v>
      </c>
      <c r="AD371" s="24">
        <v>0</v>
      </c>
      <c r="AE371" s="24">
        <v>10</v>
      </c>
      <c r="AF371" s="24">
        <v>1</v>
      </c>
      <c r="AI371" s="24">
        <v>3</v>
      </c>
      <c r="AJ371" s="24">
        <v>5</v>
      </c>
      <c r="AK371" s="24">
        <v>0</v>
      </c>
      <c r="AL371" s="24">
        <v>0</v>
      </c>
      <c r="AM371" s="24">
        <v>0</v>
      </c>
      <c r="AN371" s="24">
        <v>0</v>
      </c>
      <c r="AP371" s="24">
        <v>1</v>
      </c>
      <c r="AR371" s="24">
        <v>1</v>
      </c>
      <c r="AS371" s="24">
        <v>0</v>
      </c>
      <c r="AV371" s="24">
        <v>1</v>
      </c>
      <c r="BE371" s="24">
        <v>240</v>
      </c>
      <c r="BG371" s="24">
        <v>2</v>
      </c>
      <c r="BL371" s="7">
        <v>0</v>
      </c>
    </row>
    <row r="372" spans="1:64" s="24" customFormat="1">
      <c r="A372" s="24">
        <v>90207</v>
      </c>
      <c r="B372" s="24" t="s">
        <v>3088</v>
      </c>
      <c r="C372" s="24" t="s">
        <v>689</v>
      </c>
      <c r="D372" s="24" t="s">
        <v>690</v>
      </c>
      <c r="E372" s="24">
        <v>1</v>
      </c>
      <c r="F372" s="24" t="s">
        <v>959</v>
      </c>
      <c r="G372" s="24">
        <v>0</v>
      </c>
      <c r="H372" s="24">
        <v>0</v>
      </c>
      <c r="I372" s="24">
        <v>99999</v>
      </c>
      <c r="J372" s="24">
        <v>0</v>
      </c>
      <c r="K372" s="24">
        <v>0</v>
      </c>
      <c r="L372" s="24" t="s">
        <v>1562</v>
      </c>
      <c r="M372" s="24">
        <v>10</v>
      </c>
      <c r="N372" s="24">
        <v>1</v>
      </c>
      <c r="P372" s="24">
        <v>0</v>
      </c>
      <c r="Q372" s="24">
        <v>0</v>
      </c>
      <c r="S372" s="24">
        <v>100</v>
      </c>
      <c r="T372" s="24">
        <v>0</v>
      </c>
      <c r="V372" s="24">
        <v>1</v>
      </c>
      <c r="W372" s="24">
        <v>0</v>
      </c>
      <c r="X372" s="35"/>
      <c r="Y372" s="25" t="s">
        <v>3094</v>
      </c>
      <c r="Z372" s="1" t="s">
        <v>3101</v>
      </c>
      <c r="AA372" s="7" t="s">
        <v>3108</v>
      </c>
      <c r="AB372" s="24">
        <v>0</v>
      </c>
      <c r="AC372" s="24">
        <v>3</v>
      </c>
      <c r="AD372" s="24">
        <v>0</v>
      </c>
      <c r="AE372" s="24">
        <v>10</v>
      </c>
      <c r="AF372" s="24">
        <v>1</v>
      </c>
      <c r="AI372" s="24">
        <v>24</v>
      </c>
      <c r="AJ372" s="24">
        <v>2</v>
      </c>
      <c r="AK372" s="24">
        <v>0</v>
      </c>
      <c r="AL372" s="24">
        <v>0</v>
      </c>
      <c r="AM372" s="24">
        <v>0</v>
      </c>
      <c r="AN372" s="24">
        <v>0</v>
      </c>
      <c r="AP372" s="24">
        <v>1</v>
      </c>
      <c r="AR372" s="24">
        <v>1</v>
      </c>
      <c r="AS372" s="24">
        <v>0</v>
      </c>
      <c r="AV372" s="24">
        <v>1</v>
      </c>
      <c r="BE372" s="24">
        <v>240</v>
      </c>
      <c r="BG372" s="24">
        <v>2</v>
      </c>
      <c r="BL372" s="7">
        <v>0</v>
      </c>
    </row>
    <row r="373" spans="1:64" s="24" customFormat="1">
      <c r="A373" s="24">
        <v>90208</v>
      </c>
      <c r="B373" s="24" t="s">
        <v>3089</v>
      </c>
      <c r="C373" s="7" t="s">
        <v>740</v>
      </c>
      <c r="D373" s="7" t="s">
        <v>741</v>
      </c>
      <c r="E373" s="24">
        <v>1</v>
      </c>
      <c r="F373" s="24" t="s">
        <v>959</v>
      </c>
      <c r="G373" s="24">
        <v>0</v>
      </c>
      <c r="H373" s="24">
        <v>0</v>
      </c>
      <c r="I373" s="24">
        <v>99999</v>
      </c>
      <c r="J373" s="24">
        <v>0</v>
      </c>
      <c r="K373" s="24">
        <v>0</v>
      </c>
      <c r="L373" s="24" t="s">
        <v>1562</v>
      </c>
      <c r="M373" s="24">
        <v>100</v>
      </c>
      <c r="N373" s="24">
        <v>1</v>
      </c>
      <c r="P373" s="24">
        <v>0</v>
      </c>
      <c r="Q373" s="24">
        <v>0</v>
      </c>
      <c r="S373" s="24">
        <v>100</v>
      </c>
      <c r="T373" s="24">
        <v>0</v>
      </c>
      <c r="V373" s="24">
        <v>1</v>
      </c>
      <c r="W373" s="24">
        <v>0</v>
      </c>
      <c r="X373" s="35"/>
      <c r="Y373" s="25" t="s">
        <v>3096</v>
      </c>
      <c r="Z373" s="1" t="s">
        <v>3104</v>
      </c>
      <c r="AA373" s="7" t="s">
        <v>3107</v>
      </c>
      <c r="AB373" s="24">
        <v>0</v>
      </c>
      <c r="AC373" s="24">
        <v>3</v>
      </c>
      <c r="AD373" s="24">
        <v>0</v>
      </c>
      <c r="AE373" s="24">
        <v>10</v>
      </c>
      <c r="AF373" s="24">
        <v>1</v>
      </c>
      <c r="AI373" s="24">
        <v>0</v>
      </c>
      <c r="AJ373" s="24">
        <v>0</v>
      </c>
      <c r="AK373" s="24">
        <v>0</v>
      </c>
      <c r="AL373" s="24">
        <v>0</v>
      </c>
      <c r="AM373" s="24">
        <v>0</v>
      </c>
      <c r="AN373" s="24">
        <v>0</v>
      </c>
      <c r="AP373" s="24">
        <v>0</v>
      </c>
      <c r="AQ373" s="24">
        <v>1</v>
      </c>
      <c r="AR373" s="24">
        <v>0</v>
      </c>
      <c r="AS373" s="24">
        <v>0</v>
      </c>
      <c r="BE373" s="24">
        <v>240</v>
      </c>
      <c r="BG373" s="24">
        <v>2</v>
      </c>
      <c r="BL373" s="7">
        <v>0</v>
      </c>
    </row>
    <row r="374" spans="1:64" s="24" customFormat="1">
      <c r="A374" s="24">
        <v>90209</v>
      </c>
      <c r="B374" s="24" t="s">
        <v>3090</v>
      </c>
      <c r="C374" s="7" t="s">
        <v>740</v>
      </c>
      <c r="D374" s="7" t="s">
        <v>741</v>
      </c>
      <c r="E374" s="24">
        <v>1</v>
      </c>
      <c r="F374" s="24" t="s">
        <v>959</v>
      </c>
      <c r="G374" s="24">
        <v>0</v>
      </c>
      <c r="H374" s="24">
        <v>0</v>
      </c>
      <c r="I374" s="24">
        <v>99999</v>
      </c>
      <c r="J374" s="24">
        <v>0</v>
      </c>
      <c r="K374" s="24">
        <v>0</v>
      </c>
      <c r="L374" s="24" t="s">
        <v>1562</v>
      </c>
      <c r="M374" s="24">
        <v>100</v>
      </c>
      <c r="N374" s="24">
        <v>1</v>
      </c>
      <c r="P374" s="24">
        <v>0</v>
      </c>
      <c r="Q374" s="24">
        <v>0</v>
      </c>
      <c r="S374" s="24">
        <v>100</v>
      </c>
      <c r="T374" s="24">
        <v>0</v>
      </c>
      <c r="V374" s="24">
        <v>1</v>
      </c>
      <c r="W374" s="24">
        <v>0</v>
      </c>
      <c r="X374" s="35"/>
      <c r="Y374" s="25" t="s">
        <v>3097</v>
      </c>
      <c r="Z374" s="1" t="s">
        <v>3103</v>
      </c>
      <c r="AA374" s="7" t="s">
        <v>3106</v>
      </c>
      <c r="AB374" s="24">
        <v>0</v>
      </c>
      <c r="AC374" s="24">
        <v>3</v>
      </c>
      <c r="AD374" s="24">
        <v>0</v>
      </c>
      <c r="AE374" s="24">
        <v>10</v>
      </c>
      <c r="AF374" s="24">
        <v>1</v>
      </c>
      <c r="AI374" s="24">
        <v>24</v>
      </c>
      <c r="AJ374" s="24">
        <v>1000</v>
      </c>
      <c r="AK374" s="24">
        <v>0</v>
      </c>
      <c r="AL374" s="24">
        <v>0</v>
      </c>
      <c r="AM374" s="24">
        <v>0</v>
      </c>
      <c r="AN374" s="24">
        <v>0</v>
      </c>
      <c r="AP374" s="24">
        <v>0</v>
      </c>
      <c r="AQ374" s="24">
        <v>1</v>
      </c>
      <c r="AR374" s="24">
        <v>1</v>
      </c>
      <c r="AS374" s="24">
        <v>0</v>
      </c>
      <c r="AV374" s="24">
        <v>1</v>
      </c>
      <c r="BE374" s="24">
        <v>240</v>
      </c>
      <c r="BG374" s="24">
        <v>2</v>
      </c>
      <c r="BL374" s="7">
        <v>0</v>
      </c>
    </row>
    <row r="375" spans="1:64" s="24" customFormat="1">
      <c r="A375" s="24">
        <v>90210</v>
      </c>
      <c r="B375" s="24" t="s">
        <v>3091</v>
      </c>
      <c r="C375" s="7" t="s">
        <v>740</v>
      </c>
      <c r="D375" s="7" t="s">
        <v>741</v>
      </c>
      <c r="E375" s="24">
        <v>1</v>
      </c>
      <c r="F375" s="24" t="s">
        <v>959</v>
      </c>
      <c r="G375" s="24">
        <v>0</v>
      </c>
      <c r="H375" s="24">
        <v>0</v>
      </c>
      <c r="I375" s="24">
        <v>99999</v>
      </c>
      <c r="J375" s="24">
        <v>0</v>
      </c>
      <c r="K375" s="24">
        <v>0</v>
      </c>
      <c r="L375" s="24" t="s">
        <v>1562</v>
      </c>
      <c r="M375" s="24">
        <v>100</v>
      </c>
      <c r="N375" s="24">
        <v>1</v>
      </c>
      <c r="P375" s="24">
        <v>0</v>
      </c>
      <c r="Q375" s="24">
        <v>0</v>
      </c>
      <c r="S375" s="24">
        <v>100</v>
      </c>
      <c r="T375" s="24">
        <v>0</v>
      </c>
      <c r="V375" s="24">
        <v>1</v>
      </c>
      <c r="W375" s="24">
        <v>0</v>
      </c>
      <c r="X375" s="35"/>
      <c r="Y375" s="25" t="s">
        <v>3093</v>
      </c>
      <c r="Z375" s="1" t="s">
        <v>3100</v>
      </c>
      <c r="AA375" s="7" t="s">
        <v>3105</v>
      </c>
      <c r="AB375" s="24">
        <v>0</v>
      </c>
      <c r="AC375" s="24">
        <v>3</v>
      </c>
      <c r="AD375" s="24">
        <v>0</v>
      </c>
      <c r="AE375" s="24">
        <v>10</v>
      </c>
      <c r="AF375" s="24">
        <v>1</v>
      </c>
      <c r="AI375" s="24">
        <v>0</v>
      </c>
      <c r="AJ375" s="24">
        <v>0</v>
      </c>
      <c r="AK375" s="24">
        <v>0</v>
      </c>
      <c r="AL375" s="24">
        <v>0</v>
      </c>
      <c r="AM375" s="24">
        <v>0</v>
      </c>
      <c r="AN375" s="24">
        <v>0</v>
      </c>
      <c r="AP375" s="24">
        <v>0</v>
      </c>
      <c r="AQ375" s="24">
        <v>1</v>
      </c>
      <c r="AR375" s="24">
        <v>0</v>
      </c>
      <c r="AS375" s="24">
        <v>0</v>
      </c>
      <c r="BE375" s="24">
        <v>240</v>
      </c>
      <c r="BG375" s="24">
        <v>2</v>
      </c>
      <c r="BL375" s="7">
        <v>0</v>
      </c>
    </row>
    <row r="376" spans="1:64" s="24" customFormat="1">
      <c r="A376" s="24">
        <v>90211</v>
      </c>
      <c r="B376" s="24" t="s">
        <v>3092</v>
      </c>
      <c r="C376" s="7" t="s">
        <v>740</v>
      </c>
      <c r="D376" s="7" t="s">
        <v>741</v>
      </c>
      <c r="E376" s="24">
        <v>1</v>
      </c>
      <c r="F376" s="24" t="s">
        <v>959</v>
      </c>
      <c r="G376" s="24">
        <v>0</v>
      </c>
      <c r="H376" s="24">
        <v>0</v>
      </c>
      <c r="I376" s="24">
        <v>99999</v>
      </c>
      <c r="J376" s="24">
        <v>0</v>
      </c>
      <c r="K376" s="24">
        <v>0</v>
      </c>
      <c r="L376" s="24" t="s">
        <v>1562</v>
      </c>
      <c r="M376" s="24">
        <v>100</v>
      </c>
      <c r="N376" s="24">
        <v>1</v>
      </c>
      <c r="P376" s="24">
        <v>0</v>
      </c>
      <c r="Q376" s="24">
        <v>0</v>
      </c>
      <c r="S376" s="24">
        <v>100</v>
      </c>
      <c r="T376" s="24">
        <v>0</v>
      </c>
      <c r="V376" s="24">
        <v>1</v>
      </c>
      <c r="W376" s="24">
        <v>0</v>
      </c>
      <c r="X376" s="35"/>
      <c r="Y376" s="25" t="s">
        <v>3098</v>
      </c>
      <c r="Z376" s="1" t="s">
        <v>3102</v>
      </c>
      <c r="AA376" s="7" t="s">
        <v>3110</v>
      </c>
      <c r="AB376" s="24">
        <v>0</v>
      </c>
      <c r="AC376" s="24">
        <v>3</v>
      </c>
      <c r="AD376" s="24">
        <v>0</v>
      </c>
      <c r="AE376" s="24">
        <v>10</v>
      </c>
      <c r="AF376" s="24">
        <v>1</v>
      </c>
      <c r="AI376" s="24">
        <v>24</v>
      </c>
      <c r="AJ376" s="24">
        <v>1000</v>
      </c>
      <c r="AK376" s="24">
        <v>0</v>
      </c>
      <c r="AL376" s="24">
        <v>0</v>
      </c>
      <c r="AM376" s="24">
        <v>0</v>
      </c>
      <c r="AN376" s="24">
        <v>0</v>
      </c>
      <c r="AP376" s="24">
        <v>0</v>
      </c>
      <c r="AQ376" s="24">
        <v>1</v>
      </c>
      <c r="AR376" s="24">
        <v>1</v>
      </c>
      <c r="AS376" s="24">
        <v>0</v>
      </c>
      <c r="AV376" s="24">
        <v>1</v>
      </c>
      <c r="BE376" s="24">
        <v>240</v>
      </c>
      <c r="BG376" s="24">
        <v>2</v>
      </c>
      <c r="BL376" s="7">
        <v>0</v>
      </c>
    </row>
    <row r="377" spans="1:64" s="7" customFormat="1" ht="15.75" customHeight="1">
      <c r="A377" s="7">
        <v>90212</v>
      </c>
      <c r="B377" s="7" t="s">
        <v>3179</v>
      </c>
      <c r="C377" s="7" t="s">
        <v>689</v>
      </c>
      <c r="D377" s="7" t="s">
        <v>690</v>
      </c>
      <c r="E377" s="7">
        <v>1</v>
      </c>
      <c r="F377" s="7" t="s">
        <v>959</v>
      </c>
      <c r="G377" s="7">
        <v>0</v>
      </c>
      <c r="H377" s="7">
        <v>0</v>
      </c>
      <c r="I377" s="7">
        <v>99999</v>
      </c>
      <c r="J377" s="7">
        <v>0</v>
      </c>
      <c r="K377" s="7">
        <v>0</v>
      </c>
      <c r="L377" s="7" t="s">
        <v>1562</v>
      </c>
      <c r="M377" s="7">
        <v>100</v>
      </c>
      <c r="N377" s="7">
        <v>1</v>
      </c>
      <c r="P377" s="7">
        <v>0</v>
      </c>
      <c r="Q377" s="7">
        <v>0</v>
      </c>
      <c r="S377" s="7">
        <v>100</v>
      </c>
      <c r="T377" s="7">
        <v>0</v>
      </c>
      <c r="V377" s="7">
        <v>1</v>
      </c>
      <c r="W377" s="7">
        <v>0</v>
      </c>
      <c r="X377" s="6"/>
      <c r="Y377" s="7" t="s">
        <v>3140</v>
      </c>
      <c r="Z377" s="28" t="s">
        <v>3139</v>
      </c>
      <c r="AA377" s="7" t="s">
        <v>3138</v>
      </c>
      <c r="AB377" s="7">
        <v>0</v>
      </c>
      <c r="AC377" s="7">
        <v>3</v>
      </c>
      <c r="AD377" s="7">
        <v>0</v>
      </c>
      <c r="AE377" s="7">
        <v>10</v>
      </c>
      <c r="AF377" s="7">
        <v>1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Q377" s="24">
        <v>1</v>
      </c>
      <c r="AR377" s="7">
        <v>0</v>
      </c>
      <c r="AS377" s="7">
        <v>0</v>
      </c>
      <c r="BE377" s="7">
        <v>240</v>
      </c>
      <c r="BG377" s="7">
        <v>2</v>
      </c>
      <c r="BL377" s="7">
        <v>0</v>
      </c>
    </row>
    <row r="378" spans="1:64" s="7" customFormat="1" ht="15.75" customHeight="1">
      <c r="A378" s="7">
        <v>90213</v>
      </c>
      <c r="B378" s="7" t="s">
        <v>3169</v>
      </c>
      <c r="C378" s="7" t="s">
        <v>689</v>
      </c>
      <c r="D378" s="7" t="s">
        <v>690</v>
      </c>
      <c r="E378" s="7">
        <v>1</v>
      </c>
      <c r="F378" s="7" t="s">
        <v>959</v>
      </c>
      <c r="G378" s="7">
        <v>0</v>
      </c>
      <c r="H378" s="7">
        <v>0</v>
      </c>
      <c r="I378" s="7">
        <v>99999</v>
      </c>
      <c r="J378" s="7">
        <v>0</v>
      </c>
      <c r="K378" s="7">
        <v>0</v>
      </c>
      <c r="L378" s="7" t="s">
        <v>1562</v>
      </c>
      <c r="M378" s="7">
        <v>99</v>
      </c>
      <c r="N378" s="7">
        <v>1</v>
      </c>
      <c r="P378" s="7">
        <v>0</v>
      </c>
      <c r="Q378" s="7">
        <v>0</v>
      </c>
      <c r="S378" s="7">
        <v>10000</v>
      </c>
      <c r="T378" s="7">
        <v>0</v>
      </c>
      <c r="V378" s="7">
        <v>1</v>
      </c>
      <c r="W378" s="7">
        <v>0</v>
      </c>
      <c r="X378" s="6"/>
      <c r="Y378" s="7" t="s">
        <v>3170</v>
      </c>
      <c r="Z378" s="28" t="s">
        <v>3172</v>
      </c>
      <c r="AA378" s="7" t="s">
        <v>3171</v>
      </c>
      <c r="AB378" s="7">
        <v>0</v>
      </c>
      <c r="AC378" s="7">
        <v>3</v>
      </c>
      <c r="AD378" s="7">
        <v>0</v>
      </c>
      <c r="AE378" s="7">
        <v>10</v>
      </c>
      <c r="AF378" s="7">
        <v>1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P378" s="7">
        <v>1</v>
      </c>
      <c r="AR378" s="7">
        <v>0</v>
      </c>
      <c r="AS378" s="7">
        <v>0</v>
      </c>
      <c r="BE378" s="7">
        <v>240</v>
      </c>
      <c r="BG378" s="7">
        <v>2</v>
      </c>
      <c r="BL378" s="7">
        <v>0</v>
      </c>
    </row>
    <row r="379" spans="1:64" s="7" customFormat="1" ht="15.75" customHeight="1">
      <c r="A379" s="7">
        <v>90214</v>
      </c>
      <c r="B379" s="7" t="s">
        <v>3176</v>
      </c>
      <c r="C379" s="7" t="s">
        <v>689</v>
      </c>
      <c r="D379" s="7" t="s">
        <v>690</v>
      </c>
      <c r="E379" s="7">
        <v>1</v>
      </c>
      <c r="F379" s="7" t="s">
        <v>959</v>
      </c>
      <c r="G379" s="7">
        <v>0</v>
      </c>
      <c r="H379" s="7">
        <v>0</v>
      </c>
      <c r="I379" s="7">
        <v>99999</v>
      </c>
      <c r="J379" s="7">
        <v>0</v>
      </c>
      <c r="K379" s="7">
        <v>0</v>
      </c>
      <c r="L379" s="7" t="s">
        <v>1562</v>
      </c>
      <c r="M379" s="7">
        <v>100</v>
      </c>
      <c r="N379" s="7">
        <v>1</v>
      </c>
      <c r="P379" s="7">
        <v>0</v>
      </c>
      <c r="Q379" s="7">
        <v>0</v>
      </c>
      <c r="S379" s="7">
        <v>100</v>
      </c>
      <c r="T379" s="7">
        <v>0</v>
      </c>
      <c r="V379" s="7">
        <v>1</v>
      </c>
      <c r="W379" s="7">
        <v>0</v>
      </c>
      <c r="X379" s="6"/>
      <c r="Y379" s="7" t="s">
        <v>3180</v>
      </c>
      <c r="Z379" s="28" t="s">
        <v>3183</v>
      </c>
      <c r="AA379" s="7" t="s">
        <v>3138</v>
      </c>
      <c r="AB379" s="7">
        <v>0</v>
      </c>
      <c r="AC379" s="7">
        <v>3</v>
      </c>
      <c r="AD379" s="7">
        <v>0</v>
      </c>
      <c r="AE379" s="7">
        <v>10</v>
      </c>
      <c r="AF379" s="7">
        <v>1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Q379" s="24">
        <v>1</v>
      </c>
      <c r="AR379" s="7">
        <v>0</v>
      </c>
      <c r="AS379" s="7">
        <v>0</v>
      </c>
      <c r="BE379" s="7">
        <v>240</v>
      </c>
      <c r="BG379" s="7">
        <v>2</v>
      </c>
      <c r="BL379" s="7">
        <v>0</v>
      </c>
    </row>
    <row r="380" spans="1:64" s="7" customFormat="1" ht="15.75" customHeight="1">
      <c r="A380" s="7">
        <v>90215</v>
      </c>
      <c r="B380" s="7" t="s">
        <v>3177</v>
      </c>
      <c r="C380" s="7" t="s">
        <v>689</v>
      </c>
      <c r="D380" s="7" t="s">
        <v>690</v>
      </c>
      <c r="E380" s="7">
        <v>1</v>
      </c>
      <c r="F380" s="7" t="s">
        <v>959</v>
      </c>
      <c r="G380" s="7">
        <v>0</v>
      </c>
      <c r="H380" s="7">
        <v>0</v>
      </c>
      <c r="I380" s="7">
        <v>99999</v>
      </c>
      <c r="J380" s="7">
        <v>0</v>
      </c>
      <c r="K380" s="7">
        <v>0</v>
      </c>
      <c r="L380" s="7" t="s">
        <v>1562</v>
      </c>
      <c r="M380" s="7">
        <v>100</v>
      </c>
      <c r="N380" s="7">
        <v>1</v>
      </c>
      <c r="P380" s="7">
        <v>0</v>
      </c>
      <c r="Q380" s="7">
        <v>0</v>
      </c>
      <c r="S380" s="7">
        <v>100</v>
      </c>
      <c r="T380" s="7">
        <v>0</v>
      </c>
      <c r="V380" s="7">
        <v>1</v>
      </c>
      <c r="W380" s="7">
        <v>0</v>
      </c>
      <c r="X380" s="6"/>
      <c r="Y380" s="7" t="s">
        <v>3181</v>
      </c>
      <c r="Z380" s="28" t="s">
        <v>3139</v>
      </c>
      <c r="AA380" s="7" t="s">
        <v>3138</v>
      </c>
      <c r="AB380" s="7">
        <v>0</v>
      </c>
      <c r="AC380" s="7">
        <v>3</v>
      </c>
      <c r="AD380" s="7">
        <v>0</v>
      </c>
      <c r="AE380" s="7">
        <v>10</v>
      </c>
      <c r="AF380" s="7">
        <v>1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Q380" s="24">
        <v>1</v>
      </c>
      <c r="AR380" s="7">
        <v>0</v>
      </c>
      <c r="AS380" s="7">
        <v>0</v>
      </c>
      <c r="BE380" s="7">
        <v>240</v>
      </c>
      <c r="BG380" s="7">
        <v>2</v>
      </c>
      <c r="BL380" s="7">
        <v>0</v>
      </c>
    </row>
    <row r="381" spans="1:64" s="7" customFormat="1" ht="15.75" customHeight="1">
      <c r="A381" s="7">
        <v>90216</v>
      </c>
      <c r="B381" s="7" t="s">
        <v>3178</v>
      </c>
      <c r="C381" s="7" t="s">
        <v>689</v>
      </c>
      <c r="D381" s="7" t="s">
        <v>690</v>
      </c>
      <c r="E381" s="7">
        <v>1</v>
      </c>
      <c r="F381" s="7" t="s">
        <v>959</v>
      </c>
      <c r="G381" s="7">
        <v>0</v>
      </c>
      <c r="H381" s="7">
        <v>0</v>
      </c>
      <c r="I381" s="7">
        <v>99999</v>
      </c>
      <c r="J381" s="7">
        <v>0</v>
      </c>
      <c r="K381" s="7">
        <v>0</v>
      </c>
      <c r="L381" s="7" t="s">
        <v>1562</v>
      </c>
      <c r="M381" s="7">
        <v>100</v>
      </c>
      <c r="N381" s="7">
        <v>1</v>
      </c>
      <c r="P381" s="7">
        <v>0</v>
      </c>
      <c r="Q381" s="7">
        <v>0</v>
      </c>
      <c r="S381" s="7">
        <v>100</v>
      </c>
      <c r="T381" s="7">
        <v>0</v>
      </c>
      <c r="V381" s="7">
        <v>1</v>
      </c>
      <c r="W381" s="7">
        <v>0</v>
      </c>
      <c r="X381" s="6"/>
      <c r="Y381" s="7" t="s">
        <v>3182</v>
      </c>
      <c r="Z381" s="28" t="s">
        <v>3183</v>
      </c>
      <c r="AA381" s="7" t="s">
        <v>3138</v>
      </c>
      <c r="AB381" s="7">
        <v>0</v>
      </c>
      <c r="AC381" s="7">
        <v>3</v>
      </c>
      <c r="AD381" s="7">
        <v>0</v>
      </c>
      <c r="AE381" s="7">
        <v>10</v>
      </c>
      <c r="AF381" s="7">
        <v>1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Q381" s="24">
        <v>1</v>
      </c>
      <c r="AR381" s="7">
        <v>0</v>
      </c>
      <c r="AS381" s="7">
        <v>0</v>
      </c>
      <c r="BE381" s="7">
        <v>240</v>
      </c>
      <c r="BG381" s="7">
        <v>2</v>
      </c>
      <c r="BL381" s="7">
        <v>0</v>
      </c>
    </row>
    <row r="382" spans="1:64" s="7" customFormat="1" ht="15.75" customHeight="1">
      <c r="A382" s="7">
        <v>90217</v>
      </c>
      <c r="B382" s="7" t="s">
        <v>3218</v>
      </c>
      <c r="C382" s="7" t="s">
        <v>740</v>
      </c>
      <c r="D382" s="7" t="s">
        <v>741</v>
      </c>
      <c r="E382" s="7">
        <v>1</v>
      </c>
      <c r="F382" s="7" t="s">
        <v>959</v>
      </c>
      <c r="G382" s="7">
        <v>0</v>
      </c>
      <c r="H382" s="7">
        <v>0</v>
      </c>
      <c r="I382" s="7">
        <v>99999</v>
      </c>
      <c r="J382" s="7">
        <v>0</v>
      </c>
      <c r="K382" s="7">
        <v>0</v>
      </c>
      <c r="L382" s="7" t="s">
        <v>1562</v>
      </c>
      <c r="M382" s="7">
        <v>100</v>
      </c>
      <c r="N382" s="7">
        <v>1</v>
      </c>
      <c r="P382" s="7">
        <v>0</v>
      </c>
      <c r="Q382" s="7">
        <v>0</v>
      </c>
      <c r="S382" s="7">
        <v>100</v>
      </c>
      <c r="T382" s="7">
        <v>0</v>
      </c>
      <c r="V382" s="7">
        <v>1</v>
      </c>
      <c r="W382" s="7">
        <v>0</v>
      </c>
      <c r="X382" s="6"/>
      <c r="Y382" s="7" t="s">
        <v>3235</v>
      </c>
      <c r="Z382" s="28" t="s">
        <v>3232</v>
      </c>
      <c r="AA382" s="7" t="s">
        <v>3138</v>
      </c>
      <c r="AB382" s="7">
        <v>0</v>
      </c>
      <c r="AC382" s="7">
        <v>3</v>
      </c>
      <c r="AD382" s="7">
        <v>0</v>
      </c>
      <c r="AE382" s="7">
        <v>10</v>
      </c>
      <c r="AF382" s="7">
        <v>1</v>
      </c>
      <c r="AI382" s="7">
        <v>24</v>
      </c>
      <c r="AJ382" s="7">
        <v>50</v>
      </c>
      <c r="AK382" s="7">
        <v>0</v>
      </c>
      <c r="AL382" s="7">
        <v>0</v>
      </c>
      <c r="AM382" s="7">
        <v>24</v>
      </c>
      <c r="AN382" s="7">
        <v>200</v>
      </c>
      <c r="AO382" s="7">
        <v>72</v>
      </c>
      <c r="AP382" s="7">
        <v>1</v>
      </c>
      <c r="AQ382" s="24">
        <v>1</v>
      </c>
      <c r="AR382" s="7">
        <v>1</v>
      </c>
      <c r="AS382" s="7">
        <v>1</v>
      </c>
      <c r="AV382" s="7">
        <v>1</v>
      </c>
      <c r="AW382" s="7">
        <v>1</v>
      </c>
      <c r="AY382" s="7">
        <v>30000</v>
      </c>
      <c r="AZ382" s="7">
        <v>40000</v>
      </c>
      <c r="BA382" s="7">
        <v>50000</v>
      </c>
      <c r="BB382" s="7">
        <v>4</v>
      </c>
      <c r="BE382" s="7">
        <v>240</v>
      </c>
      <c r="BG382" s="7">
        <v>2</v>
      </c>
      <c r="BL382" s="7">
        <v>0</v>
      </c>
    </row>
    <row r="383" spans="1:64" s="7" customFormat="1" ht="15.75" customHeight="1">
      <c r="A383" s="7">
        <v>90218</v>
      </c>
      <c r="B383" s="7" t="s">
        <v>3219</v>
      </c>
      <c r="C383" s="7" t="s">
        <v>740</v>
      </c>
      <c r="D383" s="7" t="s">
        <v>741</v>
      </c>
      <c r="E383" s="7">
        <v>1</v>
      </c>
      <c r="F383" s="7" t="s">
        <v>959</v>
      </c>
      <c r="G383" s="7">
        <v>0</v>
      </c>
      <c r="H383" s="7">
        <v>0</v>
      </c>
      <c r="I383" s="7">
        <v>99999</v>
      </c>
      <c r="J383" s="7">
        <v>0</v>
      </c>
      <c r="K383" s="7">
        <v>0</v>
      </c>
      <c r="L383" s="7" t="s">
        <v>1562</v>
      </c>
      <c r="M383" s="7">
        <v>100</v>
      </c>
      <c r="N383" s="7">
        <v>1</v>
      </c>
      <c r="P383" s="7">
        <v>0</v>
      </c>
      <c r="Q383" s="7">
        <v>0</v>
      </c>
      <c r="S383" s="7">
        <v>100</v>
      </c>
      <c r="T383" s="7">
        <v>0</v>
      </c>
      <c r="V383" s="7">
        <v>1</v>
      </c>
      <c r="W383" s="7">
        <v>0</v>
      </c>
      <c r="X383" s="6"/>
      <c r="Y383" s="7" t="s">
        <v>3236</v>
      </c>
      <c r="Z383" s="28" t="s">
        <v>3233</v>
      </c>
      <c r="AA383" s="7" t="s">
        <v>3138</v>
      </c>
      <c r="AB383" s="7">
        <v>0</v>
      </c>
      <c r="AC383" s="7">
        <v>3</v>
      </c>
      <c r="AD383" s="7">
        <v>0</v>
      </c>
      <c r="AE383" s="7">
        <v>10</v>
      </c>
      <c r="AF383" s="7">
        <v>1</v>
      </c>
      <c r="AI383" s="7">
        <v>24</v>
      </c>
      <c r="AJ383" s="7">
        <v>50</v>
      </c>
      <c r="AK383" s="7">
        <v>0</v>
      </c>
      <c r="AL383" s="7">
        <v>0</v>
      </c>
      <c r="AM383" s="7">
        <v>24</v>
      </c>
      <c r="AN383" s="7">
        <v>200</v>
      </c>
      <c r="AO383" s="7">
        <v>72</v>
      </c>
      <c r="AP383" s="7">
        <v>1</v>
      </c>
      <c r="AQ383" s="24">
        <v>1</v>
      </c>
      <c r="AR383" s="7">
        <v>1</v>
      </c>
      <c r="AS383" s="7">
        <v>1</v>
      </c>
      <c r="AV383" s="7">
        <v>1</v>
      </c>
      <c r="AW383" s="7">
        <v>1</v>
      </c>
      <c r="AY383" s="7">
        <v>30000</v>
      </c>
      <c r="AZ383" s="7">
        <v>40000</v>
      </c>
      <c r="BA383" s="7">
        <v>50000</v>
      </c>
      <c r="BB383" s="7">
        <v>4</v>
      </c>
      <c r="BE383" s="7">
        <v>240</v>
      </c>
      <c r="BG383" s="7">
        <v>2</v>
      </c>
      <c r="BL383" s="7">
        <v>0</v>
      </c>
    </row>
    <row r="384" spans="1:64" s="7" customFormat="1" ht="15.75" customHeight="1">
      <c r="A384" s="7">
        <v>90219</v>
      </c>
      <c r="B384" s="7" t="s">
        <v>3220</v>
      </c>
      <c r="C384" s="7" t="s">
        <v>740</v>
      </c>
      <c r="D384" s="7" t="s">
        <v>741</v>
      </c>
      <c r="E384" s="7">
        <v>1</v>
      </c>
      <c r="F384" s="7" t="s">
        <v>959</v>
      </c>
      <c r="G384" s="7">
        <v>0</v>
      </c>
      <c r="H384" s="7">
        <v>0</v>
      </c>
      <c r="I384" s="7">
        <v>99999</v>
      </c>
      <c r="J384" s="7">
        <v>0</v>
      </c>
      <c r="K384" s="7">
        <v>0</v>
      </c>
      <c r="L384" s="7" t="s">
        <v>1562</v>
      </c>
      <c r="M384" s="7">
        <v>100</v>
      </c>
      <c r="N384" s="7">
        <v>1</v>
      </c>
      <c r="P384" s="7">
        <v>0</v>
      </c>
      <c r="Q384" s="7">
        <v>0</v>
      </c>
      <c r="S384" s="7">
        <v>100</v>
      </c>
      <c r="T384" s="7">
        <v>0</v>
      </c>
      <c r="V384" s="7">
        <v>1</v>
      </c>
      <c r="W384" s="7">
        <v>0</v>
      </c>
      <c r="X384" s="6"/>
      <c r="Y384" s="7" t="s">
        <v>3237</v>
      </c>
      <c r="Z384" s="28" t="s">
        <v>3234</v>
      </c>
      <c r="AA384" s="7" t="s">
        <v>3138</v>
      </c>
      <c r="AB384" s="7">
        <v>0</v>
      </c>
      <c r="AC384" s="7">
        <v>3</v>
      </c>
      <c r="AD384" s="7">
        <v>0</v>
      </c>
      <c r="AE384" s="7">
        <v>10</v>
      </c>
      <c r="AF384" s="7">
        <v>1</v>
      </c>
      <c r="AI384" s="7">
        <v>24</v>
      </c>
      <c r="AJ384" s="7">
        <v>50</v>
      </c>
      <c r="AK384" s="7">
        <v>0</v>
      </c>
      <c r="AL384" s="7">
        <v>0</v>
      </c>
      <c r="AM384" s="7">
        <v>24</v>
      </c>
      <c r="AN384" s="7">
        <v>200</v>
      </c>
      <c r="AO384" s="7">
        <v>72</v>
      </c>
      <c r="AP384" s="7">
        <v>1</v>
      </c>
      <c r="AQ384" s="24">
        <v>1</v>
      </c>
      <c r="AR384" s="7">
        <v>1</v>
      </c>
      <c r="AS384" s="7">
        <v>1</v>
      </c>
      <c r="AV384" s="7">
        <v>1</v>
      </c>
      <c r="AW384" s="7">
        <v>1</v>
      </c>
      <c r="AY384" s="7">
        <v>30000</v>
      </c>
      <c r="AZ384" s="7">
        <v>40000</v>
      </c>
      <c r="BA384" s="7">
        <v>50000</v>
      </c>
      <c r="BB384" s="7">
        <v>4</v>
      </c>
      <c r="BE384" s="7">
        <v>240</v>
      </c>
      <c r="BG384" s="7">
        <v>2</v>
      </c>
      <c r="BL384" s="7">
        <v>0</v>
      </c>
    </row>
    <row r="385" spans="1:64" s="7" customFormat="1">
      <c r="A385" s="7">
        <v>91001</v>
      </c>
      <c r="B385" s="7" t="s">
        <v>3238</v>
      </c>
      <c r="C385" s="7" t="s">
        <v>689</v>
      </c>
      <c r="D385" s="7" t="s">
        <v>690</v>
      </c>
      <c r="E385" s="7">
        <v>1</v>
      </c>
      <c r="F385" s="7" t="s">
        <v>959</v>
      </c>
      <c r="G385" s="7">
        <v>0</v>
      </c>
      <c r="H385" s="7">
        <v>0</v>
      </c>
      <c r="I385" s="7">
        <v>99999</v>
      </c>
      <c r="J385" s="7">
        <v>0</v>
      </c>
      <c r="K385" s="7">
        <v>0</v>
      </c>
      <c r="L385" s="7" t="s">
        <v>1562</v>
      </c>
      <c r="M385" s="7">
        <v>10</v>
      </c>
      <c r="N385" s="7">
        <v>1</v>
      </c>
      <c r="P385" s="7">
        <v>0</v>
      </c>
      <c r="Q385" s="7">
        <v>0</v>
      </c>
      <c r="S385" s="7">
        <v>500</v>
      </c>
      <c r="T385" s="7">
        <v>0</v>
      </c>
      <c r="V385" s="7">
        <v>1</v>
      </c>
      <c r="W385" s="7">
        <v>0</v>
      </c>
      <c r="X385" s="6"/>
      <c r="Y385" s="7" t="s">
        <v>1655</v>
      </c>
      <c r="Z385" s="7" t="s">
        <v>2661</v>
      </c>
      <c r="AA385" s="7" t="s">
        <v>1300</v>
      </c>
      <c r="AB385" s="7">
        <v>0</v>
      </c>
      <c r="AC385" s="7">
        <v>4</v>
      </c>
      <c r="AD385" s="7">
        <v>0</v>
      </c>
      <c r="AE385" s="7">
        <v>10</v>
      </c>
      <c r="AF385" s="7">
        <v>1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P385" s="7">
        <v>1</v>
      </c>
      <c r="AQ385" s="7">
        <v>1</v>
      </c>
      <c r="AR385" s="7">
        <v>0</v>
      </c>
      <c r="AS385" s="7">
        <v>0</v>
      </c>
      <c r="BE385" s="7">
        <v>240</v>
      </c>
      <c r="BG385" s="7">
        <v>2</v>
      </c>
      <c r="BL385" s="7">
        <v>0</v>
      </c>
    </row>
    <row r="386" spans="1:64" s="7" customFormat="1">
      <c r="A386" s="7">
        <v>91002</v>
      </c>
      <c r="B386" s="7" t="s">
        <v>3239</v>
      </c>
      <c r="C386" s="7" t="s">
        <v>689</v>
      </c>
      <c r="D386" s="7" t="s">
        <v>690</v>
      </c>
      <c r="E386" s="7">
        <v>1</v>
      </c>
      <c r="F386" s="7" t="s">
        <v>959</v>
      </c>
      <c r="G386" s="7">
        <v>0</v>
      </c>
      <c r="H386" s="7">
        <v>0</v>
      </c>
      <c r="I386" s="7">
        <v>99999</v>
      </c>
      <c r="J386" s="7">
        <v>0</v>
      </c>
      <c r="K386" s="7">
        <v>0</v>
      </c>
      <c r="L386" s="7" t="s">
        <v>1562</v>
      </c>
      <c r="M386" s="7">
        <v>10</v>
      </c>
      <c r="N386" s="7">
        <v>1</v>
      </c>
      <c r="P386" s="7">
        <v>0</v>
      </c>
      <c r="Q386" s="7">
        <v>0</v>
      </c>
      <c r="S386" s="7">
        <v>500</v>
      </c>
      <c r="T386" s="7">
        <v>0</v>
      </c>
      <c r="V386" s="7">
        <v>1</v>
      </c>
      <c r="W386" s="7">
        <v>0</v>
      </c>
      <c r="X386" s="6"/>
      <c r="Y386" s="7" t="s">
        <v>1656</v>
      </c>
      <c r="Z386" s="7" t="s">
        <v>2661</v>
      </c>
      <c r="AA386" s="7" t="s">
        <v>1301</v>
      </c>
      <c r="AB386" s="7">
        <v>0</v>
      </c>
      <c r="AC386" s="7">
        <v>4</v>
      </c>
      <c r="AD386" s="7">
        <v>0</v>
      </c>
      <c r="AE386" s="7">
        <v>10</v>
      </c>
      <c r="AF386" s="7">
        <v>1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P386" s="7">
        <v>1</v>
      </c>
      <c r="AQ386" s="7">
        <v>1</v>
      </c>
      <c r="AR386" s="7">
        <v>0</v>
      </c>
      <c r="AS386" s="7">
        <v>0</v>
      </c>
      <c r="BE386" s="7">
        <v>240</v>
      </c>
      <c r="BG386" s="7">
        <v>2</v>
      </c>
      <c r="BL386" s="7">
        <v>0</v>
      </c>
    </row>
    <row r="387" spans="1:64" s="7" customFormat="1">
      <c r="A387" s="7">
        <v>91003</v>
      </c>
      <c r="B387" s="7" t="s">
        <v>3240</v>
      </c>
      <c r="C387" s="7" t="s">
        <v>689</v>
      </c>
      <c r="D387" s="7" t="s">
        <v>690</v>
      </c>
      <c r="E387" s="7">
        <v>1</v>
      </c>
      <c r="F387" s="7" t="s">
        <v>959</v>
      </c>
      <c r="G387" s="7">
        <v>0</v>
      </c>
      <c r="H387" s="7">
        <v>0</v>
      </c>
      <c r="I387" s="7">
        <v>99999</v>
      </c>
      <c r="J387" s="7">
        <v>0</v>
      </c>
      <c r="K387" s="7">
        <v>0</v>
      </c>
      <c r="L387" s="7" t="s">
        <v>1562</v>
      </c>
      <c r="M387" s="7">
        <v>10</v>
      </c>
      <c r="N387" s="7">
        <v>1</v>
      </c>
      <c r="P387" s="7">
        <v>0</v>
      </c>
      <c r="Q387" s="7">
        <v>0</v>
      </c>
      <c r="S387" s="7">
        <v>500</v>
      </c>
      <c r="T387" s="7">
        <v>0</v>
      </c>
      <c r="V387" s="7">
        <v>1</v>
      </c>
      <c r="W387" s="7">
        <v>0</v>
      </c>
      <c r="X387" s="6"/>
      <c r="Y387" s="7" t="s">
        <v>1657</v>
      </c>
      <c r="Z387" s="7" t="s">
        <v>2661</v>
      </c>
      <c r="AA387" s="7" t="s">
        <v>1302</v>
      </c>
      <c r="AB387" s="7">
        <v>0</v>
      </c>
      <c r="AC387" s="7">
        <v>4</v>
      </c>
      <c r="AD387" s="7">
        <v>0</v>
      </c>
      <c r="AE387" s="7">
        <v>10</v>
      </c>
      <c r="AF387" s="7">
        <v>1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P387" s="7">
        <v>1</v>
      </c>
      <c r="AQ387" s="7">
        <v>1</v>
      </c>
      <c r="AR387" s="7">
        <v>0</v>
      </c>
      <c r="AS387" s="7">
        <v>0</v>
      </c>
      <c r="BE387" s="7">
        <v>240</v>
      </c>
      <c r="BG387" s="7">
        <v>2</v>
      </c>
      <c r="BL387" s="7">
        <v>0</v>
      </c>
    </row>
    <row r="388" spans="1:64" s="7" customFormat="1">
      <c r="A388" s="7">
        <v>91004</v>
      </c>
      <c r="B388" s="7" t="s">
        <v>3241</v>
      </c>
      <c r="C388" s="7" t="s">
        <v>689</v>
      </c>
      <c r="D388" s="7" t="s">
        <v>690</v>
      </c>
      <c r="E388" s="7">
        <v>1</v>
      </c>
      <c r="F388" s="7" t="s">
        <v>959</v>
      </c>
      <c r="G388" s="7">
        <v>0</v>
      </c>
      <c r="H388" s="7">
        <v>0</v>
      </c>
      <c r="I388" s="7">
        <v>99999</v>
      </c>
      <c r="J388" s="7">
        <v>0</v>
      </c>
      <c r="K388" s="7">
        <v>0</v>
      </c>
      <c r="L388" s="7" t="s">
        <v>1562</v>
      </c>
      <c r="M388" s="7">
        <v>10</v>
      </c>
      <c r="N388" s="7">
        <v>1</v>
      </c>
      <c r="P388" s="7">
        <v>0</v>
      </c>
      <c r="Q388" s="7">
        <v>0</v>
      </c>
      <c r="S388" s="7">
        <v>500</v>
      </c>
      <c r="T388" s="7">
        <v>0</v>
      </c>
      <c r="V388" s="7">
        <v>1</v>
      </c>
      <c r="W388" s="7">
        <v>0</v>
      </c>
      <c r="X388" s="6"/>
      <c r="Y388" s="7" t="s">
        <v>1658</v>
      </c>
      <c r="Z388" s="7" t="s">
        <v>2661</v>
      </c>
      <c r="AA388" s="7" t="s">
        <v>1303</v>
      </c>
      <c r="AB388" s="7">
        <v>0</v>
      </c>
      <c r="AC388" s="7">
        <v>4</v>
      </c>
      <c r="AD388" s="7">
        <v>0</v>
      </c>
      <c r="AE388" s="7">
        <v>10</v>
      </c>
      <c r="AF388" s="7">
        <v>1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P388" s="7">
        <v>1</v>
      </c>
      <c r="AQ388" s="7">
        <v>1</v>
      </c>
      <c r="AR388" s="7">
        <v>0</v>
      </c>
      <c r="AS388" s="7">
        <v>0</v>
      </c>
      <c r="BE388" s="7">
        <v>240</v>
      </c>
      <c r="BG388" s="7">
        <v>2</v>
      </c>
      <c r="BL388" s="7">
        <v>0</v>
      </c>
    </row>
    <row r="389" spans="1:64" s="7" customFormat="1">
      <c r="A389" s="7">
        <v>91005</v>
      </c>
      <c r="B389" s="7" t="s">
        <v>3242</v>
      </c>
      <c r="C389" s="7" t="s">
        <v>689</v>
      </c>
      <c r="D389" s="7" t="s">
        <v>690</v>
      </c>
      <c r="E389" s="7">
        <v>1</v>
      </c>
      <c r="F389" s="7" t="s">
        <v>959</v>
      </c>
      <c r="G389" s="7">
        <v>0</v>
      </c>
      <c r="H389" s="7">
        <v>0</v>
      </c>
      <c r="I389" s="7">
        <v>99999</v>
      </c>
      <c r="J389" s="7">
        <v>0</v>
      </c>
      <c r="K389" s="7">
        <v>0</v>
      </c>
      <c r="L389" s="7" t="s">
        <v>1562</v>
      </c>
      <c r="M389" s="7">
        <v>10</v>
      </c>
      <c r="N389" s="7">
        <v>1</v>
      </c>
      <c r="P389" s="7">
        <v>0</v>
      </c>
      <c r="Q389" s="7">
        <v>0</v>
      </c>
      <c r="S389" s="7">
        <v>500</v>
      </c>
      <c r="T389" s="7">
        <v>0</v>
      </c>
      <c r="V389" s="7">
        <v>1</v>
      </c>
      <c r="W389" s="7">
        <v>0</v>
      </c>
      <c r="X389" s="6"/>
      <c r="Y389" s="7" t="s">
        <v>1659</v>
      </c>
      <c r="Z389" s="7" t="s">
        <v>2661</v>
      </c>
      <c r="AA389" s="7" t="s">
        <v>1304</v>
      </c>
      <c r="AB389" s="7">
        <v>0</v>
      </c>
      <c r="AC389" s="7">
        <v>4</v>
      </c>
      <c r="AD389" s="7">
        <v>0</v>
      </c>
      <c r="AE389" s="7">
        <v>10</v>
      </c>
      <c r="AF389" s="7">
        <v>1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P389" s="7">
        <v>1</v>
      </c>
      <c r="AQ389" s="7">
        <v>1</v>
      </c>
      <c r="AR389" s="7">
        <v>0</v>
      </c>
      <c r="AS389" s="7">
        <v>0</v>
      </c>
      <c r="BE389" s="7">
        <v>240</v>
      </c>
      <c r="BG389" s="7">
        <v>2</v>
      </c>
      <c r="BL389" s="7">
        <v>0</v>
      </c>
    </row>
    <row r="390" spans="1:64" s="7" customFormat="1">
      <c r="A390" s="7">
        <v>91006</v>
      </c>
      <c r="B390" s="7" t="s">
        <v>3243</v>
      </c>
      <c r="C390" s="7" t="s">
        <v>689</v>
      </c>
      <c r="D390" s="7" t="s">
        <v>690</v>
      </c>
      <c r="E390" s="7">
        <v>1</v>
      </c>
      <c r="F390" s="7" t="s">
        <v>959</v>
      </c>
      <c r="G390" s="7">
        <v>0</v>
      </c>
      <c r="H390" s="7">
        <v>0</v>
      </c>
      <c r="I390" s="7">
        <v>99999</v>
      </c>
      <c r="J390" s="7">
        <v>0</v>
      </c>
      <c r="K390" s="7">
        <v>0</v>
      </c>
      <c r="L390" s="7" t="s">
        <v>1562</v>
      </c>
      <c r="M390" s="7">
        <v>10</v>
      </c>
      <c r="N390" s="7">
        <v>1</v>
      </c>
      <c r="P390" s="7">
        <v>0</v>
      </c>
      <c r="Q390" s="7">
        <v>0</v>
      </c>
      <c r="S390" s="7">
        <v>500</v>
      </c>
      <c r="T390" s="7">
        <v>0</v>
      </c>
      <c r="V390" s="7">
        <v>1</v>
      </c>
      <c r="W390" s="7">
        <v>0</v>
      </c>
      <c r="X390" s="6"/>
      <c r="Y390" s="7" t="s">
        <v>1660</v>
      </c>
      <c r="Z390" s="7" t="s">
        <v>3244</v>
      </c>
      <c r="AA390" s="7" t="s">
        <v>1305</v>
      </c>
      <c r="AB390" s="7">
        <v>0</v>
      </c>
      <c r="AC390" s="7">
        <v>4</v>
      </c>
      <c r="AD390" s="7">
        <v>0</v>
      </c>
      <c r="AE390" s="7">
        <v>10</v>
      </c>
      <c r="AF390" s="7">
        <v>1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P390" s="7">
        <v>1</v>
      </c>
      <c r="AQ390" s="7">
        <v>1</v>
      </c>
      <c r="AR390" s="7">
        <v>0</v>
      </c>
      <c r="AS390" s="7">
        <v>0</v>
      </c>
      <c r="BE390" s="7">
        <v>240</v>
      </c>
      <c r="BG390" s="7">
        <v>2</v>
      </c>
      <c r="BL390" s="7">
        <v>0</v>
      </c>
    </row>
    <row r="391" spans="1:64" s="7" customFormat="1">
      <c r="A391" s="7">
        <v>91011</v>
      </c>
      <c r="B391" s="7" t="s">
        <v>3246</v>
      </c>
      <c r="C391" s="7" t="s">
        <v>689</v>
      </c>
      <c r="D391" s="7" t="s">
        <v>690</v>
      </c>
      <c r="E391" s="7">
        <v>1</v>
      </c>
      <c r="F391" s="7" t="s">
        <v>959</v>
      </c>
      <c r="G391" s="7">
        <v>0</v>
      </c>
      <c r="H391" s="7">
        <v>0</v>
      </c>
      <c r="I391" s="7">
        <v>99999</v>
      </c>
      <c r="J391" s="7">
        <v>0</v>
      </c>
      <c r="K391" s="7">
        <v>0</v>
      </c>
      <c r="L391" s="7" t="s">
        <v>1562</v>
      </c>
      <c r="M391" s="7">
        <v>10</v>
      </c>
      <c r="N391" s="7">
        <v>1</v>
      </c>
      <c r="P391" s="7">
        <v>0</v>
      </c>
      <c r="Q391" s="7">
        <v>0</v>
      </c>
      <c r="S391" s="7">
        <v>1000</v>
      </c>
      <c r="T391" s="7">
        <v>0</v>
      </c>
      <c r="V391" s="7">
        <v>1</v>
      </c>
      <c r="W391" s="7">
        <v>0</v>
      </c>
      <c r="X391" s="6"/>
      <c r="Y391" s="7" t="s">
        <v>1657</v>
      </c>
      <c r="Z391" s="7" t="s">
        <v>3288</v>
      </c>
      <c r="AA391" s="7" t="s">
        <v>1302</v>
      </c>
      <c r="AB391" s="7">
        <v>0</v>
      </c>
      <c r="AC391" s="7">
        <v>4</v>
      </c>
      <c r="AD391" s="7">
        <v>0</v>
      </c>
      <c r="AE391" s="7">
        <v>10</v>
      </c>
      <c r="AF391" s="7">
        <v>1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P391" s="7">
        <v>1</v>
      </c>
      <c r="AQ391" s="7">
        <v>1</v>
      </c>
      <c r="AR391" s="7">
        <v>0</v>
      </c>
      <c r="AS391" s="7">
        <v>0</v>
      </c>
      <c r="BE391" s="7">
        <v>240</v>
      </c>
      <c r="BG391" s="7">
        <v>2</v>
      </c>
      <c r="BL391" s="7">
        <v>0</v>
      </c>
    </row>
    <row r="392" spans="1:64" s="7" customFormat="1">
      <c r="A392" s="7">
        <v>91012</v>
      </c>
      <c r="B392" s="7" t="s">
        <v>1261</v>
      </c>
      <c r="C392" s="7" t="s">
        <v>689</v>
      </c>
      <c r="D392" s="7" t="s">
        <v>690</v>
      </c>
      <c r="E392" s="7">
        <v>1</v>
      </c>
      <c r="F392" s="7" t="s">
        <v>959</v>
      </c>
      <c r="G392" s="7">
        <v>0</v>
      </c>
      <c r="H392" s="7">
        <v>0</v>
      </c>
      <c r="I392" s="7">
        <v>99999</v>
      </c>
      <c r="J392" s="7">
        <v>0</v>
      </c>
      <c r="K392" s="7">
        <v>0</v>
      </c>
      <c r="L392" s="7" t="s">
        <v>1562</v>
      </c>
      <c r="M392" s="7">
        <v>10</v>
      </c>
      <c r="N392" s="7">
        <v>1</v>
      </c>
      <c r="P392" s="7">
        <v>0</v>
      </c>
      <c r="Q392" s="7">
        <v>0</v>
      </c>
      <c r="S392" s="7">
        <v>1000</v>
      </c>
      <c r="T392" s="7">
        <v>0</v>
      </c>
      <c r="V392" s="7">
        <v>1</v>
      </c>
      <c r="W392" s="7">
        <v>0</v>
      </c>
      <c r="X392" s="6"/>
      <c r="Y392" s="7" t="s">
        <v>1658</v>
      </c>
      <c r="Z392" s="7" t="s">
        <v>3288</v>
      </c>
      <c r="AA392" s="7" t="s">
        <v>1303</v>
      </c>
      <c r="AB392" s="7">
        <v>0</v>
      </c>
      <c r="AC392" s="7">
        <v>4</v>
      </c>
      <c r="AD392" s="7">
        <v>0</v>
      </c>
      <c r="AE392" s="7">
        <v>10</v>
      </c>
      <c r="AF392" s="7">
        <v>1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P392" s="7">
        <v>1</v>
      </c>
      <c r="AQ392" s="7">
        <v>1</v>
      </c>
      <c r="AR392" s="7">
        <v>0</v>
      </c>
      <c r="AS392" s="7">
        <v>0</v>
      </c>
      <c r="BE392" s="7">
        <v>240</v>
      </c>
      <c r="BG392" s="7">
        <v>2</v>
      </c>
      <c r="BL392" s="7">
        <v>0</v>
      </c>
    </row>
    <row r="393" spans="1:64" s="7" customFormat="1">
      <c r="A393" s="7">
        <v>91013</v>
      </c>
      <c r="B393" s="7" t="s">
        <v>1262</v>
      </c>
      <c r="C393" s="7" t="s">
        <v>689</v>
      </c>
      <c r="D393" s="7" t="s">
        <v>690</v>
      </c>
      <c r="E393" s="7">
        <v>1</v>
      </c>
      <c r="F393" s="7" t="s">
        <v>959</v>
      </c>
      <c r="G393" s="7">
        <v>0</v>
      </c>
      <c r="H393" s="7">
        <v>0</v>
      </c>
      <c r="I393" s="7">
        <v>99999</v>
      </c>
      <c r="J393" s="7">
        <v>0</v>
      </c>
      <c r="K393" s="7">
        <v>0</v>
      </c>
      <c r="L393" s="7" t="s">
        <v>1562</v>
      </c>
      <c r="M393" s="7">
        <v>10</v>
      </c>
      <c r="N393" s="7">
        <v>1</v>
      </c>
      <c r="P393" s="7">
        <v>0</v>
      </c>
      <c r="Q393" s="7">
        <v>0</v>
      </c>
      <c r="S393" s="7">
        <v>1000</v>
      </c>
      <c r="T393" s="7">
        <v>0</v>
      </c>
      <c r="V393" s="7">
        <v>1</v>
      </c>
      <c r="W393" s="7">
        <v>0</v>
      </c>
      <c r="X393" s="6"/>
      <c r="Y393" s="7" t="s">
        <v>1659</v>
      </c>
      <c r="Z393" s="7" t="s">
        <v>3288</v>
      </c>
      <c r="AA393" s="7" t="s">
        <v>1304</v>
      </c>
      <c r="AB393" s="7">
        <v>0</v>
      </c>
      <c r="AC393" s="7">
        <v>4</v>
      </c>
      <c r="AD393" s="7">
        <v>0</v>
      </c>
      <c r="AE393" s="7">
        <v>10</v>
      </c>
      <c r="AF393" s="7">
        <v>1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P393" s="7">
        <v>1</v>
      </c>
      <c r="AQ393" s="7">
        <v>1</v>
      </c>
      <c r="AR393" s="7">
        <v>0</v>
      </c>
      <c r="AS393" s="7">
        <v>0</v>
      </c>
      <c r="BE393" s="7">
        <v>240</v>
      </c>
      <c r="BG393" s="7">
        <v>2</v>
      </c>
      <c r="BL393" s="7">
        <v>0</v>
      </c>
    </row>
    <row r="394" spans="1:64" s="7" customFormat="1">
      <c r="A394" s="7">
        <v>91014</v>
      </c>
      <c r="B394" s="7" t="s">
        <v>3245</v>
      </c>
      <c r="C394" s="7" t="s">
        <v>689</v>
      </c>
      <c r="D394" s="7" t="s">
        <v>690</v>
      </c>
      <c r="E394" s="7">
        <v>1</v>
      </c>
      <c r="F394" s="7" t="s">
        <v>959</v>
      </c>
      <c r="G394" s="7">
        <v>0</v>
      </c>
      <c r="H394" s="7">
        <v>0</v>
      </c>
      <c r="I394" s="7">
        <v>99999</v>
      </c>
      <c r="J394" s="7">
        <v>0</v>
      </c>
      <c r="K394" s="7">
        <v>0</v>
      </c>
      <c r="L394" s="7" t="s">
        <v>1562</v>
      </c>
      <c r="M394" s="7">
        <v>10</v>
      </c>
      <c r="N394" s="7">
        <v>1</v>
      </c>
      <c r="P394" s="7">
        <v>0</v>
      </c>
      <c r="Q394" s="7">
        <v>0</v>
      </c>
      <c r="S394" s="7">
        <v>1000</v>
      </c>
      <c r="T394" s="7">
        <v>0</v>
      </c>
      <c r="V394" s="7">
        <v>1</v>
      </c>
      <c r="W394" s="7">
        <v>0</v>
      </c>
      <c r="X394" s="6"/>
      <c r="Y394" s="7" t="s">
        <v>1660</v>
      </c>
      <c r="Z394" s="7" t="s">
        <v>3288</v>
      </c>
      <c r="AA394" s="7" t="s">
        <v>1305</v>
      </c>
      <c r="AB394" s="7">
        <v>0</v>
      </c>
      <c r="AC394" s="7">
        <v>4</v>
      </c>
      <c r="AD394" s="7">
        <v>0</v>
      </c>
      <c r="AE394" s="7">
        <v>10</v>
      </c>
      <c r="AF394" s="7">
        <v>1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P394" s="7">
        <v>1</v>
      </c>
      <c r="AQ394" s="7">
        <v>1</v>
      </c>
      <c r="AR394" s="7">
        <v>0</v>
      </c>
      <c r="AS394" s="7">
        <v>0</v>
      </c>
      <c r="BE394" s="7">
        <v>240</v>
      </c>
      <c r="BG394" s="7">
        <v>2</v>
      </c>
      <c r="BL394" s="7">
        <v>0</v>
      </c>
    </row>
    <row r="395" spans="1:64" s="7" customFormat="1">
      <c r="A395" s="7">
        <v>91021</v>
      </c>
      <c r="B395" s="7" t="s">
        <v>3280</v>
      </c>
      <c r="C395" s="7" t="s">
        <v>689</v>
      </c>
      <c r="D395" s="7" t="s">
        <v>690</v>
      </c>
      <c r="E395" s="7">
        <v>1</v>
      </c>
      <c r="F395" s="7" t="s">
        <v>959</v>
      </c>
      <c r="G395" s="7">
        <v>0</v>
      </c>
      <c r="H395" s="7">
        <v>0</v>
      </c>
      <c r="I395" s="7">
        <v>99999</v>
      </c>
      <c r="J395" s="7">
        <v>0</v>
      </c>
      <c r="K395" s="7">
        <v>0</v>
      </c>
      <c r="L395" s="7" t="s">
        <v>1562</v>
      </c>
      <c r="M395" s="7">
        <v>10</v>
      </c>
      <c r="N395" s="7">
        <v>1</v>
      </c>
      <c r="P395" s="7">
        <v>0</v>
      </c>
      <c r="Q395" s="7">
        <v>0</v>
      </c>
      <c r="S395" s="7">
        <v>500</v>
      </c>
      <c r="T395" s="7">
        <v>0</v>
      </c>
      <c r="V395" s="7">
        <v>1</v>
      </c>
      <c r="W395" s="7">
        <v>0</v>
      </c>
      <c r="X395" s="6"/>
      <c r="Y395" s="7" t="s">
        <v>3249</v>
      </c>
      <c r="Z395" s="7" t="s">
        <v>3291</v>
      </c>
      <c r="AA395" s="7" t="s">
        <v>3259</v>
      </c>
      <c r="AB395" s="7">
        <v>0</v>
      </c>
      <c r="AC395" s="7">
        <v>3</v>
      </c>
      <c r="AD395" s="7">
        <v>0</v>
      </c>
      <c r="AE395" s="7">
        <v>10</v>
      </c>
      <c r="AF395" s="7">
        <v>1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P395" s="7">
        <v>1</v>
      </c>
      <c r="AQ395" s="7">
        <v>1</v>
      </c>
      <c r="AR395" s="7">
        <v>0</v>
      </c>
      <c r="AS395" s="7">
        <v>0</v>
      </c>
      <c r="BE395" s="7">
        <v>240</v>
      </c>
      <c r="BG395" s="7">
        <v>2</v>
      </c>
      <c r="BL395" s="7">
        <v>0</v>
      </c>
    </row>
    <row r="396" spans="1:64" s="7" customFormat="1">
      <c r="A396" s="7">
        <v>91022</v>
      </c>
      <c r="B396" s="7" t="s">
        <v>3281</v>
      </c>
      <c r="C396" s="7" t="s">
        <v>689</v>
      </c>
      <c r="D396" s="7" t="s">
        <v>690</v>
      </c>
      <c r="E396" s="7">
        <v>1</v>
      </c>
      <c r="F396" s="7" t="s">
        <v>959</v>
      </c>
      <c r="G396" s="7">
        <v>0</v>
      </c>
      <c r="H396" s="7">
        <v>0</v>
      </c>
      <c r="I396" s="7">
        <v>99999</v>
      </c>
      <c r="J396" s="7">
        <v>0</v>
      </c>
      <c r="K396" s="7">
        <v>0</v>
      </c>
      <c r="L396" s="7" t="s">
        <v>1562</v>
      </c>
      <c r="M396" s="7">
        <v>10</v>
      </c>
      <c r="N396" s="7">
        <v>1</v>
      </c>
      <c r="P396" s="7">
        <v>0</v>
      </c>
      <c r="Q396" s="7">
        <v>0</v>
      </c>
      <c r="S396" s="7">
        <v>500</v>
      </c>
      <c r="T396" s="7">
        <v>0</v>
      </c>
      <c r="V396" s="7">
        <v>1</v>
      </c>
      <c r="W396" s="7">
        <v>0</v>
      </c>
      <c r="X396" s="6"/>
      <c r="Y396" s="7" t="s">
        <v>3250</v>
      </c>
      <c r="Z396" s="7" t="s">
        <v>3292</v>
      </c>
      <c r="AA396" s="7" t="s">
        <v>3259</v>
      </c>
      <c r="AB396" s="7">
        <v>0</v>
      </c>
      <c r="AC396" s="7">
        <v>3</v>
      </c>
      <c r="AD396" s="7">
        <v>0</v>
      </c>
      <c r="AE396" s="7">
        <v>10</v>
      </c>
      <c r="AF396" s="7">
        <v>1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P396" s="7">
        <v>1</v>
      </c>
      <c r="AQ396" s="7">
        <v>1</v>
      </c>
      <c r="AR396" s="7">
        <v>0</v>
      </c>
      <c r="AS396" s="7">
        <v>0</v>
      </c>
      <c r="BE396" s="7">
        <v>240</v>
      </c>
      <c r="BG396" s="7">
        <v>2</v>
      </c>
      <c r="BL396" s="7">
        <v>0</v>
      </c>
    </row>
    <row r="397" spans="1:64" s="7" customFormat="1">
      <c r="A397" s="7">
        <v>91023</v>
      </c>
      <c r="B397" s="7" t="s">
        <v>3282</v>
      </c>
      <c r="C397" s="7" t="s">
        <v>689</v>
      </c>
      <c r="D397" s="7" t="s">
        <v>690</v>
      </c>
      <c r="E397" s="7">
        <v>1</v>
      </c>
      <c r="F397" s="7" t="s">
        <v>959</v>
      </c>
      <c r="G397" s="7">
        <v>0</v>
      </c>
      <c r="H397" s="7">
        <v>0</v>
      </c>
      <c r="I397" s="7">
        <v>99999</v>
      </c>
      <c r="J397" s="7">
        <v>0</v>
      </c>
      <c r="K397" s="7">
        <v>0</v>
      </c>
      <c r="L397" s="7" t="s">
        <v>1562</v>
      </c>
      <c r="M397" s="7">
        <v>10</v>
      </c>
      <c r="N397" s="7">
        <v>1</v>
      </c>
      <c r="P397" s="7">
        <v>0</v>
      </c>
      <c r="Q397" s="7">
        <v>0</v>
      </c>
      <c r="S397" s="7">
        <v>500</v>
      </c>
      <c r="T397" s="7">
        <v>0</v>
      </c>
      <c r="V397" s="7">
        <v>1</v>
      </c>
      <c r="W397" s="7">
        <v>0</v>
      </c>
      <c r="X397" s="6"/>
      <c r="Y397" s="7" t="s">
        <v>3251</v>
      </c>
      <c r="Z397" s="7" t="s">
        <v>3293</v>
      </c>
      <c r="AA397" s="7" t="s">
        <v>3259</v>
      </c>
      <c r="AB397" s="7">
        <v>0</v>
      </c>
      <c r="AC397" s="7">
        <v>3</v>
      </c>
      <c r="AD397" s="7">
        <v>0</v>
      </c>
      <c r="AE397" s="7">
        <v>10</v>
      </c>
      <c r="AF397" s="7">
        <v>1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P397" s="7">
        <v>1</v>
      </c>
      <c r="AQ397" s="7">
        <v>1</v>
      </c>
      <c r="AR397" s="7">
        <v>0</v>
      </c>
      <c r="AS397" s="7">
        <v>0</v>
      </c>
      <c r="BE397" s="7">
        <v>240</v>
      </c>
      <c r="BG397" s="7">
        <v>2</v>
      </c>
      <c r="BL397" s="7">
        <v>0</v>
      </c>
    </row>
    <row r="398" spans="1:64" s="7" customFormat="1">
      <c r="A398" s="7">
        <v>91024</v>
      </c>
      <c r="B398" s="7" t="s">
        <v>3283</v>
      </c>
      <c r="C398" s="7" t="s">
        <v>689</v>
      </c>
      <c r="D398" s="7" t="s">
        <v>690</v>
      </c>
      <c r="E398" s="7">
        <v>1</v>
      </c>
      <c r="F398" s="7" t="s">
        <v>959</v>
      </c>
      <c r="G398" s="7">
        <v>0</v>
      </c>
      <c r="H398" s="7">
        <v>0</v>
      </c>
      <c r="I398" s="7">
        <v>99999</v>
      </c>
      <c r="J398" s="7">
        <v>0</v>
      </c>
      <c r="K398" s="7">
        <v>0</v>
      </c>
      <c r="L398" s="7" t="s">
        <v>1562</v>
      </c>
      <c r="M398" s="7">
        <v>10</v>
      </c>
      <c r="N398" s="7">
        <v>1</v>
      </c>
      <c r="P398" s="7">
        <v>0</v>
      </c>
      <c r="Q398" s="7">
        <v>0</v>
      </c>
      <c r="S398" s="7">
        <v>500</v>
      </c>
      <c r="T398" s="7">
        <v>0</v>
      </c>
      <c r="V398" s="7">
        <v>1</v>
      </c>
      <c r="W398" s="7">
        <v>0</v>
      </c>
      <c r="X398" s="6"/>
      <c r="Y398" s="7" t="s">
        <v>3252</v>
      </c>
      <c r="Z398" s="7" t="s">
        <v>3294</v>
      </c>
      <c r="AA398" s="7" t="s">
        <v>3259</v>
      </c>
      <c r="AB398" s="7">
        <v>0</v>
      </c>
      <c r="AC398" s="7">
        <v>3</v>
      </c>
      <c r="AD398" s="7">
        <v>0</v>
      </c>
      <c r="AE398" s="7">
        <v>10</v>
      </c>
      <c r="AF398" s="7">
        <v>1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P398" s="7">
        <v>1</v>
      </c>
      <c r="AQ398" s="7">
        <v>1</v>
      </c>
      <c r="AR398" s="7">
        <v>0</v>
      </c>
      <c r="AS398" s="7">
        <v>0</v>
      </c>
      <c r="BE398" s="7">
        <v>240</v>
      </c>
      <c r="BG398" s="7">
        <v>2</v>
      </c>
      <c r="BL398" s="7">
        <v>0</v>
      </c>
    </row>
    <row r="399" spans="1:64" s="7" customFormat="1">
      <c r="A399" s="7">
        <v>91025</v>
      </c>
      <c r="B399" s="7" t="s">
        <v>3247</v>
      </c>
      <c r="C399" s="7" t="s">
        <v>689</v>
      </c>
      <c r="D399" s="7" t="s">
        <v>690</v>
      </c>
      <c r="E399" s="7">
        <v>15</v>
      </c>
      <c r="F399" s="7" t="s">
        <v>959</v>
      </c>
      <c r="G399" s="7">
        <v>0</v>
      </c>
      <c r="H399" s="7">
        <v>0</v>
      </c>
      <c r="I399" s="7">
        <v>99999</v>
      </c>
      <c r="J399" s="7">
        <v>0</v>
      </c>
      <c r="K399" s="7">
        <v>3</v>
      </c>
      <c r="L399" s="7" t="s">
        <v>1562</v>
      </c>
      <c r="M399" s="7">
        <v>1</v>
      </c>
      <c r="N399" s="7">
        <v>1</v>
      </c>
      <c r="P399" s="7">
        <v>0</v>
      </c>
      <c r="Q399" s="7">
        <v>0</v>
      </c>
      <c r="S399" s="7">
        <v>2000</v>
      </c>
      <c r="T399" s="7">
        <v>0</v>
      </c>
      <c r="V399" s="7">
        <v>1</v>
      </c>
      <c r="W399" s="7">
        <v>0</v>
      </c>
      <c r="X399" s="6" t="s">
        <v>3289</v>
      </c>
      <c r="Y399" s="7" t="s">
        <v>3248</v>
      </c>
      <c r="Z399" s="7" t="s">
        <v>3297</v>
      </c>
      <c r="AA399" s="7" t="s">
        <v>3260</v>
      </c>
      <c r="AB399" s="7">
        <v>0</v>
      </c>
      <c r="AC399" s="7">
        <v>3</v>
      </c>
      <c r="AD399" s="7">
        <v>0</v>
      </c>
      <c r="AE399" s="7">
        <v>10</v>
      </c>
      <c r="AF399" s="7">
        <v>1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P399" s="7">
        <v>1</v>
      </c>
      <c r="AQ399" s="7">
        <v>1</v>
      </c>
      <c r="AR399" s="7">
        <v>0</v>
      </c>
      <c r="AS399" s="7">
        <v>0</v>
      </c>
      <c r="BE399" s="7">
        <v>240</v>
      </c>
      <c r="BG399" s="7">
        <v>2</v>
      </c>
      <c r="BL399" s="7">
        <v>0</v>
      </c>
    </row>
    <row r="400" spans="1:64" s="7" customFormat="1">
      <c r="A400" s="7">
        <v>91101</v>
      </c>
      <c r="B400" s="7" t="s">
        <v>3253</v>
      </c>
      <c r="C400" s="7" t="s">
        <v>689</v>
      </c>
      <c r="D400" s="7" t="s">
        <v>690</v>
      </c>
      <c r="E400" s="7">
        <v>1</v>
      </c>
      <c r="F400" s="7" t="s">
        <v>959</v>
      </c>
      <c r="G400" s="7">
        <v>0</v>
      </c>
      <c r="H400" s="7">
        <v>0</v>
      </c>
      <c r="I400" s="7">
        <v>99999</v>
      </c>
      <c r="J400" s="7">
        <v>0</v>
      </c>
      <c r="K400" s="7">
        <v>3</v>
      </c>
      <c r="L400" s="7" t="s">
        <v>1562</v>
      </c>
      <c r="M400" s="7">
        <v>1</v>
      </c>
      <c r="N400" s="7">
        <v>1</v>
      </c>
      <c r="P400" s="7">
        <v>0</v>
      </c>
      <c r="Q400" s="7">
        <v>0</v>
      </c>
      <c r="S400" s="7">
        <v>1000</v>
      </c>
      <c r="T400" s="7">
        <v>0</v>
      </c>
      <c r="V400" s="7">
        <v>0</v>
      </c>
      <c r="W400" s="7">
        <v>0</v>
      </c>
      <c r="X400" s="6"/>
      <c r="Y400" s="7" t="s">
        <v>3262</v>
      </c>
      <c r="Z400" s="7" t="s">
        <v>3295</v>
      </c>
      <c r="AA400" s="7" t="s">
        <v>3261</v>
      </c>
      <c r="AB400" s="7">
        <v>0</v>
      </c>
      <c r="AC400" s="7">
        <v>4</v>
      </c>
      <c r="AD400" s="7">
        <v>0</v>
      </c>
      <c r="AE400" s="7">
        <v>10</v>
      </c>
      <c r="AF400" s="7">
        <v>1</v>
      </c>
      <c r="AI400" s="7">
        <v>24</v>
      </c>
      <c r="AJ400" s="7">
        <v>5</v>
      </c>
      <c r="AK400" s="7">
        <v>0</v>
      </c>
      <c r="AL400" s="7">
        <v>0</v>
      </c>
      <c r="AM400" s="7">
        <v>0</v>
      </c>
      <c r="AN400" s="7">
        <v>0</v>
      </c>
      <c r="AP400" s="7">
        <v>1</v>
      </c>
      <c r="AQ400" s="7">
        <v>1</v>
      </c>
      <c r="AR400" s="7">
        <v>1</v>
      </c>
      <c r="AS400" s="7">
        <v>1</v>
      </c>
      <c r="AT400" s="7">
        <v>1</v>
      </c>
      <c r="BE400" s="7">
        <v>240</v>
      </c>
      <c r="BG400" s="7">
        <v>2</v>
      </c>
      <c r="BL400" s="7">
        <v>0</v>
      </c>
    </row>
    <row r="401" spans="1:64" s="7" customFormat="1">
      <c r="A401" s="7">
        <v>91102</v>
      </c>
      <c r="B401" s="7" t="s">
        <v>3254</v>
      </c>
      <c r="C401" s="7" t="s">
        <v>540</v>
      </c>
      <c r="D401" s="7" t="s">
        <v>550</v>
      </c>
      <c r="E401" s="7">
        <v>20</v>
      </c>
      <c r="F401" s="7" t="s">
        <v>959</v>
      </c>
      <c r="G401" s="7">
        <v>0</v>
      </c>
      <c r="H401" s="7">
        <v>0</v>
      </c>
      <c r="I401" s="7">
        <v>99999</v>
      </c>
      <c r="J401" s="7">
        <v>0</v>
      </c>
      <c r="K401" s="7">
        <v>3</v>
      </c>
      <c r="L401" s="7" t="s">
        <v>1562</v>
      </c>
      <c r="M401" s="7">
        <v>1</v>
      </c>
      <c r="N401" s="7">
        <v>1</v>
      </c>
      <c r="Q401" s="7">
        <v>0</v>
      </c>
      <c r="S401" s="7">
        <v>1000</v>
      </c>
      <c r="T401" s="7">
        <v>0</v>
      </c>
      <c r="V401" s="7">
        <v>1</v>
      </c>
      <c r="W401" s="7">
        <v>0</v>
      </c>
      <c r="X401" s="6" t="s">
        <v>3290</v>
      </c>
      <c r="Y401" s="7" t="s">
        <v>3273</v>
      </c>
      <c r="Z401" s="7" t="s">
        <v>3394</v>
      </c>
      <c r="AA401" s="7" t="s">
        <v>3274</v>
      </c>
      <c r="AB401" s="7">
        <v>0</v>
      </c>
      <c r="AC401" s="7">
        <v>11</v>
      </c>
      <c r="AD401" s="7">
        <v>0</v>
      </c>
      <c r="AE401" s="7">
        <v>0</v>
      </c>
      <c r="AF401" s="7">
        <v>1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P401" s="7">
        <v>1</v>
      </c>
      <c r="AQ401" s="7">
        <v>1</v>
      </c>
      <c r="AR401" s="7">
        <v>0</v>
      </c>
      <c r="AS401" s="7">
        <v>0</v>
      </c>
      <c r="BE401" s="7">
        <v>240</v>
      </c>
      <c r="BG401" s="7">
        <v>2</v>
      </c>
      <c r="BL401" s="7">
        <v>0</v>
      </c>
    </row>
    <row r="402" spans="1:64" s="7" customFormat="1">
      <c r="A402" s="7">
        <v>91103</v>
      </c>
      <c r="B402" s="24" t="s">
        <v>3284</v>
      </c>
      <c r="C402" s="7" t="s">
        <v>540</v>
      </c>
      <c r="D402" s="7" t="s">
        <v>550</v>
      </c>
      <c r="E402" s="7">
        <v>1</v>
      </c>
      <c r="F402" s="7" t="s">
        <v>997</v>
      </c>
      <c r="G402" s="7">
        <v>0</v>
      </c>
      <c r="H402" s="7">
        <v>0</v>
      </c>
      <c r="I402" s="7">
        <v>99999</v>
      </c>
      <c r="J402" s="7">
        <v>0</v>
      </c>
      <c r="K402" s="7">
        <v>3</v>
      </c>
      <c r="L402" s="7" t="s">
        <v>1562</v>
      </c>
      <c r="M402" s="7">
        <v>1</v>
      </c>
      <c r="N402" s="7">
        <v>1</v>
      </c>
      <c r="Q402" s="7">
        <v>0</v>
      </c>
      <c r="S402" s="7">
        <v>1</v>
      </c>
      <c r="T402" s="7">
        <v>0</v>
      </c>
      <c r="V402" s="7">
        <v>0</v>
      </c>
      <c r="W402" s="7">
        <v>0</v>
      </c>
      <c r="X402" s="6" t="s">
        <v>3256</v>
      </c>
      <c r="Y402" s="7" t="s">
        <v>3286</v>
      </c>
      <c r="Z402" s="7" t="s">
        <v>3285</v>
      </c>
      <c r="AA402" s="7" t="s">
        <v>3275</v>
      </c>
      <c r="AB402" s="7">
        <v>0</v>
      </c>
      <c r="AC402" s="7">
        <v>16</v>
      </c>
      <c r="AD402" s="7">
        <v>0</v>
      </c>
      <c r="AE402" s="7">
        <v>0</v>
      </c>
      <c r="AF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P402" s="7">
        <v>1</v>
      </c>
      <c r="AQ402" s="7">
        <v>1</v>
      </c>
      <c r="AR402" s="7">
        <v>0</v>
      </c>
      <c r="AS402" s="7">
        <v>0</v>
      </c>
      <c r="AT402" s="7">
        <v>1</v>
      </c>
      <c r="BE402" s="7">
        <v>240</v>
      </c>
      <c r="BG402" s="7">
        <v>2</v>
      </c>
      <c r="BL402" s="7">
        <v>0</v>
      </c>
    </row>
    <row r="403" spans="1:64" s="7" customFormat="1">
      <c r="A403" s="7">
        <v>91104</v>
      </c>
      <c r="B403" s="7" t="s">
        <v>3279</v>
      </c>
      <c r="C403" s="7" t="s">
        <v>689</v>
      </c>
      <c r="D403" s="7" t="s">
        <v>690</v>
      </c>
      <c r="E403" s="7">
        <v>1</v>
      </c>
      <c r="F403" s="7" t="s">
        <v>959</v>
      </c>
      <c r="G403" s="7">
        <v>0</v>
      </c>
      <c r="H403" s="7">
        <v>0</v>
      </c>
      <c r="I403" s="7">
        <v>99999</v>
      </c>
      <c r="J403" s="7">
        <v>0</v>
      </c>
      <c r="K403" s="7">
        <v>3</v>
      </c>
      <c r="L403" s="7" t="s">
        <v>1562</v>
      </c>
      <c r="M403" s="7">
        <v>1</v>
      </c>
      <c r="N403" s="7">
        <v>1</v>
      </c>
      <c r="P403" s="7">
        <v>0</v>
      </c>
      <c r="Q403" s="7">
        <v>0</v>
      </c>
      <c r="S403" s="7">
        <v>1000</v>
      </c>
      <c r="T403" s="7">
        <v>0</v>
      </c>
      <c r="V403" s="7">
        <v>0</v>
      </c>
      <c r="W403" s="7">
        <v>0</v>
      </c>
      <c r="X403" s="6"/>
      <c r="Y403" s="7" t="s">
        <v>3287</v>
      </c>
      <c r="Z403" s="7" t="s">
        <v>3296</v>
      </c>
      <c r="AA403" s="7" t="s">
        <v>3261</v>
      </c>
      <c r="AB403" s="7">
        <v>0</v>
      </c>
      <c r="AC403" s="7">
        <v>4</v>
      </c>
      <c r="AD403" s="7">
        <v>0</v>
      </c>
      <c r="AE403" s="7">
        <v>10</v>
      </c>
      <c r="AF403" s="7">
        <v>1</v>
      </c>
      <c r="AI403" s="7">
        <v>24</v>
      </c>
      <c r="AJ403" s="7">
        <v>2</v>
      </c>
      <c r="AK403" s="7">
        <v>0</v>
      </c>
      <c r="AL403" s="7">
        <v>0</v>
      </c>
      <c r="AM403" s="7">
        <v>0</v>
      </c>
      <c r="AN403" s="7">
        <v>0</v>
      </c>
      <c r="AP403" s="7">
        <v>1</v>
      </c>
      <c r="AQ403" s="7">
        <v>1</v>
      </c>
      <c r="AR403" s="7">
        <v>1</v>
      </c>
      <c r="AS403" s="7">
        <v>1</v>
      </c>
      <c r="AT403" s="7">
        <v>1</v>
      </c>
      <c r="BE403" s="7">
        <v>240</v>
      </c>
      <c r="BG403" s="7">
        <v>2</v>
      </c>
      <c r="BL403" s="7">
        <v>0</v>
      </c>
    </row>
    <row r="404" spans="1:64" s="7" customFormat="1">
      <c r="A404" s="7">
        <v>91105</v>
      </c>
      <c r="B404" s="7" t="s">
        <v>3349</v>
      </c>
      <c r="C404" s="7" t="s">
        <v>689</v>
      </c>
      <c r="D404" s="7" t="s">
        <v>690</v>
      </c>
      <c r="E404" s="7">
        <v>1</v>
      </c>
      <c r="F404" s="7" t="s">
        <v>959</v>
      </c>
      <c r="G404" s="7">
        <v>0</v>
      </c>
      <c r="H404" s="7">
        <v>0</v>
      </c>
      <c r="I404" s="7">
        <v>99999</v>
      </c>
      <c r="J404" s="7">
        <v>0</v>
      </c>
      <c r="K404" s="7">
        <v>3</v>
      </c>
      <c r="L404" s="7" t="s">
        <v>1562</v>
      </c>
      <c r="M404" s="7">
        <v>20</v>
      </c>
      <c r="N404" s="7">
        <v>1</v>
      </c>
      <c r="P404" s="7">
        <v>0</v>
      </c>
      <c r="Q404" s="7">
        <v>0</v>
      </c>
      <c r="S404" s="7">
        <v>1000</v>
      </c>
      <c r="T404" s="7">
        <v>0</v>
      </c>
      <c r="V404" s="7">
        <v>1</v>
      </c>
      <c r="W404" s="7">
        <v>0</v>
      </c>
      <c r="X404" s="6"/>
      <c r="Y404" s="7" t="s">
        <v>3083</v>
      </c>
      <c r="Z404" s="7" t="s">
        <v>3359</v>
      </c>
      <c r="AA404" s="7" t="s">
        <v>3350</v>
      </c>
      <c r="AB404" s="7">
        <v>0</v>
      </c>
      <c r="AC404" s="7">
        <v>11</v>
      </c>
      <c r="AD404" s="7">
        <v>0</v>
      </c>
      <c r="AE404" s="7">
        <v>10</v>
      </c>
      <c r="AF404" s="7">
        <v>1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P404" s="7">
        <v>1</v>
      </c>
      <c r="AQ404" s="7">
        <v>1</v>
      </c>
      <c r="AR404" s="7">
        <v>1</v>
      </c>
      <c r="AS404" s="7">
        <v>0</v>
      </c>
      <c r="AT404" s="7">
        <v>1</v>
      </c>
      <c r="BE404" s="7">
        <v>240</v>
      </c>
      <c r="BG404" s="7">
        <v>2</v>
      </c>
      <c r="BL404" s="7">
        <v>0</v>
      </c>
    </row>
    <row r="405" spans="1:64" s="15" customFormat="1">
      <c r="A405" s="15">
        <v>92001</v>
      </c>
      <c r="B405" s="15" t="s">
        <v>1962</v>
      </c>
      <c r="C405" s="15" t="s">
        <v>740</v>
      </c>
      <c r="D405" s="15" t="s">
        <v>741</v>
      </c>
      <c r="E405" s="15">
        <v>1</v>
      </c>
      <c r="F405" s="15" t="s">
        <v>955</v>
      </c>
      <c r="G405" s="15">
        <v>0</v>
      </c>
      <c r="H405" s="15">
        <v>0</v>
      </c>
      <c r="I405" s="15">
        <v>99999</v>
      </c>
      <c r="J405" s="15">
        <v>0</v>
      </c>
      <c r="K405" s="15">
        <v>3</v>
      </c>
      <c r="L405" s="15" t="s">
        <v>1562</v>
      </c>
      <c r="M405" s="15">
        <v>20</v>
      </c>
      <c r="N405" s="7">
        <v>1</v>
      </c>
      <c r="Q405" s="15">
        <v>0</v>
      </c>
      <c r="S405" s="15">
        <v>1</v>
      </c>
      <c r="T405" s="15">
        <v>3</v>
      </c>
      <c r="V405" s="15">
        <v>1</v>
      </c>
      <c r="W405" s="15">
        <v>1</v>
      </c>
      <c r="X405" s="30"/>
      <c r="Y405" s="15" t="s">
        <v>770</v>
      </c>
      <c r="Z405" s="20" t="s">
        <v>911</v>
      </c>
      <c r="AA405" s="15" t="s">
        <v>701</v>
      </c>
      <c r="AB405" s="15">
        <v>0</v>
      </c>
      <c r="AC405" s="15">
        <v>1</v>
      </c>
      <c r="AD405" s="15">
        <v>0</v>
      </c>
      <c r="AE405" s="15">
        <v>0</v>
      </c>
      <c r="AF405" s="15">
        <v>1</v>
      </c>
      <c r="AI405" s="15">
        <v>0</v>
      </c>
      <c r="AJ405" s="15">
        <v>0</v>
      </c>
      <c r="AK405" s="15">
        <v>0</v>
      </c>
      <c r="AL405" s="15">
        <v>0</v>
      </c>
      <c r="AM405" s="15">
        <v>0</v>
      </c>
      <c r="AN405" s="15">
        <v>0</v>
      </c>
      <c r="AP405" s="15">
        <v>1</v>
      </c>
      <c r="AR405" s="15">
        <v>0</v>
      </c>
      <c r="AS405" s="15">
        <v>0</v>
      </c>
      <c r="BE405" s="7">
        <v>240</v>
      </c>
      <c r="BL405" s="7">
        <v>0</v>
      </c>
    </row>
    <row r="406" spans="1:64" s="15" customFormat="1">
      <c r="A406" s="15">
        <v>92002</v>
      </c>
      <c r="B406" s="15" t="s">
        <v>944</v>
      </c>
      <c r="C406" s="15" t="s">
        <v>740</v>
      </c>
      <c r="D406" s="15" t="s">
        <v>741</v>
      </c>
      <c r="E406" s="15">
        <v>1</v>
      </c>
      <c r="F406" s="15" t="s">
        <v>957</v>
      </c>
      <c r="G406" s="15">
        <v>0</v>
      </c>
      <c r="H406" s="15">
        <v>0</v>
      </c>
      <c r="I406" s="15">
        <v>99999</v>
      </c>
      <c r="J406" s="15">
        <v>0</v>
      </c>
      <c r="K406" s="15">
        <v>3</v>
      </c>
      <c r="L406" s="15" t="s">
        <v>1562</v>
      </c>
      <c r="M406" s="15">
        <v>20</v>
      </c>
      <c r="N406" s="7">
        <v>1</v>
      </c>
      <c r="Q406" s="15">
        <v>0</v>
      </c>
      <c r="S406" s="15">
        <v>1</v>
      </c>
      <c r="T406" s="15">
        <v>3</v>
      </c>
      <c r="V406" s="15">
        <v>1</v>
      </c>
      <c r="W406" s="15">
        <v>1</v>
      </c>
      <c r="X406" s="30"/>
      <c r="Y406" s="15" t="s">
        <v>770</v>
      </c>
      <c r="Z406" s="20" t="s">
        <v>912</v>
      </c>
      <c r="AA406" s="15" t="s">
        <v>701</v>
      </c>
      <c r="AB406" s="15">
        <v>0</v>
      </c>
      <c r="AC406" s="15">
        <v>1</v>
      </c>
      <c r="AD406" s="15">
        <v>0</v>
      </c>
      <c r="AE406" s="15">
        <v>0</v>
      </c>
      <c r="AF406" s="15">
        <v>1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P406" s="15">
        <v>1</v>
      </c>
      <c r="AR406" s="15">
        <v>0</v>
      </c>
      <c r="AS406" s="15">
        <v>0</v>
      </c>
      <c r="BE406" s="7">
        <v>240</v>
      </c>
      <c r="BL406" s="7">
        <v>0</v>
      </c>
    </row>
    <row r="407" spans="1:64" s="15" customFormat="1">
      <c r="A407" s="15">
        <v>92003</v>
      </c>
      <c r="B407" s="15" t="s">
        <v>945</v>
      </c>
      <c r="C407" s="15" t="s">
        <v>740</v>
      </c>
      <c r="D407" s="15" t="s">
        <v>741</v>
      </c>
      <c r="E407" s="15">
        <v>1</v>
      </c>
      <c r="F407" s="15" t="s">
        <v>958</v>
      </c>
      <c r="G407" s="15">
        <v>0</v>
      </c>
      <c r="H407" s="15">
        <v>0</v>
      </c>
      <c r="I407" s="15">
        <v>99999</v>
      </c>
      <c r="J407" s="15">
        <v>0</v>
      </c>
      <c r="K407" s="15">
        <v>3</v>
      </c>
      <c r="L407" s="15" t="s">
        <v>1562</v>
      </c>
      <c r="M407" s="15">
        <v>20</v>
      </c>
      <c r="N407" s="7">
        <v>1</v>
      </c>
      <c r="Q407" s="15">
        <v>0</v>
      </c>
      <c r="S407" s="15">
        <v>1</v>
      </c>
      <c r="T407" s="15">
        <v>3</v>
      </c>
      <c r="V407" s="15">
        <v>1</v>
      </c>
      <c r="W407" s="15">
        <v>1</v>
      </c>
      <c r="X407" s="30"/>
      <c r="Y407" s="15" t="s">
        <v>770</v>
      </c>
      <c r="Z407" s="20" t="s">
        <v>913</v>
      </c>
      <c r="AA407" s="15" t="s">
        <v>701</v>
      </c>
      <c r="AB407" s="15">
        <v>0</v>
      </c>
      <c r="AC407" s="15">
        <v>1</v>
      </c>
      <c r="AD407" s="15">
        <v>0</v>
      </c>
      <c r="AE407" s="15">
        <v>0</v>
      </c>
      <c r="AF407" s="15">
        <v>1</v>
      </c>
      <c r="AI407" s="15">
        <v>0</v>
      </c>
      <c r="AJ407" s="15">
        <v>0</v>
      </c>
      <c r="AK407" s="15">
        <v>0</v>
      </c>
      <c r="AL407" s="15">
        <v>0</v>
      </c>
      <c r="AM407" s="15">
        <v>0</v>
      </c>
      <c r="AN407" s="15">
        <v>0</v>
      </c>
      <c r="AP407" s="15">
        <v>1</v>
      </c>
      <c r="AR407" s="15">
        <v>0</v>
      </c>
      <c r="AS407" s="15">
        <v>0</v>
      </c>
      <c r="BE407" s="7">
        <v>240</v>
      </c>
      <c r="BL407" s="7">
        <v>0</v>
      </c>
    </row>
    <row r="408" spans="1:64" s="15" customFormat="1">
      <c r="A408" s="15">
        <v>92004</v>
      </c>
      <c r="B408" s="15" t="s">
        <v>946</v>
      </c>
      <c r="C408" s="15" t="s">
        <v>740</v>
      </c>
      <c r="D408" s="15" t="s">
        <v>741</v>
      </c>
      <c r="E408" s="15">
        <v>1</v>
      </c>
      <c r="F408" s="15" t="s">
        <v>956</v>
      </c>
      <c r="G408" s="15">
        <v>0</v>
      </c>
      <c r="H408" s="15">
        <v>0</v>
      </c>
      <c r="I408" s="15">
        <v>99999</v>
      </c>
      <c r="J408" s="15">
        <v>0</v>
      </c>
      <c r="K408" s="15">
        <v>3</v>
      </c>
      <c r="L408" s="15" t="s">
        <v>1562</v>
      </c>
      <c r="M408" s="15">
        <v>20</v>
      </c>
      <c r="N408" s="7">
        <v>1</v>
      </c>
      <c r="Q408" s="15">
        <v>0</v>
      </c>
      <c r="S408" s="15">
        <v>1</v>
      </c>
      <c r="T408" s="15">
        <v>3</v>
      </c>
      <c r="V408" s="15">
        <v>1</v>
      </c>
      <c r="W408" s="15">
        <v>1</v>
      </c>
      <c r="X408" s="30"/>
      <c r="Y408" s="15" t="s">
        <v>770</v>
      </c>
      <c r="Z408" s="20" t="s">
        <v>914</v>
      </c>
      <c r="AA408" s="15" t="s">
        <v>701</v>
      </c>
      <c r="AB408" s="15">
        <v>0</v>
      </c>
      <c r="AC408" s="15">
        <v>1</v>
      </c>
      <c r="AD408" s="15">
        <v>0</v>
      </c>
      <c r="AE408" s="15">
        <v>0</v>
      </c>
      <c r="AF408" s="15">
        <v>1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P408" s="15">
        <v>1</v>
      </c>
      <c r="AR408" s="15">
        <v>0</v>
      </c>
      <c r="AS408" s="15">
        <v>0</v>
      </c>
      <c r="BE408" s="7">
        <v>240</v>
      </c>
      <c r="BL408" s="7">
        <v>0</v>
      </c>
    </row>
    <row r="409" spans="1:64" s="31" customFormat="1">
      <c r="A409" s="31">
        <v>93001</v>
      </c>
      <c r="B409" s="31" t="s">
        <v>2030</v>
      </c>
      <c r="C409" s="31" t="s">
        <v>534</v>
      </c>
      <c r="D409" s="31" t="s">
        <v>535</v>
      </c>
      <c r="E409" s="31">
        <v>1</v>
      </c>
      <c r="F409" s="31" t="s">
        <v>959</v>
      </c>
      <c r="G409" s="31">
        <v>0</v>
      </c>
      <c r="H409" s="31">
        <v>0</v>
      </c>
      <c r="I409" s="31">
        <v>99999</v>
      </c>
      <c r="J409" s="31">
        <v>0</v>
      </c>
      <c r="K409" s="31">
        <v>3</v>
      </c>
      <c r="L409" s="31" t="s">
        <v>1562</v>
      </c>
      <c r="M409" s="31">
        <v>99</v>
      </c>
      <c r="N409" s="35">
        <v>1</v>
      </c>
      <c r="P409" s="31">
        <v>0</v>
      </c>
      <c r="Q409" s="31">
        <v>0</v>
      </c>
      <c r="S409" s="31">
        <v>1</v>
      </c>
      <c r="T409" s="31">
        <v>0</v>
      </c>
      <c r="V409" s="31">
        <v>0</v>
      </c>
      <c r="W409" s="31">
        <v>1</v>
      </c>
      <c r="X409" s="35"/>
      <c r="Y409" s="31" t="s">
        <v>2031</v>
      </c>
      <c r="Z409" s="37" t="s">
        <v>2662</v>
      </c>
      <c r="AA409" s="31" t="s">
        <v>2032</v>
      </c>
      <c r="AB409" s="31">
        <v>0</v>
      </c>
      <c r="AC409" s="31">
        <v>4</v>
      </c>
      <c r="AD409" s="31">
        <v>0</v>
      </c>
      <c r="AE409" s="31">
        <v>10</v>
      </c>
      <c r="AF409" s="31">
        <v>0</v>
      </c>
      <c r="AI409" s="31">
        <v>0</v>
      </c>
      <c r="AJ409" s="31">
        <v>0</v>
      </c>
      <c r="AK409" s="31">
        <v>0</v>
      </c>
      <c r="AL409" s="31">
        <v>0</v>
      </c>
      <c r="AM409" s="31">
        <v>0</v>
      </c>
      <c r="AN409" s="31">
        <v>0</v>
      </c>
      <c r="AP409" s="31">
        <v>1</v>
      </c>
      <c r="AR409" s="31">
        <v>0</v>
      </c>
      <c r="AS409" s="31">
        <v>0</v>
      </c>
      <c r="AT409" s="31">
        <v>1</v>
      </c>
      <c r="BE409" s="35">
        <v>240</v>
      </c>
      <c r="BL409" s="7">
        <v>0</v>
      </c>
    </row>
    <row r="410" spans="1:64" s="31" customFormat="1">
      <c r="A410" s="31">
        <v>93002</v>
      </c>
      <c r="B410" s="31" t="s">
        <v>3348</v>
      </c>
      <c r="C410" s="31" t="s">
        <v>534</v>
      </c>
      <c r="D410" s="31" t="s">
        <v>535</v>
      </c>
      <c r="E410" s="31">
        <v>1</v>
      </c>
      <c r="F410" s="31" t="s">
        <v>959</v>
      </c>
      <c r="G410" s="31">
        <v>0</v>
      </c>
      <c r="H410" s="31">
        <v>0</v>
      </c>
      <c r="I410" s="31">
        <v>99999</v>
      </c>
      <c r="J410" s="31">
        <v>0</v>
      </c>
      <c r="K410" s="31">
        <v>0</v>
      </c>
      <c r="L410" s="31" t="s">
        <v>1562</v>
      </c>
      <c r="M410" s="31">
        <v>9999</v>
      </c>
      <c r="N410" s="35">
        <v>0</v>
      </c>
      <c r="P410" s="31">
        <v>0</v>
      </c>
      <c r="Q410" s="31">
        <v>0</v>
      </c>
      <c r="S410" s="31">
        <v>100</v>
      </c>
      <c r="T410" s="31">
        <v>0</v>
      </c>
      <c r="V410" s="31">
        <v>1</v>
      </c>
      <c r="W410" s="31">
        <v>1</v>
      </c>
      <c r="X410" s="35"/>
      <c r="Y410" s="31" t="s">
        <v>3083</v>
      </c>
      <c r="Z410" s="37" t="s">
        <v>3084</v>
      </c>
      <c r="AA410" s="31" t="s">
        <v>3082</v>
      </c>
      <c r="AB410" s="31">
        <v>0</v>
      </c>
      <c r="AC410" s="31">
        <v>4</v>
      </c>
      <c r="AD410" s="31">
        <v>0</v>
      </c>
      <c r="AE410" s="31">
        <v>10</v>
      </c>
      <c r="AF410" s="31">
        <v>1</v>
      </c>
      <c r="AI410" s="31">
        <v>0</v>
      </c>
      <c r="AJ410" s="31">
        <v>0</v>
      </c>
      <c r="AK410" s="31">
        <v>0</v>
      </c>
      <c r="AL410" s="31">
        <v>0</v>
      </c>
      <c r="AM410" s="31">
        <v>0</v>
      </c>
      <c r="AN410" s="31">
        <v>0</v>
      </c>
      <c r="AP410" s="31">
        <v>1</v>
      </c>
      <c r="AQ410" s="31">
        <v>1</v>
      </c>
      <c r="AR410" s="31">
        <v>0</v>
      </c>
      <c r="AS410" s="31">
        <v>0</v>
      </c>
      <c r="BE410" s="35">
        <v>240</v>
      </c>
      <c r="BG410" s="31">
        <v>2</v>
      </c>
      <c r="BL410" s="7">
        <v>0</v>
      </c>
    </row>
    <row r="411" spans="1:64" s="7" customFormat="1" ht="15.75" customHeight="1">
      <c r="A411" s="7">
        <v>94001</v>
      </c>
      <c r="B411" s="7" t="s">
        <v>3149</v>
      </c>
      <c r="C411" s="7" t="s">
        <v>740</v>
      </c>
      <c r="D411" s="7" t="s">
        <v>690</v>
      </c>
      <c r="E411" s="7">
        <v>1</v>
      </c>
      <c r="F411" s="7" t="s">
        <v>959</v>
      </c>
      <c r="G411" s="7">
        <v>0</v>
      </c>
      <c r="H411" s="7">
        <v>0</v>
      </c>
      <c r="I411" s="7">
        <v>99999</v>
      </c>
      <c r="J411" s="7">
        <v>0</v>
      </c>
      <c r="K411" s="7">
        <v>0</v>
      </c>
      <c r="L411" s="7" t="s">
        <v>1562</v>
      </c>
      <c r="M411" s="7">
        <v>100</v>
      </c>
      <c r="N411" s="7">
        <v>1</v>
      </c>
      <c r="P411" s="7">
        <v>0</v>
      </c>
      <c r="Q411" s="7">
        <v>0</v>
      </c>
      <c r="S411" s="7">
        <v>100</v>
      </c>
      <c r="T411" s="7">
        <v>0</v>
      </c>
      <c r="V411" s="7">
        <v>1</v>
      </c>
      <c r="W411" s="7">
        <v>0</v>
      </c>
      <c r="X411" s="6"/>
      <c r="Y411" s="7" t="s">
        <v>3151</v>
      </c>
      <c r="Z411" s="28" t="s">
        <v>3155</v>
      </c>
      <c r="AA411" s="7" t="s">
        <v>3154</v>
      </c>
      <c r="AB411" s="7">
        <v>0</v>
      </c>
      <c r="AC411" s="7">
        <v>3</v>
      </c>
      <c r="AD411" s="7">
        <v>0</v>
      </c>
      <c r="AE411" s="7">
        <v>10</v>
      </c>
      <c r="AF411" s="7">
        <v>1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Q411" s="24">
        <v>1</v>
      </c>
      <c r="AR411" s="7">
        <v>0</v>
      </c>
      <c r="AS411" s="7">
        <v>0</v>
      </c>
      <c r="BE411" s="7">
        <v>240</v>
      </c>
      <c r="BG411" s="7">
        <v>2</v>
      </c>
      <c r="BL411" s="7">
        <v>0</v>
      </c>
    </row>
    <row r="412" spans="1:64" s="7" customFormat="1" ht="15.75" customHeight="1">
      <c r="A412" s="7">
        <v>94002</v>
      </c>
      <c r="B412" s="7" t="s">
        <v>3148</v>
      </c>
      <c r="C412" s="7" t="s">
        <v>689</v>
      </c>
      <c r="D412" s="7" t="s">
        <v>690</v>
      </c>
      <c r="E412" s="7">
        <v>1</v>
      </c>
      <c r="F412" s="7" t="s">
        <v>959</v>
      </c>
      <c r="G412" s="7">
        <v>0</v>
      </c>
      <c r="H412" s="7">
        <v>0</v>
      </c>
      <c r="I412" s="7">
        <v>99999</v>
      </c>
      <c r="J412" s="7">
        <v>0</v>
      </c>
      <c r="K412" s="7">
        <v>0</v>
      </c>
      <c r="L412" s="7" t="s">
        <v>1562</v>
      </c>
      <c r="M412" s="7">
        <v>100</v>
      </c>
      <c r="N412" s="7">
        <v>1</v>
      </c>
      <c r="P412" s="7">
        <v>0</v>
      </c>
      <c r="Q412" s="7">
        <v>0</v>
      </c>
      <c r="S412" s="7">
        <v>100</v>
      </c>
      <c r="T412" s="7">
        <v>0</v>
      </c>
      <c r="V412" s="7">
        <v>1</v>
      </c>
      <c r="W412" s="7">
        <v>0</v>
      </c>
      <c r="X412" s="6"/>
      <c r="Y412" s="7" t="s">
        <v>3152</v>
      </c>
      <c r="Z412" s="28" t="s">
        <v>3150</v>
      </c>
      <c r="AA412" s="7" t="s">
        <v>3153</v>
      </c>
      <c r="AB412" s="7">
        <v>0</v>
      </c>
      <c r="AC412" s="7">
        <v>3</v>
      </c>
      <c r="AD412" s="7">
        <v>0</v>
      </c>
      <c r="AE412" s="7">
        <v>10</v>
      </c>
      <c r="AF412" s="7">
        <v>1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Q412" s="24">
        <v>1</v>
      </c>
      <c r="AR412" s="7">
        <v>0</v>
      </c>
      <c r="AS412" s="7">
        <v>0</v>
      </c>
      <c r="BE412" s="7">
        <v>240</v>
      </c>
      <c r="BG412" s="7">
        <v>2</v>
      </c>
      <c r="BL412" s="7">
        <v>0</v>
      </c>
    </row>
    <row r="413" spans="1:64" s="7" customFormat="1" ht="15.75" customHeight="1">
      <c r="A413" s="7">
        <v>94003</v>
      </c>
      <c r="B413" s="7" t="s">
        <v>3444</v>
      </c>
      <c r="C413" s="7" t="s">
        <v>740</v>
      </c>
      <c r="D413" s="7" t="s">
        <v>690</v>
      </c>
      <c r="E413" s="7">
        <v>1</v>
      </c>
      <c r="F413" s="7" t="s">
        <v>959</v>
      </c>
      <c r="G413" s="7">
        <v>0</v>
      </c>
      <c r="H413" s="7">
        <v>0</v>
      </c>
      <c r="I413" s="7">
        <v>99999</v>
      </c>
      <c r="J413" s="7">
        <v>0</v>
      </c>
      <c r="K413" s="7">
        <v>0</v>
      </c>
      <c r="L413" s="7" t="s">
        <v>1562</v>
      </c>
      <c r="M413" s="7">
        <v>100</v>
      </c>
      <c r="N413" s="7">
        <v>1</v>
      </c>
      <c r="P413" s="7">
        <v>0</v>
      </c>
      <c r="Q413" s="7">
        <v>0</v>
      </c>
      <c r="S413" s="7">
        <v>100</v>
      </c>
      <c r="T413" s="7">
        <v>0</v>
      </c>
      <c r="V413" s="7">
        <v>1</v>
      </c>
      <c r="W413" s="7">
        <v>0</v>
      </c>
      <c r="X413" s="6"/>
      <c r="Y413" s="7" t="s">
        <v>3448</v>
      </c>
      <c r="Z413" s="28" t="s">
        <v>3446</v>
      </c>
      <c r="AA413" s="7" t="s">
        <v>3451</v>
      </c>
      <c r="AB413" s="7">
        <v>0</v>
      </c>
      <c r="AC413" s="7">
        <v>3</v>
      </c>
      <c r="AD413" s="7">
        <v>0</v>
      </c>
      <c r="AE413" s="7">
        <v>10</v>
      </c>
      <c r="AF413" s="7">
        <v>1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Q413" s="24">
        <v>1</v>
      </c>
      <c r="AR413" s="7">
        <v>0</v>
      </c>
      <c r="AS413" s="7">
        <v>0</v>
      </c>
      <c r="BE413" s="7">
        <v>240</v>
      </c>
      <c r="BG413" s="7">
        <v>2</v>
      </c>
      <c r="BL413" s="7">
        <v>0</v>
      </c>
    </row>
    <row r="414" spans="1:64" s="7" customFormat="1" ht="15.75" customHeight="1">
      <c r="A414" s="7">
        <v>94004</v>
      </c>
      <c r="B414" s="7" t="s">
        <v>3445</v>
      </c>
      <c r="C414" s="7" t="s">
        <v>689</v>
      </c>
      <c r="D414" s="7" t="s">
        <v>690</v>
      </c>
      <c r="E414" s="7">
        <v>1</v>
      </c>
      <c r="F414" s="7" t="s">
        <v>959</v>
      </c>
      <c r="G414" s="7">
        <v>0</v>
      </c>
      <c r="H414" s="7">
        <v>0</v>
      </c>
      <c r="I414" s="7">
        <v>99999</v>
      </c>
      <c r="J414" s="7">
        <v>0</v>
      </c>
      <c r="K414" s="7">
        <v>0</v>
      </c>
      <c r="L414" s="7" t="s">
        <v>1562</v>
      </c>
      <c r="M414" s="7">
        <v>100</v>
      </c>
      <c r="N414" s="7">
        <v>1</v>
      </c>
      <c r="P414" s="7">
        <v>0</v>
      </c>
      <c r="Q414" s="7">
        <v>0</v>
      </c>
      <c r="S414" s="7">
        <v>100</v>
      </c>
      <c r="T414" s="7">
        <v>0</v>
      </c>
      <c r="V414" s="7">
        <v>1</v>
      </c>
      <c r="W414" s="7">
        <v>0</v>
      </c>
      <c r="X414" s="6"/>
      <c r="Y414" s="7" t="s">
        <v>3449</v>
      </c>
      <c r="Z414" s="28" t="s">
        <v>3447</v>
      </c>
      <c r="AA414" s="7" t="s">
        <v>3450</v>
      </c>
      <c r="AB414" s="7">
        <v>0</v>
      </c>
      <c r="AC414" s="7">
        <v>3</v>
      </c>
      <c r="AD414" s="7">
        <v>0</v>
      </c>
      <c r="AE414" s="7">
        <v>10</v>
      </c>
      <c r="AF414" s="7">
        <v>1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Q414" s="24">
        <v>1</v>
      </c>
      <c r="AR414" s="7">
        <v>0</v>
      </c>
      <c r="AS414" s="7">
        <v>0</v>
      </c>
      <c r="BE414" s="7">
        <v>240</v>
      </c>
      <c r="BG414" s="7">
        <v>2</v>
      </c>
      <c r="BL414" s="7">
        <v>0</v>
      </c>
    </row>
    <row r="415" spans="1:64" s="7" customFormat="1" ht="15.75" customHeight="1">
      <c r="A415" s="7">
        <v>94005</v>
      </c>
      <c r="B415" s="7" t="s">
        <v>3455</v>
      </c>
      <c r="C415" s="7" t="s">
        <v>740</v>
      </c>
      <c r="D415" s="7" t="s">
        <v>690</v>
      </c>
      <c r="E415" s="7">
        <v>1</v>
      </c>
      <c r="F415" s="7" t="s">
        <v>959</v>
      </c>
      <c r="G415" s="7">
        <v>0</v>
      </c>
      <c r="H415" s="7">
        <v>0</v>
      </c>
      <c r="I415" s="7">
        <v>99999</v>
      </c>
      <c r="J415" s="7">
        <v>0</v>
      </c>
      <c r="K415" s="7">
        <v>0</v>
      </c>
      <c r="L415" s="7" t="s">
        <v>1562</v>
      </c>
      <c r="M415" s="7">
        <v>100</v>
      </c>
      <c r="N415" s="7">
        <v>1</v>
      </c>
      <c r="P415" s="7">
        <v>0</v>
      </c>
      <c r="Q415" s="7">
        <v>0</v>
      </c>
      <c r="S415" s="7">
        <v>100</v>
      </c>
      <c r="T415" s="7">
        <v>0</v>
      </c>
      <c r="V415" s="7">
        <v>1</v>
      </c>
      <c r="W415" s="7">
        <v>0</v>
      </c>
      <c r="X415" s="6"/>
      <c r="Y415" s="7" t="s">
        <v>3459</v>
      </c>
      <c r="Z415" s="28" t="s">
        <v>3461</v>
      </c>
      <c r="AA415" s="7" t="s">
        <v>3457</v>
      </c>
      <c r="AB415" s="7">
        <v>0</v>
      </c>
      <c r="AC415" s="7">
        <v>3</v>
      </c>
      <c r="AD415" s="7">
        <v>0</v>
      </c>
      <c r="AE415" s="7">
        <v>10</v>
      </c>
      <c r="AF415" s="7">
        <v>1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Q415" s="24">
        <v>1</v>
      </c>
      <c r="AR415" s="7">
        <v>0</v>
      </c>
      <c r="AS415" s="7">
        <v>0</v>
      </c>
      <c r="BE415" s="7">
        <v>240</v>
      </c>
      <c r="BG415" s="7">
        <v>2</v>
      </c>
      <c r="BL415" s="7">
        <v>0</v>
      </c>
    </row>
    <row r="416" spans="1:64" s="7" customFormat="1" ht="15.75" customHeight="1">
      <c r="A416" s="7">
        <v>94006</v>
      </c>
      <c r="B416" s="7" t="s">
        <v>3456</v>
      </c>
      <c r="C416" s="7" t="s">
        <v>689</v>
      </c>
      <c r="D416" s="7" t="s">
        <v>690</v>
      </c>
      <c r="E416" s="7">
        <v>1</v>
      </c>
      <c r="F416" s="7" t="s">
        <v>959</v>
      </c>
      <c r="G416" s="7">
        <v>0</v>
      </c>
      <c r="H416" s="7">
        <v>0</v>
      </c>
      <c r="I416" s="7">
        <v>99999</v>
      </c>
      <c r="J416" s="7">
        <v>0</v>
      </c>
      <c r="K416" s="7">
        <v>0</v>
      </c>
      <c r="L416" s="7" t="s">
        <v>1562</v>
      </c>
      <c r="M416" s="7">
        <v>100</v>
      </c>
      <c r="N416" s="7">
        <v>1</v>
      </c>
      <c r="P416" s="7">
        <v>0</v>
      </c>
      <c r="Q416" s="7">
        <v>0</v>
      </c>
      <c r="S416" s="7">
        <v>100</v>
      </c>
      <c r="T416" s="7">
        <v>0</v>
      </c>
      <c r="V416" s="7">
        <v>1</v>
      </c>
      <c r="W416" s="7">
        <v>0</v>
      </c>
      <c r="X416" s="6"/>
      <c r="Y416" s="7" t="s">
        <v>3460</v>
      </c>
      <c r="Z416" s="28" t="s">
        <v>3462</v>
      </c>
      <c r="AA416" s="7" t="s">
        <v>3458</v>
      </c>
      <c r="AB416" s="7">
        <v>0</v>
      </c>
      <c r="AC416" s="7">
        <v>3</v>
      </c>
      <c r="AD416" s="7">
        <v>0</v>
      </c>
      <c r="AE416" s="7">
        <v>10</v>
      </c>
      <c r="AF416" s="7">
        <v>1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Q416" s="24">
        <v>1</v>
      </c>
      <c r="AR416" s="7">
        <v>0</v>
      </c>
      <c r="AS416" s="7">
        <v>0</v>
      </c>
      <c r="BE416" s="7">
        <v>240</v>
      </c>
      <c r="BG416" s="7">
        <v>2</v>
      </c>
      <c r="BL416" s="7">
        <v>0</v>
      </c>
    </row>
    <row r="417" spans="1:65" s="15" customFormat="1">
      <c r="A417" s="15">
        <v>100001</v>
      </c>
      <c r="B417" s="15" t="s">
        <v>712</v>
      </c>
      <c r="C417" s="15" t="s">
        <v>540</v>
      </c>
      <c r="D417" s="15" t="s">
        <v>550</v>
      </c>
      <c r="E417" s="15">
        <v>1</v>
      </c>
      <c r="F417" s="15" t="s">
        <v>959</v>
      </c>
      <c r="G417" s="15">
        <v>0</v>
      </c>
      <c r="H417" s="15">
        <v>0</v>
      </c>
      <c r="I417" s="15">
        <v>99999</v>
      </c>
      <c r="J417" s="15">
        <v>0</v>
      </c>
      <c r="K417" s="15">
        <v>3</v>
      </c>
      <c r="L417" s="15" t="s">
        <v>1562</v>
      </c>
      <c r="M417" s="15">
        <v>99</v>
      </c>
      <c r="N417" s="7">
        <v>1</v>
      </c>
      <c r="P417" s="15">
        <v>0</v>
      </c>
      <c r="Q417" s="15">
        <v>0</v>
      </c>
      <c r="S417" s="15">
        <v>25000</v>
      </c>
      <c r="T417" s="15">
        <v>0</v>
      </c>
      <c r="V417" s="15">
        <v>1</v>
      </c>
      <c r="W417" s="15">
        <v>1</v>
      </c>
      <c r="X417" s="30"/>
      <c r="Y417" s="15" t="s">
        <v>713</v>
      </c>
      <c r="Z417" s="15" t="s">
        <v>2663</v>
      </c>
      <c r="AA417" s="15" t="s">
        <v>527</v>
      </c>
      <c r="AB417" s="15">
        <v>0</v>
      </c>
      <c r="AC417" s="15">
        <v>4</v>
      </c>
      <c r="AD417" s="15">
        <v>0</v>
      </c>
      <c r="AE417" s="15">
        <v>0</v>
      </c>
      <c r="AF417" s="15">
        <v>1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P417" s="15">
        <v>1</v>
      </c>
      <c r="AR417" s="15">
        <v>0</v>
      </c>
      <c r="AS417" s="15">
        <v>0</v>
      </c>
      <c r="AT417" s="15">
        <v>1</v>
      </c>
      <c r="BD417" s="16"/>
      <c r="BE417" s="7">
        <v>240</v>
      </c>
      <c r="BL417" s="7">
        <v>0</v>
      </c>
    </row>
    <row r="418" spans="1:65">
      <c r="A418">
        <v>100002</v>
      </c>
      <c r="B418" t="s">
        <v>1711</v>
      </c>
      <c r="C418" t="s">
        <v>540</v>
      </c>
      <c r="D418" t="s">
        <v>550</v>
      </c>
      <c r="E418">
        <v>1</v>
      </c>
      <c r="F418" t="s">
        <v>959</v>
      </c>
      <c r="G418">
        <v>0</v>
      </c>
      <c r="H418">
        <v>0</v>
      </c>
      <c r="I418">
        <v>0</v>
      </c>
      <c r="J418">
        <v>0</v>
      </c>
      <c r="K418">
        <v>0</v>
      </c>
      <c r="L418" t="s">
        <v>1562</v>
      </c>
      <c r="M418">
        <v>99</v>
      </c>
      <c r="N418" s="7">
        <v>1</v>
      </c>
      <c r="P418">
        <v>0</v>
      </c>
      <c r="Q418">
        <v>5400000</v>
      </c>
      <c r="S418">
        <v>4000</v>
      </c>
      <c r="T418">
        <v>0</v>
      </c>
      <c r="V418">
        <v>1</v>
      </c>
      <c r="W418">
        <v>1</v>
      </c>
      <c r="X418" s="6" t="s">
        <v>714</v>
      </c>
      <c r="Y418" t="s">
        <v>715</v>
      </c>
      <c r="Z418" t="s">
        <v>2664</v>
      </c>
      <c r="AA418" t="s">
        <v>2932</v>
      </c>
      <c r="AB418">
        <v>0</v>
      </c>
      <c r="AC418">
        <v>11</v>
      </c>
      <c r="AD418">
        <v>0</v>
      </c>
      <c r="AE418">
        <v>0</v>
      </c>
      <c r="AF418">
        <v>1</v>
      </c>
      <c r="AI418">
        <v>0</v>
      </c>
      <c r="AJ418">
        <v>0</v>
      </c>
      <c r="AK418" s="7">
        <v>0</v>
      </c>
      <c r="AL418" s="7">
        <v>0</v>
      </c>
      <c r="AM418" s="7">
        <v>0</v>
      </c>
      <c r="AN418" s="7">
        <v>0</v>
      </c>
      <c r="AP418">
        <v>1</v>
      </c>
      <c r="AQ418" s="7">
        <v>1</v>
      </c>
      <c r="AR418" s="7">
        <v>0</v>
      </c>
      <c r="AS418" s="7">
        <v>0</v>
      </c>
      <c r="BD418" s="7"/>
      <c r="BE418" s="7">
        <v>240</v>
      </c>
      <c r="BG418" s="7">
        <v>2</v>
      </c>
      <c r="BL418" s="7">
        <v>0</v>
      </c>
    </row>
    <row r="419" spans="1:65">
      <c r="A419">
        <v>100003</v>
      </c>
      <c r="B419" t="s">
        <v>1712</v>
      </c>
      <c r="C419" t="s">
        <v>540</v>
      </c>
      <c r="D419" t="s">
        <v>550</v>
      </c>
      <c r="E419">
        <v>1</v>
      </c>
      <c r="F419" t="s">
        <v>959</v>
      </c>
      <c r="G419">
        <v>0</v>
      </c>
      <c r="H419">
        <v>0</v>
      </c>
      <c r="I419">
        <v>0</v>
      </c>
      <c r="J419">
        <v>0</v>
      </c>
      <c r="K419">
        <v>0</v>
      </c>
      <c r="L419" t="s">
        <v>1562</v>
      </c>
      <c r="M419">
        <v>99</v>
      </c>
      <c r="N419" s="7">
        <v>1</v>
      </c>
      <c r="P419">
        <v>0</v>
      </c>
      <c r="Q419" s="7">
        <v>5400000</v>
      </c>
      <c r="R419" s="7"/>
      <c r="S419">
        <v>30000</v>
      </c>
      <c r="T419">
        <v>0</v>
      </c>
      <c r="V419">
        <v>1</v>
      </c>
      <c r="W419">
        <v>1</v>
      </c>
      <c r="X419" s="6" t="s">
        <v>716</v>
      </c>
      <c r="Y419" t="s">
        <v>715</v>
      </c>
      <c r="Z419" t="s">
        <v>2665</v>
      </c>
      <c r="AA419" s="7" t="s">
        <v>2932</v>
      </c>
      <c r="AB419">
        <v>0</v>
      </c>
      <c r="AC419">
        <v>11</v>
      </c>
      <c r="AD419">
        <v>0</v>
      </c>
      <c r="AE419">
        <v>0</v>
      </c>
      <c r="AF419">
        <v>1</v>
      </c>
      <c r="AI419">
        <v>0</v>
      </c>
      <c r="AJ419">
        <v>0</v>
      </c>
      <c r="AK419" s="7">
        <v>0</v>
      </c>
      <c r="AL419" s="7">
        <v>0</v>
      </c>
      <c r="AM419" s="7">
        <v>0</v>
      </c>
      <c r="AN419" s="7">
        <v>0</v>
      </c>
      <c r="AP419">
        <v>1</v>
      </c>
      <c r="AQ419" s="7">
        <v>1</v>
      </c>
      <c r="AR419" s="7">
        <v>0</v>
      </c>
      <c r="AS419" s="7">
        <v>0</v>
      </c>
      <c r="AW419" s="7"/>
      <c r="AY419" s="7"/>
      <c r="BB419" s="7"/>
      <c r="BC419" s="7"/>
      <c r="BD419" s="7"/>
      <c r="BE419" s="7">
        <v>240</v>
      </c>
      <c r="BG419" s="7">
        <v>2</v>
      </c>
      <c r="BL419" s="7">
        <v>0</v>
      </c>
    </row>
    <row r="420" spans="1:65">
      <c r="A420">
        <v>100004</v>
      </c>
      <c r="B420" t="s">
        <v>1713</v>
      </c>
      <c r="C420" t="s">
        <v>540</v>
      </c>
      <c r="D420" t="s">
        <v>550</v>
      </c>
      <c r="E420">
        <v>1</v>
      </c>
      <c r="F420" t="s">
        <v>959</v>
      </c>
      <c r="G420">
        <v>0</v>
      </c>
      <c r="H420">
        <v>0</v>
      </c>
      <c r="I420">
        <v>0</v>
      </c>
      <c r="J420">
        <v>0</v>
      </c>
      <c r="K420">
        <v>0</v>
      </c>
      <c r="L420" t="s">
        <v>1562</v>
      </c>
      <c r="M420">
        <v>99</v>
      </c>
      <c r="N420" s="7">
        <v>1</v>
      </c>
      <c r="P420">
        <v>0</v>
      </c>
      <c r="Q420" s="7">
        <v>5400000</v>
      </c>
      <c r="R420" s="7"/>
      <c r="S420">
        <v>100000</v>
      </c>
      <c r="T420">
        <v>0</v>
      </c>
      <c r="V420">
        <v>1</v>
      </c>
      <c r="W420">
        <v>1</v>
      </c>
      <c r="X420" s="6" t="s">
        <v>3047</v>
      </c>
      <c r="Y420" t="s">
        <v>715</v>
      </c>
      <c r="Z420" t="s">
        <v>3053</v>
      </c>
      <c r="AA420" s="7" t="s">
        <v>2932</v>
      </c>
      <c r="AB420">
        <v>0</v>
      </c>
      <c r="AC420">
        <v>11</v>
      </c>
      <c r="AD420">
        <v>0</v>
      </c>
      <c r="AE420">
        <v>0</v>
      </c>
      <c r="AF420">
        <v>1</v>
      </c>
      <c r="AI420">
        <v>0</v>
      </c>
      <c r="AJ420">
        <v>0</v>
      </c>
      <c r="AK420" s="7">
        <v>0</v>
      </c>
      <c r="AL420" s="7">
        <v>0</v>
      </c>
      <c r="AM420" s="7">
        <v>0</v>
      </c>
      <c r="AN420" s="7">
        <v>0</v>
      </c>
      <c r="AP420">
        <v>1</v>
      </c>
      <c r="AQ420" s="7">
        <v>1</v>
      </c>
      <c r="AR420" s="7">
        <v>0</v>
      </c>
      <c r="AS420" s="7">
        <v>0</v>
      </c>
      <c r="AW420" s="7"/>
      <c r="AY420" s="7"/>
      <c r="BB420" s="7"/>
      <c r="BC420" s="7"/>
      <c r="BD420" s="7"/>
      <c r="BE420" s="7">
        <v>240</v>
      </c>
      <c r="BG420" s="7">
        <v>2</v>
      </c>
      <c r="BL420" s="7">
        <v>0</v>
      </c>
    </row>
    <row r="421" spans="1:65" s="15" customFormat="1">
      <c r="A421" s="15">
        <v>100005</v>
      </c>
      <c r="B421" s="15" t="s">
        <v>717</v>
      </c>
      <c r="C421" s="15" t="s">
        <v>540</v>
      </c>
      <c r="D421" s="15" t="s">
        <v>550</v>
      </c>
      <c r="E421" s="15">
        <v>1</v>
      </c>
      <c r="F421" s="15" t="s">
        <v>959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 t="s">
        <v>1562</v>
      </c>
      <c r="M421" s="15">
        <v>99</v>
      </c>
      <c r="N421" s="7">
        <v>1</v>
      </c>
      <c r="P421" s="15">
        <v>0</v>
      </c>
      <c r="Q421" s="15">
        <v>0</v>
      </c>
      <c r="S421" s="15">
        <v>1</v>
      </c>
      <c r="T421" s="15">
        <v>0</v>
      </c>
      <c r="V421" s="15">
        <v>1</v>
      </c>
      <c r="W421" s="15">
        <v>1</v>
      </c>
      <c r="X421" s="30"/>
      <c r="Y421" s="15" t="s">
        <v>715</v>
      </c>
      <c r="Z421" s="15" t="s">
        <v>2666</v>
      </c>
      <c r="AA421" s="15" t="s">
        <v>527</v>
      </c>
      <c r="AB421" s="15">
        <v>0</v>
      </c>
      <c r="AC421" s="15">
        <v>11</v>
      </c>
      <c r="AD421" s="15">
        <v>0</v>
      </c>
      <c r="AE421" s="15">
        <v>0</v>
      </c>
      <c r="AF421" s="15">
        <v>1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P421" s="15">
        <v>1</v>
      </c>
      <c r="AR421" s="15">
        <v>0</v>
      </c>
      <c r="AS421" s="15">
        <v>0</v>
      </c>
      <c r="AW421" s="16"/>
      <c r="AX421" s="16"/>
      <c r="BD421" s="16"/>
      <c r="BE421" s="7">
        <v>240</v>
      </c>
      <c r="BL421" s="7">
        <v>0</v>
      </c>
    </row>
    <row r="422" spans="1:65" s="15" customFormat="1">
      <c r="A422" s="15">
        <v>100006</v>
      </c>
      <c r="B422" s="15" t="s">
        <v>718</v>
      </c>
      <c r="C422" s="15" t="s">
        <v>540</v>
      </c>
      <c r="D422" s="15" t="s">
        <v>550</v>
      </c>
      <c r="E422" s="15">
        <v>1</v>
      </c>
      <c r="F422" s="15" t="s">
        <v>959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 t="s">
        <v>1562</v>
      </c>
      <c r="M422" s="15">
        <v>99</v>
      </c>
      <c r="N422" s="7">
        <v>1</v>
      </c>
      <c r="P422" s="15">
        <v>0</v>
      </c>
      <c r="Q422" s="15">
        <v>0</v>
      </c>
      <c r="S422" s="15">
        <v>1</v>
      </c>
      <c r="T422" s="15">
        <v>0</v>
      </c>
      <c r="V422" s="15">
        <v>1</v>
      </c>
      <c r="W422" s="15">
        <v>1</v>
      </c>
      <c r="X422" s="30"/>
      <c r="Y422" s="15" t="s">
        <v>715</v>
      </c>
      <c r="Z422" s="15" t="s">
        <v>2666</v>
      </c>
      <c r="AA422" s="15" t="s">
        <v>527</v>
      </c>
      <c r="AB422" s="15">
        <v>0</v>
      </c>
      <c r="AC422" s="15">
        <v>11</v>
      </c>
      <c r="AD422" s="15">
        <v>0</v>
      </c>
      <c r="AE422" s="15">
        <v>0</v>
      </c>
      <c r="AF422" s="15">
        <v>1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P422" s="15">
        <v>1</v>
      </c>
      <c r="AR422" s="15">
        <v>0</v>
      </c>
      <c r="AS422" s="15">
        <v>0</v>
      </c>
      <c r="AW422" s="16"/>
      <c r="AX422" s="16"/>
      <c r="BD422" s="16"/>
      <c r="BE422" s="7">
        <v>240</v>
      </c>
      <c r="BL422" s="7">
        <v>0</v>
      </c>
    </row>
    <row r="423" spans="1:65" s="15" customFormat="1">
      <c r="A423" s="15">
        <v>110001</v>
      </c>
      <c r="B423" s="15" t="s">
        <v>719</v>
      </c>
      <c r="C423" s="15" t="s">
        <v>525</v>
      </c>
      <c r="D423" s="15" t="s">
        <v>673</v>
      </c>
      <c r="E423" s="15">
        <v>1</v>
      </c>
      <c r="F423" s="15" t="s">
        <v>959</v>
      </c>
      <c r="G423" s="15">
        <v>0</v>
      </c>
      <c r="H423" s="15">
        <v>0</v>
      </c>
      <c r="I423" s="15">
        <v>99999</v>
      </c>
      <c r="J423" s="15">
        <v>0</v>
      </c>
      <c r="K423" s="15">
        <v>0</v>
      </c>
      <c r="L423" s="15" t="s">
        <v>1562</v>
      </c>
      <c r="M423" s="15">
        <v>99</v>
      </c>
      <c r="N423" s="7">
        <v>1</v>
      </c>
      <c r="Q423" s="15">
        <v>0</v>
      </c>
      <c r="S423" s="15">
        <v>1</v>
      </c>
      <c r="T423" s="15">
        <v>3</v>
      </c>
      <c r="V423" s="15">
        <v>1</v>
      </c>
      <c r="W423" s="15">
        <v>1</v>
      </c>
      <c r="X423" s="30"/>
      <c r="Y423" s="15" t="s">
        <v>720</v>
      </c>
      <c r="Z423" s="15" t="s">
        <v>2667</v>
      </c>
      <c r="AA423" s="15" t="s">
        <v>527</v>
      </c>
      <c r="AB423" s="15">
        <v>0</v>
      </c>
      <c r="AC423" s="15">
        <v>13</v>
      </c>
      <c r="AD423" s="15">
        <v>0</v>
      </c>
      <c r="AE423" s="15">
        <v>0</v>
      </c>
      <c r="AF423" s="15">
        <v>1</v>
      </c>
      <c r="AI423" s="15">
        <v>0</v>
      </c>
      <c r="AJ423" s="15">
        <v>0</v>
      </c>
      <c r="AK423" s="15">
        <v>0</v>
      </c>
      <c r="AL423" s="15">
        <v>0</v>
      </c>
      <c r="AM423" s="15">
        <v>0</v>
      </c>
      <c r="AN423" s="15">
        <v>0</v>
      </c>
      <c r="AP423" s="15">
        <v>1</v>
      </c>
      <c r="AR423" s="15">
        <v>0</v>
      </c>
      <c r="AS423" s="15">
        <v>0</v>
      </c>
      <c r="BD423" s="16"/>
      <c r="BE423" s="7">
        <v>240</v>
      </c>
      <c r="BL423" s="7">
        <v>0</v>
      </c>
      <c r="BM423" s="24"/>
    </row>
    <row r="424" spans="1:65" s="15" customFormat="1">
      <c r="A424" s="15">
        <v>110002</v>
      </c>
      <c r="B424" s="15" t="s">
        <v>721</v>
      </c>
      <c r="C424" s="15" t="s">
        <v>525</v>
      </c>
      <c r="D424" s="15" t="s">
        <v>673</v>
      </c>
      <c r="E424" s="15">
        <v>1</v>
      </c>
      <c r="F424" s="15" t="s">
        <v>959</v>
      </c>
      <c r="G424" s="15">
        <v>0</v>
      </c>
      <c r="H424" s="15">
        <v>0</v>
      </c>
      <c r="I424" s="15">
        <v>99999</v>
      </c>
      <c r="J424" s="15">
        <v>0</v>
      </c>
      <c r="K424" s="15">
        <v>0</v>
      </c>
      <c r="L424" s="15" t="s">
        <v>1562</v>
      </c>
      <c r="M424" s="15">
        <v>99</v>
      </c>
      <c r="N424" s="7">
        <v>1</v>
      </c>
      <c r="Q424" s="15">
        <v>0</v>
      </c>
      <c r="S424" s="15">
        <v>1</v>
      </c>
      <c r="T424" s="15">
        <v>3</v>
      </c>
      <c r="V424" s="15">
        <v>1</v>
      </c>
      <c r="W424" s="15">
        <v>1</v>
      </c>
      <c r="X424" s="30"/>
      <c r="Y424" s="15" t="s">
        <v>722</v>
      </c>
      <c r="Z424" s="15" t="s">
        <v>2668</v>
      </c>
      <c r="AA424" s="15" t="s">
        <v>527</v>
      </c>
      <c r="AB424" s="15">
        <v>0</v>
      </c>
      <c r="AC424" s="15">
        <v>13</v>
      </c>
      <c r="AD424" s="15">
        <v>0</v>
      </c>
      <c r="AE424" s="15">
        <v>0</v>
      </c>
      <c r="AF424" s="15">
        <v>1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P424" s="15">
        <v>1</v>
      </c>
      <c r="AR424" s="15">
        <v>0</v>
      </c>
      <c r="AS424" s="15">
        <v>0</v>
      </c>
      <c r="BD424" s="16"/>
      <c r="BE424" s="7">
        <v>240</v>
      </c>
      <c r="BL424" s="7">
        <v>0</v>
      </c>
      <c r="BM424" s="24"/>
    </row>
    <row r="425" spans="1:65" s="15" customFormat="1">
      <c r="A425" s="15">
        <v>110003</v>
      </c>
      <c r="B425" s="15" t="s">
        <v>723</v>
      </c>
      <c r="C425" s="15" t="s">
        <v>525</v>
      </c>
      <c r="D425" s="15" t="s">
        <v>673</v>
      </c>
      <c r="E425" s="15">
        <v>1</v>
      </c>
      <c r="F425" s="15" t="s">
        <v>959</v>
      </c>
      <c r="G425" s="15">
        <v>0</v>
      </c>
      <c r="H425" s="15">
        <v>0</v>
      </c>
      <c r="I425" s="15">
        <v>99999</v>
      </c>
      <c r="J425" s="15">
        <v>0</v>
      </c>
      <c r="K425" s="15">
        <v>0</v>
      </c>
      <c r="L425" s="15" t="s">
        <v>1562</v>
      </c>
      <c r="M425" s="15">
        <v>99</v>
      </c>
      <c r="N425" s="7">
        <v>1</v>
      </c>
      <c r="Q425" s="15">
        <v>0</v>
      </c>
      <c r="S425" s="15">
        <v>1</v>
      </c>
      <c r="T425" s="15">
        <v>3</v>
      </c>
      <c r="V425" s="15">
        <v>1</v>
      </c>
      <c r="W425" s="15">
        <v>1</v>
      </c>
      <c r="X425" s="30"/>
      <c r="Y425" s="15" t="s">
        <v>724</v>
      </c>
      <c r="Z425" s="15" t="s">
        <v>2669</v>
      </c>
      <c r="AA425" s="15" t="s">
        <v>527</v>
      </c>
      <c r="AB425" s="15">
        <v>0</v>
      </c>
      <c r="AC425" s="15">
        <v>13</v>
      </c>
      <c r="AD425" s="15">
        <v>0</v>
      </c>
      <c r="AE425" s="15">
        <v>0</v>
      </c>
      <c r="AF425" s="15">
        <v>1</v>
      </c>
      <c r="AI425" s="15">
        <v>0</v>
      </c>
      <c r="AJ425" s="15">
        <v>0</v>
      </c>
      <c r="AK425" s="15">
        <v>0</v>
      </c>
      <c r="AL425" s="15">
        <v>0</v>
      </c>
      <c r="AM425" s="15">
        <v>0</v>
      </c>
      <c r="AN425" s="15">
        <v>0</v>
      </c>
      <c r="AP425" s="15">
        <v>1</v>
      </c>
      <c r="AR425" s="15">
        <v>0</v>
      </c>
      <c r="AS425" s="15">
        <v>0</v>
      </c>
      <c r="BD425" s="16"/>
      <c r="BE425" s="7">
        <v>240</v>
      </c>
      <c r="BL425" s="7">
        <v>0</v>
      </c>
      <c r="BM425" s="24"/>
    </row>
    <row r="426" spans="1:65" s="15" customFormat="1">
      <c r="A426" s="15">
        <v>110004</v>
      </c>
      <c r="B426" s="15" t="s">
        <v>725</v>
      </c>
      <c r="C426" s="15" t="s">
        <v>525</v>
      </c>
      <c r="D426" s="15" t="s">
        <v>673</v>
      </c>
      <c r="E426" s="15">
        <v>1</v>
      </c>
      <c r="F426" s="15" t="s">
        <v>959</v>
      </c>
      <c r="G426" s="15">
        <v>0</v>
      </c>
      <c r="H426" s="15">
        <v>0</v>
      </c>
      <c r="I426" s="15">
        <v>99999</v>
      </c>
      <c r="J426" s="15">
        <v>0</v>
      </c>
      <c r="K426" s="15">
        <v>0</v>
      </c>
      <c r="L426" s="15" t="s">
        <v>1562</v>
      </c>
      <c r="M426" s="15">
        <v>99</v>
      </c>
      <c r="N426" s="7">
        <v>1</v>
      </c>
      <c r="Q426" s="15">
        <v>0</v>
      </c>
      <c r="S426" s="15">
        <v>1</v>
      </c>
      <c r="T426" s="15">
        <v>3</v>
      </c>
      <c r="V426" s="15">
        <v>1</v>
      </c>
      <c r="W426" s="15">
        <v>1</v>
      </c>
      <c r="X426" s="30"/>
      <c r="Y426" s="15" t="s">
        <v>726</v>
      </c>
      <c r="Z426" s="15" t="s">
        <v>2670</v>
      </c>
      <c r="AA426" s="15" t="s">
        <v>527</v>
      </c>
      <c r="AB426" s="15">
        <v>0</v>
      </c>
      <c r="AC426" s="15">
        <v>13</v>
      </c>
      <c r="AD426" s="15">
        <v>0</v>
      </c>
      <c r="AE426" s="15">
        <v>0</v>
      </c>
      <c r="AF426" s="15">
        <v>1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P426" s="15">
        <v>1</v>
      </c>
      <c r="AR426" s="15">
        <v>0</v>
      </c>
      <c r="AS426" s="15">
        <v>0</v>
      </c>
      <c r="BD426" s="16"/>
      <c r="BE426" s="7">
        <v>240</v>
      </c>
      <c r="BL426" s="7">
        <v>0</v>
      </c>
      <c r="BM426" s="24"/>
    </row>
    <row r="427" spans="1:65" s="15" customFormat="1">
      <c r="A427" s="15">
        <v>110005</v>
      </c>
      <c r="B427" s="15" t="s">
        <v>727</v>
      </c>
      <c r="C427" s="15" t="s">
        <v>525</v>
      </c>
      <c r="D427" s="15" t="s">
        <v>673</v>
      </c>
      <c r="E427" s="15">
        <v>1</v>
      </c>
      <c r="F427" s="15" t="s">
        <v>959</v>
      </c>
      <c r="G427" s="15">
        <v>0</v>
      </c>
      <c r="H427" s="15">
        <v>0</v>
      </c>
      <c r="I427" s="15">
        <v>99999</v>
      </c>
      <c r="J427" s="15">
        <v>0</v>
      </c>
      <c r="K427" s="15">
        <v>0</v>
      </c>
      <c r="L427" s="15" t="s">
        <v>1562</v>
      </c>
      <c r="M427" s="15">
        <v>99</v>
      </c>
      <c r="N427" s="7">
        <v>1</v>
      </c>
      <c r="Q427" s="15">
        <v>0</v>
      </c>
      <c r="S427" s="15">
        <v>1</v>
      </c>
      <c r="T427" s="15">
        <v>3</v>
      </c>
      <c r="V427" s="15">
        <v>1</v>
      </c>
      <c r="W427" s="15">
        <v>1</v>
      </c>
      <c r="X427" s="30"/>
      <c r="Y427" s="15" t="s">
        <v>728</v>
      </c>
      <c r="Z427" s="15" t="s">
        <v>2671</v>
      </c>
      <c r="AA427" s="15" t="s">
        <v>527</v>
      </c>
      <c r="AB427" s="15">
        <v>0</v>
      </c>
      <c r="AC427" s="15">
        <v>13</v>
      </c>
      <c r="AD427" s="15">
        <v>0</v>
      </c>
      <c r="AE427" s="15">
        <v>0</v>
      </c>
      <c r="AF427" s="15">
        <v>1</v>
      </c>
      <c r="AI427" s="15">
        <v>0</v>
      </c>
      <c r="AJ427" s="15">
        <v>0</v>
      </c>
      <c r="AK427" s="15">
        <v>0</v>
      </c>
      <c r="AL427" s="15">
        <v>0</v>
      </c>
      <c r="AM427" s="15">
        <v>0</v>
      </c>
      <c r="AN427" s="15">
        <v>0</v>
      </c>
      <c r="AP427" s="15">
        <v>1</v>
      </c>
      <c r="AR427" s="15">
        <v>0</v>
      </c>
      <c r="AS427" s="15">
        <v>0</v>
      </c>
      <c r="BD427" s="16"/>
      <c r="BE427" s="7">
        <v>240</v>
      </c>
      <c r="BL427" s="7">
        <v>0</v>
      </c>
      <c r="BM427" s="24"/>
    </row>
    <row r="428" spans="1:65" s="24" customFormat="1">
      <c r="A428" s="24">
        <v>111001</v>
      </c>
      <c r="B428" s="24" t="s">
        <v>1976</v>
      </c>
      <c r="C428" s="7" t="s">
        <v>740</v>
      </c>
      <c r="D428" s="7" t="s">
        <v>741</v>
      </c>
      <c r="E428" s="24">
        <v>1</v>
      </c>
      <c r="F428" s="24" t="s">
        <v>959</v>
      </c>
      <c r="G428" s="24">
        <v>0</v>
      </c>
      <c r="H428" s="24">
        <v>0</v>
      </c>
      <c r="I428" s="24">
        <v>99999</v>
      </c>
      <c r="J428" s="24">
        <v>0</v>
      </c>
      <c r="K428" s="24">
        <v>0</v>
      </c>
      <c r="L428" s="24" t="s">
        <v>1562</v>
      </c>
      <c r="M428" s="24">
        <v>500</v>
      </c>
      <c r="N428" s="25">
        <v>0</v>
      </c>
      <c r="Q428" s="24">
        <v>0</v>
      </c>
      <c r="S428" s="24">
        <v>1</v>
      </c>
      <c r="T428" s="24">
        <v>3</v>
      </c>
      <c r="V428" s="24">
        <v>1</v>
      </c>
      <c r="W428" s="24">
        <v>1</v>
      </c>
      <c r="X428" s="31"/>
      <c r="Y428" s="24" t="s">
        <v>1990</v>
      </c>
      <c r="Z428" s="24" t="s">
        <v>3465</v>
      </c>
      <c r="AA428" s="1" t="s">
        <v>2001</v>
      </c>
      <c r="AB428" s="24">
        <v>0</v>
      </c>
      <c r="AC428" s="24">
        <v>13</v>
      </c>
      <c r="AD428" s="24">
        <v>0</v>
      </c>
      <c r="AE428" s="24">
        <v>0</v>
      </c>
      <c r="AF428" s="24">
        <v>1</v>
      </c>
      <c r="AI428" s="24">
        <v>0</v>
      </c>
      <c r="AJ428" s="24">
        <v>0</v>
      </c>
      <c r="AK428" s="24">
        <v>0</v>
      </c>
      <c r="AL428" s="24">
        <v>0</v>
      </c>
      <c r="AM428" s="24">
        <v>0</v>
      </c>
      <c r="AN428" s="24">
        <v>0</v>
      </c>
      <c r="AP428" s="24">
        <v>1</v>
      </c>
      <c r="AQ428" s="24">
        <v>1</v>
      </c>
      <c r="AR428" s="24">
        <v>0</v>
      </c>
      <c r="AS428" s="24">
        <v>0</v>
      </c>
      <c r="BD428" s="25"/>
      <c r="BE428" s="25">
        <v>240</v>
      </c>
      <c r="BG428" s="24">
        <v>2</v>
      </c>
      <c r="BL428" s="7">
        <v>0</v>
      </c>
    </row>
    <row r="429" spans="1:65" s="24" customFormat="1">
      <c r="A429" s="24">
        <v>111002</v>
      </c>
      <c r="B429" s="24" t="s">
        <v>1988</v>
      </c>
      <c r="C429" s="24" t="s">
        <v>525</v>
      </c>
      <c r="D429" s="24" t="s">
        <v>673</v>
      </c>
      <c r="E429" s="24">
        <v>1</v>
      </c>
      <c r="F429" s="24" t="s">
        <v>959</v>
      </c>
      <c r="G429" s="24">
        <v>0</v>
      </c>
      <c r="H429" s="24">
        <v>0</v>
      </c>
      <c r="I429" s="24">
        <v>99999</v>
      </c>
      <c r="J429" s="24">
        <v>0</v>
      </c>
      <c r="K429" s="24">
        <v>0</v>
      </c>
      <c r="L429" s="24" t="s">
        <v>1562</v>
      </c>
      <c r="M429" s="24">
        <v>99</v>
      </c>
      <c r="N429" s="25">
        <v>0</v>
      </c>
      <c r="Q429" s="24">
        <v>0</v>
      </c>
      <c r="S429" s="24">
        <v>1</v>
      </c>
      <c r="T429" s="24">
        <v>3</v>
      </c>
      <c r="V429" s="24">
        <v>1</v>
      </c>
      <c r="W429" s="24">
        <v>1</v>
      </c>
      <c r="X429" s="31"/>
      <c r="Y429" s="24" t="s">
        <v>1989</v>
      </c>
      <c r="Z429" s="24" t="s">
        <v>2672</v>
      </c>
      <c r="AA429" s="1" t="s">
        <v>2000</v>
      </c>
      <c r="AB429" s="24">
        <v>0</v>
      </c>
      <c r="AC429" s="24">
        <v>13</v>
      </c>
      <c r="AD429" s="24">
        <v>0</v>
      </c>
      <c r="AE429" s="24">
        <v>0</v>
      </c>
      <c r="AF429" s="24">
        <v>1</v>
      </c>
      <c r="AI429" s="24">
        <v>0</v>
      </c>
      <c r="AJ429" s="24">
        <v>0</v>
      </c>
      <c r="AK429" s="24">
        <v>0</v>
      </c>
      <c r="AL429" s="24">
        <v>0</v>
      </c>
      <c r="AM429" s="24">
        <v>0</v>
      </c>
      <c r="AN429" s="24">
        <v>0</v>
      </c>
      <c r="AP429" s="24">
        <v>1</v>
      </c>
      <c r="AQ429" s="24">
        <v>1</v>
      </c>
      <c r="AR429" s="24">
        <v>0</v>
      </c>
      <c r="AS429" s="24">
        <v>0</v>
      </c>
      <c r="BD429" s="25"/>
      <c r="BE429" s="25">
        <v>240</v>
      </c>
      <c r="BG429" s="24">
        <v>2</v>
      </c>
      <c r="BL429" s="7">
        <v>0</v>
      </c>
    </row>
    <row r="430" spans="1:65" s="24" customFormat="1">
      <c r="A430" s="24">
        <v>111003</v>
      </c>
      <c r="B430" s="24" t="s">
        <v>3114</v>
      </c>
      <c r="C430" s="7" t="s">
        <v>534</v>
      </c>
      <c r="D430" s="7" t="s">
        <v>535</v>
      </c>
      <c r="E430" s="24">
        <v>1</v>
      </c>
      <c r="F430" s="24" t="s">
        <v>959</v>
      </c>
      <c r="G430" s="24">
        <v>0</v>
      </c>
      <c r="H430" s="24">
        <v>0</v>
      </c>
      <c r="I430" s="24">
        <v>99999</v>
      </c>
      <c r="J430" s="24">
        <v>0</v>
      </c>
      <c r="K430" s="24">
        <v>0</v>
      </c>
      <c r="L430" s="24" t="s">
        <v>1562</v>
      </c>
      <c r="M430" s="24">
        <v>500</v>
      </c>
      <c r="N430" s="25">
        <v>0</v>
      </c>
      <c r="Q430" s="24">
        <v>0</v>
      </c>
      <c r="S430" s="24">
        <v>1</v>
      </c>
      <c r="T430" s="24">
        <v>3</v>
      </c>
      <c r="V430" s="24">
        <v>1</v>
      </c>
      <c r="W430" s="24">
        <v>1</v>
      </c>
      <c r="X430" s="31"/>
      <c r="Y430" s="24" t="s">
        <v>3115</v>
      </c>
      <c r="Z430" s="24" t="s">
        <v>3117</v>
      </c>
      <c r="AA430" s="1" t="s">
        <v>3116</v>
      </c>
      <c r="AB430" s="24">
        <v>0</v>
      </c>
      <c r="AC430" s="24">
        <v>13</v>
      </c>
      <c r="AD430" s="24">
        <v>0</v>
      </c>
      <c r="AE430" s="24">
        <v>0</v>
      </c>
      <c r="AF430" s="24">
        <v>1</v>
      </c>
      <c r="AI430" s="24">
        <v>0</v>
      </c>
      <c r="AJ430" s="24">
        <v>0</v>
      </c>
      <c r="AK430" s="24">
        <v>0</v>
      </c>
      <c r="AL430" s="24">
        <v>0</v>
      </c>
      <c r="AM430" s="24">
        <v>0</v>
      </c>
      <c r="AN430" s="24">
        <v>0</v>
      </c>
      <c r="AP430" s="24">
        <v>1</v>
      </c>
      <c r="AQ430" s="24">
        <v>1</v>
      </c>
      <c r="AR430" s="24">
        <v>0</v>
      </c>
      <c r="AS430" s="24">
        <v>0</v>
      </c>
      <c r="BD430" s="25"/>
      <c r="BE430" s="25">
        <v>240</v>
      </c>
      <c r="BG430" s="24">
        <v>2</v>
      </c>
      <c r="BL430" s="7">
        <v>0</v>
      </c>
    </row>
    <row r="431" spans="1:65" s="24" customFormat="1">
      <c r="A431" s="24">
        <v>111004</v>
      </c>
      <c r="B431" s="24" t="s">
        <v>3168</v>
      </c>
      <c r="C431" s="7" t="s">
        <v>534</v>
      </c>
      <c r="D431" s="7" t="s">
        <v>535</v>
      </c>
      <c r="E431" s="24">
        <v>1</v>
      </c>
      <c r="F431" s="24" t="s">
        <v>959</v>
      </c>
      <c r="G431" s="24">
        <v>0</v>
      </c>
      <c r="H431" s="24">
        <v>0</v>
      </c>
      <c r="I431" s="24">
        <v>99999</v>
      </c>
      <c r="J431" s="24">
        <v>0</v>
      </c>
      <c r="K431" s="24">
        <v>0</v>
      </c>
      <c r="L431" s="24" t="s">
        <v>1562</v>
      </c>
      <c r="M431" s="24">
        <v>99</v>
      </c>
      <c r="N431" s="25">
        <v>0</v>
      </c>
      <c r="Q431" s="24">
        <v>0</v>
      </c>
      <c r="S431" s="24">
        <v>1</v>
      </c>
      <c r="T431" s="24">
        <v>3</v>
      </c>
      <c r="V431" s="24">
        <v>1</v>
      </c>
      <c r="W431" s="24">
        <v>1</v>
      </c>
      <c r="X431" s="31"/>
      <c r="Y431" s="24" t="s">
        <v>3383</v>
      </c>
      <c r="Z431" s="24" t="s">
        <v>3387</v>
      </c>
      <c r="AA431" s="1" t="s">
        <v>3386</v>
      </c>
      <c r="AB431" s="24">
        <v>0</v>
      </c>
      <c r="AC431" s="24">
        <v>13</v>
      </c>
      <c r="AD431" s="24">
        <v>0</v>
      </c>
      <c r="AE431" s="24">
        <v>0</v>
      </c>
      <c r="AF431" s="24">
        <v>1</v>
      </c>
      <c r="AI431" s="24">
        <v>0</v>
      </c>
      <c r="AJ431" s="24">
        <v>0</v>
      </c>
      <c r="AK431" s="24">
        <v>0</v>
      </c>
      <c r="AL431" s="24">
        <v>0</v>
      </c>
      <c r="AM431" s="24">
        <v>0</v>
      </c>
      <c r="AN431" s="24">
        <v>0</v>
      </c>
      <c r="AP431" s="24">
        <v>1</v>
      </c>
      <c r="AQ431" s="24">
        <v>1</v>
      </c>
      <c r="AR431" s="24">
        <v>0</v>
      </c>
      <c r="AS431" s="24">
        <v>0</v>
      </c>
      <c r="BD431" s="25"/>
      <c r="BE431" s="25">
        <v>240</v>
      </c>
      <c r="BG431" s="24">
        <v>2</v>
      </c>
      <c r="BL431" s="7">
        <v>0</v>
      </c>
    </row>
    <row r="432" spans="1:65" s="24" customFormat="1">
      <c r="A432" s="24">
        <v>111005</v>
      </c>
      <c r="B432" s="24" t="s">
        <v>3302</v>
      </c>
      <c r="C432" s="7" t="s">
        <v>534</v>
      </c>
      <c r="D432" s="7" t="s">
        <v>535</v>
      </c>
      <c r="E432" s="24">
        <v>1</v>
      </c>
      <c r="F432" s="24" t="s">
        <v>959</v>
      </c>
      <c r="G432" s="24">
        <v>0</v>
      </c>
      <c r="H432" s="24">
        <v>0</v>
      </c>
      <c r="I432" s="24">
        <v>99999</v>
      </c>
      <c r="J432" s="24">
        <v>0</v>
      </c>
      <c r="K432" s="24">
        <v>0</v>
      </c>
      <c r="L432" s="24" t="s">
        <v>1562</v>
      </c>
      <c r="M432" s="24">
        <v>99</v>
      </c>
      <c r="N432" s="25">
        <v>0</v>
      </c>
      <c r="Q432" s="24">
        <v>0</v>
      </c>
      <c r="S432" s="24">
        <v>1</v>
      </c>
      <c r="T432" s="24">
        <v>3</v>
      </c>
      <c r="V432" s="24">
        <v>1</v>
      </c>
      <c r="W432" s="24">
        <v>1</v>
      </c>
      <c r="X432" s="31"/>
      <c r="Y432" s="24" t="s">
        <v>1989</v>
      </c>
      <c r="Z432" s="24" t="s">
        <v>2672</v>
      </c>
      <c r="AA432" s="1" t="s">
        <v>3308</v>
      </c>
      <c r="AB432" s="24">
        <v>0</v>
      </c>
      <c r="AC432" s="24">
        <v>13</v>
      </c>
      <c r="AD432" s="24">
        <v>0</v>
      </c>
      <c r="AE432" s="24">
        <v>0</v>
      </c>
      <c r="AF432" s="24">
        <v>1</v>
      </c>
      <c r="AI432" s="24">
        <v>0</v>
      </c>
      <c r="AJ432" s="24">
        <v>0</v>
      </c>
      <c r="AK432" s="24">
        <v>0</v>
      </c>
      <c r="AL432" s="24">
        <v>0</v>
      </c>
      <c r="AM432" s="24">
        <v>0</v>
      </c>
      <c r="AN432" s="24">
        <v>0</v>
      </c>
      <c r="AP432" s="24">
        <v>1</v>
      </c>
      <c r="AQ432" s="24">
        <v>1</v>
      </c>
      <c r="AR432" s="24">
        <v>0</v>
      </c>
      <c r="AS432" s="24">
        <v>0</v>
      </c>
      <c r="BD432" s="25"/>
      <c r="BE432" s="25">
        <v>240</v>
      </c>
      <c r="BG432" s="24">
        <v>2</v>
      </c>
      <c r="BL432" s="7">
        <v>0</v>
      </c>
    </row>
    <row r="433" spans="1:65" s="24" customFormat="1">
      <c r="A433" s="24">
        <v>111006</v>
      </c>
      <c r="B433" s="24" t="s">
        <v>3303</v>
      </c>
      <c r="C433" s="7" t="s">
        <v>534</v>
      </c>
      <c r="D433" s="7" t="s">
        <v>535</v>
      </c>
      <c r="E433" s="24">
        <v>1</v>
      </c>
      <c r="F433" s="24" t="s">
        <v>959</v>
      </c>
      <c r="G433" s="24">
        <v>0</v>
      </c>
      <c r="H433" s="24">
        <v>0</v>
      </c>
      <c r="I433" s="24">
        <v>99999</v>
      </c>
      <c r="J433" s="24">
        <v>0</v>
      </c>
      <c r="K433" s="24">
        <v>0</v>
      </c>
      <c r="L433" s="24" t="s">
        <v>1562</v>
      </c>
      <c r="M433" s="24">
        <v>99</v>
      </c>
      <c r="N433" s="25">
        <v>0</v>
      </c>
      <c r="Q433" s="24">
        <v>0</v>
      </c>
      <c r="S433" s="24">
        <v>1</v>
      </c>
      <c r="T433" s="24">
        <v>3</v>
      </c>
      <c r="V433" s="24">
        <v>1</v>
      </c>
      <c r="W433" s="24">
        <v>1</v>
      </c>
      <c r="X433" s="31"/>
      <c r="Y433" s="24" t="s">
        <v>3305</v>
      </c>
      <c r="Z433" s="24" t="s">
        <v>3433</v>
      </c>
      <c r="AA433" s="1" t="s">
        <v>3306</v>
      </c>
      <c r="AB433" s="24">
        <v>0</v>
      </c>
      <c r="AC433" s="24">
        <v>13</v>
      </c>
      <c r="AD433" s="24">
        <v>0</v>
      </c>
      <c r="AE433" s="24">
        <v>0</v>
      </c>
      <c r="AF433" s="24">
        <v>1</v>
      </c>
      <c r="AI433" s="24">
        <v>0</v>
      </c>
      <c r="AJ433" s="24">
        <v>0</v>
      </c>
      <c r="AK433" s="24">
        <v>0</v>
      </c>
      <c r="AL433" s="24">
        <v>0</v>
      </c>
      <c r="AM433" s="24">
        <v>0</v>
      </c>
      <c r="AN433" s="24">
        <v>0</v>
      </c>
      <c r="AP433" s="24">
        <v>1</v>
      </c>
      <c r="AQ433" s="24">
        <v>1</v>
      </c>
      <c r="AR433" s="24">
        <v>0</v>
      </c>
      <c r="AS433" s="24">
        <v>0</v>
      </c>
      <c r="BD433" s="25"/>
      <c r="BE433" s="25">
        <v>240</v>
      </c>
      <c r="BG433" s="24">
        <v>2</v>
      </c>
      <c r="BL433" s="7">
        <v>0</v>
      </c>
    </row>
    <row r="434" spans="1:65" s="24" customFormat="1">
      <c r="A434" s="24">
        <v>111007</v>
      </c>
      <c r="B434" s="24" t="s">
        <v>3304</v>
      </c>
      <c r="C434" s="7" t="s">
        <v>534</v>
      </c>
      <c r="D434" s="7" t="s">
        <v>535</v>
      </c>
      <c r="E434" s="24">
        <v>1</v>
      </c>
      <c r="F434" s="24" t="s">
        <v>959</v>
      </c>
      <c r="G434" s="24">
        <v>0</v>
      </c>
      <c r="H434" s="24">
        <v>0</v>
      </c>
      <c r="I434" s="24">
        <v>99999</v>
      </c>
      <c r="J434" s="24">
        <v>0</v>
      </c>
      <c r="K434" s="24">
        <v>0</v>
      </c>
      <c r="L434" s="24" t="s">
        <v>1562</v>
      </c>
      <c r="M434" s="24">
        <v>99</v>
      </c>
      <c r="N434" s="25">
        <v>0</v>
      </c>
      <c r="Q434" s="24">
        <v>0</v>
      </c>
      <c r="S434" s="24">
        <v>1</v>
      </c>
      <c r="T434" s="24">
        <v>3</v>
      </c>
      <c r="V434" s="24">
        <v>1</v>
      </c>
      <c r="W434" s="24">
        <v>1</v>
      </c>
      <c r="X434" s="31"/>
      <c r="Y434" s="24" t="s">
        <v>1989</v>
      </c>
      <c r="Z434" s="24" t="s">
        <v>2672</v>
      </c>
      <c r="AA434" s="1" t="s">
        <v>3307</v>
      </c>
      <c r="AB434" s="24">
        <v>0</v>
      </c>
      <c r="AC434" s="24">
        <v>13</v>
      </c>
      <c r="AD434" s="24">
        <v>0</v>
      </c>
      <c r="AE434" s="24">
        <v>0</v>
      </c>
      <c r="AF434" s="24">
        <v>1</v>
      </c>
      <c r="AI434" s="24">
        <v>0</v>
      </c>
      <c r="AJ434" s="24">
        <v>0</v>
      </c>
      <c r="AK434" s="24">
        <v>0</v>
      </c>
      <c r="AL434" s="24">
        <v>0</v>
      </c>
      <c r="AM434" s="24">
        <v>0</v>
      </c>
      <c r="AN434" s="24">
        <v>0</v>
      </c>
      <c r="AP434" s="24">
        <v>1</v>
      </c>
      <c r="AQ434" s="24">
        <v>1</v>
      </c>
      <c r="AR434" s="24">
        <v>0</v>
      </c>
      <c r="AS434" s="24">
        <v>0</v>
      </c>
      <c r="BD434" s="25"/>
      <c r="BE434" s="25">
        <v>240</v>
      </c>
      <c r="BG434" s="24">
        <v>2</v>
      </c>
      <c r="BL434" s="7">
        <v>0</v>
      </c>
    </row>
    <row r="435" spans="1:65" s="24" customFormat="1">
      <c r="A435" s="24">
        <v>111008</v>
      </c>
      <c r="B435" s="24" t="s">
        <v>3336</v>
      </c>
      <c r="C435" s="7" t="s">
        <v>534</v>
      </c>
      <c r="D435" s="7" t="s">
        <v>535</v>
      </c>
      <c r="E435" s="24">
        <v>1</v>
      </c>
      <c r="F435" s="24" t="s">
        <v>959</v>
      </c>
      <c r="G435" s="24">
        <v>0</v>
      </c>
      <c r="H435" s="24">
        <v>0</v>
      </c>
      <c r="I435" s="24">
        <v>99999</v>
      </c>
      <c r="J435" s="24">
        <v>0</v>
      </c>
      <c r="K435" s="24">
        <v>0</v>
      </c>
      <c r="L435" s="24" t="s">
        <v>1562</v>
      </c>
      <c r="M435" s="24">
        <v>500</v>
      </c>
      <c r="N435" s="25">
        <v>0</v>
      </c>
      <c r="Q435" s="24">
        <v>0</v>
      </c>
      <c r="S435" s="24">
        <v>1</v>
      </c>
      <c r="T435" s="24">
        <v>3</v>
      </c>
      <c r="V435" s="24">
        <v>1</v>
      </c>
      <c r="W435" s="24">
        <v>1</v>
      </c>
      <c r="X435" s="31"/>
      <c r="Y435" s="24" t="s">
        <v>3384</v>
      </c>
      <c r="Z435" s="24" t="s">
        <v>3466</v>
      </c>
      <c r="AA435" s="1" t="s">
        <v>3385</v>
      </c>
      <c r="AB435" s="24">
        <v>0</v>
      </c>
      <c r="AC435" s="24">
        <v>13</v>
      </c>
      <c r="AD435" s="24">
        <v>0</v>
      </c>
      <c r="AE435" s="24">
        <v>0</v>
      </c>
      <c r="AF435" s="24">
        <v>1</v>
      </c>
      <c r="AI435" s="24">
        <v>0</v>
      </c>
      <c r="AJ435" s="24">
        <v>0</v>
      </c>
      <c r="AK435" s="24">
        <v>0</v>
      </c>
      <c r="AL435" s="24">
        <v>0</v>
      </c>
      <c r="AM435" s="24">
        <v>0</v>
      </c>
      <c r="AN435" s="24">
        <v>0</v>
      </c>
      <c r="AP435" s="24">
        <v>1</v>
      </c>
      <c r="AQ435" s="24">
        <v>1</v>
      </c>
      <c r="AR435" s="24">
        <v>0</v>
      </c>
      <c r="AS435" s="24">
        <v>0</v>
      </c>
      <c r="BD435" s="25"/>
      <c r="BE435" s="25">
        <v>240</v>
      </c>
      <c r="BG435" s="24">
        <v>2</v>
      </c>
      <c r="BL435" s="7">
        <v>0</v>
      </c>
    </row>
    <row r="436" spans="1:65" s="31" customFormat="1">
      <c r="A436" s="31">
        <v>111009</v>
      </c>
      <c r="B436" s="31" t="s">
        <v>3432</v>
      </c>
      <c r="C436" s="6" t="s">
        <v>534</v>
      </c>
      <c r="D436" s="6" t="s">
        <v>535</v>
      </c>
      <c r="E436" s="31">
        <v>1</v>
      </c>
      <c r="F436" s="31" t="s">
        <v>959</v>
      </c>
      <c r="G436" s="31">
        <v>0</v>
      </c>
      <c r="H436" s="31">
        <v>0</v>
      </c>
      <c r="I436" s="31">
        <v>99999</v>
      </c>
      <c r="J436" s="31">
        <v>0</v>
      </c>
      <c r="K436" s="31">
        <v>0</v>
      </c>
      <c r="L436" s="31" t="s">
        <v>1562</v>
      </c>
      <c r="M436" s="31">
        <v>99</v>
      </c>
      <c r="N436" s="35">
        <v>0</v>
      </c>
      <c r="Q436" s="31">
        <v>0</v>
      </c>
      <c r="S436" s="31">
        <v>1</v>
      </c>
      <c r="T436" s="31">
        <v>3</v>
      </c>
      <c r="V436" s="31">
        <v>1</v>
      </c>
      <c r="W436" s="31">
        <v>1</v>
      </c>
      <c r="Y436" s="31" t="s">
        <v>3436</v>
      </c>
      <c r="Z436" s="31" t="s">
        <v>3434</v>
      </c>
      <c r="AA436" s="47" t="s">
        <v>3437</v>
      </c>
      <c r="AB436" s="31">
        <v>0</v>
      </c>
      <c r="AC436" s="31">
        <v>13</v>
      </c>
      <c r="AD436" s="31">
        <v>0</v>
      </c>
      <c r="AE436" s="31">
        <v>0</v>
      </c>
      <c r="AF436" s="31">
        <v>1</v>
      </c>
      <c r="AI436" s="31">
        <v>0</v>
      </c>
      <c r="AJ436" s="31">
        <v>0</v>
      </c>
      <c r="AK436" s="31">
        <v>0</v>
      </c>
      <c r="AL436" s="31">
        <v>0</v>
      </c>
      <c r="AM436" s="31">
        <v>0</v>
      </c>
      <c r="AN436" s="31">
        <v>0</v>
      </c>
      <c r="AP436" s="31">
        <v>1</v>
      </c>
      <c r="AQ436" s="31">
        <v>1</v>
      </c>
      <c r="AR436" s="31">
        <v>0</v>
      </c>
      <c r="AS436" s="31">
        <v>0</v>
      </c>
      <c r="BD436" s="35"/>
      <c r="BE436" s="35">
        <v>240</v>
      </c>
      <c r="BG436" s="31">
        <v>2</v>
      </c>
      <c r="BL436" s="6">
        <v>0</v>
      </c>
    </row>
    <row r="437" spans="1:65" s="24" customFormat="1">
      <c r="A437" s="24">
        <v>111010</v>
      </c>
      <c r="B437" s="24" t="s">
        <v>3438</v>
      </c>
      <c r="C437" s="7" t="s">
        <v>534</v>
      </c>
      <c r="D437" s="7" t="s">
        <v>535</v>
      </c>
      <c r="E437" s="24">
        <v>1</v>
      </c>
      <c r="F437" s="24" t="s">
        <v>959</v>
      </c>
      <c r="G437" s="24">
        <v>0</v>
      </c>
      <c r="H437" s="24">
        <v>0</v>
      </c>
      <c r="I437" s="24">
        <v>99999</v>
      </c>
      <c r="J437" s="24">
        <v>0</v>
      </c>
      <c r="K437" s="24">
        <v>0</v>
      </c>
      <c r="L437" s="24" t="s">
        <v>1562</v>
      </c>
      <c r="M437" s="24">
        <v>99</v>
      </c>
      <c r="N437" s="25">
        <v>0</v>
      </c>
      <c r="Q437" s="24">
        <v>0</v>
      </c>
      <c r="S437" s="24">
        <v>1</v>
      </c>
      <c r="T437" s="24">
        <v>3</v>
      </c>
      <c r="V437" s="24">
        <v>1</v>
      </c>
      <c r="W437" s="24">
        <v>1</v>
      </c>
      <c r="X437" s="31"/>
      <c r="Y437" s="24" t="s">
        <v>3440</v>
      </c>
      <c r="Z437" s="24" t="s">
        <v>3439</v>
      </c>
      <c r="AA437" s="1" t="s">
        <v>3441</v>
      </c>
      <c r="AB437" s="24">
        <v>0</v>
      </c>
      <c r="AC437" s="24">
        <v>13</v>
      </c>
      <c r="AD437" s="24">
        <v>0</v>
      </c>
      <c r="AE437" s="24">
        <v>0</v>
      </c>
      <c r="AF437" s="24">
        <v>1</v>
      </c>
      <c r="AI437" s="24">
        <v>0</v>
      </c>
      <c r="AJ437" s="24">
        <v>0</v>
      </c>
      <c r="AK437" s="24">
        <v>0</v>
      </c>
      <c r="AL437" s="24">
        <v>0</v>
      </c>
      <c r="AM437" s="24">
        <v>0</v>
      </c>
      <c r="AN437" s="24">
        <v>0</v>
      </c>
      <c r="AP437" s="24">
        <v>1</v>
      </c>
      <c r="AQ437" s="24">
        <v>1</v>
      </c>
      <c r="AR437" s="24">
        <v>0</v>
      </c>
      <c r="AS437" s="24">
        <v>0</v>
      </c>
      <c r="BD437" s="25"/>
      <c r="BE437" s="25">
        <v>240</v>
      </c>
      <c r="BG437" s="24">
        <v>2</v>
      </c>
      <c r="BL437" s="7">
        <v>0</v>
      </c>
    </row>
    <row r="438" spans="1:65" s="15" customFormat="1">
      <c r="A438" s="15">
        <v>112001</v>
      </c>
      <c r="B438" s="15" t="s">
        <v>729</v>
      </c>
      <c r="C438" s="15" t="s">
        <v>525</v>
      </c>
      <c r="D438" s="15" t="s">
        <v>673</v>
      </c>
      <c r="E438" s="15">
        <v>1</v>
      </c>
      <c r="F438" s="15" t="s">
        <v>959</v>
      </c>
      <c r="G438" s="15">
        <v>0</v>
      </c>
      <c r="H438" s="15">
        <v>0</v>
      </c>
      <c r="I438" s="15">
        <v>99999</v>
      </c>
      <c r="J438" s="15">
        <v>0</v>
      </c>
      <c r="K438" s="15">
        <v>0</v>
      </c>
      <c r="L438" s="15" t="s">
        <v>1562</v>
      </c>
      <c r="M438" s="15">
        <v>99</v>
      </c>
      <c r="N438" s="7">
        <v>1</v>
      </c>
      <c r="Q438" s="15">
        <v>0</v>
      </c>
      <c r="S438" s="15">
        <v>1</v>
      </c>
      <c r="T438" s="15">
        <v>3</v>
      </c>
      <c r="V438" s="15">
        <v>1</v>
      </c>
      <c r="W438" s="15">
        <v>1</v>
      </c>
      <c r="X438" s="30"/>
      <c r="Y438" s="15" t="s">
        <v>730</v>
      </c>
      <c r="Z438" s="15" t="s">
        <v>2673</v>
      </c>
      <c r="AA438" s="15" t="s">
        <v>527</v>
      </c>
      <c r="AB438" s="15">
        <v>0</v>
      </c>
      <c r="AC438" s="15">
        <v>13</v>
      </c>
      <c r="AD438" s="15">
        <v>0</v>
      </c>
      <c r="AE438" s="15">
        <v>0</v>
      </c>
      <c r="AF438" s="15">
        <v>1</v>
      </c>
      <c r="AI438" s="15">
        <v>0</v>
      </c>
      <c r="AJ438" s="15">
        <v>0</v>
      </c>
      <c r="AK438" s="15">
        <v>0</v>
      </c>
      <c r="AL438" s="15">
        <v>0</v>
      </c>
      <c r="AM438" s="15">
        <v>0</v>
      </c>
      <c r="AN438" s="15">
        <v>0</v>
      </c>
      <c r="AP438" s="15">
        <v>1</v>
      </c>
      <c r="AR438" s="15">
        <v>0</v>
      </c>
      <c r="AS438" s="15">
        <v>0</v>
      </c>
      <c r="BD438" s="16"/>
      <c r="BE438" s="7">
        <v>240</v>
      </c>
      <c r="BL438" s="7">
        <v>0</v>
      </c>
      <c r="BM438" s="24"/>
    </row>
    <row r="439" spans="1:65" s="15" customFormat="1">
      <c r="A439" s="15">
        <v>112002</v>
      </c>
      <c r="B439" s="15" t="s">
        <v>731</v>
      </c>
      <c r="C439" s="15" t="s">
        <v>525</v>
      </c>
      <c r="D439" s="15" t="s">
        <v>673</v>
      </c>
      <c r="E439" s="15">
        <v>1</v>
      </c>
      <c r="F439" s="15" t="s">
        <v>959</v>
      </c>
      <c r="G439" s="15">
        <v>0</v>
      </c>
      <c r="H439" s="15">
        <v>0</v>
      </c>
      <c r="I439" s="15">
        <v>99999</v>
      </c>
      <c r="J439" s="15">
        <v>0</v>
      </c>
      <c r="K439" s="15">
        <v>0</v>
      </c>
      <c r="L439" s="15" t="s">
        <v>1562</v>
      </c>
      <c r="M439" s="15">
        <v>99</v>
      </c>
      <c r="N439" s="7">
        <v>1</v>
      </c>
      <c r="Q439" s="15">
        <v>0</v>
      </c>
      <c r="S439" s="15">
        <v>1</v>
      </c>
      <c r="T439" s="15">
        <v>3</v>
      </c>
      <c r="V439" s="15">
        <v>1</v>
      </c>
      <c r="W439" s="15">
        <v>1</v>
      </c>
      <c r="X439" s="30"/>
      <c r="Y439" s="15" t="s">
        <v>732</v>
      </c>
      <c r="Z439" s="15" t="s">
        <v>2673</v>
      </c>
      <c r="AA439" s="15" t="s">
        <v>527</v>
      </c>
      <c r="AB439" s="15">
        <v>0</v>
      </c>
      <c r="AC439" s="15">
        <v>13</v>
      </c>
      <c r="AD439" s="15">
        <v>0</v>
      </c>
      <c r="AE439" s="15">
        <v>0</v>
      </c>
      <c r="AF439" s="15">
        <v>1</v>
      </c>
      <c r="AI439" s="15">
        <v>0</v>
      </c>
      <c r="AJ439" s="15">
        <v>0</v>
      </c>
      <c r="AK439" s="15">
        <v>0</v>
      </c>
      <c r="AL439" s="15">
        <v>0</v>
      </c>
      <c r="AM439" s="15">
        <v>0</v>
      </c>
      <c r="AN439" s="15">
        <v>0</v>
      </c>
      <c r="AP439" s="15">
        <v>1</v>
      </c>
      <c r="AR439" s="15">
        <v>0</v>
      </c>
      <c r="AS439" s="15">
        <v>0</v>
      </c>
      <c r="BD439" s="16"/>
      <c r="BE439" s="7">
        <v>240</v>
      </c>
      <c r="BL439" s="7">
        <v>0</v>
      </c>
      <c r="BM439" s="24"/>
    </row>
    <row r="440" spans="1:65" s="15" customFormat="1">
      <c r="A440" s="15">
        <v>112003</v>
      </c>
      <c r="B440" s="15" t="s">
        <v>733</v>
      </c>
      <c r="C440" s="15" t="s">
        <v>525</v>
      </c>
      <c r="D440" s="15" t="s">
        <v>673</v>
      </c>
      <c r="E440" s="15">
        <v>1</v>
      </c>
      <c r="F440" s="15" t="s">
        <v>959</v>
      </c>
      <c r="G440" s="15">
        <v>0</v>
      </c>
      <c r="H440" s="15">
        <v>0</v>
      </c>
      <c r="I440" s="15">
        <v>99999</v>
      </c>
      <c r="J440" s="15">
        <v>0</v>
      </c>
      <c r="K440" s="15">
        <v>0</v>
      </c>
      <c r="L440" s="15" t="s">
        <v>1562</v>
      </c>
      <c r="M440" s="15">
        <v>99</v>
      </c>
      <c r="N440" s="7">
        <v>1</v>
      </c>
      <c r="Q440" s="15">
        <v>0</v>
      </c>
      <c r="S440" s="15">
        <v>1</v>
      </c>
      <c r="T440" s="15">
        <v>3</v>
      </c>
      <c r="V440" s="15">
        <v>1</v>
      </c>
      <c r="W440" s="15">
        <v>1</v>
      </c>
      <c r="X440" s="30"/>
      <c r="Y440" s="15" t="s">
        <v>734</v>
      </c>
      <c r="Z440" s="15" t="s">
        <v>2673</v>
      </c>
      <c r="AA440" s="15" t="s">
        <v>527</v>
      </c>
      <c r="AB440" s="15">
        <v>0</v>
      </c>
      <c r="AC440" s="15">
        <v>13</v>
      </c>
      <c r="AD440" s="15">
        <v>0</v>
      </c>
      <c r="AE440" s="15">
        <v>0</v>
      </c>
      <c r="AF440" s="15">
        <v>1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P440" s="15">
        <v>1</v>
      </c>
      <c r="AR440" s="15">
        <v>0</v>
      </c>
      <c r="AS440" s="15">
        <v>0</v>
      </c>
      <c r="BD440" s="16"/>
      <c r="BE440" s="7">
        <v>240</v>
      </c>
      <c r="BL440" s="7">
        <v>0</v>
      </c>
      <c r="BM440" s="24"/>
    </row>
    <row r="441" spans="1:65" s="15" customFormat="1">
      <c r="A441" s="15">
        <v>113001</v>
      </c>
      <c r="B441" s="15" t="s">
        <v>735</v>
      </c>
      <c r="C441" s="15" t="s">
        <v>525</v>
      </c>
      <c r="D441" s="15" t="s">
        <v>673</v>
      </c>
      <c r="E441" s="15">
        <v>1</v>
      </c>
      <c r="F441" s="15" t="s">
        <v>959</v>
      </c>
      <c r="G441" s="15">
        <v>0</v>
      </c>
      <c r="H441" s="15">
        <v>0</v>
      </c>
      <c r="I441" s="15">
        <v>99999</v>
      </c>
      <c r="J441" s="15">
        <v>0</v>
      </c>
      <c r="K441" s="15">
        <v>3</v>
      </c>
      <c r="L441" s="15" t="s">
        <v>1562</v>
      </c>
      <c r="M441" s="15">
        <v>99</v>
      </c>
      <c r="N441" s="7">
        <v>1</v>
      </c>
      <c r="Q441" s="15">
        <v>0</v>
      </c>
      <c r="S441" s="15">
        <v>1</v>
      </c>
      <c r="T441" s="15">
        <v>3</v>
      </c>
      <c r="V441" s="15">
        <v>1</v>
      </c>
      <c r="W441" s="15">
        <v>1</v>
      </c>
      <c r="X441" s="30"/>
      <c r="Y441" s="15" t="s">
        <v>720</v>
      </c>
      <c r="Z441" s="15" t="s">
        <v>2667</v>
      </c>
      <c r="AA441" s="15" t="s">
        <v>527</v>
      </c>
      <c r="AB441" s="15">
        <v>0</v>
      </c>
      <c r="AC441" s="15">
        <v>13</v>
      </c>
      <c r="AD441" s="15">
        <v>0</v>
      </c>
      <c r="AE441" s="15">
        <v>0</v>
      </c>
      <c r="AF441" s="15">
        <v>1</v>
      </c>
      <c r="AI441" s="15">
        <v>0</v>
      </c>
      <c r="AJ441" s="15">
        <v>0</v>
      </c>
      <c r="AK441" s="15">
        <v>0</v>
      </c>
      <c r="AL441" s="15">
        <v>0</v>
      </c>
      <c r="AM441" s="15">
        <v>0</v>
      </c>
      <c r="AN441" s="15">
        <v>0</v>
      </c>
      <c r="AP441" s="15">
        <v>1</v>
      </c>
      <c r="AR441" s="15">
        <v>0</v>
      </c>
      <c r="AS441" s="15">
        <v>0</v>
      </c>
      <c r="BD441" s="16"/>
      <c r="BE441" s="7">
        <v>240</v>
      </c>
      <c r="BL441" s="7">
        <v>0</v>
      </c>
      <c r="BM441" s="24"/>
    </row>
    <row r="442" spans="1:65" s="15" customFormat="1">
      <c r="A442" s="15">
        <v>113002</v>
      </c>
      <c r="B442" s="15" t="s">
        <v>736</v>
      </c>
      <c r="C442" s="15" t="s">
        <v>525</v>
      </c>
      <c r="D442" s="15" t="s">
        <v>673</v>
      </c>
      <c r="E442" s="15">
        <v>1</v>
      </c>
      <c r="F442" s="15" t="s">
        <v>959</v>
      </c>
      <c r="G442" s="15">
        <v>0</v>
      </c>
      <c r="H442" s="15">
        <v>0</v>
      </c>
      <c r="I442" s="15">
        <v>99999</v>
      </c>
      <c r="J442" s="15">
        <v>0</v>
      </c>
      <c r="K442" s="15">
        <v>3</v>
      </c>
      <c r="L442" s="15" t="s">
        <v>1562</v>
      </c>
      <c r="M442" s="15">
        <v>99</v>
      </c>
      <c r="N442" s="7">
        <v>1</v>
      </c>
      <c r="Q442" s="15">
        <v>0</v>
      </c>
      <c r="S442" s="15">
        <v>1</v>
      </c>
      <c r="T442" s="15">
        <v>3</v>
      </c>
      <c r="V442" s="15">
        <v>1</v>
      </c>
      <c r="W442" s="15">
        <v>1</v>
      </c>
      <c r="X442" s="30"/>
      <c r="Y442" s="15" t="s">
        <v>722</v>
      </c>
      <c r="Z442" s="15" t="s">
        <v>2668</v>
      </c>
      <c r="AA442" s="15" t="s">
        <v>527</v>
      </c>
      <c r="AB442" s="15">
        <v>0</v>
      </c>
      <c r="AC442" s="15">
        <v>13</v>
      </c>
      <c r="AD442" s="15">
        <v>0</v>
      </c>
      <c r="AE442" s="15">
        <v>0</v>
      </c>
      <c r="AF442" s="15">
        <v>1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P442" s="15">
        <v>1</v>
      </c>
      <c r="AR442" s="15">
        <v>0</v>
      </c>
      <c r="AS442" s="15">
        <v>0</v>
      </c>
      <c r="BD442" s="16"/>
      <c r="BE442" s="7">
        <v>240</v>
      </c>
      <c r="BL442" s="7">
        <v>0</v>
      </c>
      <c r="BM442" s="24"/>
    </row>
    <row r="443" spans="1:65" s="15" customFormat="1">
      <c r="A443" s="15">
        <v>113003</v>
      </c>
      <c r="B443" s="15" t="s">
        <v>737</v>
      </c>
      <c r="C443" s="15" t="s">
        <v>525</v>
      </c>
      <c r="D443" s="15" t="s">
        <v>673</v>
      </c>
      <c r="E443" s="15">
        <v>1</v>
      </c>
      <c r="F443" s="15" t="s">
        <v>959</v>
      </c>
      <c r="G443" s="15">
        <v>0</v>
      </c>
      <c r="H443" s="15">
        <v>0</v>
      </c>
      <c r="I443" s="15">
        <v>99999</v>
      </c>
      <c r="J443" s="15">
        <v>0</v>
      </c>
      <c r="K443" s="15">
        <v>3</v>
      </c>
      <c r="L443" s="15" t="s">
        <v>1562</v>
      </c>
      <c r="M443" s="15">
        <v>99</v>
      </c>
      <c r="N443" s="7">
        <v>1</v>
      </c>
      <c r="Q443" s="15">
        <v>0</v>
      </c>
      <c r="S443" s="15">
        <v>1</v>
      </c>
      <c r="T443" s="15">
        <v>3</v>
      </c>
      <c r="V443" s="15">
        <v>1</v>
      </c>
      <c r="W443" s="15">
        <v>1</v>
      </c>
      <c r="X443" s="30"/>
      <c r="Y443" s="15" t="s">
        <v>724</v>
      </c>
      <c r="Z443" s="15" t="s">
        <v>2669</v>
      </c>
      <c r="AA443" s="15" t="s">
        <v>527</v>
      </c>
      <c r="AB443" s="15">
        <v>0</v>
      </c>
      <c r="AC443" s="15">
        <v>13</v>
      </c>
      <c r="AD443" s="15">
        <v>0</v>
      </c>
      <c r="AE443" s="15">
        <v>0</v>
      </c>
      <c r="AF443" s="15">
        <v>1</v>
      </c>
      <c r="AI443" s="15">
        <v>0</v>
      </c>
      <c r="AJ443" s="15">
        <v>0</v>
      </c>
      <c r="AK443" s="15">
        <v>0</v>
      </c>
      <c r="AL443" s="15">
        <v>0</v>
      </c>
      <c r="AM443" s="15">
        <v>0</v>
      </c>
      <c r="AN443" s="15">
        <v>0</v>
      </c>
      <c r="AP443" s="15">
        <v>1</v>
      </c>
      <c r="AR443" s="15">
        <v>0</v>
      </c>
      <c r="AS443" s="15">
        <v>0</v>
      </c>
      <c r="BD443" s="16"/>
      <c r="BE443" s="7">
        <v>240</v>
      </c>
      <c r="BL443" s="7">
        <v>0</v>
      </c>
      <c r="BM443" s="24"/>
    </row>
    <row r="444" spans="1:65" s="15" customFormat="1">
      <c r="A444" s="15">
        <v>113004</v>
      </c>
      <c r="B444" s="15" t="s">
        <v>738</v>
      </c>
      <c r="C444" s="15" t="s">
        <v>525</v>
      </c>
      <c r="D444" s="15" t="s">
        <v>673</v>
      </c>
      <c r="E444" s="15">
        <v>1</v>
      </c>
      <c r="F444" s="15" t="s">
        <v>959</v>
      </c>
      <c r="G444" s="15">
        <v>0</v>
      </c>
      <c r="H444" s="15">
        <v>0</v>
      </c>
      <c r="I444" s="15">
        <v>99999</v>
      </c>
      <c r="J444" s="15">
        <v>0</v>
      </c>
      <c r="K444" s="15">
        <v>3</v>
      </c>
      <c r="L444" s="15" t="s">
        <v>1562</v>
      </c>
      <c r="M444" s="15">
        <v>99</v>
      </c>
      <c r="N444" s="7">
        <v>1</v>
      </c>
      <c r="Q444" s="15">
        <v>0</v>
      </c>
      <c r="S444" s="15">
        <v>1</v>
      </c>
      <c r="T444" s="15">
        <v>3</v>
      </c>
      <c r="V444" s="15">
        <v>1</v>
      </c>
      <c r="W444" s="15">
        <v>1</v>
      </c>
      <c r="X444" s="30"/>
      <c r="Y444" s="15" t="s">
        <v>726</v>
      </c>
      <c r="Z444" s="15" t="s">
        <v>2670</v>
      </c>
      <c r="AA444" s="15" t="s">
        <v>527</v>
      </c>
      <c r="AB444" s="15">
        <v>0</v>
      </c>
      <c r="AC444" s="15">
        <v>13</v>
      </c>
      <c r="AD444" s="15">
        <v>0</v>
      </c>
      <c r="AE444" s="15">
        <v>0</v>
      </c>
      <c r="AF444" s="15">
        <v>1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P444" s="15">
        <v>1</v>
      </c>
      <c r="AR444" s="15">
        <v>0</v>
      </c>
      <c r="AS444" s="15">
        <v>0</v>
      </c>
      <c r="BD444" s="16"/>
      <c r="BE444" s="7">
        <v>240</v>
      </c>
      <c r="BL444" s="7">
        <v>0</v>
      </c>
      <c r="BM444" s="24"/>
    </row>
    <row r="445" spans="1:65" s="15" customFormat="1">
      <c r="A445" s="15">
        <v>113005</v>
      </c>
      <c r="B445" s="15" t="s">
        <v>739</v>
      </c>
      <c r="C445" s="15" t="s">
        <v>525</v>
      </c>
      <c r="D445" s="15" t="s">
        <v>673</v>
      </c>
      <c r="E445" s="15">
        <v>1</v>
      </c>
      <c r="F445" s="15" t="s">
        <v>959</v>
      </c>
      <c r="G445" s="15">
        <v>0</v>
      </c>
      <c r="H445" s="15">
        <v>0</v>
      </c>
      <c r="I445" s="15">
        <v>99999</v>
      </c>
      <c r="J445" s="15">
        <v>0</v>
      </c>
      <c r="K445" s="15">
        <v>3</v>
      </c>
      <c r="L445" s="15" t="s">
        <v>1562</v>
      </c>
      <c r="M445" s="15">
        <v>99</v>
      </c>
      <c r="N445" s="7">
        <v>1</v>
      </c>
      <c r="Q445" s="15">
        <v>0</v>
      </c>
      <c r="S445" s="15">
        <v>1</v>
      </c>
      <c r="T445" s="15">
        <v>3</v>
      </c>
      <c r="V445" s="15">
        <v>1</v>
      </c>
      <c r="W445" s="15">
        <v>1</v>
      </c>
      <c r="X445" s="30"/>
      <c r="Y445" s="15" t="s">
        <v>728</v>
      </c>
      <c r="Z445" s="15" t="s">
        <v>2671</v>
      </c>
      <c r="AA445" s="15" t="s">
        <v>527</v>
      </c>
      <c r="AB445" s="15">
        <v>0</v>
      </c>
      <c r="AC445" s="15">
        <v>13</v>
      </c>
      <c r="AD445" s="15">
        <v>0</v>
      </c>
      <c r="AE445" s="15">
        <v>0</v>
      </c>
      <c r="AF445" s="15">
        <v>1</v>
      </c>
      <c r="AI445" s="15">
        <v>0</v>
      </c>
      <c r="AJ445" s="15">
        <v>0</v>
      </c>
      <c r="AK445" s="15">
        <v>0</v>
      </c>
      <c r="AL445" s="15">
        <v>0</v>
      </c>
      <c r="AM445" s="15">
        <v>0</v>
      </c>
      <c r="AN445" s="15">
        <v>0</v>
      </c>
      <c r="AP445" s="15">
        <v>1</v>
      </c>
      <c r="AR445" s="15">
        <v>0</v>
      </c>
      <c r="AS445" s="15">
        <v>0</v>
      </c>
      <c r="BD445" s="16"/>
      <c r="BE445" s="7">
        <v>240</v>
      </c>
      <c r="BL445" s="7">
        <v>0</v>
      </c>
      <c r="BM445" s="24"/>
    </row>
    <row r="446" spans="1:65" s="7" customFormat="1">
      <c r="A446" s="7">
        <v>114000</v>
      </c>
      <c r="B446" s="7" t="s">
        <v>1982</v>
      </c>
      <c r="C446" s="7" t="s">
        <v>534</v>
      </c>
      <c r="D446" s="7" t="s">
        <v>535</v>
      </c>
      <c r="E446" s="7">
        <v>1</v>
      </c>
      <c r="F446" s="7" t="s">
        <v>959</v>
      </c>
      <c r="G446" s="7">
        <v>0</v>
      </c>
      <c r="H446" s="7">
        <v>0</v>
      </c>
      <c r="I446" s="7">
        <v>99999</v>
      </c>
      <c r="J446" s="7">
        <v>0</v>
      </c>
      <c r="K446" s="7">
        <v>0</v>
      </c>
      <c r="L446" s="24" t="s">
        <v>1562</v>
      </c>
      <c r="M446" s="7">
        <v>99</v>
      </c>
      <c r="N446" s="7">
        <v>1</v>
      </c>
      <c r="Q446" s="7">
        <v>0</v>
      </c>
      <c r="S446" s="7">
        <v>100</v>
      </c>
      <c r="T446" s="7">
        <v>3</v>
      </c>
      <c r="V446" s="7">
        <v>1</v>
      </c>
      <c r="W446" s="7">
        <v>1</v>
      </c>
      <c r="X446" s="6"/>
      <c r="Y446" s="7" t="s">
        <v>1983</v>
      </c>
      <c r="Z446" s="7" t="s">
        <v>2674</v>
      </c>
      <c r="AA446" s="1" t="s">
        <v>1995</v>
      </c>
      <c r="AB446" s="7">
        <v>0</v>
      </c>
      <c r="AC446" s="7">
        <v>13</v>
      </c>
      <c r="AD446" s="7">
        <v>0</v>
      </c>
      <c r="AE446" s="7">
        <v>0</v>
      </c>
      <c r="AF446" s="7">
        <v>1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P446" s="7">
        <v>0</v>
      </c>
      <c r="AQ446" s="7">
        <v>1</v>
      </c>
      <c r="AR446" s="7">
        <v>0</v>
      </c>
      <c r="AS446" s="7">
        <v>0</v>
      </c>
      <c r="BE446" s="7">
        <v>240</v>
      </c>
      <c r="BG446" s="7">
        <v>2</v>
      </c>
      <c r="BL446" s="7">
        <v>0</v>
      </c>
    </row>
    <row r="447" spans="1:65">
      <c r="A447">
        <v>114003</v>
      </c>
      <c r="B447" t="s">
        <v>1585</v>
      </c>
      <c r="C447" t="s">
        <v>525</v>
      </c>
      <c r="D447" t="s">
        <v>526</v>
      </c>
      <c r="E447">
        <v>1</v>
      </c>
      <c r="F447" t="s">
        <v>959</v>
      </c>
      <c r="G447">
        <v>0</v>
      </c>
      <c r="H447">
        <v>0</v>
      </c>
      <c r="I447">
        <v>99999</v>
      </c>
      <c r="J447">
        <v>0</v>
      </c>
      <c r="K447">
        <v>0</v>
      </c>
      <c r="L447" s="7" t="s">
        <v>1567</v>
      </c>
      <c r="M447">
        <v>3</v>
      </c>
      <c r="N447" s="7">
        <v>4</v>
      </c>
      <c r="Q447">
        <v>0</v>
      </c>
      <c r="S447">
        <v>200</v>
      </c>
      <c r="T447">
        <v>3</v>
      </c>
      <c r="V447">
        <v>1</v>
      </c>
      <c r="W447">
        <v>1</v>
      </c>
      <c r="Y447" t="s">
        <v>1580</v>
      </c>
      <c r="Z447" t="s">
        <v>3086</v>
      </c>
      <c r="AA447" s="7" t="s">
        <v>1638</v>
      </c>
      <c r="AB447">
        <v>0</v>
      </c>
      <c r="AC447">
        <v>13</v>
      </c>
      <c r="AD447">
        <v>0</v>
      </c>
      <c r="AE447">
        <v>0</v>
      </c>
      <c r="AF447">
        <v>1</v>
      </c>
      <c r="AI447">
        <v>0</v>
      </c>
      <c r="AJ447">
        <v>0</v>
      </c>
      <c r="AK447" s="7">
        <v>0</v>
      </c>
      <c r="AL447" s="7">
        <v>0</v>
      </c>
      <c r="AM447" s="7">
        <v>0</v>
      </c>
      <c r="AN447" s="7">
        <v>0</v>
      </c>
      <c r="AP447">
        <v>0</v>
      </c>
      <c r="AQ447" s="7">
        <v>1</v>
      </c>
      <c r="AR447" s="7">
        <v>0</v>
      </c>
      <c r="AS447" s="7">
        <v>0</v>
      </c>
      <c r="BD447" s="7"/>
      <c r="BE447" s="7">
        <v>240</v>
      </c>
      <c r="BF447">
        <v>116003</v>
      </c>
      <c r="BG447" s="7">
        <v>2</v>
      </c>
      <c r="BL447" s="7">
        <v>0</v>
      </c>
      <c r="BM447" s="24">
        <v>1</v>
      </c>
    </row>
    <row r="448" spans="1:65">
      <c r="A448">
        <v>114004</v>
      </c>
      <c r="B448" t="s">
        <v>1586</v>
      </c>
      <c r="C448" t="s">
        <v>525</v>
      </c>
      <c r="D448" t="s">
        <v>526</v>
      </c>
      <c r="E448">
        <v>1</v>
      </c>
      <c r="F448" t="s">
        <v>959</v>
      </c>
      <c r="G448">
        <v>0</v>
      </c>
      <c r="H448">
        <v>0</v>
      </c>
      <c r="I448">
        <v>99999</v>
      </c>
      <c r="J448">
        <v>0</v>
      </c>
      <c r="K448">
        <v>0</v>
      </c>
      <c r="L448" s="7" t="s">
        <v>1567</v>
      </c>
      <c r="M448">
        <v>4</v>
      </c>
      <c r="N448" s="7">
        <v>4</v>
      </c>
      <c r="Q448">
        <v>0</v>
      </c>
      <c r="S448">
        <v>240</v>
      </c>
      <c r="T448">
        <v>3</v>
      </c>
      <c r="V448">
        <v>1</v>
      </c>
      <c r="W448">
        <v>1</v>
      </c>
      <c r="Y448" t="s">
        <v>1580</v>
      </c>
      <c r="Z448" s="7" t="s">
        <v>3086</v>
      </c>
      <c r="AA448" s="7" t="s">
        <v>1638</v>
      </c>
      <c r="AB448">
        <v>0</v>
      </c>
      <c r="AC448">
        <v>13</v>
      </c>
      <c r="AD448">
        <v>0</v>
      </c>
      <c r="AE448">
        <v>0</v>
      </c>
      <c r="AF448">
        <v>1</v>
      </c>
      <c r="AI448">
        <v>0</v>
      </c>
      <c r="AJ448">
        <v>0</v>
      </c>
      <c r="AK448" s="7">
        <v>0</v>
      </c>
      <c r="AL448" s="7">
        <v>0</v>
      </c>
      <c r="AM448" s="7">
        <v>0</v>
      </c>
      <c r="AN448" s="7">
        <v>0</v>
      </c>
      <c r="AP448">
        <v>0</v>
      </c>
      <c r="AQ448" s="7">
        <v>1</v>
      </c>
      <c r="AR448" s="7">
        <v>0</v>
      </c>
      <c r="AS448" s="7">
        <v>0</v>
      </c>
      <c r="BD448" s="7"/>
      <c r="BE448" s="7">
        <v>240</v>
      </c>
      <c r="BF448">
        <v>116004</v>
      </c>
      <c r="BG448" s="7">
        <v>2</v>
      </c>
      <c r="BL448" s="7">
        <v>0</v>
      </c>
      <c r="BM448" s="24">
        <v>1</v>
      </c>
    </row>
    <row r="449" spans="1:65">
      <c r="A449" s="7">
        <v>114005</v>
      </c>
      <c r="B449" s="7" t="s">
        <v>1587</v>
      </c>
      <c r="C449" s="7" t="s">
        <v>525</v>
      </c>
      <c r="D449" s="7" t="s">
        <v>526</v>
      </c>
      <c r="E449" s="7">
        <v>1</v>
      </c>
      <c r="F449" s="7" t="s">
        <v>959</v>
      </c>
      <c r="G449" s="7">
        <v>0</v>
      </c>
      <c r="H449" s="7">
        <v>0</v>
      </c>
      <c r="I449" s="7">
        <v>99999</v>
      </c>
      <c r="J449" s="7">
        <v>0</v>
      </c>
      <c r="K449" s="7">
        <v>0</v>
      </c>
      <c r="L449" s="7" t="s">
        <v>1567</v>
      </c>
      <c r="M449" s="7">
        <v>5</v>
      </c>
      <c r="N449" s="7">
        <v>4</v>
      </c>
      <c r="O449" s="7"/>
      <c r="P449" s="7"/>
      <c r="Q449" s="7">
        <v>0</v>
      </c>
      <c r="R449" s="7"/>
      <c r="S449" s="7">
        <v>280</v>
      </c>
      <c r="T449" s="7">
        <v>3</v>
      </c>
      <c r="V449" s="7">
        <v>1</v>
      </c>
      <c r="W449" s="7">
        <v>1</v>
      </c>
      <c r="Y449" s="7" t="s">
        <v>1580</v>
      </c>
      <c r="Z449" s="7" t="s">
        <v>3086</v>
      </c>
      <c r="AA449" s="7" t="s">
        <v>1638</v>
      </c>
      <c r="AB449" s="7">
        <v>0</v>
      </c>
      <c r="AC449" s="7">
        <v>13</v>
      </c>
      <c r="AD449" s="7">
        <v>0</v>
      </c>
      <c r="AE449" s="7">
        <v>0</v>
      </c>
      <c r="AF449" s="7">
        <v>1</v>
      </c>
      <c r="AG449" s="7"/>
      <c r="AH449" s="7"/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P449" s="7">
        <v>0</v>
      </c>
      <c r="AQ449" s="7">
        <v>1</v>
      </c>
      <c r="AR449" s="7">
        <v>0</v>
      </c>
      <c r="AS449" s="7">
        <v>0</v>
      </c>
      <c r="AT449" s="7"/>
      <c r="AU449" s="7"/>
      <c r="AW449" s="7"/>
      <c r="AY449" s="7"/>
      <c r="BB449" s="7"/>
      <c r="BC449" s="7"/>
      <c r="BD449" s="7"/>
      <c r="BE449" s="7">
        <v>240</v>
      </c>
      <c r="BF449">
        <v>116005</v>
      </c>
      <c r="BG449" s="7">
        <v>2</v>
      </c>
      <c r="BL449" s="7">
        <v>0</v>
      </c>
      <c r="BM449" s="24">
        <v>1</v>
      </c>
    </row>
    <row r="450" spans="1:65">
      <c r="A450" s="7">
        <v>114006</v>
      </c>
      <c r="B450" s="7" t="s">
        <v>1588</v>
      </c>
      <c r="C450" s="7" t="s">
        <v>525</v>
      </c>
      <c r="D450" s="7" t="s">
        <v>526</v>
      </c>
      <c r="E450" s="7">
        <v>1</v>
      </c>
      <c r="F450" s="7" t="s">
        <v>959</v>
      </c>
      <c r="G450" s="7">
        <v>0</v>
      </c>
      <c r="H450" s="7">
        <v>0</v>
      </c>
      <c r="I450" s="7">
        <v>99999</v>
      </c>
      <c r="J450" s="7">
        <v>0</v>
      </c>
      <c r="K450" s="7">
        <v>0</v>
      </c>
      <c r="L450" s="7" t="s">
        <v>1567</v>
      </c>
      <c r="M450" s="7">
        <v>6</v>
      </c>
      <c r="N450" s="7">
        <v>4</v>
      </c>
      <c r="O450" s="7"/>
      <c r="P450" s="7"/>
      <c r="Q450" s="7">
        <v>0</v>
      </c>
      <c r="R450" s="7"/>
      <c r="S450" s="7">
        <v>320</v>
      </c>
      <c r="T450" s="7">
        <v>3</v>
      </c>
      <c r="V450" s="7">
        <v>1</v>
      </c>
      <c r="W450" s="7">
        <v>1</v>
      </c>
      <c r="Y450" s="7" t="s">
        <v>1580</v>
      </c>
      <c r="Z450" s="7" t="s">
        <v>3086</v>
      </c>
      <c r="AA450" s="7" t="s">
        <v>1638</v>
      </c>
      <c r="AB450" s="7">
        <v>0</v>
      </c>
      <c r="AC450" s="7">
        <v>13</v>
      </c>
      <c r="AD450" s="7">
        <v>0</v>
      </c>
      <c r="AE450" s="7">
        <v>0</v>
      </c>
      <c r="AF450" s="7">
        <v>1</v>
      </c>
      <c r="AG450" s="7"/>
      <c r="AH450" s="7"/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P450" s="7">
        <v>0</v>
      </c>
      <c r="AQ450" s="7">
        <v>1</v>
      </c>
      <c r="AR450" s="7">
        <v>0</v>
      </c>
      <c r="AS450" s="7">
        <v>0</v>
      </c>
      <c r="AT450" s="7"/>
      <c r="AU450" s="7"/>
      <c r="AW450" s="7"/>
      <c r="AY450" s="7"/>
      <c r="BB450" s="7"/>
      <c r="BC450" s="7"/>
      <c r="BD450" s="7"/>
      <c r="BE450" s="7">
        <v>240</v>
      </c>
      <c r="BF450">
        <v>116006</v>
      </c>
      <c r="BG450" s="7">
        <v>2</v>
      </c>
      <c r="BL450" s="7">
        <v>0</v>
      </c>
      <c r="BM450" s="24">
        <v>1</v>
      </c>
    </row>
    <row r="451" spans="1:65">
      <c r="A451" s="7">
        <v>114007</v>
      </c>
      <c r="B451" s="7" t="s">
        <v>1589</v>
      </c>
      <c r="C451" s="7" t="s">
        <v>525</v>
      </c>
      <c r="D451" s="7" t="s">
        <v>526</v>
      </c>
      <c r="E451" s="7">
        <v>1</v>
      </c>
      <c r="F451" s="7" t="s">
        <v>959</v>
      </c>
      <c r="G451" s="7">
        <v>0</v>
      </c>
      <c r="H451" s="7">
        <v>0</v>
      </c>
      <c r="I451" s="7">
        <v>99999</v>
      </c>
      <c r="J451" s="7">
        <v>0</v>
      </c>
      <c r="K451" s="7">
        <v>0</v>
      </c>
      <c r="L451" s="7" t="s">
        <v>1567</v>
      </c>
      <c r="M451" s="7">
        <v>7</v>
      </c>
      <c r="N451" s="7">
        <v>4</v>
      </c>
      <c r="O451" s="7"/>
      <c r="P451" s="7"/>
      <c r="Q451" s="7">
        <v>0</v>
      </c>
      <c r="R451" s="7"/>
      <c r="S451" s="7">
        <v>360</v>
      </c>
      <c r="T451" s="7">
        <v>3</v>
      </c>
      <c r="V451" s="7">
        <v>1</v>
      </c>
      <c r="W451" s="7">
        <v>1</v>
      </c>
      <c r="Y451" s="7" t="s">
        <v>1580</v>
      </c>
      <c r="Z451" s="7" t="s">
        <v>3086</v>
      </c>
      <c r="AA451" s="7" t="s">
        <v>1638</v>
      </c>
      <c r="AB451" s="7">
        <v>0</v>
      </c>
      <c r="AC451" s="7">
        <v>13</v>
      </c>
      <c r="AD451" s="7">
        <v>0</v>
      </c>
      <c r="AE451" s="7">
        <v>0</v>
      </c>
      <c r="AF451" s="7">
        <v>1</v>
      </c>
      <c r="AG451" s="7"/>
      <c r="AH451" s="7"/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P451" s="7">
        <v>0</v>
      </c>
      <c r="AQ451" s="7">
        <v>1</v>
      </c>
      <c r="AR451" s="7">
        <v>0</v>
      </c>
      <c r="AS451" s="7">
        <v>0</v>
      </c>
      <c r="AT451" s="7"/>
      <c r="AU451" s="7"/>
      <c r="AW451" s="7"/>
      <c r="AY451" s="7"/>
      <c r="BB451" s="7"/>
      <c r="BC451" s="7"/>
      <c r="BD451" s="7"/>
      <c r="BE451" s="7">
        <v>240</v>
      </c>
      <c r="BF451">
        <v>116007</v>
      </c>
      <c r="BG451" s="7">
        <v>2</v>
      </c>
      <c r="BL451" s="7">
        <v>0</v>
      </c>
      <c r="BM451" s="24">
        <v>1</v>
      </c>
    </row>
    <row r="452" spans="1:65">
      <c r="A452" s="7">
        <v>114008</v>
      </c>
      <c r="B452" s="7" t="s">
        <v>1590</v>
      </c>
      <c r="C452" s="7" t="s">
        <v>525</v>
      </c>
      <c r="D452" s="7" t="s">
        <v>526</v>
      </c>
      <c r="E452" s="7">
        <v>1</v>
      </c>
      <c r="F452" s="7" t="s">
        <v>959</v>
      </c>
      <c r="G452" s="7">
        <v>0</v>
      </c>
      <c r="H452" s="7">
        <v>0</v>
      </c>
      <c r="I452" s="7">
        <v>99999</v>
      </c>
      <c r="J452" s="7">
        <v>0</v>
      </c>
      <c r="K452" s="7">
        <v>0</v>
      </c>
      <c r="L452" s="7" t="s">
        <v>1567</v>
      </c>
      <c r="M452" s="7">
        <v>8</v>
      </c>
      <c r="N452" s="7">
        <v>4</v>
      </c>
      <c r="O452" s="7"/>
      <c r="P452" s="7"/>
      <c r="Q452" s="7">
        <v>0</v>
      </c>
      <c r="R452" s="7"/>
      <c r="S452" s="7">
        <v>400</v>
      </c>
      <c r="T452" s="7">
        <v>3</v>
      </c>
      <c r="V452" s="7">
        <v>1</v>
      </c>
      <c r="W452" s="7">
        <v>1</v>
      </c>
      <c r="Y452" s="7" t="s">
        <v>1580</v>
      </c>
      <c r="Z452" s="7" t="s">
        <v>3086</v>
      </c>
      <c r="AA452" s="7" t="s">
        <v>1638</v>
      </c>
      <c r="AB452" s="7">
        <v>0</v>
      </c>
      <c r="AC452" s="7">
        <v>13</v>
      </c>
      <c r="AD452" s="7">
        <v>0</v>
      </c>
      <c r="AE452" s="7">
        <v>0</v>
      </c>
      <c r="AF452" s="7">
        <v>1</v>
      </c>
      <c r="AG452" s="7"/>
      <c r="AH452" s="7"/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P452" s="7">
        <v>0</v>
      </c>
      <c r="AQ452" s="7">
        <v>1</v>
      </c>
      <c r="AR452" s="7">
        <v>0</v>
      </c>
      <c r="AS452" s="7">
        <v>0</v>
      </c>
      <c r="AT452" s="7"/>
      <c r="AU452" s="7"/>
      <c r="AW452" s="7"/>
      <c r="AY452" s="7"/>
      <c r="BB452" s="7"/>
      <c r="BC452" s="7"/>
      <c r="BD452" s="7"/>
      <c r="BE452" s="7">
        <v>240</v>
      </c>
      <c r="BF452">
        <v>116008</v>
      </c>
      <c r="BG452" s="7">
        <v>2</v>
      </c>
      <c r="BL452" s="7">
        <v>0</v>
      </c>
      <c r="BM452" s="24">
        <v>1</v>
      </c>
    </row>
    <row r="453" spans="1:65">
      <c r="A453" s="7">
        <v>114009</v>
      </c>
      <c r="B453" s="7" t="s">
        <v>1591</v>
      </c>
      <c r="C453" s="7" t="s">
        <v>525</v>
      </c>
      <c r="D453" s="7" t="s">
        <v>526</v>
      </c>
      <c r="E453" s="7">
        <v>1</v>
      </c>
      <c r="F453" s="7" t="s">
        <v>959</v>
      </c>
      <c r="G453" s="7">
        <v>0</v>
      </c>
      <c r="H453" s="7">
        <v>0</v>
      </c>
      <c r="I453" s="7">
        <v>99999</v>
      </c>
      <c r="J453" s="7">
        <v>0</v>
      </c>
      <c r="K453" s="7">
        <v>0</v>
      </c>
      <c r="L453" s="7" t="s">
        <v>1567</v>
      </c>
      <c r="M453" s="7">
        <v>9</v>
      </c>
      <c r="N453" s="7">
        <v>4</v>
      </c>
      <c r="O453" s="7"/>
      <c r="P453" s="7"/>
      <c r="Q453" s="7">
        <v>0</v>
      </c>
      <c r="R453" s="7"/>
      <c r="S453" s="7">
        <v>440</v>
      </c>
      <c r="T453" s="7">
        <v>3</v>
      </c>
      <c r="V453" s="7">
        <v>1</v>
      </c>
      <c r="W453" s="7">
        <v>1</v>
      </c>
      <c r="Y453" s="7" t="s">
        <v>1580</v>
      </c>
      <c r="Z453" s="7" t="s">
        <v>3086</v>
      </c>
      <c r="AA453" s="7" t="s">
        <v>1638</v>
      </c>
      <c r="AB453" s="7">
        <v>0</v>
      </c>
      <c r="AC453" s="7">
        <v>13</v>
      </c>
      <c r="AD453" s="7">
        <v>0</v>
      </c>
      <c r="AE453" s="7">
        <v>0</v>
      </c>
      <c r="AF453" s="7">
        <v>1</v>
      </c>
      <c r="AG453" s="7"/>
      <c r="AH453" s="7"/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P453" s="7">
        <v>0</v>
      </c>
      <c r="AQ453" s="7">
        <v>1</v>
      </c>
      <c r="AR453" s="7">
        <v>0</v>
      </c>
      <c r="AS453" s="7">
        <v>0</v>
      </c>
      <c r="AT453" s="7"/>
      <c r="AU453" s="7"/>
      <c r="AW453" s="7"/>
      <c r="AY453" s="7"/>
      <c r="BB453" s="7"/>
      <c r="BC453" s="7"/>
      <c r="BD453" s="7"/>
      <c r="BE453" s="7">
        <v>240</v>
      </c>
      <c r="BF453">
        <v>116009</v>
      </c>
      <c r="BG453" s="7">
        <v>2</v>
      </c>
      <c r="BL453" s="7">
        <v>0</v>
      </c>
      <c r="BM453" s="24">
        <v>1</v>
      </c>
    </row>
    <row r="454" spans="1:65">
      <c r="A454" s="7">
        <v>114010</v>
      </c>
      <c r="B454" s="7" t="s">
        <v>1592</v>
      </c>
      <c r="C454" s="7" t="s">
        <v>525</v>
      </c>
      <c r="D454" s="7" t="s">
        <v>526</v>
      </c>
      <c r="E454" s="7">
        <v>1</v>
      </c>
      <c r="F454" s="7" t="s">
        <v>959</v>
      </c>
      <c r="G454" s="7">
        <v>0</v>
      </c>
      <c r="H454" s="7">
        <v>0</v>
      </c>
      <c r="I454" s="7">
        <v>99999</v>
      </c>
      <c r="J454" s="7">
        <v>0</v>
      </c>
      <c r="K454" s="7">
        <v>0</v>
      </c>
      <c r="L454" s="7" t="s">
        <v>1567</v>
      </c>
      <c r="M454" s="7">
        <v>10</v>
      </c>
      <c r="N454" s="7">
        <v>4</v>
      </c>
      <c r="O454" s="7"/>
      <c r="P454" s="7"/>
      <c r="Q454" s="7">
        <v>0</v>
      </c>
      <c r="R454" s="7"/>
      <c r="S454" s="7">
        <v>480</v>
      </c>
      <c r="T454" s="7">
        <v>3</v>
      </c>
      <c r="V454" s="7">
        <v>1</v>
      </c>
      <c r="W454" s="7">
        <v>1</v>
      </c>
      <c r="Y454" s="7" t="s">
        <v>1580</v>
      </c>
      <c r="Z454" s="7" t="s">
        <v>3086</v>
      </c>
      <c r="AA454" s="7" t="s">
        <v>1638</v>
      </c>
      <c r="AB454" s="7">
        <v>0</v>
      </c>
      <c r="AC454" s="7">
        <v>13</v>
      </c>
      <c r="AD454" s="7">
        <v>0</v>
      </c>
      <c r="AE454" s="7">
        <v>0</v>
      </c>
      <c r="AF454" s="7">
        <v>1</v>
      </c>
      <c r="AG454" s="7"/>
      <c r="AH454" s="7"/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P454" s="7">
        <v>0</v>
      </c>
      <c r="AQ454" s="7">
        <v>1</v>
      </c>
      <c r="AR454" s="7">
        <v>0</v>
      </c>
      <c r="AS454" s="7">
        <v>0</v>
      </c>
      <c r="AT454" s="7"/>
      <c r="AU454" s="7"/>
      <c r="AW454" s="7"/>
      <c r="AY454" s="7"/>
      <c r="BB454" s="7"/>
      <c r="BC454" s="7"/>
      <c r="BD454" s="7"/>
      <c r="BE454" s="7">
        <v>240</v>
      </c>
      <c r="BF454">
        <v>116010</v>
      </c>
      <c r="BG454" s="7">
        <v>2</v>
      </c>
      <c r="BL454" s="7">
        <v>0</v>
      </c>
      <c r="BM454" s="24">
        <v>1</v>
      </c>
    </row>
    <row r="455" spans="1:65">
      <c r="A455" s="7">
        <v>114011</v>
      </c>
      <c r="B455" s="7" t="s">
        <v>1593</v>
      </c>
      <c r="C455" s="7" t="s">
        <v>525</v>
      </c>
      <c r="D455" s="7" t="s">
        <v>526</v>
      </c>
      <c r="E455" s="7">
        <v>1</v>
      </c>
      <c r="F455" s="7" t="s">
        <v>959</v>
      </c>
      <c r="G455" s="7">
        <v>0</v>
      </c>
      <c r="H455" s="7">
        <v>0</v>
      </c>
      <c r="I455" s="7">
        <v>99999</v>
      </c>
      <c r="J455" s="7">
        <v>0</v>
      </c>
      <c r="K455" s="7">
        <v>0</v>
      </c>
      <c r="L455" s="7" t="s">
        <v>1567</v>
      </c>
      <c r="M455" s="7">
        <v>11</v>
      </c>
      <c r="N455" s="7">
        <v>4</v>
      </c>
      <c r="O455" s="7"/>
      <c r="P455" s="7"/>
      <c r="Q455" s="7">
        <v>0</v>
      </c>
      <c r="R455" s="7"/>
      <c r="S455" s="7">
        <v>520</v>
      </c>
      <c r="T455" s="7">
        <v>3</v>
      </c>
      <c r="V455" s="7">
        <v>1</v>
      </c>
      <c r="W455" s="7">
        <v>1</v>
      </c>
      <c r="Y455" s="7" t="s">
        <v>1580</v>
      </c>
      <c r="Z455" s="7" t="s">
        <v>3086</v>
      </c>
      <c r="AA455" s="7" t="s">
        <v>1638</v>
      </c>
      <c r="AB455" s="7">
        <v>0</v>
      </c>
      <c r="AC455" s="7">
        <v>13</v>
      </c>
      <c r="AD455" s="7">
        <v>0</v>
      </c>
      <c r="AE455" s="7">
        <v>0</v>
      </c>
      <c r="AF455" s="7">
        <v>1</v>
      </c>
      <c r="AG455" s="7"/>
      <c r="AH455" s="7"/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P455" s="7">
        <v>0</v>
      </c>
      <c r="AQ455" s="7">
        <v>1</v>
      </c>
      <c r="AR455" s="7">
        <v>0</v>
      </c>
      <c r="AS455" s="7">
        <v>0</v>
      </c>
      <c r="AT455" s="7"/>
      <c r="AU455" s="7"/>
      <c r="AW455" s="7"/>
      <c r="AY455" s="7"/>
      <c r="BB455" s="7"/>
      <c r="BC455" s="7"/>
      <c r="BD455" s="7"/>
      <c r="BE455" s="7">
        <v>240</v>
      </c>
      <c r="BF455">
        <v>116011</v>
      </c>
      <c r="BG455" s="7">
        <v>2</v>
      </c>
      <c r="BL455" s="7">
        <v>0</v>
      </c>
      <c r="BM455" s="24">
        <v>1</v>
      </c>
    </row>
    <row r="456" spans="1:65">
      <c r="A456" s="7">
        <v>114012</v>
      </c>
      <c r="B456" s="7" t="s">
        <v>1594</v>
      </c>
      <c r="C456" s="7" t="s">
        <v>525</v>
      </c>
      <c r="D456" s="7" t="s">
        <v>526</v>
      </c>
      <c r="E456" s="7">
        <v>1</v>
      </c>
      <c r="F456" s="7" t="s">
        <v>959</v>
      </c>
      <c r="G456" s="7">
        <v>0</v>
      </c>
      <c r="H456" s="7">
        <v>0</v>
      </c>
      <c r="I456" s="7">
        <v>99999</v>
      </c>
      <c r="J456" s="7">
        <v>0</v>
      </c>
      <c r="K456" s="7">
        <v>0</v>
      </c>
      <c r="L456" s="7" t="s">
        <v>1567</v>
      </c>
      <c r="M456" s="7">
        <v>12</v>
      </c>
      <c r="N456" s="7">
        <v>4</v>
      </c>
      <c r="O456" s="7"/>
      <c r="P456" s="7"/>
      <c r="Q456" s="7">
        <v>0</v>
      </c>
      <c r="R456" s="7"/>
      <c r="S456" s="7">
        <v>560</v>
      </c>
      <c r="T456" s="7">
        <v>3</v>
      </c>
      <c r="V456" s="7">
        <v>1</v>
      </c>
      <c r="W456" s="7">
        <v>1</v>
      </c>
      <c r="Y456" s="7" t="s">
        <v>1580</v>
      </c>
      <c r="Z456" s="7" t="s">
        <v>3086</v>
      </c>
      <c r="AA456" s="7" t="s">
        <v>1638</v>
      </c>
      <c r="AB456" s="7">
        <v>0</v>
      </c>
      <c r="AC456" s="7">
        <v>13</v>
      </c>
      <c r="AD456" s="7">
        <v>0</v>
      </c>
      <c r="AE456" s="7">
        <v>0</v>
      </c>
      <c r="AF456" s="7">
        <v>1</v>
      </c>
      <c r="AG456" s="7"/>
      <c r="AH456" s="7"/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P456" s="7">
        <v>0</v>
      </c>
      <c r="AQ456" s="7">
        <v>1</v>
      </c>
      <c r="AR456" s="7">
        <v>0</v>
      </c>
      <c r="AS456" s="7">
        <v>0</v>
      </c>
      <c r="AT456" s="7"/>
      <c r="AU456" s="7"/>
      <c r="AW456" s="7"/>
      <c r="AY456" s="7"/>
      <c r="BB456" s="7"/>
      <c r="BC456" s="7"/>
      <c r="BD456" s="7"/>
      <c r="BE456" s="7">
        <v>240</v>
      </c>
      <c r="BF456">
        <v>116012</v>
      </c>
      <c r="BG456" s="7">
        <v>2</v>
      </c>
      <c r="BL456" s="7">
        <v>0</v>
      </c>
      <c r="BM456" s="24">
        <v>1</v>
      </c>
    </row>
    <row r="457" spans="1:65">
      <c r="A457" s="7">
        <v>114013</v>
      </c>
      <c r="B457" s="7" t="s">
        <v>1595</v>
      </c>
      <c r="C457" s="7" t="s">
        <v>525</v>
      </c>
      <c r="D457" s="7" t="s">
        <v>526</v>
      </c>
      <c r="E457" s="7">
        <v>1</v>
      </c>
      <c r="F457" s="7" t="s">
        <v>959</v>
      </c>
      <c r="G457" s="7">
        <v>0</v>
      </c>
      <c r="H457" s="7">
        <v>0</v>
      </c>
      <c r="I457" s="7">
        <v>99999</v>
      </c>
      <c r="J457" s="7">
        <v>0</v>
      </c>
      <c r="K457" s="7">
        <v>0</v>
      </c>
      <c r="L457" s="7" t="s">
        <v>1567</v>
      </c>
      <c r="M457" s="7">
        <v>13</v>
      </c>
      <c r="N457" s="7">
        <v>4</v>
      </c>
      <c r="O457" s="7"/>
      <c r="P457" s="7"/>
      <c r="Q457" s="7">
        <v>0</v>
      </c>
      <c r="R457" s="7"/>
      <c r="S457" s="7">
        <v>600</v>
      </c>
      <c r="T457" s="7">
        <v>3</v>
      </c>
      <c r="V457" s="7">
        <v>1</v>
      </c>
      <c r="W457" s="7">
        <v>1</v>
      </c>
      <c r="Y457" s="7" t="s">
        <v>1580</v>
      </c>
      <c r="Z457" s="7" t="s">
        <v>3086</v>
      </c>
      <c r="AA457" s="7" t="s">
        <v>1638</v>
      </c>
      <c r="AB457" s="7">
        <v>0</v>
      </c>
      <c r="AC457" s="7">
        <v>13</v>
      </c>
      <c r="AD457" s="7">
        <v>0</v>
      </c>
      <c r="AE457" s="7">
        <v>0</v>
      </c>
      <c r="AF457" s="7">
        <v>1</v>
      </c>
      <c r="AG457" s="7"/>
      <c r="AH457" s="7"/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P457" s="7">
        <v>0</v>
      </c>
      <c r="AQ457" s="7">
        <v>1</v>
      </c>
      <c r="AR457" s="7">
        <v>0</v>
      </c>
      <c r="AS457" s="7">
        <v>0</v>
      </c>
      <c r="AT457" s="7"/>
      <c r="AU457" s="7"/>
      <c r="AW457" s="7"/>
      <c r="AY457" s="7"/>
      <c r="BB457" s="7"/>
      <c r="BC457" s="7"/>
      <c r="BD457" s="7"/>
      <c r="BE457" s="7">
        <v>240</v>
      </c>
      <c r="BF457">
        <v>116013</v>
      </c>
      <c r="BG457" s="7">
        <v>2</v>
      </c>
      <c r="BL457" s="7">
        <v>0</v>
      </c>
      <c r="BM457" s="24">
        <v>1</v>
      </c>
    </row>
    <row r="458" spans="1:65" s="7" customFormat="1">
      <c r="A458" s="7">
        <v>114014</v>
      </c>
      <c r="B458" s="7" t="s">
        <v>1596</v>
      </c>
      <c r="C458" s="7" t="s">
        <v>525</v>
      </c>
      <c r="D458" s="7" t="s">
        <v>526</v>
      </c>
      <c r="E458" s="7">
        <v>1</v>
      </c>
      <c r="F458" s="7" t="s">
        <v>959</v>
      </c>
      <c r="G458" s="7">
        <v>0</v>
      </c>
      <c r="H458" s="7">
        <v>0</v>
      </c>
      <c r="I458" s="7">
        <v>99999</v>
      </c>
      <c r="J458" s="7">
        <v>0</v>
      </c>
      <c r="K458" s="7">
        <v>0</v>
      </c>
      <c r="L458" s="7" t="s">
        <v>1567</v>
      </c>
      <c r="M458" s="7">
        <v>14</v>
      </c>
      <c r="N458" s="7">
        <v>4</v>
      </c>
      <c r="Q458" s="7">
        <v>0</v>
      </c>
      <c r="S458" s="7">
        <v>640</v>
      </c>
      <c r="T458" s="7">
        <v>3</v>
      </c>
      <c r="V458" s="7">
        <v>1</v>
      </c>
      <c r="W458" s="7">
        <v>1</v>
      </c>
      <c r="X458" s="6"/>
      <c r="Y458" s="7" t="s">
        <v>1580</v>
      </c>
      <c r="Z458" s="7" t="s">
        <v>3086</v>
      </c>
      <c r="AA458" s="7" t="s">
        <v>1638</v>
      </c>
      <c r="AB458" s="7">
        <v>0</v>
      </c>
      <c r="AC458" s="7">
        <v>13</v>
      </c>
      <c r="AD458" s="7">
        <v>0</v>
      </c>
      <c r="AE458" s="7">
        <v>0</v>
      </c>
      <c r="AF458" s="7">
        <v>1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P458" s="7">
        <v>0</v>
      </c>
      <c r="AQ458" s="7">
        <v>1</v>
      </c>
      <c r="AR458" s="7">
        <v>0</v>
      </c>
      <c r="AS458" s="7">
        <v>0</v>
      </c>
      <c r="BE458" s="7">
        <v>240</v>
      </c>
      <c r="BF458" s="7">
        <v>116014</v>
      </c>
      <c r="BG458" s="7">
        <v>2</v>
      </c>
      <c r="BL458" s="7">
        <v>0</v>
      </c>
      <c r="BM458" s="24">
        <v>1</v>
      </c>
    </row>
    <row r="459" spans="1:65" s="7" customFormat="1">
      <c r="A459" s="7">
        <v>114015</v>
      </c>
      <c r="B459" s="7" t="s">
        <v>1597</v>
      </c>
      <c r="C459" s="7" t="s">
        <v>525</v>
      </c>
      <c r="D459" s="7" t="s">
        <v>526</v>
      </c>
      <c r="E459" s="7">
        <v>1</v>
      </c>
      <c r="F459" s="7" t="s">
        <v>959</v>
      </c>
      <c r="G459" s="7">
        <v>0</v>
      </c>
      <c r="H459" s="7">
        <v>0</v>
      </c>
      <c r="I459" s="7">
        <v>99999</v>
      </c>
      <c r="J459" s="7">
        <v>0</v>
      </c>
      <c r="K459" s="7">
        <v>0</v>
      </c>
      <c r="L459" s="7" t="s">
        <v>1567</v>
      </c>
      <c r="M459" s="7">
        <v>15</v>
      </c>
      <c r="N459" s="7">
        <v>4</v>
      </c>
      <c r="Q459" s="7">
        <v>0</v>
      </c>
      <c r="S459" s="7">
        <v>680</v>
      </c>
      <c r="T459" s="7">
        <v>3</v>
      </c>
      <c r="V459" s="7">
        <v>1</v>
      </c>
      <c r="W459" s="7">
        <v>1</v>
      </c>
      <c r="X459" s="6"/>
      <c r="Y459" s="7" t="s">
        <v>1580</v>
      </c>
      <c r="Z459" s="7" t="s">
        <v>3086</v>
      </c>
      <c r="AA459" s="7" t="s">
        <v>1638</v>
      </c>
      <c r="AB459" s="7">
        <v>0</v>
      </c>
      <c r="AC459" s="7">
        <v>13</v>
      </c>
      <c r="AD459" s="7">
        <v>0</v>
      </c>
      <c r="AE459" s="7">
        <v>0</v>
      </c>
      <c r="AF459" s="7">
        <v>1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P459" s="7">
        <v>0</v>
      </c>
      <c r="AQ459" s="7">
        <v>1</v>
      </c>
      <c r="AR459" s="7">
        <v>0</v>
      </c>
      <c r="AS459" s="7">
        <v>0</v>
      </c>
      <c r="BE459" s="7">
        <v>240</v>
      </c>
      <c r="BF459" s="7">
        <v>116015</v>
      </c>
      <c r="BG459" s="7">
        <v>2</v>
      </c>
      <c r="BL459" s="7">
        <v>0</v>
      </c>
      <c r="BM459" s="24">
        <v>1</v>
      </c>
    </row>
    <row r="460" spans="1:65" s="7" customFormat="1">
      <c r="A460" s="7">
        <v>114016</v>
      </c>
      <c r="B460" s="7" t="s">
        <v>1598</v>
      </c>
      <c r="C460" s="7" t="s">
        <v>525</v>
      </c>
      <c r="D460" s="7" t="s">
        <v>526</v>
      </c>
      <c r="E460" s="7">
        <v>1</v>
      </c>
      <c r="F460" s="7" t="s">
        <v>959</v>
      </c>
      <c r="G460" s="7">
        <v>0</v>
      </c>
      <c r="H460" s="7">
        <v>0</v>
      </c>
      <c r="I460" s="7">
        <v>99999</v>
      </c>
      <c r="J460" s="7">
        <v>0</v>
      </c>
      <c r="K460" s="7">
        <v>0</v>
      </c>
      <c r="L460" s="7" t="s">
        <v>1567</v>
      </c>
      <c r="M460" s="7">
        <v>16</v>
      </c>
      <c r="N460" s="7">
        <v>4</v>
      </c>
      <c r="Q460" s="7">
        <v>0</v>
      </c>
      <c r="S460" s="7">
        <v>720</v>
      </c>
      <c r="T460" s="7">
        <v>3</v>
      </c>
      <c r="V460" s="7">
        <v>1</v>
      </c>
      <c r="W460" s="7">
        <v>1</v>
      </c>
      <c r="X460" s="6"/>
      <c r="Y460" s="7" t="s">
        <v>1580</v>
      </c>
      <c r="Z460" s="7" t="s">
        <v>3086</v>
      </c>
      <c r="AA460" s="7" t="s">
        <v>1638</v>
      </c>
      <c r="AB460" s="7">
        <v>0</v>
      </c>
      <c r="AC460" s="7">
        <v>13</v>
      </c>
      <c r="AD460" s="7">
        <v>0</v>
      </c>
      <c r="AE460" s="7">
        <v>0</v>
      </c>
      <c r="AF460" s="7">
        <v>1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P460" s="7">
        <v>0</v>
      </c>
      <c r="AQ460" s="7">
        <v>1</v>
      </c>
      <c r="AR460" s="7">
        <v>0</v>
      </c>
      <c r="AS460" s="7">
        <v>0</v>
      </c>
      <c r="BE460" s="7">
        <v>240</v>
      </c>
      <c r="BF460" s="7">
        <v>116016</v>
      </c>
      <c r="BG460" s="7">
        <v>2</v>
      </c>
      <c r="BL460" s="7">
        <v>0</v>
      </c>
      <c r="BM460" s="24">
        <v>1</v>
      </c>
    </row>
    <row r="461" spans="1:65" s="7" customFormat="1">
      <c r="A461" s="7">
        <v>114017</v>
      </c>
      <c r="B461" s="7" t="s">
        <v>1599</v>
      </c>
      <c r="C461" s="7" t="s">
        <v>525</v>
      </c>
      <c r="D461" s="7" t="s">
        <v>526</v>
      </c>
      <c r="E461" s="7">
        <v>1</v>
      </c>
      <c r="F461" s="7" t="s">
        <v>959</v>
      </c>
      <c r="G461" s="7">
        <v>0</v>
      </c>
      <c r="H461" s="7">
        <v>0</v>
      </c>
      <c r="I461" s="7">
        <v>99999</v>
      </c>
      <c r="J461" s="7">
        <v>0</v>
      </c>
      <c r="K461" s="7">
        <v>0</v>
      </c>
      <c r="L461" s="7" t="s">
        <v>1567</v>
      </c>
      <c r="M461" s="7">
        <v>17</v>
      </c>
      <c r="N461" s="7">
        <v>4</v>
      </c>
      <c r="Q461" s="7">
        <v>0</v>
      </c>
      <c r="S461" s="7">
        <v>800</v>
      </c>
      <c r="T461" s="7">
        <v>3</v>
      </c>
      <c r="V461" s="7">
        <v>1</v>
      </c>
      <c r="W461" s="7">
        <v>1</v>
      </c>
      <c r="X461" s="6"/>
      <c r="Y461" s="7" t="s">
        <v>1580</v>
      </c>
      <c r="Z461" s="7" t="s">
        <v>3086</v>
      </c>
      <c r="AA461" s="7" t="s">
        <v>1638</v>
      </c>
      <c r="AB461" s="7">
        <v>0</v>
      </c>
      <c r="AC461" s="7">
        <v>13</v>
      </c>
      <c r="AD461" s="7">
        <v>0</v>
      </c>
      <c r="AE461" s="7">
        <v>0</v>
      </c>
      <c r="AF461" s="7">
        <v>1</v>
      </c>
      <c r="AI461" s="7">
        <v>1</v>
      </c>
      <c r="AJ461" s="7">
        <v>28</v>
      </c>
      <c r="AK461" s="7">
        <v>0</v>
      </c>
      <c r="AL461" s="7">
        <v>0</v>
      </c>
      <c r="AM461" s="7">
        <v>0</v>
      </c>
      <c r="AN461" s="7">
        <v>0</v>
      </c>
      <c r="AP461" s="7">
        <v>1</v>
      </c>
      <c r="AQ461" s="7">
        <v>1</v>
      </c>
      <c r="AR461" s="7">
        <v>1</v>
      </c>
      <c r="AS461" s="7">
        <v>0</v>
      </c>
      <c r="BE461" s="7">
        <v>240</v>
      </c>
      <c r="BF461" s="7">
        <v>116017</v>
      </c>
      <c r="BG461" s="7">
        <v>2</v>
      </c>
      <c r="BL461" s="7">
        <v>0</v>
      </c>
      <c r="BM461" s="24">
        <v>1</v>
      </c>
    </row>
    <row r="462" spans="1:65" s="7" customFormat="1">
      <c r="A462" s="7">
        <v>114018</v>
      </c>
      <c r="B462" s="7" t="s">
        <v>1600</v>
      </c>
      <c r="C462" s="7" t="s">
        <v>525</v>
      </c>
      <c r="D462" s="7" t="s">
        <v>526</v>
      </c>
      <c r="E462" s="7">
        <v>1</v>
      </c>
      <c r="F462" s="7" t="s">
        <v>959</v>
      </c>
      <c r="G462" s="7">
        <v>0</v>
      </c>
      <c r="H462" s="7">
        <v>0</v>
      </c>
      <c r="I462" s="7">
        <v>99999</v>
      </c>
      <c r="J462" s="7">
        <v>0</v>
      </c>
      <c r="K462" s="7">
        <v>0</v>
      </c>
      <c r="L462" s="7" t="s">
        <v>1567</v>
      </c>
      <c r="M462" s="7">
        <v>18</v>
      </c>
      <c r="N462" s="7">
        <v>4</v>
      </c>
      <c r="Q462" s="7">
        <v>0</v>
      </c>
      <c r="S462" s="7">
        <v>880</v>
      </c>
      <c r="T462" s="7">
        <v>3</v>
      </c>
      <c r="V462" s="7">
        <v>1</v>
      </c>
      <c r="W462" s="7">
        <v>1</v>
      </c>
      <c r="X462" s="6"/>
      <c r="Y462" s="7" t="s">
        <v>1580</v>
      </c>
      <c r="Z462" s="7" t="s">
        <v>3086</v>
      </c>
      <c r="AA462" s="7" t="s">
        <v>1638</v>
      </c>
      <c r="AB462" s="7">
        <v>0</v>
      </c>
      <c r="AC462" s="7">
        <v>13</v>
      </c>
      <c r="AD462" s="7">
        <v>0</v>
      </c>
      <c r="AE462" s="7">
        <v>0</v>
      </c>
      <c r="AF462" s="7">
        <v>1</v>
      </c>
      <c r="AI462" s="7">
        <v>1</v>
      </c>
      <c r="AJ462" s="7">
        <v>26</v>
      </c>
      <c r="AK462" s="7">
        <v>0</v>
      </c>
      <c r="AL462" s="7">
        <v>0</v>
      </c>
      <c r="AM462" s="7">
        <v>0</v>
      </c>
      <c r="AN462" s="7">
        <v>0</v>
      </c>
      <c r="AP462" s="7">
        <v>1</v>
      </c>
      <c r="AQ462" s="7">
        <v>1</v>
      </c>
      <c r="AR462" s="7">
        <v>1</v>
      </c>
      <c r="AS462" s="7">
        <v>0</v>
      </c>
      <c r="BE462" s="7">
        <v>240</v>
      </c>
      <c r="BF462" s="7">
        <v>116018</v>
      </c>
      <c r="BG462" s="7">
        <v>2</v>
      </c>
      <c r="BL462" s="7">
        <v>0</v>
      </c>
      <c r="BM462" s="24">
        <v>1</v>
      </c>
    </row>
    <row r="463" spans="1:65" s="7" customFormat="1">
      <c r="A463" s="7">
        <v>114019</v>
      </c>
      <c r="B463" s="7" t="s">
        <v>1601</v>
      </c>
      <c r="C463" s="7" t="s">
        <v>525</v>
      </c>
      <c r="D463" s="7" t="s">
        <v>526</v>
      </c>
      <c r="E463" s="7">
        <v>1</v>
      </c>
      <c r="F463" s="7" t="s">
        <v>959</v>
      </c>
      <c r="G463" s="7">
        <v>0</v>
      </c>
      <c r="H463" s="7">
        <v>0</v>
      </c>
      <c r="I463" s="7">
        <v>99999</v>
      </c>
      <c r="J463" s="7">
        <v>0</v>
      </c>
      <c r="K463" s="7">
        <v>0</v>
      </c>
      <c r="L463" s="7" t="s">
        <v>1567</v>
      </c>
      <c r="M463" s="7">
        <v>19</v>
      </c>
      <c r="N463" s="7">
        <v>4</v>
      </c>
      <c r="Q463" s="7">
        <v>0</v>
      </c>
      <c r="S463" s="7">
        <v>960</v>
      </c>
      <c r="T463" s="7">
        <v>3</v>
      </c>
      <c r="V463" s="7">
        <v>1</v>
      </c>
      <c r="W463" s="7">
        <v>1</v>
      </c>
      <c r="X463" s="6"/>
      <c r="Y463" s="7" t="s">
        <v>1580</v>
      </c>
      <c r="Z463" s="7" t="s">
        <v>3086</v>
      </c>
      <c r="AA463" s="7" t="s">
        <v>1638</v>
      </c>
      <c r="AB463" s="7">
        <v>0</v>
      </c>
      <c r="AC463" s="7">
        <v>13</v>
      </c>
      <c r="AD463" s="7">
        <v>0</v>
      </c>
      <c r="AE463" s="7">
        <v>0</v>
      </c>
      <c r="AF463" s="7">
        <v>1</v>
      </c>
      <c r="AI463" s="7">
        <v>1</v>
      </c>
      <c r="AJ463" s="7">
        <v>24</v>
      </c>
      <c r="AK463" s="7">
        <v>0</v>
      </c>
      <c r="AL463" s="7">
        <v>0</v>
      </c>
      <c r="AM463" s="7">
        <v>0</v>
      </c>
      <c r="AN463" s="7">
        <v>0</v>
      </c>
      <c r="AP463" s="7">
        <v>1</v>
      </c>
      <c r="AQ463" s="7">
        <v>1</v>
      </c>
      <c r="AR463" s="7">
        <v>1</v>
      </c>
      <c r="AS463" s="7">
        <v>0</v>
      </c>
      <c r="BE463" s="7">
        <v>240</v>
      </c>
      <c r="BF463" s="7">
        <v>116019</v>
      </c>
      <c r="BG463" s="7">
        <v>2</v>
      </c>
      <c r="BL463" s="7">
        <v>0</v>
      </c>
      <c r="BM463" s="24">
        <v>1</v>
      </c>
    </row>
    <row r="464" spans="1:65" s="7" customFormat="1">
      <c r="A464" s="7">
        <v>114020</v>
      </c>
      <c r="B464" s="7" t="s">
        <v>1602</v>
      </c>
      <c r="C464" s="7" t="s">
        <v>525</v>
      </c>
      <c r="D464" s="7" t="s">
        <v>526</v>
      </c>
      <c r="E464" s="7">
        <v>1</v>
      </c>
      <c r="F464" s="7" t="s">
        <v>959</v>
      </c>
      <c r="G464" s="7">
        <v>0</v>
      </c>
      <c r="H464" s="7">
        <v>0</v>
      </c>
      <c r="I464" s="7">
        <v>99999</v>
      </c>
      <c r="J464" s="7">
        <v>0</v>
      </c>
      <c r="K464" s="7">
        <v>0</v>
      </c>
      <c r="L464" s="7" t="s">
        <v>1567</v>
      </c>
      <c r="M464" s="7">
        <v>20</v>
      </c>
      <c r="N464" s="7">
        <v>4</v>
      </c>
      <c r="Q464" s="7">
        <v>0</v>
      </c>
      <c r="S464" s="7">
        <v>1040</v>
      </c>
      <c r="T464" s="7">
        <v>3</v>
      </c>
      <c r="V464" s="7">
        <v>1</v>
      </c>
      <c r="W464" s="7">
        <v>1</v>
      </c>
      <c r="X464" s="6"/>
      <c r="Y464" s="7" t="s">
        <v>1580</v>
      </c>
      <c r="Z464" s="7" t="s">
        <v>3086</v>
      </c>
      <c r="AA464" s="7" t="s">
        <v>1638</v>
      </c>
      <c r="AB464" s="7">
        <v>0</v>
      </c>
      <c r="AC464" s="7">
        <v>13</v>
      </c>
      <c r="AD464" s="7">
        <v>0</v>
      </c>
      <c r="AE464" s="7">
        <v>0</v>
      </c>
      <c r="AF464" s="7">
        <v>1</v>
      </c>
      <c r="AI464" s="7">
        <v>1</v>
      </c>
      <c r="AJ464" s="7">
        <v>22</v>
      </c>
      <c r="AK464" s="7">
        <v>0</v>
      </c>
      <c r="AL464" s="7">
        <v>0</v>
      </c>
      <c r="AM464" s="7">
        <v>0</v>
      </c>
      <c r="AN464" s="7">
        <v>0</v>
      </c>
      <c r="AP464" s="7">
        <v>1</v>
      </c>
      <c r="AQ464" s="7">
        <v>1</v>
      </c>
      <c r="AR464" s="7">
        <v>1</v>
      </c>
      <c r="AS464" s="7">
        <v>0</v>
      </c>
      <c r="AV464" s="7">
        <v>1</v>
      </c>
      <c r="BE464" s="7">
        <v>240</v>
      </c>
      <c r="BF464" s="7">
        <v>116020</v>
      </c>
      <c r="BG464" s="7">
        <v>2</v>
      </c>
      <c r="BL464" s="7">
        <v>0</v>
      </c>
      <c r="BM464" s="24">
        <v>1</v>
      </c>
    </row>
    <row r="465" spans="1:65" s="7" customFormat="1">
      <c r="A465" s="7">
        <v>114021</v>
      </c>
      <c r="B465" s="7" t="s">
        <v>1603</v>
      </c>
      <c r="C465" s="7" t="s">
        <v>525</v>
      </c>
      <c r="D465" s="7" t="s">
        <v>526</v>
      </c>
      <c r="E465" s="7">
        <v>1</v>
      </c>
      <c r="F465" s="7" t="s">
        <v>959</v>
      </c>
      <c r="G465" s="7">
        <v>0</v>
      </c>
      <c r="H465" s="7">
        <v>0</v>
      </c>
      <c r="I465" s="7">
        <v>99999</v>
      </c>
      <c r="J465" s="7">
        <v>0</v>
      </c>
      <c r="K465" s="7">
        <v>0</v>
      </c>
      <c r="L465" s="7" t="s">
        <v>1567</v>
      </c>
      <c r="M465" s="7">
        <v>21</v>
      </c>
      <c r="N465" s="7">
        <v>4</v>
      </c>
      <c r="Q465" s="7">
        <v>0</v>
      </c>
      <c r="S465" s="7">
        <v>1120</v>
      </c>
      <c r="T465" s="7">
        <v>3</v>
      </c>
      <c r="V465" s="7">
        <v>1</v>
      </c>
      <c r="W465" s="7">
        <v>1</v>
      </c>
      <c r="X465" s="6"/>
      <c r="Y465" s="7" t="s">
        <v>1580</v>
      </c>
      <c r="Z465" s="7" t="s">
        <v>3086</v>
      </c>
      <c r="AA465" s="7" t="s">
        <v>1638</v>
      </c>
      <c r="AB465" s="7">
        <v>0</v>
      </c>
      <c r="AC465" s="7">
        <v>13</v>
      </c>
      <c r="AD465" s="7">
        <v>0</v>
      </c>
      <c r="AE465" s="7">
        <v>0</v>
      </c>
      <c r="AF465" s="7">
        <v>1</v>
      </c>
      <c r="AI465" s="7">
        <v>1</v>
      </c>
      <c r="AJ465" s="7">
        <v>20</v>
      </c>
      <c r="AK465" s="7">
        <v>0</v>
      </c>
      <c r="AL465" s="7">
        <v>0</v>
      </c>
      <c r="AM465" s="7">
        <v>0</v>
      </c>
      <c r="AN465" s="7">
        <v>0</v>
      </c>
      <c r="AP465" s="7">
        <v>1</v>
      </c>
      <c r="AQ465" s="7">
        <v>1</v>
      </c>
      <c r="AR465" s="7">
        <v>1</v>
      </c>
      <c r="AS465" s="7">
        <v>0</v>
      </c>
      <c r="AV465" s="7">
        <v>1</v>
      </c>
      <c r="BE465" s="7">
        <v>240</v>
      </c>
      <c r="BF465" s="7">
        <v>116021</v>
      </c>
      <c r="BG465" s="7">
        <v>2</v>
      </c>
      <c r="BL465" s="7">
        <v>0</v>
      </c>
      <c r="BM465" s="24">
        <v>1</v>
      </c>
    </row>
    <row r="466" spans="1:65" s="7" customFormat="1">
      <c r="A466" s="7">
        <v>114022</v>
      </c>
      <c r="B466" s="7" t="s">
        <v>1604</v>
      </c>
      <c r="C466" s="7" t="s">
        <v>525</v>
      </c>
      <c r="D466" s="7" t="s">
        <v>526</v>
      </c>
      <c r="E466" s="7">
        <v>1</v>
      </c>
      <c r="F466" s="7" t="s">
        <v>959</v>
      </c>
      <c r="G466" s="7">
        <v>0</v>
      </c>
      <c r="H466" s="7">
        <v>0</v>
      </c>
      <c r="I466" s="7">
        <v>99999</v>
      </c>
      <c r="J466" s="7">
        <v>0</v>
      </c>
      <c r="K466" s="7">
        <v>0</v>
      </c>
      <c r="L466" s="7" t="s">
        <v>1567</v>
      </c>
      <c r="M466" s="7">
        <v>22</v>
      </c>
      <c r="N466" s="7">
        <v>4</v>
      </c>
      <c r="Q466" s="7">
        <v>0</v>
      </c>
      <c r="S466" s="7">
        <v>1200</v>
      </c>
      <c r="T466" s="7">
        <v>3</v>
      </c>
      <c r="V466" s="7">
        <v>1</v>
      </c>
      <c r="W466" s="7">
        <v>1</v>
      </c>
      <c r="X466" s="6"/>
      <c r="Y466" s="7" t="s">
        <v>1580</v>
      </c>
      <c r="Z466" s="7" t="s">
        <v>3086</v>
      </c>
      <c r="AA466" s="7" t="s">
        <v>1638</v>
      </c>
      <c r="AB466" s="7">
        <v>0</v>
      </c>
      <c r="AC466" s="7">
        <v>13</v>
      </c>
      <c r="AD466" s="7">
        <v>0</v>
      </c>
      <c r="AE466" s="7">
        <v>0</v>
      </c>
      <c r="AF466" s="7">
        <v>1</v>
      </c>
      <c r="AI466" s="7">
        <v>1</v>
      </c>
      <c r="AJ466" s="7">
        <v>18</v>
      </c>
      <c r="AK466" s="7">
        <v>0</v>
      </c>
      <c r="AL466" s="7">
        <v>0</v>
      </c>
      <c r="AM466" s="7">
        <v>0</v>
      </c>
      <c r="AN466" s="7">
        <v>0</v>
      </c>
      <c r="AP466" s="7">
        <v>1</v>
      </c>
      <c r="AQ466" s="7">
        <v>1</v>
      </c>
      <c r="AR466" s="7">
        <v>1</v>
      </c>
      <c r="AS466" s="7">
        <v>0</v>
      </c>
      <c r="AV466" s="7">
        <v>1</v>
      </c>
      <c r="BE466" s="7">
        <v>240</v>
      </c>
      <c r="BF466" s="7">
        <v>116022</v>
      </c>
      <c r="BG466" s="7">
        <v>2</v>
      </c>
      <c r="BL466" s="7">
        <v>0</v>
      </c>
      <c r="BM466" s="24">
        <v>1</v>
      </c>
    </row>
    <row r="467" spans="1:65" s="7" customFormat="1">
      <c r="A467" s="7">
        <v>114023</v>
      </c>
      <c r="B467" s="7" t="s">
        <v>1605</v>
      </c>
      <c r="C467" s="7" t="s">
        <v>525</v>
      </c>
      <c r="D467" s="7" t="s">
        <v>526</v>
      </c>
      <c r="E467" s="7">
        <v>1</v>
      </c>
      <c r="F467" s="7" t="s">
        <v>959</v>
      </c>
      <c r="G467" s="7">
        <v>0</v>
      </c>
      <c r="H467" s="7">
        <v>0</v>
      </c>
      <c r="I467" s="7">
        <v>99999</v>
      </c>
      <c r="J467" s="7">
        <v>0</v>
      </c>
      <c r="K467" s="7">
        <v>0</v>
      </c>
      <c r="L467" s="7" t="s">
        <v>1567</v>
      </c>
      <c r="M467" s="7">
        <v>23</v>
      </c>
      <c r="N467" s="7">
        <v>4</v>
      </c>
      <c r="Q467" s="7">
        <v>0</v>
      </c>
      <c r="S467" s="7">
        <v>1280</v>
      </c>
      <c r="T467" s="7">
        <v>3</v>
      </c>
      <c r="V467" s="7">
        <v>1</v>
      </c>
      <c r="W467" s="7">
        <v>1</v>
      </c>
      <c r="X467" s="6"/>
      <c r="Y467" s="7" t="s">
        <v>1580</v>
      </c>
      <c r="Z467" s="7" t="s">
        <v>3086</v>
      </c>
      <c r="AA467" s="7" t="s">
        <v>1638</v>
      </c>
      <c r="AB467" s="7">
        <v>0</v>
      </c>
      <c r="AC467" s="7">
        <v>13</v>
      </c>
      <c r="AD467" s="7">
        <v>0</v>
      </c>
      <c r="AE467" s="7">
        <v>0</v>
      </c>
      <c r="AF467" s="7">
        <v>1</v>
      </c>
      <c r="AI467" s="7">
        <v>1</v>
      </c>
      <c r="AJ467" s="7">
        <v>16</v>
      </c>
      <c r="AK467" s="7">
        <v>0</v>
      </c>
      <c r="AL467" s="7">
        <v>0</v>
      </c>
      <c r="AM467" s="7">
        <v>0</v>
      </c>
      <c r="AN467" s="7">
        <v>0</v>
      </c>
      <c r="AP467" s="7">
        <v>1</v>
      </c>
      <c r="AQ467" s="7">
        <v>1</v>
      </c>
      <c r="AR467" s="7">
        <v>1</v>
      </c>
      <c r="AS467" s="7">
        <v>0</v>
      </c>
      <c r="AV467" s="7">
        <v>1</v>
      </c>
      <c r="BE467" s="7">
        <v>240</v>
      </c>
      <c r="BF467" s="7">
        <v>116023</v>
      </c>
      <c r="BG467" s="7">
        <v>2</v>
      </c>
      <c r="BL467" s="7">
        <v>0</v>
      </c>
      <c r="BM467" s="24">
        <v>1</v>
      </c>
    </row>
    <row r="468" spans="1:65" s="7" customFormat="1">
      <c r="A468" s="7">
        <v>114024</v>
      </c>
      <c r="B468" s="7" t="s">
        <v>1606</v>
      </c>
      <c r="C468" s="7" t="s">
        <v>525</v>
      </c>
      <c r="D468" s="7" t="s">
        <v>526</v>
      </c>
      <c r="E468" s="7">
        <v>1</v>
      </c>
      <c r="F468" s="7" t="s">
        <v>959</v>
      </c>
      <c r="G468" s="7">
        <v>0</v>
      </c>
      <c r="H468" s="7">
        <v>0</v>
      </c>
      <c r="I468" s="7">
        <v>99999</v>
      </c>
      <c r="J468" s="7">
        <v>0</v>
      </c>
      <c r="K468" s="7">
        <v>0</v>
      </c>
      <c r="L468" s="7" t="s">
        <v>1567</v>
      </c>
      <c r="M468" s="7">
        <v>24</v>
      </c>
      <c r="N468" s="7">
        <v>4</v>
      </c>
      <c r="Q468" s="7">
        <v>0</v>
      </c>
      <c r="S468" s="7">
        <v>1360</v>
      </c>
      <c r="T468" s="7">
        <v>3</v>
      </c>
      <c r="V468" s="7">
        <v>1</v>
      </c>
      <c r="W468" s="7">
        <v>1</v>
      </c>
      <c r="X468" s="6"/>
      <c r="Y468" s="7" t="s">
        <v>1580</v>
      </c>
      <c r="Z468" s="7" t="s">
        <v>3086</v>
      </c>
      <c r="AA468" s="7" t="s">
        <v>1638</v>
      </c>
      <c r="AB468" s="7">
        <v>0</v>
      </c>
      <c r="AC468" s="7">
        <v>13</v>
      </c>
      <c r="AD468" s="7">
        <v>0</v>
      </c>
      <c r="AE468" s="7">
        <v>0</v>
      </c>
      <c r="AF468" s="7">
        <v>1</v>
      </c>
      <c r="AI468" s="7">
        <v>1</v>
      </c>
      <c r="AJ468" s="7">
        <v>14</v>
      </c>
      <c r="AK468" s="7">
        <v>0</v>
      </c>
      <c r="AL468" s="7">
        <v>0</v>
      </c>
      <c r="AM468" s="7">
        <v>0</v>
      </c>
      <c r="AN468" s="7">
        <v>0</v>
      </c>
      <c r="AP468" s="7">
        <v>1</v>
      </c>
      <c r="AQ468" s="7">
        <v>1</v>
      </c>
      <c r="AR468" s="7">
        <v>1</v>
      </c>
      <c r="AS468" s="7">
        <v>0</v>
      </c>
      <c r="AV468" s="7">
        <v>1</v>
      </c>
      <c r="BE468" s="7">
        <v>240</v>
      </c>
      <c r="BF468" s="7">
        <v>116024</v>
      </c>
      <c r="BG468" s="7">
        <v>2</v>
      </c>
      <c r="BL468" s="7">
        <v>0</v>
      </c>
      <c r="BM468" s="24">
        <v>1</v>
      </c>
    </row>
    <row r="469" spans="1:65" s="7" customFormat="1">
      <c r="A469" s="7">
        <v>114025</v>
      </c>
      <c r="B469" s="7" t="s">
        <v>1607</v>
      </c>
      <c r="C469" s="7" t="s">
        <v>525</v>
      </c>
      <c r="D469" s="7" t="s">
        <v>526</v>
      </c>
      <c r="E469" s="7">
        <v>1</v>
      </c>
      <c r="F469" s="7" t="s">
        <v>959</v>
      </c>
      <c r="G469" s="7">
        <v>0</v>
      </c>
      <c r="H469" s="7">
        <v>0</v>
      </c>
      <c r="I469" s="7">
        <v>99999</v>
      </c>
      <c r="J469" s="7">
        <v>0</v>
      </c>
      <c r="K469" s="7">
        <v>0</v>
      </c>
      <c r="L469" s="7" t="s">
        <v>1567</v>
      </c>
      <c r="M469" s="7">
        <v>25</v>
      </c>
      <c r="N469" s="7">
        <v>4</v>
      </c>
      <c r="Q469" s="7">
        <v>0</v>
      </c>
      <c r="S469" s="7">
        <v>1440</v>
      </c>
      <c r="T469" s="7">
        <v>3</v>
      </c>
      <c r="V469" s="7">
        <v>1</v>
      </c>
      <c r="W469" s="7">
        <v>1</v>
      </c>
      <c r="X469" s="6"/>
      <c r="Y469" s="7" t="s">
        <v>1580</v>
      </c>
      <c r="Z469" s="7" t="s">
        <v>3086</v>
      </c>
      <c r="AA469" s="7" t="s">
        <v>1638</v>
      </c>
      <c r="AB469" s="7">
        <v>0</v>
      </c>
      <c r="AC469" s="7">
        <v>13</v>
      </c>
      <c r="AD469" s="7">
        <v>0</v>
      </c>
      <c r="AE469" s="7">
        <v>0</v>
      </c>
      <c r="AF469" s="7">
        <v>1</v>
      </c>
      <c r="AI469" s="7">
        <v>1</v>
      </c>
      <c r="AJ469" s="7">
        <v>12</v>
      </c>
      <c r="AK469" s="7">
        <v>0</v>
      </c>
      <c r="AL469" s="7">
        <v>0</v>
      </c>
      <c r="AM469" s="7">
        <v>0</v>
      </c>
      <c r="AN469" s="7">
        <v>0</v>
      </c>
      <c r="AP469" s="7">
        <v>1</v>
      </c>
      <c r="AQ469" s="7">
        <v>1</v>
      </c>
      <c r="AR469" s="7">
        <v>1</v>
      </c>
      <c r="AS469" s="7">
        <v>0</v>
      </c>
      <c r="AV469" s="7">
        <v>1</v>
      </c>
      <c r="BE469" s="7">
        <v>240</v>
      </c>
      <c r="BF469" s="7">
        <v>116025</v>
      </c>
      <c r="BG469" s="7">
        <v>2</v>
      </c>
      <c r="BL469" s="7">
        <v>0</v>
      </c>
      <c r="BM469" s="24">
        <v>1</v>
      </c>
    </row>
    <row r="470" spans="1:65" s="7" customFormat="1">
      <c r="A470" s="7">
        <v>114026</v>
      </c>
      <c r="B470" s="7" t="s">
        <v>1608</v>
      </c>
      <c r="C470" s="7" t="s">
        <v>525</v>
      </c>
      <c r="D470" s="7" t="s">
        <v>526</v>
      </c>
      <c r="E470" s="7">
        <v>1</v>
      </c>
      <c r="F470" s="7" t="s">
        <v>959</v>
      </c>
      <c r="G470" s="7">
        <v>0</v>
      </c>
      <c r="H470" s="7">
        <v>0</v>
      </c>
      <c r="I470" s="7">
        <v>99999</v>
      </c>
      <c r="J470" s="7">
        <v>0</v>
      </c>
      <c r="K470" s="7">
        <v>0</v>
      </c>
      <c r="L470" s="7" t="s">
        <v>1567</v>
      </c>
      <c r="M470" s="7">
        <v>26</v>
      </c>
      <c r="N470" s="7">
        <v>4</v>
      </c>
      <c r="Q470" s="7">
        <v>0</v>
      </c>
      <c r="S470" s="7">
        <v>1520</v>
      </c>
      <c r="T470" s="7">
        <v>3</v>
      </c>
      <c r="V470" s="7">
        <v>1</v>
      </c>
      <c r="W470" s="7">
        <v>1</v>
      </c>
      <c r="X470" s="6"/>
      <c r="Y470" s="7" t="s">
        <v>1580</v>
      </c>
      <c r="Z470" s="7" t="s">
        <v>3086</v>
      </c>
      <c r="AA470" s="7" t="s">
        <v>1638</v>
      </c>
      <c r="AB470" s="7">
        <v>0</v>
      </c>
      <c r="AC470" s="7">
        <v>13</v>
      </c>
      <c r="AD470" s="7">
        <v>0</v>
      </c>
      <c r="AE470" s="7">
        <v>0</v>
      </c>
      <c r="AF470" s="7">
        <v>1</v>
      </c>
      <c r="AI470" s="7">
        <v>1</v>
      </c>
      <c r="AJ470" s="7">
        <v>10</v>
      </c>
      <c r="AK470" s="7">
        <v>0</v>
      </c>
      <c r="AL470" s="7">
        <v>0</v>
      </c>
      <c r="AM470" s="7">
        <v>0</v>
      </c>
      <c r="AN470" s="7">
        <v>0</v>
      </c>
      <c r="AP470" s="7">
        <v>1</v>
      </c>
      <c r="AQ470" s="7">
        <v>1</v>
      </c>
      <c r="AR470" s="7">
        <v>1</v>
      </c>
      <c r="AS470" s="7">
        <v>0</v>
      </c>
      <c r="AV470" s="7">
        <v>1</v>
      </c>
      <c r="BE470" s="7">
        <v>240</v>
      </c>
      <c r="BF470" s="7">
        <v>116026</v>
      </c>
      <c r="BG470" s="7">
        <v>2</v>
      </c>
      <c r="BL470" s="7">
        <v>0</v>
      </c>
      <c r="BM470" s="24">
        <v>1</v>
      </c>
    </row>
    <row r="471" spans="1:65" s="7" customFormat="1">
      <c r="A471" s="7">
        <v>114111</v>
      </c>
      <c r="B471" s="7" t="s">
        <v>1609</v>
      </c>
      <c r="C471" s="7" t="s">
        <v>525</v>
      </c>
      <c r="D471" s="7" t="s">
        <v>526</v>
      </c>
      <c r="E471" s="7">
        <v>1</v>
      </c>
      <c r="F471" s="7" t="s">
        <v>959</v>
      </c>
      <c r="G471" s="7">
        <v>0</v>
      </c>
      <c r="H471" s="7">
        <v>0</v>
      </c>
      <c r="I471" s="7">
        <v>99999</v>
      </c>
      <c r="J471" s="7">
        <v>0</v>
      </c>
      <c r="K471" s="7">
        <v>3</v>
      </c>
      <c r="L471" s="7" t="s">
        <v>1567</v>
      </c>
      <c r="M471" s="7">
        <v>20</v>
      </c>
      <c r="N471" s="7">
        <v>4</v>
      </c>
      <c r="Q471" s="7">
        <v>0</v>
      </c>
      <c r="S471" s="7">
        <v>1</v>
      </c>
      <c r="T471" s="7">
        <v>3</v>
      </c>
      <c r="V471" s="7">
        <v>1</v>
      </c>
      <c r="W471" s="7">
        <v>1</v>
      </c>
      <c r="X471" s="6"/>
      <c r="Y471" s="7" t="s">
        <v>1580</v>
      </c>
      <c r="Z471" s="7" t="s">
        <v>3086</v>
      </c>
      <c r="AA471" s="7" t="s">
        <v>1638</v>
      </c>
      <c r="AB471" s="7">
        <v>0</v>
      </c>
      <c r="AC471" s="7">
        <v>13</v>
      </c>
      <c r="AD471" s="7">
        <v>0</v>
      </c>
      <c r="AE471" s="7">
        <v>0</v>
      </c>
      <c r="AF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P471" s="7">
        <v>1</v>
      </c>
      <c r="AR471" s="7">
        <v>0</v>
      </c>
      <c r="AS471" s="7">
        <v>0</v>
      </c>
      <c r="BE471" s="7">
        <v>240</v>
      </c>
      <c r="BG471" s="7">
        <v>2</v>
      </c>
      <c r="BL471" s="7">
        <v>0</v>
      </c>
      <c r="BM471" s="24">
        <v>1</v>
      </c>
    </row>
    <row r="472" spans="1:65" s="7" customFormat="1">
      <c r="A472" s="7">
        <v>115003</v>
      </c>
      <c r="B472" s="7" t="s">
        <v>1465</v>
      </c>
      <c r="C472" s="7" t="s">
        <v>525</v>
      </c>
      <c r="D472" s="7" t="s">
        <v>1561</v>
      </c>
      <c r="E472" s="7">
        <v>1</v>
      </c>
      <c r="F472" s="7" t="s">
        <v>959</v>
      </c>
      <c r="G472" s="7">
        <v>0</v>
      </c>
      <c r="H472" s="7">
        <v>0</v>
      </c>
      <c r="I472" s="7">
        <v>99999</v>
      </c>
      <c r="J472" s="7">
        <v>0</v>
      </c>
      <c r="K472" s="7">
        <v>0</v>
      </c>
      <c r="L472" s="7" t="s">
        <v>1567</v>
      </c>
      <c r="M472" s="7">
        <v>3</v>
      </c>
      <c r="N472" s="7">
        <v>4</v>
      </c>
      <c r="Q472" s="7">
        <v>0</v>
      </c>
      <c r="S472" s="7">
        <f>S447*50%</f>
        <v>100</v>
      </c>
      <c r="T472" s="7">
        <v>3</v>
      </c>
      <c r="V472" s="7">
        <v>1</v>
      </c>
      <c r="W472" s="7">
        <v>1</v>
      </c>
      <c r="X472" s="6"/>
      <c r="Y472" s="7" t="s">
        <v>1581</v>
      </c>
      <c r="Z472" s="7" t="s">
        <v>3085</v>
      </c>
      <c r="AA472" s="7" t="s">
        <v>1639</v>
      </c>
      <c r="AB472" s="7">
        <v>0</v>
      </c>
      <c r="AC472" s="7">
        <v>13</v>
      </c>
      <c r="AD472" s="7">
        <v>0</v>
      </c>
      <c r="AE472" s="7">
        <v>0</v>
      </c>
      <c r="AF472" s="7">
        <v>1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P472" s="7">
        <v>0</v>
      </c>
      <c r="AQ472" s="7">
        <v>1</v>
      </c>
      <c r="AR472" s="7">
        <v>0</v>
      </c>
      <c r="AS472" s="7">
        <v>0</v>
      </c>
      <c r="BE472" s="7">
        <v>240</v>
      </c>
      <c r="BF472" s="7">
        <f>A472</f>
        <v>115003</v>
      </c>
      <c r="BG472" s="7">
        <v>2</v>
      </c>
      <c r="BL472" s="7">
        <v>0</v>
      </c>
      <c r="BM472" s="24">
        <v>1</v>
      </c>
    </row>
    <row r="473" spans="1:65" s="7" customFormat="1">
      <c r="A473" s="7">
        <v>115004</v>
      </c>
      <c r="B473" s="7" t="s">
        <v>1466</v>
      </c>
      <c r="C473" s="7" t="s">
        <v>525</v>
      </c>
      <c r="D473" s="7" t="s">
        <v>1561</v>
      </c>
      <c r="E473" s="7">
        <v>1</v>
      </c>
      <c r="F473" s="7" t="s">
        <v>959</v>
      </c>
      <c r="G473" s="7">
        <v>0</v>
      </c>
      <c r="H473" s="7">
        <v>0</v>
      </c>
      <c r="I473" s="7">
        <v>99999</v>
      </c>
      <c r="J473" s="7">
        <v>0</v>
      </c>
      <c r="K473" s="7">
        <v>0</v>
      </c>
      <c r="L473" s="7" t="s">
        <v>1567</v>
      </c>
      <c r="M473" s="7">
        <v>4</v>
      </c>
      <c r="N473" s="7">
        <v>4</v>
      </c>
      <c r="Q473" s="7">
        <v>0</v>
      </c>
      <c r="S473" s="7">
        <f t="shared" ref="S473:S495" si="0">S448*50%</f>
        <v>120</v>
      </c>
      <c r="T473" s="7">
        <v>3</v>
      </c>
      <c r="V473" s="7">
        <v>1</v>
      </c>
      <c r="W473" s="7">
        <v>1</v>
      </c>
      <c r="X473" s="6"/>
      <c r="Y473" s="7" t="s">
        <v>1581</v>
      </c>
      <c r="Z473" s="7" t="s">
        <v>2957</v>
      </c>
      <c r="AA473" s="7" t="s">
        <v>1639</v>
      </c>
      <c r="AB473" s="7">
        <v>0</v>
      </c>
      <c r="AC473" s="7">
        <v>13</v>
      </c>
      <c r="AD473" s="7">
        <v>0</v>
      </c>
      <c r="AE473" s="7">
        <v>0</v>
      </c>
      <c r="AF473" s="7">
        <v>1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P473" s="7">
        <v>0</v>
      </c>
      <c r="AQ473" s="7">
        <v>1</v>
      </c>
      <c r="AR473" s="7">
        <v>0</v>
      </c>
      <c r="AS473" s="7">
        <v>0</v>
      </c>
      <c r="BE473" s="7">
        <v>240</v>
      </c>
      <c r="BF473" s="7">
        <f t="shared" ref="BF473:BF536" si="1">A473</f>
        <v>115004</v>
      </c>
      <c r="BG473" s="7">
        <v>2</v>
      </c>
      <c r="BL473" s="7">
        <v>0</v>
      </c>
      <c r="BM473" s="24">
        <v>1</v>
      </c>
    </row>
    <row r="474" spans="1:65" s="7" customFormat="1">
      <c r="A474" s="7">
        <v>115005</v>
      </c>
      <c r="B474" s="7" t="s">
        <v>1467</v>
      </c>
      <c r="C474" s="7" t="s">
        <v>525</v>
      </c>
      <c r="D474" s="7" t="s">
        <v>1561</v>
      </c>
      <c r="E474" s="7">
        <v>1</v>
      </c>
      <c r="F474" s="7" t="s">
        <v>959</v>
      </c>
      <c r="G474" s="7">
        <v>0</v>
      </c>
      <c r="H474" s="7">
        <v>0</v>
      </c>
      <c r="I474" s="7">
        <v>99999</v>
      </c>
      <c r="J474" s="7">
        <v>0</v>
      </c>
      <c r="K474" s="7">
        <v>0</v>
      </c>
      <c r="L474" s="7" t="s">
        <v>1567</v>
      </c>
      <c r="M474" s="7">
        <v>5</v>
      </c>
      <c r="N474" s="7">
        <v>4</v>
      </c>
      <c r="Q474" s="7">
        <v>0</v>
      </c>
      <c r="S474" s="7">
        <f t="shared" si="0"/>
        <v>140</v>
      </c>
      <c r="T474" s="7">
        <v>3</v>
      </c>
      <c r="V474" s="7">
        <v>1</v>
      </c>
      <c r="W474" s="7">
        <v>1</v>
      </c>
      <c r="X474" s="6"/>
      <c r="Y474" s="7" t="s">
        <v>1581</v>
      </c>
      <c r="Z474" s="7" t="s">
        <v>2957</v>
      </c>
      <c r="AA474" s="7" t="s">
        <v>1639</v>
      </c>
      <c r="AB474" s="7">
        <v>0</v>
      </c>
      <c r="AC474" s="7">
        <v>13</v>
      </c>
      <c r="AD474" s="7">
        <v>0</v>
      </c>
      <c r="AE474" s="7">
        <v>0</v>
      </c>
      <c r="AF474" s="7">
        <v>1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P474" s="7">
        <v>0</v>
      </c>
      <c r="AQ474" s="7">
        <v>1</v>
      </c>
      <c r="AR474" s="7">
        <v>0</v>
      </c>
      <c r="AS474" s="7">
        <v>0</v>
      </c>
      <c r="BE474" s="7">
        <v>240</v>
      </c>
      <c r="BF474" s="7">
        <f t="shared" si="1"/>
        <v>115005</v>
      </c>
      <c r="BG474" s="7">
        <v>2</v>
      </c>
      <c r="BL474" s="7">
        <v>0</v>
      </c>
      <c r="BM474" s="24">
        <v>1</v>
      </c>
    </row>
    <row r="475" spans="1:65" s="7" customFormat="1">
      <c r="A475" s="7">
        <v>115006</v>
      </c>
      <c r="B475" s="7" t="s">
        <v>1468</v>
      </c>
      <c r="C475" s="7" t="s">
        <v>525</v>
      </c>
      <c r="D475" s="7" t="s">
        <v>1561</v>
      </c>
      <c r="E475" s="7">
        <v>1</v>
      </c>
      <c r="F475" s="7" t="s">
        <v>959</v>
      </c>
      <c r="G475" s="7">
        <v>0</v>
      </c>
      <c r="H475" s="7">
        <v>0</v>
      </c>
      <c r="I475" s="7">
        <v>99999</v>
      </c>
      <c r="J475" s="7">
        <v>0</v>
      </c>
      <c r="K475" s="7">
        <v>0</v>
      </c>
      <c r="L475" s="7" t="s">
        <v>1567</v>
      </c>
      <c r="M475" s="7">
        <v>6</v>
      </c>
      <c r="N475" s="7">
        <v>4</v>
      </c>
      <c r="Q475" s="7">
        <v>0</v>
      </c>
      <c r="S475" s="7">
        <f t="shared" si="0"/>
        <v>160</v>
      </c>
      <c r="T475" s="7">
        <v>3</v>
      </c>
      <c r="V475" s="7">
        <v>1</v>
      </c>
      <c r="W475" s="7">
        <v>1</v>
      </c>
      <c r="X475" s="6"/>
      <c r="Y475" s="7" t="s">
        <v>1581</v>
      </c>
      <c r="Z475" s="7" t="s">
        <v>2957</v>
      </c>
      <c r="AA475" s="7" t="s">
        <v>1639</v>
      </c>
      <c r="AB475" s="7">
        <v>0</v>
      </c>
      <c r="AC475" s="7">
        <v>13</v>
      </c>
      <c r="AD475" s="7">
        <v>0</v>
      </c>
      <c r="AE475" s="7">
        <v>0</v>
      </c>
      <c r="AF475" s="7">
        <v>1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P475" s="7">
        <v>0</v>
      </c>
      <c r="AQ475" s="7">
        <v>1</v>
      </c>
      <c r="AR475" s="7">
        <v>0</v>
      </c>
      <c r="AS475" s="7">
        <v>0</v>
      </c>
      <c r="BE475" s="7">
        <v>240</v>
      </c>
      <c r="BF475" s="7">
        <f t="shared" si="1"/>
        <v>115006</v>
      </c>
      <c r="BG475" s="7">
        <v>2</v>
      </c>
      <c r="BL475" s="7">
        <v>0</v>
      </c>
      <c r="BM475" s="24">
        <v>1</v>
      </c>
    </row>
    <row r="476" spans="1:65" s="7" customFormat="1">
      <c r="A476" s="7">
        <v>115007</v>
      </c>
      <c r="B476" s="7" t="s">
        <v>1469</v>
      </c>
      <c r="C476" s="7" t="s">
        <v>525</v>
      </c>
      <c r="D476" s="7" t="s">
        <v>1561</v>
      </c>
      <c r="E476" s="7">
        <v>1</v>
      </c>
      <c r="F476" s="7" t="s">
        <v>959</v>
      </c>
      <c r="G476" s="7">
        <v>0</v>
      </c>
      <c r="H476" s="7">
        <v>0</v>
      </c>
      <c r="I476" s="7">
        <v>99999</v>
      </c>
      <c r="J476" s="7">
        <v>0</v>
      </c>
      <c r="K476" s="7">
        <v>0</v>
      </c>
      <c r="L476" s="7" t="s">
        <v>1567</v>
      </c>
      <c r="M476" s="7">
        <v>7</v>
      </c>
      <c r="N476" s="7">
        <v>4</v>
      </c>
      <c r="Q476" s="7">
        <v>0</v>
      </c>
      <c r="S476" s="7">
        <f t="shared" si="0"/>
        <v>180</v>
      </c>
      <c r="T476" s="7">
        <v>3</v>
      </c>
      <c r="V476" s="7">
        <v>1</v>
      </c>
      <c r="W476" s="7">
        <v>1</v>
      </c>
      <c r="X476" s="6"/>
      <c r="Y476" s="7" t="s">
        <v>1581</v>
      </c>
      <c r="Z476" s="7" t="s">
        <v>2957</v>
      </c>
      <c r="AA476" s="7" t="s">
        <v>1639</v>
      </c>
      <c r="AB476" s="7">
        <v>0</v>
      </c>
      <c r="AC476" s="7">
        <v>13</v>
      </c>
      <c r="AD476" s="7">
        <v>0</v>
      </c>
      <c r="AE476" s="7">
        <v>0</v>
      </c>
      <c r="AF476" s="7">
        <v>1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P476" s="7">
        <v>0</v>
      </c>
      <c r="AQ476" s="7">
        <v>1</v>
      </c>
      <c r="AR476" s="7">
        <v>0</v>
      </c>
      <c r="AS476" s="7">
        <v>0</v>
      </c>
      <c r="BE476" s="7">
        <v>240</v>
      </c>
      <c r="BF476" s="7">
        <f t="shared" si="1"/>
        <v>115007</v>
      </c>
      <c r="BG476" s="7">
        <v>2</v>
      </c>
      <c r="BL476" s="7">
        <v>0</v>
      </c>
      <c r="BM476" s="24">
        <v>1</v>
      </c>
    </row>
    <row r="477" spans="1:65" s="7" customFormat="1">
      <c r="A477" s="7">
        <v>115008</v>
      </c>
      <c r="B477" s="7" t="s">
        <v>1470</v>
      </c>
      <c r="C477" s="7" t="s">
        <v>525</v>
      </c>
      <c r="D477" s="7" t="s">
        <v>1561</v>
      </c>
      <c r="E477" s="7">
        <v>1</v>
      </c>
      <c r="F477" s="7" t="s">
        <v>959</v>
      </c>
      <c r="G477" s="7">
        <v>0</v>
      </c>
      <c r="H477" s="7">
        <v>0</v>
      </c>
      <c r="I477" s="7">
        <v>99999</v>
      </c>
      <c r="J477" s="7">
        <v>0</v>
      </c>
      <c r="K477" s="7">
        <v>0</v>
      </c>
      <c r="L477" s="7" t="s">
        <v>1567</v>
      </c>
      <c r="M477" s="7">
        <v>8</v>
      </c>
      <c r="N477" s="7">
        <v>4</v>
      </c>
      <c r="Q477" s="7">
        <v>0</v>
      </c>
      <c r="S477" s="7">
        <f t="shared" si="0"/>
        <v>200</v>
      </c>
      <c r="T477" s="7">
        <v>3</v>
      </c>
      <c r="V477" s="7">
        <v>1</v>
      </c>
      <c r="W477" s="7">
        <v>1</v>
      </c>
      <c r="X477" s="6"/>
      <c r="Y477" s="7" t="s">
        <v>1581</v>
      </c>
      <c r="Z477" s="7" t="s">
        <v>2957</v>
      </c>
      <c r="AA477" s="7" t="s">
        <v>1639</v>
      </c>
      <c r="AB477" s="7">
        <v>0</v>
      </c>
      <c r="AC477" s="7">
        <v>13</v>
      </c>
      <c r="AD477" s="7">
        <v>0</v>
      </c>
      <c r="AE477" s="7">
        <v>0</v>
      </c>
      <c r="AF477" s="7">
        <v>1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P477" s="7">
        <v>0</v>
      </c>
      <c r="AQ477" s="7">
        <v>1</v>
      </c>
      <c r="AR477" s="7">
        <v>0</v>
      </c>
      <c r="AS477" s="7">
        <v>0</v>
      </c>
      <c r="BE477" s="7">
        <v>240</v>
      </c>
      <c r="BF477" s="7">
        <f t="shared" si="1"/>
        <v>115008</v>
      </c>
      <c r="BG477" s="7">
        <v>2</v>
      </c>
      <c r="BL477" s="7">
        <v>0</v>
      </c>
      <c r="BM477" s="24">
        <v>1</v>
      </c>
    </row>
    <row r="478" spans="1:65" s="7" customFormat="1">
      <c r="A478" s="7">
        <v>115009</v>
      </c>
      <c r="B478" s="7" t="s">
        <v>1471</v>
      </c>
      <c r="C478" s="7" t="s">
        <v>525</v>
      </c>
      <c r="D478" s="7" t="s">
        <v>1561</v>
      </c>
      <c r="E478" s="7">
        <v>1</v>
      </c>
      <c r="F478" s="7" t="s">
        <v>959</v>
      </c>
      <c r="G478" s="7">
        <v>0</v>
      </c>
      <c r="H478" s="7">
        <v>0</v>
      </c>
      <c r="I478" s="7">
        <v>99999</v>
      </c>
      <c r="J478" s="7">
        <v>0</v>
      </c>
      <c r="K478" s="7">
        <v>0</v>
      </c>
      <c r="L478" s="7" t="s">
        <v>1567</v>
      </c>
      <c r="M478" s="7">
        <v>9</v>
      </c>
      <c r="N478" s="7">
        <v>4</v>
      </c>
      <c r="Q478" s="7">
        <v>0</v>
      </c>
      <c r="S478" s="7">
        <f t="shared" si="0"/>
        <v>220</v>
      </c>
      <c r="T478" s="7">
        <v>3</v>
      </c>
      <c r="V478" s="7">
        <v>1</v>
      </c>
      <c r="W478" s="7">
        <v>1</v>
      </c>
      <c r="X478" s="6"/>
      <c r="Y478" s="7" t="s">
        <v>1581</v>
      </c>
      <c r="Z478" s="7" t="s">
        <v>2957</v>
      </c>
      <c r="AA478" s="7" t="s">
        <v>1639</v>
      </c>
      <c r="AB478" s="7">
        <v>0</v>
      </c>
      <c r="AC478" s="7">
        <v>13</v>
      </c>
      <c r="AD478" s="7">
        <v>0</v>
      </c>
      <c r="AE478" s="7">
        <v>0</v>
      </c>
      <c r="AF478" s="7">
        <v>1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P478" s="7">
        <v>0</v>
      </c>
      <c r="AQ478" s="7">
        <v>1</v>
      </c>
      <c r="AR478" s="7">
        <v>0</v>
      </c>
      <c r="AS478" s="7">
        <v>0</v>
      </c>
      <c r="BE478" s="7">
        <v>240</v>
      </c>
      <c r="BF478" s="7">
        <f t="shared" si="1"/>
        <v>115009</v>
      </c>
      <c r="BG478" s="7">
        <v>2</v>
      </c>
      <c r="BL478" s="7">
        <v>0</v>
      </c>
      <c r="BM478" s="24">
        <v>1</v>
      </c>
    </row>
    <row r="479" spans="1:65" s="7" customFormat="1">
      <c r="A479" s="7">
        <v>115010</v>
      </c>
      <c r="B479" s="7" t="s">
        <v>1472</v>
      </c>
      <c r="C479" s="7" t="s">
        <v>525</v>
      </c>
      <c r="D479" s="7" t="s">
        <v>1561</v>
      </c>
      <c r="E479" s="7">
        <v>1</v>
      </c>
      <c r="F479" s="7" t="s">
        <v>959</v>
      </c>
      <c r="G479" s="7">
        <v>0</v>
      </c>
      <c r="H479" s="7">
        <v>0</v>
      </c>
      <c r="I479" s="7">
        <v>99999</v>
      </c>
      <c r="J479" s="7">
        <v>0</v>
      </c>
      <c r="K479" s="7">
        <v>0</v>
      </c>
      <c r="L479" s="7" t="s">
        <v>1567</v>
      </c>
      <c r="M479" s="7">
        <v>10</v>
      </c>
      <c r="N479" s="7">
        <v>4</v>
      </c>
      <c r="Q479" s="7">
        <v>0</v>
      </c>
      <c r="S479" s="7">
        <f t="shared" si="0"/>
        <v>240</v>
      </c>
      <c r="T479" s="7">
        <v>3</v>
      </c>
      <c r="V479" s="7">
        <v>1</v>
      </c>
      <c r="W479" s="7">
        <v>1</v>
      </c>
      <c r="X479" s="6"/>
      <c r="Y479" s="7" t="s">
        <v>1581</v>
      </c>
      <c r="Z479" s="7" t="s">
        <v>2957</v>
      </c>
      <c r="AA479" s="7" t="s">
        <v>1639</v>
      </c>
      <c r="AB479" s="7">
        <v>0</v>
      </c>
      <c r="AC479" s="7">
        <v>13</v>
      </c>
      <c r="AD479" s="7">
        <v>0</v>
      </c>
      <c r="AE479" s="7">
        <v>0</v>
      </c>
      <c r="AF479" s="7">
        <v>1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P479" s="7">
        <v>0</v>
      </c>
      <c r="AQ479" s="7">
        <v>1</v>
      </c>
      <c r="AR479" s="7">
        <v>0</v>
      </c>
      <c r="AS479" s="7">
        <v>0</v>
      </c>
      <c r="BE479" s="7">
        <v>240</v>
      </c>
      <c r="BF479" s="7">
        <f t="shared" si="1"/>
        <v>115010</v>
      </c>
      <c r="BG479" s="7">
        <v>2</v>
      </c>
      <c r="BL479" s="7">
        <v>0</v>
      </c>
      <c r="BM479" s="24">
        <v>1</v>
      </c>
    </row>
    <row r="480" spans="1:65" s="7" customFormat="1">
      <c r="A480" s="7">
        <v>115011</v>
      </c>
      <c r="B480" s="7" t="s">
        <v>1473</v>
      </c>
      <c r="C480" s="7" t="s">
        <v>525</v>
      </c>
      <c r="D480" s="7" t="s">
        <v>1561</v>
      </c>
      <c r="E480" s="7">
        <v>1</v>
      </c>
      <c r="F480" s="7" t="s">
        <v>959</v>
      </c>
      <c r="G480" s="7">
        <v>0</v>
      </c>
      <c r="H480" s="7">
        <v>0</v>
      </c>
      <c r="I480" s="7">
        <v>99999</v>
      </c>
      <c r="J480" s="7">
        <v>0</v>
      </c>
      <c r="K480" s="7">
        <v>0</v>
      </c>
      <c r="L480" s="7" t="s">
        <v>1567</v>
      </c>
      <c r="M480" s="7">
        <v>11</v>
      </c>
      <c r="N480" s="7">
        <v>4</v>
      </c>
      <c r="Q480" s="7">
        <v>0</v>
      </c>
      <c r="S480" s="7">
        <f t="shared" si="0"/>
        <v>260</v>
      </c>
      <c r="T480" s="7">
        <v>3</v>
      </c>
      <c r="V480" s="7">
        <v>1</v>
      </c>
      <c r="W480" s="7">
        <v>1</v>
      </c>
      <c r="X480" s="6"/>
      <c r="Y480" s="7" t="s">
        <v>1581</v>
      </c>
      <c r="Z480" s="7" t="s">
        <v>2957</v>
      </c>
      <c r="AA480" s="7" t="s">
        <v>1639</v>
      </c>
      <c r="AB480" s="7">
        <v>0</v>
      </c>
      <c r="AC480" s="7">
        <v>13</v>
      </c>
      <c r="AD480" s="7">
        <v>0</v>
      </c>
      <c r="AE480" s="7">
        <v>0</v>
      </c>
      <c r="AF480" s="7">
        <v>1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P480" s="7">
        <v>0</v>
      </c>
      <c r="AQ480" s="7">
        <v>1</v>
      </c>
      <c r="AR480" s="7">
        <v>0</v>
      </c>
      <c r="AS480" s="7">
        <v>0</v>
      </c>
      <c r="BE480" s="7">
        <v>240</v>
      </c>
      <c r="BF480" s="7">
        <f t="shared" si="1"/>
        <v>115011</v>
      </c>
      <c r="BG480" s="7">
        <v>2</v>
      </c>
      <c r="BL480" s="7">
        <v>0</v>
      </c>
      <c r="BM480" s="24">
        <v>1</v>
      </c>
    </row>
    <row r="481" spans="1:65" s="7" customFormat="1">
      <c r="A481" s="7">
        <v>115012</v>
      </c>
      <c r="B481" s="7" t="s">
        <v>1474</v>
      </c>
      <c r="C481" s="7" t="s">
        <v>525</v>
      </c>
      <c r="D481" s="7" t="s">
        <v>1561</v>
      </c>
      <c r="E481" s="7">
        <v>1</v>
      </c>
      <c r="F481" s="7" t="s">
        <v>959</v>
      </c>
      <c r="G481" s="7">
        <v>0</v>
      </c>
      <c r="H481" s="7">
        <v>0</v>
      </c>
      <c r="I481" s="7">
        <v>99999</v>
      </c>
      <c r="J481" s="7">
        <v>0</v>
      </c>
      <c r="K481" s="7">
        <v>0</v>
      </c>
      <c r="L481" s="7" t="s">
        <v>1567</v>
      </c>
      <c r="M481" s="7">
        <v>12</v>
      </c>
      <c r="N481" s="7">
        <v>4</v>
      </c>
      <c r="Q481" s="7">
        <v>0</v>
      </c>
      <c r="S481" s="7">
        <f t="shared" si="0"/>
        <v>280</v>
      </c>
      <c r="T481" s="7">
        <v>3</v>
      </c>
      <c r="V481" s="7">
        <v>1</v>
      </c>
      <c r="W481" s="7">
        <v>1</v>
      </c>
      <c r="X481" s="6"/>
      <c r="Y481" s="7" t="s">
        <v>1581</v>
      </c>
      <c r="Z481" s="7" t="s">
        <v>2957</v>
      </c>
      <c r="AA481" s="7" t="s">
        <v>1639</v>
      </c>
      <c r="AB481" s="7">
        <v>0</v>
      </c>
      <c r="AC481" s="7">
        <v>13</v>
      </c>
      <c r="AD481" s="7">
        <v>0</v>
      </c>
      <c r="AE481" s="7">
        <v>0</v>
      </c>
      <c r="AF481" s="7">
        <v>1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P481" s="7">
        <v>0</v>
      </c>
      <c r="AQ481" s="7">
        <v>1</v>
      </c>
      <c r="AR481" s="7">
        <v>0</v>
      </c>
      <c r="AS481" s="7">
        <v>0</v>
      </c>
      <c r="BE481" s="7">
        <v>240</v>
      </c>
      <c r="BF481" s="7">
        <f t="shared" si="1"/>
        <v>115012</v>
      </c>
      <c r="BG481" s="7">
        <v>2</v>
      </c>
      <c r="BL481" s="7">
        <v>0</v>
      </c>
      <c r="BM481" s="24">
        <v>1</v>
      </c>
    </row>
    <row r="482" spans="1:65" s="7" customFormat="1">
      <c r="A482" s="7">
        <v>115013</v>
      </c>
      <c r="B482" s="7" t="s">
        <v>1475</v>
      </c>
      <c r="C482" s="7" t="s">
        <v>525</v>
      </c>
      <c r="D482" s="7" t="s">
        <v>1561</v>
      </c>
      <c r="E482" s="7">
        <v>1</v>
      </c>
      <c r="F482" s="7" t="s">
        <v>959</v>
      </c>
      <c r="G482" s="7">
        <v>0</v>
      </c>
      <c r="H482" s="7">
        <v>0</v>
      </c>
      <c r="I482" s="7">
        <v>99999</v>
      </c>
      <c r="J482" s="7">
        <v>0</v>
      </c>
      <c r="K482" s="7">
        <v>0</v>
      </c>
      <c r="L482" s="7" t="s">
        <v>1567</v>
      </c>
      <c r="M482" s="7">
        <v>13</v>
      </c>
      <c r="N482" s="7">
        <v>4</v>
      </c>
      <c r="Q482" s="7">
        <v>0</v>
      </c>
      <c r="S482" s="7">
        <f t="shared" si="0"/>
        <v>300</v>
      </c>
      <c r="T482" s="7">
        <v>3</v>
      </c>
      <c r="V482" s="7">
        <v>1</v>
      </c>
      <c r="W482" s="7">
        <v>1</v>
      </c>
      <c r="X482" s="6"/>
      <c r="Y482" s="7" t="s">
        <v>1581</v>
      </c>
      <c r="Z482" s="7" t="s">
        <v>2957</v>
      </c>
      <c r="AA482" s="7" t="s">
        <v>1639</v>
      </c>
      <c r="AB482" s="7">
        <v>0</v>
      </c>
      <c r="AC482" s="7">
        <v>13</v>
      </c>
      <c r="AD482" s="7">
        <v>0</v>
      </c>
      <c r="AE482" s="7">
        <v>0</v>
      </c>
      <c r="AF482" s="7">
        <v>1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P482" s="7">
        <v>0</v>
      </c>
      <c r="AQ482" s="7">
        <v>1</v>
      </c>
      <c r="AR482" s="7">
        <v>0</v>
      </c>
      <c r="AS482" s="7">
        <v>0</v>
      </c>
      <c r="BE482" s="7">
        <v>240</v>
      </c>
      <c r="BF482" s="7">
        <f t="shared" si="1"/>
        <v>115013</v>
      </c>
      <c r="BG482" s="7">
        <v>2</v>
      </c>
      <c r="BL482" s="7">
        <v>0</v>
      </c>
      <c r="BM482" s="24">
        <v>1</v>
      </c>
    </row>
    <row r="483" spans="1:65" s="7" customFormat="1">
      <c r="A483" s="7">
        <v>115014</v>
      </c>
      <c r="B483" s="7" t="s">
        <v>1476</v>
      </c>
      <c r="C483" s="7" t="s">
        <v>525</v>
      </c>
      <c r="D483" s="7" t="s">
        <v>1561</v>
      </c>
      <c r="E483" s="7">
        <v>1</v>
      </c>
      <c r="F483" s="7" t="s">
        <v>959</v>
      </c>
      <c r="G483" s="7">
        <v>0</v>
      </c>
      <c r="H483" s="7">
        <v>0</v>
      </c>
      <c r="I483" s="7">
        <v>99999</v>
      </c>
      <c r="J483" s="7">
        <v>0</v>
      </c>
      <c r="K483" s="7">
        <v>0</v>
      </c>
      <c r="L483" s="7" t="s">
        <v>1567</v>
      </c>
      <c r="M483" s="7">
        <v>14</v>
      </c>
      <c r="N483" s="7">
        <v>4</v>
      </c>
      <c r="Q483" s="7">
        <v>0</v>
      </c>
      <c r="S483" s="7">
        <f t="shared" si="0"/>
        <v>320</v>
      </c>
      <c r="T483" s="7">
        <v>3</v>
      </c>
      <c r="V483" s="7">
        <v>1</v>
      </c>
      <c r="W483" s="7">
        <v>1</v>
      </c>
      <c r="X483" s="6"/>
      <c r="Y483" s="7" t="s">
        <v>1581</v>
      </c>
      <c r="Z483" s="7" t="s">
        <v>2957</v>
      </c>
      <c r="AA483" s="7" t="s">
        <v>1639</v>
      </c>
      <c r="AB483" s="7">
        <v>0</v>
      </c>
      <c r="AC483" s="7">
        <v>13</v>
      </c>
      <c r="AD483" s="7">
        <v>0</v>
      </c>
      <c r="AE483" s="7">
        <v>0</v>
      </c>
      <c r="AF483" s="7">
        <v>1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P483" s="7">
        <v>0</v>
      </c>
      <c r="AQ483" s="7">
        <v>1</v>
      </c>
      <c r="AR483" s="7">
        <v>0</v>
      </c>
      <c r="AS483" s="7">
        <v>0</v>
      </c>
      <c r="BE483" s="7">
        <v>240</v>
      </c>
      <c r="BF483" s="7">
        <f t="shared" si="1"/>
        <v>115014</v>
      </c>
      <c r="BG483" s="7">
        <v>2</v>
      </c>
      <c r="BL483" s="7">
        <v>0</v>
      </c>
      <c r="BM483" s="24">
        <v>1</v>
      </c>
    </row>
    <row r="484" spans="1:65" s="7" customFormat="1">
      <c r="A484" s="7">
        <v>115015</v>
      </c>
      <c r="B484" s="7" t="s">
        <v>1477</v>
      </c>
      <c r="C484" s="7" t="s">
        <v>525</v>
      </c>
      <c r="D484" s="7" t="s">
        <v>1561</v>
      </c>
      <c r="E484" s="7">
        <v>1</v>
      </c>
      <c r="F484" s="7" t="s">
        <v>959</v>
      </c>
      <c r="G484" s="7">
        <v>0</v>
      </c>
      <c r="H484" s="7">
        <v>0</v>
      </c>
      <c r="I484" s="7">
        <v>99999</v>
      </c>
      <c r="J484" s="7">
        <v>0</v>
      </c>
      <c r="K484" s="7">
        <v>0</v>
      </c>
      <c r="L484" s="7" t="s">
        <v>1567</v>
      </c>
      <c r="M484" s="7">
        <v>15</v>
      </c>
      <c r="N484" s="7">
        <v>4</v>
      </c>
      <c r="Q484" s="7">
        <v>0</v>
      </c>
      <c r="S484" s="7">
        <f t="shared" si="0"/>
        <v>340</v>
      </c>
      <c r="T484" s="7">
        <v>3</v>
      </c>
      <c r="V484" s="7">
        <v>1</v>
      </c>
      <c r="W484" s="7">
        <v>1</v>
      </c>
      <c r="X484" s="6"/>
      <c r="Y484" s="7" t="s">
        <v>1581</v>
      </c>
      <c r="Z484" s="7" t="s">
        <v>2957</v>
      </c>
      <c r="AA484" s="7" t="s">
        <v>1639</v>
      </c>
      <c r="AB484" s="7">
        <v>0</v>
      </c>
      <c r="AC484" s="7">
        <v>13</v>
      </c>
      <c r="AD484" s="7">
        <v>0</v>
      </c>
      <c r="AE484" s="7">
        <v>0</v>
      </c>
      <c r="AF484" s="7">
        <v>1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P484" s="7">
        <v>0</v>
      </c>
      <c r="AQ484" s="7">
        <v>1</v>
      </c>
      <c r="AR484" s="7">
        <v>0</v>
      </c>
      <c r="AS484" s="7">
        <v>0</v>
      </c>
      <c r="BE484" s="7">
        <v>240</v>
      </c>
      <c r="BF484" s="7">
        <f t="shared" si="1"/>
        <v>115015</v>
      </c>
      <c r="BG484" s="7">
        <v>2</v>
      </c>
      <c r="BL484" s="7">
        <v>0</v>
      </c>
      <c r="BM484" s="24">
        <v>1</v>
      </c>
    </row>
    <row r="485" spans="1:65" s="7" customFormat="1">
      <c r="A485" s="7">
        <v>115016</v>
      </c>
      <c r="B485" s="7" t="s">
        <v>1478</v>
      </c>
      <c r="C485" s="7" t="s">
        <v>525</v>
      </c>
      <c r="D485" s="7" t="s">
        <v>1561</v>
      </c>
      <c r="E485" s="7">
        <v>1</v>
      </c>
      <c r="F485" s="7" t="s">
        <v>959</v>
      </c>
      <c r="G485" s="7">
        <v>0</v>
      </c>
      <c r="H485" s="7">
        <v>0</v>
      </c>
      <c r="I485" s="7">
        <v>99999</v>
      </c>
      <c r="J485" s="7">
        <v>0</v>
      </c>
      <c r="K485" s="7">
        <v>0</v>
      </c>
      <c r="L485" s="7" t="s">
        <v>1567</v>
      </c>
      <c r="M485" s="7">
        <v>16</v>
      </c>
      <c r="N485" s="7">
        <v>4</v>
      </c>
      <c r="Q485" s="7">
        <v>0</v>
      </c>
      <c r="S485" s="7">
        <f t="shared" si="0"/>
        <v>360</v>
      </c>
      <c r="T485" s="7">
        <v>3</v>
      </c>
      <c r="V485" s="7">
        <v>1</v>
      </c>
      <c r="W485" s="7">
        <v>1</v>
      </c>
      <c r="X485" s="6"/>
      <c r="Y485" s="7" t="s">
        <v>1581</v>
      </c>
      <c r="Z485" s="7" t="s">
        <v>2957</v>
      </c>
      <c r="AA485" s="7" t="s">
        <v>1639</v>
      </c>
      <c r="AB485" s="7">
        <v>0</v>
      </c>
      <c r="AC485" s="7">
        <v>13</v>
      </c>
      <c r="AD485" s="7">
        <v>0</v>
      </c>
      <c r="AE485" s="7">
        <v>0</v>
      </c>
      <c r="AF485" s="7">
        <v>1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P485" s="7">
        <v>0</v>
      </c>
      <c r="AQ485" s="7">
        <v>1</v>
      </c>
      <c r="AR485" s="7">
        <v>0</v>
      </c>
      <c r="AS485" s="7">
        <v>0</v>
      </c>
      <c r="BE485" s="7">
        <v>240</v>
      </c>
      <c r="BF485" s="7">
        <f t="shared" si="1"/>
        <v>115016</v>
      </c>
      <c r="BG485" s="7">
        <v>2</v>
      </c>
      <c r="BL485" s="7">
        <v>0</v>
      </c>
      <c r="BM485" s="24">
        <v>1</v>
      </c>
    </row>
    <row r="486" spans="1:65" s="7" customFormat="1">
      <c r="A486" s="7">
        <v>115017</v>
      </c>
      <c r="B486" s="7" t="s">
        <v>1479</v>
      </c>
      <c r="C486" s="7" t="s">
        <v>525</v>
      </c>
      <c r="D486" s="7" t="s">
        <v>1561</v>
      </c>
      <c r="E486" s="7">
        <v>1</v>
      </c>
      <c r="F486" s="7" t="s">
        <v>959</v>
      </c>
      <c r="G486" s="7">
        <v>0</v>
      </c>
      <c r="H486" s="7">
        <v>0</v>
      </c>
      <c r="I486" s="7">
        <v>99999</v>
      </c>
      <c r="J486" s="7">
        <v>0</v>
      </c>
      <c r="K486" s="7">
        <v>0</v>
      </c>
      <c r="L486" s="7" t="s">
        <v>1567</v>
      </c>
      <c r="M486" s="7">
        <v>17</v>
      </c>
      <c r="N486" s="7">
        <v>4</v>
      </c>
      <c r="Q486" s="7">
        <v>0</v>
      </c>
      <c r="S486" s="7">
        <f t="shared" si="0"/>
        <v>400</v>
      </c>
      <c r="T486" s="7">
        <v>3</v>
      </c>
      <c r="V486" s="7">
        <v>1</v>
      </c>
      <c r="W486" s="7">
        <v>1</v>
      </c>
      <c r="X486" s="6"/>
      <c r="Y486" s="7" t="s">
        <v>1581</v>
      </c>
      <c r="Z486" s="7" t="s">
        <v>2957</v>
      </c>
      <c r="AA486" s="7" t="s">
        <v>1639</v>
      </c>
      <c r="AB486" s="7">
        <v>0</v>
      </c>
      <c r="AC486" s="7">
        <v>13</v>
      </c>
      <c r="AD486" s="7">
        <v>0</v>
      </c>
      <c r="AE486" s="7">
        <v>0</v>
      </c>
      <c r="AF486" s="7">
        <v>1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P486" s="7">
        <v>0</v>
      </c>
      <c r="AQ486" s="7">
        <v>1</v>
      </c>
      <c r="AR486" s="7">
        <v>0</v>
      </c>
      <c r="AS486" s="7">
        <v>0</v>
      </c>
      <c r="BE486" s="7">
        <v>240</v>
      </c>
      <c r="BF486" s="7">
        <f t="shared" si="1"/>
        <v>115017</v>
      </c>
      <c r="BG486" s="7">
        <v>2</v>
      </c>
      <c r="BL486" s="7">
        <v>0</v>
      </c>
      <c r="BM486" s="24">
        <v>1</v>
      </c>
    </row>
    <row r="487" spans="1:65" s="7" customFormat="1">
      <c r="A487" s="7">
        <v>115018</v>
      </c>
      <c r="B487" s="7" t="s">
        <v>1480</v>
      </c>
      <c r="C487" s="7" t="s">
        <v>525</v>
      </c>
      <c r="D487" s="7" t="s">
        <v>1561</v>
      </c>
      <c r="E487" s="7">
        <v>1</v>
      </c>
      <c r="F487" s="7" t="s">
        <v>959</v>
      </c>
      <c r="G487" s="7">
        <v>0</v>
      </c>
      <c r="H487" s="7">
        <v>0</v>
      </c>
      <c r="I487" s="7">
        <v>99999</v>
      </c>
      <c r="J487" s="7">
        <v>0</v>
      </c>
      <c r="K487" s="7">
        <v>0</v>
      </c>
      <c r="L487" s="7" t="s">
        <v>1567</v>
      </c>
      <c r="M487" s="7">
        <v>18</v>
      </c>
      <c r="N487" s="7">
        <v>4</v>
      </c>
      <c r="Q487" s="7">
        <v>0</v>
      </c>
      <c r="S487" s="7">
        <f t="shared" si="0"/>
        <v>440</v>
      </c>
      <c r="T487" s="7">
        <v>3</v>
      </c>
      <c r="V487" s="7">
        <v>1</v>
      </c>
      <c r="W487" s="7">
        <v>1</v>
      </c>
      <c r="X487" s="6"/>
      <c r="Y487" s="7" t="s">
        <v>1581</v>
      </c>
      <c r="Z487" s="7" t="s">
        <v>2957</v>
      </c>
      <c r="AA487" s="7" t="s">
        <v>1639</v>
      </c>
      <c r="AB487" s="7">
        <v>0</v>
      </c>
      <c r="AC487" s="7">
        <v>13</v>
      </c>
      <c r="AD487" s="7">
        <v>0</v>
      </c>
      <c r="AE487" s="7">
        <v>0</v>
      </c>
      <c r="AF487" s="7">
        <v>1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P487" s="7">
        <v>0</v>
      </c>
      <c r="AQ487" s="7">
        <v>1</v>
      </c>
      <c r="AR487" s="7">
        <v>0</v>
      </c>
      <c r="AS487" s="7">
        <v>0</v>
      </c>
      <c r="BE487" s="7">
        <v>240</v>
      </c>
      <c r="BF487" s="7">
        <f t="shared" si="1"/>
        <v>115018</v>
      </c>
      <c r="BG487" s="7">
        <v>2</v>
      </c>
      <c r="BL487" s="7">
        <v>0</v>
      </c>
      <c r="BM487" s="24">
        <v>1</v>
      </c>
    </row>
    <row r="488" spans="1:65" s="7" customFormat="1">
      <c r="A488" s="7">
        <v>115019</v>
      </c>
      <c r="B488" s="7" t="s">
        <v>1481</v>
      </c>
      <c r="C488" s="7" t="s">
        <v>525</v>
      </c>
      <c r="D488" s="7" t="s">
        <v>1561</v>
      </c>
      <c r="E488" s="7">
        <v>1</v>
      </c>
      <c r="F488" s="7" t="s">
        <v>959</v>
      </c>
      <c r="G488" s="7">
        <v>0</v>
      </c>
      <c r="H488" s="7">
        <v>0</v>
      </c>
      <c r="I488" s="7">
        <v>99999</v>
      </c>
      <c r="J488" s="7">
        <v>0</v>
      </c>
      <c r="K488" s="7">
        <v>0</v>
      </c>
      <c r="L488" s="7" t="s">
        <v>1567</v>
      </c>
      <c r="M488" s="7">
        <v>19</v>
      </c>
      <c r="N488" s="7">
        <v>4</v>
      </c>
      <c r="Q488" s="7">
        <v>0</v>
      </c>
      <c r="S488" s="7">
        <f t="shared" si="0"/>
        <v>480</v>
      </c>
      <c r="T488" s="7">
        <v>3</v>
      </c>
      <c r="V488" s="7">
        <v>1</v>
      </c>
      <c r="W488" s="7">
        <v>1</v>
      </c>
      <c r="X488" s="6"/>
      <c r="Y488" s="7" t="s">
        <v>1581</v>
      </c>
      <c r="Z488" s="7" t="s">
        <v>2957</v>
      </c>
      <c r="AA488" s="7" t="s">
        <v>1639</v>
      </c>
      <c r="AB488" s="7">
        <v>0</v>
      </c>
      <c r="AC488" s="7">
        <v>13</v>
      </c>
      <c r="AD488" s="7">
        <v>0</v>
      </c>
      <c r="AE488" s="7">
        <v>0</v>
      </c>
      <c r="AF488" s="7">
        <v>1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P488" s="7">
        <v>0</v>
      </c>
      <c r="AQ488" s="7">
        <v>1</v>
      </c>
      <c r="AR488" s="7">
        <v>0</v>
      </c>
      <c r="AS488" s="7">
        <v>0</v>
      </c>
      <c r="BE488" s="7">
        <v>240</v>
      </c>
      <c r="BF488" s="7">
        <f t="shared" si="1"/>
        <v>115019</v>
      </c>
      <c r="BG488" s="7">
        <v>2</v>
      </c>
      <c r="BL488" s="7">
        <v>0</v>
      </c>
      <c r="BM488" s="24">
        <v>1</v>
      </c>
    </row>
    <row r="489" spans="1:65" s="7" customFormat="1">
      <c r="A489" s="7">
        <v>115020</v>
      </c>
      <c r="B489" s="7" t="s">
        <v>1482</v>
      </c>
      <c r="C489" s="7" t="s">
        <v>525</v>
      </c>
      <c r="D489" s="7" t="s">
        <v>1561</v>
      </c>
      <c r="E489" s="7">
        <v>1</v>
      </c>
      <c r="F489" s="7" t="s">
        <v>959</v>
      </c>
      <c r="G489" s="7">
        <v>0</v>
      </c>
      <c r="H489" s="7">
        <v>0</v>
      </c>
      <c r="I489" s="7">
        <v>99999</v>
      </c>
      <c r="J489" s="7">
        <v>0</v>
      </c>
      <c r="K489" s="7">
        <v>0</v>
      </c>
      <c r="L489" s="7" t="s">
        <v>1567</v>
      </c>
      <c r="M489" s="7">
        <v>20</v>
      </c>
      <c r="N489" s="7">
        <v>4</v>
      </c>
      <c r="Q489" s="7">
        <v>0</v>
      </c>
      <c r="S489" s="7">
        <f t="shared" si="0"/>
        <v>520</v>
      </c>
      <c r="T489" s="7">
        <v>3</v>
      </c>
      <c r="V489" s="7">
        <v>1</v>
      </c>
      <c r="W489" s="7">
        <v>1</v>
      </c>
      <c r="X489" s="6"/>
      <c r="Y489" s="7" t="s">
        <v>1581</v>
      </c>
      <c r="Z489" s="7" t="s">
        <v>2957</v>
      </c>
      <c r="AA489" s="7" t="s">
        <v>1639</v>
      </c>
      <c r="AB489" s="7">
        <v>0</v>
      </c>
      <c r="AC489" s="7">
        <v>13</v>
      </c>
      <c r="AD489" s="7">
        <v>0</v>
      </c>
      <c r="AE489" s="7">
        <v>0</v>
      </c>
      <c r="AF489" s="7">
        <v>1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P489" s="7">
        <v>0</v>
      </c>
      <c r="AQ489" s="7">
        <v>1</v>
      </c>
      <c r="AR489" s="7">
        <v>0</v>
      </c>
      <c r="AS489" s="7">
        <v>0</v>
      </c>
      <c r="BE489" s="7">
        <v>240</v>
      </c>
      <c r="BF489" s="7">
        <f t="shared" si="1"/>
        <v>115020</v>
      </c>
      <c r="BG489" s="7">
        <v>2</v>
      </c>
      <c r="BL489" s="7">
        <v>0</v>
      </c>
      <c r="BM489" s="24">
        <v>1</v>
      </c>
    </row>
    <row r="490" spans="1:65" s="7" customFormat="1">
      <c r="A490" s="7">
        <v>115021</v>
      </c>
      <c r="B490" s="7" t="s">
        <v>1483</v>
      </c>
      <c r="C490" s="7" t="s">
        <v>525</v>
      </c>
      <c r="D490" s="7" t="s">
        <v>1561</v>
      </c>
      <c r="E490" s="7">
        <v>1</v>
      </c>
      <c r="F490" s="7" t="s">
        <v>959</v>
      </c>
      <c r="G490" s="7">
        <v>0</v>
      </c>
      <c r="H490" s="7">
        <v>0</v>
      </c>
      <c r="I490" s="7">
        <v>99999</v>
      </c>
      <c r="J490" s="7">
        <v>0</v>
      </c>
      <c r="K490" s="7">
        <v>0</v>
      </c>
      <c r="L490" s="7" t="s">
        <v>1567</v>
      </c>
      <c r="M490" s="7">
        <v>21</v>
      </c>
      <c r="N490" s="7">
        <v>4</v>
      </c>
      <c r="Q490" s="7">
        <v>0</v>
      </c>
      <c r="S490" s="7">
        <f t="shared" si="0"/>
        <v>560</v>
      </c>
      <c r="T490" s="7">
        <v>3</v>
      </c>
      <c r="V490" s="7">
        <v>1</v>
      </c>
      <c r="W490" s="7">
        <v>1</v>
      </c>
      <c r="X490" s="6"/>
      <c r="Y490" s="7" t="s">
        <v>1581</v>
      </c>
      <c r="Z490" s="7" t="s">
        <v>2957</v>
      </c>
      <c r="AA490" s="7" t="s">
        <v>1639</v>
      </c>
      <c r="AB490" s="7">
        <v>0</v>
      </c>
      <c r="AC490" s="7">
        <v>13</v>
      </c>
      <c r="AD490" s="7">
        <v>0</v>
      </c>
      <c r="AE490" s="7">
        <v>0</v>
      </c>
      <c r="AF490" s="7">
        <v>1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P490" s="7">
        <v>0</v>
      </c>
      <c r="AQ490" s="7">
        <v>1</v>
      </c>
      <c r="AR490" s="7">
        <v>0</v>
      </c>
      <c r="AS490" s="7">
        <v>0</v>
      </c>
      <c r="BE490" s="7">
        <v>240</v>
      </c>
      <c r="BF490" s="7">
        <f t="shared" si="1"/>
        <v>115021</v>
      </c>
      <c r="BG490" s="7">
        <v>2</v>
      </c>
      <c r="BL490" s="7">
        <v>0</v>
      </c>
      <c r="BM490" s="24">
        <v>1</v>
      </c>
    </row>
    <row r="491" spans="1:65" s="7" customFormat="1">
      <c r="A491" s="7">
        <v>115022</v>
      </c>
      <c r="B491" s="7" t="s">
        <v>1484</v>
      </c>
      <c r="C491" s="7" t="s">
        <v>525</v>
      </c>
      <c r="D491" s="7" t="s">
        <v>1561</v>
      </c>
      <c r="E491" s="7">
        <v>1</v>
      </c>
      <c r="F491" s="7" t="s">
        <v>959</v>
      </c>
      <c r="G491" s="7">
        <v>0</v>
      </c>
      <c r="H491" s="7">
        <v>0</v>
      </c>
      <c r="I491" s="7">
        <v>99999</v>
      </c>
      <c r="J491" s="7">
        <v>0</v>
      </c>
      <c r="K491" s="7">
        <v>0</v>
      </c>
      <c r="L491" s="7" t="s">
        <v>1567</v>
      </c>
      <c r="M491" s="7">
        <v>22</v>
      </c>
      <c r="N491" s="7">
        <v>4</v>
      </c>
      <c r="Q491" s="7">
        <v>0</v>
      </c>
      <c r="S491" s="7">
        <f t="shared" si="0"/>
        <v>600</v>
      </c>
      <c r="T491" s="7">
        <v>3</v>
      </c>
      <c r="V491" s="7">
        <v>1</v>
      </c>
      <c r="W491" s="7">
        <v>1</v>
      </c>
      <c r="X491" s="6"/>
      <c r="Y491" s="7" t="s">
        <v>1581</v>
      </c>
      <c r="Z491" s="7" t="s">
        <v>2957</v>
      </c>
      <c r="AA491" s="7" t="s">
        <v>1639</v>
      </c>
      <c r="AB491" s="7">
        <v>0</v>
      </c>
      <c r="AC491" s="7">
        <v>13</v>
      </c>
      <c r="AD491" s="7">
        <v>0</v>
      </c>
      <c r="AE491" s="7">
        <v>0</v>
      </c>
      <c r="AF491" s="7">
        <v>1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P491" s="7">
        <v>0</v>
      </c>
      <c r="AQ491" s="7">
        <v>1</v>
      </c>
      <c r="AR491" s="7">
        <v>0</v>
      </c>
      <c r="AS491" s="7">
        <v>0</v>
      </c>
      <c r="BE491" s="7">
        <v>240</v>
      </c>
      <c r="BF491" s="7">
        <f t="shared" si="1"/>
        <v>115022</v>
      </c>
      <c r="BG491" s="7">
        <v>2</v>
      </c>
      <c r="BL491" s="7">
        <v>0</v>
      </c>
      <c r="BM491" s="24">
        <v>1</v>
      </c>
    </row>
    <row r="492" spans="1:65" s="7" customFormat="1">
      <c r="A492" s="7">
        <v>115023</v>
      </c>
      <c r="B492" s="7" t="s">
        <v>1485</v>
      </c>
      <c r="C492" s="7" t="s">
        <v>525</v>
      </c>
      <c r="D492" s="7" t="s">
        <v>1561</v>
      </c>
      <c r="E492" s="7">
        <v>1</v>
      </c>
      <c r="F492" s="7" t="s">
        <v>959</v>
      </c>
      <c r="G492" s="7">
        <v>0</v>
      </c>
      <c r="H492" s="7">
        <v>0</v>
      </c>
      <c r="I492" s="7">
        <v>99999</v>
      </c>
      <c r="J492" s="7">
        <v>0</v>
      </c>
      <c r="K492" s="7">
        <v>0</v>
      </c>
      <c r="L492" s="7" t="s">
        <v>1567</v>
      </c>
      <c r="M492" s="7">
        <v>23</v>
      </c>
      <c r="N492" s="7">
        <v>4</v>
      </c>
      <c r="Q492" s="7">
        <v>0</v>
      </c>
      <c r="S492" s="7">
        <f t="shared" si="0"/>
        <v>640</v>
      </c>
      <c r="T492" s="7">
        <v>3</v>
      </c>
      <c r="V492" s="7">
        <v>1</v>
      </c>
      <c r="W492" s="7">
        <v>1</v>
      </c>
      <c r="X492" s="6"/>
      <c r="Y492" s="7" t="s">
        <v>1581</v>
      </c>
      <c r="Z492" s="7" t="s">
        <v>2957</v>
      </c>
      <c r="AA492" s="7" t="s">
        <v>1639</v>
      </c>
      <c r="AB492" s="7">
        <v>0</v>
      </c>
      <c r="AC492" s="7">
        <v>13</v>
      </c>
      <c r="AD492" s="7">
        <v>0</v>
      </c>
      <c r="AE492" s="7">
        <v>0</v>
      </c>
      <c r="AF492" s="7">
        <v>1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P492" s="7">
        <v>0</v>
      </c>
      <c r="AQ492" s="7">
        <v>1</v>
      </c>
      <c r="AR492" s="7">
        <v>0</v>
      </c>
      <c r="AS492" s="7">
        <v>0</v>
      </c>
      <c r="BE492" s="7">
        <v>240</v>
      </c>
      <c r="BF492" s="7">
        <f t="shared" si="1"/>
        <v>115023</v>
      </c>
      <c r="BG492" s="7">
        <v>2</v>
      </c>
      <c r="BL492" s="7">
        <v>0</v>
      </c>
      <c r="BM492" s="24">
        <v>1</v>
      </c>
    </row>
    <row r="493" spans="1:65" s="7" customFormat="1">
      <c r="A493" s="7">
        <v>115024</v>
      </c>
      <c r="B493" s="7" t="s">
        <v>1486</v>
      </c>
      <c r="C493" s="7" t="s">
        <v>525</v>
      </c>
      <c r="D493" s="7" t="s">
        <v>1561</v>
      </c>
      <c r="E493" s="7">
        <v>1</v>
      </c>
      <c r="F493" s="7" t="s">
        <v>959</v>
      </c>
      <c r="G493" s="7">
        <v>0</v>
      </c>
      <c r="H493" s="7">
        <v>0</v>
      </c>
      <c r="I493" s="7">
        <v>99999</v>
      </c>
      <c r="J493" s="7">
        <v>0</v>
      </c>
      <c r="K493" s="7">
        <v>0</v>
      </c>
      <c r="L493" s="7" t="s">
        <v>1567</v>
      </c>
      <c r="M493" s="7">
        <v>24</v>
      </c>
      <c r="N493" s="7">
        <v>4</v>
      </c>
      <c r="Q493" s="7">
        <v>0</v>
      </c>
      <c r="S493" s="7">
        <f t="shared" si="0"/>
        <v>680</v>
      </c>
      <c r="T493" s="7">
        <v>3</v>
      </c>
      <c r="V493" s="7">
        <v>1</v>
      </c>
      <c r="W493" s="7">
        <v>1</v>
      </c>
      <c r="X493" s="6"/>
      <c r="Y493" s="7" t="s">
        <v>1581</v>
      </c>
      <c r="Z493" s="7" t="s">
        <v>2957</v>
      </c>
      <c r="AA493" s="7" t="s">
        <v>1639</v>
      </c>
      <c r="AB493" s="7">
        <v>0</v>
      </c>
      <c r="AC493" s="7">
        <v>13</v>
      </c>
      <c r="AD493" s="7">
        <v>0</v>
      </c>
      <c r="AE493" s="7">
        <v>0</v>
      </c>
      <c r="AF493" s="7">
        <v>1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P493" s="7">
        <v>0</v>
      </c>
      <c r="AQ493" s="7">
        <v>1</v>
      </c>
      <c r="AR493" s="7">
        <v>0</v>
      </c>
      <c r="AS493" s="7">
        <v>0</v>
      </c>
      <c r="BE493" s="7">
        <v>240</v>
      </c>
      <c r="BF493" s="7">
        <f t="shared" si="1"/>
        <v>115024</v>
      </c>
      <c r="BG493" s="7">
        <v>2</v>
      </c>
      <c r="BL493" s="7">
        <v>0</v>
      </c>
      <c r="BM493" s="24">
        <v>1</v>
      </c>
    </row>
    <row r="494" spans="1:65" s="7" customFormat="1">
      <c r="A494" s="7">
        <v>115025</v>
      </c>
      <c r="B494" s="7" t="s">
        <v>1487</v>
      </c>
      <c r="C494" s="7" t="s">
        <v>525</v>
      </c>
      <c r="D494" s="7" t="s">
        <v>1561</v>
      </c>
      <c r="E494" s="7">
        <v>1</v>
      </c>
      <c r="F494" s="7" t="s">
        <v>959</v>
      </c>
      <c r="G494" s="7">
        <v>0</v>
      </c>
      <c r="H494" s="7">
        <v>0</v>
      </c>
      <c r="I494" s="7">
        <v>99999</v>
      </c>
      <c r="J494" s="7">
        <v>0</v>
      </c>
      <c r="K494" s="7">
        <v>0</v>
      </c>
      <c r="L494" s="7" t="s">
        <v>1567</v>
      </c>
      <c r="M494" s="7">
        <v>25</v>
      </c>
      <c r="N494" s="7">
        <v>4</v>
      </c>
      <c r="Q494" s="7">
        <v>0</v>
      </c>
      <c r="S494" s="7">
        <f t="shared" si="0"/>
        <v>720</v>
      </c>
      <c r="T494" s="7">
        <v>3</v>
      </c>
      <c r="V494" s="7">
        <v>1</v>
      </c>
      <c r="W494" s="7">
        <v>1</v>
      </c>
      <c r="X494" s="6"/>
      <c r="Y494" s="7" t="s">
        <v>1581</v>
      </c>
      <c r="Z494" s="7" t="s">
        <v>2957</v>
      </c>
      <c r="AA494" s="7" t="s">
        <v>1639</v>
      </c>
      <c r="AB494" s="7">
        <v>0</v>
      </c>
      <c r="AC494" s="7">
        <v>13</v>
      </c>
      <c r="AD494" s="7">
        <v>0</v>
      </c>
      <c r="AE494" s="7">
        <v>0</v>
      </c>
      <c r="AF494" s="7">
        <v>1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P494" s="7">
        <v>0</v>
      </c>
      <c r="AQ494" s="7">
        <v>1</v>
      </c>
      <c r="AR494" s="7">
        <v>0</v>
      </c>
      <c r="AS494" s="7">
        <v>0</v>
      </c>
      <c r="BE494" s="7">
        <v>240</v>
      </c>
      <c r="BF494" s="7">
        <f t="shared" si="1"/>
        <v>115025</v>
      </c>
      <c r="BG494" s="7">
        <v>2</v>
      </c>
      <c r="BL494" s="7">
        <v>0</v>
      </c>
      <c r="BM494" s="24">
        <v>1</v>
      </c>
    </row>
    <row r="495" spans="1:65" s="7" customFormat="1">
      <c r="A495" s="7">
        <v>115026</v>
      </c>
      <c r="B495" s="7" t="s">
        <v>1488</v>
      </c>
      <c r="C495" s="7" t="s">
        <v>525</v>
      </c>
      <c r="D495" s="7" t="s">
        <v>1561</v>
      </c>
      <c r="E495" s="7">
        <v>1</v>
      </c>
      <c r="F495" s="7" t="s">
        <v>959</v>
      </c>
      <c r="G495" s="7">
        <v>0</v>
      </c>
      <c r="H495" s="7">
        <v>0</v>
      </c>
      <c r="I495" s="7">
        <v>99999</v>
      </c>
      <c r="J495" s="7">
        <v>0</v>
      </c>
      <c r="K495" s="7">
        <v>0</v>
      </c>
      <c r="L495" s="7" t="s">
        <v>1567</v>
      </c>
      <c r="M495" s="7">
        <v>26</v>
      </c>
      <c r="N495" s="7">
        <v>4</v>
      </c>
      <c r="Q495" s="7">
        <v>0</v>
      </c>
      <c r="S495" s="7">
        <f t="shared" si="0"/>
        <v>760</v>
      </c>
      <c r="T495" s="7">
        <v>3</v>
      </c>
      <c r="V495" s="7">
        <v>1</v>
      </c>
      <c r="W495" s="7">
        <v>1</v>
      </c>
      <c r="X495" s="6"/>
      <c r="Y495" s="7" t="s">
        <v>1581</v>
      </c>
      <c r="Z495" s="7" t="s">
        <v>2957</v>
      </c>
      <c r="AA495" s="7" t="s">
        <v>1639</v>
      </c>
      <c r="AB495" s="7">
        <v>0</v>
      </c>
      <c r="AC495" s="7">
        <v>13</v>
      </c>
      <c r="AD495" s="7">
        <v>0</v>
      </c>
      <c r="AE495" s="7">
        <v>0</v>
      </c>
      <c r="AF495" s="7">
        <v>1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P495" s="7">
        <v>0</v>
      </c>
      <c r="AQ495" s="7">
        <v>1</v>
      </c>
      <c r="AR495" s="7">
        <v>0</v>
      </c>
      <c r="AS495" s="7">
        <v>0</v>
      </c>
      <c r="BE495" s="7">
        <v>240</v>
      </c>
      <c r="BF495" s="7">
        <f t="shared" si="1"/>
        <v>115026</v>
      </c>
      <c r="BG495" s="7">
        <v>2</v>
      </c>
      <c r="BL495" s="7">
        <v>0</v>
      </c>
      <c r="BM495" s="24">
        <v>1</v>
      </c>
    </row>
    <row r="496" spans="1:65" s="7" customFormat="1">
      <c r="A496" s="7">
        <v>116003</v>
      </c>
      <c r="B496" s="7" t="s">
        <v>1489</v>
      </c>
      <c r="C496" s="7" t="s">
        <v>525</v>
      </c>
      <c r="D496" s="7" t="s">
        <v>1561</v>
      </c>
      <c r="E496" s="7">
        <v>1</v>
      </c>
      <c r="F496" s="7" t="s">
        <v>959</v>
      </c>
      <c r="G496" s="7">
        <v>0</v>
      </c>
      <c r="H496" s="7">
        <v>0</v>
      </c>
      <c r="I496" s="7">
        <v>99999</v>
      </c>
      <c r="J496" s="7">
        <v>0</v>
      </c>
      <c r="K496" s="7">
        <v>0</v>
      </c>
      <c r="L496" s="7" t="s">
        <v>1567</v>
      </c>
      <c r="M496" s="7">
        <v>3</v>
      </c>
      <c r="N496" s="7">
        <v>4</v>
      </c>
      <c r="Q496" s="7">
        <v>0</v>
      </c>
      <c r="S496" s="7">
        <f>S447*1.1</f>
        <v>220.00000000000003</v>
      </c>
      <c r="T496" s="7">
        <v>3</v>
      </c>
      <c r="V496" s="7">
        <v>1</v>
      </c>
      <c r="W496" s="7">
        <v>1</v>
      </c>
      <c r="X496" s="6"/>
      <c r="Y496" s="7" t="s">
        <v>1582</v>
      </c>
      <c r="Z496" s="7" t="s">
        <v>2957</v>
      </c>
      <c r="AA496" s="7" t="s">
        <v>1640</v>
      </c>
      <c r="AB496" s="7">
        <v>0</v>
      </c>
      <c r="AC496" s="7">
        <v>13</v>
      </c>
      <c r="AD496" s="7">
        <v>0</v>
      </c>
      <c r="AE496" s="7">
        <v>0</v>
      </c>
      <c r="AF496" s="7">
        <v>1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P496" s="7">
        <v>0</v>
      </c>
      <c r="AQ496" s="7">
        <v>1</v>
      </c>
      <c r="AR496" s="7">
        <v>0</v>
      </c>
      <c r="AS496" s="7">
        <v>0</v>
      </c>
      <c r="BE496" s="7">
        <v>240</v>
      </c>
      <c r="BF496" s="7">
        <f t="shared" si="1"/>
        <v>116003</v>
      </c>
      <c r="BG496" s="7">
        <v>2</v>
      </c>
      <c r="BL496" s="7">
        <v>0</v>
      </c>
      <c r="BM496" s="24">
        <v>1</v>
      </c>
    </row>
    <row r="497" spans="1:65" s="7" customFormat="1">
      <c r="A497" s="7">
        <v>116004</v>
      </c>
      <c r="B497" s="7" t="s">
        <v>1490</v>
      </c>
      <c r="C497" s="7" t="s">
        <v>525</v>
      </c>
      <c r="D497" s="7" t="s">
        <v>1561</v>
      </c>
      <c r="E497" s="7">
        <v>1</v>
      </c>
      <c r="F497" s="7" t="s">
        <v>959</v>
      </c>
      <c r="G497" s="7">
        <v>0</v>
      </c>
      <c r="H497" s="7">
        <v>0</v>
      </c>
      <c r="I497" s="7">
        <v>99999</v>
      </c>
      <c r="J497" s="7">
        <v>0</v>
      </c>
      <c r="K497" s="7">
        <v>0</v>
      </c>
      <c r="L497" s="7" t="s">
        <v>1567</v>
      </c>
      <c r="M497" s="7">
        <v>4</v>
      </c>
      <c r="N497" s="7">
        <v>4</v>
      </c>
      <c r="Q497" s="7">
        <v>0</v>
      </c>
      <c r="S497" s="7">
        <f t="shared" ref="S497:S519" si="2">S448*1.1</f>
        <v>264</v>
      </c>
      <c r="T497" s="7">
        <v>3</v>
      </c>
      <c r="V497" s="7">
        <v>1</v>
      </c>
      <c r="W497" s="7">
        <v>1</v>
      </c>
      <c r="X497" s="6"/>
      <c r="Y497" s="7" t="s">
        <v>1582</v>
      </c>
      <c r="Z497" s="7" t="s">
        <v>2957</v>
      </c>
      <c r="AA497" s="7" t="s">
        <v>1640</v>
      </c>
      <c r="AB497" s="7">
        <v>0</v>
      </c>
      <c r="AC497" s="7">
        <v>13</v>
      </c>
      <c r="AD497" s="7">
        <v>0</v>
      </c>
      <c r="AE497" s="7">
        <v>0</v>
      </c>
      <c r="AF497" s="7">
        <v>1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P497" s="7">
        <v>0</v>
      </c>
      <c r="AQ497" s="7">
        <v>1</v>
      </c>
      <c r="AR497" s="7">
        <v>0</v>
      </c>
      <c r="AS497" s="7">
        <v>0</v>
      </c>
      <c r="BE497" s="7">
        <v>240</v>
      </c>
      <c r="BF497" s="7">
        <f t="shared" si="1"/>
        <v>116004</v>
      </c>
      <c r="BG497" s="7">
        <v>2</v>
      </c>
      <c r="BL497" s="7">
        <v>0</v>
      </c>
      <c r="BM497" s="24">
        <v>1</v>
      </c>
    </row>
    <row r="498" spans="1:65" s="7" customFormat="1">
      <c r="A498" s="7">
        <v>116005</v>
      </c>
      <c r="B498" s="7" t="s">
        <v>1491</v>
      </c>
      <c r="C498" s="7" t="s">
        <v>525</v>
      </c>
      <c r="D498" s="7" t="s">
        <v>1561</v>
      </c>
      <c r="E498" s="7">
        <v>1</v>
      </c>
      <c r="F498" s="7" t="s">
        <v>959</v>
      </c>
      <c r="G498" s="7">
        <v>0</v>
      </c>
      <c r="H498" s="7">
        <v>0</v>
      </c>
      <c r="I498" s="7">
        <v>99999</v>
      </c>
      <c r="J498" s="7">
        <v>0</v>
      </c>
      <c r="K498" s="7">
        <v>0</v>
      </c>
      <c r="L498" s="7" t="s">
        <v>1567</v>
      </c>
      <c r="M498" s="7">
        <v>5</v>
      </c>
      <c r="N498" s="7">
        <v>4</v>
      </c>
      <c r="Q498" s="7">
        <v>0</v>
      </c>
      <c r="S498" s="7">
        <f t="shared" si="2"/>
        <v>308</v>
      </c>
      <c r="T498" s="7">
        <v>3</v>
      </c>
      <c r="V498" s="7">
        <v>1</v>
      </c>
      <c r="W498" s="7">
        <v>1</v>
      </c>
      <c r="X498" s="6"/>
      <c r="Y498" s="7" t="s">
        <v>1582</v>
      </c>
      <c r="Z498" s="7" t="s">
        <v>2957</v>
      </c>
      <c r="AA498" s="7" t="s">
        <v>1640</v>
      </c>
      <c r="AB498" s="7">
        <v>0</v>
      </c>
      <c r="AC498" s="7">
        <v>13</v>
      </c>
      <c r="AD498" s="7">
        <v>0</v>
      </c>
      <c r="AE498" s="7">
        <v>0</v>
      </c>
      <c r="AF498" s="7">
        <v>1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P498" s="7">
        <v>0</v>
      </c>
      <c r="AQ498" s="7">
        <v>1</v>
      </c>
      <c r="AR498" s="7">
        <v>0</v>
      </c>
      <c r="AS498" s="7">
        <v>0</v>
      </c>
      <c r="BE498" s="7">
        <v>240</v>
      </c>
      <c r="BF498" s="7">
        <f t="shared" si="1"/>
        <v>116005</v>
      </c>
      <c r="BG498" s="7">
        <v>2</v>
      </c>
      <c r="BL498" s="7">
        <v>0</v>
      </c>
      <c r="BM498" s="24">
        <v>1</v>
      </c>
    </row>
    <row r="499" spans="1:65" s="7" customFormat="1">
      <c r="A499" s="7">
        <v>116006</v>
      </c>
      <c r="B499" s="7" t="s">
        <v>1492</v>
      </c>
      <c r="C499" s="7" t="s">
        <v>525</v>
      </c>
      <c r="D499" s="7" t="s">
        <v>1561</v>
      </c>
      <c r="E499" s="7">
        <v>1</v>
      </c>
      <c r="F499" s="7" t="s">
        <v>959</v>
      </c>
      <c r="G499" s="7">
        <v>0</v>
      </c>
      <c r="H499" s="7">
        <v>0</v>
      </c>
      <c r="I499" s="7">
        <v>99999</v>
      </c>
      <c r="J499" s="7">
        <v>0</v>
      </c>
      <c r="K499" s="7">
        <v>0</v>
      </c>
      <c r="L499" s="7" t="s">
        <v>1567</v>
      </c>
      <c r="M499" s="7">
        <v>6</v>
      </c>
      <c r="N499" s="7">
        <v>4</v>
      </c>
      <c r="Q499" s="7">
        <v>0</v>
      </c>
      <c r="S499" s="7">
        <f t="shared" si="2"/>
        <v>352</v>
      </c>
      <c r="T499" s="7">
        <v>3</v>
      </c>
      <c r="V499" s="7">
        <v>1</v>
      </c>
      <c r="W499" s="7">
        <v>1</v>
      </c>
      <c r="X499" s="6"/>
      <c r="Y499" s="7" t="s">
        <v>1582</v>
      </c>
      <c r="Z499" s="7" t="s">
        <v>2957</v>
      </c>
      <c r="AA499" s="7" t="s">
        <v>1640</v>
      </c>
      <c r="AB499" s="7">
        <v>0</v>
      </c>
      <c r="AC499" s="7">
        <v>13</v>
      </c>
      <c r="AD499" s="7">
        <v>0</v>
      </c>
      <c r="AE499" s="7">
        <v>0</v>
      </c>
      <c r="AF499" s="7">
        <v>1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P499" s="7">
        <v>0</v>
      </c>
      <c r="AQ499" s="7">
        <v>1</v>
      </c>
      <c r="AR499" s="7">
        <v>0</v>
      </c>
      <c r="AS499" s="7">
        <v>0</v>
      </c>
      <c r="BE499" s="7">
        <v>240</v>
      </c>
      <c r="BF499" s="7">
        <f t="shared" si="1"/>
        <v>116006</v>
      </c>
      <c r="BG499" s="7">
        <v>2</v>
      </c>
      <c r="BL499" s="7">
        <v>0</v>
      </c>
      <c r="BM499" s="24">
        <v>1</v>
      </c>
    </row>
    <row r="500" spans="1:65" s="7" customFormat="1">
      <c r="A500" s="7">
        <v>116007</v>
      </c>
      <c r="B500" s="7" t="s">
        <v>1493</v>
      </c>
      <c r="C500" s="7" t="s">
        <v>525</v>
      </c>
      <c r="D500" s="7" t="s">
        <v>1561</v>
      </c>
      <c r="E500" s="7">
        <v>1</v>
      </c>
      <c r="F500" s="7" t="s">
        <v>959</v>
      </c>
      <c r="G500" s="7">
        <v>0</v>
      </c>
      <c r="H500" s="7">
        <v>0</v>
      </c>
      <c r="I500" s="7">
        <v>99999</v>
      </c>
      <c r="J500" s="7">
        <v>0</v>
      </c>
      <c r="K500" s="7">
        <v>0</v>
      </c>
      <c r="L500" s="7" t="s">
        <v>1567</v>
      </c>
      <c r="M500" s="7">
        <v>7</v>
      </c>
      <c r="N500" s="7">
        <v>4</v>
      </c>
      <c r="Q500" s="7">
        <v>0</v>
      </c>
      <c r="S500" s="7">
        <f t="shared" si="2"/>
        <v>396.00000000000006</v>
      </c>
      <c r="T500" s="7">
        <v>3</v>
      </c>
      <c r="V500" s="7">
        <v>1</v>
      </c>
      <c r="W500" s="7">
        <v>1</v>
      </c>
      <c r="X500" s="6"/>
      <c r="Y500" s="7" t="s">
        <v>1582</v>
      </c>
      <c r="Z500" s="7" t="s">
        <v>2957</v>
      </c>
      <c r="AA500" s="7" t="s">
        <v>1640</v>
      </c>
      <c r="AB500" s="7">
        <v>0</v>
      </c>
      <c r="AC500" s="7">
        <v>13</v>
      </c>
      <c r="AD500" s="7">
        <v>0</v>
      </c>
      <c r="AE500" s="7">
        <v>0</v>
      </c>
      <c r="AF500" s="7">
        <v>1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P500" s="7">
        <v>0</v>
      </c>
      <c r="AQ500" s="7">
        <v>1</v>
      </c>
      <c r="AR500" s="7">
        <v>0</v>
      </c>
      <c r="AS500" s="7">
        <v>0</v>
      </c>
      <c r="BE500" s="7">
        <v>240</v>
      </c>
      <c r="BF500" s="7">
        <f t="shared" si="1"/>
        <v>116007</v>
      </c>
      <c r="BG500" s="7">
        <v>2</v>
      </c>
      <c r="BL500" s="7">
        <v>0</v>
      </c>
      <c r="BM500" s="24">
        <v>1</v>
      </c>
    </row>
    <row r="501" spans="1:65" s="7" customFormat="1">
      <c r="A501" s="7">
        <v>116008</v>
      </c>
      <c r="B501" s="7" t="s">
        <v>1494</v>
      </c>
      <c r="C501" s="7" t="s">
        <v>525</v>
      </c>
      <c r="D501" s="7" t="s">
        <v>1561</v>
      </c>
      <c r="E501" s="7">
        <v>1</v>
      </c>
      <c r="F501" s="7" t="s">
        <v>959</v>
      </c>
      <c r="G501" s="7">
        <v>0</v>
      </c>
      <c r="H501" s="7">
        <v>0</v>
      </c>
      <c r="I501" s="7">
        <v>99999</v>
      </c>
      <c r="J501" s="7">
        <v>0</v>
      </c>
      <c r="K501" s="7">
        <v>0</v>
      </c>
      <c r="L501" s="7" t="s">
        <v>1567</v>
      </c>
      <c r="M501" s="7">
        <v>8</v>
      </c>
      <c r="N501" s="7">
        <v>4</v>
      </c>
      <c r="Q501" s="7">
        <v>0</v>
      </c>
      <c r="S501" s="7">
        <f t="shared" si="2"/>
        <v>440.00000000000006</v>
      </c>
      <c r="T501" s="7">
        <v>3</v>
      </c>
      <c r="V501" s="7">
        <v>1</v>
      </c>
      <c r="W501" s="7">
        <v>1</v>
      </c>
      <c r="X501" s="6"/>
      <c r="Y501" s="7" t="s">
        <v>1582</v>
      </c>
      <c r="Z501" s="7" t="s">
        <v>2957</v>
      </c>
      <c r="AA501" s="7" t="s">
        <v>1640</v>
      </c>
      <c r="AB501" s="7">
        <v>0</v>
      </c>
      <c r="AC501" s="7">
        <v>13</v>
      </c>
      <c r="AD501" s="7">
        <v>0</v>
      </c>
      <c r="AE501" s="7">
        <v>0</v>
      </c>
      <c r="AF501" s="7">
        <v>1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P501" s="7">
        <v>0</v>
      </c>
      <c r="AQ501" s="7">
        <v>1</v>
      </c>
      <c r="AR501" s="7">
        <v>0</v>
      </c>
      <c r="AS501" s="7">
        <v>0</v>
      </c>
      <c r="BE501" s="7">
        <v>240</v>
      </c>
      <c r="BF501" s="7">
        <f t="shared" si="1"/>
        <v>116008</v>
      </c>
      <c r="BG501" s="7">
        <v>2</v>
      </c>
      <c r="BL501" s="7">
        <v>0</v>
      </c>
      <c r="BM501" s="24">
        <v>1</v>
      </c>
    </row>
    <row r="502" spans="1:65" s="7" customFormat="1">
      <c r="A502" s="7">
        <v>116009</v>
      </c>
      <c r="B502" s="7" t="s">
        <v>1495</v>
      </c>
      <c r="C502" s="7" t="s">
        <v>525</v>
      </c>
      <c r="D502" s="7" t="s">
        <v>1561</v>
      </c>
      <c r="E502" s="7">
        <v>1</v>
      </c>
      <c r="F502" s="7" t="s">
        <v>959</v>
      </c>
      <c r="G502" s="7">
        <v>0</v>
      </c>
      <c r="H502" s="7">
        <v>0</v>
      </c>
      <c r="I502" s="7">
        <v>99999</v>
      </c>
      <c r="J502" s="7">
        <v>0</v>
      </c>
      <c r="K502" s="7">
        <v>0</v>
      </c>
      <c r="L502" s="7" t="s">
        <v>1567</v>
      </c>
      <c r="M502" s="7">
        <v>9</v>
      </c>
      <c r="N502" s="7">
        <v>4</v>
      </c>
      <c r="Q502" s="7">
        <v>0</v>
      </c>
      <c r="S502" s="7">
        <f t="shared" si="2"/>
        <v>484.00000000000006</v>
      </c>
      <c r="T502" s="7">
        <v>3</v>
      </c>
      <c r="V502" s="7">
        <v>1</v>
      </c>
      <c r="W502" s="7">
        <v>1</v>
      </c>
      <c r="X502" s="6"/>
      <c r="Y502" s="7" t="s">
        <v>1582</v>
      </c>
      <c r="Z502" s="7" t="s">
        <v>2957</v>
      </c>
      <c r="AA502" s="7" t="s">
        <v>1640</v>
      </c>
      <c r="AB502" s="7">
        <v>0</v>
      </c>
      <c r="AC502" s="7">
        <v>13</v>
      </c>
      <c r="AD502" s="7">
        <v>0</v>
      </c>
      <c r="AE502" s="7">
        <v>0</v>
      </c>
      <c r="AF502" s="7">
        <v>1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P502" s="7">
        <v>0</v>
      </c>
      <c r="AQ502" s="7">
        <v>1</v>
      </c>
      <c r="AR502" s="7">
        <v>0</v>
      </c>
      <c r="AS502" s="7">
        <v>0</v>
      </c>
      <c r="BE502" s="7">
        <v>240</v>
      </c>
      <c r="BF502" s="7">
        <f t="shared" si="1"/>
        <v>116009</v>
      </c>
      <c r="BG502" s="7">
        <v>2</v>
      </c>
      <c r="BL502" s="7">
        <v>0</v>
      </c>
      <c r="BM502" s="24">
        <v>1</v>
      </c>
    </row>
    <row r="503" spans="1:65" s="7" customFormat="1">
      <c r="A503" s="7">
        <v>116010</v>
      </c>
      <c r="B503" s="7" t="s">
        <v>1496</v>
      </c>
      <c r="C503" s="7" t="s">
        <v>525</v>
      </c>
      <c r="D503" s="7" t="s">
        <v>1561</v>
      </c>
      <c r="E503" s="7">
        <v>1</v>
      </c>
      <c r="F503" s="7" t="s">
        <v>959</v>
      </c>
      <c r="G503" s="7">
        <v>0</v>
      </c>
      <c r="H503" s="7">
        <v>0</v>
      </c>
      <c r="I503" s="7">
        <v>99999</v>
      </c>
      <c r="J503" s="7">
        <v>0</v>
      </c>
      <c r="K503" s="7">
        <v>0</v>
      </c>
      <c r="L503" s="7" t="s">
        <v>1567</v>
      </c>
      <c r="M503" s="7">
        <v>10</v>
      </c>
      <c r="N503" s="7">
        <v>4</v>
      </c>
      <c r="Q503" s="7">
        <v>0</v>
      </c>
      <c r="S503" s="7">
        <f t="shared" si="2"/>
        <v>528</v>
      </c>
      <c r="T503" s="7">
        <v>3</v>
      </c>
      <c r="V503" s="7">
        <v>1</v>
      </c>
      <c r="W503" s="7">
        <v>1</v>
      </c>
      <c r="X503" s="6"/>
      <c r="Y503" s="7" t="s">
        <v>1582</v>
      </c>
      <c r="Z503" s="7" t="s">
        <v>2957</v>
      </c>
      <c r="AA503" s="7" t="s">
        <v>1640</v>
      </c>
      <c r="AB503" s="7">
        <v>0</v>
      </c>
      <c r="AC503" s="7">
        <v>13</v>
      </c>
      <c r="AD503" s="7">
        <v>0</v>
      </c>
      <c r="AE503" s="7">
        <v>0</v>
      </c>
      <c r="AF503" s="7">
        <v>1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P503" s="7">
        <v>0</v>
      </c>
      <c r="AQ503" s="7">
        <v>1</v>
      </c>
      <c r="AR503" s="7">
        <v>0</v>
      </c>
      <c r="AS503" s="7">
        <v>0</v>
      </c>
      <c r="BE503" s="7">
        <v>240</v>
      </c>
      <c r="BF503" s="7">
        <f t="shared" si="1"/>
        <v>116010</v>
      </c>
      <c r="BG503" s="7">
        <v>2</v>
      </c>
      <c r="BL503" s="7">
        <v>0</v>
      </c>
      <c r="BM503" s="24">
        <v>1</v>
      </c>
    </row>
    <row r="504" spans="1:65" s="7" customFormat="1">
      <c r="A504" s="7">
        <v>116011</v>
      </c>
      <c r="B504" s="7" t="s">
        <v>1497</v>
      </c>
      <c r="C504" s="7" t="s">
        <v>525</v>
      </c>
      <c r="D504" s="7" t="s">
        <v>1561</v>
      </c>
      <c r="E504" s="7">
        <v>1</v>
      </c>
      <c r="F504" s="7" t="s">
        <v>959</v>
      </c>
      <c r="G504" s="7">
        <v>0</v>
      </c>
      <c r="H504" s="7">
        <v>0</v>
      </c>
      <c r="I504" s="7">
        <v>99999</v>
      </c>
      <c r="J504" s="7">
        <v>0</v>
      </c>
      <c r="K504" s="7">
        <v>0</v>
      </c>
      <c r="L504" s="7" t="s">
        <v>1567</v>
      </c>
      <c r="M504" s="7">
        <v>11</v>
      </c>
      <c r="N504" s="7">
        <v>4</v>
      </c>
      <c r="Q504" s="7">
        <v>0</v>
      </c>
      <c r="S504" s="7">
        <f t="shared" si="2"/>
        <v>572</v>
      </c>
      <c r="T504" s="7">
        <v>3</v>
      </c>
      <c r="V504" s="7">
        <v>1</v>
      </c>
      <c r="W504" s="7">
        <v>1</v>
      </c>
      <c r="X504" s="6"/>
      <c r="Y504" s="7" t="s">
        <v>1582</v>
      </c>
      <c r="Z504" s="7" t="s">
        <v>2957</v>
      </c>
      <c r="AA504" s="7" t="s">
        <v>1640</v>
      </c>
      <c r="AB504" s="7">
        <v>0</v>
      </c>
      <c r="AC504" s="7">
        <v>13</v>
      </c>
      <c r="AD504" s="7">
        <v>0</v>
      </c>
      <c r="AE504" s="7">
        <v>0</v>
      </c>
      <c r="AF504" s="7">
        <v>1</v>
      </c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P504" s="7">
        <v>0</v>
      </c>
      <c r="AQ504" s="7">
        <v>1</v>
      </c>
      <c r="AR504" s="7">
        <v>0</v>
      </c>
      <c r="AS504" s="7">
        <v>0</v>
      </c>
      <c r="BE504" s="7">
        <v>240</v>
      </c>
      <c r="BF504" s="7">
        <f t="shared" si="1"/>
        <v>116011</v>
      </c>
      <c r="BG504" s="7">
        <v>2</v>
      </c>
      <c r="BL504" s="7">
        <v>0</v>
      </c>
      <c r="BM504" s="24">
        <v>1</v>
      </c>
    </row>
    <row r="505" spans="1:65" s="7" customFormat="1">
      <c r="A505" s="7">
        <v>116012</v>
      </c>
      <c r="B505" s="7" t="s">
        <v>1498</v>
      </c>
      <c r="C505" s="7" t="s">
        <v>525</v>
      </c>
      <c r="D505" s="7" t="s">
        <v>1561</v>
      </c>
      <c r="E505" s="7">
        <v>1</v>
      </c>
      <c r="F505" s="7" t="s">
        <v>959</v>
      </c>
      <c r="G505" s="7">
        <v>0</v>
      </c>
      <c r="H505" s="7">
        <v>0</v>
      </c>
      <c r="I505" s="7">
        <v>99999</v>
      </c>
      <c r="J505" s="7">
        <v>0</v>
      </c>
      <c r="K505" s="7">
        <v>0</v>
      </c>
      <c r="L505" s="7" t="s">
        <v>1567</v>
      </c>
      <c r="M505" s="7">
        <v>12</v>
      </c>
      <c r="N505" s="7">
        <v>4</v>
      </c>
      <c r="Q505" s="7">
        <v>0</v>
      </c>
      <c r="S505" s="7">
        <f t="shared" si="2"/>
        <v>616</v>
      </c>
      <c r="T505" s="7">
        <v>3</v>
      </c>
      <c r="V505" s="7">
        <v>1</v>
      </c>
      <c r="W505" s="7">
        <v>1</v>
      </c>
      <c r="X505" s="6"/>
      <c r="Y505" s="7" t="s">
        <v>1582</v>
      </c>
      <c r="Z505" s="7" t="s">
        <v>2957</v>
      </c>
      <c r="AA505" s="7" t="s">
        <v>1640</v>
      </c>
      <c r="AB505" s="7">
        <v>0</v>
      </c>
      <c r="AC505" s="7">
        <v>13</v>
      </c>
      <c r="AD505" s="7">
        <v>0</v>
      </c>
      <c r="AE505" s="7">
        <v>0</v>
      </c>
      <c r="AF505" s="7">
        <v>1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P505" s="7">
        <v>0</v>
      </c>
      <c r="AQ505" s="7">
        <v>1</v>
      </c>
      <c r="AR505" s="7">
        <v>0</v>
      </c>
      <c r="AS505" s="7">
        <v>0</v>
      </c>
      <c r="BE505" s="7">
        <v>240</v>
      </c>
      <c r="BF505" s="7">
        <f t="shared" si="1"/>
        <v>116012</v>
      </c>
      <c r="BG505" s="7">
        <v>2</v>
      </c>
      <c r="BL505" s="7">
        <v>0</v>
      </c>
      <c r="BM505" s="24">
        <v>1</v>
      </c>
    </row>
    <row r="506" spans="1:65" s="7" customFormat="1">
      <c r="A506" s="7">
        <v>116013</v>
      </c>
      <c r="B506" s="7" t="s">
        <v>1499</v>
      </c>
      <c r="C506" s="7" t="s">
        <v>525</v>
      </c>
      <c r="D506" s="7" t="s">
        <v>1561</v>
      </c>
      <c r="E506" s="7">
        <v>1</v>
      </c>
      <c r="F506" s="7" t="s">
        <v>959</v>
      </c>
      <c r="G506" s="7">
        <v>0</v>
      </c>
      <c r="H506" s="7">
        <v>0</v>
      </c>
      <c r="I506" s="7">
        <v>99999</v>
      </c>
      <c r="J506" s="7">
        <v>0</v>
      </c>
      <c r="K506" s="7">
        <v>0</v>
      </c>
      <c r="L506" s="7" t="s">
        <v>1567</v>
      </c>
      <c r="M506" s="7">
        <v>13</v>
      </c>
      <c r="N506" s="7">
        <v>4</v>
      </c>
      <c r="Q506" s="7">
        <v>0</v>
      </c>
      <c r="S506" s="7">
        <f t="shared" si="2"/>
        <v>660</v>
      </c>
      <c r="T506" s="7">
        <v>3</v>
      </c>
      <c r="V506" s="7">
        <v>1</v>
      </c>
      <c r="W506" s="7">
        <v>1</v>
      </c>
      <c r="X506" s="6"/>
      <c r="Y506" s="7" t="s">
        <v>1582</v>
      </c>
      <c r="Z506" s="7" t="s">
        <v>2957</v>
      </c>
      <c r="AA506" s="7" t="s">
        <v>1640</v>
      </c>
      <c r="AB506" s="7">
        <v>0</v>
      </c>
      <c r="AC506" s="7">
        <v>13</v>
      </c>
      <c r="AD506" s="7">
        <v>0</v>
      </c>
      <c r="AE506" s="7">
        <v>0</v>
      </c>
      <c r="AF506" s="7">
        <v>1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P506" s="7">
        <v>0</v>
      </c>
      <c r="AQ506" s="7">
        <v>1</v>
      </c>
      <c r="AR506" s="7">
        <v>0</v>
      </c>
      <c r="AS506" s="7">
        <v>0</v>
      </c>
      <c r="BE506" s="7">
        <v>240</v>
      </c>
      <c r="BF506" s="7">
        <f t="shared" si="1"/>
        <v>116013</v>
      </c>
      <c r="BG506" s="7">
        <v>2</v>
      </c>
      <c r="BL506" s="7">
        <v>0</v>
      </c>
      <c r="BM506" s="24">
        <v>1</v>
      </c>
    </row>
    <row r="507" spans="1:65" s="7" customFormat="1">
      <c r="A507" s="7">
        <v>116014</v>
      </c>
      <c r="B507" s="7" t="s">
        <v>1500</v>
      </c>
      <c r="C507" s="7" t="s">
        <v>525</v>
      </c>
      <c r="D507" s="7" t="s">
        <v>1561</v>
      </c>
      <c r="E507" s="7">
        <v>1</v>
      </c>
      <c r="F507" s="7" t="s">
        <v>959</v>
      </c>
      <c r="G507" s="7">
        <v>0</v>
      </c>
      <c r="H507" s="7">
        <v>0</v>
      </c>
      <c r="I507" s="7">
        <v>99999</v>
      </c>
      <c r="J507" s="7">
        <v>0</v>
      </c>
      <c r="K507" s="7">
        <v>0</v>
      </c>
      <c r="L507" s="7" t="s">
        <v>1567</v>
      </c>
      <c r="M507" s="7">
        <v>14</v>
      </c>
      <c r="N507" s="7">
        <v>4</v>
      </c>
      <c r="Q507" s="7">
        <v>0</v>
      </c>
      <c r="S507" s="7">
        <f t="shared" si="2"/>
        <v>704</v>
      </c>
      <c r="T507" s="7">
        <v>3</v>
      </c>
      <c r="V507" s="7">
        <v>1</v>
      </c>
      <c r="W507" s="7">
        <v>1</v>
      </c>
      <c r="X507" s="6"/>
      <c r="Y507" s="7" t="s">
        <v>1582</v>
      </c>
      <c r="Z507" s="7" t="s">
        <v>2957</v>
      </c>
      <c r="AA507" s="7" t="s">
        <v>1640</v>
      </c>
      <c r="AB507" s="7">
        <v>0</v>
      </c>
      <c r="AC507" s="7">
        <v>13</v>
      </c>
      <c r="AD507" s="7">
        <v>0</v>
      </c>
      <c r="AE507" s="7">
        <v>0</v>
      </c>
      <c r="AF507" s="7">
        <v>1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P507" s="7">
        <v>0</v>
      </c>
      <c r="AQ507" s="7">
        <v>1</v>
      </c>
      <c r="AR507" s="7">
        <v>0</v>
      </c>
      <c r="AS507" s="7">
        <v>0</v>
      </c>
      <c r="BE507" s="7">
        <v>240</v>
      </c>
      <c r="BF507" s="7">
        <f t="shared" si="1"/>
        <v>116014</v>
      </c>
      <c r="BG507" s="7">
        <v>2</v>
      </c>
      <c r="BL507" s="7">
        <v>0</v>
      </c>
      <c r="BM507" s="24">
        <v>1</v>
      </c>
    </row>
    <row r="508" spans="1:65" s="7" customFormat="1">
      <c r="A508" s="7">
        <v>116015</v>
      </c>
      <c r="B508" s="7" t="s">
        <v>1501</v>
      </c>
      <c r="C508" s="7" t="s">
        <v>525</v>
      </c>
      <c r="D508" s="7" t="s">
        <v>1561</v>
      </c>
      <c r="E508" s="7">
        <v>1</v>
      </c>
      <c r="F508" s="7" t="s">
        <v>959</v>
      </c>
      <c r="G508" s="7">
        <v>0</v>
      </c>
      <c r="H508" s="7">
        <v>0</v>
      </c>
      <c r="I508" s="7">
        <v>99999</v>
      </c>
      <c r="J508" s="7">
        <v>0</v>
      </c>
      <c r="K508" s="7">
        <v>0</v>
      </c>
      <c r="L508" s="7" t="s">
        <v>1567</v>
      </c>
      <c r="M508" s="7">
        <v>15</v>
      </c>
      <c r="N508" s="7">
        <v>4</v>
      </c>
      <c r="Q508" s="7">
        <v>0</v>
      </c>
      <c r="S508" s="7">
        <f t="shared" si="2"/>
        <v>748.00000000000011</v>
      </c>
      <c r="T508" s="7">
        <v>3</v>
      </c>
      <c r="V508" s="7">
        <v>1</v>
      </c>
      <c r="W508" s="7">
        <v>1</v>
      </c>
      <c r="X508" s="6"/>
      <c r="Y508" s="7" t="s">
        <v>1582</v>
      </c>
      <c r="Z508" s="7" t="s">
        <v>2957</v>
      </c>
      <c r="AA508" s="7" t="s">
        <v>1640</v>
      </c>
      <c r="AB508" s="7">
        <v>0</v>
      </c>
      <c r="AC508" s="7">
        <v>13</v>
      </c>
      <c r="AD508" s="7">
        <v>0</v>
      </c>
      <c r="AE508" s="7">
        <v>0</v>
      </c>
      <c r="AF508" s="7">
        <v>1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P508" s="7">
        <v>0</v>
      </c>
      <c r="AQ508" s="7">
        <v>1</v>
      </c>
      <c r="AR508" s="7">
        <v>0</v>
      </c>
      <c r="AS508" s="7">
        <v>0</v>
      </c>
      <c r="BE508" s="7">
        <v>240</v>
      </c>
      <c r="BF508" s="7">
        <f t="shared" si="1"/>
        <v>116015</v>
      </c>
      <c r="BG508" s="7">
        <v>2</v>
      </c>
      <c r="BL508" s="7">
        <v>0</v>
      </c>
      <c r="BM508" s="24">
        <v>1</v>
      </c>
    </row>
    <row r="509" spans="1:65" s="7" customFormat="1">
      <c r="A509" s="7">
        <v>116016</v>
      </c>
      <c r="B509" s="7" t="s">
        <v>1502</v>
      </c>
      <c r="C509" s="7" t="s">
        <v>525</v>
      </c>
      <c r="D509" s="7" t="s">
        <v>1561</v>
      </c>
      <c r="E509" s="7">
        <v>1</v>
      </c>
      <c r="F509" s="7" t="s">
        <v>959</v>
      </c>
      <c r="G509" s="7">
        <v>0</v>
      </c>
      <c r="H509" s="7">
        <v>0</v>
      </c>
      <c r="I509" s="7">
        <v>99999</v>
      </c>
      <c r="J509" s="7">
        <v>0</v>
      </c>
      <c r="K509" s="7">
        <v>0</v>
      </c>
      <c r="L509" s="7" t="s">
        <v>1567</v>
      </c>
      <c r="M509" s="7">
        <v>16</v>
      </c>
      <c r="N509" s="7">
        <v>4</v>
      </c>
      <c r="Q509" s="7">
        <v>0</v>
      </c>
      <c r="S509" s="7">
        <f t="shared" si="2"/>
        <v>792.00000000000011</v>
      </c>
      <c r="T509" s="7">
        <v>3</v>
      </c>
      <c r="V509" s="7">
        <v>1</v>
      </c>
      <c r="W509" s="7">
        <v>1</v>
      </c>
      <c r="X509" s="6"/>
      <c r="Y509" s="7" t="s">
        <v>1582</v>
      </c>
      <c r="Z509" s="7" t="s">
        <v>2957</v>
      </c>
      <c r="AA509" s="7" t="s">
        <v>1640</v>
      </c>
      <c r="AB509" s="7">
        <v>0</v>
      </c>
      <c r="AC509" s="7">
        <v>13</v>
      </c>
      <c r="AD509" s="7">
        <v>0</v>
      </c>
      <c r="AE509" s="7">
        <v>0</v>
      </c>
      <c r="AF509" s="7">
        <v>1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P509" s="7">
        <v>0</v>
      </c>
      <c r="AQ509" s="7">
        <v>1</v>
      </c>
      <c r="AR509" s="7">
        <v>0</v>
      </c>
      <c r="AS509" s="7">
        <v>0</v>
      </c>
      <c r="BE509" s="7">
        <v>240</v>
      </c>
      <c r="BF509" s="7">
        <f t="shared" si="1"/>
        <v>116016</v>
      </c>
      <c r="BG509" s="7">
        <v>2</v>
      </c>
      <c r="BL509" s="7">
        <v>0</v>
      </c>
      <c r="BM509" s="24">
        <v>1</v>
      </c>
    </row>
    <row r="510" spans="1:65" s="7" customFormat="1">
      <c r="A510" s="7">
        <v>116017</v>
      </c>
      <c r="B510" s="7" t="s">
        <v>1503</v>
      </c>
      <c r="C510" s="7" t="s">
        <v>525</v>
      </c>
      <c r="D510" s="7" t="s">
        <v>1561</v>
      </c>
      <c r="E510" s="7">
        <v>1</v>
      </c>
      <c r="F510" s="7" t="s">
        <v>959</v>
      </c>
      <c r="G510" s="7">
        <v>0</v>
      </c>
      <c r="H510" s="7">
        <v>0</v>
      </c>
      <c r="I510" s="7">
        <v>99999</v>
      </c>
      <c r="J510" s="7">
        <v>0</v>
      </c>
      <c r="K510" s="7">
        <v>0</v>
      </c>
      <c r="L510" s="7" t="s">
        <v>1567</v>
      </c>
      <c r="M510" s="7">
        <v>17</v>
      </c>
      <c r="N510" s="7">
        <v>4</v>
      </c>
      <c r="Q510" s="7">
        <v>0</v>
      </c>
      <c r="S510" s="7">
        <f t="shared" si="2"/>
        <v>880.00000000000011</v>
      </c>
      <c r="T510" s="7">
        <v>3</v>
      </c>
      <c r="V510" s="7">
        <v>1</v>
      </c>
      <c r="W510" s="7">
        <v>1</v>
      </c>
      <c r="X510" s="6"/>
      <c r="Y510" s="7" t="s">
        <v>1582</v>
      </c>
      <c r="Z510" s="7" t="s">
        <v>2957</v>
      </c>
      <c r="AA510" s="7" t="s">
        <v>1640</v>
      </c>
      <c r="AB510" s="7">
        <v>0</v>
      </c>
      <c r="AC510" s="7">
        <v>13</v>
      </c>
      <c r="AD510" s="7">
        <v>0</v>
      </c>
      <c r="AE510" s="7">
        <v>0</v>
      </c>
      <c r="AF510" s="7">
        <v>1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P510" s="7">
        <v>0</v>
      </c>
      <c r="AQ510" s="7">
        <v>1</v>
      </c>
      <c r="AR510" s="7">
        <v>0</v>
      </c>
      <c r="AS510" s="7">
        <v>0</v>
      </c>
      <c r="BE510" s="7">
        <v>240</v>
      </c>
      <c r="BF510" s="7">
        <f t="shared" si="1"/>
        <v>116017</v>
      </c>
      <c r="BG510" s="7">
        <v>2</v>
      </c>
      <c r="BL510" s="7">
        <v>0</v>
      </c>
      <c r="BM510" s="24">
        <v>1</v>
      </c>
    </row>
    <row r="511" spans="1:65" s="7" customFormat="1">
      <c r="A511" s="7">
        <v>116018</v>
      </c>
      <c r="B511" s="7" t="s">
        <v>1504</v>
      </c>
      <c r="C511" s="7" t="s">
        <v>525</v>
      </c>
      <c r="D511" s="7" t="s">
        <v>1561</v>
      </c>
      <c r="E511" s="7">
        <v>1</v>
      </c>
      <c r="F511" s="7" t="s">
        <v>959</v>
      </c>
      <c r="G511" s="7">
        <v>0</v>
      </c>
      <c r="H511" s="7">
        <v>0</v>
      </c>
      <c r="I511" s="7">
        <v>99999</v>
      </c>
      <c r="J511" s="7">
        <v>0</v>
      </c>
      <c r="K511" s="7">
        <v>0</v>
      </c>
      <c r="L511" s="7" t="s">
        <v>1567</v>
      </c>
      <c r="M511" s="7">
        <v>18</v>
      </c>
      <c r="N511" s="7">
        <v>4</v>
      </c>
      <c r="Q511" s="7">
        <v>0</v>
      </c>
      <c r="S511" s="7">
        <f t="shared" si="2"/>
        <v>968.00000000000011</v>
      </c>
      <c r="T511" s="7">
        <v>3</v>
      </c>
      <c r="V511" s="7">
        <v>1</v>
      </c>
      <c r="W511" s="7">
        <v>1</v>
      </c>
      <c r="X511" s="6"/>
      <c r="Y511" s="7" t="s">
        <v>1582</v>
      </c>
      <c r="Z511" s="7" t="s">
        <v>2957</v>
      </c>
      <c r="AA511" s="7" t="s">
        <v>1640</v>
      </c>
      <c r="AB511" s="7">
        <v>0</v>
      </c>
      <c r="AC511" s="7">
        <v>13</v>
      </c>
      <c r="AD511" s="7">
        <v>0</v>
      </c>
      <c r="AE511" s="7">
        <v>0</v>
      </c>
      <c r="AF511" s="7">
        <v>1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P511" s="7">
        <v>0</v>
      </c>
      <c r="AQ511" s="7">
        <v>1</v>
      </c>
      <c r="AR511" s="7">
        <v>0</v>
      </c>
      <c r="AS511" s="7">
        <v>0</v>
      </c>
      <c r="BE511" s="7">
        <v>240</v>
      </c>
      <c r="BF511" s="7">
        <f t="shared" si="1"/>
        <v>116018</v>
      </c>
      <c r="BG511" s="7">
        <v>2</v>
      </c>
      <c r="BL511" s="7">
        <v>0</v>
      </c>
      <c r="BM511" s="24">
        <v>1</v>
      </c>
    </row>
    <row r="512" spans="1:65" s="7" customFormat="1">
      <c r="A512" s="7">
        <v>116019</v>
      </c>
      <c r="B512" s="7" t="s">
        <v>1505</v>
      </c>
      <c r="C512" s="7" t="s">
        <v>525</v>
      </c>
      <c r="D512" s="7" t="s">
        <v>1561</v>
      </c>
      <c r="E512" s="7">
        <v>1</v>
      </c>
      <c r="F512" s="7" t="s">
        <v>959</v>
      </c>
      <c r="G512" s="7">
        <v>0</v>
      </c>
      <c r="H512" s="7">
        <v>0</v>
      </c>
      <c r="I512" s="7">
        <v>99999</v>
      </c>
      <c r="J512" s="7">
        <v>0</v>
      </c>
      <c r="K512" s="7">
        <v>0</v>
      </c>
      <c r="L512" s="7" t="s">
        <v>1567</v>
      </c>
      <c r="M512" s="7">
        <v>19</v>
      </c>
      <c r="N512" s="7">
        <v>4</v>
      </c>
      <c r="Q512" s="7">
        <v>0</v>
      </c>
      <c r="S512" s="7">
        <f t="shared" si="2"/>
        <v>1056</v>
      </c>
      <c r="T512" s="7">
        <v>3</v>
      </c>
      <c r="V512" s="7">
        <v>1</v>
      </c>
      <c r="W512" s="7">
        <v>1</v>
      </c>
      <c r="X512" s="6"/>
      <c r="Y512" s="7" t="s">
        <v>1582</v>
      </c>
      <c r="Z512" s="7" t="s">
        <v>2957</v>
      </c>
      <c r="AA512" s="7" t="s">
        <v>1640</v>
      </c>
      <c r="AB512" s="7">
        <v>0</v>
      </c>
      <c r="AC512" s="7">
        <v>13</v>
      </c>
      <c r="AD512" s="7">
        <v>0</v>
      </c>
      <c r="AE512" s="7">
        <v>0</v>
      </c>
      <c r="AF512" s="7">
        <v>1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P512" s="7">
        <v>0</v>
      </c>
      <c r="AQ512" s="7">
        <v>1</v>
      </c>
      <c r="AR512" s="7">
        <v>0</v>
      </c>
      <c r="AS512" s="7">
        <v>0</v>
      </c>
      <c r="BE512" s="7">
        <v>240</v>
      </c>
      <c r="BF512" s="7">
        <f t="shared" si="1"/>
        <v>116019</v>
      </c>
      <c r="BG512" s="7">
        <v>2</v>
      </c>
      <c r="BL512" s="7">
        <v>0</v>
      </c>
      <c r="BM512" s="24">
        <v>1</v>
      </c>
    </row>
    <row r="513" spans="1:65" s="7" customFormat="1">
      <c r="A513" s="7">
        <v>116020</v>
      </c>
      <c r="B513" s="7" t="s">
        <v>1506</v>
      </c>
      <c r="C513" s="7" t="s">
        <v>525</v>
      </c>
      <c r="D513" s="7" t="s">
        <v>1561</v>
      </c>
      <c r="E513" s="7">
        <v>1</v>
      </c>
      <c r="F513" s="7" t="s">
        <v>959</v>
      </c>
      <c r="G513" s="7">
        <v>0</v>
      </c>
      <c r="H513" s="7">
        <v>0</v>
      </c>
      <c r="I513" s="7">
        <v>99999</v>
      </c>
      <c r="J513" s="7">
        <v>0</v>
      </c>
      <c r="K513" s="7">
        <v>0</v>
      </c>
      <c r="L513" s="7" t="s">
        <v>1567</v>
      </c>
      <c r="M513" s="7">
        <v>20</v>
      </c>
      <c r="N513" s="7">
        <v>4</v>
      </c>
      <c r="Q513" s="7">
        <v>0</v>
      </c>
      <c r="S513" s="7">
        <f t="shared" si="2"/>
        <v>1144</v>
      </c>
      <c r="T513" s="7">
        <v>3</v>
      </c>
      <c r="V513" s="7">
        <v>1</v>
      </c>
      <c r="W513" s="7">
        <v>1</v>
      </c>
      <c r="X513" s="6"/>
      <c r="Y513" s="7" t="s">
        <v>1582</v>
      </c>
      <c r="Z513" s="7" t="s">
        <v>2957</v>
      </c>
      <c r="AA513" s="7" t="s">
        <v>1640</v>
      </c>
      <c r="AB513" s="7">
        <v>0</v>
      </c>
      <c r="AC513" s="7">
        <v>13</v>
      </c>
      <c r="AD513" s="7">
        <v>0</v>
      </c>
      <c r="AE513" s="7">
        <v>0</v>
      </c>
      <c r="AF513" s="7">
        <v>1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P513" s="7">
        <v>0</v>
      </c>
      <c r="AQ513" s="7">
        <v>1</v>
      </c>
      <c r="AR513" s="7">
        <v>0</v>
      </c>
      <c r="AS513" s="7">
        <v>0</v>
      </c>
      <c r="BE513" s="7">
        <v>240</v>
      </c>
      <c r="BF513" s="7">
        <f t="shared" si="1"/>
        <v>116020</v>
      </c>
      <c r="BG513" s="7">
        <v>2</v>
      </c>
      <c r="BL513" s="7">
        <v>0</v>
      </c>
      <c r="BM513" s="24">
        <v>1</v>
      </c>
    </row>
    <row r="514" spans="1:65" s="7" customFormat="1">
      <c r="A514" s="7">
        <v>116021</v>
      </c>
      <c r="B514" s="7" t="s">
        <v>1507</v>
      </c>
      <c r="C514" s="7" t="s">
        <v>525</v>
      </c>
      <c r="D514" s="7" t="s">
        <v>1561</v>
      </c>
      <c r="E514" s="7">
        <v>1</v>
      </c>
      <c r="F514" s="7" t="s">
        <v>959</v>
      </c>
      <c r="G514" s="7">
        <v>0</v>
      </c>
      <c r="H514" s="7">
        <v>0</v>
      </c>
      <c r="I514" s="7">
        <v>99999</v>
      </c>
      <c r="J514" s="7">
        <v>0</v>
      </c>
      <c r="K514" s="7">
        <v>0</v>
      </c>
      <c r="L514" s="7" t="s">
        <v>1567</v>
      </c>
      <c r="M514" s="7">
        <v>21</v>
      </c>
      <c r="N514" s="7">
        <v>4</v>
      </c>
      <c r="Q514" s="7">
        <v>0</v>
      </c>
      <c r="S514" s="7">
        <f t="shared" si="2"/>
        <v>1232</v>
      </c>
      <c r="T514" s="7">
        <v>3</v>
      </c>
      <c r="V514" s="7">
        <v>1</v>
      </c>
      <c r="W514" s="7">
        <v>1</v>
      </c>
      <c r="X514" s="6"/>
      <c r="Y514" s="7" t="s">
        <v>1582</v>
      </c>
      <c r="Z514" s="7" t="s">
        <v>2957</v>
      </c>
      <c r="AA514" s="7" t="s">
        <v>1640</v>
      </c>
      <c r="AB514" s="7">
        <v>0</v>
      </c>
      <c r="AC514" s="7">
        <v>13</v>
      </c>
      <c r="AD514" s="7">
        <v>0</v>
      </c>
      <c r="AE514" s="7">
        <v>0</v>
      </c>
      <c r="AF514" s="7">
        <v>1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P514" s="7">
        <v>0</v>
      </c>
      <c r="AQ514" s="7">
        <v>1</v>
      </c>
      <c r="AR514" s="7">
        <v>0</v>
      </c>
      <c r="AS514" s="7">
        <v>0</v>
      </c>
      <c r="BE514" s="7">
        <v>240</v>
      </c>
      <c r="BF514" s="7">
        <f t="shared" si="1"/>
        <v>116021</v>
      </c>
      <c r="BG514" s="7">
        <v>2</v>
      </c>
      <c r="BL514" s="7">
        <v>0</v>
      </c>
      <c r="BM514" s="24">
        <v>1</v>
      </c>
    </row>
    <row r="515" spans="1:65" s="7" customFormat="1">
      <c r="A515" s="7">
        <v>116022</v>
      </c>
      <c r="B515" s="7" t="s">
        <v>1508</v>
      </c>
      <c r="C515" s="7" t="s">
        <v>525</v>
      </c>
      <c r="D515" s="7" t="s">
        <v>1561</v>
      </c>
      <c r="E515" s="7">
        <v>1</v>
      </c>
      <c r="F515" s="7" t="s">
        <v>959</v>
      </c>
      <c r="G515" s="7">
        <v>0</v>
      </c>
      <c r="H515" s="7">
        <v>0</v>
      </c>
      <c r="I515" s="7">
        <v>99999</v>
      </c>
      <c r="J515" s="7">
        <v>0</v>
      </c>
      <c r="K515" s="7">
        <v>0</v>
      </c>
      <c r="L515" s="7" t="s">
        <v>1567</v>
      </c>
      <c r="M515" s="7">
        <v>22</v>
      </c>
      <c r="N515" s="7">
        <v>4</v>
      </c>
      <c r="Q515" s="7">
        <v>0</v>
      </c>
      <c r="S515" s="7">
        <f t="shared" si="2"/>
        <v>1320</v>
      </c>
      <c r="T515" s="7">
        <v>3</v>
      </c>
      <c r="V515" s="7">
        <v>1</v>
      </c>
      <c r="W515" s="7">
        <v>1</v>
      </c>
      <c r="X515" s="6"/>
      <c r="Y515" s="7" t="s">
        <v>1582</v>
      </c>
      <c r="Z515" s="7" t="s">
        <v>2957</v>
      </c>
      <c r="AA515" s="7" t="s">
        <v>1640</v>
      </c>
      <c r="AB515" s="7">
        <v>0</v>
      </c>
      <c r="AC515" s="7">
        <v>13</v>
      </c>
      <c r="AD515" s="7">
        <v>0</v>
      </c>
      <c r="AE515" s="7">
        <v>0</v>
      </c>
      <c r="AF515" s="7">
        <v>1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P515" s="7">
        <v>0</v>
      </c>
      <c r="AQ515" s="7">
        <v>1</v>
      </c>
      <c r="AR515" s="7">
        <v>0</v>
      </c>
      <c r="AS515" s="7">
        <v>0</v>
      </c>
      <c r="BE515" s="7">
        <v>240</v>
      </c>
      <c r="BF515" s="7">
        <f t="shared" si="1"/>
        <v>116022</v>
      </c>
      <c r="BG515" s="7">
        <v>2</v>
      </c>
      <c r="BL515" s="7">
        <v>0</v>
      </c>
      <c r="BM515" s="24">
        <v>1</v>
      </c>
    </row>
    <row r="516" spans="1:65" s="7" customFormat="1">
      <c r="A516" s="7">
        <v>116023</v>
      </c>
      <c r="B516" s="7" t="s">
        <v>1509</v>
      </c>
      <c r="C516" s="7" t="s">
        <v>525</v>
      </c>
      <c r="D516" s="7" t="s">
        <v>1561</v>
      </c>
      <c r="E516" s="7">
        <v>1</v>
      </c>
      <c r="F516" s="7" t="s">
        <v>959</v>
      </c>
      <c r="G516" s="7">
        <v>0</v>
      </c>
      <c r="H516" s="7">
        <v>0</v>
      </c>
      <c r="I516" s="7">
        <v>99999</v>
      </c>
      <c r="J516" s="7">
        <v>0</v>
      </c>
      <c r="K516" s="7">
        <v>0</v>
      </c>
      <c r="L516" s="7" t="s">
        <v>1567</v>
      </c>
      <c r="M516" s="7">
        <v>23</v>
      </c>
      <c r="N516" s="7">
        <v>4</v>
      </c>
      <c r="Q516" s="7">
        <v>0</v>
      </c>
      <c r="S516" s="7">
        <f t="shared" si="2"/>
        <v>1408</v>
      </c>
      <c r="T516" s="7">
        <v>3</v>
      </c>
      <c r="V516" s="7">
        <v>1</v>
      </c>
      <c r="W516" s="7">
        <v>1</v>
      </c>
      <c r="X516" s="6"/>
      <c r="Y516" s="7" t="s">
        <v>1582</v>
      </c>
      <c r="Z516" s="7" t="s">
        <v>2957</v>
      </c>
      <c r="AA516" s="7" t="s">
        <v>1640</v>
      </c>
      <c r="AB516" s="7">
        <v>0</v>
      </c>
      <c r="AC516" s="7">
        <v>13</v>
      </c>
      <c r="AD516" s="7">
        <v>0</v>
      </c>
      <c r="AE516" s="7">
        <v>0</v>
      </c>
      <c r="AF516" s="7">
        <v>1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P516" s="7">
        <v>0</v>
      </c>
      <c r="AQ516" s="7">
        <v>1</v>
      </c>
      <c r="AR516" s="7">
        <v>0</v>
      </c>
      <c r="AS516" s="7">
        <v>0</v>
      </c>
      <c r="BE516" s="7">
        <v>240</v>
      </c>
      <c r="BF516" s="7">
        <f t="shared" si="1"/>
        <v>116023</v>
      </c>
      <c r="BG516" s="7">
        <v>2</v>
      </c>
      <c r="BL516" s="7">
        <v>0</v>
      </c>
      <c r="BM516" s="24">
        <v>1</v>
      </c>
    </row>
    <row r="517" spans="1:65" s="7" customFormat="1">
      <c r="A517" s="7">
        <v>116024</v>
      </c>
      <c r="B517" s="7" t="s">
        <v>1510</v>
      </c>
      <c r="C517" s="7" t="s">
        <v>525</v>
      </c>
      <c r="D517" s="7" t="s">
        <v>1561</v>
      </c>
      <c r="E517" s="7">
        <v>1</v>
      </c>
      <c r="F517" s="7" t="s">
        <v>959</v>
      </c>
      <c r="G517" s="7">
        <v>0</v>
      </c>
      <c r="H517" s="7">
        <v>0</v>
      </c>
      <c r="I517" s="7">
        <v>99999</v>
      </c>
      <c r="J517" s="7">
        <v>0</v>
      </c>
      <c r="K517" s="7">
        <v>0</v>
      </c>
      <c r="L517" s="7" t="s">
        <v>1567</v>
      </c>
      <c r="M517" s="7">
        <v>24</v>
      </c>
      <c r="N517" s="7">
        <v>4</v>
      </c>
      <c r="Q517" s="7">
        <v>0</v>
      </c>
      <c r="S517" s="7">
        <f t="shared" si="2"/>
        <v>1496.0000000000002</v>
      </c>
      <c r="T517" s="7">
        <v>3</v>
      </c>
      <c r="V517" s="7">
        <v>1</v>
      </c>
      <c r="W517" s="7">
        <v>1</v>
      </c>
      <c r="X517" s="6"/>
      <c r="Y517" s="7" t="s">
        <v>1582</v>
      </c>
      <c r="Z517" s="7" t="s">
        <v>2957</v>
      </c>
      <c r="AA517" s="7" t="s">
        <v>1640</v>
      </c>
      <c r="AB517" s="7">
        <v>0</v>
      </c>
      <c r="AC517" s="7">
        <v>13</v>
      </c>
      <c r="AD517" s="7">
        <v>0</v>
      </c>
      <c r="AE517" s="7">
        <v>0</v>
      </c>
      <c r="AF517" s="7">
        <v>1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P517" s="7">
        <v>0</v>
      </c>
      <c r="AQ517" s="7">
        <v>1</v>
      </c>
      <c r="AR517" s="7">
        <v>0</v>
      </c>
      <c r="AS517" s="7">
        <v>0</v>
      </c>
      <c r="BE517" s="7">
        <v>240</v>
      </c>
      <c r="BF517" s="7">
        <f t="shared" si="1"/>
        <v>116024</v>
      </c>
      <c r="BG517" s="7">
        <v>2</v>
      </c>
      <c r="BL517" s="7">
        <v>0</v>
      </c>
      <c r="BM517" s="24">
        <v>1</v>
      </c>
    </row>
    <row r="518" spans="1:65" s="7" customFormat="1">
      <c r="A518" s="7">
        <v>116025</v>
      </c>
      <c r="B518" s="7" t="s">
        <v>1511</v>
      </c>
      <c r="C518" s="7" t="s">
        <v>525</v>
      </c>
      <c r="D518" s="7" t="s">
        <v>1561</v>
      </c>
      <c r="E518" s="7">
        <v>1</v>
      </c>
      <c r="F518" s="7" t="s">
        <v>959</v>
      </c>
      <c r="G518" s="7">
        <v>0</v>
      </c>
      <c r="H518" s="7">
        <v>0</v>
      </c>
      <c r="I518" s="7">
        <v>99999</v>
      </c>
      <c r="J518" s="7">
        <v>0</v>
      </c>
      <c r="K518" s="7">
        <v>0</v>
      </c>
      <c r="L518" s="7" t="s">
        <v>1567</v>
      </c>
      <c r="M518" s="7">
        <v>25</v>
      </c>
      <c r="N518" s="7">
        <v>4</v>
      </c>
      <c r="Q518" s="7">
        <v>0</v>
      </c>
      <c r="S518" s="7">
        <f t="shared" si="2"/>
        <v>1584.0000000000002</v>
      </c>
      <c r="T518" s="7">
        <v>3</v>
      </c>
      <c r="V518" s="7">
        <v>1</v>
      </c>
      <c r="W518" s="7">
        <v>1</v>
      </c>
      <c r="X518" s="6"/>
      <c r="Y518" s="7" t="s">
        <v>1582</v>
      </c>
      <c r="Z518" s="7" t="s">
        <v>2957</v>
      </c>
      <c r="AA518" s="7" t="s">
        <v>1640</v>
      </c>
      <c r="AB518" s="7">
        <v>0</v>
      </c>
      <c r="AC518" s="7">
        <v>13</v>
      </c>
      <c r="AD518" s="7">
        <v>0</v>
      </c>
      <c r="AE518" s="7">
        <v>0</v>
      </c>
      <c r="AF518" s="7">
        <v>1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P518" s="7">
        <v>0</v>
      </c>
      <c r="AQ518" s="7">
        <v>1</v>
      </c>
      <c r="AR518" s="7">
        <v>0</v>
      </c>
      <c r="AS518" s="7">
        <v>0</v>
      </c>
      <c r="BE518" s="7">
        <v>240</v>
      </c>
      <c r="BF518" s="7">
        <f t="shared" si="1"/>
        <v>116025</v>
      </c>
      <c r="BG518" s="7">
        <v>2</v>
      </c>
      <c r="BL518" s="7">
        <v>0</v>
      </c>
      <c r="BM518" s="24">
        <v>1</v>
      </c>
    </row>
    <row r="519" spans="1:65" s="7" customFormat="1">
      <c r="A519" s="7">
        <v>116026</v>
      </c>
      <c r="B519" s="7" t="s">
        <v>1512</v>
      </c>
      <c r="C519" s="7" t="s">
        <v>525</v>
      </c>
      <c r="D519" s="7" t="s">
        <v>1561</v>
      </c>
      <c r="E519" s="7">
        <v>1</v>
      </c>
      <c r="F519" s="7" t="s">
        <v>959</v>
      </c>
      <c r="G519" s="7">
        <v>0</v>
      </c>
      <c r="H519" s="7">
        <v>0</v>
      </c>
      <c r="I519" s="7">
        <v>99999</v>
      </c>
      <c r="J519" s="7">
        <v>0</v>
      </c>
      <c r="K519" s="7">
        <v>0</v>
      </c>
      <c r="L519" s="7" t="s">
        <v>1567</v>
      </c>
      <c r="M519" s="7">
        <v>26</v>
      </c>
      <c r="N519" s="7">
        <v>4</v>
      </c>
      <c r="Q519" s="7">
        <v>0</v>
      </c>
      <c r="S519" s="7">
        <f t="shared" si="2"/>
        <v>1672.0000000000002</v>
      </c>
      <c r="T519" s="7">
        <v>3</v>
      </c>
      <c r="V519" s="7">
        <v>1</v>
      </c>
      <c r="W519" s="7">
        <v>1</v>
      </c>
      <c r="X519" s="6"/>
      <c r="Y519" s="7" t="s">
        <v>1582</v>
      </c>
      <c r="Z519" s="7" t="s">
        <v>2957</v>
      </c>
      <c r="AA519" s="7" t="s">
        <v>1640</v>
      </c>
      <c r="AB519" s="7">
        <v>0</v>
      </c>
      <c r="AC519" s="7">
        <v>13</v>
      </c>
      <c r="AD519" s="7">
        <v>0</v>
      </c>
      <c r="AE519" s="7">
        <v>0</v>
      </c>
      <c r="AF519" s="7">
        <v>1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P519" s="7">
        <v>0</v>
      </c>
      <c r="AQ519" s="7">
        <v>1</v>
      </c>
      <c r="AR519" s="7">
        <v>0</v>
      </c>
      <c r="AS519" s="7">
        <v>0</v>
      </c>
      <c r="BE519" s="7">
        <v>240</v>
      </c>
      <c r="BF519" s="7">
        <f t="shared" si="1"/>
        <v>116026</v>
      </c>
      <c r="BG519" s="7">
        <v>2</v>
      </c>
      <c r="BL519" s="7">
        <v>0</v>
      </c>
      <c r="BM519" s="24">
        <v>1</v>
      </c>
    </row>
    <row r="520" spans="1:65" s="7" customFormat="1">
      <c r="A520" s="7">
        <v>117003</v>
      </c>
      <c r="B520" s="7" t="s">
        <v>1513</v>
      </c>
      <c r="C520" s="7" t="s">
        <v>525</v>
      </c>
      <c r="D520" s="7" t="s">
        <v>1561</v>
      </c>
      <c r="E520" s="7">
        <v>1</v>
      </c>
      <c r="F520" s="7" t="s">
        <v>959</v>
      </c>
      <c r="G520" s="7">
        <v>0</v>
      </c>
      <c r="H520" s="7">
        <v>0</v>
      </c>
      <c r="I520" s="7">
        <v>99999</v>
      </c>
      <c r="J520" s="7">
        <v>0</v>
      </c>
      <c r="K520" s="7">
        <v>0</v>
      </c>
      <c r="L520" s="7" t="s">
        <v>1567</v>
      </c>
      <c r="M520" s="7">
        <v>3</v>
      </c>
      <c r="N520" s="7">
        <v>4</v>
      </c>
      <c r="Q520" s="7">
        <v>0</v>
      </c>
      <c r="S520" s="7">
        <f>S447*2.75</f>
        <v>550</v>
      </c>
      <c r="T520" s="7">
        <v>3</v>
      </c>
      <c r="V520" s="7">
        <v>1</v>
      </c>
      <c r="W520" s="7">
        <v>1</v>
      </c>
      <c r="X520" s="6"/>
      <c r="Y520" s="7" t="s">
        <v>1583</v>
      </c>
      <c r="Z520" s="7" t="s">
        <v>2957</v>
      </c>
      <c r="AA520" s="7" t="s">
        <v>1641</v>
      </c>
      <c r="AB520" s="7">
        <v>0</v>
      </c>
      <c r="AC520" s="7">
        <v>13</v>
      </c>
      <c r="AD520" s="7">
        <v>0</v>
      </c>
      <c r="AE520" s="7">
        <v>0</v>
      </c>
      <c r="AF520" s="7">
        <v>1</v>
      </c>
      <c r="AI520" s="7">
        <v>0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P520" s="7">
        <v>0</v>
      </c>
      <c r="AQ520" s="7">
        <v>1</v>
      </c>
      <c r="AR520" s="7">
        <v>0</v>
      </c>
      <c r="AS520" s="7">
        <v>0</v>
      </c>
      <c r="BE520" s="7">
        <v>240</v>
      </c>
      <c r="BF520" s="7">
        <f t="shared" si="1"/>
        <v>117003</v>
      </c>
      <c r="BG520" s="7">
        <v>2</v>
      </c>
      <c r="BL520" s="7">
        <v>0</v>
      </c>
      <c r="BM520" s="24">
        <v>1</v>
      </c>
    </row>
    <row r="521" spans="1:65" s="7" customFormat="1">
      <c r="A521" s="7">
        <v>117004</v>
      </c>
      <c r="B521" s="7" t="s">
        <v>1514</v>
      </c>
      <c r="C521" s="7" t="s">
        <v>525</v>
      </c>
      <c r="D521" s="7" t="s">
        <v>1561</v>
      </c>
      <c r="E521" s="7">
        <v>1</v>
      </c>
      <c r="F521" s="7" t="s">
        <v>959</v>
      </c>
      <c r="G521" s="7">
        <v>0</v>
      </c>
      <c r="H521" s="7">
        <v>0</v>
      </c>
      <c r="I521" s="7">
        <v>99999</v>
      </c>
      <c r="J521" s="7">
        <v>0</v>
      </c>
      <c r="K521" s="7">
        <v>0</v>
      </c>
      <c r="L521" s="7" t="s">
        <v>1567</v>
      </c>
      <c r="M521" s="7">
        <v>4</v>
      </c>
      <c r="N521" s="7">
        <v>4</v>
      </c>
      <c r="Q521" s="7">
        <v>0</v>
      </c>
      <c r="S521" s="7">
        <f t="shared" ref="S521:S543" si="3">S448*2.75</f>
        <v>660</v>
      </c>
      <c r="T521" s="7">
        <v>3</v>
      </c>
      <c r="V521" s="7">
        <v>1</v>
      </c>
      <c r="W521" s="7">
        <v>1</v>
      </c>
      <c r="X521" s="6"/>
      <c r="Y521" s="7" t="s">
        <v>1583</v>
      </c>
      <c r="Z521" s="7" t="s">
        <v>2957</v>
      </c>
      <c r="AA521" s="7" t="s">
        <v>1641</v>
      </c>
      <c r="AB521" s="7">
        <v>0</v>
      </c>
      <c r="AC521" s="7">
        <v>13</v>
      </c>
      <c r="AD521" s="7">
        <v>0</v>
      </c>
      <c r="AE521" s="7">
        <v>0</v>
      </c>
      <c r="AF521" s="7">
        <v>1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P521" s="7">
        <v>0</v>
      </c>
      <c r="AQ521" s="7">
        <v>1</v>
      </c>
      <c r="AR521" s="7">
        <v>0</v>
      </c>
      <c r="AS521" s="7">
        <v>0</v>
      </c>
      <c r="BE521" s="7">
        <v>240</v>
      </c>
      <c r="BF521" s="7">
        <f t="shared" si="1"/>
        <v>117004</v>
      </c>
      <c r="BG521" s="7">
        <v>2</v>
      </c>
      <c r="BL521" s="7">
        <v>0</v>
      </c>
      <c r="BM521" s="24">
        <v>1</v>
      </c>
    </row>
    <row r="522" spans="1:65" s="7" customFormat="1">
      <c r="A522" s="7">
        <v>117005</v>
      </c>
      <c r="B522" s="7" t="s">
        <v>1515</v>
      </c>
      <c r="C522" s="7" t="s">
        <v>525</v>
      </c>
      <c r="D522" s="7" t="s">
        <v>1561</v>
      </c>
      <c r="E522" s="7">
        <v>1</v>
      </c>
      <c r="F522" s="7" t="s">
        <v>959</v>
      </c>
      <c r="G522" s="7">
        <v>0</v>
      </c>
      <c r="H522" s="7">
        <v>0</v>
      </c>
      <c r="I522" s="7">
        <v>99999</v>
      </c>
      <c r="J522" s="7">
        <v>0</v>
      </c>
      <c r="K522" s="7">
        <v>0</v>
      </c>
      <c r="L522" s="7" t="s">
        <v>1567</v>
      </c>
      <c r="M522" s="7">
        <v>5</v>
      </c>
      <c r="N522" s="7">
        <v>4</v>
      </c>
      <c r="Q522" s="7">
        <v>0</v>
      </c>
      <c r="S522" s="7">
        <f t="shared" si="3"/>
        <v>770</v>
      </c>
      <c r="T522" s="7">
        <v>3</v>
      </c>
      <c r="V522" s="7">
        <v>1</v>
      </c>
      <c r="W522" s="7">
        <v>1</v>
      </c>
      <c r="X522" s="6"/>
      <c r="Y522" s="7" t="s">
        <v>1583</v>
      </c>
      <c r="Z522" s="7" t="s">
        <v>2957</v>
      </c>
      <c r="AA522" s="7" t="s">
        <v>1641</v>
      </c>
      <c r="AB522" s="7">
        <v>0</v>
      </c>
      <c r="AC522" s="7">
        <v>13</v>
      </c>
      <c r="AD522" s="7">
        <v>0</v>
      </c>
      <c r="AE522" s="7">
        <v>0</v>
      </c>
      <c r="AF522" s="7">
        <v>1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P522" s="7">
        <v>0</v>
      </c>
      <c r="AQ522" s="7">
        <v>1</v>
      </c>
      <c r="AR522" s="7">
        <v>0</v>
      </c>
      <c r="AS522" s="7">
        <v>0</v>
      </c>
      <c r="BE522" s="7">
        <v>240</v>
      </c>
      <c r="BF522" s="7">
        <f t="shared" si="1"/>
        <v>117005</v>
      </c>
      <c r="BG522" s="7">
        <v>2</v>
      </c>
      <c r="BL522" s="7">
        <v>0</v>
      </c>
      <c r="BM522" s="24">
        <v>1</v>
      </c>
    </row>
    <row r="523" spans="1:65" s="7" customFormat="1">
      <c r="A523" s="7">
        <v>117006</v>
      </c>
      <c r="B523" s="7" t="s">
        <v>1516</v>
      </c>
      <c r="C523" s="7" t="s">
        <v>525</v>
      </c>
      <c r="D523" s="7" t="s">
        <v>1561</v>
      </c>
      <c r="E523" s="7">
        <v>1</v>
      </c>
      <c r="F523" s="7" t="s">
        <v>959</v>
      </c>
      <c r="G523" s="7">
        <v>0</v>
      </c>
      <c r="H523" s="7">
        <v>0</v>
      </c>
      <c r="I523" s="7">
        <v>99999</v>
      </c>
      <c r="J523" s="7">
        <v>0</v>
      </c>
      <c r="K523" s="7">
        <v>0</v>
      </c>
      <c r="L523" s="7" t="s">
        <v>1567</v>
      </c>
      <c r="M523" s="7">
        <v>6</v>
      </c>
      <c r="N523" s="7">
        <v>4</v>
      </c>
      <c r="Q523" s="7">
        <v>0</v>
      </c>
      <c r="S523" s="7">
        <f t="shared" si="3"/>
        <v>880</v>
      </c>
      <c r="T523" s="7">
        <v>3</v>
      </c>
      <c r="V523" s="7">
        <v>1</v>
      </c>
      <c r="W523" s="7">
        <v>1</v>
      </c>
      <c r="X523" s="6"/>
      <c r="Y523" s="7" t="s">
        <v>1583</v>
      </c>
      <c r="Z523" s="7" t="s">
        <v>2957</v>
      </c>
      <c r="AA523" s="7" t="s">
        <v>1641</v>
      </c>
      <c r="AB523" s="7">
        <v>0</v>
      </c>
      <c r="AC523" s="7">
        <v>13</v>
      </c>
      <c r="AD523" s="7">
        <v>0</v>
      </c>
      <c r="AE523" s="7">
        <v>0</v>
      </c>
      <c r="AF523" s="7">
        <v>1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P523" s="7">
        <v>0</v>
      </c>
      <c r="AQ523" s="7">
        <v>1</v>
      </c>
      <c r="AR523" s="7">
        <v>0</v>
      </c>
      <c r="AS523" s="7">
        <v>0</v>
      </c>
      <c r="BE523" s="7">
        <v>240</v>
      </c>
      <c r="BF523" s="7">
        <f t="shared" si="1"/>
        <v>117006</v>
      </c>
      <c r="BG523" s="7">
        <v>2</v>
      </c>
      <c r="BL523" s="7">
        <v>0</v>
      </c>
      <c r="BM523" s="24">
        <v>1</v>
      </c>
    </row>
    <row r="524" spans="1:65" s="7" customFormat="1">
      <c r="A524" s="7">
        <v>117007</v>
      </c>
      <c r="B524" s="7" t="s">
        <v>1517</v>
      </c>
      <c r="C524" s="7" t="s">
        <v>525</v>
      </c>
      <c r="D524" s="7" t="s">
        <v>1561</v>
      </c>
      <c r="E524" s="7">
        <v>1</v>
      </c>
      <c r="F524" s="7" t="s">
        <v>959</v>
      </c>
      <c r="G524" s="7">
        <v>0</v>
      </c>
      <c r="H524" s="7">
        <v>0</v>
      </c>
      <c r="I524" s="7">
        <v>99999</v>
      </c>
      <c r="J524" s="7">
        <v>0</v>
      </c>
      <c r="K524" s="7">
        <v>0</v>
      </c>
      <c r="L524" s="7" t="s">
        <v>1567</v>
      </c>
      <c r="M524" s="7">
        <v>7</v>
      </c>
      <c r="N524" s="7">
        <v>4</v>
      </c>
      <c r="Q524" s="7">
        <v>0</v>
      </c>
      <c r="S524" s="7">
        <f t="shared" si="3"/>
        <v>990</v>
      </c>
      <c r="T524" s="7">
        <v>3</v>
      </c>
      <c r="V524" s="7">
        <v>1</v>
      </c>
      <c r="W524" s="7">
        <v>1</v>
      </c>
      <c r="X524" s="6"/>
      <c r="Y524" s="7" t="s">
        <v>1583</v>
      </c>
      <c r="Z524" s="7" t="s">
        <v>2957</v>
      </c>
      <c r="AA524" s="7" t="s">
        <v>1641</v>
      </c>
      <c r="AB524" s="7">
        <v>0</v>
      </c>
      <c r="AC524" s="7">
        <v>13</v>
      </c>
      <c r="AD524" s="7">
        <v>0</v>
      </c>
      <c r="AE524" s="7">
        <v>0</v>
      </c>
      <c r="AF524" s="7">
        <v>1</v>
      </c>
      <c r="AI524" s="7">
        <v>0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P524" s="7">
        <v>0</v>
      </c>
      <c r="AQ524" s="7">
        <v>1</v>
      </c>
      <c r="AR524" s="7">
        <v>0</v>
      </c>
      <c r="AS524" s="7">
        <v>0</v>
      </c>
      <c r="BE524" s="7">
        <v>240</v>
      </c>
      <c r="BF524" s="7">
        <f t="shared" si="1"/>
        <v>117007</v>
      </c>
      <c r="BG524" s="7">
        <v>2</v>
      </c>
      <c r="BL524" s="7">
        <v>0</v>
      </c>
      <c r="BM524" s="24">
        <v>1</v>
      </c>
    </row>
    <row r="525" spans="1:65" s="7" customFormat="1">
      <c r="A525" s="7">
        <v>117008</v>
      </c>
      <c r="B525" s="7" t="s">
        <v>1518</v>
      </c>
      <c r="C525" s="7" t="s">
        <v>525</v>
      </c>
      <c r="D525" s="7" t="s">
        <v>1561</v>
      </c>
      <c r="E525" s="7">
        <v>1</v>
      </c>
      <c r="F525" s="7" t="s">
        <v>959</v>
      </c>
      <c r="G525" s="7">
        <v>0</v>
      </c>
      <c r="H525" s="7">
        <v>0</v>
      </c>
      <c r="I525" s="7">
        <v>99999</v>
      </c>
      <c r="J525" s="7">
        <v>0</v>
      </c>
      <c r="K525" s="7">
        <v>0</v>
      </c>
      <c r="L525" s="7" t="s">
        <v>1567</v>
      </c>
      <c r="M525" s="7">
        <v>8</v>
      </c>
      <c r="N525" s="7">
        <v>4</v>
      </c>
      <c r="Q525" s="7">
        <v>0</v>
      </c>
      <c r="S525" s="7">
        <f t="shared" si="3"/>
        <v>1100</v>
      </c>
      <c r="T525" s="7">
        <v>3</v>
      </c>
      <c r="V525" s="7">
        <v>1</v>
      </c>
      <c r="W525" s="7">
        <v>1</v>
      </c>
      <c r="X525" s="6"/>
      <c r="Y525" s="7" t="s">
        <v>1583</v>
      </c>
      <c r="Z525" s="7" t="s">
        <v>2957</v>
      </c>
      <c r="AA525" s="7" t="s">
        <v>1641</v>
      </c>
      <c r="AB525" s="7">
        <v>0</v>
      </c>
      <c r="AC525" s="7">
        <v>13</v>
      </c>
      <c r="AD525" s="7">
        <v>0</v>
      </c>
      <c r="AE525" s="7">
        <v>0</v>
      </c>
      <c r="AF525" s="7">
        <v>1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P525" s="7">
        <v>0</v>
      </c>
      <c r="AQ525" s="7">
        <v>1</v>
      </c>
      <c r="AR525" s="7">
        <v>0</v>
      </c>
      <c r="AS525" s="7">
        <v>0</v>
      </c>
      <c r="BE525" s="7">
        <v>240</v>
      </c>
      <c r="BF525" s="7">
        <f t="shared" si="1"/>
        <v>117008</v>
      </c>
      <c r="BG525" s="7">
        <v>2</v>
      </c>
      <c r="BL525" s="7">
        <v>0</v>
      </c>
      <c r="BM525" s="24">
        <v>1</v>
      </c>
    </row>
    <row r="526" spans="1:65" s="7" customFormat="1">
      <c r="A526" s="7">
        <v>117009</v>
      </c>
      <c r="B526" s="7" t="s">
        <v>1519</v>
      </c>
      <c r="C526" s="7" t="s">
        <v>525</v>
      </c>
      <c r="D526" s="7" t="s">
        <v>1561</v>
      </c>
      <c r="E526" s="7">
        <v>1</v>
      </c>
      <c r="F526" s="7" t="s">
        <v>959</v>
      </c>
      <c r="G526" s="7">
        <v>0</v>
      </c>
      <c r="H526" s="7">
        <v>0</v>
      </c>
      <c r="I526" s="7">
        <v>99999</v>
      </c>
      <c r="J526" s="7">
        <v>0</v>
      </c>
      <c r="K526" s="7">
        <v>0</v>
      </c>
      <c r="L526" s="7" t="s">
        <v>1567</v>
      </c>
      <c r="M526" s="7">
        <v>9</v>
      </c>
      <c r="N526" s="7">
        <v>4</v>
      </c>
      <c r="Q526" s="7">
        <v>0</v>
      </c>
      <c r="S526" s="7">
        <f t="shared" si="3"/>
        <v>1210</v>
      </c>
      <c r="T526" s="7">
        <v>3</v>
      </c>
      <c r="V526" s="7">
        <v>1</v>
      </c>
      <c r="W526" s="7">
        <v>1</v>
      </c>
      <c r="X526" s="6"/>
      <c r="Y526" s="7" t="s">
        <v>1583</v>
      </c>
      <c r="Z526" s="7" t="s">
        <v>2957</v>
      </c>
      <c r="AA526" s="7" t="s">
        <v>1641</v>
      </c>
      <c r="AB526" s="7">
        <v>0</v>
      </c>
      <c r="AC526" s="7">
        <v>13</v>
      </c>
      <c r="AD526" s="7">
        <v>0</v>
      </c>
      <c r="AE526" s="7">
        <v>0</v>
      </c>
      <c r="AF526" s="7">
        <v>1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P526" s="7">
        <v>0</v>
      </c>
      <c r="AQ526" s="7">
        <v>1</v>
      </c>
      <c r="AR526" s="7">
        <v>0</v>
      </c>
      <c r="AS526" s="7">
        <v>0</v>
      </c>
      <c r="BE526" s="7">
        <v>240</v>
      </c>
      <c r="BF526" s="7">
        <f t="shared" si="1"/>
        <v>117009</v>
      </c>
      <c r="BG526" s="7">
        <v>2</v>
      </c>
      <c r="BL526" s="7">
        <v>0</v>
      </c>
      <c r="BM526" s="24">
        <v>1</v>
      </c>
    </row>
    <row r="527" spans="1:65" s="7" customFormat="1">
      <c r="A527" s="7">
        <v>117010</v>
      </c>
      <c r="B527" s="7" t="s">
        <v>1520</v>
      </c>
      <c r="C527" s="7" t="s">
        <v>525</v>
      </c>
      <c r="D527" s="7" t="s">
        <v>1561</v>
      </c>
      <c r="E527" s="7">
        <v>1</v>
      </c>
      <c r="F527" s="7" t="s">
        <v>959</v>
      </c>
      <c r="G527" s="7">
        <v>0</v>
      </c>
      <c r="H527" s="7">
        <v>0</v>
      </c>
      <c r="I527" s="7">
        <v>99999</v>
      </c>
      <c r="J527" s="7">
        <v>0</v>
      </c>
      <c r="K527" s="7">
        <v>0</v>
      </c>
      <c r="L527" s="7" t="s">
        <v>1567</v>
      </c>
      <c r="M527" s="7">
        <v>10</v>
      </c>
      <c r="N527" s="7">
        <v>4</v>
      </c>
      <c r="Q527" s="7">
        <v>0</v>
      </c>
      <c r="S527" s="7">
        <f t="shared" si="3"/>
        <v>1320</v>
      </c>
      <c r="T527" s="7">
        <v>3</v>
      </c>
      <c r="V527" s="7">
        <v>1</v>
      </c>
      <c r="W527" s="7">
        <v>1</v>
      </c>
      <c r="X527" s="6"/>
      <c r="Y527" s="7" t="s">
        <v>1583</v>
      </c>
      <c r="Z527" s="7" t="s">
        <v>2957</v>
      </c>
      <c r="AA527" s="7" t="s">
        <v>1641</v>
      </c>
      <c r="AB527" s="7">
        <v>0</v>
      </c>
      <c r="AC527" s="7">
        <v>13</v>
      </c>
      <c r="AD527" s="7">
        <v>0</v>
      </c>
      <c r="AE527" s="7">
        <v>0</v>
      </c>
      <c r="AF527" s="7">
        <v>1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P527" s="7">
        <v>0</v>
      </c>
      <c r="AQ527" s="7">
        <v>1</v>
      </c>
      <c r="AR527" s="7">
        <v>0</v>
      </c>
      <c r="AS527" s="7">
        <v>0</v>
      </c>
      <c r="BE527" s="7">
        <v>240</v>
      </c>
      <c r="BF527" s="7">
        <f t="shared" si="1"/>
        <v>117010</v>
      </c>
      <c r="BG527" s="7">
        <v>2</v>
      </c>
      <c r="BL527" s="7">
        <v>0</v>
      </c>
      <c r="BM527" s="24">
        <v>1</v>
      </c>
    </row>
    <row r="528" spans="1:65" s="7" customFormat="1">
      <c r="A528" s="7">
        <v>117011</v>
      </c>
      <c r="B528" s="7" t="s">
        <v>1521</v>
      </c>
      <c r="C528" s="7" t="s">
        <v>525</v>
      </c>
      <c r="D528" s="7" t="s">
        <v>1561</v>
      </c>
      <c r="E528" s="7">
        <v>1</v>
      </c>
      <c r="F528" s="7" t="s">
        <v>959</v>
      </c>
      <c r="G528" s="7">
        <v>0</v>
      </c>
      <c r="H528" s="7">
        <v>0</v>
      </c>
      <c r="I528" s="7">
        <v>99999</v>
      </c>
      <c r="J528" s="7">
        <v>0</v>
      </c>
      <c r="K528" s="7">
        <v>0</v>
      </c>
      <c r="L528" s="7" t="s">
        <v>1567</v>
      </c>
      <c r="M528" s="7">
        <v>11</v>
      </c>
      <c r="N528" s="7">
        <v>4</v>
      </c>
      <c r="Q528" s="7">
        <v>0</v>
      </c>
      <c r="S528" s="7">
        <f t="shared" si="3"/>
        <v>1430</v>
      </c>
      <c r="T528" s="7">
        <v>3</v>
      </c>
      <c r="V528" s="7">
        <v>1</v>
      </c>
      <c r="W528" s="7">
        <v>1</v>
      </c>
      <c r="X528" s="6"/>
      <c r="Y528" s="7" t="s">
        <v>1583</v>
      </c>
      <c r="Z528" s="7" t="s">
        <v>2957</v>
      </c>
      <c r="AA528" s="7" t="s">
        <v>1641</v>
      </c>
      <c r="AB528" s="7">
        <v>0</v>
      </c>
      <c r="AC528" s="7">
        <v>13</v>
      </c>
      <c r="AD528" s="7">
        <v>0</v>
      </c>
      <c r="AE528" s="7">
        <v>0</v>
      </c>
      <c r="AF528" s="7">
        <v>1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P528" s="7">
        <v>0</v>
      </c>
      <c r="AQ528" s="7">
        <v>1</v>
      </c>
      <c r="AR528" s="7">
        <v>0</v>
      </c>
      <c r="AS528" s="7">
        <v>0</v>
      </c>
      <c r="BE528" s="7">
        <v>240</v>
      </c>
      <c r="BF528" s="7">
        <f t="shared" si="1"/>
        <v>117011</v>
      </c>
      <c r="BG528" s="7">
        <v>2</v>
      </c>
      <c r="BL528" s="7">
        <v>0</v>
      </c>
      <c r="BM528" s="24">
        <v>1</v>
      </c>
    </row>
    <row r="529" spans="1:65" s="7" customFormat="1">
      <c r="A529" s="7">
        <v>117012</v>
      </c>
      <c r="B529" s="7" t="s">
        <v>1522</v>
      </c>
      <c r="C529" s="7" t="s">
        <v>525</v>
      </c>
      <c r="D529" s="7" t="s">
        <v>1561</v>
      </c>
      <c r="E529" s="7">
        <v>1</v>
      </c>
      <c r="F529" s="7" t="s">
        <v>959</v>
      </c>
      <c r="G529" s="7">
        <v>0</v>
      </c>
      <c r="H529" s="7">
        <v>0</v>
      </c>
      <c r="I529" s="7">
        <v>99999</v>
      </c>
      <c r="J529" s="7">
        <v>0</v>
      </c>
      <c r="K529" s="7">
        <v>0</v>
      </c>
      <c r="L529" s="7" t="s">
        <v>1567</v>
      </c>
      <c r="M529" s="7">
        <v>12</v>
      </c>
      <c r="N529" s="7">
        <v>4</v>
      </c>
      <c r="Q529" s="7">
        <v>0</v>
      </c>
      <c r="S529" s="7">
        <f t="shared" si="3"/>
        <v>1540</v>
      </c>
      <c r="T529" s="7">
        <v>3</v>
      </c>
      <c r="V529" s="7">
        <v>1</v>
      </c>
      <c r="W529" s="7">
        <v>1</v>
      </c>
      <c r="X529" s="6"/>
      <c r="Y529" s="7" t="s">
        <v>1583</v>
      </c>
      <c r="Z529" s="7" t="s">
        <v>2957</v>
      </c>
      <c r="AA529" s="7" t="s">
        <v>1641</v>
      </c>
      <c r="AB529" s="7">
        <v>0</v>
      </c>
      <c r="AC529" s="7">
        <v>13</v>
      </c>
      <c r="AD529" s="7">
        <v>0</v>
      </c>
      <c r="AE529" s="7">
        <v>0</v>
      </c>
      <c r="AF529" s="7">
        <v>1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P529" s="7">
        <v>0</v>
      </c>
      <c r="AQ529" s="7">
        <v>1</v>
      </c>
      <c r="AR529" s="7">
        <v>0</v>
      </c>
      <c r="AS529" s="7">
        <v>0</v>
      </c>
      <c r="BE529" s="7">
        <v>240</v>
      </c>
      <c r="BF529" s="7">
        <f t="shared" si="1"/>
        <v>117012</v>
      </c>
      <c r="BG529" s="7">
        <v>2</v>
      </c>
      <c r="BL529" s="7">
        <v>0</v>
      </c>
      <c r="BM529" s="24">
        <v>1</v>
      </c>
    </row>
    <row r="530" spans="1:65" s="7" customFormat="1">
      <c r="A530" s="7">
        <v>117013</v>
      </c>
      <c r="B530" s="7" t="s">
        <v>1523</v>
      </c>
      <c r="C530" s="7" t="s">
        <v>525</v>
      </c>
      <c r="D530" s="7" t="s">
        <v>1561</v>
      </c>
      <c r="E530" s="7">
        <v>1</v>
      </c>
      <c r="F530" s="7" t="s">
        <v>959</v>
      </c>
      <c r="G530" s="7">
        <v>0</v>
      </c>
      <c r="H530" s="7">
        <v>0</v>
      </c>
      <c r="I530" s="7">
        <v>99999</v>
      </c>
      <c r="J530" s="7">
        <v>0</v>
      </c>
      <c r="K530" s="7">
        <v>0</v>
      </c>
      <c r="L530" s="7" t="s">
        <v>1567</v>
      </c>
      <c r="M530" s="7">
        <v>13</v>
      </c>
      <c r="N530" s="7">
        <v>4</v>
      </c>
      <c r="Q530" s="7">
        <v>0</v>
      </c>
      <c r="S530" s="7">
        <f t="shared" si="3"/>
        <v>1650</v>
      </c>
      <c r="T530" s="7">
        <v>3</v>
      </c>
      <c r="V530" s="7">
        <v>1</v>
      </c>
      <c r="W530" s="7">
        <v>1</v>
      </c>
      <c r="X530" s="6"/>
      <c r="Y530" s="7" t="s">
        <v>1583</v>
      </c>
      <c r="Z530" s="7" t="s">
        <v>2957</v>
      </c>
      <c r="AA530" s="7" t="s">
        <v>1641</v>
      </c>
      <c r="AB530" s="7">
        <v>0</v>
      </c>
      <c r="AC530" s="7">
        <v>13</v>
      </c>
      <c r="AD530" s="7">
        <v>0</v>
      </c>
      <c r="AE530" s="7">
        <v>0</v>
      </c>
      <c r="AF530" s="7">
        <v>1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P530" s="7">
        <v>0</v>
      </c>
      <c r="AQ530" s="7">
        <v>1</v>
      </c>
      <c r="AR530" s="7">
        <v>0</v>
      </c>
      <c r="AS530" s="7">
        <v>0</v>
      </c>
      <c r="BE530" s="7">
        <v>240</v>
      </c>
      <c r="BF530" s="7">
        <f t="shared" si="1"/>
        <v>117013</v>
      </c>
      <c r="BG530" s="7">
        <v>2</v>
      </c>
      <c r="BL530" s="7">
        <v>0</v>
      </c>
      <c r="BM530" s="24">
        <v>1</v>
      </c>
    </row>
    <row r="531" spans="1:65" s="7" customFormat="1">
      <c r="A531" s="7">
        <v>117014</v>
      </c>
      <c r="B531" s="7" t="s">
        <v>1524</v>
      </c>
      <c r="C531" s="7" t="s">
        <v>525</v>
      </c>
      <c r="D531" s="7" t="s">
        <v>1561</v>
      </c>
      <c r="E531" s="7">
        <v>1</v>
      </c>
      <c r="F531" s="7" t="s">
        <v>959</v>
      </c>
      <c r="G531" s="7">
        <v>0</v>
      </c>
      <c r="H531" s="7">
        <v>0</v>
      </c>
      <c r="I531" s="7">
        <v>99999</v>
      </c>
      <c r="J531" s="7">
        <v>0</v>
      </c>
      <c r="K531" s="7">
        <v>0</v>
      </c>
      <c r="L531" s="7" t="s">
        <v>1567</v>
      </c>
      <c r="M531" s="7">
        <v>14</v>
      </c>
      <c r="N531" s="7">
        <v>4</v>
      </c>
      <c r="Q531" s="7">
        <v>0</v>
      </c>
      <c r="S531" s="7">
        <f t="shared" si="3"/>
        <v>1760</v>
      </c>
      <c r="T531" s="7">
        <v>3</v>
      </c>
      <c r="V531" s="7">
        <v>1</v>
      </c>
      <c r="W531" s="7">
        <v>1</v>
      </c>
      <c r="X531" s="6"/>
      <c r="Y531" s="7" t="s">
        <v>1583</v>
      </c>
      <c r="Z531" s="7" t="s">
        <v>2957</v>
      </c>
      <c r="AA531" s="7" t="s">
        <v>1641</v>
      </c>
      <c r="AB531" s="7">
        <v>0</v>
      </c>
      <c r="AC531" s="7">
        <v>13</v>
      </c>
      <c r="AD531" s="7">
        <v>0</v>
      </c>
      <c r="AE531" s="7">
        <v>0</v>
      </c>
      <c r="AF531" s="7">
        <v>1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P531" s="7">
        <v>0</v>
      </c>
      <c r="AQ531" s="7">
        <v>1</v>
      </c>
      <c r="AR531" s="7">
        <v>0</v>
      </c>
      <c r="AS531" s="7">
        <v>0</v>
      </c>
      <c r="BE531" s="7">
        <v>240</v>
      </c>
      <c r="BF531" s="7">
        <f t="shared" si="1"/>
        <v>117014</v>
      </c>
      <c r="BG531" s="7">
        <v>2</v>
      </c>
      <c r="BL531" s="7">
        <v>0</v>
      </c>
      <c r="BM531" s="24">
        <v>1</v>
      </c>
    </row>
    <row r="532" spans="1:65" s="7" customFormat="1">
      <c r="A532" s="7">
        <v>117015</v>
      </c>
      <c r="B532" s="7" t="s">
        <v>1525</v>
      </c>
      <c r="C532" s="7" t="s">
        <v>525</v>
      </c>
      <c r="D532" s="7" t="s">
        <v>1561</v>
      </c>
      <c r="E532" s="7">
        <v>1</v>
      </c>
      <c r="F532" s="7" t="s">
        <v>959</v>
      </c>
      <c r="G532" s="7">
        <v>0</v>
      </c>
      <c r="H532" s="7">
        <v>0</v>
      </c>
      <c r="I532" s="7">
        <v>99999</v>
      </c>
      <c r="J532" s="7">
        <v>0</v>
      </c>
      <c r="K532" s="7">
        <v>0</v>
      </c>
      <c r="L532" s="7" t="s">
        <v>1567</v>
      </c>
      <c r="M532" s="7">
        <v>15</v>
      </c>
      <c r="N532" s="7">
        <v>4</v>
      </c>
      <c r="Q532" s="7">
        <v>0</v>
      </c>
      <c r="S532" s="7">
        <f t="shared" si="3"/>
        <v>1870</v>
      </c>
      <c r="T532" s="7">
        <v>3</v>
      </c>
      <c r="V532" s="7">
        <v>1</v>
      </c>
      <c r="W532" s="7">
        <v>1</v>
      </c>
      <c r="X532" s="6"/>
      <c r="Y532" s="7" t="s">
        <v>1583</v>
      </c>
      <c r="Z532" s="7" t="s">
        <v>2957</v>
      </c>
      <c r="AA532" s="7" t="s">
        <v>1641</v>
      </c>
      <c r="AB532" s="7">
        <v>0</v>
      </c>
      <c r="AC532" s="7">
        <v>13</v>
      </c>
      <c r="AD532" s="7">
        <v>0</v>
      </c>
      <c r="AE532" s="7">
        <v>0</v>
      </c>
      <c r="AF532" s="7">
        <v>1</v>
      </c>
      <c r="AI532" s="7">
        <v>0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P532" s="7">
        <v>0</v>
      </c>
      <c r="AQ532" s="7">
        <v>1</v>
      </c>
      <c r="AR532" s="7">
        <v>0</v>
      </c>
      <c r="AS532" s="7">
        <v>0</v>
      </c>
      <c r="BE532" s="7">
        <v>240</v>
      </c>
      <c r="BF532" s="7">
        <f t="shared" si="1"/>
        <v>117015</v>
      </c>
      <c r="BG532" s="7">
        <v>2</v>
      </c>
      <c r="BL532" s="7">
        <v>0</v>
      </c>
      <c r="BM532" s="24">
        <v>1</v>
      </c>
    </row>
    <row r="533" spans="1:65" s="7" customFormat="1">
      <c r="A533" s="7">
        <v>117016</v>
      </c>
      <c r="B533" s="7" t="s">
        <v>1526</v>
      </c>
      <c r="C533" s="7" t="s">
        <v>525</v>
      </c>
      <c r="D533" s="7" t="s">
        <v>1561</v>
      </c>
      <c r="E533" s="7">
        <v>1</v>
      </c>
      <c r="F533" s="7" t="s">
        <v>959</v>
      </c>
      <c r="G533" s="7">
        <v>0</v>
      </c>
      <c r="H533" s="7">
        <v>0</v>
      </c>
      <c r="I533" s="7">
        <v>99999</v>
      </c>
      <c r="J533" s="7">
        <v>0</v>
      </c>
      <c r="K533" s="7">
        <v>0</v>
      </c>
      <c r="L533" s="7" t="s">
        <v>1567</v>
      </c>
      <c r="M533" s="7">
        <v>16</v>
      </c>
      <c r="N533" s="7">
        <v>4</v>
      </c>
      <c r="Q533" s="7">
        <v>0</v>
      </c>
      <c r="S533" s="7">
        <f t="shared" si="3"/>
        <v>1980</v>
      </c>
      <c r="T533" s="7">
        <v>3</v>
      </c>
      <c r="V533" s="7">
        <v>1</v>
      </c>
      <c r="W533" s="7">
        <v>1</v>
      </c>
      <c r="X533" s="6"/>
      <c r="Y533" s="7" t="s">
        <v>1583</v>
      </c>
      <c r="Z533" s="7" t="s">
        <v>2957</v>
      </c>
      <c r="AA533" s="7" t="s">
        <v>1641</v>
      </c>
      <c r="AB533" s="7">
        <v>0</v>
      </c>
      <c r="AC533" s="7">
        <v>13</v>
      </c>
      <c r="AD533" s="7">
        <v>0</v>
      </c>
      <c r="AE533" s="7">
        <v>0</v>
      </c>
      <c r="AF533" s="7">
        <v>1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P533" s="7">
        <v>0</v>
      </c>
      <c r="AQ533" s="7">
        <v>1</v>
      </c>
      <c r="AR533" s="7">
        <v>0</v>
      </c>
      <c r="AS533" s="7">
        <v>0</v>
      </c>
      <c r="BE533" s="7">
        <v>240</v>
      </c>
      <c r="BF533" s="7">
        <f t="shared" si="1"/>
        <v>117016</v>
      </c>
      <c r="BG533" s="7">
        <v>2</v>
      </c>
      <c r="BL533" s="7">
        <v>0</v>
      </c>
      <c r="BM533" s="24">
        <v>1</v>
      </c>
    </row>
    <row r="534" spans="1:65" s="7" customFormat="1">
      <c r="A534" s="7">
        <v>117017</v>
      </c>
      <c r="B534" s="7" t="s">
        <v>1527</v>
      </c>
      <c r="C534" s="7" t="s">
        <v>525</v>
      </c>
      <c r="D534" s="7" t="s">
        <v>1561</v>
      </c>
      <c r="E534" s="7">
        <v>1</v>
      </c>
      <c r="F534" s="7" t="s">
        <v>959</v>
      </c>
      <c r="G534" s="7">
        <v>0</v>
      </c>
      <c r="H534" s="7">
        <v>0</v>
      </c>
      <c r="I534" s="7">
        <v>99999</v>
      </c>
      <c r="J534" s="7">
        <v>0</v>
      </c>
      <c r="K534" s="7">
        <v>0</v>
      </c>
      <c r="L534" s="7" t="s">
        <v>1567</v>
      </c>
      <c r="M534" s="7">
        <v>17</v>
      </c>
      <c r="N534" s="7">
        <v>4</v>
      </c>
      <c r="Q534" s="7">
        <v>0</v>
      </c>
      <c r="S534" s="7">
        <f t="shared" si="3"/>
        <v>2200</v>
      </c>
      <c r="T534" s="7">
        <v>3</v>
      </c>
      <c r="V534" s="7">
        <v>1</v>
      </c>
      <c r="W534" s="7">
        <v>1</v>
      </c>
      <c r="X534" s="6"/>
      <c r="Y534" s="7" t="s">
        <v>1583</v>
      </c>
      <c r="Z534" s="7" t="s">
        <v>2957</v>
      </c>
      <c r="AA534" s="7" t="s">
        <v>1641</v>
      </c>
      <c r="AB534" s="7">
        <v>0</v>
      </c>
      <c r="AC534" s="7">
        <v>13</v>
      </c>
      <c r="AD534" s="7">
        <v>0</v>
      </c>
      <c r="AE534" s="7">
        <v>0</v>
      </c>
      <c r="AF534" s="7">
        <v>1</v>
      </c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P534" s="7">
        <v>0</v>
      </c>
      <c r="AQ534" s="7">
        <v>1</v>
      </c>
      <c r="AR534" s="7">
        <v>0</v>
      </c>
      <c r="AS534" s="7">
        <v>0</v>
      </c>
      <c r="BE534" s="7">
        <v>240</v>
      </c>
      <c r="BF534" s="7">
        <f t="shared" si="1"/>
        <v>117017</v>
      </c>
      <c r="BG534" s="7">
        <v>2</v>
      </c>
      <c r="BL534" s="7">
        <v>0</v>
      </c>
      <c r="BM534" s="24">
        <v>1</v>
      </c>
    </row>
    <row r="535" spans="1:65" s="7" customFormat="1">
      <c r="A535" s="7">
        <v>117018</v>
      </c>
      <c r="B535" s="7" t="s">
        <v>1528</v>
      </c>
      <c r="C535" s="7" t="s">
        <v>525</v>
      </c>
      <c r="D535" s="7" t="s">
        <v>1561</v>
      </c>
      <c r="E535" s="7">
        <v>1</v>
      </c>
      <c r="F535" s="7" t="s">
        <v>959</v>
      </c>
      <c r="G535" s="7">
        <v>0</v>
      </c>
      <c r="H535" s="7">
        <v>0</v>
      </c>
      <c r="I535" s="7">
        <v>99999</v>
      </c>
      <c r="J535" s="7">
        <v>0</v>
      </c>
      <c r="K535" s="7">
        <v>0</v>
      </c>
      <c r="L535" s="7" t="s">
        <v>1567</v>
      </c>
      <c r="M535" s="7">
        <v>18</v>
      </c>
      <c r="N535" s="7">
        <v>4</v>
      </c>
      <c r="Q535" s="7">
        <v>0</v>
      </c>
      <c r="S535" s="7">
        <f t="shared" si="3"/>
        <v>2420</v>
      </c>
      <c r="T535" s="7">
        <v>3</v>
      </c>
      <c r="V535" s="7">
        <v>1</v>
      </c>
      <c r="W535" s="7">
        <v>1</v>
      </c>
      <c r="X535" s="6"/>
      <c r="Y535" s="7" t="s">
        <v>1583</v>
      </c>
      <c r="Z535" s="7" t="s">
        <v>2957</v>
      </c>
      <c r="AA535" s="7" t="s">
        <v>1641</v>
      </c>
      <c r="AB535" s="7">
        <v>0</v>
      </c>
      <c r="AC535" s="7">
        <v>13</v>
      </c>
      <c r="AD535" s="7">
        <v>0</v>
      </c>
      <c r="AE535" s="7">
        <v>0</v>
      </c>
      <c r="AF535" s="7">
        <v>1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P535" s="7">
        <v>0</v>
      </c>
      <c r="AQ535" s="7">
        <v>1</v>
      </c>
      <c r="AR535" s="7">
        <v>0</v>
      </c>
      <c r="AS535" s="7">
        <v>0</v>
      </c>
      <c r="BE535" s="7">
        <v>240</v>
      </c>
      <c r="BF535" s="7">
        <f t="shared" si="1"/>
        <v>117018</v>
      </c>
      <c r="BG535" s="7">
        <v>2</v>
      </c>
      <c r="BL535" s="7">
        <v>0</v>
      </c>
      <c r="BM535" s="24">
        <v>1</v>
      </c>
    </row>
    <row r="536" spans="1:65" s="7" customFormat="1">
      <c r="A536" s="7">
        <v>117019</v>
      </c>
      <c r="B536" s="7" t="s">
        <v>1529</v>
      </c>
      <c r="C536" s="7" t="s">
        <v>525</v>
      </c>
      <c r="D536" s="7" t="s">
        <v>1561</v>
      </c>
      <c r="E536" s="7">
        <v>1</v>
      </c>
      <c r="F536" s="7" t="s">
        <v>959</v>
      </c>
      <c r="G536" s="7">
        <v>0</v>
      </c>
      <c r="H536" s="7">
        <v>0</v>
      </c>
      <c r="I536" s="7">
        <v>99999</v>
      </c>
      <c r="J536" s="7">
        <v>0</v>
      </c>
      <c r="K536" s="7">
        <v>0</v>
      </c>
      <c r="L536" s="7" t="s">
        <v>1567</v>
      </c>
      <c r="M536" s="7">
        <v>19</v>
      </c>
      <c r="N536" s="7">
        <v>4</v>
      </c>
      <c r="Q536" s="7">
        <v>0</v>
      </c>
      <c r="S536" s="7">
        <f t="shared" si="3"/>
        <v>2640</v>
      </c>
      <c r="T536" s="7">
        <v>3</v>
      </c>
      <c r="V536" s="7">
        <v>1</v>
      </c>
      <c r="W536" s="7">
        <v>1</v>
      </c>
      <c r="X536" s="6"/>
      <c r="Y536" s="7" t="s">
        <v>1583</v>
      </c>
      <c r="Z536" s="7" t="s">
        <v>2957</v>
      </c>
      <c r="AA536" s="7" t="s">
        <v>1641</v>
      </c>
      <c r="AB536" s="7">
        <v>0</v>
      </c>
      <c r="AC536" s="7">
        <v>13</v>
      </c>
      <c r="AD536" s="7">
        <v>0</v>
      </c>
      <c r="AE536" s="7">
        <v>0</v>
      </c>
      <c r="AF536" s="7">
        <v>1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P536" s="7">
        <v>0</v>
      </c>
      <c r="AQ536" s="7">
        <v>1</v>
      </c>
      <c r="AR536" s="7">
        <v>0</v>
      </c>
      <c r="AS536" s="7">
        <v>0</v>
      </c>
      <c r="BE536" s="7">
        <v>240</v>
      </c>
      <c r="BF536" s="7">
        <f t="shared" si="1"/>
        <v>117019</v>
      </c>
      <c r="BG536" s="7">
        <v>2</v>
      </c>
      <c r="BL536" s="7">
        <v>0</v>
      </c>
      <c r="BM536" s="24">
        <v>1</v>
      </c>
    </row>
    <row r="537" spans="1:65" s="7" customFormat="1">
      <c r="A537" s="7">
        <v>117020</v>
      </c>
      <c r="B537" s="7" t="s">
        <v>1530</v>
      </c>
      <c r="C537" s="7" t="s">
        <v>525</v>
      </c>
      <c r="D537" s="7" t="s">
        <v>1561</v>
      </c>
      <c r="E537" s="7">
        <v>1</v>
      </c>
      <c r="F537" s="7" t="s">
        <v>959</v>
      </c>
      <c r="G537" s="7">
        <v>0</v>
      </c>
      <c r="H537" s="7">
        <v>0</v>
      </c>
      <c r="I537" s="7">
        <v>99999</v>
      </c>
      <c r="J537" s="7">
        <v>0</v>
      </c>
      <c r="K537" s="7">
        <v>0</v>
      </c>
      <c r="L537" s="7" t="s">
        <v>1567</v>
      </c>
      <c r="M537" s="7">
        <v>20</v>
      </c>
      <c r="N537" s="7">
        <v>4</v>
      </c>
      <c r="Q537" s="7">
        <v>0</v>
      </c>
      <c r="S537" s="7">
        <f t="shared" si="3"/>
        <v>2860</v>
      </c>
      <c r="T537" s="7">
        <v>3</v>
      </c>
      <c r="V537" s="7">
        <v>1</v>
      </c>
      <c r="W537" s="7">
        <v>1</v>
      </c>
      <c r="X537" s="6"/>
      <c r="Y537" s="7" t="s">
        <v>1583</v>
      </c>
      <c r="Z537" s="7" t="s">
        <v>2957</v>
      </c>
      <c r="AA537" s="7" t="s">
        <v>1641</v>
      </c>
      <c r="AB537" s="7">
        <v>0</v>
      </c>
      <c r="AC537" s="7">
        <v>13</v>
      </c>
      <c r="AD537" s="7">
        <v>0</v>
      </c>
      <c r="AE537" s="7">
        <v>0</v>
      </c>
      <c r="AF537" s="7">
        <v>1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P537" s="7">
        <v>0</v>
      </c>
      <c r="AQ537" s="7">
        <v>1</v>
      </c>
      <c r="AR537" s="7">
        <v>0</v>
      </c>
      <c r="AS537" s="7">
        <v>0</v>
      </c>
      <c r="BE537" s="7">
        <v>240</v>
      </c>
      <c r="BF537" s="7">
        <f t="shared" ref="BF537:BF567" si="4">A537</f>
        <v>117020</v>
      </c>
      <c r="BG537" s="7">
        <v>2</v>
      </c>
      <c r="BL537" s="7">
        <v>0</v>
      </c>
      <c r="BM537" s="24">
        <v>1</v>
      </c>
    </row>
    <row r="538" spans="1:65" s="7" customFormat="1">
      <c r="A538" s="7">
        <v>117021</v>
      </c>
      <c r="B538" s="7" t="s">
        <v>1531</v>
      </c>
      <c r="C538" s="7" t="s">
        <v>525</v>
      </c>
      <c r="D538" s="7" t="s">
        <v>1561</v>
      </c>
      <c r="E538" s="7">
        <v>1</v>
      </c>
      <c r="F538" s="7" t="s">
        <v>959</v>
      </c>
      <c r="G538" s="7">
        <v>0</v>
      </c>
      <c r="H538" s="7">
        <v>0</v>
      </c>
      <c r="I538" s="7">
        <v>99999</v>
      </c>
      <c r="J538" s="7">
        <v>0</v>
      </c>
      <c r="K538" s="7">
        <v>0</v>
      </c>
      <c r="L538" s="7" t="s">
        <v>1567</v>
      </c>
      <c r="M538" s="7">
        <v>21</v>
      </c>
      <c r="N538" s="7">
        <v>4</v>
      </c>
      <c r="Q538" s="7">
        <v>0</v>
      </c>
      <c r="S538" s="7">
        <f t="shared" si="3"/>
        <v>3080</v>
      </c>
      <c r="T538" s="7">
        <v>3</v>
      </c>
      <c r="V538" s="7">
        <v>1</v>
      </c>
      <c r="W538" s="7">
        <v>1</v>
      </c>
      <c r="X538" s="6"/>
      <c r="Y538" s="7" t="s">
        <v>1583</v>
      </c>
      <c r="Z538" s="7" t="s">
        <v>2957</v>
      </c>
      <c r="AA538" s="7" t="s">
        <v>1641</v>
      </c>
      <c r="AB538" s="7">
        <v>0</v>
      </c>
      <c r="AC538" s="7">
        <v>13</v>
      </c>
      <c r="AD538" s="7">
        <v>0</v>
      </c>
      <c r="AE538" s="7">
        <v>0</v>
      </c>
      <c r="AF538" s="7">
        <v>1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P538" s="7">
        <v>0</v>
      </c>
      <c r="AQ538" s="7">
        <v>1</v>
      </c>
      <c r="AR538" s="7">
        <v>0</v>
      </c>
      <c r="AS538" s="7">
        <v>0</v>
      </c>
      <c r="BE538" s="7">
        <v>240</v>
      </c>
      <c r="BF538" s="7">
        <f t="shared" si="4"/>
        <v>117021</v>
      </c>
      <c r="BG538" s="7">
        <v>2</v>
      </c>
      <c r="BL538" s="7">
        <v>0</v>
      </c>
      <c r="BM538" s="24">
        <v>1</v>
      </c>
    </row>
    <row r="539" spans="1:65" s="7" customFormat="1">
      <c r="A539" s="7">
        <v>117022</v>
      </c>
      <c r="B539" s="7" t="s">
        <v>1532</v>
      </c>
      <c r="C539" s="7" t="s">
        <v>525</v>
      </c>
      <c r="D539" s="7" t="s">
        <v>1561</v>
      </c>
      <c r="E539" s="7">
        <v>1</v>
      </c>
      <c r="F539" s="7" t="s">
        <v>959</v>
      </c>
      <c r="G539" s="7">
        <v>0</v>
      </c>
      <c r="H539" s="7">
        <v>0</v>
      </c>
      <c r="I539" s="7">
        <v>99999</v>
      </c>
      <c r="J539" s="7">
        <v>0</v>
      </c>
      <c r="K539" s="7">
        <v>0</v>
      </c>
      <c r="L539" s="7" t="s">
        <v>1567</v>
      </c>
      <c r="M539" s="7">
        <v>22</v>
      </c>
      <c r="N539" s="7">
        <v>4</v>
      </c>
      <c r="Q539" s="7">
        <v>0</v>
      </c>
      <c r="S539" s="7">
        <f t="shared" si="3"/>
        <v>3300</v>
      </c>
      <c r="T539" s="7">
        <v>3</v>
      </c>
      <c r="V539" s="7">
        <v>1</v>
      </c>
      <c r="W539" s="7">
        <v>1</v>
      </c>
      <c r="X539" s="6"/>
      <c r="Y539" s="7" t="s">
        <v>1583</v>
      </c>
      <c r="Z539" s="7" t="s">
        <v>2957</v>
      </c>
      <c r="AA539" s="7" t="s">
        <v>1641</v>
      </c>
      <c r="AB539" s="7">
        <v>0</v>
      </c>
      <c r="AC539" s="7">
        <v>13</v>
      </c>
      <c r="AD539" s="7">
        <v>0</v>
      </c>
      <c r="AE539" s="7">
        <v>0</v>
      </c>
      <c r="AF539" s="7">
        <v>1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P539" s="7">
        <v>0</v>
      </c>
      <c r="AQ539" s="7">
        <v>1</v>
      </c>
      <c r="AR539" s="7">
        <v>0</v>
      </c>
      <c r="AS539" s="7">
        <v>0</v>
      </c>
      <c r="BE539" s="7">
        <v>240</v>
      </c>
      <c r="BF539" s="7">
        <f t="shared" si="4"/>
        <v>117022</v>
      </c>
      <c r="BG539" s="7">
        <v>2</v>
      </c>
      <c r="BL539" s="7">
        <v>0</v>
      </c>
      <c r="BM539" s="24">
        <v>1</v>
      </c>
    </row>
    <row r="540" spans="1:65" s="7" customFormat="1">
      <c r="A540" s="7">
        <v>117023</v>
      </c>
      <c r="B540" s="7" t="s">
        <v>1533</v>
      </c>
      <c r="C540" s="7" t="s">
        <v>525</v>
      </c>
      <c r="D540" s="7" t="s">
        <v>1561</v>
      </c>
      <c r="E540" s="7">
        <v>1</v>
      </c>
      <c r="F540" s="7" t="s">
        <v>959</v>
      </c>
      <c r="G540" s="7">
        <v>0</v>
      </c>
      <c r="H540" s="7">
        <v>0</v>
      </c>
      <c r="I540" s="7">
        <v>99999</v>
      </c>
      <c r="J540" s="7">
        <v>0</v>
      </c>
      <c r="K540" s="7">
        <v>0</v>
      </c>
      <c r="L540" s="7" t="s">
        <v>1567</v>
      </c>
      <c r="M540" s="7">
        <v>23</v>
      </c>
      <c r="N540" s="7">
        <v>4</v>
      </c>
      <c r="Q540" s="7">
        <v>0</v>
      </c>
      <c r="S540" s="7">
        <f t="shared" si="3"/>
        <v>3520</v>
      </c>
      <c r="T540" s="7">
        <v>3</v>
      </c>
      <c r="V540" s="7">
        <v>1</v>
      </c>
      <c r="W540" s="7">
        <v>1</v>
      </c>
      <c r="X540" s="6"/>
      <c r="Y540" s="7" t="s">
        <v>1583</v>
      </c>
      <c r="Z540" s="7" t="s">
        <v>2957</v>
      </c>
      <c r="AA540" s="7" t="s">
        <v>1641</v>
      </c>
      <c r="AB540" s="7">
        <v>0</v>
      </c>
      <c r="AC540" s="7">
        <v>13</v>
      </c>
      <c r="AD540" s="7">
        <v>0</v>
      </c>
      <c r="AE540" s="7">
        <v>0</v>
      </c>
      <c r="AF540" s="7">
        <v>1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P540" s="7">
        <v>0</v>
      </c>
      <c r="AQ540" s="7">
        <v>1</v>
      </c>
      <c r="AR540" s="7">
        <v>0</v>
      </c>
      <c r="AS540" s="7">
        <v>0</v>
      </c>
      <c r="BE540" s="7">
        <v>240</v>
      </c>
      <c r="BF540" s="7">
        <f t="shared" si="4"/>
        <v>117023</v>
      </c>
      <c r="BG540" s="7">
        <v>2</v>
      </c>
      <c r="BL540" s="7">
        <v>0</v>
      </c>
      <c r="BM540" s="24">
        <v>1</v>
      </c>
    </row>
    <row r="541" spans="1:65" s="7" customFormat="1">
      <c r="A541" s="7">
        <v>117024</v>
      </c>
      <c r="B541" s="7" t="s">
        <v>1534</v>
      </c>
      <c r="C541" s="7" t="s">
        <v>525</v>
      </c>
      <c r="D541" s="7" t="s">
        <v>1561</v>
      </c>
      <c r="E541" s="7">
        <v>1</v>
      </c>
      <c r="F541" s="7" t="s">
        <v>959</v>
      </c>
      <c r="G541" s="7">
        <v>0</v>
      </c>
      <c r="H541" s="7">
        <v>0</v>
      </c>
      <c r="I541" s="7">
        <v>99999</v>
      </c>
      <c r="J541" s="7">
        <v>0</v>
      </c>
      <c r="K541" s="7">
        <v>0</v>
      </c>
      <c r="L541" s="7" t="s">
        <v>1567</v>
      </c>
      <c r="M541" s="7">
        <v>24</v>
      </c>
      <c r="N541" s="7">
        <v>4</v>
      </c>
      <c r="Q541" s="7">
        <v>0</v>
      </c>
      <c r="S541" s="7">
        <f t="shared" si="3"/>
        <v>3740</v>
      </c>
      <c r="T541" s="7">
        <v>3</v>
      </c>
      <c r="V541" s="7">
        <v>1</v>
      </c>
      <c r="W541" s="7">
        <v>1</v>
      </c>
      <c r="X541" s="6"/>
      <c r="Y541" s="7" t="s">
        <v>1583</v>
      </c>
      <c r="Z541" s="7" t="s">
        <v>2957</v>
      </c>
      <c r="AA541" s="7" t="s">
        <v>1641</v>
      </c>
      <c r="AB541" s="7">
        <v>0</v>
      </c>
      <c r="AC541" s="7">
        <v>13</v>
      </c>
      <c r="AD541" s="7">
        <v>0</v>
      </c>
      <c r="AE541" s="7">
        <v>0</v>
      </c>
      <c r="AF541" s="7">
        <v>1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P541" s="7">
        <v>0</v>
      </c>
      <c r="AQ541" s="7">
        <v>1</v>
      </c>
      <c r="AR541" s="7">
        <v>0</v>
      </c>
      <c r="AS541" s="7">
        <v>0</v>
      </c>
      <c r="BE541" s="7">
        <v>240</v>
      </c>
      <c r="BF541" s="7">
        <f t="shared" si="4"/>
        <v>117024</v>
      </c>
      <c r="BG541" s="7">
        <v>2</v>
      </c>
      <c r="BL541" s="7">
        <v>0</v>
      </c>
      <c r="BM541" s="24">
        <v>1</v>
      </c>
    </row>
    <row r="542" spans="1:65" s="7" customFormat="1">
      <c r="A542" s="7">
        <v>117025</v>
      </c>
      <c r="B542" s="7" t="s">
        <v>1535</v>
      </c>
      <c r="C542" s="7" t="s">
        <v>525</v>
      </c>
      <c r="D542" s="7" t="s">
        <v>1561</v>
      </c>
      <c r="E542" s="7">
        <v>1</v>
      </c>
      <c r="F542" s="7" t="s">
        <v>959</v>
      </c>
      <c r="G542" s="7">
        <v>0</v>
      </c>
      <c r="H542" s="7">
        <v>0</v>
      </c>
      <c r="I542" s="7">
        <v>99999</v>
      </c>
      <c r="J542" s="7">
        <v>0</v>
      </c>
      <c r="K542" s="7">
        <v>0</v>
      </c>
      <c r="L542" s="7" t="s">
        <v>1567</v>
      </c>
      <c r="M542" s="7">
        <v>25</v>
      </c>
      <c r="N542" s="7">
        <v>4</v>
      </c>
      <c r="Q542" s="7">
        <v>0</v>
      </c>
      <c r="S542" s="7">
        <f t="shared" si="3"/>
        <v>3960</v>
      </c>
      <c r="T542" s="7">
        <v>3</v>
      </c>
      <c r="V542" s="7">
        <v>1</v>
      </c>
      <c r="W542" s="7">
        <v>1</v>
      </c>
      <c r="X542" s="6"/>
      <c r="Y542" s="7" t="s">
        <v>1583</v>
      </c>
      <c r="Z542" s="7" t="s">
        <v>2957</v>
      </c>
      <c r="AA542" s="7" t="s">
        <v>1641</v>
      </c>
      <c r="AB542" s="7">
        <v>0</v>
      </c>
      <c r="AC542" s="7">
        <v>13</v>
      </c>
      <c r="AD542" s="7">
        <v>0</v>
      </c>
      <c r="AE542" s="7">
        <v>0</v>
      </c>
      <c r="AF542" s="7">
        <v>1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P542" s="7">
        <v>0</v>
      </c>
      <c r="AQ542" s="7">
        <v>1</v>
      </c>
      <c r="AR542" s="7">
        <v>0</v>
      </c>
      <c r="AS542" s="7">
        <v>0</v>
      </c>
      <c r="BE542" s="7">
        <v>240</v>
      </c>
      <c r="BF542" s="7">
        <f t="shared" si="4"/>
        <v>117025</v>
      </c>
      <c r="BG542" s="7">
        <v>2</v>
      </c>
      <c r="BL542" s="7">
        <v>0</v>
      </c>
      <c r="BM542" s="24">
        <v>1</v>
      </c>
    </row>
    <row r="543" spans="1:65" s="7" customFormat="1">
      <c r="A543" s="7">
        <v>117026</v>
      </c>
      <c r="B543" s="7" t="s">
        <v>1536</v>
      </c>
      <c r="C543" s="7" t="s">
        <v>525</v>
      </c>
      <c r="D543" s="7" t="s">
        <v>1561</v>
      </c>
      <c r="E543" s="7">
        <v>1</v>
      </c>
      <c r="F543" s="7" t="s">
        <v>959</v>
      </c>
      <c r="G543" s="7">
        <v>0</v>
      </c>
      <c r="H543" s="7">
        <v>0</v>
      </c>
      <c r="I543" s="7">
        <v>99999</v>
      </c>
      <c r="J543" s="7">
        <v>0</v>
      </c>
      <c r="K543" s="7">
        <v>0</v>
      </c>
      <c r="L543" s="7" t="s">
        <v>1567</v>
      </c>
      <c r="M543" s="7">
        <v>26</v>
      </c>
      <c r="N543" s="7">
        <v>4</v>
      </c>
      <c r="Q543" s="7">
        <v>0</v>
      </c>
      <c r="S543" s="7">
        <f t="shared" si="3"/>
        <v>4180</v>
      </c>
      <c r="T543" s="7">
        <v>3</v>
      </c>
      <c r="V543" s="7">
        <v>1</v>
      </c>
      <c r="W543" s="7">
        <v>1</v>
      </c>
      <c r="X543" s="6"/>
      <c r="Y543" s="7" t="s">
        <v>1583</v>
      </c>
      <c r="Z543" s="7" t="s">
        <v>2957</v>
      </c>
      <c r="AA543" s="7" t="s">
        <v>1641</v>
      </c>
      <c r="AB543" s="7">
        <v>0</v>
      </c>
      <c r="AC543" s="7">
        <v>13</v>
      </c>
      <c r="AD543" s="7">
        <v>0</v>
      </c>
      <c r="AE543" s="7">
        <v>0</v>
      </c>
      <c r="AF543" s="7">
        <v>1</v>
      </c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P543" s="7">
        <v>0</v>
      </c>
      <c r="AQ543" s="7">
        <v>1</v>
      </c>
      <c r="AR543" s="7">
        <v>0</v>
      </c>
      <c r="AS543" s="7">
        <v>0</v>
      </c>
      <c r="BE543" s="7">
        <v>240</v>
      </c>
      <c r="BF543" s="7">
        <f t="shared" si="4"/>
        <v>117026</v>
      </c>
      <c r="BG543" s="7">
        <v>2</v>
      </c>
      <c r="BL543" s="7">
        <v>0</v>
      </c>
      <c r="BM543" s="24">
        <v>1</v>
      </c>
    </row>
    <row r="544" spans="1:65" s="7" customFormat="1">
      <c r="A544" s="7">
        <v>118003</v>
      </c>
      <c r="B544" s="7" t="s">
        <v>1537</v>
      </c>
      <c r="C544" s="7" t="s">
        <v>525</v>
      </c>
      <c r="D544" s="7" t="s">
        <v>1561</v>
      </c>
      <c r="E544" s="7">
        <v>1</v>
      </c>
      <c r="F544" s="7" t="s">
        <v>959</v>
      </c>
      <c r="G544" s="7">
        <v>0</v>
      </c>
      <c r="H544" s="7">
        <v>0</v>
      </c>
      <c r="I544" s="7">
        <v>99999</v>
      </c>
      <c r="J544" s="7">
        <v>0</v>
      </c>
      <c r="K544" s="7">
        <v>0</v>
      </c>
      <c r="L544" s="7" t="s">
        <v>1567</v>
      </c>
      <c r="M544" s="7">
        <v>3</v>
      </c>
      <c r="N544" s="7">
        <v>4</v>
      </c>
      <c r="Q544" s="7">
        <v>0</v>
      </c>
      <c r="S544" s="7">
        <f>S447*6.6</f>
        <v>1320</v>
      </c>
      <c r="T544" s="7">
        <v>3</v>
      </c>
      <c r="V544" s="7">
        <v>1</v>
      </c>
      <c r="W544" s="7">
        <v>1</v>
      </c>
      <c r="X544" s="6"/>
      <c r="Y544" s="7" t="s">
        <v>1584</v>
      </c>
      <c r="Z544" s="7" t="s">
        <v>2957</v>
      </c>
      <c r="AA544" s="7" t="s">
        <v>1642</v>
      </c>
      <c r="AB544" s="7">
        <v>0</v>
      </c>
      <c r="AC544" s="7">
        <v>13</v>
      </c>
      <c r="AD544" s="7">
        <v>0</v>
      </c>
      <c r="AE544" s="7">
        <v>0</v>
      </c>
      <c r="AF544" s="7">
        <v>1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P544" s="7">
        <v>0</v>
      </c>
      <c r="AQ544" s="7">
        <v>1</v>
      </c>
      <c r="AR544" s="7">
        <v>0</v>
      </c>
      <c r="AS544" s="7">
        <v>0</v>
      </c>
      <c r="BE544" s="7">
        <v>240</v>
      </c>
      <c r="BF544" s="7">
        <f t="shared" si="4"/>
        <v>118003</v>
      </c>
      <c r="BG544" s="7">
        <v>2</v>
      </c>
      <c r="BL544" s="7">
        <v>0</v>
      </c>
      <c r="BM544" s="24">
        <v>1</v>
      </c>
    </row>
    <row r="545" spans="1:65" s="7" customFormat="1">
      <c r="A545" s="7">
        <v>118004</v>
      </c>
      <c r="B545" s="7" t="s">
        <v>1538</v>
      </c>
      <c r="C545" s="7" t="s">
        <v>525</v>
      </c>
      <c r="D545" s="7" t="s">
        <v>1561</v>
      </c>
      <c r="E545" s="7">
        <v>1</v>
      </c>
      <c r="F545" s="7" t="s">
        <v>959</v>
      </c>
      <c r="G545" s="7">
        <v>0</v>
      </c>
      <c r="H545" s="7">
        <v>0</v>
      </c>
      <c r="I545" s="7">
        <v>99999</v>
      </c>
      <c r="J545" s="7">
        <v>0</v>
      </c>
      <c r="K545" s="7">
        <v>0</v>
      </c>
      <c r="L545" s="7" t="s">
        <v>1567</v>
      </c>
      <c r="M545" s="7">
        <v>4</v>
      </c>
      <c r="N545" s="7">
        <v>4</v>
      </c>
      <c r="Q545" s="7">
        <v>0</v>
      </c>
      <c r="S545" s="7">
        <f t="shared" ref="S545:S567" si="5">S448*6.6</f>
        <v>1584</v>
      </c>
      <c r="T545" s="7">
        <v>3</v>
      </c>
      <c r="V545" s="7">
        <v>1</v>
      </c>
      <c r="W545" s="7">
        <v>1</v>
      </c>
      <c r="X545" s="6"/>
      <c r="Y545" s="7" t="s">
        <v>1584</v>
      </c>
      <c r="Z545" s="7" t="s">
        <v>2957</v>
      </c>
      <c r="AA545" s="7" t="s">
        <v>1642</v>
      </c>
      <c r="AB545" s="7">
        <v>0</v>
      </c>
      <c r="AC545" s="7">
        <v>13</v>
      </c>
      <c r="AD545" s="7">
        <v>0</v>
      </c>
      <c r="AE545" s="7">
        <v>0</v>
      </c>
      <c r="AF545" s="7">
        <v>1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P545" s="7">
        <v>0</v>
      </c>
      <c r="AQ545" s="7">
        <v>1</v>
      </c>
      <c r="AR545" s="7">
        <v>0</v>
      </c>
      <c r="AS545" s="7">
        <v>0</v>
      </c>
      <c r="BE545" s="7">
        <v>240</v>
      </c>
      <c r="BF545" s="7">
        <f t="shared" si="4"/>
        <v>118004</v>
      </c>
      <c r="BG545" s="7">
        <v>2</v>
      </c>
      <c r="BL545" s="7">
        <v>0</v>
      </c>
      <c r="BM545" s="24">
        <v>1</v>
      </c>
    </row>
    <row r="546" spans="1:65" s="7" customFormat="1">
      <c r="A546" s="7">
        <v>118005</v>
      </c>
      <c r="B546" s="7" t="s">
        <v>1539</v>
      </c>
      <c r="C546" s="7" t="s">
        <v>525</v>
      </c>
      <c r="D546" s="7" t="s">
        <v>1561</v>
      </c>
      <c r="E546" s="7">
        <v>1</v>
      </c>
      <c r="F546" s="7" t="s">
        <v>959</v>
      </c>
      <c r="G546" s="7">
        <v>0</v>
      </c>
      <c r="H546" s="7">
        <v>0</v>
      </c>
      <c r="I546" s="7">
        <v>99999</v>
      </c>
      <c r="J546" s="7">
        <v>0</v>
      </c>
      <c r="K546" s="7">
        <v>0</v>
      </c>
      <c r="L546" s="7" t="s">
        <v>1567</v>
      </c>
      <c r="M546" s="7">
        <v>5</v>
      </c>
      <c r="N546" s="7">
        <v>4</v>
      </c>
      <c r="Q546" s="7">
        <v>0</v>
      </c>
      <c r="S546" s="7">
        <f t="shared" si="5"/>
        <v>1848</v>
      </c>
      <c r="T546" s="7">
        <v>3</v>
      </c>
      <c r="V546" s="7">
        <v>1</v>
      </c>
      <c r="W546" s="7">
        <v>1</v>
      </c>
      <c r="X546" s="6"/>
      <c r="Y546" s="7" t="s">
        <v>1584</v>
      </c>
      <c r="Z546" s="7" t="s">
        <v>2957</v>
      </c>
      <c r="AA546" s="7" t="s">
        <v>1642</v>
      </c>
      <c r="AB546" s="7">
        <v>0</v>
      </c>
      <c r="AC546" s="7">
        <v>13</v>
      </c>
      <c r="AD546" s="7">
        <v>0</v>
      </c>
      <c r="AE546" s="7">
        <v>0</v>
      </c>
      <c r="AF546" s="7">
        <v>1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P546" s="7">
        <v>0</v>
      </c>
      <c r="AQ546" s="7">
        <v>1</v>
      </c>
      <c r="AR546" s="7">
        <v>0</v>
      </c>
      <c r="AS546" s="7">
        <v>0</v>
      </c>
      <c r="BE546" s="7">
        <v>240</v>
      </c>
      <c r="BF546" s="7">
        <f t="shared" si="4"/>
        <v>118005</v>
      </c>
      <c r="BG546" s="7">
        <v>2</v>
      </c>
      <c r="BL546" s="7">
        <v>0</v>
      </c>
      <c r="BM546" s="24">
        <v>1</v>
      </c>
    </row>
    <row r="547" spans="1:65" s="7" customFormat="1">
      <c r="A547" s="7">
        <v>118006</v>
      </c>
      <c r="B547" s="7" t="s">
        <v>1540</v>
      </c>
      <c r="C547" s="7" t="s">
        <v>525</v>
      </c>
      <c r="D547" s="7" t="s">
        <v>1561</v>
      </c>
      <c r="E547" s="7">
        <v>1</v>
      </c>
      <c r="F547" s="7" t="s">
        <v>959</v>
      </c>
      <c r="G547" s="7">
        <v>0</v>
      </c>
      <c r="H547" s="7">
        <v>0</v>
      </c>
      <c r="I547" s="7">
        <v>99999</v>
      </c>
      <c r="J547" s="7">
        <v>0</v>
      </c>
      <c r="K547" s="7">
        <v>0</v>
      </c>
      <c r="L547" s="7" t="s">
        <v>1567</v>
      </c>
      <c r="M547" s="7">
        <v>6</v>
      </c>
      <c r="N547" s="7">
        <v>4</v>
      </c>
      <c r="Q547" s="7">
        <v>0</v>
      </c>
      <c r="S547" s="7">
        <f t="shared" si="5"/>
        <v>2112</v>
      </c>
      <c r="T547" s="7">
        <v>3</v>
      </c>
      <c r="V547" s="7">
        <v>1</v>
      </c>
      <c r="W547" s="7">
        <v>1</v>
      </c>
      <c r="X547" s="6"/>
      <c r="Y547" s="7" t="s">
        <v>1584</v>
      </c>
      <c r="Z547" s="7" t="s">
        <v>2957</v>
      </c>
      <c r="AA547" s="7" t="s">
        <v>1642</v>
      </c>
      <c r="AB547" s="7">
        <v>0</v>
      </c>
      <c r="AC547" s="7">
        <v>13</v>
      </c>
      <c r="AD547" s="7">
        <v>0</v>
      </c>
      <c r="AE547" s="7">
        <v>0</v>
      </c>
      <c r="AF547" s="7">
        <v>1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P547" s="7">
        <v>0</v>
      </c>
      <c r="AQ547" s="7">
        <v>1</v>
      </c>
      <c r="AR547" s="7">
        <v>0</v>
      </c>
      <c r="AS547" s="7">
        <v>0</v>
      </c>
      <c r="BE547" s="7">
        <v>240</v>
      </c>
      <c r="BF547" s="7">
        <f t="shared" si="4"/>
        <v>118006</v>
      </c>
      <c r="BG547" s="7">
        <v>2</v>
      </c>
      <c r="BL547" s="7">
        <v>0</v>
      </c>
      <c r="BM547" s="24">
        <v>1</v>
      </c>
    </row>
    <row r="548" spans="1:65" s="7" customFormat="1">
      <c r="A548" s="7">
        <v>118007</v>
      </c>
      <c r="B548" s="7" t="s">
        <v>1541</v>
      </c>
      <c r="C548" s="7" t="s">
        <v>525</v>
      </c>
      <c r="D548" s="7" t="s">
        <v>1561</v>
      </c>
      <c r="E548" s="7">
        <v>1</v>
      </c>
      <c r="F548" s="7" t="s">
        <v>959</v>
      </c>
      <c r="G548" s="7">
        <v>0</v>
      </c>
      <c r="H548" s="7">
        <v>0</v>
      </c>
      <c r="I548" s="7">
        <v>99999</v>
      </c>
      <c r="J548" s="7">
        <v>0</v>
      </c>
      <c r="K548" s="7">
        <v>0</v>
      </c>
      <c r="L548" s="7" t="s">
        <v>1567</v>
      </c>
      <c r="M548" s="7">
        <v>7</v>
      </c>
      <c r="N548" s="7">
        <v>4</v>
      </c>
      <c r="Q548" s="7">
        <v>0</v>
      </c>
      <c r="S548" s="7">
        <f t="shared" si="5"/>
        <v>2376</v>
      </c>
      <c r="T548" s="7">
        <v>3</v>
      </c>
      <c r="V548" s="7">
        <v>1</v>
      </c>
      <c r="W548" s="7">
        <v>1</v>
      </c>
      <c r="X548" s="6"/>
      <c r="Y548" s="7" t="s">
        <v>1584</v>
      </c>
      <c r="Z548" s="7" t="s">
        <v>2957</v>
      </c>
      <c r="AA548" s="7" t="s">
        <v>1642</v>
      </c>
      <c r="AB548" s="7">
        <v>0</v>
      </c>
      <c r="AC548" s="7">
        <v>13</v>
      </c>
      <c r="AD548" s="7">
        <v>0</v>
      </c>
      <c r="AE548" s="7">
        <v>0</v>
      </c>
      <c r="AF548" s="7">
        <v>1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P548" s="7">
        <v>0</v>
      </c>
      <c r="AQ548" s="7">
        <v>1</v>
      </c>
      <c r="AR548" s="7">
        <v>0</v>
      </c>
      <c r="AS548" s="7">
        <v>0</v>
      </c>
      <c r="BE548" s="7">
        <v>240</v>
      </c>
      <c r="BF548" s="7">
        <f t="shared" si="4"/>
        <v>118007</v>
      </c>
      <c r="BG548" s="7">
        <v>2</v>
      </c>
      <c r="BL548" s="7">
        <v>0</v>
      </c>
      <c r="BM548" s="24">
        <v>1</v>
      </c>
    </row>
    <row r="549" spans="1:65" s="7" customFormat="1">
      <c r="A549" s="7">
        <v>118008</v>
      </c>
      <c r="B549" s="7" t="s">
        <v>1542</v>
      </c>
      <c r="C549" s="7" t="s">
        <v>525</v>
      </c>
      <c r="D549" s="7" t="s">
        <v>1561</v>
      </c>
      <c r="E549" s="7">
        <v>1</v>
      </c>
      <c r="F549" s="7" t="s">
        <v>959</v>
      </c>
      <c r="G549" s="7">
        <v>0</v>
      </c>
      <c r="H549" s="7">
        <v>0</v>
      </c>
      <c r="I549" s="7">
        <v>99999</v>
      </c>
      <c r="J549" s="7">
        <v>0</v>
      </c>
      <c r="K549" s="7">
        <v>0</v>
      </c>
      <c r="L549" s="7" t="s">
        <v>1567</v>
      </c>
      <c r="M549" s="7">
        <v>8</v>
      </c>
      <c r="N549" s="7">
        <v>4</v>
      </c>
      <c r="Q549" s="7">
        <v>0</v>
      </c>
      <c r="S549" s="7">
        <f t="shared" si="5"/>
        <v>2640</v>
      </c>
      <c r="T549" s="7">
        <v>3</v>
      </c>
      <c r="V549" s="7">
        <v>1</v>
      </c>
      <c r="W549" s="7">
        <v>1</v>
      </c>
      <c r="X549" s="6"/>
      <c r="Y549" s="7" t="s">
        <v>1584</v>
      </c>
      <c r="Z549" s="7" t="s">
        <v>2957</v>
      </c>
      <c r="AA549" s="7" t="s">
        <v>1642</v>
      </c>
      <c r="AB549" s="7">
        <v>0</v>
      </c>
      <c r="AC549" s="7">
        <v>13</v>
      </c>
      <c r="AD549" s="7">
        <v>0</v>
      </c>
      <c r="AE549" s="7">
        <v>0</v>
      </c>
      <c r="AF549" s="7">
        <v>1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P549" s="7">
        <v>0</v>
      </c>
      <c r="AQ549" s="7">
        <v>1</v>
      </c>
      <c r="AR549" s="7">
        <v>0</v>
      </c>
      <c r="AS549" s="7">
        <v>0</v>
      </c>
      <c r="BE549" s="7">
        <v>240</v>
      </c>
      <c r="BF549" s="7">
        <f t="shared" si="4"/>
        <v>118008</v>
      </c>
      <c r="BG549" s="7">
        <v>2</v>
      </c>
      <c r="BL549" s="7">
        <v>0</v>
      </c>
      <c r="BM549" s="24">
        <v>1</v>
      </c>
    </row>
    <row r="550" spans="1:65" s="7" customFormat="1">
      <c r="A550" s="7">
        <v>118009</v>
      </c>
      <c r="B550" s="7" t="s">
        <v>1543</v>
      </c>
      <c r="C550" s="7" t="s">
        <v>525</v>
      </c>
      <c r="D550" s="7" t="s">
        <v>1561</v>
      </c>
      <c r="E550" s="7">
        <v>1</v>
      </c>
      <c r="F550" s="7" t="s">
        <v>959</v>
      </c>
      <c r="G550" s="7">
        <v>0</v>
      </c>
      <c r="H550" s="7">
        <v>0</v>
      </c>
      <c r="I550" s="7">
        <v>99999</v>
      </c>
      <c r="J550" s="7">
        <v>0</v>
      </c>
      <c r="K550" s="7">
        <v>0</v>
      </c>
      <c r="L550" s="7" t="s">
        <v>1567</v>
      </c>
      <c r="M550" s="7">
        <v>9</v>
      </c>
      <c r="N550" s="7">
        <v>4</v>
      </c>
      <c r="Q550" s="7">
        <v>0</v>
      </c>
      <c r="S550" s="7">
        <f t="shared" si="5"/>
        <v>2904</v>
      </c>
      <c r="T550" s="7">
        <v>3</v>
      </c>
      <c r="V550" s="7">
        <v>1</v>
      </c>
      <c r="W550" s="7">
        <v>1</v>
      </c>
      <c r="X550" s="6"/>
      <c r="Y550" s="7" t="s">
        <v>1584</v>
      </c>
      <c r="Z550" s="7" t="s">
        <v>2957</v>
      </c>
      <c r="AA550" s="7" t="s">
        <v>1642</v>
      </c>
      <c r="AB550" s="7">
        <v>0</v>
      </c>
      <c r="AC550" s="7">
        <v>13</v>
      </c>
      <c r="AD550" s="7">
        <v>0</v>
      </c>
      <c r="AE550" s="7">
        <v>0</v>
      </c>
      <c r="AF550" s="7">
        <v>1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P550" s="7">
        <v>0</v>
      </c>
      <c r="AQ550" s="7">
        <v>1</v>
      </c>
      <c r="AR550" s="7">
        <v>0</v>
      </c>
      <c r="AS550" s="7">
        <v>0</v>
      </c>
      <c r="BE550" s="7">
        <v>240</v>
      </c>
      <c r="BF550" s="7">
        <f t="shared" si="4"/>
        <v>118009</v>
      </c>
      <c r="BG550" s="7">
        <v>2</v>
      </c>
      <c r="BL550" s="7">
        <v>0</v>
      </c>
      <c r="BM550" s="24">
        <v>1</v>
      </c>
    </row>
    <row r="551" spans="1:65" s="7" customFormat="1">
      <c r="A551" s="7">
        <v>118010</v>
      </c>
      <c r="B551" s="7" t="s">
        <v>1544</v>
      </c>
      <c r="C551" s="7" t="s">
        <v>525</v>
      </c>
      <c r="D551" s="7" t="s">
        <v>1561</v>
      </c>
      <c r="E551" s="7">
        <v>1</v>
      </c>
      <c r="F551" s="7" t="s">
        <v>959</v>
      </c>
      <c r="G551" s="7">
        <v>0</v>
      </c>
      <c r="H551" s="7">
        <v>0</v>
      </c>
      <c r="I551" s="7">
        <v>99999</v>
      </c>
      <c r="J551" s="7">
        <v>0</v>
      </c>
      <c r="K551" s="7">
        <v>0</v>
      </c>
      <c r="L551" s="7" t="s">
        <v>1567</v>
      </c>
      <c r="M551" s="7">
        <v>10</v>
      </c>
      <c r="N551" s="7">
        <v>4</v>
      </c>
      <c r="Q551" s="7">
        <v>0</v>
      </c>
      <c r="S551" s="7">
        <f t="shared" si="5"/>
        <v>3168</v>
      </c>
      <c r="T551" s="7">
        <v>3</v>
      </c>
      <c r="V551" s="7">
        <v>1</v>
      </c>
      <c r="W551" s="7">
        <v>1</v>
      </c>
      <c r="X551" s="6"/>
      <c r="Y551" s="7" t="s">
        <v>1584</v>
      </c>
      <c r="Z551" s="7" t="s">
        <v>2957</v>
      </c>
      <c r="AA551" s="7" t="s">
        <v>1642</v>
      </c>
      <c r="AB551" s="7">
        <v>0</v>
      </c>
      <c r="AC551" s="7">
        <v>13</v>
      </c>
      <c r="AD551" s="7">
        <v>0</v>
      </c>
      <c r="AE551" s="7">
        <v>0</v>
      </c>
      <c r="AF551" s="7">
        <v>1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P551" s="7">
        <v>0</v>
      </c>
      <c r="AQ551" s="7">
        <v>1</v>
      </c>
      <c r="AR551" s="7">
        <v>0</v>
      </c>
      <c r="AS551" s="7">
        <v>0</v>
      </c>
      <c r="BE551" s="7">
        <v>240</v>
      </c>
      <c r="BF551" s="7">
        <f t="shared" si="4"/>
        <v>118010</v>
      </c>
      <c r="BG551" s="7">
        <v>2</v>
      </c>
      <c r="BL551" s="7">
        <v>0</v>
      </c>
      <c r="BM551" s="24">
        <v>1</v>
      </c>
    </row>
    <row r="552" spans="1:65" s="7" customFormat="1">
      <c r="A552" s="7">
        <v>118011</v>
      </c>
      <c r="B552" s="7" t="s">
        <v>1545</v>
      </c>
      <c r="C552" s="7" t="s">
        <v>525</v>
      </c>
      <c r="D552" s="7" t="s">
        <v>1561</v>
      </c>
      <c r="E552" s="7">
        <v>1</v>
      </c>
      <c r="F552" s="7" t="s">
        <v>959</v>
      </c>
      <c r="G552" s="7">
        <v>0</v>
      </c>
      <c r="H552" s="7">
        <v>0</v>
      </c>
      <c r="I552" s="7">
        <v>99999</v>
      </c>
      <c r="J552" s="7">
        <v>0</v>
      </c>
      <c r="K552" s="7">
        <v>0</v>
      </c>
      <c r="L552" s="7" t="s">
        <v>1567</v>
      </c>
      <c r="M552" s="7">
        <v>11</v>
      </c>
      <c r="N552" s="7">
        <v>4</v>
      </c>
      <c r="Q552" s="7">
        <v>0</v>
      </c>
      <c r="S552" s="7">
        <f t="shared" si="5"/>
        <v>3432</v>
      </c>
      <c r="T552" s="7">
        <v>3</v>
      </c>
      <c r="V552" s="7">
        <v>1</v>
      </c>
      <c r="W552" s="7">
        <v>1</v>
      </c>
      <c r="X552" s="6"/>
      <c r="Y552" s="7" t="s">
        <v>1584</v>
      </c>
      <c r="Z552" s="7" t="s">
        <v>2957</v>
      </c>
      <c r="AA552" s="7" t="s">
        <v>1642</v>
      </c>
      <c r="AB552" s="7">
        <v>0</v>
      </c>
      <c r="AC552" s="7">
        <v>13</v>
      </c>
      <c r="AD552" s="7">
        <v>0</v>
      </c>
      <c r="AE552" s="7">
        <v>0</v>
      </c>
      <c r="AF552" s="7">
        <v>1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P552" s="7">
        <v>0</v>
      </c>
      <c r="AQ552" s="7">
        <v>1</v>
      </c>
      <c r="AR552" s="7">
        <v>0</v>
      </c>
      <c r="AS552" s="7">
        <v>0</v>
      </c>
      <c r="BE552" s="7">
        <v>240</v>
      </c>
      <c r="BF552" s="7">
        <f t="shared" si="4"/>
        <v>118011</v>
      </c>
      <c r="BG552" s="7">
        <v>2</v>
      </c>
      <c r="BL552" s="7">
        <v>0</v>
      </c>
      <c r="BM552" s="24">
        <v>1</v>
      </c>
    </row>
    <row r="553" spans="1:65" s="7" customFormat="1">
      <c r="A553" s="7">
        <v>118012</v>
      </c>
      <c r="B553" s="7" t="s">
        <v>1546</v>
      </c>
      <c r="C553" s="7" t="s">
        <v>525</v>
      </c>
      <c r="D553" s="7" t="s">
        <v>1561</v>
      </c>
      <c r="E553" s="7">
        <v>1</v>
      </c>
      <c r="F553" s="7" t="s">
        <v>959</v>
      </c>
      <c r="G553" s="7">
        <v>0</v>
      </c>
      <c r="H553" s="7">
        <v>0</v>
      </c>
      <c r="I553" s="7">
        <v>99999</v>
      </c>
      <c r="J553" s="7">
        <v>0</v>
      </c>
      <c r="K553" s="7">
        <v>0</v>
      </c>
      <c r="L553" s="7" t="s">
        <v>1567</v>
      </c>
      <c r="M553" s="7">
        <v>12</v>
      </c>
      <c r="N553" s="7">
        <v>4</v>
      </c>
      <c r="Q553" s="7">
        <v>0</v>
      </c>
      <c r="S553" s="7">
        <f t="shared" si="5"/>
        <v>3696</v>
      </c>
      <c r="T553" s="7">
        <v>3</v>
      </c>
      <c r="V553" s="7">
        <v>1</v>
      </c>
      <c r="W553" s="7">
        <v>1</v>
      </c>
      <c r="X553" s="6"/>
      <c r="Y553" s="7" t="s">
        <v>1584</v>
      </c>
      <c r="Z553" s="7" t="s">
        <v>2957</v>
      </c>
      <c r="AA553" s="7" t="s">
        <v>1642</v>
      </c>
      <c r="AB553" s="7">
        <v>0</v>
      </c>
      <c r="AC553" s="7">
        <v>13</v>
      </c>
      <c r="AD553" s="7">
        <v>0</v>
      </c>
      <c r="AE553" s="7">
        <v>0</v>
      </c>
      <c r="AF553" s="7">
        <v>1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P553" s="7">
        <v>0</v>
      </c>
      <c r="AQ553" s="7">
        <v>1</v>
      </c>
      <c r="AR553" s="7">
        <v>0</v>
      </c>
      <c r="AS553" s="7">
        <v>0</v>
      </c>
      <c r="BE553" s="7">
        <v>240</v>
      </c>
      <c r="BF553" s="7">
        <f t="shared" si="4"/>
        <v>118012</v>
      </c>
      <c r="BG553" s="7">
        <v>2</v>
      </c>
      <c r="BL553" s="7">
        <v>0</v>
      </c>
      <c r="BM553" s="24">
        <v>1</v>
      </c>
    </row>
    <row r="554" spans="1:65" s="7" customFormat="1">
      <c r="A554" s="7">
        <v>118013</v>
      </c>
      <c r="B554" s="7" t="s">
        <v>1547</v>
      </c>
      <c r="C554" s="7" t="s">
        <v>525</v>
      </c>
      <c r="D554" s="7" t="s">
        <v>1561</v>
      </c>
      <c r="E554" s="7">
        <v>1</v>
      </c>
      <c r="F554" s="7" t="s">
        <v>959</v>
      </c>
      <c r="G554" s="7">
        <v>0</v>
      </c>
      <c r="H554" s="7">
        <v>0</v>
      </c>
      <c r="I554" s="7">
        <v>99999</v>
      </c>
      <c r="J554" s="7">
        <v>0</v>
      </c>
      <c r="K554" s="7">
        <v>0</v>
      </c>
      <c r="L554" s="7" t="s">
        <v>1567</v>
      </c>
      <c r="M554" s="7">
        <v>13</v>
      </c>
      <c r="N554" s="7">
        <v>4</v>
      </c>
      <c r="Q554" s="7">
        <v>0</v>
      </c>
      <c r="S554" s="7">
        <f t="shared" si="5"/>
        <v>3960</v>
      </c>
      <c r="T554" s="7">
        <v>3</v>
      </c>
      <c r="V554" s="7">
        <v>1</v>
      </c>
      <c r="W554" s="7">
        <v>1</v>
      </c>
      <c r="X554" s="6"/>
      <c r="Y554" s="7" t="s">
        <v>1584</v>
      </c>
      <c r="Z554" s="7" t="s">
        <v>2957</v>
      </c>
      <c r="AA554" s="7" t="s">
        <v>1642</v>
      </c>
      <c r="AB554" s="7">
        <v>0</v>
      </c>
      <c r="AC554" s="7">
        <v>13</v>
      </c>
      <c r="AD554" s="7">
        <v>0</v>
      </c>
      <c r="AE554" s="7">
        <v>0</v>
      </c>
      <c r="AF554" s="7">
        <v>1</v>
      </c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P554" s="7">
        <v>0</v>
      </c>
      <c r="AQ554" s="7">
        <v>1</v>
      </c>
      <c r="AR554" s="7">
        <v>0</v>
      </c>
      <c r="AS554" s="7">
        <v>0</v>
      </c>
      <c r="BE554" s="7">
        <v>240</v>
      </c>
      <c r="BF554" s="7">
        <f t="shared" si="4"/>
        <v>118013</v>
      </c>
      <c r="BG554" s="7">
        <v>2</v>
      </c>
      <c r="BL554" s="7">
        <v>0</v>
      </c>
      <c r="BM554" s="24">
        <v>1</v>
      </c>
    </row>
    <row r="555" spans="1:65" s="7" customFormat="1">
      <c r="A555" s="7">
        <v>118014</v>
      </c>
      <c r="B555" s="7" t="s">
        <v>1548</v>
      </c>
      <c r="C555" s="7" t="s">
        <v>525</v>
      </c>
      <c r="D555" s="7" t="s">
        <v>1561</v>
      </c>
      <c r="E555" s="7">
        <v>1</v>
      </c>
      <c r="F555" s="7" t="s">
        <v>959</v>
      </c>
      <c r="G555" s="7">
        <v>0</v>
      </c>
      <c r="H555" s="7">
        <v>0</v>
      </c>
      <c r="I555" s="7">
        <v>99999</v>
      </c>
      <c r="J555" s="7">
        <v>0</v>
      </c>
      <c r="K555" s="7">
        <v>0</v>
      </c>
      <c r="L555" s="7" t="s">
        <v>1567</v>
      </c>
      <c r="M555" s="7">
        <v>14</v>
      </c>
      <c r="N555" s="7">
        <v>4</v>
      </c>
      <c r="Q555" s="7">
        <v>0</v>
      </c>
      <c r="S555" s="7">
        <f t="shared" si="5"/>
        <v>4224</v>
      </c>
      <c r="T555" s="7">
        <v>3</v>
      </c>
      <c r="V555" s="7">
        <v>1</v>
      </c>
      <c r="W555" s="7">
        <v>1</v>
      </c>
      <c r="X555" s="6"/>
      <c r="Y555" s="7" t="s">
        <v>1584</v>
      </c>
      <c r="Z555" s="7" t="s">
        <v>2957</v>
      </c>
      <c r="AA555" s="7" t="s">
        <v>1642</v>
      </c>
      <c r="AB555" s="7">
        <v>0</v>
      </c>
      <c r="AC555" s="7">
        <v>13</v>
      </c>
      <c r="AD555" s="7">
        <v>0</v>
      </c>
      <c r="AE555" s="7">
        <v>0</v>
      </c>
      <c r="AF555" s="7">
        <v>1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P555" s="7">
        <v>0</v>
      </c>
      <c r="AQ555" s="7">
        <v>1</v>
      </c>
      <c r="AR555" s="7">
        <v>0</v>
      </c>
      <c r="AS555" s="7">
        <v>0</v>
      </c>
      <c r="BE555" s="7">
        <v>240</v>
      </c>
      <c r="BF555" s="7">
        <f t="shared" si="4"/>
        <v>118014</v>
      </c>
      <c r="BG555" s="7">
        <v>2</v>
      </c>
      <c r="BL555" s="7">
        <v>0</v>
      </c>
      <c r="BM555" s="24">
        <v>1</v>
      </c>
    </row>
    <row r="556" spans="1:65" s="7" customFormat="1">
      <c r="A556" s="7">
        <v>118015</v>
      </c>
      <c r="B556" s="7" t="s">
        <v>1549</v>
      </c>
      <c r="C556" s="7" t="s">
        <v>525</v>
      </c>
      <c r="D556" s="7" t="s">
        <v>1561</v>
      </c>
      <c r="E556" s="7">
        <v>1</v>
      </c>
      <c r="F556" s="7" t="s">
        <v>959</v>
      </c>
      <c r="G556" s="7">
        <v>0</v>
      </c>
      <c r="H556" s="7">
        <v>0</v>
      </c>
      <c r="I556" s="7">
        <v>99999</v>
      </c>
      <c r="J556" s="7">
        <v>0</v>
      </c>
      <c r="K556" s="7">
        <v>0</v>
      </c>
      <c r="L556" s="7" t="s">
        <v>1567</v>
      </c>
      <c r="M556" s="7">
        <v>15</v>
      </c>
      <c r="N556" s="7">
        <v>4</v>
      </c>
      <c r="Q556" s="7">
        <v>0</v>
      </c>
      <c r="S556" s="7">
        <f t="shared" si="5"/>
        <v>4488</v>
      </c>
      <c r="T556" s="7">
        <v>3</v>
      </c>
      <c r="V556" s="7">
        <v>1</v>
      </c>
      <c r="W556" s="7">
        <v>1</v>
      </c>
      <c r="X556" s="6"/>
      <c r="Y556" s="7" t="s">
        <v>1584</v>
      </c>
      <c r="Z556" s="7" t="s">
        <v>2957</v>
      </c>
      <c r="AA556" s="7" t="s">
        <v>1642</v>
      </c>
      <c r="AB556" s="7">
        <v>0</v>
      </c>
      <c r="AC556" s="7">
        <v>13</v>
      </c>
      <c r="AD556" s="7">
        <v>0</v>
      </c>
      <c r="AE556" s="7">
        <v>0</v>
      </c>
      <c r="AF556" s="7">
        <v>1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P556" s="7">
        <v>0</v>
      </c>
      <c r="AQ556" s="7">
        <v>1</v>
      </c>
      <c r="AR556" s="7">
        <v>0</v>
      </c>
      <c r="AS556" s="7">
        <v>0</v>
      </c>
      <c r="BE556" s="7">
        <v>240</v>
      </c>
      <c r="BF556" s="7">
        <f t="shared" si="4"/>
        <v>118015</v>
      </c>
      <c r="BG556" s="7">
        <v>2</v>
      </c>
      <c r="BL556" s="7">
        <v>0</v>
      </c>
      <c r="BM556" s="24">
        <v>1</v>
      </c>
    </row>
    <row r="557" spans="1:65" s="7" customFormat="1">
      <c r="A557" s="7">
        <v>118016</v>
      </c>
      <c r="B557" s="7" t="s">
        <v>1550</v>
      </c>
      <c r="C557" s="7" t="s">
        <v>525</v>
      </c>
      <c r="D557" s="7" t="s">
        <v>1561</v>
      </c>
      <c r="E557" s="7">
        <v>1</v>
      </c>
      <c r="F557" s="7" t="s">
        <v>959</v>
      </c>
      <c r="G557" s="7">
        <v>0</v>
      </c>
      <c r="H557" s="7">
        <v>0</v>
      </c>
      <c r="I557" s="7">
        <v>99999</v>
      </c>
      <c r="J557" s="7">
        <v>0</v>
      </c>
      <c r="K557" s="7">
        <v>0</v>
      </c>
      <c r="L557" s="7" t="s">
        <v>1567</v>
      </c>
      <c r="M557" s="7">
        <v>16</v>
      </c>
      <c r="N557" s="7">
        <v>4</v>
      </c>
      <c r="Q557" s="7">
        <v>0</v>
      </c>
      <c r="S557" s="7">
        <f t="shared" si="5"/>
        <v>4752</v>
      </c>
      <c r="T557" s="7">
        <v>3</v>
      </c>
      <c r="V557" s="7">
        <v>1</v>
      </c>
      <c r="W557" s="7">
        <v>1</v>
      </c>
      <c r="X557" s="6"/>
      <c r="Y557" s="7" t="s">
        <v>1584</v>
      </c>
      <c r="Z557" s="7" t="s">
        <v>2957</v>
      </c>
      <c r="AA557" s="7" t="s">
        <v>1642</v>
      </c>
      <c r="AB557" s="7">
        <v>0</v>
      </c>
      <c r="AC557" s="7">
        <v>13</v>
      </c>
      <c r="AD557" s="7">
        <v>0</v>
      </c>
      <c r="AE557" s="7">
        <v>0</v>
      </c>
      <c r="AF557" s="7">
        <v>1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P557" s="7">
        <v>0</v>
      </c>
      <c r="AQ557" s="7">
        <v>1</v>
      </c>
      <c r="AR557" s="7">
        <v>0</v>
      </c>
      <c r="AS557" s="7">
        <v>0</v>
      </c>
      <c r="BE557" s="7">
        <v>240</v>
      </c>
      <c r="BF557" s="7">
        <f t="shared" si="4"/>
        <v>118016</v>
      </c>
      <c r="BG557" s="7">
        <v>2</v>
      </c>
      <c r="BL557" s="7">
        <v>0</v>
      </c>
      <c r="BM557" s="24">
        <v>1</v>
      </c>
    </row>
    <row r="558" spans="1:65" s="7" customFormat="1">
      <c r="A558" s="7">
        <v>118017</v>
      </c>
      <c r="B558" s="7" t="s">
        <v>1551</v>
      </c>
      <c r="C558" s="7" t="s">
        <v>525</v>
      </c>
      <c r="D558" s="7" t="s">
        <v>1561</v>
      </c>
      <c r="E558" s="7">
        <v>1</v>
      </c>
      <c r="F558" s="7" t="s">
        <v>959</v>
      </c>
      <c r="G558" s="7">
        <v>0</v>
      </c>
      <c r="H558" s="7">
        <v>0</v>
      </c>
      <c r="I558" s="7">
        <v>99999</v>
      </c>
      <c r="J558" s="7">
        <v>0</v>
      </c>
      <c r="K558" s="7">
        <v>0</v>
      </c>
      <c r="L558" s="7" t="s">
        <v>1567</v>
      </c>
      <c r="M558" s="7">
        <v>17</v>
      </c>
      <c r="N558" s="7">
        <v>4</v>
      </c>
      <c r="Q558" s="7">
        <v>0</v>
      </c>
      <c r="S558" s="7">
        <f t="shared" si="5"/>
        <v>5280</v>
      </c>
      <c r="T558" s="7">
        <v>3</v>
      </c>
      <c r="V558" s="7">
        <v>1</v>
      </c>
      <c r="W558" s="7">
        <v>1</v>
      </c>
      <c r="X558" s="6"/>
      <c r="Y558" s="7" t="s">
        <v>1584</v>
      </c>
      <c r="Z558" s="7" t="s">
        <v>2957</v>
      </c>
      <c r="AA558" s="7" t="s">
        <v>1642</v>
      </c>
      <c r="AB558" s="7">
        <v>0</v>
      </c>
      <c r="AC558" s="7">
        <v>13</v>
      </c>
      <c r="AD558" s="7">
        <v>0</v>
      </c>
      <c r="AE558" s="7">
        <v>0</v>
      </c>
      <c r="AF558" s="7">
        <v>1</v>
      </c>
      <c r="AI558" s="7">
        <v>6</v>
      </c>
      <c r="AJ558" s="7">
        <v>14</v>
      </c>
      <c r="AK558" s="7">
        <v>0</v>
      </c>
      <c r="AL558" s="7">
        <v>0</v>
      </c>
      <c r="AM558" s="7">
        <v>0</v>
      </c>
      <c r="AN558" s="7">
        <v>0</v>
      </c>
      <c r="AP558" s="7">
        <v>1</v>
      </c>
      <c r="AQ558" s="7">
        <v>1</v>
      </c>
      <c r="AR558" s="7">
        <v>1</v>
      </c>
      <c r="AS558" s="7">
        <v>0</v>
      </c>
      <c r="BE558" s="7">
        <v>240</v>
      </c>
      <c r="BF558" s="7">
        <f t="shared" si="4"/>
        <v>118017</v>
      </c>
      <c r="BG558" s="7">
        <v>2</v>
      </c>
      <c r="BL558" s="7">
        <v>0</v>
      </c>
      <c r="BM558" s="24">
        <v>1</v>
      </c>
    </row>
    <row r="559" spans="1:65" s="7" customFormat="1">
      <c r="A559" s="7">
        <v>118018</v>
      </c>
      <c r="B559" s="7" t="s">
        <v>1552</v>
      </c>
      <c r="C559" s="7" t="s">
        <v>525</v>
      </c>
      <c r="D559" s="7" t="s">
        <v>1561</v>
      </c>
      <c r="E559" s="7">
        <v>1</v>
      </c>
      <c r="F559" s="7" t="s">
        <v>959</v>
      </c>
      <c r="G559" s="7">
        <v>0</v>
      </c>
      <c r="H559" s="7">
        <v>0</v>
      </c>
      <c r="I559" s="7">
        <v>99999</v>
      </c>
      <c r="J559" s="7">
        <v>0</v>
      </c>
      <c r="K559" s="7">
        <v>0</v>
      </c>
      <c r="L559" s="7" t="s">
        <v>1567</v>
      </c>
      <c r="M559" s="7">
        <v>18</v>
      </c>
      <c r="N559" s="7">
        <v>4</v>
      </c>
      <c r="Q559" s="7">
        <v>0</v>
      </c>
      <c r="S559" s="7">
        <f t="shared" si="5"/>
        <v>5808</v>
      </c>
      <c r="T559" s="7">
        <v>3</v>
      </c>
      <c r="V559" s="7">
        <v>1</v>
      </c>
      <c r="W559" s="7">
        <v>1</v>
      </c>
      <c r="X559" s="6"/>
      <c r="Y559" s="7" t="s">
        <v>1584</v>
      </c>
      <c r="Z559" s="7" t="s">
        <v>2957</v>
      </c>
      <c r="AA559" s="7" t="s">
        <v>1642</v>
      </c>
      <c r="AB559" s="7">
        <v>0</v>
      </c>
      <c r="AC559" s="7">
        <v>13</v>
      </c>
      <c r="AD559" s="7">
        <v>0</v>
      </c>
      <c r="AE559" s="7">
        <v>0</v>
      </c>
      <c r="AF559" s="7">
        <v>1</v>
      </c>
      <c r="AI559" s="7">
        <v>6</v>
      </c>
      <c r="AJ559" s="7">
        <v>13</v>
      </c>
      <c r="AK559" s="7">
        <v>0</v>
      </c>
      <c r="AL559" s="7">
        <v>0</v>
      </c>
      <c r="AM559" s="7">
        <v>0</v>
      </c>
      <c r="AN559" s="7">
        <v>0</v>
      </c>
      <c r="AP559" s="7">
        <v>1</v>
      </c>
      <c r="AQ559" s="7">
        <v>1</v>
      </c>
      <c r="AR559" s="7">
        <v>1</v>
      </c>
      <c r="AS559" s="7">
        <v>0</v>
      </c>
      <c r="BE559" s="7">
        <v>240</v>
      </c>
      <c r="BF559" s="7">
        <f t="shared" si="4"/>
        <v>118018</v>
      </c>
      <c r="BG559" s="7">
        <v>2</v>
      </c>
      <c r="BL559" s="7">
        <v>0</v>
      </c>
      <c r="BM559" s="24">
        <v>1</v>
      </c>
    </row>
    <row r="560" spans="1:65" s="7" customFormat="1">
      <c r="A560" s="7">
        <v>118019</v>
      </c>
      <c r="B560" s="7" t="s">
        <v>1553</v>
      </c>
      <c r="C560" s="7" t="s">
        <v>525</v>
      </c>
      <c r="D560" s="7" t="s">
        <v>1561</v>
      </c>
      <c r="E560" s="7">
        <v>1</v>
      </c>
      <c r="F560" s="7" t="s">
        <v>959</v>
      </c>
      <c r="G560" s="7">
        <v>0</v>
      </c>
      <c r="H560" s="7">
        <v>0</v>
      </c>
      <c r="I560" s="7">
        <v>99999</v>
      </c>
      <c r="J560" s="7">
        <v>0</v>
      </c>
      <c r="K560" s="7">
        <v>0</v>
      </c>
      <c r="L560" s="7" t="s">
        <v>1567</v>
      </c>
      <c r="M560" s="7">
        <v>19</v>
      </c>
      <c r="N560" s="7">
        <v>4</v>
      </c>
      <c r="Q560" s="7">
        <v>0</v>
      </c>
      <c r="S560" s="7">
        <f t="shared" si="5"/>
        <v>6336</v>
      </c>
      <c r="T560" s="7">
        <v>3</v>
      </c>
      <c r="V560" s="7">
        <v>1</v>
      </c>
      <c r="W560" s="7">
        <v>1</v>
      </c>
      <c r="X560" s="6"/>
      <c r="Y560" s="7" t="s">
        <v>1584</v>
      </c>
      <c r="Z560" s="7" t="s">
        <v>2957</v>
      </c>
      <c r="AA560" s="7" t="s">
        <v>1642</v>
      </c>
      <c r="AB560" s="7">
        <v>0</v>
      </c>
      <c r="AC560" s="7">
        <v>13</v>
      </c>
      <c r="AD560" s="7">
        <v>0</v>
      </c>
      <c r="AE560" s="7">
        <v>0</v>
      </c>
      <c r="AF560" s="7">
        <v>1</v>
      </c>
      <c r="AI560" s="7">
        <v>6</v>
      </c>
      <c r="AJ560" s="7">
        <v>12</v>
      </c>
      <c r="AK560" s="7">
        <v>0</v>
      </c>
      <c r="AL560" s="7">
        <v>0</v>
      </c>
      <c r="AM560" s="7">
        <v>0</v>
      </c>
      <c r="AN560" s="7">
        <v>0</v>
      </c>
      <c r="AP560" s="7">
        <v>1</v>
      </c>
      <c r="AQ560" s="7">
        <v>1</v>
      </c>
      <c r="AR560" s="7">
        <v>1</v>
      </c>
      <c r="AS560" s="7">
        <v>0</v>
      </c>
      <c r="BE560" s="7">
        <v>240</v>
      </c>
      <c r="BF560" s="7">
        <f t="shared" si="4"/>
        <v>118019</v>
      </c>
      <c r="BG560" s="7">
        <v>2</v>
      </c>
      <c r="BL560" s="7">
        <v>0</v>
      </c>
      <c r="BM560" s="24">
        <v>1</v>
      </c>
    </row>
    <row r="561" spans="1:65" s="7" customFormat="1">
      <c r="A561" s="7">
        <v>118020</v>
      </c>
      <c r="B561" s="7" t="s">
        <v>1554</v>
      </c>
      <c r="C561" s="7" t="s">
        <v>525</v>
      </c>
      <c r="D561" s="7" t="s">
        <v>1561</v>
      </c>
      <c r="E561" s="7">
        <v>1</v>
      </c>
      <c r="F561" s="7" t="s">
        <v>959</v>
      </c>
      <c r="G561" s="7">
        <v>0</v>
      </c>
      <c r="H561" s="7">
        <v>0</v>
      </c>
      <c r="I561" s="7">
        <v>99999</v>
      </c>
      <c r="J561" s="7">
        <v>0</v>
      </c>
      <c r="K561" s="7">
        <v>0</v>
      </c>
      <c r="L561" s="7" t="s">
        <v>1567</v>
      </c>
      <c r="M561" s="7">
        <v>20</v>
      </c>
      <c r="N561" s="7">
        <v>4</v>
      </c>
      <c r="Q561" s="7">
        <v>0</v>
      </c>
      <c r="S561" s="7">
        <f t="shared" si="5"/>
        <v>6864</v>
      </c>
      <c r="T561" s="7">
        <v>3</v>
      </c>
      <c r="V561" s="7">
        <v>1</v>
      </c>
      <c r="W561" s="7">
        <v>1</v>
      </c>
      <c r="X561" s="6"/>
      <c r="Y561" s="7" t="s">
        <v>1584</v>
      </c>
      <c r="Z561" s="7" t="s">
        <v>2957</v>
      </c>
      <c r="AA561" s="7" t="s">
        <v>1642</v>
      </c>
      <c r="AB561" s="7">
        <v>0</v>
      </c>
      <c r="AC561" s="7">
        <v>13</v>
      </c>
      <c r="AD561" s="7">
        <v>0</v>
      </c>
      <c r="AE561" s="7">
        <v>0</v>
      </c>
      <c r="AF561" s="7">
        <v>1</v>
      </c>
      <c r="AI561" s="7">
        <v>6</v>
      </c>
      <c r="AJ561" s="7">
        <v>11</v>
      </c>
      <c r="AK561" s="7">
        <v>0</v>
      </c>
      <c r="AL561" s="7">
        <v>0</v>
      </c>
      <c r="AM561" s="7">
        <v>0</v>
      </c>
      <c r="AN561" s="7">
        <v>0</v>
      </c>
      <c r="AP561" s="7">
        <v>1</v>
      </c>
      <c r="AQ561" s="7">
        <v>1</v>
      </c>
      <c r="AR561" s="7">
        <v>1</v>
      </c>
      <c r="AS561" s="7">
        <v>0</v>
      </c>
      <c r="BE561" s="7">
        <v>240</v>
      </c>
      <c r="BF561" s="7">
        <f t="shared" si="4"/>
        <v>118020</v>
      </c>
      <c r="BG561" s="7">
        <v>2</v>
      </c>
      <c r="BL561" s="7">
        <v>0</v>
      </c>
      <c r="BM561" s="24">
        <v>1</v>
      </c>
    </row>
    <row r="562" spans="1:65" s="7" customFormat="1">
      <c r="A562" s="7">
        <v>118021</v>
      </c>
      <c r="B562" s="7" t="s">
        <v>1555</v>
      </c>
      <c r="C562" s="7" t="s">
        <v>525</v>
      </c>
      <c r="D562" s="7" t="s">
        <v>1561</v>
      </c>
      <c r="E562" s="7">
        <v>1</v>
      </c>
      <c r="F562" s="7" t="s">
        <v>959</v>
      </c>
      <c r="G562" s="7">
        <v>0</v>
      </c>
      <c r="H562" s="7">
        <v>0</v>
      </c>
      <c r="I562" s="7">
        <v>99999</v>
      </c>
      <c r="J562" s="7">
        <v>0</v>
      </c>
      <c r="K562" s="7">
        <v>0</v>
      </c>
      <c r="L562" s="7" t="s">
        <v>1567</v>
      </c>
      <c r="M562" s="7">
        <v>21</v>
      </c>
      <c r="N562" s="7">
        <v>4</v>
      </c>
      <c r="Q562" s="7">
        <v>0</v>
      </c>
      <c r="S562" s="7">
        <f t="shared" si="5"/>
        <v>7392</v>
      </c>
      <c r="T562" s="7">
        <v>3</v>
      </c>
      <c r="V562" s="7">
        <v>1</v>
      </c>
      <c r="W562" s="7">
        <v>1</v>
      </c>
      <c r="X562" s="6"/>
      <c r="Y562" s="7" t="s">
        <v>1584</v>
      </c>
      <c r="Z562" s="7" t="s">
        <v>2957</v>
      </c>
      <c r="AA562" s="7" t="s">
        <v>1642</v>
      </c>
      <c r="AB562" s="7">
        <v>0</v>
      </c>
      <c r="AC562" s="7">
        <v>13</v>
      </c>
      <c r="AD562" s="7">
        <v>0</v>
      </c>
      <c r="AE562" s="7">
        <v>0</v>
      </c>
      <c r="AF562" s="7">
        <v>1</v>
      </c>
      <c r="AI562" s="7">
        <v>6</v>
      </c>
      <c r="AJ562" s="7">
        <v>10</v>
      </c>
      <c r="AK562" s="7">
        <v>0</v>
      </c>
      <c r="AL562" s="7">
        <v>0</v>
      </c>
      <c r="AM562" s="7">
        <v>0</v>
      </c>
      <c r="AN562" s="7">
        <v>0</v>
      </c>
      <c r="AP562" s="7">
        <v>1</v>
      </c>
      <c r="AQ562" s="7">
        <v>1</v>
      </c>
      <c r="AR562" s="7">
        <v>1</v>
      </c>
      <c r="AS562" s="7">
        <v>0</v>
      </c>
      <c r="BE562" s="7">
        <v>240</v>
      </c>
      <c r="BF562" s="7">
        <f t="shared" si="4"/>
        <v>118021</v>
      </c>
      <c r="BG562" s="7">
        <v>2</v>
      </c>
      <c r="BL562" s="7">
        <v>0</v>
      </c>
      <c r="BM562" s="24">
        <v>1</v>
      </c>
    </row>
    <row r="563" spans="1:65" s="7" customFormat="1">
      <c r="A563" s="7">
        <v>118022</v>
      </c>
      <c r="B563" s="7" t="s">
        <v>1556</v>
      </c>
      <c r="C563" s="7" t="s">
        <v>525</v>
      </c>
      <c r="D563" s="7" t="s">
        <v>1561</v>
      </c>
      <c r="E563" s="7">
        <v>1</v>
      </c>
      <c r="F563" s="7" t="s">
        <v>959</v>
      </c>
      <c r="G563" s="7">
        <v>0</v>
      </c>
      <c r="H563" s="7">
        <v>0</v>
      </c>
      <c r="I563" s="7">
        <v>99999</v>
      </c>
      <c r="J563" s="7">
        <v>0</v>
      </c>
      <c r="K563" s="7">
        <v>0</v>
      </c>
      <c r="L563" s="7" t="s">
        <v>1567</v>
      </c>
      <c r="M563" s="7">
        <v>22</v>
      </c>
      <c r="N563" s="7">
        <v>4</v>
      </c>
      <c r="Q563" s="7">
        <v>0</v>
      </c>
      <c r="S563" s="7">
        <f t="shared" si="5"/>
        <v>7920</v>
      </c>
      <c r="T563" s="7">
        <v>3</v>
      </c>
      <c r="V563" s="7">
        <v>1</v>
      </c>
      <c r="W563" s="7">
        <v>1</v>
      </c>
      <c r="X563" s="6"/>
      <c r="Y563" s="7" t="s">
        <v>1584</v>
      </c>
      <c r="Z563" s="7" t="s">
        <v>2957</v>
      </c>
      <c r="AA563" s="7" t="s">
        <v>1642</v>
      </c>
      <c r="AB563" s="7">
        <v>0</v>
      </c>
      <c r="AC563" s="7">
        <v>13</v>
      </c>
      <c r="AD563" s="7">
        <v>0</v>
      </c>
      <c r="AE563" s="7">
        <v>0</v>
      </c>
      <c r="AF563" s="7">
        <v>1</v>
      </c>
      <c r="AI563" s="7">
        <v>6</v>
      </c>
      <c r="AJ563" s="7">
        <v>9</v>
      </c>
      <c r="AK563" s="7">
        <v>0</v>
      </c>
      <c r="AL563" s="7">
        <v>0</v>
      </c>
      <c r="AM563" s="7">
        <v>0</v>
      </c>
      <c r="AN563" s="7">
        <v>0</v>
      </c>
      <c r="AP563" s="7">
        <v>1</v>
      </c>
      <c r="AQ563" s="7">
        <v>1</v>
      </c>
      <c r="AR563" s="7">
        <v>1</v>
      </c>
      <c r="AS563" s="7">
        <v>0</v>
      </c>
      <c r="BE563" s="7">
        <v>240</v>
      </c>
      <c r="BF563" s="7">
        <f t="shared" si="4"/>
        <v>118022</v>
      </c>
      <c r="BG563" s="7">
        <v>2</v>
      </c>
      <c r="BL563" s="7">
        <v>0</v>
      </c>
      <c r="BM563" s="24">
        <v>1</v>
      </c>
    </row>
    <row r="564" spans="1:65" s="7" customFormat="1">
      <c r="A564" s="7">
        <v>118023</v>
      </c>
      <c r="B564" s="7" t="s">
        <v>1557</v>
      </c>
      <c r="C564" s="7" t="s">
        <v>525</v>
      </c>
      <c r="D564" s="7" t="s">
        <v>1561</v>
      </c>
      <c r="E564" s="7">
        <v>1</v>
      </c>
      <c r="F564" s="7" t="s">
        <v>959</v>
      </c>
      <c r="G564" s="7">
        <v>0</v>
      </c>
      <c r="H564" s="7">
        <v>0</v>
      </c>
      <c r="I564" s="7">
        <v>99999</v>
      </c>
      <c r="J564" s="7">
        <v>0</v>
      </c>
      <c r="K564" s="7">
        <v>0</v>
      </c>
      <c r="L564" s="7" t="s">
        <v>1567</v>
      </c>
      <c r="M564" s="7">
        <v>23</v>
      </c>
      <c r="N564" s="7">
        <v>4</v>
      </c>
      <c r="Q564" s="7">
        <v>0</v>
      </c>
      <c r="S564" s="7">
        <f t="shared" si="5"/>
        <v>8448</v>
      </c>
      <c r="T564" s="7">
        <v>3</v>
      </c>
      <c r="V564" s="7">
        <v>1</v>
      </c>
      <c r="W564" s="7">
        <v>1</v>
      </c>
      <c r="X564" s="6"/>
      <c r="Y564" s="7" t="s">
        <v>1584</v>
      </c>
      <c r="Z564" s="7" t="s">
        <v>2957</v>
      </c>
      <c r="AA564" s="7" t="s">
        <v>1642</v>
      </c>
      <c r="AB564" s="7">
        <v>0</v>
      </c>
      <c r="AC564" s="7">
        <v>13</v>
      </c>
      <c r="AD564" s="7">
        <v>0</v>
      </c>
      <c r="AE564" s="7">
        <v>0</v>
      </c>
      <c r="AF564" s="7">
        <v>1</v>
      </c>
      <c r="AI564" s="7">
        <v>6</v>
      </c>
      <c r="AJ564" s="7">
        <v>8</v>
      </c>
      <c r="AK564" s="7">
        <v>0</v>
      </c>
      <c r="AL564" s="7">
        <v>0</v>
      </c>
      <c r="AM564" s="7">
        <v>0</v>
      </c>
      <c r="AN564" s="7">
        <v>0</v>
      </c>
      <c r="AP564" s="7">
        <v>1</v>
      </c>
      <c r="AQ564" s="7">
        <v>1</v>
      </c>
      <c r="AR564" s="7">
        <v>1</v>
      </c>
      <c r="AS564" s="7">
        <v>0</v>
      </c>
      <c r="BE564" s="7">
        <v>240</v>
      </c>
      <c r="BF564" s="7">
        <f t="shared" si="4"/>
        <v>118023</v>
      </c>
      <c r="BG564" s="7">
        <v>2</v>
      </c>
      <c r="BL564" s="7">
        <v>0</v>
      </c>
      <c r="BM564" s="24">
        <v>1</v>
      </c>
    </row>
    <row r="565" spans="1:65" s="7" customFormat="1">
      <c r="A565" s="7">
        <v>118024</v>
      </c>
      <c r="B565" s="7" t="s">
        <v>1558</v>
      </c>
      <c r="C565" s="7" t="s">
        <v>525</v>
      </c>
      <c r="D565" s="7" t="s">
        <v>1561</v>
      </c>
      <c r="E565" s="7">
        <v>1</v>
      </c>
      <c r="F565" s="7" t="s">
        <v>959</v>
      </c>
      <c r="G565" s="7">
        <v>0</v>
      </c>
      <c r="H565" s="7">
        <v>0</v>
      </c>
      <c r="I565" s="7">
        <v>99999</v>
      </c>
      <c r="J565" s="7">
        <v>0</v>
      </c>
      <c r="K565" s="7">
        <v>0</v>
      </c>
      <c r="L565" s="7" t="s">
        <v>1567</v>
      </c>
      <c r="M565" s="7">
        <v>24</v>
      </c>
      <c r="N565" s="7">
        <v>4</v>
      </c>
      <c r="Q565" s="7">
        <v>0</v>
      </c>
      <c r="S565" s="7">
        <f t="shared" si="5"/>
        <v>8976</v>
      </c>
      <c r="T565" s="7">
        <v>3</v>
      </c>
      <c r="V565" s="7">
        <v>1</v>
      </c>
      <c r="W565" s="7">
        <v>1</v>
      </c>
      <c r="X565" s="6"/>
      <c r="Y565" s="7" t="s">
        <v>1584</v>
      </c>
      <c r="Z565" s="7" t="s">
        <v>2957</v>
      </c>
      <c r="AA565" s="7" t="s">
        <v>1642</v>
      </c>
      <c r="AB565" s="7">
        <v>0</v>
      </c>
      <c r="AC565" s="7">
        <v>13</v>
      </c>
      <c r="AD565" s="7">
        <v>0</v>
      </c>
      <c r="AE565" s="7">
        <v>0</v>
      </c>
      <c r="AF565" s="7">
        <v>1</v>
      </c>
      <c r="AI565" s="7">
        <v>6</v>
      </c>
      <c r="AJ565" s="7">
        <v>7</v>
      </c>
      <c r="AK565" s="7">
        <v>0</v>
      </c>
      <c r="AL565" s="7">
        <v>0</v>
      </c>
      <c r="AM565" s="7">
        <v>0</v>
      </c>
      <c r="AN565" s="7">
        <v>0</v>
      </c>
      <c r="AP565" s="7">
        <v>1</v>
      </c>
      <c r="AQ565" s="7">
        <v>1</v>
      </c>
      <c r="AR565" s="7">
        <v>1</v>
      </c>
      <c r="AS565" s="7">
        <v>0</v>
      </c>
      <c r="BE565" s="7">
        <v>240</v>
      </c>
      <c r="BF565" s="7">
        <f t="shared" si="4"/>
        <v>118024</v>
      </c>
      <c r="BG565" s="7">
        <v>2</v>
      </c>
      <c r="BL565" s="7">
        <v>0</v>
      </c>
      <c r="BM565" s="24">
        <v>1</v>
      </c>
    </row>
    <row r="566" spans="1:65" s="7" customFormat="1">
      <c r="A566" s="7">
        <v>118025</v>
      </c>
      <c r="B566" s="7" t="s">
        <v>1559</v>
      </c>
      <c r="C566" s="7" t="s">
        <v>525</v>
      </c>
      <c r="D566" s="7" t="s">
        <v>1561</v>
      </c>
      <c r="E566" s="7">
        <v>1</v>
      </c>
      <c r="F566" s="7" t="s">
        <v>959</v>
      </c>
      <c r="G566" s="7">
        <v>0</v>
      </c>
      <c r="H566" s="7">
        <v>0</v>
      </c>
      <c r="I566" s="7">
        <v>99999</v>
      </c>
      <c r="J566" s="7">
        <v>0</v>
      </c>
      <c r="K566" s="7">
        <v>0</v>
      </c>
      <c r="L566" s="7" t="s">
        <v>1567</v>
      </c>
      <c r="M566" s="7">
        <v>25</v>
      </c>
      <c r="N566" s="7">
        <v>4</v>
      </c>
      <c r="Q566" s="7">
        <v>0</v>
      </c>
      <c r="S566" s="7">
        <f t="shared" si="5"/>
        <v>9504</v>
      </c>
      <c r="T566" s="7">
        <v>3</v>
      </c>
      <c r="V566" s="7">
        <v>1</v>
      </c>
      <c r="W566" s="7">
        <v>1</v>
      </c>
      <c r="X566" s="6"/>
      <c r="Y566" s="7" t="s">
        <v>1584</v>
      </c>
      <c r="Z566" s="7" t="s">
        <v>2957</v>
      </c>
      <c r="AA566" s="7" t="s">
        <v>1642</v>
      </c>
      <c r="AB566" s="7">
        <v>0</v>
      </c>
      <c r="AC566" s="7">
        <v>13</v>
      </c>
      <c r="AD566" s="7">
        <v>0</v>
      </c>
      <c r="AE566" s="7">
        <v>0</v>
      </c>
      <c r="AF566" s="7">
        <v>1</v>
      </c>
      <c r="AI566" s="7">
        <v>6</v>
      </c>
      <c r="AJ566" s="7">
        <v>6</v>
      </c>
      <c r="AK566" s="7">
        <v>0</v>
      </c>
      <c r="AL566" s="7">
        <v>0</v>
      </c>
      <c r="AM566" s="7">
        <v>0</v>
      </c>
      <c r="AN566" s="7">
        <v>0</v>
      </c>
      <c r="AP566" s="7">
        <v>1</v>
      </c>
      <c r="AQ566" s="7">
        <v>1</v>
      </c>
      <c r="AR566" s="7">
        <v>1</v>
      </c>
      <c r="AS566" s="7">
        <v>0</v>
      </c>
      <c r="BE566" s="7">
        <v>240</v>
      </c>
      <c r="BF566" s="7">
        <f t="shared" si="4"/>
        <v>118025</v>
      </c>
      <c r="BG566" s="7">
        <v>2</v>
      </c>
      <c r="BL566" s="7">
        <v>0</v>
      </c>
      <c r="BM566" s="24">
        <v>1</v>
      </c>
    </row>
    <row r="567" spans="1:65" s="7" customFormat="1">
      <c r="A567" s="7">
        <v>118026</v>
      </c>
      <c r="B567" s="7" t="s">
        <v>1560</v>
      </c>
      <c r="C567" s="7" t="s">
        <v>525</v>
      </c>
      <c r="D567" s="7" t="s">
        <v>1561</v>
      </c>
      <c r="E567" s="7">
        <v>1</v>
      </c>
      <c r="F567" s="7" t="s">
        <v>959</v>
      </c>
      <c r="G567" s="7">
        <v>0</v>
      </c>
      <c r="H567" s="7">
        <v>0</v>
      </c>
      <c r="I567" s="7">
        <v>99999</v>
      </c>
      <c r="J567" s="7">
        <v>0</v>
      </c>
      <c r="K567" s="7">
        <v>0</v>
      </c>
      <c r="L567" s="7" t="s">
        <v>1567</v>
      </c>
      <c r="M567" s="7">
        <v>26</v>
      </c>
      <c r="N567" s="7">
        <v>4</v>
      </c>
      <c r="Q567" s="7">
        <v>0</v>
      </c>
      <c r="S567" s="7">
        <f t="shared" si="5"/>
        <v>10032</v>
      </c>
      <c r="T567" s="7">
        <v>3</v>
      </c>
      <c r="V567" s="7">
        <v>1</v>
      </c>
      <c r="W567" s="7">
        <v>1</v>
      </c>
      <c r="X567" s="6"/>
      <c r="Y567" s="7" t="s">
        <v>1584</v>
      </c>
      <c r="Z567" s="7" t="s">
        <v>2957</v>
      </c>
      <c r="AA567" s="7" t="s">
        <v>1642</v>
      </c>
      <c r="AB567" s="7">
        <v>0</v>
      </c>
      <c r="AC567" s="7">
        <v>13</v>
      </c>
      <c r="AD567" s="7">
        <v>0</v>
      </c>
      <c r="AE567" s="7">
        <v>0</v>
      </c>
      <c r="AF567" s="7">
        <v>1</v>
      </c>
      <c r="AI567" s="7">
        <v>6</v>
      </c>
      <c r="AJ567" s="7">
        <v>5</v>
      </c>
      <c r="AK567" s="7">
        <v>0</v>
      </c>
      <c r="AL567" s="7">
        <v>0</v>
      </c>
      <c r="AM567" s="7">
        <v>0</v>
      </c>
      <c r="AN567" s="7">
        <v>0</v>
      </c>
      <c r="AP567" s="7">
        <v>1</v>
      </c>
      <c r="AQ567" s="7">
        <v>1</v>
      </c>
      <c r="AR567" s="7">
        <v>1</v>
      </c>
      <c r="AS567" s="7">
        <v>0</v>
      </c>
      <c r="BE567" s="7">
        <v>240</v>
      </c>
      <c r="BF567" s="7">
        <f t="shared" si="4"/>
        <v>118026</v>
      </c>
      <c r="BG567" s="7">
        <v>2</v>
      </c>
      <c r="BL567" s="7">
        <v>0</v>
      </c>
      <c r="BM567" s="24">
        <v>1</v>
      </c>
    </row>
    <row r="568" spans="1:65" s="7" customFormat="1">
      <c r="A568" s="7">
        <v>120001</v>
      </c>
      <c r="B568" s="7" t="s">
        <v>1969</v>
      </c>
      <c r="C568" s="7" t="s">
        <v>689</v>
      </c>
      <c r="D568" s="7" t="s">
        <v>690</v>
      </c>
      <c r="E568" s="7">
        <v>1</v>
      </c>
      <c r="F568" s="7" t="s">
        <v>959</v>
      </c>
      <c r="G568" s="7">
        <v>0</v>
      </c>
      <c r="H568" s="7">
        <v>0</v>
      </c>
      <c r="I568" s="7">
        <v>99999</v>
      </c>
      <c r="J568" s="7">
        <v>0</v>
      </c>
      <c r="K568" s="7">
        <v>0</v>
      </c>
      <c r="L568" s="7" t="s">
        <v>1562</v>
      </c>
      <c r="M568" s="7">
        <v>5</v>
      </c>
      <c r="N568" s="7">
        <v>1</v>
      </c>
      <c r="Q568" s="7">
        <v>0</v>
      </c>
      <c r="S568" s="7">
        <v>100</v>
      </c>
      <c r="T568" s="7">
        <v>0</v>
      </c>
      <c r="V568" s="7">
        <v>1</v>
      </c>
      <c r="W568" s="7">
        <v>1</v>
      </c>
      <c r="X568" s="6"/>
      <c r="Y568" s="7" t="s">
        <v>2279</v>
      </c>
      <c r="Z568" s="7" t="s">
        <v>2675</v>
      </c>
      <c r="AA568" s="7" t="s">
        <v>1997</v>
      </c>
      <c r="AB568" s="7">
        <v>0</v>
      </c>
      <c r="AC568" s="7">
        <v>16</v>
      </c>
      <c r="AD568" s="7">
        <v>0</v>
      </c>
      <c r="AE568" s="7">
        <v>0</v>
      </c>
      <c r="AF568" s="7">
        <v>1</v>
      </c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P568" s="7">
        <v>0</v>
      </c>
      <c r="AQ568" s="7">
        <v>1</v>
      </c>
      <c r="AR568" s="7">
        <v>0</v>
      </c>
      <c r="AS568" s="7">
        <v>0</v>
      </c>
      <c r="BE568" s="7">
        <v>240</v>
      </c>
      <c r="BG568" s="7">
        <v>2</v>
      </c>
      <c r="BL568" s="7">
        <v>0</v>
      </c>
      <c r="BM568" s="7">
        <v>1</v>
      </c>
    </row>
    <row r="569" spans="1:65" s="7" customFormat="1">
      <c r="A569" s="7">
        <v>120002</v>
      </c>
      <c r="B569" s="7" t="s">
        <v>1991</v>
      </c>
      <c r="C569" s="7" t="s">
        <v>689</v>
      </c>
      <c r="D569" s="7" t="s">
        <v>690</v>
      </c>
      <c r="E569" s="7">
        <v>1</v>
      </c>
      <c r="F569" s="7" t="s">
        <v>959</v>
      </c>
      <c r="G569" s="7">
        <v>0</v>
      </c>
      <c r="H569" s="7">
        <v>0</v>
      </c>
      <c r="I569" s="7">
        <v>99999</v>
      </c>
      <c r="J569" s="7">
        <v>0</v>
      </c>
      <c r="K569" s="7">
        <v>0</v>
      </c>
      <c r="L569" s="7" t="s">
        <v>1562</v>
      </c>
      <c r="M569" s="7">
        <v>5</v>
      </c>
      <c r="N569" s="7">
        <v>1</v>
      </c>
      <c r="Q569" s="7">
        <v>0</v>
      </c>
      <c r="S569" s="7">
        <v>100</v>
      </c>
      <c r="T569" s="7">
        <v>0</v>
      </c>
      <c r="V569" s="7">
        <v>1</v>
      </c>
      <c r="W569" s="7">
        <v>1</v>
      </c>
      <c r="X569" s="6"/>
      <c r="Y569" s="7" t="s">
        <v>2280</v>
      </c>
      <c r="Z569" s="7" t="s">
        <v>2676</v>
      </c>
      <c r="AA569" s="7" t="s">
        <v>1998</v>
      </c>
      <c r="AB569" s="7">
        <v>0</v>
      </c>
      <c r="AC569" s="7">
        <v>16</v>
      </c>
      <c r="AD569" s="7">
        <v>0</v>
      </c>
      <c r="AE569" s="7">
        <v>0</v>
      </c>
      <c r="AF569" s="7">
        <v>1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P569" s="7">
        <v>0</v>
      </c>
      <c r="AQ569" s="7">
        <v>1</v>
      </c>
      <c r="AR569" s="7">
        <v>0</v>
      </c>
      <c r="AS569" s="7">
        <v>0</v>
      </c>
      <c r="BE569" s="7">
        <v>240</v>
      </c>
      <c r="BG569" s="7">
        <v>2</v>
      </c>
      <c r="BL569" s="7">
        <v>0</v>
      </c>
      <c r="BM569" s="7">
        <v>1</v>
      </c>
    </row>
    <row r="570" spans="1:65" s="7" customFormat="1">
      <c r="A570" s="7">
        <v>120003</v>
      </c>
      <c r="B570" s="7" t="s">
        <v>1970</v>
      </c>
      <c r="C570" s="7" t="s">
        <v>689</v>
      </c>
      <c r="D570" s="7" t="s">
        <v>690</v>
      </c>
      <c r="E570" s="7">
        <v>1</v>
      </c>
      <c r="F570" s="7" t="s">
        <v>959</v>
      </c>
      <c r="G570" s="7">
        <v>0</v>
      </c>
      <c r="H570" s="7">
        <v>0</v>
      </c>
      <c r="I570" s="7">
        <v>99999</v>
      </c>
      <c r="J570" s="7">
        <v>0</v>
      </c>
      <c r="K570" s="7">
        <v>0</v>
      </c>
      <c r="L570" s="7" t="s">
        <v>1562</v>
      </c>
      <c r="M570" s="7">
        <v>5</v>
      </c>
      <c r="N570" s="7">
        <v>1</v>
      </c>
      <c r="Q570" s="7">
        <v>0</v>
      </c>
      <c r="S570" s="7">
        <v>100</v>
      </c>
      <c r="T570" s="7">
        <v>0</v>
      </c>
      <c r="V570" s="7">
        <v>1</v>
      </c>
      <c r="W570" s="7">
        <v>1</v>
      </c>
      <c r="X570" s="6"/>
      <c r="Y570" s="7" t="s">
        <v>2281</v>
      </c>
      <c r="Z570" s="7" t="s">
        <v>2677</v>
      </c>
      <c r="AA570" s="7" t="s">
        <v>1999</v>
      </c>
      <c r="AB570" s="7">
        <v>0</v>
      </c>
      <c r="AC570" s="7">
        <v>16</v>
      </c>
      <c r="AD570" s="7">
        <v>0</v>
      </c>
      <c r="AE570" s="7">
        <v>0</v>
      </c>
      <c r="AF570" s="7">
        <v>1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P570" s="7">
        <v>0</v>
      </c>
      <c r="AQ570" s="7">
        <v>1</v>
      </c>
      <c r="AR570" s="7">
        <v>0</v>
      </c>
      <c r="AS570" s="7">
        <v>0</v>
      </c>
      <c r="BE570" s="7">
        <v>240</v>
      </c>
      <c r="BG570" s="7">
        <v>2</v>
      </c>
      <c r="BL570" s="7">
        <v>0</v>
      </c>
      <c r="BM570" s="7">
        <v>1</v>
      </c>
    </row>
    <row r="571" spans="1:65" s="7" customFormat="1">
      <c r="A571" s="7">
        <v>120004</v>
      </c>
      <c r="B571" s="7" t="s">
        <v>1971</v>
      </c>
      <c r="C571" s="7" t="s">
        <v>689</v>
      </c>
      <c r="D571" s="7" t="s">
        <v>690</v>
      </c>
      <c r="E571" s="7">
        <v>1</v>
      </c>
      <c r="F571" s="7" t="s">
        <v>959</v>
      </c>
      <c r="G571" s="7">
        <v>0</v>
      </c>
      <c r="H571" s="7">
        <v>0</v>
      </c>
      <c r="I571" s="7">
        <v>99999</v>
      </c>
      <c r="J571" s="7">
        <v>0</v>
      </c>
      <c r="K571" s="7">
        <v>0</v>
      </c>
      <c r="L571" s="7" t="s">
        <v>1562</v>
      </c>
      <c r="M571" s="7">
        <v>5</v>
      </c>
      <c r="N571" s="7">
        <v>1</v>
      </c>
      <c r="Q571" s="7">
        <v>0</v>
      </c>
      <c r="S571" s="7">
        <v>100</v>
      </c>
      <c r="T571" s="7">
        <v>0</v>
      </c>
      <c r="V571" s="7">
        <v>1</v>
      </c>
      <c r="W571" s="7">
        <v>1</v>
      </c>
      <c r="X571" s="6"/>
      <c r="Y571" s="7" t="s">
        <v>2282</v>
      </c>
      <c r="Z571" s="7" t="s">
        <v>2678</v>
      </c>
      <c r="AA571" s="7" t="s">
        <v>1996</v>
      </c>
      <c r="AB571" s="7">
        <v>0</v>
      </c>
      <c r="AC571" s="7">
        <v>16</v>
      </c>
      <c r="AD571" s="7">
        <v>0</v>
      </c>
      <c r="AE571" s="7">
        <v>0</v>
      </c>
      <c r="AF571" s="7">
        <v>1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P571" s="7">
        <v>0</v>
      </c>
      <c r="AQ571" s="7">
        <v>1</v>
      </c>
      <c r="AR571" s="7">
        <v>0</v>
      </c>
      <c r="AS571" s="7">
        <v>0</v>
      </c>
      <c r="BE571" s="7">
        <v>240</v>
      </c>
      <c r="BG571" s="7">
        <v>2</v>
      </c>
      <c r="BL571" s="7">
        <v>0</v>
      </c>
      <c r="BM571" s="7">
        <v>1</v>
      </c>
    </row>
    <row r="572" spans="1:65" s="7" customFormat="1">
      <c r="A572" s="7">
        <v>120101</v>
      </c>
      <c r="B572" s="7" t="s">
        <v>1972</v>
      </c>
      <c r="C572" s="7" t="s">
        <v>689</v>
      </c>
      <c r="D572" s="7" t="s">
        <v>690</v>
      </c>
      <c r="E572" s="7">
        <v>1</v>
      </c>
      <c r="F572" s="7" t="s">
        <v>959</v>
      </c>
      <c r="G572" s="7">
        <v>0</v>
      </c>
      <c r="H572" s="7">
        <v>0</v>
      </c>
      <c r="I572" s="7">
        <v>99999</v>
      </c>
      <c r="J572" s="7">
        <v>0</v>
      </c>
      <c r="K572" s="7">
        <v>0</v>
      </c>
      <c r="L572" s="7" t="s">
        <v>1562</v>
      </c>
      <c r="M572" s="7">
        <v>5</v>
      </c>
      <c r="N572" s="7">
        <v>1</v>
      </c>
      <c r="Q572" s="7">
        <v>0</v>
      </c>
      <c r="S572" s="7">
        <v>100</v>
      </c>
      <c r="T572" s="7">
        <v>0</v>
      </c>
      <c r="V572" s="7">
        <v>1</v>
      </c>
      <c r="W572" s="7">
        <v>1</v>
      </c>
      <c r="X572" s="6"/>
      <c r="Y572" s="7" t="s">
        <v>2279</v>
      </c>
      <c r="Z572" s="7" t="s">
        <v>2679</v>
      </c>
      <c r="AA572" s="7" t="s">
        <v>1997</v>
      </c>
      <c r="AB572" s="7">
        <v>0</v>
      </c>
      <c r="AC572" s="7">
        <v>16</v>
      </c>
      <c r="AD572" s="7">
        <v>0</v>
      </c>
      <c r="AE572" s="7">
        <v>0</v>
      </c>
      <c r="AF572" s="7">
        <v>1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P572" s="7">
        <v>0</v>
      </c>
      <c r="AQ572" s="7">
        <v>1</v>
      </c>
      <c r="AR572" s="7">
        <v>0</v>
      </c>
      <c r="AS572" s="7">
        <v>0</v>
      </c>
      <c r="BE572" s="7">
        <v>240</v>
      </c>
      <c r="BG572" s="7">
        <v>2</v>
      </c>
      <c r="BL572" s="7">
        <v>0</v>
      </c>
      <c r="BM572" s="7">
        <v>1</v>
      </c>
    </row>
    <row r="573" spans="1:65" s="7" customFormat="1">
      <c r="A573" s="7">
        <v>120102</v>
      </c>
      <c r="B573" s="7" t="s">
        <v>1973</v>
      </c>
      <c r="C573" s="7" t="s">
        <v>689</v>
      </c>
      <c r="D573" s="7" t="s">
        <v>690</v>
      </c>
      <c r="E573" s="7">
        <v>1</v>
      </c>
      <c r="F573" s="7" t="s">
        <v>959</v>
      </c>
      <c r="G573" s="7">
        <v>0</v>
      </c>
      <c r="H573" s="7">
        <v>0</v>
      </c>
      <c r="I573" s="7">
        <v>99999</v>
      </c>
      <c r="J573" s="7">
        <v>0</v>
      </c>
      <c r="K573" s="7">
        <v>0</v>
      </c>
      <c r="L573" s="7" t="s">
        <v>1562</v>
      </c>
      <c r="M573" s="7">
        <v>5</v>
      </c>
      <c r="N573" s="7">
        <v>1</v>
      </c>
      <c r="Q573" s="7">
        <v>0</v>
      </c>
      <c r="S573" s="7">
        <v>100</v>
      </c>
      <c r="T573" s="7">
        <v>0</v>
      </c>
      <c r="V573" s="7">
        <v>1</v>
      </c>
      <c r="W573" s="7">
        <v>1</v>
      </c>
      <c r="X573" s="6"/>
      <c r="Y573" s="7" t="s">
        <v>2280</v>
      </c>
      <c r="Z573" s="7" t="s">
        <v>2680</v>
      </c>
      <c r="AA573" s="7" t="s">
        <v>1998</v>
      </c>
      <c r="AB573" s="7">
        <v>0</v>
      </c>
      <c r="AC573" s="7">
        <v>16</v>
      </c>
      <c r="AD573" s="7">
        <v>0</v>
      </c>
      <c r="AE573" s="7">
        <v>0</v>
      </c>
      <c r="AF573" s="7">
        <v>1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P573" s="7">
        <v>0</v>
      </c>
      <c r="AQ573" s="7">
        <v>1</v>
      </c>
      <c r="AR573" s="7">
        <v>0</v>
      </c>
      <c r="AS573" s="7">
        <v>0</v>
      </c>
      <c r="BE573" s="7">
        <v>240</v>
      </c>
      <c r="BG573" s="7">
        <v>2</v>
      </c>
      <c r="BL573" s="7">
        <v>0</v>
      </c>
      <c r="BM573" s="7">
        <v>1</v>
      </c>
    </row>
    <row r="574" spans="1:65" s="7" customFormat="1">
      <c r="A574" s="7">
        <v>120103</v>
      </c>
      <c r="B574" s="7" t="s">
        <v>1974</v>
      </c>
      <c r="C574" s="7" t="s">
        <v>689</v>
      </c>
      <c r="D574" s="7" t="s">
        <v>690</v>
      </c>
      <c r="E574" s="7">
        <v>1</v>
      </c>
      <c r="F574" s="7" t="s">
        <v>959</v>
      </c>
      <c r="G574" s="7">
        <v>0</v>
      </c>
      <c r="H574" s="7">
        <v>0</v>
      </c>
      <c r="I574" s="7">
        <v>99999</v>
      </c>
      <c r="J574" s="7">
        <v>0</v>
      </c>
      <c r="K574" s="7">
        <v>0</v>
      </c>
      <c r="L574" s="7" t="s">
        <v>1562</v>
      </c>
      <c r="M574" s="7">
        <v>5</v>
      </c>
      <c r="N574" s="7">
        <v>1</v>
      </c>
      <c r="Q574" s="7">
        <v>0</v>
      </c>
      <c r="S574" s="7">
        <v>100</v>
      </c>
      <c r="T574" s="7">
        <v>0</v>
      </c>
      <c r="V574" s="7">
        <v>1</v>
      </c>
      <c r="W574" s="7">
        <v>1</v>
      </c>
      <c r="X574" s="6"/>
      <c r="Y574" s="7" t="s">
        <v>2281</v>
      </c>
      <c r="Z574" s="7" t="s">
        <v>2681</v>
      </c>
      <c r="AA574" s="7" t="s">
        <v>1999</v>
      </c>
      <c r="AB574" s="7">
        <v>0</v>
      </c>
      <c r="AC574" s="7">
        <v>16</v>
      </c>
      <c r="AD574" s="7">
        <v>0</v>
      </c>
      <c r="AE574" s="7">
        <v>0</v>
      </c>
      <c r="AF574" s="7">
        <v>1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P574" s="7">
        <v>0</v>
      </c>
      <c r="AQ574" s="7">
        <v>1</v>
      </c>
      <c r="AR574" s="7">
        <v>0</v>
      </c>
      <c r="AS574" s="7">
        <v>0</v>
      </c>
      <c r="BE574" s="7">
        <v>240</v>
      </c>
      <c r="BG574" s="7">
        <v>2</v>
      </c>
      <c r="BL574" s="7">
        <v>0</v>
      </c>
      <c r="BM574" s="7">
        <v>1</v>
      </c>
    </row>
    <row r="575" spans="1:65" s="7" customFormat="1">
      <c r="A575" s="7">
        <v>120104</v>
      </c>
      <c r="B575" s="7" t="s">
        <v>1975</v>
      </c>
      <c r="C575" s="7" t="s">
        <v>689</v>
      </c>
      <c r="D575" s="7" t="s">
        <v>690</v>
      </c>
      <c r="E575" s="7">
        <v>1</v>
      </c>
      <c r="F575" s="7" t="s">
        <v>959</v>
      </c>
      <c r="G575" s="7">
        <v>0</v>
      </c>
      <c r="H575" s="7">
        <v>0</v>
      </c>
      <c r="I575" s="7">
        <v>99999</v>
      </c>
      <c r="J575" s="7">
        <v>0</v>
      </c>
      <c r="K575" s="7">
        <v>0</v>
      </c>
      <c r="L575" s="7" t="s">
        <v>1562</v>
      </c>
      <c r="M575" s="7">
        <v>5</v>
      </c>
      <c r="N575" s="7">
        <v>1</v>
      </c>
      <c r="Q575" s="7">
        <v>0</v>
      </c>
      <c r="S575" s="7">
        <v>100</v>
      </c>
      <c r="T575" s="7">
        <v>0</v>
      </c>
      <c r="V575" s="7">
        <v>1</v>
      </c>
      <c r="W575" s="7">
        <v>1</v>
      </c>
      <c r="X575" s="6"/>
      <c r="Y575" s="7" t="s">
        <v>2282</v>
      </c>
      <c r="Z575" s="7" t="s">
        <v>2682</v>
      </c>
      <c r="AA575" s="7" t="s">
        <v>1996</v>
      </c>
      <c r="AB575" s="7">
        <v>0</v>
      </c>
      <c r="AC575" s="7">
        <v>16</v>
      </c>
      <c r="AD575" s="7">
        <v>0</v>
      </c>
      <c r="AE575" s="7">
        <v>0</v>
      </c>
      <c r="AF575" s="7">
        <v>1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P575" s="7">
        <v>0</v>
      </c>
      <c r="AQ575" s="7">
        <v>1</v>
      </c>
      <c r="AR575" s="7">
        <v>0</v>
      </c>
      <c r="AS575" s="7">
        <v>0</v>
      </c>
      <c r="BE575" s="7">
        <v>240</v>
      </c>
      <c r="BG575" s="7">
        <v>2</v>
      </c>
      <c r="BL575" s="7">
        <v>0</v>
      </c>
      <c r="BM575" s="7">
        <v>1</v>
      </c>
    </row>
    <row r="576" spans="1:65">
      <c r="A576">
        <v>130111</v>
      </c>
      <c r="B576" t="s">
        <v>1849</v>
      </c>
      <c r="C576" t="s">
        <v>740</v>
      </c>
      <c r="D576" t="s">
        <v>741</v>
      </c>
      <c r="E576">
        <v>1</v>
      </c>
      <c r="F576" t="s">
        <v>959</v>
      </c>
      <c r="G576">
        <v>0</v>
      </c>
      <c r="H576">
        <v>0</v>
      </c>
      <c r="I576">
        <v>99999</v>
      </c>
      <c r="J576">
        <v>0</v>
      </c>
      <c r="K576">
        <v>0</v>
      </c>
      <c r="L576" t="s">
        <v>1562</v>
      </c>
      <c r="M576">
        <v>1</v>
      </c>
      <c r="N576" s="7">
        <v>1</v>
      </c>
      <c r="Q576">
        <v>0</v>
      </c>
      <c r="S576">
        <v>2000</v>
      </c>
      <c r="T576">
        <v>3</v>
      </c>
      <c r="V576">
        <v>1</v>
      </c>
      <c r="W576">
        <v>1</v>
      </c>
      <c r="Y576" t="s">
        <v>742</v>
      </c>
      <c r="Z576" t="s">
        <v>2683</v>
      </c>
      <c r="AA576" s="7" t="s">
        <v>701</v>
      </c>
      <c r="AB576">
        <v>0</v>
      </c>
      <c r="AC576">
        <v>1</v>
      </c>
      <c r="AD576">
        <v>0</v>
      </c>
      <c r="AE576">
        <v>0</v>
      </c>
      <c r="AF576">
        <v>1</v>
      </c>
      <c r="AI576">
        <v>24</v>
      </c>
      <c r="AJ576">
        <v>1</v>
      </c>
      <c r="AK576" s="7">
        <v>0</v>
      </c>
      <c r="AL576" s="7">
        <v>0</v>
      </c>
      <c r="AM576" s="7">
        <v>0</v>
      </c>
      <c r="AN576" s="7">
        <v>0</v>
      </c>
      <c r="AP576">
        <v>1</v>
      </c>
      <c r="AQ576" s="7">
        <v>1</v>
      </c>
      <c r="AR576" s="7">
        <v>1</v>
      </c>
      <c r="AS576" s="7">
        <v>0</v>
      </c>
      <c r="AV576" s="7">
        <v>1</v>
      </c>
      <c r="BD576" s="7"/>
      <c r="BE576" s="7">
        <v>240</v>
      </c>
      <c r="BG576" s="7">
        <v>2</v>
      </c>
      <c r="BL576" s="7">
        <v>0</v>
      </c>
    </row>
    <row r="577" spans="1:64" s="15" customFormat="1">
      <c r="A577" s="15">
        <v>130112</v>
      </c>
      <c r="B577" s="15" t="s">
        <v>1850</v>
      </c>
      <c r="C577" s="15" t="s">
        <v>740</v>
      </c>
      <c r="D577" s="15" t="s">
        <v>741</v>
      </c>
      <c r="E577" s="15">
        <v>1</v>
      </c>
      <c r="F577" s="15" t="s">
        <v>959</v>
      </c>
      <c r="G577" s="15">
        <v>0</v>
      </c>
      <c r="H577" s="15">
        <v>0</v>
      </c>
      <c r="I577" s="15">
        <v>99999</v>
      </c>
      <c r="J577" s="15">
        <v>0</v>
      </c>
      <c r="K577" s="15">
        <v>0</v>
      </c>
      <c r="L577" s="15" t="s">
        <v>1562</v>
      </c>
      <c r="M577" s="16">
        <v>1</v>
      </c>
      <c r="N577" s="16">
        <v>1</v>
      </c>
      <c r="Q577" s="15">
        <v>0</v>
      </c>
      <c r="S577" s="15">
        <v>4000</v>
      </c>
      <c r="T577" s="15">
        <v>3</v>
      </c>
      <c r="V577" s="15">
        <v>1</v>
      </c>
      <c r="W577" s="15">
        <v>1</v>
      </c>
      <c r="X577" s="30"/>
      <c r="Y577" s="15" t="s">
        <v>742</v>
      </c>
      <c r="Z577" s="15" t="s">
        <v>2684</v>
      </c>
      <c r="AA577" s="16" t="s">
        <v>701</v>
      </c>
      <c r="AB577" s="15">
        <v>0</v>
      </c>
      <c r="AC577" s="15">
        <v>1</v>
      </c>
      <c r="AD577" s="15">
        <v>0</v>
      </c>
      <c r="AE577" s="15">
        <v>0</v>
      </c>
      <c r="AF577" s="15">
        <v>1</v>
      </c>
      <c r="AI577" s="15">
        <v>24</v>
      </c>
      <c r="AJ577" s="15">
        <v>1</v>
      </c>
      <c r="AK577" s="15">
        <v>0</v>
      </c>
      <c r="AL577" s="15">
        <v>0</v>
      </c>
      <c r="AM577" s="15">
        <v>0</v>
      </c>
      <c r="AN577" s="15">
        <v>0</v>
      </c>
      <c r="AP577" s="15">
        <v>1</v>
      </c>
      <c r="AQ577" s="16">
        <v>1</v>
      </c>
      <c r="AR577" s="16">
        <v>1</v>
      </c>
      <c r="AS577" s="16">
        <v>0</v>
      </c>
      <c r="AV577" s="16">
        <v>1</v>
      </c>
      <c r="BD577" s="16"/>
      <c r="BE577" s="16">
        <v>240</v>
      </c>
      <c r="BG577" s="15">
        <v>2</v>
      </c>
      <c r="BL577" s="7">
        <v>0</v>
      </c>
    </row>
    <row r="578" spans="1:64" s="15" customFormat="1">
      <c r="A578" s="15">
        <v>130113</v>
      </c>
      <c r="B578" s="15" t="s">
        <v>1851</v>
      </c>
      <c r="C578" s="15" t="s">
        <v>740</v>
      </c>
      <c r="D578" s="15" t="s">
        <v>741</v>
      </c>
      <c r="E578" s="15">
        <v>1</v>
      </c>
      <c r="F578" s="15" t="s">
        <v>959</v>
      </c>
      <c r="G578" s="15">
        <v>0</v>
      </c>
      <c r="H578" s="15">
        <v>0</v>
      </c>
      <c r="I578" s="15">
        <v>99999</v>
      </c>
      <c r="J578" s="15">
        <v>0</v>
      </c>
      <c r="K578" s="15">
        <v>0</v>
      </c>
      <c r="L578" s="15" t="s">
        <v>1562</v>
      </c>
      <c r="M578" s="16">
        <v>1</v>
      </c>
      <c r="N578" s="7">
        <v>1</v>
      </c>
      <c r="Q578" s="15">
        <v>0</v>
      </c>
      <c r="S578" s="7">
        <v>10000</v>
      </c>
      <c r="T578" s="15">
        <v>3</v>
      </c>
      <c r="V578" s="15">
        <v>1</v>
      </c>
      <c r="W578" s="15">
        <v>1</v>
      </c>
      <c r="X578" s="30"/>
      <c r="Y578" s="15" t="s">
        <v>742</v>
      </c>
      <c r="Z578" s="15" t="s">
        <v>2685</v>
      </c>
      <c r="AA578" s="16" t="s">
        <v>701</v>
      </c>
      <c r="AB578" s="15">
        <v>0</v>
      </c>
      <c r="AC578" s="15">
        <v>1</v>
      </c>
      <c r="AD578" s="15">
        <v>0</v>
      </c>
      <c r="AE578" s="15">
        <v>0</v>
      </c>
      <c r="AF578" s="15">
        <v>1</v>
      </c>
      <c r="AI578" s="15">
        <v>24</v>
      </c>
      <c r="AJ578" s="15">
        <v>1</v>
      </c>
      <c r="AK578" s="15">
        <v>0</v>
      </c>
      <c r="AL578" s="15">
        <v>0</v>
      </c>
      <c r="AM578" s="15">
        <v>0</v>
      </c>
      <c r="AN578" s="15">
        <v>0</v>
      </c>
      <c r="AP578" s="15">
        <v>1</v>
      </c>
      <c r="AQ578" s="15">
        <v>1</v>
      </c>
      <c r="AR578" s="15">
        <v>1</v>
      </c>
      <c r="AS578" s="15">
        <v>0</v>
      </c>
      <c r="AV578" s="15">
        <v>1</v>
      </c>
      <c r="BD578" s="16"/>
      <c r="BE578" s="7">
        <v>240</v>
      </c>
      <c r="BG578" s="15">
        <v>2</v>
      </c>
      <c r="BL578" s="7">
        <v>0</v>
      </c>
    </row>
    <row r="579" spans="1:64" s="15" customFormat="1">
      <c r="A579" s="15">
        <v>130114</v>
      </c>
      <c r="B579" s="15" t="s">
        <v>1852</v>
      </c>
      <c r="C579" s="15" t="s">
        <v>740</v>
      </c>
      <c r="D579" s="15" t="s">
        <v>741</v>
      </c>
      <c r="E579" s="15">
        <v>1</v>
      </c>
      <c r="F579" s="15" t="s">
        <v>959</v>
      </c>
      <c r="G579" s="15">
        <v>0</v>
      </c>
      <c r="H579" s="15">
        <v>0</v>
      </c>
      <c r="I579" s="15">
        <v>99999</v>
      </c>
      <c r="J579" s="15">
        <v>0</v>
      </c>
      <c r="K579" s="15">
        <v>0</v>
      </c>
      <c r="L579" s="15" t="s">
        <v>1562</v>
      </c>
      <c r="M579" s="16">
        <v>1</v>
      </c>
      <c r="N579" s="7">
        <v>1</v>
      </c>
      <c r="Q579" s="15">
        <v>0</v>
      </c>
      <c r="S579" s="7">
        <v>10000</v>
      </c>
      <c r="T579" s="15">
        <v>3</v>
      </c>
      <c r="V579" s="15">
        <v>1</v>
      </c>
      <c r="W579" s="15">
        <v>1</v>
      </c>
      <c r="X579" s="30"/>
      <c r="Y579" s="15" t="s">
        <v>742</v>
      </c>
      <c r="Z579" s="15" t="s">
        <v>2686</v>
      </c>
      <c r="AA579" s="16" t="s">
        <v>701</v>
      </c>
      <c r="AB579" s="15">
        <v>0</v>
      </c>
      <c r="AC579" s="15">
        <v>1</v>
      </c>
      <c r="AD579" s="15">
        <v>0</v>
      </c>
      <c r="AE579" s="15">
        <v>0</v>
      </c>
      <c r="AF579" s="15">
        <v>1</v>
      </c>
      <c r="AI579" s="15">
        <v>24</v>
      </c>
      <c r="AJ579" s="15">
        <v>1</v>
      </c>
      <c r="AK579" s="15">
        <v>0</v>
      </c>
      <c r="AL579" s="15">
        <v>0</v>
      </c>
      <c r="AM579" s="15">
        <v>0</v>
      </c>
      <c r="AN579" s="15">
        <v>0</v>
      </c>
      <c r="AP579" s="15">
        <v>1</v>
      </c>
      <c r="AQ579" s="15">
        <v>1</v>
      </c>
      <c r="AR579" s="15">
        <v>1</v>
      </c>
      <c r="AS579" s="15">
        <v>0</v>
      </c>
      <c r="AV579" s="15">
        <v>1</v>
      </c>
      <c r="BD579" s="16"/>
      <c r="BE579" s="7">
        <v>240</v>
      </c>
      <c r="BG579" s="15">
        <v>2</v>
      </c>
      <c r="BL579" s="7">
        <v>0</v>
      </c>
    </row>
    <row r="580" spans="1:64" s="15" customFormat="1">
      <c r="A580" s="15">
        <v>130115</v>
      </c>
      <c r="B580" s="15" t="s">
        <v>1853</v>
      </c>
      <c r="C580" s="15" t="s">
        <v>740</v>
      </c>
      <c r="D580" s="15" t="s">
        <v>741</v>
      </c>
      <c r="E580" s="15">
        <v>1</v>
      </c>
      <c r="F580" s="15" t="s">
        <v>959</v>
      </c>
      <c r="G580" s="15">
        <v>0</v>
      </c>
      <c r="H580" s="15">
        <v>0</v>
      </c>
      <c r="I580" s="15">
        <v>99999</v>
      </c>
      <c r="J580" s="15">
        <v>0</v>
      </c>
      <c r="K580" s="15">
        <v>0</v>
      </c>
      <c r="L580" s="15" t="s">
        <v>1562</v>
      </c>
      <c r="M580" s="16">
        <v>1</v>
      </c>
      <c r="N580" s="7">
        <v>1</v>
      </c>
      <c r="Q580" s="15">
        <v>0</v>
      </c>
      <c r="S580" s="7">
        <v>10000</v>
      </c>
      <c r="T580" s="15">
        <v>3</v>
      </c>
      <c r="V580" s="15">
        <v>1</v>
      </c>
      <c r="W580" s="15">
        <v>1</v>
      </c>
      <c r="X580" s="30"/>
      <c r="Y580" s="15" t="s">
        <v>742</v>
      </c>
      <c r="Z580" s="15" t="s">
        <v>2687</v>
      </c>
      <c r="AA580" s="16" t="s">
        <v>701</v>
      </c>
      <c r="AB580" s="15">
        <v>0</v>
      </c>
      <c r="AC580" s="15">
        <v>1</v>
      </c>
      <c r="AD580" s="15">
        <v>0</v>
      </c>
      <c r="AE580" s="15">
        <v>0</v>
      </c>
      <c r="AF580" s="15">
        <v>1</v>
      </c>
      <c r="AI580" s="15">
        <v>24</v>
      </c>
      <c r="AJ580" s="15">
        <v>1</v>
      </c>
      <c r="AK580" s="15">
        <v>0</v>
      </c>
      <c r="AL580" s="15">
        <v>0</v>
      </c>
      <c r="AM580" s="15">
        <v>0</v>
      </c>
      <c r="AN580" s="15">
        <v>0</v>
      </c>
      <c r="AP580" s="15">
        <v>1</v>
      </c>
      <c r="AQ580" s="15">
        <v>1</v>
      </c>
      <c r="AR580" s="15">
        <v>1</v>
      </c>
      <c r="AS580" s="15">
        <v>0</v>
      </c>
      <c r="AV580" s="15">
        <v>1</v>
      </c>
      <c r="BD580" s="16"/>
      <c r="BE580" s="7">
        <v>240</v>
      </c>
      <c r="BG580" s="15">
        <v>2</v>
      </c>
      <c r="BL580" s="7">
        <v>0</v>
      </c>
    </row>
    <row r="581" spans="1:64" s="15" customFormat="1">
      <c r="A581" s="15">
        <v>130116</v>
      </c>
      <c r="B581" s="15" t="s">
        <v>1854</v>
      </c>
      <c r="C581" s="15" t="s">
        <v>740</v>
      </c>
      <c r="D581" s="15" t="s">
        <v>741</v>
      </c>
      <c r="E581" s="15">
        <v>1</v>
      </c>
      <c r="F581" s="15" t="s">
        <v>959</v>
      </c>
      <c r="G581" s="15">
        <v>0</v>
      </c>
      <c r="H581" s="15">
        <v>0</v>
      </c>
      <c r="I581" s="15">
        <v>99999</v>
      </c>
      <c r="J581" s="15">
        <v>0</v>
      </c>
      <c r="K581" s="15">
        <v>0</v>
      </c>
      <c r="L581" s="15" t="s">
        <v>1562</v>
      </c>
      <c r="M581" s="16">
        <v>1</v>
      </c>
      <c r="N581" s="7">
        <v>1</v>
      </c>
      <c r="Q581" s="15">
        <v>0</v>
      </c>
      <c r="S581" s="7">
        <v>10000</v>
      </c>
      <c r="T581" s="15">
        <v>3</v>
      </c>
      <c r="V581" s="15">
        <v>1</v>
      </c>
      <c r="W581" s="15">
        <v>1</v>
      </c>
      <c r="X581" s="30"/>
      <c r="Y581" s="15" t="s">
        <v>742</v>
      </c>
      <c r="Z581" s="15" t="s">
        <v>2688</v>
      </c>
      <c r="AA581" s="16" t="s">
        <v>701</v>
      </c>
      <c r="AB581" s="15">
        <v>0</v>
      </c>
      <c r="AC581" s="15">
        <v>1</v>
      </c>
      <c r="AD581" s="15">
        <v>0</v>
      </c>
      <c r="AE581" s="15">
        <v>0</v>
      </c>
      <c r="AF581" s="15">
        <v>1</v>
      </c>
      <c r="AI581" s="15">
        <v>24</v>
      </c>
      <c r="AJ581" s="15">
        <v>1</v>
      </c>
      <c r="AK581" s="15">
        <v>0</v>
      </c>
      <c r="AL581" s="15">
        <v>0</v>
      </c>
      <c r="AM581" s="15">
        <v>0</v>
      </c>
      <c r="AN581" s="15">
        <v>0</v>
      </c>
      <c r="AP581" s="15">
        <v>1</v>
      </c>
      <c r="AQ581" s="15">
        <v>1</v>
      </c>
      <c r="AR581" s="15">
        <v>1</v>
      </c>
      <c r="AS581" s="15">
        <v>0</v>
      </c>
      <c r="AV581" s="15">
        <v>1</v>
      </c>
      <c r="BD581" s="16"/>
      <c r="BE581" s="7">
        <v>240</v>
      </c>
      <c r="BG581" s="15">
        <v>2</v>
      </c>
      <c r="BL581" s="7">
        <v>0</v>
      </c>
    </row>
    <row r="582" spans="1:64" s="15" customFormat="1">
      <c r="A582" s="15">
        <v>130117</v>
      </c>
      <c r="B582" s="15" t="s">
        <v>1855</v>
      </c>
      <c r="C582" s="15" t="s">
        <v>740</v>
      </c>
      <c r="D582" s="15" t="s">
        <v>741</v>
      </c>
      <c r="E582" s="15">
        <v>1</v>
      </c>
      <c r="F582" s="15" t="s">
        <v>959</v>
      </c>
      <c r="G582" s="15">
        <v>0</v>
      </c>
      <c r="H582" s="15">
        <v>0</v>
      </c>
      <c r="I582" s="15">
        <v>99999</v>
      </c>
      <c r="J582" s="15">
        <v>0</v>
      </c>
      <c r="K582" s="15">
        <v>0</v>
      </c>
      <c r="L582" s="15" t="s">
        <v>1562</v>
      </c>
      <c r="M582" s="16">
        <v>1</v>
      </c>
      <c r="N582" s="7">
        <v>1</v>
      </c>
      <c r="Q582" s="15">
        <v>0</v>
      </c>
      <c r="S582" s="7">
        <v>10000</v>
      </c>
      <c r="T582" s="15">
        <v>3</v>
      </c>
      <c r="V582" s="15">
        <v>1</v>
      </c>
      <c r="W582" s="15">
        <v>1</v>
      </c>
      <c r="X582" s="30"/>
      <c r="Y582" s="15" t="s">
        <v>742</v>
      </c>
      <c r="Z582" s="15" t="s">
        <v>2689</v>
      </c>
      <c r="AA582" s="16" t="s">
        <v>701</v>
      </c>
      <c r="AB582" s="15">
        <v>0</v>
      </c>
      <c r="AC582" s="15">
        <v>1</v>
      </c>
      <c r="AD582" s="15">
        <v>0</v>
      </c>
      <c r="AE582" s="15">
        <v>0</v>
      </c>
      <c r="AF582" s="15">
        <v>1</v>
      </c>
      <c r="AI582" s="15">
        <v>24</v>
      </c>
      <c r="AJ582" s="15">
        <v>1</v>
      </c>
      <c r="AK582" s="15">
        <v>0</v>
      </c>
      <c r="AL582" s="15">
        <v>0</v>
      </c>
      <c r="AM582" s="15">
        <v>0</v>
      </c>
      <c r="AN582" s="15">
        <v>0</v>
      </c>
      <c r="AP582" s="15">
        <v>1</v>
      </c>
      <c r="AQ582" s="15">
        <v>1</v>
      </c>
      <c r="AR582" s="15">
        <v>1</v>
      </c>
      <c r="AS582" s="15">
        <v>0</v>
      </c>
      <c r="AV582" s="15">
        <v>1</v>
      </c>
      <c r="BD582" s="16"/>
      <c r="BE582" s="7">
        <v>240</v>
      </c>
      <c r="BG582" s="15">
        <v>2</v>
      </c>
      <c r="BL582" s="7">
        <v>0</v>
      </c>
    </row>
    <row r="583" spans="1:64" s="15" customFormat="1">
      <c r="A583" s="15">
        <v>130118</v>
      </c>
      <c r="B583" s="15" t="s">
        <v>1856</v>
      </c>
      <c r="C583" s="15" t="s">
        <v>740</v>
      </c>
      <c r="D583" s="15" t="s">
        <v>741</v>
      </c>
      <c r="E583" s="15">
        <v>1</v>
      </c>
      <c r="F583" s="15" t="s">
        <v>959</v>
      </c>
      <c r="G583" s="15">
        <v>0</v>
      </c>
      <c r="H583" s="15">
        <v>0</v>
      </c>
      <c r="I583" s="15">
        <v>99999</v>
      </c>
      <c r="J583" s="15">
        <v>0</v>
      </c>
      <c r="K583" s="15">
        <v>0</v>
      </c>
      <c r="L583" s="15" t="s">
        <v>1562</v>
      </c>
      <c r="M583" s="16">
        <v>1</v>
      </c>
      <c r="N583" s="7">
        <v>1</v>
      </c>
      <c r="Q583" s="15">
        <v>0</v>
      </c>
      <c r="S583" s="7">
        <v>10000</v>
      </c>
      <c r="T583" s="15">
        <v>3</v>
      </c>
      <c r="V583" s="15">
        <v>1</v>
      </c>
      <c r="W583" s="15">
        <v>1</v>
      </c>
      <c r="X583" s="30"/>
      <c r="Y583" s="15" t="s">
        <v>742</v>
      </c>
      <c r="Z583" s="15" t="s">
        <v>2690</v>
      </c>
      <c r="AA583" s="16" t="s">
        <v>701</v>
      </c>
      <c r="AB583" s="15">
        <v>0</v>
      </c>
      <c r="AC583" s="15">
        <v>1</v>
      </c>
      <c r="AD583" s="15">
        <v>0</v>
      </c>
      <c r="AE583" s="15">
        <v>0</v>
      </c>
      <c r="AF583" s="15">
        <v>1</v>
      </c>
      <c r="AI583" s="15">
        <v>24</v>
      </c>
      <c r="AJ583" s="15">
        <v>1</v>
      </c>
      <c r="AK583" s="15">
        <v>0</v>
      </c>
      <c r="AL583" s="15">
        <v>0</v>
      </c>
      <c r="AM583" s="15">
        <v>0</v>
      </c>
      <c r="AN583" s="15">
        <v>0</v>
      </c>
      <c r="AP583" s="15">
        <v>1</v>
      </c>
      <c r="AQ583" s="15">
        <v>1</v>
      </c>
      <c r="AR583" s="15">
        <v>1</v>
      </c>
      <c r="AS583" s="15">
        <v>0</v>
      </c>
      <c r="AV583" s="15">
        <v>1</v>
      </c>
      <c r="BD583" s="16"/>
      <c r="BE583" s="7">
        <v>240</v>
      </c>
      <c r="BG583" s="15">
        <v>2</v>
      </c>
      <c r="BL583" s="7">
        <v>0</v>
      </c>
    </row>
    <row r="584" spans="1:64" s="15" customFormat="1">
      <c r="A584" s="15">
        <v>130119</v>
      </c>
      <c r="B584" s="15" t="s">
        <v>1857</v>
      </c>
      <c r="C584" s="15" t="s">
        <v>740</v>
      </c>
      <c r="D584" s="15" t="s">
        <v>741</v>
      </c>
      <c r="E584" s="15">
        <v>1</v>
      </c>
      <c r="F584" s="15" t="s">
        <v>959</v>
      </c>
      <c r="G584" s="15">
        <v>0</v>
      </c>
      <c r="H584" s="15">
        <v>0</v>
      </c>
      <c r="I584" s="15">
        <v>99999</v>
      </c>
      <c r="J584" s="15">
        <v>0</v>
      </c>
      <c r="K584" s="15">
        <v>0</v>
      </c>
      <c r="L584" s="15" t="s">
        <v>1562</v>
      </c>
      <c r="M584" s="16">
        <v>1</v>
      </c>
      <c r="N584" s="7">
        <v>1</v>
      </c>
      <c r="Q584" s="15">
        <v>0</v>
      </c>
      <c r="S584" s="7">
        <v>10000</v>
      </c>
      <c r="T584" s="15">
        <v>3</v>
      </c>
      <c r="V584" s="15">
        <v>1</v>
      </c>
      <c r="W584" s="15">
        <v>1</v>
      </c>
      <c r="X584" s="30"/>
      <c r="Y584" s="15" t="s">
        <v>742</v>
      </c>
      <c r="Z584" s="15" t="s">
        <v>2691</v>
      </c>
      <c r="AA584" s="16" t="s">
        <v>701</v>
      </c>
      <c r="AB584" s="15">
        <v>0</v>
      </c>
      <c r="AC584" s="15">
        <v>1</v>
      </c>
      <c r="AD584" s="15">
        <v>0</v>
      </c>
      <c r="AE584" s="15">
        <v>0</v>
      </c>
      <c r="AF584" s="15">
        <v>1</v>
      </c>
      <c r="AI584" s="15">
        <v>24</v>
      </c>
      <c r="AJ584" s="15">
        <v>1</v>
      </c>
      <c r="AK584" s="15">
        <v>0</v>
      </c>
      <c r="AL584" s="15">
        <v>0</v>
      </c>
      <c r="AM584" s="15">
        <v>0</v>
      </c>
      <c r="AN584" s="15">
        <v>0</v>
      </c>
      <c r="AP584" s="15">
        <v>1</v>
      </c>
      <c r="AQ584" s="15">
        <v>1</v>
      </c>
      <c r="AR584" s="15">
        <v>1</v>
      </c>
      <c r="AS584" s="15">
        <v>0</v>
      </c>
      <c r="AV584" s="15">
        <v>1</v>
      </c>
      <c r="BD584" s="16"/>
      <c r="BE584" s="7">
        <v>240</v>
      </c>
      <c r="BG584" s="15">
        <v>2</v>
      </c>
      <c r="BL584" s="7">
        <v>0</v>
      </c>
    </row>
    <row r="585" spans="1:64">
      <c r="A585">
        <v>130121</v>
      </c>
      <c r="B585" t="s">
        <v>1858</v>
      </c>
      <c r="C585" t="s">
        <v>740</v>
      </c>
      <c r="D585" t="s">
        <v>741</v>
      </c>
      <c r="E585">
        <v>1</v>
      </c>
      <c r="F585" t="s">
        <v>959</v>
      </c>
      <c r="G585">
        <v>0</v>
      </c>
      <c r="H585">
        <v>0</v>
      </c>
      <c r="I585">
        <v>99999</v>
      </c>
      <c r="J585">
        <v>0</v>
      </c>
      <c r="K585">
        <v>0</v>
      </c>
      <c r="L585" t="s">
        <v>1562</v>
      </c>
      <c r="M585" s="7">
        <v>1</v>
      </c>
      <c r="N585" s="7">
        <v>1</v>
      </c>
      <c r="Q585">
        <v>0</v>
      </c>
      <c r="S585" s="7">
        <v>2000</v>
      </c>
      <c r="T585">
        <v>3</v>
      </c>
      <c r="V585">
        <v>1</v>
      </c>
      <c r="W585">
        <v>1</v>
      </c>
      <c r="Y585" t="s">
        <v>742</v>
      </c>
      <c r="Z585" t="s">
        <v>2692</v>
      </c>
      <c r="AA585" s="7" t="s">
        <v>701</v>
      </c>
      <c r="AB585">
        <v>0</v>
      </c>
      <c r="AC585">
        <v>1</v>
      </c>
      <c r="AD585">
        <v>0</v>
      </c>
      <c r="AE585">
        <v>0</v>
      </c>
      <c r="AF585">
        <v>1</v>
      </c>
      <c r="AI585" s="7">
        <v>24</v>
      </c>
      <c r="AJ585" s="7">
        <v>1</v>
      </c>
      <c r="AK585" s="7">
        <v>0</v>
      </c>
      <c r="AL585" s="7">
        <v>0</v>
      </c>
      <c r="AM585" s="7">
        <v>0</v>
      </c>
      <c r="AN585" s="7">
        <v>0</v>
      </c>
      <c r="AP585">
        <v>1</v>
      </c>
      <c r="AQ585" s="7">
        <v>1</v>
      </c>
      <c r="AR585" s="7">
        <v>1</v>
      </c>
      <c r="AS585" s="7">
        <v>0</v>
      </c>
      <c r="AV585" s="7">
        <v>1</v>
      </c>
      <c r="BD585" s="7"/>
      <c r="BE585" s="7">
        <v>240</v>
      </c>
      <c r="BG585" s="7">
        <v>2</v>
      </c>
      <c r="BL585" s="7">
        <v>0</v>
      </c>
    </row>
    <row r="586" spans="1:64" s="15" customFormat="1">
      <c r="A586" s="15">
        <v>130122</v>
      </c>
      <c r="B586" s="15" t="s">
        <v>1859</v>
      </c>
      <c r="C586" s="15" t="s">
        <v>740</v>
      </c>
      <c r="D586" s="15" t="s">
        <v>741</v>
      </c>
      <c r="E586" s="15">
        <v>1</v>
      </c>
      <c r="F586" s="15" t="s">
        <v>959</v>
      </c>
      <c r="G586" s="15">
        <v>0</v>
      </c>
      <c r="H586" s="15">
        <v>0</v>
      </c>
      <c r="I586" s="15">
        <v>99999</v>
      </c>
      <c r="J586" s="15">
        <v>0</v>
      </c>
      <c r="K586" s="15">
        <v>0</v>
      </c>
      <c r="L586" s="15" t="s">
        <v>1562</v>
      </c>
      <c r="M586" s="16">
        <v>1</v>
      </c>
      <c r="N586" s="16">
        <v>1</v>
      </c>
      <c r="Q586" s="15">
        <v>0</v>
      </c>
      <c r="S586" s="16">
        <v>4000</v>
      </c>
      <c r="T586" s="15">
        <v>3</v>
      </c>
      <c r="V586" s="15">
        <v>1</v>
      </c>
      <c r="W586" s="15">
        <v>1</v>
      </c>
      <c r="X586" s="30"/>
      <c r="Y586" s="15" t="s">
        <v>742</v>
      </c>
      <c r="Z586" s="15" t="s">
        <v>2693</v>
      </c>
      <c r="AA586" s="16" t="s">
        <v>701</v>
      </c>
      <c r="AB586" s="15">
        <v>0</v>
      </c>
      <c r="AC586" s="15">
        <v>1</v>
      </c>
      <c r="AD586" s="15">
        <v>0</v>
      </c>
      <c r="AE586" s="15">
        <v>0</v>
      </c>
      <c r="AF586" s="15">
        <v>1</v>
      </c>
      <c r="AI586" s="16">
        <v>24</v>
      </c>
      <c r="AJ586" s="16">
        <v>1</v>
      </c>
      <c r="AK586" s="16">
        <v>0</v>
      </c>
      <c r="AL586" s="16">
        <v>0</v>
      </c>
      <c r="AM586" s="16">
        <v>0</v>
      </c>
      <c r="AN586" s="16">
        <v>0</v>
      </c>
      <c r="AO586" s="16"/>
      <c r="AP586" s="15">
        <v>1</v>
      </c>
      <c r="AQ586" s="16">
        <v>1</v>
      </c>
      <c r="AR586" s="16">
        <v>1</v>
      </c>
      <c r="AS586" s="16">
        <v>0</v>
      </c>
      <c r="AV586" s="16">
        <v>1</v>
      </c>
      <c r="BD586" s="16"/>
      <c r="BE586" s="16">
        <v>240</v>
      </c>
      <c r="BG586" s="15">
        <v>2</v>
      </c>
      <c r="BL586" s="7">
        <v>0</v>
      </c>
    </row>
    <row r="587" spans="1:64" s="15" customFormat="1">
      <c r="A587" s="15">
        <v>130123</v>
      </c>
      <c r="B587" s="15" t="s">
        <v>1860</v>
      </c>
      <c r="C587" s="15" t="s">
        <v>740</v>
      </c>
      <c r="D587" s="15" t="s">
        <v>741</v>
      </c>
      <c r="E587" s="15">
        <v>1</v>
      </c>
      <c r="F587" s="15" t="s">
        <v>959</v>
      </c>
      <c r="G587" s="15">
        <v>0</v>
      </c>
      <c r="H587" s="15">
        <v>0</v>
      </c>
      <c r="I587" s="15">
        <v>99999</v>
      </c>
      <c r="J587" s="15">
        <v>0</v>
      </c>
      <c r="K587" s="15">
        <v>0</v>
      </c>
      <c r="L587" s="15" t="s">
        <v>1562</v>
      </c>
      <c r="M587" s="16">
        <v>1</v>
      </c>
      <c r="N587" s="7">
        <v>1</v>
      </c>
      <c r="Q587" s="15">
        <v>0</v>
      </c>
      <c r="S587" s="7">
        <v>10000</v>
      </c>
      <c r="T587" s="15">
        <v>3</v>
      </c>
      <c r="V587" s="15">
        <v>1</v>
      </c>
      <c r="W587" s="15">
        <v>1</v>
      </c>
      <c r="X587" s="30"/>
      <c r="Y587" s="15" t="s">
        <v>742</v>
      </c>
      <c r="Z587" s="15" t="s">
        <v>2694</v>
      </c>
      <c r="AA587" s="16" t="s">
        <v>701</v>
      </c>
      <c r="AB587" s="15">
        <v>0</v>
      </c>
      <c r="AC587" s="15">
        <v>1</v>
      </c>
      <c r="AD587" s="15">
        <v>0</v>
      </c>
      <c r="AE587" s="15">
        <v>0</v>
      </c>
      <c r="AF587" s="15">
        <v>1</v>
      </c>
      <c r="AI587" s="15">
        <v>24</v>
      </c>
      <c r="AJ587" s="15">
        <v>1</v>
      </c>
      <c r="AK587" s="15">
        <v>0</v>
      </c>
      <c r="AL587" s="15">
        <v>0</v>
      </c>
      <c r="AM587" s="15">
        <v>0</v>
      </c>
      <c r="AN587" s="15">
        <v>0</v>
      </c>
      <c r="AP587" s="15">
        <v>1</v>
      </c>
      <c r="AQ587" s="15">
        <v>1</v>
      </c>
      <c r="AR587" s="15">
        <v>1</v>
      </c>
      <c r="AS587" s="15">
        <v>0</v>
      </c>
      <c r="AV587" s="15">
        <v>1</v>
      </c>
      <c r="BD587" s="16"/>
      <c r="BE587" s="7">
        <v>240</v>
      </c>
      <c r="BG587" s="15">
        <v>2</v>
      </c>
      <c r="BL587" s="7">
        <v>0</v>
      </c>
    </row>
    <row r="588" spans="1:64" s="15" customFormat="1">
      <c r="A588" s="15">
        <v>130124</v>
      </c>
      <c r="B588" s="15" t="s">
        <v>1861</v>
      </c>
      <c r="C588" s="15" t="s">
        <v>740</v>
      </c>
      <c r="D588" s="15" t="s">
        <v>741</v>
      </c>
      <c r="E588" s="15">
        <v>1</v>
      </c>
      <c r="F588" s="15" t="s">
        <v>959</v>
      </c>
      <c r="G588" s="15">
        <v>0</v>
      </c>
      <c r="H588" s="15">
        <v>0</v>
      </c>
      <c r="I588" s="15">
        <v>99999</v>
      </c>
      <c r="J588" s="15">
        <v>0</v>
      </c>
      <c r="K588" s="15">
        <v>0</v>
      </c>
      <c r="L588" s="15" t="s">
        <v>1562</v>
      </c>
      <c r="M588" s="16">
        <v>1</v>
      </c>
      <c r="N588" s="7">
        <v>1</v>
      </c>
      <c r="Q588" s="15">
        <v>0</v>
      </c>
      <c r="S588" s="7">
        <v>10000</v>
      </c>
      <c r="T588" s="15">
        <v>3</v>
      </c>
      <c r="V588" s="15">
        <v>1</v>
      </c>
      <c r="W588" s="15">
        <v>1</v>
      </c>
      <c r="X588" s="30"/>
      <c r="Y588" s="15" t="s">
        <v>742</v>
      </c>
      <c r="Z588" s="15" t="s">
        <v>2695</v>
      </c>
      <c r="AA588" s="16" t="s">
        <v>701</v>
      </c>
      <c r="AB588" s="15">
        <v>0</v>
      </c>
      <c r="AC588" s="15">
        <v>1</v>
      </c>
      <c r="AD588" s="15">
        <v>0</v>
      </c>
      <c r="AE588" s="15">
        <v>0</v>
      </c>
      <c r="AF588" s="15">
        <v>1</v>
      </c>
      <c r="AI588" s="15">
        <v>24</v>
      </c>
      <c r="AJ588" s="15">
        <v>1</v>
      </c>
      <c r="AK588" s="15">
        <v>0</v>
      </c>
      <c r="AL588" s="15">
        <v>0</v>
      </c>
      <c r="AM588" s="15">
        <v>0</v>
      </c>
      <c r="AN588" s="15">
        <v>0</v>
      </c>
      <c r="AP588" s="15">
        <v>1</v>
      </c>
      <c r="AQ588" s="15">
        <v>1</v>
      </c>
      <c r="AR588" s="15">
        <v>1</v>
      </c>
      <c r="AS588" s="15">
        <v>0</v>
      </c>
      <c r="AV588" s="15">
        <v>1</v>
      </c>
      <c r="BD588" s="16"/>
      <c r="BE588" s="7">
        <v>240</v>
      </c>
      <c r="BG588" s="15">
        <v>2</v>
      </c>
      <c r="BL588" s="7">
        <v>0</v>
      </c>
    </row>
    <row r="589" spans="1:64" s="15" customFormat="1">
      <c r="A589" s="15">
        <v>130125</v>
      </c>
      <c r="B589" s="15" t="s">
        <v>1862</v>
      </c>
      <c r="C589" s="15" t="s">
        <v>740</v>
      </c>
      <c r="D589" s="15" t="s">
        <v>741</v>
      </c>
      <c r="E589" s="15">
        <v>1</v>
      </c>
      <c r="F589" s="15" t="s">
        <v>959</v>
      </c>
      <c r="G589" s="15">
        <v>0</v>
      </c>
      <c r="H589" s="15">
        <v>0</v>
      </c>
      <c r="I589" s="15">
        <v>99999</v>
      </c>
      <c r="J589" s="15">
        <v>0</v>
      </c>
      <c r="K589" s="15">
        <v>0</v>
      </c>
      <c r="L589" s="15" t="s">
        <v>1562</v>
      </c>
      <c r="M589" s="16">
        <v>1</v>
      </c>
      <c r="N589" s="7">
        <v>1</v>
      </c>
      <c r="Q589" s="15">
        <v>0</v>
      </c>
      <c r="S589" s="7">
        <v>10000</v>
      </c>
      <c r="T589" s="15">
        <v>3</v>
      </c>
      <c r="V589" s="15">
        <v>1</v>
      </c>
      <c r="W589" s="15">
        <v>1</v>
      </c>
      <c r="X589" s="30"/>
      <c r="Y589" s="15" t="s">
        <v>742</v>
      </c>
      <c r="Z589" s="15" t="s">
        <v>2696</v>
      </c>
      <c r="AA589" s="16" t="s">
        <v>701</v>
      </c>
      <c r="AB589" s="15">
        <v>0</v>
      </c>
      <c r="AC589" s="15">
        <v>1</v>
      </c>
      <c r="AD589" s="15">
        <v>0</v>
      </c>
      <c r="AE589" s="15">
        <v>0</v>
      </c>
      <c r="AF589" s="15">
        <v>1</v>
      </c>
      <c r="AI589" s="15">
        <v>24</v>
      </c>
      <c r="AJ589" s="15">
        <v>1</v>
      </c>
      <c r="AK589" s="15">
        <v>0</v>
      </c>
      <c r="AL589" s="15">
        <v>0</v>
      </c>
      <c r="AM589" s="15">
        <v>0</v>
      </c>
      <c r="AN589" s="15">
        <v>0</v>
      </c>
      <c r="AP589" s="15">
        <v>1</v>
      </c>
      <c r="AQ589" s="15">
        <v>1</v>
      </c>
      <c r="AR589" s="15">
        <v>1</v>
      </c>
      <c r="AS589" s="15">
        <v>0</v>
      </c>
      <c r="AV589" s="15">
        <v>1</v>
      </c>
      <c r="BD589" s="16"/>
      <c r="BE589" s="7">
        <v>240</v>
      </c>
      <c r="BG589" s="15">
        <v>2</v>
      </c>
      <c r="BL589" s="7">
        <v>0</v>
      </c>
    </row>
    <row r="590" spans="1:64" s="15" customFormat="1">
      <c r="A590" s="15">
        <v>130126</v>
      </c>
      <c r="B590" s="15" t="s">
        <v>1863</v>
      </c>
      <c r="C590" s="15" t="s">
        <v>740</v>
      </c>
      <c r="D590" s="15" t="s">
        <v>741</v>
      </c>
      <c r="E590" s="15">
        <v>1</v>
      </c>
      <c r="F590" s="15" t="s">
        <v>959</v>
      </c>
      <c r="G590" s="15">
        <v>0</v>
      </c>
      <c r="H590" s="15">
        <v>0</v>
      </c>
      <c r="I590" s="15">
        <v>99999</v>
      </c>
      <c r="J590" s="15">
        <v>0</v>
      </c>
      <c r="K590" s="15">
        <v>0</v>
      </c>
      <c r="L590" s="15" t="s">
        <v>1562</v>
      </c>
      <c r="M590" s="16">
        <v>1</v>
      </c>
      <c r="N590" s="7">
        <v>1</v>
      </c>
      <c r="Q590" s="15">
        <v>0</v>
      </c>
      <c r="S590" s="7">
        <v>10000</v>
      </c>
      <c r="T590" s="15">
        <v>3</v>
      </c>
      <c r="V590" s="15">
        <v>1</v>
      </c>
      <c r="W590" s="15">
        <v>1</v>
      </c>
      <c r="X590" s="30"/>
      <c r="Y590" s="15" t="s">
        <v>742</v>
      </c>
      <c r="Z590" s="15" t="s">
        <v>2697</v>
      </c>
      <c r="AA590" s="16" t="s">
        <v>701</v>
      </c>
      <c r="AB590" s="15">
        <v>0</v>
      </c>
      <c r="AC590" s="15">
        <v>1</v>
      </c>
      <c r="AD590" s="15">
        <v>0</v>
      </c>
      <c r="AE590" s="15">
        <v>0</v>
      </c>
      <c r="AF590" s="15">
        <v>1</v>
      </c>
      <c r="AI590" s="15">
        <v>24</v>
      </c>
      <c r="AJ590" s="15">
        <v>1</v>
      </c>
      <c r="AK590" s="15">
        <v>0</v>
      </c>
      <c r="AL590" s="15">
        <v>0</v>
      </c>
      <c r="AM590" s="15">
        <v>0</v>
      </c>
      <c r="AN590" s="15">
        <v>0</v>
      </c>
      <c r="AP590" s="15">
        <v>1</v>
      </c>
      <c r="AQ590" s="15">
        <v>1</v>
      </c>
      <c r="AR590" s="15">
        <v>1</v>
      </c>
      <c r="AS590" s="15">
        <v>0</v>
      </c>
      <c r="AV590" s="15">
        <v>1</v>
      </c>
      <c r="BD590" s="16"/>
      <c r="BE590" s="7">
        <v>240</v>
      </c>
      <c r="BG590" s="15">
        <v>2</v>
      </c>
      <c r="BL590" s="7">
        <v>0</v>
      </c>
    </row>
    <row r="591" spans="1:64" s="15" customFormat="1">
      <c r="A591" s="15">
        <v>130127</v>
      </c>
      <c r="B591" s="15" t="s">
        <v>1864</v>
      </c>
      <c r="C591" s="15" t="s">
        <v>740</v>
      </c>
      <c r="D591" s="15" t="s">
        <v>741</v>
      </c>
      <c r="E591" s="15">
        <v>1</v>
      </c>
      <c r="F591" s="15" t="s">
        <v>959</v>
      </c>
      <c r="G591" s="15">
        <v>0</v>
      </c>
      <c r="H591" s="15">
        <v>0</v>
      </c>
      <c r="I591" s="15">
        <v>99999</v>
      </c>
      <c r="J591" s="15">
        <v>0</v>
      </c>
      <c r="K591" s="15">
        <v>0</v>
      </c>
      <c r="L591" s="15" t="s">
        <v>1562</v>
      </c>
      <c r="M591" s="16">
        <v>1</v>
      </c>
      <c r="N591" s="7">
        <v>1</v>
      </c>
      <c r="Q591" s="15">
        <v>0</v>
      </c>
      <c r="S591" s="7">
        <v>10000</v>
      </c>
      <c r="T591" s="15">
        <v>3</v>
      </c>
      <c r="V591" s="15">
        <v>1</v>
      </c>
      <c r="W591" s="15">
        <v>1</v>
      </c>
      <c r="X591" s="30"/>
      <c r="Y591" s="15" t="s">
        <v>742</v>
      </c>
      <c r="Z591" s="15" t="s">
        <v>2698</v>
      </c>
      <c r="AA591" s="16" t="s">
        <v>701</v>
      </c>
      <c r="AB591" s="15">
        <v>0</v>
      </c>
      <c r="AC591" s="15">
        <v>1</v>
      </c>
      <c r="AD591" s="15">
        <v>0</v>
      </c>
      <c r="AE591" s="15">
        <v>0</v>
      </c>
      <c r="AF591" s="15">
        <v>1</v>
      </c>
      <c r="AI591" s="15">
        <v>24</v>
      </c>
      <c r="AJ591" s="15">
        <v>1</v>
      </c>
      <c r="AK591" s="15">
        <v>0</v>
      </c>
      <c r="AL591" s="15">
        <v>0</v>
      </c>
      <c r="AM591" s="15">
        <v>0</v>
      </c>
      <c r="AN591" s="15">
        <v>0</v>
      </c>
      <c r="AP591" s="15">
        <v>1</v>
      </c>
      <c r="AQ591" s="15">
        <v>1</v>
      </c>
      <c r="AR591" s="15">
        <v>1</v>
      </c>
      <c r="AS591" s="15">
        <v>0</v>
      </c>
      <c r="AV591" s="15">
        <v>1</v>
      </c>
      <c r="BD591" s="16"/>
      <c r="BE591" s="7">
        <v>240</v>
      </c>
      <c r="BG591" s="15">
        <v>2</v>
      </c>
      <c r="BL591" s="7">
        <v>0</v>
      </c>
    </row>
    <row r="592" spans="1:64" s="15" customFormat="1">
      <c r="A592" s="15">
        <v>130128</v>
      </c>
      <c r="B592" s="15" t="s">
        <v>1865</v>
      </c>
      <c r="C592" s="15" t="s">
        <v>740</v>
      </c>
      <c r="D592" s="15" t="s">
        <v>741</v>
      </c>
      <c r="E592" s="15">
        <v>1</v>
      </c>
      <c r="F592" s="15" t="s">
        <v>959</v>
      </c>
      <c r="G592" s="15">
        <v>0</v>
      </c>
      <c r="H592" s="15">
        <v>0</v>
      </c>
      <c r="I592" s="15">
        <v>99999</v>
      </c>
      <c r="J592" s="15">
        <v>0</v>
      </c>
      <c r="K592" s="15">
        <v>0</v>
      </c>
      <c r="L592" s="15" t="s">
        <v>1562</v>
      </c>
      <c r="M592" s="16">
        <v>1</v>
      </c>
      <c r="N592" s="7">
        <v>1</v>
      </c>
      <c r="Q592" s="15">
        <v>0</v>
      </c>
      <c r="S592" s="7">
        <v>10000</v>
      </c>
      <c r="T592" s="15">
        <v>3</v>
      </c>
      <c r="V592" s="15">
        <v>1</v>
      </c>
      <c r="W592" s="15">
        <v>1</v>
      </c>
      <c r="X592" s="30"/>
      <c r="Y592" s="15" t="s">
        <v>742</v>
      </c>
      <c r="Z592" s="15" t="s">
        <v>2699</v>
      </c>
      <c r="AA592" s="16" t="s">
        <v>701</v>
      </c>
      <c r="AB592" s="15">
        <v>0</v>
      </c>
      <c r="AC592" s="15">
        <v>1</v>
      </c>
      <c r="AD592" s="15">
        <v>0</v>
      </c>
      <c r="AE592" s="15">
        <v>0</v>
      </c>
      <c r="AF592" s="15">
        <v>1</v>
      </c>
      <c r="AI592" s="15">
        <v>24</v>
      </c>
      <c r="AJ592" s="15">
        <v>1</v>
      </c>
      <c r="AK592" s="15">
        <v>0</v>
      </c>
      <c r="AL592" s="15">
        <v>0</v>
      </c>
      <c r="AM592" s="15">
        <v>0</v>
      </c>
      <c r="AN592" s="15">
        <v>0</v>
      </c>
      <c r="AP592" s="15">
        <v>1</v>
      </c>
      <c r="AQ592" s="15">
        <v>1</v>
      </c>
      <c r="AR592" s="15">
        <v>1</v>
      </c>
      <c r="AS592" s="15">
        <v>0</v>
      </c>
      <c r="AV592" s="15">
        <v>1</v>
      </c>
      <c r="BD592" s="16"/>
      <c r="BE592" s="7">
        <v>240</v>
      </c>
      <c r="BG592" s="15">
        <v>2</v>
      </c>
      <c r="BL592" s="7">
        <v>0</v>
      </c>
    </row>
    <row r="593" spans="1:64" s="15" customFormat="1">
      <c r="A593" s="15">
        <v>130129</v>
      </c>
      <c r="B593" s="15" t="s">
        <v>1866</v>
      </c>
      <c r="C593" s="15" t="s">
        <v>740</v>
      </c>
      <c r="D593" s="15" t="s">
        <v>741</v>
      </c>
      <c r="E593" s="15">
        <v>1</v>
      </c>
      <c r="F593" s="15" t="s">
        <v>959</v>
      </c>
      <c r="G593" s="15">
        <v>0</v>
      </c>
      <c r="H593" s="15">
        <v>0</v>
      </c>
      <c r="I593" s="15">
        <v>99999</v>
      </c>
      <c r="J593" s="15">
        <v>0</v>
      </c>
      <c r="K593" s="15">
        <v>0</v>
      </c>
      <c r="L593" s="15" t="s">
        <v>1562</v>
      </c>
      <c r="M593" s="16">
        <v>1</v>
      </c>
      <c r="N593" s="7">
        <v>1</v>
      </c>
      <c r="Q593" s="15">
        <v>0</v>
      </c>
      <c r="S593" s="7">
        <v>10000</v>
      </c>
      <c r="T593" s="15">
        <v>3</v>
      </c>
      <c r="V593" s="15">
        <v>1</v>
      </c>
      <c r="W593" s="15">
        <v>1</v>
      </c>
      <c r="X593" s="30"/>
      <c r="Y593" s="15" t="s">
        <v>742</v>
      </c>
      <c r="Z593" s="15" t="s">
        <v>2700</v>
      </c>
      <c r="AA593" s="16" t="s">
        <v>701</v>
      </c>
      <c r="AB593" s="15">
        <v>0</v>
      </c>
      <c r="AC593" s="15">
        <v>1</v>
      </c>
      <c r="AD593" s="15">
        <v>0</v>
      </c>
      <c r="AE593" s="15">
        <v>0</v>
      </c>
      <c r="AF593" s="15">
        <v>1</v>
      </c>
      <c r="AI593" s="15">
        <v>24</v>
      </c>
      <c r="AJ593" s="15">
        <v>1</v>
      </c>
      <c r="AK593" s="15">
        <v>0</v>
      </c>
      <c r="AL593" s="15">
        <v>0</v>
      </c>
      <c r="AM593" s="15">
        <v>0</v>
      </c>
      <c r="AN593" s="15">
        <v>0</v>
      </c>
      <c r="AP593" s="15">
        <v>1</v>
      </c>
      <c r="AQ593" s="15">
        <v>1</v>
      </c>
      <c r="AR593" s="15">
        <v>1</v>
      </c>
      <c r="AS593" s="15">
        <v>0</v>
      </c>
      <c r="AV593" s="15">
        <v>1</v>
      </c>
      <c r="BD593" s="16"/>
      <c r="BE593" s="7">
        <v>240</v>
      </c>
      <c r="BG593" s="15">
        <v>2</v>
      </c>
      <c r="BL593" s="7">
        <v>0</v>
      </c>
    </row>
    <row r="594" spans="1:64">
      <c r="A594">
        <v>130211</v>
      </c>
      <c r="B594" t="s">
        <v>1867</v>
      </c>
      <c r="C594" t="s">
        <v>740</v>
      </c>
      <c r="D594" t="s">
        <v>741</v>
      </c>
      <c r="E594">
        <v>1</v>
      </c>
      <c r="F594" t="s">
        <v>959</v>
      </c>
      <c r="G594">
        <v>0</v>
      </c>
      <c r="H594">
        <v>0</v>
      </c>
      <c r="I594">
        <v>99999</v>
      </c>
      <c r="J594">
        <v>0</v>
      </c>
      <c r="K594">
        <v>0</v>
      </c>
      <c r="L594" t="s">
        <v>1562</v>
      </c>
      <c r="M594" s="7">
        <v>1</v>
      </c>
      <c r="N594" s="7">
        <v>1</v>
      </c>
      <c r="Q594">
        <v>0</v>
      </c>
      <c r="S594" s="7">
        <v>2000</v>
      </c>
      <c r="T594">
        <v>3</v>
      </c>
      <c r="V594">
        <v>1</v>
      </c>
      <c r="W594">
        <v>1</v>
      </c>
      <c r="Y594" t="s">
        <v>742</v>
      </c>
      <c r="Z594" t="s">
        <v>2701</v>
      </c>
      <c r="AA594" s="7" t="s">
        <v>701</v>
      </c>
      <c r="AB594">
        <v>0</v>
      </c>
      <c r="AC594">
        <v>1</v>
      </c>
      <c r="AD594">
        <v>0</v>
      </c>
      <c r="AE594">
        <v>0</v>
      </c>
      <c r="AF594">
        <v>1</v>
      </c>
      <c r="AI594" s="7">
        <v>24</v>
      </c>
      <c r="AJ594" s="7">
        <v>1</v>
      </c>
      <c r="AK594" s="7">
        <v>0</v>
      </c>
      <c r="AL594" s="7">
        <v>0</v>
      </c>
      <c r="AM594" s="7">
        <v>0</v>
      </c>
      <c r="AN594" s="7">
        <v>0</v>
      </c>
      <c r="AP594">
        <v>1</v>
      </c>
      <c r="AQ594" s="7">
        <v>1</v>
      </c>
      <c r="AR594" s="7">
        <v>1</v>
      </c>
      <c r="AS594" s="7">
        <v>0</v>
      </c>
      <c r="AV594" s="7">
        <v>1</v>
      </c>
      <c r="BD594" s="7"/>
      <c r="BE594" s="7">
        <v>240</v>
      </c>
      <c r="BG594" s="7">
        <v>2</v>
      </c>
      <c r="BL594" s="7">
        <v>0</v>
      </c>
    </row>
    <row r="595" spans="1:64" s="15" customFormat="1">
      <c r="A595" s="15">
        <v>130212</v>
      </c>
      <c r="B595" s="15" t="s">
        <v>1868</v>
      </c>
      <c r="C595" s="15" t="s">
        <v>740</v>
      </c>
      <c r="D595" s="15" t="s">
        <v>741</v>
      </c>
      <c r="E595" s="15">
        <v>1</v>
      </c>
      <c r="F595" s="15" t="s">
        <v>959</v>
      </c>
      <c r="G595" s="15">
        <v>0</v>
      </c>
      <c r="H595" s="15">
        <v>0</v>
      </c>
      <c r="I595" s="15">
        <v>99999</v>
      </c>
      <c r="J595" s="15">
        <v>0</v>
      </c>
      <c r="K595" s="15">
        <v>0</v>
      </c>
      <c r="L595" s="15" t="s">
        <v>1562</v>
      </c>
      <c r="M595" s="16">
        <v>1</v>
      </c>
      <c r="N595" s="16">
        <v>1</v>
      </c>
      <c r="Q595" s="15">
        <v>0</v>
      </c>
      <c r="S595" s="16">
        <v>4000</v>
      </c>
      <c r="T595" s="15">
        <v>3</v>
      </c>
      <c r="V595" s="15">
        <v>1</v>
      </c>
      <c r="W595" s="15">
        <v>1</v>
      </c>
      <c r="X595" s="30"/>
      <c r="Y595" s="15" t="s">
        <v>742</v>
      </c>
      <c r="Z595" s="15" t="s">
        <v>2702</v>
      </c>
      <c r="AA595" s="16" t="s">
        <v>701</v>
      </c>
      <c r="AB595" s="15">
        <v>0</v>
      </c>
      <c r="AC595" s="15">
        <v>1</v>
      </c>
      <c r="AD595" s="15">
        <v>0</v>
      </c>
      <c r="AE595" s="15">
        <v>0</v>
      </c>
      <c r="AF595" s="15">
        <v>1</v>
      </c>
      <c r="AI595" s="16">
        <v>24</v>
      </c>
      <c r="AJ595" s="16">
        <v>1</v>
      </c>
      <c r="AK595" s="16">
        <v>0</v>
      </c>
      <c r="AL595" s="16">
        <v>0</v>
      </c>
      <c r="AM595" s="16">
        <v>0</v>
      </c>
      <c r="AN595" s="16">
        <v>0</v>
      </c>
      <c r="AO595" s="16"/>
      <c r="AP595" s="15">
        <v>1</v>
      </c>
      <c r="AQ595" s="16">
        <v>1</v>
      </c>
      <c r="AR595" s="16">
        <v>1</v>
      </c>
      <c r="AS595" s="16">
        <v>0</v>
      </c>
      <c r="AV595" s="16">
        <v>1</v>
      </c>
      <c r="BD595" s="16"/>
      <c r="BE595" s="16">
        <v>240</v>
      </c>
      <c r="BG595" s="15">
        <v>2</v>
      </c>
      <c r="BL595" s="7">
        <v>0</v>
      </c>
    </row>
    <row r="596" spans="1:64" s="15" customFormat="1">
      <c r="A596" s="15">
        <v>130213</v>
      </c>
      <c r="B596" s="15" t="s">
        <v>1869</v>
      </c>
      <c r="C596" s="15" t="s">
        <v>740</v>
      </c>
      <c r="D596" s="15" t="s">
        <v>741</v>
      </c>
      <c r="E596" s="15">
        <v>1</v>
      </c>
      <c r="F596" s="15" t="s">
        <v>959</v>
      </c>
      <c r="G596" s="15">
        <v>0</v>
      </c>
      <c r="H596" s="15">
        <v>0</v>
      </c>
      <c r="I596" s="15">
        <v>99999</v>
      </c>
      <c r="J596" s="15">
        <v>0</v>
      </c>
      <c r="K596" s="15">
        <v>0</v>
      </c>
      <c r="L596" s="15" t="s">
        <v>1562</v>
      </c>
      <c r="M596" s="16">
        <v>1</v>
      </c>
      <c r="N596" s="7">
        <v>1</v>
      </c>
      <c r="Q596" s="15">
        <v>0</v>
      </c>
      <c r="S596" s="7">
        <v>10000</v>
      </c>
      <c r="T596" s="15">
        <v>3</v>
      </c>
      <c r="V596" s="15">
        <v>1</v>
      </c>
      <c r="W596" s="15">
        <v>1</v>
      </c>
      <c r="X596" s="30"/>
      <c r="Y596" s="15" t="s">
        <v>742</v>
      </c>
      <c r="Z596" s="15" t="s">
        <v>2703</v>
      </c>
      <c r="AA596" s="16" t="s">
        <v>701</v>
      </c>
      <c r="AB596" s="15">
        <v>0</v>
      </c>
      <c r="AC596" s="15">
        <v>1</v>
      </c>
      <c r="AD596" s="15">
        <v>0</v>
      </c>
      <c r="AE596" s="15">
        <v>0</v>
      </c>
      <c r="AF596" s="15">
        <v>1</v>
      </c>
      <c r="AI596" s="15">
        <v>24</v>
      </c>
      <c r="AJ596" s="15">
        <v>1</v>
      </c>
      <c r="AK596" s="15">
        <v>0</v>
      </c>
      <c r="AL596" s="15">
        <v>0</v>
      </c>
      <c r="AM596" s="15">
        <v>0</v>
      </c>
      <c r="AN596" s="15">
        <v>0</v>
      </c>
      <c r="AP596" s="15">
        <v>1</v>
      </c>
      <c r="AQ596" s="15">
        <v>1</v>
      </c>
      <c r="AR596" s="15">
        <v>1</v>
      </c>
      <c r="AS596" s="15">
        <v>0</v>
      </c>
      <c r="AV596" s="15">
        <v>1</v>
      </c>
      <c r="BD596" s="16"/>
      <c r="BE596" s="7">
        <v>240</v>
      </c>
      <c r="BG596" s="15">
        <v>2</v>
      </c>
      <c r="BL596" s="7">
        <v>0</v>
      </c>
    </row>
    <row r="597" spans="1:64" s="15" customFormat="1">
      <c r="A597" s="15">
        <v>130214</v>
      </c>
      <c r="B597" s="15" t="s">
        <v>1870</v>
      </c>
      <c r="C597" s="15" t="s">
        <v>740</v>
      </c>
      <c r="D597" s="15" t="s">
        <v>741</v>
      </c>
      <c r="E597" s="15">
        <v>1</v>
      </c>
      <c r="F597" s="15" t="s">
        <v>959</v>
      </c>
      <c r="G597" s="15">
        <v>0</v>
      </c>
      <c r="H597" s="15">
        <v>0</v>
      </c>
      <c r="I597" s="15">
        <v>99999</v>
      </c>
      <c r="J597" s="15">
        <v>0</v>
      </c>
      <c r="K597" s="15">
        <v>0</v>
      </c>
      <c r="L597" s="15" t="s">
        <v>1562</v>
      </c>
      <c r="M597" s="16">
        <v>1</v>
      </c>
      <c r="N597" s="7">
        <v>1</v>
      </c>
      <c r="Q597" s="15">
        <v>0</v>
      </c>
      <c r="S597" s="7">
        <v>10000</v>
      </c>
      <c r="T597" s="15">
        <v>3</v>
      </c>
      <c r="V597" s="15">
        <v>1</v>
      </c>
      <c r="W597" s="15">
        <v>1</v>
      </c>
      <c r="X597" s="30"/>
      <c r="Y597" s="15" t="s">
        <v>742</v>
      </c>
      <c r="Z597" s="15" t="s">
        <v>2704</v>
      </c>
      <c r="AA597" s="16" t="s">
        <v>701</v>
      </c>
      <c r="AB597" s="15">
        <v>0</v>
      </c>
      <c r="AC597" s="15">
        <v>1</v>
      </c>
      <c r="AD597" s="15">
        <v>0</v>
      </c>
      <c r="AE597" s="15">
        <v>0</v>
      </c>
      <c r="AF597" s="15">
        <v>1</v>
      </c>
      <c r="AI597" s="15">
        <v>24</v>
      </c>
      <c r="AJ597" s="15">
        <v>1</v>
      </c>
      <c r="AK597" s="15">
        <v>0</v>
      </c>
      <c r="AL597" s="15">
        <v>0</v>
      </c>
      <c r="AM597" s="15">
        <v>0</v>
      </c>
      <c r="AN597" s="15">
        <v>0</v>
      </c>
      <c r="AP597" s="15">
        <v>1</v>
      </c>
      <c r="AQ597" s="15">
        <v>1</v>
      </c>
      <c r="AR597" s="15">
        <v>1</v>
      </c>
      <c r="AS597" s="15">
        <v>0</v>
      </c>
      <c r="AV597" s="15">
        <v>1</v>
      </c>
      <c r="BD597" s="16"/>
      <c r="BE597" s="7">
        <v>240</v>
      </c>
      <c r="BG597" s="15">
        <v>2</v>
      </c>
      <c r="BL597" s="7">
        <v>0</v>
      </c>
    </row>
    <row r="598" spans="1:64" s="15" customFormat="1">
      <c r="A598" s="15">
        <v>130215</v>
      </c>
      <c r="B598" s="15" t="s">
        <v>1871</v>
      </c>
      <c r="C598" s="15" t="s">
        <v>740</v>
      </c>
      <c r="D598" s="15" t="s">
        <v>741</v>
      </c>
      <c r="E598" s="15">
        <v>1</v>
      </c>
      <c r="F598" s="15" t="s">
        <v>959</v>
      </c>
      <c r="G598" s="15">
        <v>0</v>
      </c>
      <c r="H598" s="15">
        <v>0</v>
      </c>
      <c r="I598" s="15">
        <v>99999</v>
      </c>
      <c r="J598" s="15">
        <v>0</v>
      </c>
      <c r="K598" s="15">
        <v>0</v>
      </c>
      <c r="L598" s="15" t="s">
        <v>1562</v>
      </c>
      <c r="M598" s="16">
        <v>1</v>
      </c>
      <c r="N598" s="7">
        <v>1</v>
      </c>
      <c r="Q598" s="15">
        <v>0</v>
      </c>
      <c r="S598" s="7">
        <v>10000</v>
      </c>
      <c r="T598" s="15">
        <v>3</v>
      </c>
      <c r="V598" s="15">
        <v>1</v>
      </c>
      <c r="W598" s="15">
        <v>1</v>
      </c>
      <c r="X598" s="30"/>
      <c r="Y598" s="15" t="s">
        <v>742</v>
      </c>
      <c r="Z598" s="15" t="s">
        <v>2705</v>
      </c>
      <c r="AA598" s="16" t="s">
        <v>701</v>
      </c>
      <c r="AB598" s="15">
        <v>0</v>
      </c>
      <c r="AC598" s="15">
        <v>1</v>
      </c>
      <c r="AD598" s="15">
        <v>0</v>
      </c>
      <c r="AE598" s="15">
        <v>0</v>
      </c>
      <c r="AF598" s="15">
        <v>1</v>
      </c>
      <c r="AI598" s="15">
        <v>24</v>
      </c>
      <c r="AJ598" s="15">
        <v>1</v>
      </c>
      <c r="AK598" s="15">
        <v>0</v>
      </c>
      <c r="AL598" s="15">
        <v>0</v>
      </c>
      <c r="AM598" s="15">
        <v>0</v>
      </c>
      <c r="AN598" s="15">
        <v>0</v>
      </c>
      <c r="AP598" s="15">
        <v>1</v>
      </c>
      <c r="AQ598" s="15">
        <v>1</v>
      </c>
      <c r="AR598" s="15">
        <v>1</v>
      </c>
      <c r="AS598" s="15">
        <v>0</v>
      </c>
      <c r="AV598" s="15">
        <v>1</v>
      </c>
      <c r="BD598" s="16"/>
      <c r="BE598" s="7">
        <v>240</v>
      </c>
      <c r="BG598" s="15">
        <v>2</v>
      </c>
      <c r="BL598" s="7">
        <v>0</v>
      </c>
    </row>
    <row r="599" spans="1:64" s="15" customFormat="1">
      <c r="A599" s="15">
        <v>130216</v>
      </c>
      <c r="B599" s="15" t="s">
        <v>1872</v>
      </c>
      <c r="C599" s="15" t="s">
        <v>740</v>
      </c>
      <c r="D599" s="15" t="s">
        <v>741</v>
      </c>
      <c r="E599" s="15">
        <v>1</v>
      </c>
      <c r="F599" s="15" t="s">
        <v>959</v>
      </c>
      <c r="G599" s="15">
        <v>0</v>
      </c>
      <c r="H599" s="15">
        <v>0</v>
      </c>
      <c r="I599" s="15">
        <v>99999</v>
      </c>
      <c r="J599" s="15">
        <v>0</v>
      </c>
      <c r="K599" s="15">
        <v>0</v>
      </c>
      <c r="L599" s="15" t="s">
        <v>1562</v>
      </c>
      <c r="M599" s="16">
        <v>1</v>
      </c>
      <c r="N599" s="7">
        <v>1</v>
      </c>
      <c r="Q599" s="15">
        <v>0</v>
      </c>
      <c r="S599" s="7">
        <v>10000</v>
      </c>
      <c r="T599" s="15">
        <v>3</v>
      </c>
      <c r="V599" s="15">
        <v>1</v>
      </c>
      <c r="W599" s="15">
        <v>1</v>
      </c>
      <c r="X599" s="30"/>
      <c r="Y599" s="15" t="s">
        <v>742</v>
      </c>
      <c r="Z599" s="15" t="s">
        <v>2706</v>
      </c>
      <c r="AA599" s="16" t="s">
        <v>701</v>
      </c>
      <c r="AB599" s="15">
        <v>0</v>
      </c>
      <c r="AC599" s="15">
        <v>1</v>
      </c>
      <c r="AD599" s="15">
        <v>0</v>
      </c>
      <c r="AE599" s="15">
        <v>0</v>
      </c>
      <c r="AF599" s="15">
        <v>1</v>
      </c>
      <c r="AI599" s="15">
        <v>24</v>
      </c>
      <c r="AJ599" s="15">
        <v>1</v>
      </c>
      <c r="AK599" s="15">
        <v>0</v>
      </c>
      <c r="AL599" s="15">
        <v>0</v>
      </c>
      <c r="AM599" s="15">
        <v>0</v>
      </c>
      <c r="AN599" s="15">
        <v>0</v>
      </c>
      <c r="AP599" s="15">
        <v>1</v>
      </c>
      <c r="AQ599" s="15">
        <v>1</v>
      </c>
      <c r="AR599" s="15">
        <v>1</v>
      </c>
      <c r="AS599" s="15">
        <v>0</v>
      </c>
      <c r="AV599" s="15">
        <v>1</v>
      </c>
      <c r="BD599" s="16"/>
      <c r="BE599" s="7">
        <v>240</v>
      </c>
      <c r="BG599" s="15">
        <v>2</v>
      </c>
      <c r="BL599" s="7">
        <v>0</v>
      </c>
    </row>
    <row r="600" spans="1:64" s="15" customFormat="1">
      <c r="A600" s="15">
        <v>130217</v>
      </c>
      <c r="B600" s="15" t="s">
        <v>1873</v>
      </c>
      <c r="C600" s="15" t="s">
        <v>740</v>
      </c>
      <c r="D600" s="15" t="s">
        <v>741</v>
      </c>
      <c r="E600" s="15">
        <v>1</v>
      </c>
      <c r="F600" s="15" t="s">
        <v>959</v>
      </c>
      <c r="G600" s="15">
        <v>0</v>
      </c>
      <c r="H600" s="15">
        <v>0</v>
      </c>
      <c r="I600" s="15">
        <v>99999</v>
      </c>
      <c r="J600" s="15">
        <v>0</v>
      </c>
      <c r="K600" s="15">
        <v>0</v>
      </c>
      <c r="L600" s="15" t="s">
        <v>1562</v>
      </c>
      <c r="M600" s="16">
        <v>1</v>
      </c>
      <c r="N600" s="7">
        <v>1</v>
      </c>
      <c r="Q600" s="15">
        <v>0</v>
      </c>
      <c r="S600" s="7">
        <v>10000</v>
      </c>
      <c r="T600" s="15">
        <v>3</v>
      </c>
      <c r="V600" s="15">
        <v>1</v>
      </c>
      <c r="W600" s="15">
        <v>1</v>
      </c>
      <c r="X600" s="30"/>
      <c r="Y600" s="15" t="s">
        <v>742</v>
      </c>
      <c r="Z600" s="15" t="s">
        <v>2707</v>
      </c>
      <c r="AA600" s="16" t="s">
        <v>701</v>
      </c>
      <c r="AB600" s="15">
        <v>0</v>
      </c>
      <c r="AC600" s="15">
        <v>1</v>
      </c>
      <c r="AD600" s="15">
        <v>0</v>
      </c>
      <c r="AE600" s="15">
        <v>0</v>
      </c>
      <c r="AF600" s="15">
        <v>1</v>
      </c>
      <c r="AI600" s="15">
        <v>24</v>
      </c>
      <c r="AJ600" s="15">
        <v>1</v>
      </c>
      <c r="AK600" s="15">
        <v>0</v>
      </c>
      <c r="AL600" s="15">
        <v>0</v>
      </c>
      <c r="AM600" s="15">
        <v>0</v>
      </c>
      <c r="AN600" s="15">
        <v>0</v>
      </c>
      <c r="AP600" s="15">
        <v>1</v>
      </c>
      <c r="AQ600" s="15">
        <v>1</v>
      </c>
      <c r="AR600" s="15">
        <v>1</v>
      </c>
      <c r="AS600" s="15">
        <v>0</v>
      </c>
      <c r="AV600" s="15">
        <v>1</v>
      </c>
      <c r="BD600" s="16"/>
      <c r="BE600" s="7">
        <v>240</v>
      </c>
      <c r="BG600" s="15">
        <v>2</v>
      </c>
      <c r="BL600" s="7">
        <v>0</v>
      </c>
    </row>
    <row r="601" spans="1:64" s="15" customFormat="1">
      <c r="A601" s="15">
        <v>130218</v>
      </c>
      <c r="B601" s="15" t="s">
        <v>1874</v>
      </c>
      <c r="C601" s="15" t="s">
        <v>740</v>
      </c>
      <c r="D601" s="15" t="s">
        <v>741</v>
      </c>
      <c r="E601" s="15">
        <v>1</v>
      </c>
      <c r="F601" s="15" t="s">
        <v>959</v>
      </c>
      <c r="G601" s="15">
        <v>0</v>
      </c>
      <c r="H601" s="15">
        <v>0</v>
      </c>
      <c r="I601" s="15">
        <v>99999</v>
      </c>
      <c r="J601" s="15">
        <v>0</v>
      </c>
      <c r="K601" s="15">
        <v>0</v>
      </c>
      <c r="L601" s="15" t="s">
        <v>1562</v>
      </c>
      <c r="M601" s="16">
        <v>1</v>
      </c>
      <c r="N601" s="7">
        <v>1</v>
      </c>
      <c r="Q601" s="15">
        <v>0</v>
      </c>
      <c r="S601" s="7">
        <v>10000</v>
      </c>
      <c r="T601" s="15">
        <v>3</v>
      </c>
      <c r="V601" s="15">
        <v>1</v>
      </c>
      <c r="W601" s="15">
        <v>1</v>
      </c>
      <c r="X601" s="30"/>
      <c r="Y601" s="15" t="s">
        <v>742</v>
      </c>
      <c r="Z601" s="15" t="s">
        <v>2708</v>
      </c>
      <c r="AA601" s="16" t="s">
        <v>701</v>
      </c>
      <c r="AB601" s="15">
        <v>0</v>
      </c>
      <c r="AC601" s="15">
        <v>1</v>
      </c>
      <c r="AD601" s="15">
        <v>0</v>
      </c>
      <c r="AE601" s="15">
        <v>0</v>
      </c>
      <c r="AF601" s="15">
        <v>1</v>
      </c>
      <c r="AI601" s="15">
        <v>24</v>
      </c>
      <c r="AJ601" s="15">
        <v>1</v>
      </c>
      <c r="AK601" s="15">
        <v>0</v>
      </c>
      <c r="AL601" s="15">
        <v>0</v>
      </c>
      <c r="AM601" s="15">
        <v>0</v>
      </c>
      <c r="AN601" s="15">
        <v>0</v>
      </c>
      <c r="AP601" s="15">
        <v>1</v>
      </c>
      <c r="AQ601" s="15">
        <v>1</v>
      </c>
      <c r="AR601" s="15">
        <v>1</v>
      </c>
      <c r="AS601" s="15">
        <v>0</v>
      </c>
      <c r="AV601" s="15">
        <v>1</v>
      </c>
      <c r="BD601" s="16"/>
      <c r="BE601" s="7">
        <v>240</v>
      </c>
      <c r="BG601" s="15">
        <v>2</v>
      </c>
      <c r="BL601" s="7">
        <v>0</v>
      </c>
    </row>
    <row r="602" spans="1:64" s="15" customFormat="1">
      <c r="A602" s="15">
        <v>130219</v>
      </c>
      <c r="B602" s="15" t="s">
        <v>1875</v>
      </c>
      <c r="C602" s="15" t="s">
        <v>740</v>
      </c>
      <c r="D602" s="15" t="s">
        <v>741</v>
      </c>
      <c r="E602" s="15">
        <v>1</v>
      </c>
      <c r="F602" s="15" t="s">
        <v>959</v>
      </c>
      <c r="G602" s="15">
        <v>0</v>
      </c>
      <c r="H602" s="15">
        <v>0</v>
      </c>
      <c r="I602" s="15">
        <v>99999</v>
      </c>
      <c r="J602" s="15">
        <v>0</v>
      </c>
      <c r="K602" s="15">
        <v>0</v>
      </c>
      <c r="L602" s="15" t="s">
        <v>1562</v>
      </c>
      <c r="M602" s="16">
        <v>1</v>
      </c>
      <c r="N602" s="7">
        <v>1</v>
      </c>
      <c r="Q602" s="15">
        <v>0</v>
      </c>
      <c r="S602" s="7">
        <v>10000</v>
      </c>
      <c r="T602" s="15">
        <v>3</v>
      </c>
      <c r="V602" s="15">
        <v>1</v>
      </c>
      <c r="W602" s="15">
        <v>1</v>
      </c>
      <c r="X602" s="30"/>
      <c r="Y602" s="15" t="s">
        <v>742</v>
      </c>
      <c r="Z602" s="15" t="s">
        <v>2709</v>
      </c>
      <c r="AA602" s="16" t="s">
        <v>701</v>
      </c>
      <c r="AB602" s="15">
        <v>0</v>
      </c>
      <c r="AC602" s="15">
        <v>1</v>
      </c>
      <c r="AD602" s="15">
        <v>0</v>
      </c>
      <c r="AE602" s="15">
        <v>0</v>
      </c>
      <c r="AF602" s="15">
        <v>1</v>
      </c>
      <c r="AI602" s="15">
        <v>24</v>
      </c>
      <c r="AJ602" s="15">
        <v>1</v>
      </c>
      <c r="AK602" s="15">
        <v>0</v>
      </c>
      <c r="AL602" s="15">
        <v>0</v>
      </c>
      <c r="AM602" s="15">
        <v>0</v>
      </c>
      <c r="AN602" s="15">
        <v>0</v>
      </c>
      <c r="AP602" s="15">
        <v>1</v>
      </c>
      <c r="AQ602" s="15">
        <v>1</v>
      </c>
      <c r="AR602" s="15">
        <v>1</v>
      </c>
      <c r="AS602" s="15">
        <v>0</v>
      </c>
      <c r="AV602" s="15">
        <v>1</v>
      </c>
      <c r="BD602" s="16"/>
      <c r="BE602" s="7">
        <v>240</v>
      </c>
      <c r="BG602" s="15">
        <v>2</v>
      </c>
      <c r="BL602" s="7">
        <v>0</v>
      </c>
    </row>
    <row r="603" spans="1:64">
      <c r="A603">
        <v>130221</v>
      </c>
      <c r="B603" t="s">
        <v>1876</v>
      </c>
      <c r="C603" t="s">
        <v>740</v>
      </c>
      <c r="D603" t="s">
        <v>741</v>
      </c>
      <c r="E603">
        <v>1</v>
      </c>
      <c r="F603" t="s">
        <v>959</v>
      </c>
      <c r="G603">
        <v>0</v>
      </c>
      <c r="H603">
        <v>0</v>
      </c>
      <c r="I603">
        <v>99999</v>
      </c>
      <c r="J603">
        <v>0</v>
      </c>
      <c r="K603">
        <v>0</v>
      </c>
      <c r="L603" t="s">
        <v>1562</v>
      </c>
      <c r="M603" s="7">
        <v>1</v>
      </c>
      <c r="N603" s="7">
        <v>1</v>
      </c>
      <c r="Q603">
        <v>0</v>
      </c>
      <c r="S603" s="7">
        <v>2000</v>
      </c>
      <c r="T603">
        <v>3</v>
      </c>
      <c r="V603">
        <v>1</v>
      </c>
      <c r="W603">
        <v>1</v>
      </c>
      <c r="Y603" t="s">
        <v>742</v>
      </c>
      <c r="Z603" t="s">
        <v>2710</v>
      </c>
      <c r="AA603" s="7" t="s">
        <v>701</v>
      </c>
      <c r="AB603">
        <v>0</v>
      </c>
      <c r="AC603">
        <v>1</v>
      </c>
      <c r="AD603">
        <v>0</v>
      </c>
      <c r="AE603">
        <v>0</v>
      </c>
      <c r="AF603">
        <v>1</v>
      </c>
      <c r="AI603" s="7">
        <v>24</v>
      </c>
      <c r="AJ603" s="7">
        <v>1</v>
      </c>
      <c r="AK603" s="7">
        <v>0</v>
      </c>
      <c r="AL603" s="7">
        <v>0</v>
      </c>
      <c r="AM603" s="7">
        <v>0</v>
      </c>
      <c r="AN603" s="7">
        <v>0</v>
      </c>
      <c r="AP603">
        <v>1</v>
      </c>
      <c r="AQ603" s="7">
        <v>1</v>
      </c>
      <c r="AR603" s="7">
        <v>1</v>
      </c>
      <c r="AS603" s="7">
        <v>0</v>
      </c>
      <c r="AV603" s="7">
        <v>1</v>
      </c>
      <c r="BD603" s="7"/>
      <c r="BE603" s="7">
        <v>240</v>
      </c>
      <c r="BG603" s="7">
        <v>2</v>
      </c>
      <c r="BL603" s="7">
        <v>0</v>
      </c>
    </row>
    <row r="604" spans="1:64" s="15" customFormat="1">
      <c r="A604" s="15">
        <v>130222</v>
      </c>
      <c r="B604" s="15" t="s">
        <v>1877</v>
      </c>
      <c r="C604" s="15" t="s">
        <v>740</v>
      </c>
      <c r="D604" s="15" t="s">
        <v>741</v>
      </c>
      <c r="E604" s="15">
        <v>1</v>
      </c>
      <c r="F604" s="15" t="s">
        <v>959</v>
      </c>
      <c r="G604" s="15">
        <v>0</v>
      </c>
      <c r="H604" s="15">
        <v>0</v>
      </c>
      <c r="I604" s="15">
        <v>99999</v>
      </c>
      <c r="J604" s="15">
        <v>0</v>
      </c>
      <c r="K604" s="15">
        <v>0</v>
      </c>
      <c r="L604" s="15" t="s">
        <v>1562</v>
      </c>
      <c r="M604" s="16">
        <v>1</v>
      </c>
      <c r="N604" s="16">
        <v>1</v>
      </c>
      <c r="Q604" s="15">
        <v>0</v>
      </c>
      <c r="S604" s="16">
        <v>4000</v>
      </c>
      <c r="T604" s="15">
        <v>3</v>
      </c>
      <c r="V604" s="15">
        <v>1</v>
      </c>
      <c r="W604" s="15">
        <v>1</v>
      </c>
      <c r="X604" s="30"/>
      <c r="Y604" s="15" t="s">
        <v>742</v>
      </c>
      <c r="Z604" s="15" t="s">
        <v>2711</v>
      </c>
      <c r="AA604" s="16" t="s">
        <v>701</v>
      </c>
      <c r="AB604" s="15">
        <v>0</v>
      </c>
      <c r="AC604" s="15">
        <v>1</v>
      </c>
      <c r="AD604" s="15">
        <v>0</v>
      </c>
      <c r="AE604" s="15">
        <v>0</v>
      </c>
      <c r="AF604" s="15">
        <v>1</v>
      </c>
      <c r="AI604" s="16">
        <v>24</v>
      </c>
      <c r="AJ604" s="16">
        <v>1</v>
      </c>
      <c r="AK604" s="16">
        <v>0</v>
      </c>
      <c r="AL604" s="16">
        <v>0</v>
      </c>
      <c r="AM604" s="16">
        <v>0</v>
      </c>
      <c r="AN604" s="16">
        <v>0</v>
      </c>
      <c r="AO604" s="16"/>
      <c r="AP604" s="15">
        <v>1</v>
      </c>
      <c r="AQ604" s="16">
        <v>1</v>
      </c>
      <c r="AR604" s="16">
        <v>1</v>
      </c>
      <c r="AS604" s="16">
        <v>0</v>
      </c>
      <c r="AV604" s="16">
        <v>1</v>
      </c>
      <c r="BD604" s="16"/>
      <c r="BE604" s="16">
        <v>240</v>
      </c>
      <c r="BG604" s="15">
        <v>2</v>
      </c>
      <c r="BL604" s="7">
        <v>0</v>
      </c>
    </row>
    <row r="605" spans="1:64" s="15" customFormat="1">
      <c r="A605" s="15">
        <v>130223</v>
      </c>
      <c r="B605" s="15" t="s">
        <v>1878</v>
      </c>
      <c r="C605" s="15" t="s">
        <v>740</v>
      </c>
      <c r="D605" s="15" t="s">
        <v>741</v>
      </c>
      <c r="E605" s="15">
        <v>1</v>
      </c>
      <c r="F605" s="15" t="s">
        <v>959</v>
      </c>
      <c r="G605" s="15">
        <v>0</v>
      </c>
      <c r="H605" s="15">
        <v>0</v>
      </c>
      <c r="I605" s="15">
        <v>99999</v>
      </c>
      <c r="J605" s="15">
        <v>0</v>
      </c>
      <c r="K605" s="15">
        <v>0</v>
      </c>
      <c r="L605" s="15" t="s">
        <v>1562</v>
      </c>
      <c r="M605" s="16">
        <v>1</v>
      </c>
      <c r="N605" s="7">
        <v>1</v>
      </c>
      <c r="Q605" s="15">
        <v>0</v>
      </c>
      <c r="S605" s="7">
        <v>10000</v>
      </c>
      <c r="T605" s="15">
        <v>3</v>
      </c>
      <c r="V605" s="15">
        <v>1</v>
      </c>
      <c r="W605" s="15">
        <v>1</v>
      </c>
      <c r="X605" s="30"/>
      <c r="Y605" s="15" t="s">
        <v>742</v>
      </c>
      <c r="Z605" s="15" t="s">
        <v>2712</v>
      </c>
      <c r="AA605" s="16" t="s">
        <v>701</v>
      </c>
      <c r="AB605" s="15">
        <v>0</v>
      </c>
      <c r="AC605" s="15">
        <v>1</v>
      </c>
      <c r="AD605" s="15">
        <v>0</v>
      </c>
      <c r="AE605" s="15">
        <v>0</v>
      </c>
      <c r="AF605" s="15">
        <v>1</v>
      </c>
      <c r="AI605" s="15">
        <v>24</v>
      </c>
      <c r="AJ605" s="15">
        <v>1</v>
      </c>
      <c r="AK605" s="15">
        <v>0</v>
      </c>
      <c r="AL605" s="15">
        <v>0</v>
      </c>
      <c r="AM605" s="15">
        <v>0</v>
      </c>
      <c r="AN605" s="15">
        <v>0</v>
      </c>
      <c r="AP605" s="15">
        <v>1</v>
      </c>
      <c r="AQ605" s="15">
        <v>1</v>
      </c>
      <c r="AR605" s="15">
        <v>1</v>
      </c>
      <c r="AS605" s="15">
        <v>0</v>
      </c>
      <c r="AV605" s="15">
        <v>1</v>
      </c>
      <c r="BD605" s="16"/>
      <c r="BE605" s="7">
        <v>240</v>
      </c>
      <c r="BG605" s="15">
        <v>2</v>
      </c>
      <c r="BL605" s="7">
        <v>0</v>
      </c>
    </row>
    <row r="606" spans="1:64" s="15" customFormat="1">
      <c r="A606" s="15">
        <v>130224</v>
      </c>
      <c r="B606" s="15" t="s">
        <v>1879</v>
      </c>
      <c r="C606" s="15" t="s">
        <v>740</v>
      </c>
      <c r="D606" s="15" t="s">
        <v>741</v>
      </c>
      <c r="E606" s="15">
        <v>1</v>
      </c>
      <c r="F606" s="15" t="s">
        <v>959</v>
      </c>
      <c r="G606" s="15">
        <v>0</v>
      </c>
      <c r="H606" s="15">
        <v>0</v>
      </c>
      <c r="I606" s="15">
        <v>99999</v>
      </c>
      <c r="J606" s="15">
        <v>0</v>
      </c>
      <c r="K606" s="15">
        <v>0</v>
      </c>
      <c r="L606" s="15" t="s">
        <v>1562</v>
      </c>
      <c r="M606" s="16">
        <v>1</v>
      </c>
      <c r="N606" s="7">
        <v>1</v>
      </c>
      <c r="Q606" s="15">
        <v>0</v>
      </c>
      <c r="S606" s="7">
        <v>10000</v>
      </c>
      <c r="T606" s="15">
        <v>3</v>
      </c>
      <c r="V606" s="15">
        <v>1</v>
      </c>
      <c r="W606" s="15">
        <v>1</v>
      </c>
      <c r="X606" s="30"/>
      <c r="Y606" s="15" t="s">
        <v>742</v>
      </c>
      <c r="Z606" s="15" t="s">
        <v>2713</v>
      </c>
      <c r="AA606" s="16" t="s">
        <v>701</v>
      </c>
      <c r="AB606" s="15">
        <v>0</v>
      </c>
      <c r="AC606" s="15">
        <v>1</v>
      </c>
      <c r="AD606" s="15">
        <v>0</v>
      </c>
      <c r="AE606" s="15">
        <v>0</v>
      </c>
      <c r="AF606" s="15">
        <v>1</v>
      </c>
      <c r="AI606" s="15">
        <v>24</v>
      </c>
      <c r="AJ606" s="15">
        <v>1</v>
      </c>
      <c r="AK606" s="15">
        <v>0</v>
      </c>
      <c r="AL606" s="15">
        <v>0</v>
      </c>
      <c r="AM606" s="15">
        <v>0</v>
      </c>
      <c r="AN606" s="15">
        <v>0</v>
      </c>
      <c r="AP606" s="15">
        <v>1</v>
      </c>
      <c r="AQ606" s="15">
        <v>1</v>
      </c>
      <c r="AR606" s="15">
        <v>1</v>
      </c>
      <c r="AS606" s="15">
        <v>0</v>
      </c>
      <c r="AV606" s="15">
        <v>1</v>
      </c>
      <c r="BD606" s="16"/>
      <c r="BE606" s="7">
        <v>240</v>
      </c>
      <c r="BG606" s="15">
        <v>2</v>
      </c>
      <c r="BL606" s="7">
        <v>0</v>
      </c>
    </row>
    <row r="607" spans="1:64" s="15" customFormat="1">
      <c r="A607" s="15">
        <v>130225</v>
      </c>
      <c r="B607" s="15" t="s">
        <v>1880</v>
      </c>
      <c r="C607" s="15" t="s">
        <v>740</v>
      </c>
      <c r="D607" s="15" t="s">
        <v>741</v>
      </c>
      <c r="E607" s="15">
        <v>1</v>
      </c>
      <c r="F607" s="15" t="s">
        <v>959</v>
      </c>
      <c r="G607" s="15">
        <v>0</v>
      </c>
      <c r="H607" s="15">
        <v>0</v>
      </c>
      <c r="I607" s="15">
        <v>99999</v>
      </c>
      <c r="J607" s="15">
        <v>0</v>
      </c>
      <c r="K607" s="15">
        <v>0</v>
      </c>
      <c r="L607" s="15" t="s">
        <v>1562</v>
      </c>
      <c r="M607" s="16">
        <v>1</v>
      </c>
      <c r="N607" s="7">
        <v>1</v>
      </c>
      <c r="Q607" s="15">
        <v>0</v>
      </c>
      <c r="S607" s="7">
        <v>10000</v>
      </c>
      <c r="T607" s="15">
        <v>3</v>
      </c>
      <c r="V607" s="15">
        <v>1</v>
      </c>
      <c r="W607" s="15">
        <v>1</v>
      </c>
      <c r="X607" s="30"/>
      <c r="Y607" s="15" t="s">
        <v>742</v>
      </c>
      <c r="Z607" s="15" t="s">
        <v>2714</v>
      </c>
      <c r="AA607" s="16" t="s">
        <v>701</v>
      </c>
      <c r="AB607" s="15">
        <v>0</v>
      </c>
      <c r="AC607" s="15">
        <v>1</v>
      </c>
      <c r="AD607" s="15">
        <v>0</v>
      </c>
      <c r="AE607" s="15">
        <v>0</v>
      </c>
      <c r="AF607" s="15">
        <v>1</v>
      </c>
      <c r="AI607" s="15">
        <v>24</v>
      </c>
      <c r="AJ607" s="15">
        <v>1</v>
      </c>
      <c r="AK607" s="15">
        <v>0</v>
      </c>
      <c r="AL607" s="15">
        <v>0</v>
      </c>
      <c r="AM607" s="15">
        <v>0</v>
      </c>
      <c r="AN607" s="15">
        <v>0</v>
      </c>
      <c r="AP607" s="15">
        <v>1</v>
      </c>
      <c r="AQ607" s="15">
        <v>1</v>
      </c>
      <c r="AR607" s="15">
        <v>1</v>
      </c>
      <c r="AS607" s="15">
        <v>0</v>
      </c>
      <c r="AV607" s="15">
        <v>1</v>
      </c>
      <c r="BD607" s="16"/>
      <c r="BE607" s="7">
        <v>240</v>
      </c>
      <c r="BG607" s="15">
        <v>2</v>
      </c>
      <c r="BL607" s="7">
        <v>0</v>
      </c>
    </row>
    <row r="608" spans="1:64" s="15" customFormat="1">
      <c r="A608" s="15">
        <v>130226</v>
      </c>
      <c r="B608" s="15" t="s">
        <v>1881</v>
      </c>
      <c r="C608" s="15" t="s">
        <v>740</v>
      </c>
      <c r="D608" s="15" t="s">
        <v>741</v>
      </c>
      <c r="E608" s="15">
        <v>1</v>
      </c>
      <c r="F608" s="15" t="s">
        <v>959</v>
      </c>
      <c r="G608" s="15">
        <v>0</v>
      </c>
      <c r="H608" s="15">
        <v>0</v>
      </c>
      <c r="I608" s="15">
        <v>99999</v>
      </c>
      <c r="J608" s="15">
        <v>0</v>
      </c>
      <c r="K608" s="15">
        <v>0</v>
      </c>
      <c r="L608" s="15" t="s">
        <v>1562</v>
      </c>
      <c r="M608" s="16">
        <v>1</v>
      </c>
      <c r="N608" s="7">
        <v>1</v>
      </c>
      <c r="Q608" s="15">
        <v>0</v>
      </c>
      <c r="S608" s="7">
        <v>10000</v>
      </c>
      <c r="T608" s="15">
        <v>3</v>
      </c>
      <c r="V608" s="15">
        <v>1</v>
      </c>
      <c r="W608" s="15">
        <v>1</v>
      </c>
      <c r="X608" s="30"/>
      <c r="Y608" s="15" t="s">
        <v>742</v>
      </c>
      <c r="Z608" s="15" t="s">
        <v>2715</v>
      </c>
      <c r="AA608" s="16" t="s">
        <v>701</v>
      </c>
      <c r="AB608" s="15">
        <v>0</v>
      </c>
      <c r="AC608" s="15">
        <v>1</v>
      </c>
      <c r="AD608" s="15">
        <v>0</v>
      </c>
      <c r="AE608" s="15">
        <v>0</v>
      </c>
      <c r="AF608" s="15">
        <v>1</v>
      </c>
      <c r="AI608" s="15">
        <v>24</v>
      </c>
      <c r="AJ608" s="15">
        <v>1</v>
      </c>
      <c r="AK608" s="15">
        <v>0</v>
      </c>
      <c r="AL608" s="15">
        <v>0</v>
      </c>
      <c r="AM608" s="15">
        <v>0</v>
      </c>
      <c r="AN608" s="15">
        <v>0</v>
      </c>
      <c r="AP608" s="15">
        <v>1</v>
      </c>
      <c r="AQ608" s="15">
        <v>1</v>
      </c>
      <c r="AR608" s="15">
        <v>1</v>
      </c>
      <c r="AS608" s="15">
        <v>0</v>
      </c>
      <c r="AV608" s="15">
        <v>1</v>
      </c>
      <c r="BD608" s="16"/>
      <c r="BE608" s="7">
        <v>240</v>
      </c>
      <c r="BG608" s="15">
        <v>2</v>
      </c>
      <c r="BL608" s="7">
        <v>0</v>
      </c>
    </row>
    <row r="609" spans="1:64" s="15" customFormat="1">
      <c r="A609" s="15">
        <v>130227</v>
      </c>
      <c r="B609" s="15" t="s">
        <v>1882</v>
      </c>
      <c r="C609" s="15" t="s">
        <v>740</v>
      </c>
      <c r="D609" s="15" t="s">
        <v>741</v>
      </c>
      <c r="E609" s="15">
        <v>1</v>
      </c>
      <c r="F609" s="15" t="s">
        <v>959</v>
      </c>
      <c r="G609" s="15">
        <v>0</v>
      </c>
      <c r="H609" s="15">
        <v>0</v>
      </c>
      <c r="I609" s="15">
        <v>99999</v>
      </c>
      <c r="J609" s="15">
        <v>0</v>
      </c>
      <c r="K609" s="15">
        <v>0</v>
      </c>
      <c r="L609" s="15" t="s">
        <v>1562</v>
      </c>
      <c r="M609" s="16">
        <v>1</v>
      </c>
      <c r="N609" s="7">
        <v>1</v>
      </c>
      <c r="Q609" s="15">
        <v>0</v>
      </c>
      <c r="S609" s="7">
        <v>10000</v>
      </c>
      <c r="T609" s="15">
        <v>3</v>
      </c>
      <c r="V609" s="15">
        <v>1</v>
      </c>
      <c r="W609" s="15">
        <v>1</v>
      </c>
      <c r="X609" s="30"/>
      <c r="Y609" s="15" t="s">
        <v>742</v>
      </c>
      <c r="Z609" s="15" t="s">
        <v>2716</v>
      </c>
      <c r="AA609" s="16" t="s">
        <v>701</v>
      </c>
      <c r="AB609" s="15">
        <v>0</v>
      </c>
      <c r="AC609" s="15">
        <v>1</v>
      </c>
      <c r="AD609" s="15">
        <v>0</v>
      </c>
      <c r="AE609" s="15">
        <v>0</v>
      </c>
      <c r="AF609" s="15">
        <v>1</v>
      </c>
      <c r="AI609" s="15">
        <v>24</v>
      </c>
      <c r="AJ609" s="15">
        <v>1</v>
      </c>
      <c r="AK609" s="15">
        <v>0</v>
      </c>
      <c r="AL609" s="15">
        <v>0</v>
      </c>
      <c r="AM609" s="15">
        <v>0</v>
      </c>
      <c r="AN609" s="15">
        <v>0</v>
      </c>
      <c r="AP609" s="15">
        <v>1</v>
      </c>
      <c r="AQ609" s="15">
        <v>1</v>
      </c>
      <c r="AR609" s="15">
        <v>1</v>
      </c>
      <c r="AS609" s="15">
        <v>0</v>
      </c>
      <c r="AV609" s="15">
        <v>1</v>
      </c>
      <c r="BD609" s="16"/>
      <c r="BE609" s="7">
        <v>240</v>
      </c>
      <c r="BG609" s="15">
        <v>2</v>
      </c>
      <c r="BL609" s="7">
        <v>0</v>
      </c>
    </row>
    <row r="610" spans="1:64" s="15" customFormat="1">
      <c r="A610" s="15">
        <v>130228</v>
      </c>
      <c r="B610" s="15" t="s">
        <v>1883</v>
      </c>
      <c r="C610" s="15" t="s">
        <v>740</v>
      </c>
      <c r="D610" s="15" t="s">
        <v>741</v>
      </c>
      <c r="E610" s="15">
        <v>1</v>
      </c>
      <c r="F610" s="15" t="s">
        <v>959</v>
      </c>
      <c r="G610" s="15">
        <v>0</v>
      </c>
      <c r="H610" s="15">
        <v>0</v>
      </c>
      <c r="I610" s="15">
        <v>99999</v>
      </c>
      <c r="J610" s="15">
        <v>0</v>
      </c>
      <c r="K610" s="15">
        <v>0</v>
      </c>
      <c r="L610" s="15" t="s">
        <v>1562</v>
      </c>
      <c r="M610" s="16">
        <v>1</v>
      </c>
      <c r="N610" s="7">
        <v>1</v>
      </c>
      <c r="Q610" s="15">
        <v>0</v>
      </c>
      <c r="S610" s="7">
        <v>10000</v>
      </c>
      <c r="T610" s="15">
        <v>3</v>
      </c>
      <c r="V610" s="15">
        <v>1</v>
      </c>
      <c r="W610" s="15">
        <v>1</v>
      </c>
      <c r="X610" s="30"/>
      <c r="Y610" s="15" t="s">
        <v>742</v>
      </c>
      <c r="Z610" s="15" t="s">
        <v>2717</v>
      </c>
      <c r="AA610" s="16" t="s">
        <v>701</v>
      </c>
      <c r="AB610" s="15">
        <v>0</v>
      </c>
      <c r="AC610" s="15">
        <v>1</v>
      </c>
      <c r="AD610" s="15">
        <v>0</v>
      </c>
      <c r="AE610" s="15">
        <v>0</v>
      </c>
      <c r="AF610" s="15">
        <v>1</v>
      </c>
      <c r="AI610" s="15">
        <v>24</v>
      </c>
      <c r="AJ610" s="15">
        <v>1</v>
      </c>
      <c r="AK610" s="15">
        <v>0</v>
      </c>
      <c r="AL610" s="15">
        <v>0</v>
      </c>
      <c r="AM610" s="15">
        <v>0</v>
      </c>
      <c r="AN610" s="15">
        <v>0</v>
      </c>
      <c r="AP610" s="15">
        <v>1</v>
      </c>
      <c r="AQ610" s="15">
        <v>1</v>
      </c>
      <c r="AR610" s="15">
        <v>1</v>
      </c>
      <c r="AS610" s="15">
        <v>0</v>
      </c>
      <c r="AV610" s="15">
        <v>1</v>
      </c>
      <c r="BD610" s="16"/>
      <c r="BE610" s="7">
        <v>240</v>
      </c>
      <c r="BG610" s="15">
        <v>2</v>
      </c>
      <c r="BL610" s="7">
        <v>0</v>
      </c>
    </row>
    <row r="611" spans="1:64" s="15" customFormat="1">
      <c r="A611" s="15">
        <v>130229</v>
      </c>
      <c r="B611" s="15" t="s">
        <v>1884</v>
      </c>
      <c r="C611" s="15" t="s">
        <v>740</v>
      </c>
      <c r="D611" s="15" t="s">
        <v>741</v>
      </c>
      <c r="E611" s="15">
        <v>1</v>
      </c>
      <c r="F611" s="15" t="s">
        <v>959</v>
      </c>
      <c r="G611" s="15">
        <v>0</v>
      </c>
      <c r="H611" s="15">
        <v>0</v>
      </c>
      <c r="I611" s="15">
        <v>99999</v>
      </c>
      <c r="J611" s="15">
        <v>0</v>
      </c>
      <c r="K611" s="15">
        <v>0</v>
      </c>
      <c r="L611" s="15" t="s">
        <v>1562</v>
      </c>
      <c r="M611" s="16">
        <v>1</v>
      </c>
      <c r="N611" s="7">
        <v>1</v>
      </c>
      <c r="Q611" s="15">
        <v>0</v>
      </c>
      <c r="S611" s="7">
        <v>10000</v>
      </c>
      <c r="T611" s="15">
        <v>3</v>
      </c>
      <c r="V611" s="15">
        <v>1</v>
      </c>
      <c r="W611" s="15">
        <v>1</v>
      </c>
      <c r="X611" s="30"/>
      <c r="Y611" s="15" t="s">
        <v>742</v>
      </c>
      <c r="Z611" s="15" t="s">
        <v>2718</v>
      </c>
      <c r="AA611" s="16" t="s">
        <v>701</v>
      </c>
      <c r="AB611" s="15">
        <v>0</v>
      </c>
      <c r="AC611" s="15">
        <v>1</v>
      </c>
      <c r="AD611" s="15">
        <v>0</v>
      </c>
      <c r="AE611" s="15">
        <v>0</v>
      </c>
      <c r="AF611" s="15">
        <v>1</v>
      </c>
      <c r="AI611" s="15">
        <v>24</v>
      </c>
      <c r="AJ611" s="15">
        <v>1</v>
      </c>
      <c r="AK611" s="15">
        <v>0</v>
      </c>
      <c r="AL611" s="15">
        <v>0</v>
      </c>
      <c r="AM611" s="15">
        <v>0</v>
      </c>
      <c r="AN611" s="15">
        <v>0</v>
      </c>
      <c r="AP611" s="15">
        <v>1</v>
      </c>
      <c r="AQ611" s="15">
        <v>1</v>
      </c>
      <c r="AR611" s="15">
        <v>1</v>
      </c>
      <c r="AS611" s="15">
        <v>0</v>
      </c>
      <c r="AV611" s="15">
        <v>1</v>
      </c>
      <c r="BD611" s="16"/>
      <c r="BE611" s="7">
        <v>240</v>
      </c>
      <c r="BG611" s="15">
        <v>2</v>
      </c>
      <c r="BL611" s="7">
        <v>0</v>
      </c>
    </row>
    <row r="612" spans="1:64">
      <c r="A612">
        <v>130311</v>
      </c>
      <c r="B612" t="s">
        <v>1885</v>
      </c>
      <c r="C612" t="s">
        <v>740</v>
      </c>
      <c r="D612" t="s">
        <v>741</v>
      </c>
      <c r="E612">
        <v>1</v>
      </c>
      <c r="F612" t="s">
        <v>959</v>
      </c>
      <c r="G612">
        <v>0</v>
      </c>
      <c r="H612">
        <v>0</v>
      </c>
      <c r="I612">
        <v>99999</v>
      </c>
      <c r="J612">
        <v>0</v>
      </c>
      <c r="K612">
        <v>0</v>
      </c>
      <c r="L612" t="s">
        <v>1562</v>
      </c>
      <c r="M612" s="7">
        <v>1</v>
      </c>
      <c r="N612" s="7">
        <v>1</v>
      </c>
      <c r="Q612">
        <v>0</v>
      </c>
      <c r="S612" s="7">
        <v>2000</v>
      </c>
      <c r="T612">
        <v>3</v>
      </c>
      <c r="V612">
        <v>1</v>
      </c>
      <c r="W612">
        <v>1</v>
      </c>
      <c r="Y612" t="s">
        <v>742</v>
      </c>
      <c r="Z612" t="s">
        <v>2719</v>
      </c>
      <c r="AA612" s="7" t="s">
        <v>701</v>
      </c>
      <c r="AB612">
        <v>0</v>
      </c>
      <c r="AC612">
        <v>1</v>
      </c>
      <c r="AD612">
        <v>0</v>
      </c>
      <c r="AE612">
        <v>0</v>
      </c>
      <c r="AF612">
        <v>1</v>
      </c>
      <c r="AI612" s="7">
        <v>24</v>
      </c>
      <c r="AJ612" s="7">
        <v>1</v>
      </c>
      <c r="AK612" s="7">
        <v>0</v>
      </c>
      <c r="AL612" s="7">
        <v>0</v>
      </c>
      <c r="AM612" s="7">
        <v>0</v>
      </c>
      <c r="AN612" s="7">
        <v>0</v>
      </c>
      <c r="AP612">
        <v>1</v>
      </c>
      <c r="AQ612" s="7">
        <v>1</v>
      </c>
      <c r="AR612" s="7">
        <v>1</v>
      </c>
      <c r="AS612" s="7">
        <v>0</v>
      </c>
      <c r="AV612" s="7">
        <v>1</v>
      </c>
      <c r="BD612" s="7"/>
      <c r="BE612" s="7">
        <v>240</v>
      </c>
      <c r="BG612" s="7">
        <v>2</v>
      </c>
      <c r="BL612" s="7">
        <v>0</v>
      </c>
    </row>
    <row r="613" spans="1:64" s="15" customFormat="1">
      <c r="A613" s="15">
        <v>130312</v>
      </c>
      <c r="B613" s="15" t="s">
        <v>1886</v>
      </c>
      <c r="C613" s="15" t="s">
        <v>740</v>
      </c>
      <c r="D613" s="15" t="s">
        <v>741</v>
      </c>
      <c r="E613" s="15">
        <v>1</v>
      </c>
      <c r="F613" s="15" t="s">
        <v>959</v>
      </c>
      <c r="G613" s="15">
        <v>0</v>
      </c>
      <c r="H613" s="15">
        <v>0</v>
      </c>
      <c r="I613" s="15">
        <v>99999</v>
      </c>
      <c r="J613" s="15">
        <v>0</v>
      </c>
      <c r="K613" s="15">
        <v>0</v>
      </c>
      <c r="L613" s="15" t="s">
        <v>1562</v>
      </c>
      <c r="M613" s="16">
        <v>1</v>
      </c>
      <c r="N613" s="16">
        <v>1</v>
      </c>
      <c r="Q613" s="15">
        <v>0</v>
      </c>
      <c r="S613" s="16">
        <v>4000</v>
      </c>
      <c r="T613" s="15">
        <v>3</v>
      </c>
      <c r="V613" s="15">
        <v>1</v>
      </c>
      <c r="W613" s="15">
        <v>1</v>
      </c>
      <c r="X613" s="30"/>
      <c r="Y613" s="15" t="s">
        <v>742</v>
      </c>
      <c r="Z613" s="15" t="s">
        <v>2720</v>
      </c>
      <c r="AA613" s="16" t="s">
        <v>701</v>
      </c>
      <c r="AB613" s="15">
        <v>0</v>
      </c>
      <c r="AC613" s="15">
        <v>1</v>
      </c>
      <c r="AD613" s="15">
        <v>0</v>
      </c>
      <c r="AE613" s="15">
        <v>0</v>
      </c>
      <c r="AF613" s="15">
        <v>1</v>
      </c>
      <c r="AI613" s="16">
        <v>24</v>
      </c>
      <c r="AJ613" s="16">
        <v>1</v>
      </c>
      <c r="AK613" s="16">
        <v>0</v>
      </c>
      <c r="AL613" s="16">
        <v>0</v>
      </c>
      <c r="AM613" s="16">
        <v>0</v>
      </c>
      <c r="AN613" s="16">
        <v>0</v>
      </c>
      <c r="AO613" s="16"/>
      <c r="AP613" s="15">
        <v>1</v>
      </c>
      <c r="AQ613" s="16">
        <v>1</v>
      </c>
      <c r="AR613" s="16">
        <v>1</v>
      </c>
      <c r="AS613" s="16">
        <v>0</v>
      </c>
      <c r="AV613" s="16">
        <v>1</v>
      </c>
      <c r="BD613" s="16"/>
      <c r="BE613" s="16">
        <v>240</v>
      </c>
      <c r="BG613" s="15">
        <v>2</v>
      </c>
      <c r="BL613" s="7">
        <v>0</v>
      </c>
    </row>
    <row r="614" spans="1:64" s="15" customFormat="1">
      <c r="A614" s="15">
        <v>130313</v>
      </c>
      <c r="B614" s="15" t="s">
        <v>1887</v>
      </c>
      <c r="C614" s="15" t="s">
        <v>740</v>
      </c>
      <c r="D614" s="15" t="s">
        <v>741</v>
      </c>
      <c r="E614" s="15">
        <v>1</v>
      </c>
      <c r="F614" s="15" t="s">
        <v>959</v>
      </c>
      <c r="G614" s="15">
        <v>0</v>
      </c>
      <c r="H614" s="15">
        <v>0</v>
      </c>
      <c r="I614" s="15">
        <v>99999</v>
      </c>
      <c r="J614" s="15">
        <v>0</v>
      </c>
      <c r="K614" s="15">
        <v>0</v>
      </c>
      <c r="L614" s="15" t="s">
        <v>1562</v>
      </c>
      <c r="M614" s="16">
        <v>1</v>
      </c>
      <c r="N614" s="7">
        <v>1</v>
      </c>
      <c r="Q614" s="15">
        <v>0</v>
      </c>
      <c r="S614" s="7">
        <v>10000</v>
      </c>
      <c r="T614" s="15">
        <v>3</v>
      </c>
      <c r="V614" s="15">
        <v>1</v>
      </c>
      <c r="W614" s="15">
        <v>1</v>
      </c>
      <c r="X614" s="30"/>
      <c r="Y614" s="15" t="s">
        <v>742</v>
      </c>
      <c r="Z614" s="15" t="s">
        <v>2721</v>
      </c>
      <c r="AA614" s="16" t="s">
        <v>701</v>
      </c>
      <c r="AB614" s="15">
        <v>0</v>
      </c>
      <c r="AC614" s="15">
        <v>1</v>
      </c>
      <c r="AD614" s="15">
        <v>0</v>
      </c>
      <c r="AE614" s="15">
        <v>0</v>
      </c>
      <c r="AF614" s="15">
        <v>1</v>
      </c>
      <c r="AI614" s="15">
        <v>24</v>
      </c>
      <c r="AJ614" s="15">
        <v>1</v>
      </c>
      <c r="AK614" s="15">
        <v>0</v>
      </c>
      <c r="AL614" s="15">
        <v>0</v>
      </c>
      <c r="AM614" s="15">
        <v>0</v>
      </c>
      <c r="AN614" s="15">
        <v>0</v>
      </c>
      <c r="AP614" s="15">
        <v>1</v>
      </c>
      <c r="AQ614" s="15">
        <v>1</v>
      </c>
      <c r="AR614" s="15">
        <v>1</v>
      </c>
      <c r="AS614" s="15">
        <v>0</v>
      </c>
      <c r="AV614" s="15">
        <v>1</v>
      </c>
      <c r="BD614" s="16"/>
      <c r="BE614" s="7">
        <v>240</v>
      </c>
      <c r="BG614" s="15">
        <v>2</v>
      </c>
      <c r="BL614" s="7">
        <v>0</v>
      </c>
    </row>
    <row r="615" spans="1:64" s="15" customFormat="1">
      <c r="A615" s="15">
        <v>130314</v>
      </c>
      <c r="B615" s="15" t="s">
        <v>1888</v>
      </c>
      <c r="C615" s="15" t="s">
        <v>740</v>
      </c>
      <c r="D615" s="15" t="s">
        <v>741</v>
      </c>
      <c r="E615" s="15">
        <v>1</v>
      </c>
      <c r="F615" s="15" t="s">
        <v>959</v>
      </c>
      <c r="G615" s="15">
        <v>0</v>
      </c>
      <c r="H615" s="15">
        <v>0</v>
      </c>
      <c r="I615" s="15">
        <v>99999</v>
      </c>
      <c r="J615" s="15">
        <v>0</v>
      </c>
      <c r="K615" s="15">
        <v>0</v>
      </c>
      <c r="L615" s="15" t="s">
        <v>1562</v>
      </c>
      <c r="M615" s="16">
        <v>1</v>
      </c>
      <c r="N615" s="7">
        <v>1</v>
      </c>
      <c r="Q615" s="15">
        <v>0</v>
      </c>
      <c r="S615" s="7">
        <v>10000</v>
      </c>
      <c r="T615" s="15">
        <v>3</v>
      </c>
      <c r="V615" s="15">
        <v>1</v>
      </c>
      <c r="W615" s="15">
        <v>1</v>
      </c>
      <c r="X615" s="30"/>
      <c r="Y615" s="15" t="s">
        <v>742</v>
      </c>
      <c r="Z615" s="15" t="s">
        <v>2722</v>
      </c>
      <c r="AA615" s="16" t="s">
        <v>701</v>
      </c>
      <c r="AB615" s="15">
        <v>0</v>
      </c>
      <c r="AC615" s="15">
        <v>1</v>
      </c>
      <c r="AD615" s="15">
        <v>0</v>
      </c>
      <c r="AE615" s="15">
        <v>0</v>
      </c>
      <c r="AF615" s="15">
        <v>1</v>
      </c>
      <c r="AI615" s="15">
        <v>24</v>
      </c>
      <c r="AJ615" s="15">
        <v>1</v>
      </c>
      <c r="AK615" s="15">
        <v>0</v>
      </c>
      <c r="AL615" s="15">
        <v>0</v>
      </c>
      <c r="AM615" s="15">
        <v>0</v>
      </c>
      <c r="AN615" s="15">
        <v>0</v>
      </c>
      <c r="AP615" s="15">
        <v>1</v>
      </c>
      <c r="AQ615" s="15">
        <v>1</v>
      </c>
      <c r="AR615" s="15">
        <v>1</v>
      </c>
      <c r="AS615" s="15">
        <v>0</v>
      </c>
      <c r="AV615" s="15">
        <v>1</v>
      </c>
      <c r="BD615" s="16"/>
      <c r="BE615" s="7">
        <v>240</v>
      </c>
      <c r="BG615" s="15">
        <v>2</v>
      </c>
      <c r="BL615" s="7">
        <v>0</v>
      </c>
    </row>
    <row r="616" spans="1:64" s="15" customFormat="1">
      <c r="A616" s="15">
        <v>130315</v>
      </c>
      <c r="B616" s="15" t="s">
        <v>1889</v>
      </c>
      <c r="C616" s="15" t="s">
        <v>740</v>
      </c>
      <c r="D616" s="15" t="s">
        <v>741</v>
      </c>
      <c r="E616" s="15">
        <v>1</v>
      </c>
      <c r="F616" s="15" t="s">
        <v>959</v>
      </c>
      <c r="G616" s="15">
        <v>0</v>
      </c>
      <c r="H616" s="15">
        <v>0</v>
      </c>
      <c r="I616" s="15">
        <v>99999</v>
      </c>
      <c r="J616" s="15">
        <v>0</v>
      </c>
      <c r="K616" s="15">
        <v>0</v>
      </c>
      <c r="L616" s="15" t="s">
        <v>1562</v>
      </c>
      <c r="M616" s="16">
        <v>1</v>
      </c>
      <c r="N616" s="7">
        <v>1</v>
      </c>
      <c r="Q616" s="15">
        <v>0</v>
      </c>
      <c r="S616" s="7">
        <v>10000</v>
      </c>
      <c r="T616" s="15">
        <v>3</v>
      </c>
      <c r="V616" s="15">
        <v>1</v>
      </c>
      <c r="W616" s="15">
        <v>1</v>
      </c>
      <c r="X616" s="30"/>
      <c r="Y616" s="15" t="s">
        <v>742</v>
      </c>
      <c r="Z616" s="15" t="s">
        <v>2723</v>
      </c>
      <c r="AA616" s="16" t="s">
        <v>701</v>
      </c>
      <c r="AB616" s="15">
        <v>0</v>
      </c>
      <c r="AC616" s="15">
        <v>1</v>
      </c>
      <c r="AD616" s="15">
        <v>0</v>
      </c>
      <c r="AE616" s="15">
        <v>0</v>
      </c>
      <c r="AF616" s="15">
        <v>1</v>
      </c>
      <c r="AI616" s="15">
        <v>24</v>
      </c>
      <c r="AJ616" s="15">
        <v>1</v>
      </c>
      <c r="AK616" s="15">
        <v>0</v>
      </c>
      <c r="AL616" s="15">
        <v>0</v>
      </c>
      <c r="AM616" s="15">
        <v>0</v>
      </c>
      <c r="AN616" s="15">
        <v>0</v>
      </c>
      <c r="AP616" s="15">
        <v>1</v>
      </c>
      <c r="AQ616" s="15">
        <v>1</v>
      </c>
      <c r="AR616" s="15">
        <v>1</v>
      </c>
      <c r="AS616" s="15">
        <v>0</v>
      </c>
      <c r="AV616" s="15">
        <v>1</v>
      </c>
      <c r="BD616" s="16"/>
      <c r="BE616" s="7">
        <v>240</v>
      </c>
      <c r="BG616" s="15">
        <v>2</v>
      </c>
      <c r="BL616" s="7">
        <v>0</v>
      </c>
    </row>
    <row r="617" spans="1:64" s="15" customFormat="1">
      <c r="A617" s="15">
        <v>130316</v>
      </c>
      <c r="B617" s="15" t="s">
        <v>1890</v>
      </c>
      <c r="C617" s="15" t="s">
        <v>740</v>
      </c>
      <c r="D617" s="15" t="s">
        <v>741</v>
      </c>
      <c r="E617" s="15">
        <v>1</v>
      </c>
      <c r="F617" s="15" t="s">
        <v>959</v>
      </c>
      <c r="G617" s="15">
        <v>0</v>
      </c>
      <c r="H617" s="15">
        <v>0</v>
      </c>
      <c r="I617" s="15">
        <v>99999</v>
      </c>
      <c r="J617" s="15">
        <v>0</v>
      </c>
      <c r="K617" s="15">
        <v>0</v>
      </c>
      <c r="L617" s="15" t="s">
        <v>1562</v>
      </c>
      <c r="M617" s="16">
        <v>1</v>
      </c>
      <c r="N617" s="7">
        <v>1</v>
      </c>
      <c r="Q617" s="15">
        <v>0</v>
      </c>
      <c r="S617" s="7">
        <v>10000</v>
      </c>
      <c r="T617" s="15">
        <v>3</v>
      </c>
      <c r="V617" s="15">
        <v>1</v>
      </c>
      <c r="W617" s="15">
        <v>1</v>
      </c>
      <c r="X617" s="30"/>
      <c r="Y617" s="15" t="s">
        <v>742</v>
      </c>
      <c r="Z617" s="15" t="s">
        <v>2724</v>
      </c>
      <c r="AA617" s="16" t="s">
        <v>701</v>
      </c>
      <c r="AB617" s="15">
        <v>0</v>
      </c>
      <c r="AC617" s="15">
        <v>1</v>
      </c>
      <c r="AD617" s="15">
        <v>0</v>
      </c>
      <c r="AE617" s="15">
        <v>0</v>
      </c>
      <c r="AF617" s="15">
        <v>1</v>
      </c>
      <c r="AI617" s="15">
        <v>24</v>
      </c>
      <c r="AJ617" s="15">
        <v>1</v>
      </c>
      <c r="AK617" s="15">
        <v>0</v>
      </c>
      <c r="AL617" s="15">
        <v>0</v>
      </c>
      <c r="AM617" s="15">
        <v>0</v>
      </c>
      <c r="AN617" s="15">
        <v>0</v>
      </c>
      <c r="AP617" s="15">
        <v>1</v>
      </c>
      <c r="AQ617" s="15">
        <v>1</v>
      </c>
      <c r="AR617" s="15">
        <v>1</v>
      </c>
      <c r="AS617" s="15">
        <v>0</v>
      </c>
      <c r="AV617" s="15">
        <v>1</v>
      </c>
      <c r="BD617" s="16"/>
      <c r="BE617" s="7">
        <v>240</v>
      </c>
      <c r="BG617" s="15">
        <v>2</v>
      </c>
      <c r="BL617" s="7">
        <v>0</v>
      </c>
    </row>
    <row r="618" spans="1:64" s="15" customFormat="1">
      <c r="A618" s="15">
        <v>130317</v>
      </c>
      <c r="B618" s="15" t="s">
        <v>1891</v>
      </c>
      <c r="C618" s="15" t="s">
        <v>740</v>
      </c>
      <c r="D618" s="15" t="s">
        <v>741</v>
      </c>
      <c r="E618" s="15">
        <v>1</v>
      </c>
      <c r="F618" s="15" t="s">
        <v>959</v>
      </c>
      <c r="G618" s="15">
        <v>0</v>
      </c>
      <c r="H618" s="15">
        <v>0</v>
      </c>
      <c r="I618" s="15">
        <v>99999</v>
      </c>
      <c r="J618" s="15">
        <v>0</v>
      </c>
      <c r="K618" s="15">
        <v>0</v>
      </c>
      <c r="L618" s="15" t="s">
        <v>1562</v>
      </c>
      <c r="M618" s="16">
        <v>1</v>
      </c>
      <c r="N618" s="7">
        <v>1</v>
      </c>
      <c r="Q618" s="15">
        <v>0</v>
      </c>
      <c r="S618" s="7">
        <v>10000</v>
      </c>
      <c r="T618" s="15">
        <v>3</v>
      </c>
      <c r="V618" s="15">
        <v>1</v>
      </c>
      <c r="W618" s="15">
        <v>1</v>
      </c>
      <c r="X618" s="30"/>
      <c r="Y618" s="15" t="s">
        <v>742</v>
      </c>
      <c r="Z618" s="15" t="s">
        <v>2725</v>
      </c>
      <c r="AA618" s="16" t="s">
        <v>701</v>
      </c>
      <c r="AB618" s="15">
        <v>0</v>
      </c>
      <c r="AC618" s="15">
        <v>1</v>
      </c>
      <c r="AD618" s="15">
        <v>0</v>
      </c>
      <c r="AE618" s="15">
        <v>0</v>
      </c>
      <c r="AF618" s="15">
        <v>1</v>
      </c>
      <c r="AI618" s="15">
        <v>24</v>
      </c>
      <c r="AJ618" s="15">
        <v>1</v>
      </c>
      <c r="AK618" s="15">
        <v>0</v>
      </c>
      <c r="AL618" s="15">
        <v>0</v>
      </c>
      <c r="AM618" s="15">
        <v>0</v>
      </c>
      <c r="AN618" s="15">
        <v>0</v>
      </c>
      <c r="AP618" s="15">
        <v>1</v>
      </c>
      <c r="AQ618" s="15">
        <v>1</v>
      </c>
      <c r="AR618" s="15">
        <v>1</v>
      </c>
      <c r="AS618" s="15">
        <v>0</v>
      </c>
      <c r="AV618" s="15">
        <v>1</v>
      </c>
      <c r="BD618" s="16"/>
      <c r="BE618" s="7">
        <v>240</v>
      </c>
      <c r="BG618" s="15">
        <v>2</v>
      </c>
      <c r="BL618" s="7">
        <v>0</v>
      </c>
    </row>
    <row r="619" spans="1:64" s="15" customFormat="1">
      <c r="A619" s="15">
        <v>130318</v>
      </c>
      <c r="B619" s="15" t="s">
        <v>1892</v>
      </c>
      <c r="C619" s="15" t="s">
        <v>740</v>
      </c>
      <c r="D619" s="15" t="s">
        <v>741</v>
      </c>
      <c r="E619" s="15">
        <v>1</v>
      </c>
      <c r="F619" s="15" t="s">
        <v>959</v>
      </c>
      <c r="G619" s="15">
        <v>0</v>
      </c>
      <c r="H619" s="15">
        <v>0</v>
      </c>
      <c r="I619" s="15">
        <v>99999</v>
      </c>
      <c r="J619" s="15">
        <v>0</v>
      </c>
      <c r="K619" s="15">
        <v>0</v>
      </c>
      <c r="L619" s="15" t="s">
        <v>1562</v>
      </c>
      <c r="M619" s="16">
        <v>1</v>
      </c>
      <c r="N619" s="7">
        <v>1</v>
      </c>
      <c r="Q619" s="15">
        <v>0</v>
      </c>
      <c r="S619" s="7">
        <v>10000</v>
      </c>
      <c r="T619" s="15">
        <v>3</v>
      </c>
      <c r="V619" s="15">
        <v>1</v>
      </c>
      <c r="W619" s="15">
        <v>1</v>
      </c>
      <c r="X619" s="30"/>
      <c r="Y619" s="15" t="s">
        <v>742</v>
      </c>
      <c r="Z619" s="15" t="s">
        <v>2726</v>
      </c>
      <c r="AA619" s="16" t="s">
        <v>701</v>
      </c>
      <c r="AB619" s="15">
        <v>0</v>
      </c>
      <c r="AC619" s="15">
        <v>1</v>
      </c>
      <c r="AD619" s="15">
        <v>0</v>
      </c>
      <c r="AE619" s="15">
        <v>0</v>
      </c>
      <c r="AF619" s="15">
        <v>1</v>
      </c>
      <c r="AI619" s="15">
        <v>24</v>
      </c>
      <c r="AJ619" s="15">
        <v>1</v>
      </c>
      <c r="AK619" s="15">
        <v>0</v>
      </c>
      <c r="AL619" s="15">
        <v>0</v>
      </c>
      <c r="AM619" s="15">
        <v>0</v>
      </c>
      <c r="AN619" s="15">
        <v>0</v>
      </c>
      <c r="AP619" s="15">
        <v>1</v>
      </c>
      <c r="AQ619" s="15">
        <v>1</v>
      </c>
      <c r="AR619" s="15">
        <v>1</v>
      </c>
      <c r="AS619" s="15">
        <v>0</v>
      </c>
      <c r="AV619" s="15">
        <v>1</v>
      </c>
      <c r="BD619" s="16"/>
      <c r="BE619" s="7">
        <v>240</v>
      </c>
      <c r="BG619" s="15">
        <v>2</v>
      </c>
      <c r="BL619" s="7">
        <v>0</v>
      </c>
    </row>
    <row r="620" spans="1:64" s="15" customFormat="1">
      <c r="A620" s="15">
        <v>130319</v>
      </c>
      <c r="B620" s="15" t="s">
        <v>1893</v>
      </c>
      <c r="C620" s="15" t="s">
        <v>740</v>
      </c>
      <c r="D620" s="15" t="s">
        <v>741</v>
      </c>
      <c r="E620" s="15">
        <v>1</v>
      </c>
      <c r="F620" s="15" t="s">
        <v>959</v>
      </c>
      <c r="G620" s="15">
        <v>0</v>
      </c>
      <c r="H620" s="15">
        <v>0</v>
      </c>
      <c r="I620" s="15">
        <v>99999</v>
      </c>
      <c r="J620" s="15">
        <v>0</v>
      </c>
      <c r="K620" s="15">
        <v>0</v>
      </c>
      <c r="L620" s="15" t="s">
        <v>1562</v>
      </c>
      <c r="M620" s="16">
        <v>1</v>
      </c>
      <c r="N620" s="7">
        <v>1</v>
      </c>
      <c r="Q620" s="15">
        <v>0</v>
      </c>
      <c r="S620" s="7">
        <v>10000</v>
      </c>
      <c r="T620" s="15">
        <v>3</v>
      </c>
      <c r="V620" s="15">
        <v>1</v>
      </c>
      <c r="W620" s="15">
        <v>1</v>
      </c>
      <c r="X620" s="30"/>
      <c r="Y620" s="15" t="s">
        <v>742</v>
      </c>
      <c r="Z620" s="15" t="s">
        <v>2727</v>
      </c>
      <c r="AA620" s="16" t="s">
        <v>701</v>
      </c>
      <c r="AB620" s="15">
        <v>0</v>
      </c>
      <c r="AC620" s="15">
        <v>1</v>
      </c>
      <c r="AD620" s="15">
        <v>0</v>
      </c>
      <c r="AE620" s="15">
        <v>0</v>
      </c>
      <c r="AF620" s="15">
        <v>1</v>
      </c>
      <c r="AI620" s="15">
        <v>24</v>
      </c>
      <c r="AJ620" s="15">
        <v>1</v>
      </c>
      <c r="AK620" s="15">
        <v>0</v>
      </c>
      <c r="AL620" s="15">
        <v>0</v>
      </c>
      <c r="AM620" s="15">
        <v>0</v>
      </c>
      <c r="AN620" s="15">
        <v>0</v>
      </c>
      <c r="AP620" s="15">
        <v>1</v>
      </c>
      <c r="AQ620" s="15">
        <v>1</v>
      </c>
      <c r="AR620" s="15">
        <v>1</v>
      </c>
      <c r="AS620" s="15">
        <v>0</v>
      </c>
      <c r="AV620" s="15">
        <v>1</v>
      </c>
      <c r="BD620" s="16"/>
      <c r="BE620" s="7">
        <v>240</v>
      </c>
      <c r="BG620" s="15">
        <v>2</v>
      </c>
      <c r="BL620" s="7">
        <v>0</v>
      </c>
    </row>
    <row r="621" spans="1:64">
      <c r="A621">
        <v>130321</v>
      </c>
      <c r="B621" t="s">
        <v>1894</v>
      </c>
      <c r="C621" t="s">
        <v>740</v>
      </c>
      <c r="D621" t="s">
        <v>741</v>
      </c>
      <c r="E621">
        <v>1</v>
      </c>
      <c r="F621" t="s">
        <v>959</v>
      </c>
      <c r="G621">
        <v>0</v>
      </c>
      <c r="H621">
        <v>0</v>
      </c>
      <c r="I621">
        <v>99999</v>
      </c>
      <c r="J621">
        <v>0</v>
      </c>
      <c r="K621">
        <v>0</v>
      </c>
      <c r="L621" t="s">
        <v>1562</v>
      </c>
      <c r="M621" s="7">
        <v>1</v>
      </c>
      <c r="N621" s="7">
        <v>1</v>
      </c>
      <c r="Q621">
        <v>0</v>
      </c>
      <c r="S621" s="7">
        <v>2000</v>
      </c>
      <c r="T621">
        <v>3</v>
      </c>
      <c r="V621">
        <v>1</v>
      </c>
      <c r="W621">
        <v>1</v>
      </c>
      <c r="Y621" t="s">
        <v>742</v>
      </c>
      <c r="Z621" t="s">
        <v>2728</v>
      </c>
      <c r="AA621" s="7" t="s">
        <v>701</v>
      </c>
      <c r="AB621">
        <v>0</v>
      </c>
      <c r="AC621">
        <v>1</v>
      </c>
      <c r="AD621">
        <v>0</v>
      </c>
      <c r="AE621">
        <v>0</v>
      </c>
      <c r="AF621">
        <v>1</v>
      </c>
      <c r="AI621" s="7">
        <v>24</v>
      </c>
      <c r="AJ621" s="7">
        <v>1</v>
      </c>
      <c r="AK621" s="7">
        <v>0</v>
      </c>
      <c r="AL621" s="7">
        <v>0</v>
      </c>
      <c r="AM621" s="7">
        <v>0</v>
      </c>
      <c r="AN621" s="7">
        <v>0</v>
      </c>
      <c r="AP621">
        <v>1</v>
      </c>
      <c r="AQ621" s="7">
        <v>1</v>
      </c>
      <c r="AR621" s="7">
        <v>1</v>
      </c>
      <c r="AS621" s="7">
        <v>0</v>
      </c>
      <c r="AV621" s="7">
        <v>1</v>
      </c>
      <c r="BD621" s="7"/>
      <c r="BE621" s="7">
        <v>240</v>
      </c>
      <c r="BG621" s="7">
        <v>2</v>
      </c>
      <c r="BL621" s="7">
        <v>0</v>
      </c>
    </row>
    <row r="622" spans="1:64" s="15" customFormat="1">
      <c r="A622" s="15">
        <v>130322</v>
      </c>
      <c r="B622" s="15" t="s">
        <v>1895</v>
      </c>
      <c r="C622" s="15" t="s">
        <v>740</v>
      </c>
      <c r="D622" s="15" t="s">
        <v>741</v>
      </c>
      <c r="E622" s="15">
        <v>1</v>
      </c>
      <c r="F622" s="15" t="s">
        <v>959</v>
      </c>
      <c r="G622" s="15">
        <v>0</v>
      </c>
      <c r="H622" s="15">
        <v>0</v>
      </c>
      <c r="I622" s="15">
        <v>99999</v>
      </c>
      <c r="J622" s="15">
        <v>0</v>
      </c>
      <c r="K622" s="15">
        <v>0</v>
      </c>
      <c r="L622" s="15" t="s">
        <v>1562</v>
      </c>
      <c r="M622" s="16">
        <v>1</v>
      </c>
      <c r="N622" s="16">
        <v>1</v>
      </c>
      <c r="Q622" s="15">
        <v>0</v>
      </c>
      <c r="S622" s="16">
        <v>4000</v>
      </c>
      <c r="T622" s="15">
        <v>3</v>
      </c>
      <c r="V622" s="15">
        <v>1</v>
      </c>
      <c r="W622" s="15">
        <v>1</v>
      </c>
      <c r="X622" s="30"/>
      <c r="Y622" s="15" t="s">
        <v>742</v>
      </c>
      <c r="Z622" s="15" t="s">
        <v>2729</v>
      </c>
      <c r="AA622" s="16" t="s">
        <v>701</v>
      </c>
      <c r="AB622" s="15">
        <v>0</v>
      </c>
      <c r="AC622" s="15">
        <v>1</v>
      </c>
      <c r="AD622" s="15">
        <v>0</v>
      </c>
      <c r="AE622" s="15">
        <v>0</v>
      </c>
      <c r="AF622" s="15">
        <v>1</v>
      </c>
      <c r="AI622" s="16">
        <v>24</v>
      </c>
      <c r="AJ622" s="16">
        <v>1</v>
      </c>
      <c r="AK622" s="16">
        <v>0</v>
      </c>
      <c r="AL622" s="16">
        <v>0</v>
      </c>
      <c r="AM622" s="16">
        <v>0</v>
      </c>
      <c r="AN622" s="16">
        <v>0</v>
      </c>
      <c r="AO622" s="16"/>
      <c r="AP622" s="15">
        <v>1</v>
      </c>
      <c r="AQ622" s="16">
        <v>1</v>
      </c>
      <c r="AR622" s="16">
        <v>1</v>
      </c>
      <c r="AS622" s="16">
        <v>0</v>
      </c>
      <c r="AV622" s="16">
        <v>1</v>
      </c>
      <c r="BD622" s="16"/>
      <c r="BE622" s="16">
        <v>240</v>
      </c>
      <c r="BG622" s="15">
        <v>2</v>
      </c>
      <c r="BL622" s="7">
        <v>0</v>
      </c>
    </row>
    <row r="623" spans="1:64" s="15" customFormat="1">
      <c r="A623" s="15">
        <v>130323</v>
      </c>
      <c r="B623" s="15" t="s">
        <v>1896</v>
      </c>
      <c r="C623" s="15" t="s">
        <v>740</v>
      </c>
      <c r="D623" s="15" t="s">
        <v>741</v>
      </c>
      <c r="E623" s="15">
        <v>1</v>
      </c>
      <c r="F623" s="15" t="s">
        <v>959</v>
      </c>
      <c r="G623" s="15">
        <v>0</v>
      </c>
      <c r="H623" s="15">
        <v>0</v>
      </c>
      <c r="I623" s="15">
        <v>99999</v>
      </c>
      <c r="J623" s="15">
        <v>0</v>
      </c>
      <c r="K623" s="15">
        <v>0</v>
      </c>
      <c r="L623" s="15" t="s">
        <v>1562</v>
      </c>
      <c r="M623" s="16">
        <v>1</v>
      </c>
      <c r="N623" s="7">
        <v>1</v>
      </c>
      <c r="Q623" s="15">
        <v>0</v>
      </c>
      <c r="S623" s="7">
        <v>10000</v>
      </c>
      <c r="T623" s="15">
        <v>3</v>
      </c>
      <c r="V623" s="15">
        <v>1</v>
      </c>
      <c r="W623" s="15">
        <v>1</v>
      </c>
      <c r="X623" s="30"/>
      <c r="Y623" s="15" t="s">
        <v>742</v>
      </c>
      <c r="Z623" s="15" t="s">
        <v>2730</v>
      </c>
      <c r="AA623" s="16" t="s">
        <v>701</v>
      </c>
      <c r="AB623" s="15">
        <v>0</v>
      </c>
      <c r="AC623" s="15">
        <v>1</v>
      </c>
      <c r="AD623" s="15">
        <v>0</v>
      </c>
      <c r="AE623" s="15">
        <v>0</v>
      </c>
      <c r="AF623" s="15">
        <v>1</v>
      </c>
      <c r="AI623" s="15">
        <v>24</v>
      </c>
      <c r="AJ623" s="15">
        <v>1</v>
      </c>
      <c r="AK623" s="15">
        <v>0</v>
      </c>
      <c r="AL623" s="15">
        <v>0</v>
      </c>
      <c r="AM623" s="15">
        <v>0</v>
      </c>
      <c r="AN623" s="15">
        <v>0</v>
      </c>
      <c r="AP623" s="15">
        <v>1</v>
      </c>
      <c r="AQ623" s="15">
        <v>1</v>
      </c>
      <c r="AR623" s="15">
        <v>1</v>
      </c>
      <c r="AS623" s="15">
        <v>0</v>
      </c>
      <c r="AV623" s="15">
        <v>1</v>
      </c>
      <c r="BD623" s="16"/>
      <c r="BE623" s="7">
        <v>240</v>
      </c>
      <c r="BG623" s="15">
        <v>2</v>
      </c>
      <c r="BL623" s="7">
        <v>0</v>
      </c>
    </row>
    <row r="624" spans="1:64" s="15" customFormat="1">
      <c r="A624" s="15">
        <v>130324</v>
      </c>
      <c r="B624" s="15" t="s">
        <v>1897</v>
      </c>
      <c r="C624" s="15" t="s">
        <v>740</v>
      </c>
      <c r="D624" s="15" t="s">
        <v>741</v>
      </c>
      <c r="E624" s="15">
        <v>1</v>
      </c>
      <c r="F624" s="15" t="s">
        <v>959</v>
      </c>
      <c r="G624" s="15">
        <v>0</v>
      </c>
      <c r="H624" s="15">
        <v>0</v>
      </c>
      <c r="I624" s="15">
        <v>99999</v>
      </c>
      <c r="J624" s="15">
        <v>0</v>
      </c>
      <c r="K624" s="15">
        <v>0</v>
      </c>
      <c r="L624" s="15" t="s">
        <v>1562</v>
      </c>
      <c r="M624" s="16">
        <v>1</v>
      </c>
      <c r="N624" s="7">
        <v>1</v>
      </c>
      <c r="Q624" s="15">
        <v>0</v>
      </c>
      <c r="S624" s="7">
        <v>10000</v>
      </c>
      <c r="T624" s="15">
        <v>3</v>
      </c>
      <c r="V624" s="15">
        <v>1</v>
      </c>
      <c r="W624" s="15">
        <v>1</v>
      </c>
      <c r="X624" s="30"/>
      <c r="Y624" s="15" t="s">
        <v>742</v>
      </c>
      <c r="Z624" s="15" t="s">
        <v>2731</v>
      </c>
      <c r="AA624" s="16" t="s">
        <v>701</v>
      </c>
      <c r="AB624" s="15">
        <v>0</v>
      </c>
      <c r="AC624" s="15">
        <v>1</v>
      </c>
      <c r="AD624" s="15">
        <v>0</v>
      </c>
      <c r="AE624" s="15">
        <v>0</v>
      </c>
      <c r="AF624" s="15">
        <v>1</v>
      </c>
      <c r="AI624" s="15">
        <v>24</v>
      </c>
      <c r="AJ624" s="15">
        <v>1</v>
      </c>
      <c r="AK624" s="15">
        <v>0</v>
      </c>
      <c r="AL624" s="15">
        <v>0</v>
      </c>
      <c r="AM624" s="15">
        <v>0</v>
      </c>
      <c r="AN624" s="15">
        <v>0</v>
      </c>
      <c r="AP624" s="15">
        <v>1</v>
      </c>
      <c r="AQ624" s="15">
        <v>1</v>
      </c>
      <c r="AR624" s="15">
        <v>1</v>
      </c>
      <c r="AS624" s="15">
        <v>0</v>
      </c>
      <c r="AV624" s="15">
        <v>1</v>
      </c>
      <c r="BD624" s="16"/>
      <c r="BE624" s="7">
        <v>240</v>
      </c>
      <c r="BG624" s="15">
        <v>2</v>
      </c>
      <c r="BL624" s="7">
        <v>0</v>
      </c>
    </row>
    <row r="625" spans="1:64" s="15" customFormat="1">
      <c r="A625" s="15">
        <v>130325</v>
      </c>
      <c r="B625" s="15" t="s">
        <v>1898</v>
      </c>
      <c r="C625" s="15" t="s">
        <v>740</v>
      </c>
      <c r="D625" s="15" t="s">
        <v>741</v>
      </c>
      <c r="E625" s="15">
        <v>1</v>
      </c>
      <c r="F625" s="15" t="s">
        <v>959</v>
      </c>
      <c r="G625" s="15">
        <v>0</v>
      </c>
      <c r="H625" s="15">
        <v>0</v>
      </c>
      <c r="I625" s="15">
        <v>99999</v>
      </c>
      <c r="J625" s="15">
        <v>0</v>
      </c>
      <c r="K625" s="15">
        <v>0</v>
      </c>
      <c r="L625" s="15" t="s">
        <v>1562</v>
      </c>
      <c r="M625" s="16">
        <v>1</v>
      </c>
      <c r="N625" s="7">
        <v>1</v>
      </c>
      <c r="Q625" s="15">
        <v>0</v>
      </c>
      <c r="S625" s="7">
        <v>10000</v>
      </c>
      <c r="T625" s="15">
        <v>3</v>
      </c>
      <c r="V625" s="15">
        <v>1</v>
      </c>
      <c r="W625" s="15">
        <v>1</v>
      </c>
      <c r="X625" s="30"/>
      <c r="Y625" s="15" t="s">
        <v>742</v>
      </c>
      <c r="Z625" s="15" t="s">
        <v>2732</v>
      </c>
      <c r="AA625" s="16" t="s">
        <v>701</v>
      </c>
      <c r="AB625" s="15">
        <v>0</v>
      </c>
      <c r="AC625" s="15">
        <v>1</v>
      </c>
      <c r="AD625" s="15">
        <v>0</v>
      </c>
      <c r="AE625" s="15">
        <v>0</v>
      </c>
      <c r="AF625" s="15">
        <v>1</v>
      </c>
      <c r="AI625" s="15">
        <v>24</v>
      </c>
      <c r="AJ625" s="15">
        <v>1</v>
      </c>
      <c r="AK625" s="15">
        <v>0</v>
      </c>
      <c r="AL625" s="15">
        <v>0</v>
      </c>
      <c r="AM625" s="15">
        <v>0</v>
      </c>
      <c r="AN625" s="15">
        <v>0</v>
      </c>
      <c r="AP625" s="15">
        <v>1</v>
      </c>
      <c r="AQ625" s="15">
        <v>1</v>
      </c>
      <c r="AR625" s="15">
        <v>1</v>
      </c>
      <c r="AS625" s="15">
        <v>0</v>
      </c>
      <c r="AV625" s="15">
        <v>1</v>
      </c>
      <c r="BD625" s="16"/>
      <c r="BE625" s="7">
        <v>240</v>
      </c>
      <c r="BG625" s="15">
        <v>2</v>
      </c>
      <c r="BL625" s="7">
        <v>0</v>
      </c>
    </row>
    <row r="626" spans="1:64" s="15" customFormat="1">
      <c r="A626" s="15">
        <v>130326</v>
      </c>
      <c r="B626" s="15" t="s">
        <v>1899</v>
      </c>
      <c r="C626" s="15" t="s">
        <v>740</v>
      </c>
      <c r="D626" s="15" t="s">
        <v>741</v>
      </c>
      <c r="E626" s="15">
        <v>1</v>
      </c>
      <c r="F626" s="15" t="s">
        <v>959</v>
      </c>
      <c r="G626" s="15">
        <v>0</v>
      </c>
      <c r="H626" s="15">
        <v>0</v>
      </c>
      <c r="I626" s="15">
        <v>99999</v>
      </c>
      <c r="J626" s="15">
        <v>0</v>
      </c>
      <c r="K626" s="15">
        <v>0</v>
      </c>
      <c r="L626" s="15" t="s">
        <v>1562</v>
      </c>
      <c r="M626" s="16">
        <v>1</v>
      </c>
      <c r="N626" s="7">
        <v>1</v>
      </c>
      <c r="Q626" s="15">
        <v>0</v>
      </c>
      <c r="S626" s="7">
        <v>10000</v>
      </c>
      <c r="T626" s="15">
        <v>3</v>
      </c>
      <c r="V626" s="15">
        <v>1</v>
      </c>
      <c r="W626" s="15">
        <v>1</v>
      </c>
      <c r="X626" s="30"/>
      <c r="Y626" s="15" t="s">
        <v>742</v>
      </c>
      <c r="Z626" s="15" t="s">
        <v>2733</v>
      </c>
      <c r="AA626" s="16" t="s">
        <v>701</v>
      </c>
      <c r="AB626" s="15">
        <v>0</v>
      </c>
      <c r="AC626" s="15">
        <v>1</v>
      </c>
      <c r="AD626" s="15">
        <v>0</v>
      </c>
      <c r="AE626" s="15">
        <v>0</v>
      </c>
      <c r="AF626" s="15">
        <v>1</v>
      </c>
      <c r="AI626" s="15">
        <v>24</v>
      </c>
      <c r="AJ626" s="15">
        <v>1</v>
      </c>
      <c r="AK626" s="15">
        <v>0</v>
      </c>
      <c r="AL626" s="15">
        <v>0</v>
      </c>
      <c r="AM626" s="15">
        <v>0</v>
      </c>
      <c r="AN626" s="15">
        <v>0</v>
      </c>
      <c r="AP626" s="15">
        <v>1</v>
      </c>
      <c r="AQ626" s="15">
        <v>1</v>
      </c>
      <c r="AR626" s="15">
        <v>1</v>
      </c>
      <c r="AS626" s="15">
        <v>0</v>
      </c>
      <c r="AV626" s="15">
        <v>1</v>
      </c>
      <c r="BD626" s="16"/>
      <c r="BE626" s="7">
        <v>240</v>
      </c>
      <c r="BG626" s="15">
        <v>2</v>
      </c>
      <c r="BL626" s="7">
        <v>0</v>
      </c>
    </row>
    <row r="627" spans="1:64" s="15" customFormat="1">
      <c r="A627" s="15">
        <v>130327</v>
      </c>
      <c r="B627" s="15" t="s">
        <v>1900</v>
      </c>
      <c r="C627" s="15" t="s">
        <v>740</v>
      </c>
      <c r="D627" s="15" t="s">
        <v>741</v>
      </c>
      <c r="E627" s="15">
        <v>1</v>
      </c>
      <c r="F627" s="15" t="s">
        <v>959</v>
      </c>
      <c r="G627" s="15">
        <v>0</v>
      </c>
      <c r="H627" s="15">
        <v>0</v>
      </c>
      <c r="I627" s="15">
        <v>99999</v>
      </c>
      <c r="J627" s="15">
        <v>0</v>
      </c>
      <c r="K627" s="15">
        <v>0</v>
      </c>
      <c r="L627" s="15" t="s">
        <v>1562</v>
      </c>
      <c r="M627" s="16">
        <v>1</v>
      </c>
      <c r="N627" s="7">
        <v>1</v>
      </c>
      <c r="Q627" s="15">
        <v>0</v>
      </c>
      <c r="S627" s="7">
        <v>10000</v>
      </c>
      <c r="T627" s="15">
        <v>3</v>
      </c>
      <c r="V627" s="15">
        <v>1</v>
      </c>
      <c r="W627" s="15">
        <v>1</v>
      </c>
      <c r="X627" s="30"/>
      <c r="Y627" s="15" t="s">
        <v>742</v>
      </c>
      <c r="Z627" s="15" t="s">
        <v>2734</v>
      </c>
      <c r="AA627" s="16" t="s">
        <v>701</v>
      </c>
      <c r="AB627" s="15">
        <v>0</v>
      </c>
      <c r="AC627" s="15">
        <v>1</v>
      </c>
      <c r="AD627" s="15">
        <v>0</v>
      </c>
      <c r="AE627" s="15">
        <v>0</v>
      </c>
      <c r="AF627" s="15">
        <v>1</v>
      </c>
      <c r="AI627" s="15">
        <v>24</v>
      </c>
      <c r="AJ627" s="15">
        <v>1</v>
      </c>
      <c r="AK627" s="15">
        <v>0</v>
      </c>
      <c r="AL627" s="15">
        <v>0</v>
      </c>
      <c r="AM627" s="15">
        <v>0</v>
      </c>
      <c r="AN627" s="15">
        <v>0</v>
      </c>
      <c r="AP627" s="15">
        <v>1</v>
      </c>
      <c r="AQ627" s="15">
        <v>1</v>
      </c>
      <c r="AR627" s="15">
        <v>1</v>
      </c>
      <c r="AS627" s="15">
        <v>0</v>
      </c>
      <c r="AV627" s="15">
        <v>1</v>
      </c>
      <c r="BD627" s="16"/>
      <c r="BE627" s="7">
        <v>240</v>
      </c>
      <c r="BG627" s="15">
        <v>2</v>
      </c>
      <c r="BL627" s="7">
        <v>0</v>
      </c>
    </row>
    <row r="628" spans="1:64" s="15" customFormat="1">
      <c r="A628" s="15">
        <v>130328</v>
      </c>
      <c r="B628" s="15" t="s">
        <v>1901</v>
      </c>
      <c r="C628" s="15" t="s">
        <v>740</v>
      </c>
      <c r="D628" s="15" t="s">
        <v>741</v>
      </c>
      <c r="E628" s="15">
        <v>1</v>
      </c>
      <c r="F628" s="15" t="s">
        <v>959</v>
      </c>
      <c r="G628" s="15">
        <v>0</v>
      </c>
      <c r="H628" s="15">
        <v>0</v>
      </c>
      <c r="I628" s="15">
        <v>99999</v>
      </c>
      <c r="J628" s="15">
        <v>0</v>
      </c>
      <c r="K628" s="15">
        <v>0</v>
      </c>
      <c r="L628" s="15" t="s">
        <v>1562</v>
      </c>
      <c r="M628" s="16">
        <v>1</v>
      </c>
      <c r="N628" s="7">
        <v>1</v>
      </c>
      <c r="Q628" s="15">
        <v>0</v>
      </c>
      <c r="S628" s="7">
        <v>10000</v>
      </c>
      <c r="T628" s="15">
        <v>3</v>
      </c>
      <c r="V628" s="15">
        <v>1</v>
      </c>
      <c r="W628" s="15">
        <v>1</v>
      </c>
      <c r="X628" s="30"/>
      <c r="Y628" s="15" t="s">
        <v>742</v>
      </c>
      <c r="Z628" s="15" t="s">
        <v>2735</v>
      </c>
      <c r="AA628" s="16" t="s">
        <v>701</v>
      </c>
      <c r="AB628" s="15">
        <v>0</v>
      </c>
      <c r="AC628" s="15">
        <v>1</v>
      </c>
      <c r="AD628" s="15">
        <v>0</v>
      </c>
      <c r="AE628" s="15">
        <v>0</v>
      </c>
      <c r="AF628" s="15">
        <v>1</v>
      </c>
      <c r="AI628" s="15">
        <v>24</v>
      </c>
      <c r="AJ628" s="15">
        <v>1</v>
      </c>
      <c r="AK628" s="15">
        <v>0</v>
      </c>
      <c r="AL628" s="15">
        <v>0</v>
      </c>
      <c r="AM628" s="15">
        <v>0</v>
      </c>
      <c r="AN628" s="15">
        <v>0</v>
      </c>
      <c r="AP628" s="15">
        <v>1</v>
      </c>
      <c r="AQ628" s="15">
        <v>1</v>
      </c>
      <c r="AR628" s="15">
        <v>1</v>
      </c>
      <c r="AS628" s="15">
        <v>0</v>
      </c>
      <c r="AV628" s="15">
        <v>1</v>
      </c>
      <c r="BD628" s="16"/>
      <c r="BE628" s="7">
        <v>240</v>
      </c>
      <c r="BG628" s="15">
        <v>2</v>
      </c>
      <c r="BL628" s="7">
        <v>0</v>
      </c>
    </row>
    <row r="629" spans="1:64" s="15" customFormat="1">
      <c r="A629" s="15">
        <v>130329</v>
      </c>
      <c r="B629" s="15" t="s">
        <v>1902</v>
      </c>
      <c r="C629" s="15" t="s">
        <v>740</v>
      </c>
      <c r="D629" s="15" t="s">
        <v>741</v>
      </c>
      <c r="E629" s="15">
        <v>1</v>
      </c>
      <c r="F629" s="15" t="s">
        <v>959</v>
      </c>
      <c r="G629" s="15">
        <v>0</v>
      </c>
      <c r="H629" s="15">
        <v>0</v>
      </c>
      <c r="I629" s="15">
        <v>99999</v>
      </c>
      <c r="J629" s="15">
        <v>0</v>
      </c>
      <c r="K629" s="15">
        <v>0</v>
      </c>
      <c r="L629" s="15" t="s">
        <v>1562</v>
      </c>
      <c r="M629" s="16">
        <v>1</v>
      </c>
      <c r="N629" s="7">
        <v>1</v>
      </c>
      <c r="Q629" s="15">
        <v>0</v>
      </c>
      <c r="S629" s="7">
        <v>10000</v>
      </c>
      <c r="T629" s="15">
        <v>3</v>
      </c>
      <c r="V629" s="15">
        <v>1</v>
      </c>
      <c r="W629" s="15">
        <v>1</v>
      </c>
      <c r="X629" s="30"/>
      <c r="Y629" s="15" t="s">
        <v>742</v>
      </c>
      <c r="Z629" s="15" t="s">
        <v>2736</v>
      </c>
      <c r="AA629" s="16" t="s">
        <v>701</v>
      </c>
      <c r="AB629" s="15">
        <v>0</v>
      </c>
      <c r="AC629" s="15">
        <v>1</v>
      </c>
      <c r="AD629" s="15">
        <v>0</v>
      </c>
      <c r="AE629" s="15">
        <v>0</v>
      </c>
      <c r="AF629" s="15">
        <v>1</v>
      </c>
      <c r="AI629" s="15">
        <v>24</v>
      </c>
      <c r="AJ629" s="15">
        <v>1</v>
      </c>
      <c r="AK629" s="15">
        <v>0</v>
      </c>
      <c r="AL629" s="15">
        <v>0</v>
      </c>
      <c r="AM629" s="15">
        <v>0</v>
      </c>
      <c r="AN629" s="15">
        <v>0</v>
      </c>
      <c r="AP629" s="15">
        <v>1</v>
      </c>
      <c r="AQ629" s="15">
        <v>1</v>
      </c>
      <c r="AR629" s="15">
        <v>1</v>
      </c>
      <c r="AS629" s="15">
        <v>0</v>
      </c>
      <c r="AV629" s="15">
        <v>1</v>
      </c>
      <c r="BD629" s="16"/>
      <c r="BE629" s="7">
        <v>240</v>
      </c>
      <c r="BG629" s="15">
        <v>2</v>
      </c>
      <c r="BL629" s="7">
        <v>0</v>
      </c>
    </row>
    <row r="630" spans="1:64">
      <c r="A630">
        <v>130411</v>
      </c>
      <c r="B630" t="s">
        <v>1903</v>
      </c>
      <c r="C630" t="s">
        <v>740</v>
      </c>
      <c r="D630" t="s">
        <v>741</v>
      </c>
      <c r="E630">
        <v>1</v>
      </c>
      <c r="F630" t="s">
        <v>959</v>
      </c>
      <c r="G630">
        <v>0</v>
      </c>
      <c r="H630">
        <v>0</v>
      </c>
      <c r="I630">
        <v>99999</v>
      </c>
      <c r="J630">
        <v>0</v>
      </c>
      <c r="K630">
        <v>0</v>
      </c>
      <c r="L630" t="s">
        <v>1562</v>
      </c>
      <c r="M630" s="7">
        <v>1</v>
      </c>
      <c r="N630" s="7">
        <v>1</v>
      </c>
      <c r="Q630">
        <v>0</v>
      </c>
      <c r="S630" s="7">
        <v>2000</v>
      </c>
      <c r="T630">
        <v>3</v>
      </c>
      <c r="V630">
        <v>1</v>
      </c>
      <c r="W630">
        <v>1</v>
      </c>
      <c r="Y630" t="s">
        <v>742</v>
      </c>
      <c r="Z630" t="s">
        <v>2737</v>
      </c>
      <c r="AA630" s="7" t="s">
        <v>701</v>
      </c>
      <c r="AB630">
        <v>0</v>
      </c>
      <c r="AC630">
        <v>1</v>
      </c>
      <c r="AD630">
        <v>0</v>
      </c>
      <c r="AE630">
        <v>0</v>
      </c>
      <c r="AF630">
        <v>1</v>
      </c>
      <c r="AI630" s="7">
        <v>24</v>
      </c>
      <c r="AJ630" s="7">
        <v>1</v>
      </c>
      <c r="AK630" s="7">
        <v>0</v>
      </c>
      <c r="AL630" s="7">
        <v>0</v>
      </c>
      <c r="AM630" s="7">
        <v>0</v>
      </c>
      <c r="AN630" s="7">
        <v>0</v>
      </c>
      <c r="AP630">
        <v>1</v>
      </c>
      <c r="AQ630" s="7">
        <v>1</v>
      </c>
      <c r="AR630" s="7">
        <v>1</v>
      </c>
      <c r="AS630" s="7">
        <v>0</v>
      </c>
      <c r="AV630" s="7">
        <v>1</v>
      </c>
      <c r="BD630" s="7"/>
      <c r="BE630" s="7">
        <v>240</v>
      </c>
      <c r="BG630" s="7">
        <v>2</v>
      </c>
      <c r="BL630" s="7">
        <v>0</v>
      </c>
    </row>
    <row r="631" spans="1:64" s="15" customFormat="1">
      <c r="A631" s="15">
        <v>130412</v>
      </c>
      <c r="B631" s="15" t="s">
        <v>1904</v>
      </c>
      <c r="C631" s="15" t="s">
        <v>740</v>
      </c>
      <c r="D631" s="15" t="s">
        <v>741</v>
      </c>
      <c r="E631" s="15">
        <v>1</v>
      </c>
      <c r="F631" s="15" t="s">
        <v>959</v>
      </c>
      <c r="G631" s="15">
        <v>0</v>
      </c>
      <c r="H631" s="15">
        <v>0</v>
      </c>
      <c r="I631" s="15">
        <v>99999</v>
      </c>
      <c r="J631" s="15">
        <v>0</v>
      </c>
      <c r="K631" s="15">
        <v>0</v>
      </c>
      <c r="L631" s="15" t="s">
        <v>1562</v>
      </c>
      <c r="M631" s="16">
        <v>1</v>
      </c>
      <c r="N631" s="16">
        <v>1</v>
      </c>
      <c r="Q631" s="15">
        <v>0</v>
      </c>
      <c r="S631" s="16">
        <v>4000</v>
      </c>
      <c r="T631" s="15">
        <v>3</v>
      </c>
      <c r="V631" s="15">
        <v>1</v>
      </c>
      <c r="W631" s="15">
        <v>1</v>
      </c>
      <c r="X631" s="30"/>
      <c r="Y631" s="15" t="s">
        <v>742</v>
      </c>
      <c r="Z631" s="15" t="s">
        <v>2738</v>
      </c>
      <c r="AA631" s="16" t="s">
        <v>701</v>
      </c>
      <c r="AB631" s="15">
        <v>0</v>
      </c>
      <c r="AC631" s="15">
        <v>1</v>
      </c>
      <c r="AD631" s="15">
        <v>0</v>
      </c>
      <c r="AE631" s="15">
        <v>0</v>
      </c>
      <c r="AF631" s="15">
        <v>1</v>
      </c>
      <c r="AI631" s="16">
        <v>24</v>
      </c>
      <c r="AJ631" s="16">
        <v>1</v>
      </c>
      <c r="AK631" s="16">
        <v>0</v>
      </c>
      <c r="AL631" s="16">
        <v>0</v>
      </c>
      <c r="AM631" s="16">
        <v>0</v>
      </c>
      <c r="AN631" s="16">
        <v>0</v>
      </c>
      <c r="AO631" s="16"/>
      <c r="AP631" s="15">
        <v>1</v>
      </c>
      <c r="AQ631" s="16">
        <v>1</v>
      </c>
      <c r="AR631" s="16">
        <v>1</v>
      </c>
      <c r="AS631" s="16">
        <v>0</v>
      </c>
      <c r="AV631" s="16">
        <v>1</v>
      </c>
      <c r="BD631" s="16"/>
      <c r="BE631" s="16">
        <v>240</v>
      </c>
      <c r="BG631" s="15">
        <v>2</v>
      </c>
      <c r="BL631" s="7">
        <v>0</v>
      </c>
    </row>
    <row r="632" spans="1:64" s="15" customFormat="1">
      <c r="A632" s="15">
        <v>130413</v>
      </c>
      <c r="B632" s="15" t="s">
        <v>1905</v>
      </c>
      <c r="C632" s="15" t="s">
        <v>740</v>
      </c>
      <c r="D632" s="15" t="s">
        <v>741</v>
      </c>
      <c r="E632" s="15">
        <v>1</v>
      </c>
      <c r="F632" s="15" t="s">
        <v>959</v>
      </c>
      <c r="G632" s="15">
        <v>0</v>
      </c>
      <c r="H632" s="15">
        <v>0</v>
      </c>
      <c r="I632" s="15">
        <v>99999</v>
      </c>
      <c r="J632" s="15">
        <v>0</v>
      </c>
      <c r="K632" s="15">
        <v>0</v>
      </c>
      <c r="L632" s="15" t="s">
        <v>1562</v>
      </c>
      <c r="M632" s="16">
        <v>1</v>
      </c>
      <c r="N632" s="7">
        <v>1</v>
      </c>
      <c r="Q632" s="15">
        <v>0</v>
      </c>
      <c r="S632" s="7">
        <v>10000</v>
      </c>
      <c r="T632" s="15">
        <v>3</v>
      </c>
      <c r="V632" s="15">
        <v>1</v>
      </c>
      <c r="W632" s="15">
        <v>1</v>
      </c>
      <c r="X632" s="30"/>
      <c r="Y632" s="15" t="s">
        <v>742</v>
      </c>
      <c r="Z632" s="15" t="s">
        <v>2739</v>
      </c>
      <c r="AA632" s="16" t="s">
        <v>701</v>
      </c>
      <c r="AB632" s="15">
        <v>0</v>
      </c>
      <c r="AC632" s="15">
        <v>1</v>
      </c>
      <c r="AD632" s="15">
        <v>0</v>
      </c>
      <c r="AE632" s="15">
        <v>0</v>
      </c>
      <c r="AF632" s="15">
        <v>1</v>
      </c>
      <c r="AI632" s="15">
        <v>24</v>
      </c>
      <c r="AJ632" s="15">
        <v>1</v>
      </c>
      <c r="AK632" s="15">
        <v>0</v>
      </c>
      <c r="AL632" s="15">
        <v>0</v>
      </c>
      <c r="AM632" s="15">
        <v>0</v>
      </c>
      <c r="AN632" s="15">
        <v>0</v>
      </c>
      <c r="AP632" s="15">
        <v>1</v>
      </c>
      <c r="AQ632" s="15">
        <v>1</v>
      </c>
      <c r="AR632" s="15">
        <v>1</v>
      </c>
      <c r="AS632" s="15">
        <v>0</v>
      </c>
      <c r="AV632" s="15">
        <v>1</v>
      </c>
      <c r="BD632" s="16"/>
      <c r="BE632" s="7">
        <v>240</v>
      </c>
      <c r="BG632" s="15">
        <v>2</v>
      </c>
      <c r="BL632" s="7">
        <v>0</v>
      </c>
    </row>
    <row r="633" spans="1:64" s="15" customFormat="1">
      <c r="A633" s="15">
        <v>130414</v>
      </c>
      <c r="B633" s="15" t="s">
        <v>1906</v>
      </c>
      <c r="C633" s="15" t="s">
        <v>740</v>
      </c>
      <c r="D633" s="15" t="s">
        <v>741</v>
      </c>
      <c r="E633" s="15">
        <v>1</v>
      </c>
      <c r="F633" s="15" t="s">
        <v>959</v>
      </c>
      <c r="G633" s="15">
        <v>0</v>
      </c>
      <c r="H633" s="15">
        <v>0</v>
      </c>
      <c r="I633" s="15">
        <v>99999</v>
      </c>
      <c r="J633" s="15">
        <v>0</v>
      </c>
      <c r="K633" s="15">
        <v>0</v>
      </c>
      <c r="L633" s="15" t="s">
        <v>1562</v>
      </c>
      <c r="M633" s="16">
        <v>1</v>
      </c>
      <c r="N633" s="7">
        <v>1</v>
      </c>
      <c r="Q633" s="15">
        <v>0</v>
      </c>
      <c r="S633" s="7">
        <v>10000</v>
      </c>
      <c r="T633" s="15">
        <v>3</v>
      </c>
      <c r="V633" s="15">
        <v>1</v>
      </c>
      <c r="W633" s="15">
        <v>1</v>
      </c>
      <c r="X633" s="30"/>
      <c r="Y633" s="15" t="s">
        <v>742</v>
      </c>
      <c r="Z633" s="15" t="s">
        <v>2740</v>
      </c>
      <c r="AA633" s="16" t="s">
        <v>701</v>
      </c>
      <c r="AB633" s="15">
        <v>0</v>
      </c>
      <c r="AC633" s="15">
        <v>1</v>
      </c>
      <c r="AD633" s="15">
        <v>0</v>
      </c>
      <c r="AE633" s="15">
        <v>0</v>
      </c>
      <c r="AF633" s="15">
        <v>1</v>
      </c>
      <c r="AI633" s="15">
        <v>24</v>
      </c>
      <c r="AJ633" s="15">
        <v>1</v>
      </c>
      <c r="AK633" s="15">
        <v>0</v>
      </c>
      <c r="AL633" s="15">
        <v>0</v>
      </c>
      <c r="AM633" s="15">
        <v>0</v>
      </c>
      <c r="AN633" s="15">
        <v>0</v>
      </c>
      <c r="AP633" s="15">
        <v>1</v>
      </c>
      <c r="AQ633" s="15">
        <v>1</v>
      </c>
      <c r="AR633" s="15">
        <v>1</v>
      </c>
      <c r="AS633" s="15">
        <v>0</v>
      </c>
      <c r="AV633" s="15">
        <v>1</v>
      </c>
      <c r="BD633" s="16"/>
      <c r="BE633" s="7">
        <v>240</v>
      </c>
      <c r="BG633" s="15">
        <v>2</v>
      </c>
      <c r="BL633" s="7">
        <v>0</v>
      </c>
    </row>
    <row r="634" spans="1:64" s="15" customFormat="1">
      <c r="A634" s="15">
        <v>130415</v>
      </c>
      <c r="B634" s="15" t="s">
        <v>1907</v>
      </c>
      <c r="C634" s="15" t="s">
        <v>740</v>
      </c>
      <c r="D634" s="15" t="s">
        <v>741</v>
      </c>
      <c r="E634" s="15">
        <v>1</v>
      </c>
      <c r="F634" s="15" t="s">
        <v>959</v>
      </c>
      <c r="G634" s="15">
        <v>0</v>
      </c>
      <c r="H634" s="15">
        <v>0</v>
      </c>
      <c r="I634" s="15">
        <v>99999</v>
      </c>
      <c r="J634" s="15">
        <v>0</v>
      </c>
      <c r="K634" s="15">
        <v>0</v>
      </c>
      <c r="L634" s="15" t="s">
        <v>1562</v>
      </c>
      <c r="M634" s="16">
        <v>1</v>
      </c>
      <c r="N634" s="7">
        <v>1</v>
      </c>
      <c r="Q634" s="15">
        <v>0</v>
      </c>
      <c r="S634" s="7">
        <v>10000</v>
      </c>
      <c r="T634" s="15">
        <v>3</v>
      </c>
      <c r="V634" s="15">
        <v>1</v>
      </c>
      <c r="W634" s="15">
        <v>1</v>
      </c>
      <c r="X634" s="30"/>
      <c r="Y634" s="15" t="s">
        <v>742</v>
      </c>
      <c r="Z634" s="15" t="s">
        <v>2741</v>
      </c>
      <c r="AA634" s="16" t="s">
        <v>701</v>
      </c>
      <c r="AB634" s="15">
        <v>0</v>
      </c>
      <c r="AC634" s="15">
        <v>1</v>
      </c>
      <c r="AD634" s="15">
        <v>0</v>
      </c>
      <c r="AE634" s="15">
        <v>0</v>
      </c>
      <c r="AF634" s="15">
        <v>1</v>
      </c>
      <c r="AI634" s="15">
        <v>24</v>
      </c>
      <c r="AJ634" s="15">
        <v>1</v>
      </c>
      <c r="AK634" s="15">
        <v>0</v>
      </c>
      <c r="AL634" s="15">
        <v>0</v>
      </c>
      <c r="AM634" s="15">
        <v>0</v>
      </c>
      <c r="AN634" s="15">
        <v>0</v>
      </c>
      <c r="AP634" s="15">
        <v>1</v>
      </c>
      <c r="AQ634" s="15">
        <v>1</v>
      </c>
      <c r="AR634" s="15">
        <v>1</v>
      </c>
      <c r="AS634" s="15">
        <v>0</v>
      </c>
      <c r="AV634" s="15">
        <v>1</v>
      </c>
      <c r="BD634" s="16"/>
      <c r="BE634" s="7">
        <v>240</v>
      </c>
      <c r="BG634" s="15">
        <v>2</v>
      </c>
      <c r="BL634" s="7">
        <v>0</v>
      </c>
    </row>
    <row r="635" spans="1:64" s="15" customFormat="1">
      <c r="A635" s="15">
        <v>130416</v>
      </c>
      <c r="B635" s="15" t="s">
        <v>1908</v>
      </c>
      <c r="C635" s="15" t="s">
        <v>740</v>
      </c>
      <c r="D635" s="15" t="s">
        <v>741</v>
      </c>
      <c r="E635" s="15">
        <v>1</v>
      </c>
      <c r="F635" s="15" t="s">
        <v>959</v>
      </c>
      <c r="G635" s="15">
        <v>0</v>
      </c>
      <c r="H635" s="15">
        <v>0</v>
      </c>
      <c r="I635" s="15">
        <v>99999</v>
      </c>
      <c r="J635" s="15">
        <v>0</v>
      </c>
      <c r="K635" s="15">
        <v>0</v>
      </c>
      <c r="L635" s="15" t="s">
        <v>1562</v>
      </c>
      <c r="M635" s="16">
        <v>1</v>
      </c>
      <c r="N635" s="7">
        <v>1</v>
      </c>
      <c r="Q635" s="15">
        <v>0</v>
      </c>
      <c r="S635" s="7">
        <v>10000</v>
      </c>
      <c r="T635" s="15">
        <v>3</v>
      </c>
      <c r="V635" s="15">
        <v>1</v>
      </c>
      <c r="W635" s="15">
        <v>1</v>
      </c>
      <c r="X635" s="30"/>
      <c r="Y635" s="15" t="s">
        <v>742</v>
      </c>
      <c r="Z635" s="15" t="s">
        <v>2742</v>
      </c>
      <c r="AA635" s="16" t="s">
        <v>701</v>
      </c>
      <c r="AB635" s="15">
        <v>0</v>
      </c>
      <c r="AC635" s="15">
        <v>1</v>
      </c>
      <c r="AD635" s="15">
        <v>0</v>
      </c>
      <c r="AE635" s="15">
        <v>0</v>
      </c>
      <c r="AF635" s="15">
        <v>1</v>
      </c>
      <c r="AI635" s="15">
        <v>24</v>
      </c>
      <c r="AJ635" s="15">
        <v>1</v>
      </c>
      <c r="AK635" s="15">
        <v>0</v>
      </c>
      <c r="AL635" s="15">
        <v>0</v>
      </c>
      <c r="AM635" s="15">
        <v>0</v>
      </c>
      <c r="AN635" s="15">
        <v>0</v>
      </c>
      <c r="AP635" s="15">
        <v>1</v>
      </c>
      <c r="AQ635" s="15">
        <v>1</v>
      </c>
      <c r="AR635" s="15">
        <v>1</v>
      </c>
      <c r="AS635" s="15">
        <v>0</v>
      </c>
      <c r="AV635" s="15">
        <v>1</v>
      </c>
      <c r="BD635" s="16"/>
      <c r="BE635" s="7">
        <v>240</v>
      </c>
      <c r="BG635" s="15">
        <v>2</v>
      </c>
      <c r="BL635" s="7">
        <v>0</v>
      </c>
    </row>
    <row r="636" spans="1:64" s="15" customFormat="1">
      <c r="A636" s="15">
        <v>130417</v>
      </c>
      <c r="B636" s="15" t="s">
        <v>1909</v>
      </c>
      <c r="C636" s="15" t="s">
        <v>740</v>
      </c>
      <c r="D636" s="15" t="s">
        <v>741</v>
      </c>
      <c r="E636" s="15">
        <v>1</v>
      </c>
      <c r="F636" s="15" t="s">
        <v>959</v>
      </c>
      <c r="G636" s="15">
        <v>0</v>
      </c>
      <c r="H636" s="15">
        <v>0</v>
      </c>
      <c r="I636" s="15">
        <v>99999</v>
      </c>
      <c r="J636" s="15">
        <v>0</v>
      </c>
      <c r="K636" s="15">
        <v>0</v>
      </c>
      <c r="L636" s="15" t="s">
        <v>1562</v>
      </c>
      <c r="M636" s="16">
        <v>1</v>
      </c>
      <c r="N636" s="7">
        <v>1</v>
      </c>
      <c r="Q636" s="15">
        <v>0</v>
      </c>
      <c r="S636" s="7">
        <v>10000</v>
      </c>
      <c r="T636" s="15">
        <v>3</v>
      </c>
      <c r="V636" s="15">
        <v>1</v>
      </c>
      <c r="W636" s="15">
        <v>1</v>
      </c>
      <c r="X636" s="30"/>
      <c r="Y636" s="15" t="s">
        <v>742</v>
      </c>
      <c r="Z636" s="15" t="s">
        <v>2743</v>
      </c>
      <c r="AA636" s="16" t="s">
        <v>701</v>
      </c>
      <c r="AB636" s="15">
        <v>0</v>
      </c>
      <c r="AC636" s="15">
        <v>1</v>
      </c>
      <c r="AD636" s="15">
        <v>0</v>
      </c>
      <c r="AE636" s="15">
        <v>0</v>
      </c>
      <c r="AF636" s="15">
        <v>1</v>
      </c>
      <c r="AI636" s="15">
        <v>24</v>
      </c>
      <c r="AJ636" s="15">
        <v>1</v>
      </c>
      <c r="AK636" s="15">
        <v>0</v>
      </c>
      <c r="AL636" s="15">
        <v>0</v>
      </c>
      <c r="AM636" s="15">
        <v>0</v>
      </c>
      <c r="AN636" s="15">
        <v>0</v>
      </c>
      <c r="AP636" s="15">
        <v>1</v>
      </c>
      <c r="AQ636" s="15">
        <v>1</v>
      </c>
      <c r="AR636" s="15">
        <v>1</v>
      </c>
      <c r="AS636" s="15">
        <v>0</v>
      </c>
      <c r="AV636" s="15">
        <v>1</v>
      </c>
      <c r="BD636" s="16"/>
      <c r="BE636" s="7">
        <v>240</v>
      </c>
      <c r="BG636" s="15">
        <v>2</v>
      </c>
      <c r="BL636" s="7">
        <v>0</v>
      </c>
    </row>
    <row r="637" spans="1:64" s="15" customFormat="1">
      <c r="A637" s="15">
        <v>130418</v>
      </c>
      <c r="B637" s="15" t="s">
        <v>1910</v>
      </c>
      <c r="C637" s="15" t="s">
        <v>740</v>
      </c>
      <c r="D637" s="15" t="s">
        <v>741</v>
      </c>
      <c r="E637" s="15">
        <v>1</v>
      </c>
      <c r="F637" s="15" t="s">
        <v>959</v>
      </c>
      <c r="G637" s="15">
        <v>0</v>
      </c>
      <c r="H637" s="15">
        <v>0</v>
      </c>
      <c r="I637" s="15">
        <v>99999</v>
      </c>
      <c r="J637" s="15">
        <v>0</v>
      </c>
      <c r="K637" s="15">
        <v>0</v>
      </c>
      <c r="L637" s="15" t="s">
        <v>1562</v>
      </c>
      <c r="M637" s="16">
        <v>1</v>
      </c>
      <c r="N637" s="7">
        <v>1</v>
      </c>
      <c r="Q637" s="15">
        <v>0</v>
      </c>
      <c r="S637" s="7">
        <v>10000</v>
      </c>
      <c r="T637" s="15">
        <v>3</v>
      </c>
      <c r="V637" s="15">
        <v>1</v>
      </c>
      <c r="W637" s="15">
        <v>1</v>
      </c>
      <c r="X637" s="30"/>
      <c r="Y637" s="15" t="s">
        <v>742</v>
      </c>
      <c r="Z637" s="15" t="s">
        <v>2744</v>
      </c>
      <c r="AA637" s="16" t="s">
        <v>701</v>
      </c>
      <c r="AB637" s="15">
        <v>0</v>
      </c>
      <c r="AC637" s="15">
        <v>1</v>
      </c>
      <c r="AD637" s="15">
        <v>0</v>
      </c>
      <c r="AE637" s="15">
        <v>0</v>
      </c>
      <c r="AF637" s="15">
        <v>1</v>
      </c>
      <c r="AI637" s="15">
        <v>24</v>
      </c>
      <c r="AJ637" s="15">
        <v>1</v>
      </c>
      <c r="AK637" s="15">
        <v>0</v>
      </c>
      <c r="AL637" s="15">
        <v>0</v>
      </c>
      <c r="AM637" s="15">
        <v>0</v>
      </c>
      <c r="AN637" s="15">
        <v>0</v>
      </c>
      <c r="AP637" s="15">
        <v>1</v>
      </c>
      <c r="AQ637" s="15">
        <v>1</v>
      </c>
      <c r="AR637" s="15">
        <v>1</v>
      </c>
      <c r="AS637" s="15">
        <v>0</v>
      </c>
      <c r="AV637" s="15">
        <v>1</v>
      </c>
      <c r="BD637" s="16"/>
      <c r="BE637" s="7">
        <v>240</v>
      </c>
      <c r="BG637" s="15">
        <v>2</v>
      </c>
      <c r="BL637" s="7">
        <v>0</v>
      </c>
    </row>
    <row r="638" spans="1:64" s="15" customFormat="1">
      <c r="A638" s="15">
        <v>130419</v>
      </c>
      <c r="B638" s="15" t="s">
        <v>1911</v>
      </c>
      <c r="C638" s="15" t="s">
        <v>740</v>
      </c>
      <c r="D638" s="15" t="s">
        <v>741</v>
      </c>
      <c r="E638" s="15">
        <v>1</v>
      </c>
      <c r="F638" s="15" t="s">
        <v>959</v>
      </c>
      <c r="G638" s="15">
        <v>0</v>
      </c>
      <c r="H638" s="15">
        <v>0</v>
      </c>
      <c r="I638" s="15">
        <v>99999</v>
      </c>
      <c r="J638" s="15">
        <v>0</v>
      </c>
      <c r="K638" s="15">
        <v>0</v>
      </c>
      <c r="L638" s="15" t="s">
        <v>1562</v>
      </c>
      <c r="M638" s="16">
        <v>1</v>
      </c>
      <c r="N638" s="7">
        <v>1</v>
      </c>
      <c r="Q638" s="15">
        <v>0</v>
      </c>
      <c r="S638" s="7">
        <v>10000</v>
      </c>
      <c r="T638" s="15">
        <v>3</v>
      </c>
      <c r="V638" s="15">
        <v>1</v>
      </c>
      <c r="W638" s="15">
        <v>1</v>
      </c>
      <c r="X638" s="30"/>
      <c r="Y638" s="15" t="s">
        <v>742</v>
      </c>
      <c r="Z638" s="15" t="s">
        <v>2745</v>
      </c>
      <c r="AA638" s="16" t="s">
        <v>701</v>
      </c>
      <c r="AB638" s="15">
        <v>0</v>
      </c>
      <c r="AC638" s="15">
        <v>1</v>
      </c>
      <c r="AD638" s="15">
        <v>0</v>
      </c>
      <c r="AE638" s="15">
        <v>0</v>
      </c>
      <c r="AF638" s="15">
        <v>1</v>
      </c>
      <c r="AI638" s="15">
        <v>24</v>
      </c>
      <c r="AJ638" s="15">
        <v>1</v>
      </c>
      <c r="AK638" s="15">
        <v>0</v>
      </c>
      <c r="AL638" s="15">
        <v>0</v>
      </c>
      <c r="AM638" s="15">
        <v>0</v>
      </c>
      <c r="AN638" s="15">
        <v>0</v>
      </c>
      <c r="AP638" s="15">
        <v>1</v>
      </c>
      <c r="AQ638" s="15">
        <v>1</v>
      </c>
      <c r="AR638" s="15">
        <v>1</v>
      </c>
      <c r="AS638" s="15">
        <v>0</v>
      </c>
      <c r="AV638" s="15">
        <v>1</v>
      </c>
      <c r="BD638" s="16"/>
      <c r="BE638" s="7">
        <v>240</v>
      </c>
      <c r="BG638" s="15">
        <v>2</v>
      </c>
      <c r="BL638" s="7">
        <v>0</v>
      </c>
    </row>
    <row r="639" spans="1:64">
      <c r="A639">
        <v>130421</v>
      </c>
      <c r="B639" t="s">
        <v>1912</v>
      </c>
      <c r="C639" t="s">
        <v>740</v>
      </c>
      <c r="D639" t="s">
        <v>741</v>
      </c>
      <c r="E639">
        <v>1</v>
      </c>
      <c r="F639" t="s">
        <v>959</v>
      </c>
      <c r="G639">
        <v>0</v>
      </c>
      <c r="H639">
        <v>0</v>
      </c>
      <c r="I639">
        <v>99999</v>
      </c>
      <c r="J639">
        <v>0</v>
      </c>
      <c r="K639">
        <v>0</v>
      </c>
      <c r="L639" t="s">
        <v>1562</v>
      </c>
      <c r="M639" s="7">
        <v>1</v>
      </c>
      <c r="N639" s="7">
        <v>1</v>
      </c>
      <c r="Q639">
        <v>0</v>
      </c>
      <c r="S639" s="7">
        <v>2000</v>
      </c>
      <c r="T639">
        <v>3</v>
      </c>
      <c r="V639">
        <v>1</v>
      </c>
      <c r="W639">
        <v>1</v>
      </c>
      <c r="Y639" t="s">
        <v>742</v>
      </c>
      <c r="Z639" t="s">
        <v>2746</v>
      </c>
      <c r="AA639" s="7" t="s">
        <v>701</v>
      </c>
      <c r="AB639">
        <v>0</v>
      </c>
      <c r="AC639">
        <v>1</v>
      </c>
      <c r="AD639">
        <v>0</v>
      </c>
      <c r="AE639">
        <v>0</v>
      </c>
      <c r="AF639">
        <v>1</v>
      </c>
      <c r="AI639" s="7">
        <v>24</v>
      </c>
      <c r="AJ639" s="7">
        <v>1</v>
      </c>
      <c r="AK639" s="7">
        <v>0</v>
      </c>
      <c r="AL639" s="7">
        <v>0</v>
      </c>
      <c r="AM639" s="7">
        <v>0</v>
      </c>
      <c r="AN639" s="7">
        <v>0</v>
      </c>
      <c r="AP639">
        <v>1</v>
      </c>
      <c r="AQ639" s="7">
        <v>1</v>
      </c>
      <c r="AR639" s="7">
        <v>1</v>
      </c>
      <c r="AS639" s="7">
        <v>0</v>
      </c>
      <c r="AV639" s="7">
        <v>1</v>
      </c>
      <c r="BD639" s="7"/>
      <c r="BE639" s="7">
        <v>240</v>
      </c>
      <c r="BG639" s="7">
        <v>2</v>
      </c>
      <c r="BL639" s="7">
        <v>0</v>
      </c>
    </row>
    <row r="640" spans="1:64" s="15" customFormat="1">
      <c r="A640" s="15">
        <v>130422</v>
      </c>
      <c r="B640" s="15" t="s">
        <v>1913</v>
      </c>
      <c r="C640" s="15" t="s">
        <v>740</v>
      </c>
      <c r="D640" s="15" t="s">
        <v>741</v>
      </c>
      <c r="E640" s="15">
        <v>1</v>
      </c>
      <c r="F640" s="15" t="s">
        <v>959</v>
      </c>
      <c r="G640" s="15">
        <v>0</v>
      </c>
      <c r="H640" s="15">
        <v>0</v>
      </c>
      <c r="I640" s="15">
        <v>99999</v>
      </c>
      <c r="J640" s="15">
        <v>0</v>
      </c>
      <c r="K640" s="15">
        <v>0</v>
      </c>
      <c r="L640" s="15" t="s">
        <v>1562</v>
      </c>
      <c r="M640" s="16">
        <v>1</v>
      </c>
      <c r="N640" s="16">
        <v>1</v>
      </c>
      <c r="Q640" s="15">
        <v>0</v>
      </c>
      <c r="S640" s="16">
        <v>4000</v>
      </c>
      <c r="T640" s="15">
        <v>3</v>
      </c>
      <c r="V640" s="15">
        <v>1</v>
      </c>
      <c r="W640" s="15">
        <v>1</v>
      </c>
      <c r="X640" s="30"/>
      <c r="Y640" s="15" t="s">
        <v>742</v>
      </c>
      <c r="Z640" s="15" t="s">
        <v>2747</v>
      </c>
      <c r="AA640" s="16" t="s">
        <v>701</v>
      </c>
      <c r="AB640" s="15">
        <v>0</v>
      </c>
      <c r="AC640" s="15">
        <v>1</v>
      </c>
      <c r="AD640" s="15">
        <v>0</v>
      </c>
      <c r="AE640" s="15">
        <v>0</v>
      </c>
      <c r="AF640" s="15">
        <v>1</v>
      </c>
      <c r="AI640" s="16">
        <v>24</v>
      </c>
      <c r="AJ640" s="16">
        <v>1</v>
      </c>
      <c r="AK640" s="16">
        <v>0</v>
      </c>
      <c r="AL640" s="16">
        <v>0</v>
      </c>
      <c r="AM640" s="16">
        <v>0</v>
      </c>
      <c r="AN640" s="16">
        <v>0</v>
      </c>
      <c r="AO640" s="16"/>
      <c r="AP640" s="15">
        <v>1</v>
      </c>
      <c r="AQ640" s="16">
        <v>1</v>
      </c>
      <c r="AR640" s="16">
        <v>1</v>
      </c>
      <c r="AS640" s="16">
        <v>0</v>
      </c>
      <c r="AV640" s="16">
        <v>1</v>
      </c>
      <c r="BD640" s="16"/>
      <c r="BE640" s="16">
        <v>240</v>
      </c>
      <c r="BG640" s="15">
        <v>2</v>
      </c>
      <c r="BL640" s="7">
        <v>0</v>
      </c>
    </row>
    <row r="641" spans="1:64" s="15" customFormat="1">
      <c r="A641" s="15">
        <v>130423</v>
      </c>
      <c r="B641" s="15" t="s">
        <v>1914</v>
      </c>
      <c r="C641" s="15" t="s">
        <v>740</v>
      </c>
      <c r="D641" s="15" t="s">
        <v>741</v>
      </c>
      <c r="E641" s="15">
        <v>1</v>
      </c>
      <c r="F641" s="15" t="s">
        <v>959</v>
      </c>
      <c r="G641" s="15">
        <v>0</v>
      </c>
      <c r="H641" s="15">
        <v>0</v>
      </c>
      <c r="I641" s="15">
        <v>99999</v>
      </c>
      <c r="J641" s="15">
        <v>0</v>
      </c>
      <c r="K641" s="15">
        <v>0</v>
      </c>
      <c r="L641" s="15" t="s">
        <v>1562</v>
      </c>
      <c r="M641" s="16">
        <v>1</v>
      </c>
      <c r="N641" s="7">
        <v>1</v>
      </c>
      <c r="Q641" s="15">
        <v>0</v>
      </c>
      <c r="S641" s="7">
        <v>10000</v>
      </c>
      <c r="T641" s="15">
        <v>3</v>
      </c>
      <c r="V641" s="15">
        <v>1</v>
      </c>
      <c r="W641" s="15">
        <v>1</v>
      </c>
      <c r="X641" s="30"/>
      <c r="Y641" s="15" t="s">
        <v>742</v>
      </c>
      <c r="Z641" s="15" t="s">
        <v>2748</v>
      </c>
      <c r="AA641" s="16" t="s">
        <v>701</v>
      </c>
      <c r="AB641" s="15">
        <v>0</v>
      </c>
      <c r="AC641" s="15">
        <v>1</v>
      </c>
      <c r="AD641" s="15">
        <v>0</v>
      </c>
      <c r="AE641" s="15">
        <v>0</v>
      </c>
      <c r="AF641" s="15">
        <v>1</v>
      </c>
      <c r="AI641" s="15">
        <v>24</v>
      </c>
      <c r="AJ641" s="15">
        <v>1</v>
      </c>
      <c r="AK641" s="15">
        <v>0</v>
      </c>
      <c r="AL641" s="15">
        <v>0</v>
      </c>
      <c r="AM641" s="15">
        <v>0</v>
      </c>
      <c r="AN641" s="15">
        <v>0</v>
      </c>
      <c r="AP641" s="15">
        <v>1</v>
      </c>
      <c r="AQ641" s="15">
        <v>1</v>
      </c>
      <c r="AR641" s="15">
        <v>1</v>
      </c>
      <c r="AS641" s="15">
        <v>0</v>
      </c>
      <c r="AV641" s="15">
        <v>1</v>
      </c>
      <c r="BD641" s="16"/>
      <c r="BE641" s="7">
        <v>240</v>
      </c>
      <c r="BG641" s="15">
        <v>2</v>
      </c>
      <c r="BL641" s="7">
        <v>0</v>
      </c>
    </row>
    <row r="642" spans="1:64" s="15" customFormat="1">
      <c r="A642" s="15">
        <v>130424</v>
      </c>
      <c r="B642" s="15" t="s">
        <v>1915</v>
      </c>
      <c r="C642" s="15" t="s">
        <v>740</v>
      </c>
      <c r="D642" s="15" t="s">
        <v>741</v>
      </c>
      <c r="E642" s="15">
        <v>1</v>
      </c>
      <c r="F642" s="15" t="s">
        <v>959</v>
      </c>
      <c r="G642" s="15">
        <v>0</v>
      </c>
      <c r="H642" s="15">
        <v>0</v>
      </c>
      <c r="I642" s="15">
        <v>99999</v>
      </c>
      <c r="J642" s="15">
        <v>0</v>
      </c>
      <c r="K642" s="15">
        <v>0</v>
      </c>
      <c r="L642" s="15" t="s">
        <v>1562</v>
      </c>
      <c r="M642" s="16">
        <v>1</v>
      </c>
      <c r="N642" s="7">
        <v>1</v>
      </c>
      <c r="Q642" s="15">
        <v>0</v>
      </c>
      <c r="S642" s="7">
        <v>10000</v>
      </c>
      <c r="T642" s="15">
        <v>3</v>
      </c>
      <c r="V642" s="15">
        <v>1</v>
      </c>
      <c r="W642" s="15">
        <v>1</v>
      </c>
      <c r="X642" s="30"/>
      <c r="Y642" s="15" t="s">
        <v>742</v>
      </c>
      <c r="Z642" s="15" t="s">
        <v>2749</v>
      </c>
      <c r="AA642" s="16" t="s">
        <v>701</v>
      </c>
      <c r="AB642" s="15">
        <v>0</v>
      </c>
      <c r="AC642" s="15">
        <v>1</v>
      </c>
      <c r="AD642" s="15">
        <v>0</v>
      </c>
      <c r="AE642" s="15">
        <v>0</v>
      </c>
      <c r="AF642" s="15">
        <v>1</v>
      </c>
      <c r="AI642" s="15">
        <v>24</v>
      </c>
      <c r="AJ642" s="15">
        <v>1</v>
      </c>
      <c r="AK642" s="15">
        <v>0</v>
      </c>
      <c r="AL642" s="15">
        <v>0</v>
      </c>
      <c r="AM642" s="15">
        <v>0</v>
      </c>
      <c r="AN642" s="15">
        <v>0</v>
      </c>
      <c r="AP642" s="15">
        <v>1</v>
      </c>
      <c r="AQ642" s="15">
        <v>1</v>
      </c>
      <c r="AR642" s="15">
        <v>1</v>
      </c>
      <c r="AS642" s="15">
        <v>0</v>
      </c>
      <c r="AV642" s="15">
        <v>1</v>
      </c>
      <c r="BD642" s="16"/>
      <c r="BE642" s="7">
        <v>240</v>
      </c>
      <c r="BG642" s="15">
        <v>2</v>
      </c>
      <c r="BL642" s="7">
        <v>0</v>
      </c>
    </row>
    <row r="643" spans="1:64" s="15" customFormat="1">
      <c r="A643" s="15">
        <v>130425</v>
      </c>
      <c r="B643" s="15" t="s">
        <v>1916</v>
      </c>
      <c r="C643" s="15" t="s">
        <v>740</v>
      </c>
      <c r="D643" s="15" t="s">
        <v>741</v>
      </c>
      <c r="E643" s="15">
        <v>1</v>
      </c>
      <c r="F643" s="15" t="s">
        <v>959</v>
      </c>
      <c r="G643" s="15">
        <v>0</v>
      </c>
      <c r="H643" s="15">
        <v>0</v>
      </c>
      <c r="I643" s="15">
        <v>99999</v>
      </c>
      <c r="J643" s="15">
        <v>0</v>
      </c>
      <c r="K643" s="15">
        <v>0</v>
      </c>
      <c r="L643" s="15" t="s">
        <v>1562</v>
      </c>
      <c r="M643" s="16">
        <v>1</v>
      </c>
      <c r="N643" s="7">
        <v>1</v>
      </c>
      <c r="Q643" s="15">
        <v>0</v>
      </c>
      <c r="S643" s="7">
        <v>10000</v>
      </c>
      <c r="T643" s="15">
        <v>3</v>
      </c>
      <c r="V643" s="15">
        <v>1</v>
      </c>
      <c r="W643" s="15">
        <v>1</v>
      </c>
      <c r="X643" s="30"/>
      <c r="Y643" s="15" t="s">
        <v>742</v>
      </c>
      <c r="Z643" s="15" t="s">
        <v>2750</v>
      </c>
      <c r="AA643" s="16" t="s">
        <v>701</v>
      </c>
      <c r="AB643" s="15">
        <v>0</v>
      </c>
      <c r="AC643" s="15">
        <v>1</v>
      </c>
      <c r="AD643" s="15">
        <v>0</v>
      </c>
      <c r="AE643" s="15">
        <v>0</v>
      </c>
      <c r="AF643" s="15">
        <v>1</v>
      </c>
      <c r="AI643" s="15">
        <v>24</v>
      </c>
      <c r="AJ643" s="15">
        <v>1</v>
      </c>
      <c r="AK643" s="15">
        <v>0</v>
      </c>
      <c r="AL643" s="15">
        <v>0</v>
      </c>
      <c r="AM643" s="15">
        <v>0</v>
      </c>
      <c r="AN643" s="15">
        <v>0</v>
      </c>
      <c r="AP643" s="15">
        <v>1</v>
      </c>
      <c r="AQ643" s="15">
        <v>1</v>
      </c>
      <c r="AR643" s="15">
        <v>1</v>
      </c>
      <c r="AS643" s="15">
        <v>0</v>
      </c>
      <c r="AV643" s="15">
        <v>1</v>
      </c>
      <c r="BD643" s="16"/>
      <c r="BE643" s="7">
        <v>240</v>
      </c>
      <c r="BG643" s="15">
        <v>2</v>
      </c>
      <c r="BL643" s="7">
        <v>0</v>
      </c>
    </row>
    <row r="644" spans="1:64" s="15" customFormat="1">
      <c r="A644" s="15">
        <v>130426</v>
      </c>
      <c r="B644" s="15" t="s">
        <v>1917</v>
      </c>
      <c r="C644" s="15" t="s">
        <v>740</v>
      </c>
      <c r="D644" s="15" t="s">
        <v>741</v>
      </c>
      <c r="E644" s="15">
        <v>1</v>
      </c>
      <c r="F644" s="15" t="s">
        <v>959</v>
      </c>
      <c r="G644" s="15">
        <v>0</v>
      </c>
      <c r="H644" s="15">
        <v>0</v>
      </c>
      <c r="I644" s="15">
        <v>99999</v>
      </c>
      <c r="J644" s="15">
        <v>0</v>
      </c>
      <c r="K644" s="15">
        <v>0</v>
      </c>
      <c r="L644" s="15" t="s">
        <v>1562</v>
      </c>
      <c r="M644" s="16">
        <v>1</v>
      </c>
      <c r="N644" s="7">
        <v>1</v>
      </c>
      <c r="Q644" s="15">
        <v>0</v>
      </c>
      <c r="S644" s="7">
        <v>10000</v>
      </c>
      <c r="T644" s="15">
        <v>3</v>
      </c>
      <c r="V644" s="15">
        <v>1</v>
      </c>
      <c r="W644" s="15">
        <v>1</v>
      </c>
      <c r="X644" s="30"/>
      <c r="Y644" s="15" t="s">
        <v>742</v>
      </c>
      <c r="Z644" s="15" t="s">
        <v>2751</v>
      </c>
      <c r="AA644" s="16" t="s">
        <v>701</v>
      </c>
      <c r="AB644" s="15">
        <v>0</v>
      </c>
      <c r="AC644" s="15">
        <v>1</v>
      </c>
      <c r="AD644" s="15">
        <v>0</v>
      </c>
      <c r="AE644" s="15">
        <v>0</v>
      </c>
      <c r="AF644" s="15">
        <v>1</v>
      </c>
      <c r="AI644" s="15">
        <v>24</v>
      </c>
      <c r="AJ644" s="15">
        <v>1</v>
      </c>
      <c r="AK644" s="15">
        <v>0</v>
      </c>
      <c r="AL644" s="15">
        <v>0</v>
      </c>
      <c r="AM644" s="15">
        <v>0</v>
      </c>
      <c r="AN644" s="15">
        <v>0</v>
      </c>
      <c r="AP644" s="15">
        <v>1</v>
      </c>
      <c r="AQ644" s="15">
        <v>1</v>
      </c>
      <c r="AR644" s="15">
        <v>1</v>
      </c>
      <c r="AS644" s="15">
        <v>0</v>
      </c>
      <c r="AV644" s="15">
        <v>1</v>
      </c>
      <c r="BD644" s="16"/>
      <c r="BE644" s="7">
        <v>240</v>
      </c>
      <c r="BG644" s="15">
        <v>2</v>
      </c>
      <c r="BL644" s="7">
        <v>0</v>
      </c>
    </row>
    <row r="645" spans="1:64" s="15" customFormat="1">
      <c r="A645" s="15">
        <v>130427</v>
      </c>
      <c r="B645" s="15" t="s">
        <v>1918</v>
      </c>
      <c r="C645" s="15" t="s">
        <v>740</v>
      </c>
      <c r="D645" s="15" t="s">
        <v>741</v>
      </c>
      <c r="E645" s="15">
        <v>1</v>
      </c>
      <c r="F645" s="15" t="s">
        <v>959</v>
      </c>
      <c r="G645" s="15">
        <v>0</v>
      </c>
      <c r="H645" s="15">
        <v>0</v>
      </c>
      <c r="I645" s="15">
        <v>99999</v>
      </c>
      <c r="J645" s="15">
        <v>0</v>
      </c>
      <c r="K645" s="15">
        <v>0</v>
      </c>
      <c r="L645" s="15" t="s">
        <v>1562</v>
      </c>
      <c r="M645" s="16">
        <v>1</v>
      </c>
      <c r="N645" s="7">
        <v>1</v>
      </c>
      <c r="Q645" s="15">
        <v>0</v>
      </c>
      <c r="S645" s="7">
        <v>10000</v>
      </c>
      <c r="T645" s="15">
        <v>3</v>
      </c>
      <c r="V645" s="15">
        <v>1</v>
      </c>
      <c r="W645" s="15">
        <v>1</v>
      </c>
      <c r="X645" s="30"/>
      <c r="Y645" s="15" t="s">
        <v>742</v>
      </c>
      <c r="Z645" s="15" t="s">
        <v>2752</v>
      </c>
      <c r="AA645" s="16" t="s">
        <v>701</v>
      </c>
      <c r="AB645" s="15">
        <v>0</v>
      </c>
      <c r="AC645" s="15">
        <v>1</v>
      </c>
      <c r="AD645" s="15">
        <v>0</v>
      </c>
      <c r="AE645" s="15">
        <v>0</v>
      </c>
      <c r="AF645" s="15">
        <v>1</v>
      </c>
      <c r="AI645" s="15">
        <v>24</v>
      </c>
      <c r="AJ645" s="15">
        <v>1</v>
      </c>
      <c r="AK645" s="15">
        <v>0</v>
      </c>
      <c r="AL645" s="15">
        <v>0</v>
      </c>
      <c r="AM645" s="15">
        <v>0</v>
      </c>
      <c r="AN645" s="15">
        <v>0</v>
      </c>
      <c r="AP645" s="15">
        <v>1</v>
      </c>
      <c r="AQ645" s="15">
        <v>1</v>
      </c>
      <c r="AR645" s="15">
        <v>1</v>
      </c>
      <c r="AS645" s="15">
        <v>0</v>
      </c>
      <c r="AV645" s="15">
        <v>1</v>
      </c>
      <c r="BD645" s="16"/>
      <c r="BE645" s="7">
        <v>240</v>
      </c>
      <c r="BG645" s="15">
        <v>2</v>
      </c>
      <c r="BL645" s="7">
        <v>0</v>
      </c>
    </row>
    <row r="646" spans="1:64" s="15" customFormat="1">
      <c r="A646" s="15">
        <v>130428</v>
      </c>
      <c r="B646" s="15" t="s">
        <v>1919</v>
      </c>
      <c r="C646" s="15" t="s">
        <v>740</v>
      </c>
      <c r="D646" s="15" t="s">
        <v>741</v>
      </c>
      <c r="E646" s="15">
        <v>1</v>
      </c>
      <c r="F646" s="15" t="s">
        <v>959</v>
      </c>
      <c r="G646" s="15">
        <v>0</v>
      </c>
      <c r="H646" s="15">
        <v>0</v>
      </c>
      <c r="I646" s="15">
        <v>99999</v>
      </c>
      <c r="J646" s="15">
        <v>0</v>
      </c>
      <c r="K646" s="15">
        <v>0</v>
      </c>
      <c r="L646" s="15" t="s">
        <v>1562</v>
      </c>
      <c r="M646" s="16">
        <v>1</v>
      </c>
      <c r="N646" s="7">
        <v>1</v>
      </c>
      <c r="Q646" s="15">
        <v>0</v>
      </c>
      <c r="S646" s="7">
        <v>10000</v>
      </c>
      <c r="T646" s="15">
        <v>3</v>
      </c>
      <c r="V646" s="15">
        <v>1</v>
      </c>
      <c r="W646" s="15">
        <v>1</v>
      </c>
      <c r="X646" s="30"/>
      <c r="Y646" s="15" t="s">
        <v>742</v>
      </c>
      <c r="Z646" s="15" t="s">
        <v>2753</v>
      </c>
      <c r="AA646" s="16" t="s">
        <v>701</v>
      </c>
      <c r="AB646" s="15">
        <v>0</v>
      </c>
      <c r="AC646" s="15">
        <v>1</v>
      </c>
      <c r="AD646" s="15">
        <v>0</v>
      </c>
      <c r="AE646" s="15">
        <v>0</v>
      </c>
      <c r="AF646" s="15">
        <v>1</v>
      </c>
      <c r="AI646" s="15">
        <v>24</v>
      </c>
      <c r="AJ646" s="15">
        <v>1</v>
      </c>
      <c r="AK646" s="15">
        <v>0</v>
      </c>
      <c r="AL646" s="15">
        <v>0</v>
      </c>
      <c r="AM646" s="15">
        <v>0</v>
      </c>
      <c r="AN646" s="15">
        <v>0</v>
      </c>
      <c r="AP646" s="15">
        <v>1</v>
      </c>
      <c r="AQ646" s="15">
        <v>1</v>
      </c>
      <c r="AR646" s="15">
        <v>1</v>
      </c>
      <c r="AS646" s="15">
        <v>0</v>
      </c>
      <c r="AV646" s="15">
        <v>1</v>
      </c>
      <c r="BD646" s="16"/>
      <c r="BE646" s="7">
        <v>240</v>
      </c>
      <c r="BG646" s="15">
        <v>2</v>
      </c>
      <c r="BL646" s="7">
        <v>0</v>
      </c>
    </row>
    <row r="647" spans="1:64" s="15" customFormat="1">
      <c r="A647" s="15">
        <v>130429</v>
      </c>
      <c r="B647" s="15" t="s">
        <v>1920</v>
      </c>
      <c r="C647" s="15" t="s">
        <v>740</v>
      </c>
      <c r="D647" s="15" t="s">
        <v>741</v>
      </c>
      <c r="E647" s="15">
        <v>1</v>
      </c>
      <c r="F647" s="15" t="s">
        <v>959</v>
      </c>
      <c r="G647" s="15">
        <v>0</v>
      </c>
      <c r="H647" s="15">
        <v>0</v>
      </c>
      <c r="I647" s="15">
        <v>99999</v>
      </c>
      <c r="J647" s="15">
        <v>0</v>
      </c>
      <c r="K647" s="15">
        <v>0</v>
      </c>
      <c r="L647" s="15" t="s">
        <v>1562</v>
      </c>
      <c r="M647" s="16">
        <v>1</v>
      </c>
      <c r="N647" s="7">
        <v>1</v>
      </c>
      <c r="Q647" s="15">
        <v>0</v>
      </c>
      <c r="S647" s="7">
        <v>10000</v>
      </c>
      <c r="T647" s="15">
        <v>3</v>
      </c>
      <c r="V647" s="15">
        <v>1</v>
      </c>
      <c r="W647" s="15">
        <v>1</v>
      </c>
      <c r="X647" s="30"/>
      <c r="Y647" s="15" t="s">
        <v>742</v>
      </c>
      <c r="Z647" s="15" t="s">
        <v>2754</v>
      </c>
      <c r="AA647" s="16" t="s">
        <v>701</v>
      </c>
      <c r="AB647" s="15">
        <v>0</v>
      </c>
      <c r="AC647" s="15">
        <v>1</v>
      </c>
      <c r="AD647" s="15">
        <v>0</v>
      </c>
      <c r="AE647" s="15">
        <v>0</v>
      </c>
      <c r="AF647" s="15">
        <v>1</v>
      </c>
      <c r="AI647" s="15">
        <v>24</v>
      </c>
      <c r="AJ647" s="15">
        <v>1</v>
      </c>
      <c r="AK647" s="15">
        <v>0</v>
      </c>
      <c r="AL647" s="15">
        <v>0</v>
      </c>
      <c r="AM647" s="15">
        <v>0</v>
      </c>
      <c r="AN647" s="15">
        <v>0</v>
      </c>
      <c r="AP647" s="15">
        <v>1</v>
      </c>
      <c r="AQ647" s="15">
        <v>1</v>
      </c>
      <c r="AR647" s="15">
        <v>1</v>
      </c>
      <c r="AS647" s="15">
        <v>0</v>
      </c>
      <c r="AV647" s="15">
        <v>1</v>
      </c>
      <c r="BD647" s="16"/>
      <c r="BE647" s="7">
        <v>240</v>
      </c>
      <c r="BG647" s="15">
        <v>2</v>
      </c>
      <c r="BL647" s="7">
        <v>0</v>
      </c>
    </row>
    <row r="648" spans="1:64">
      <c r="A648">
        <v>130511</v>
      </c>
      <c r="B648" t="s">
        <v>1921</v>
      </c>
      <c r="C648" t="s">
        <v>740</v>
      </c>
      <c r="D648" t="s">
        <v>741</v>
      </c>
      <c r="E648">
        <v>1</v>
      </c>
      <c r="F648" t="s">
        <v>959</v>
      </c>
      <c r="G648">
        <v>0</v>
      </c>
      <c r="H648">
        <v>0</v>
      </c>
      <c r="I648">
        <v>99999</v>
      </c>
      <c r="J648">
        <v>0</v>
      </c>
      <c r="K648">
        <v>0</v>
      </c>
      <c r="L648" t="s">
        <v>1562</v>
      </c>
      <c r="M648" s="7">
        <v>1</v>
      </c>
      <c r="N648" s="7">
        <v>1</v>
      </c>
      <c r="Q648">
        <v>0</v>
      </c>
      <c r="S648" s="7">
        <v>2000</v>
      </c>
      <c r="T648">
        <v>3</v>
      </c>
      <c r="V648">
        <v>1</v>
      </c>
      <c r="W648">
        <v>1</v>
      </c>
      <c r="Y648" t="s">
        <v>742</v>
      </c>
      <c r="Z648" t="s">
        <v>2755</v>
      </c>
      <c r="AA648" s="7" t="s">
        <v>701</v>
      </c>
      <c r="AB648">
        <v>0</v>
      </c>
      <c r="AC648">
        <v>1</v>
      </c>
      <c r="AD648">
        <v>0</v>
      </c>
      <c r="AE648">
        <v>0</v>
      </c>
      <c r="AF648">
        <v>1</v>
      </c>
      <c r="AI648" s="7">
        <v>24</v>
      </c>
      <c r="AJ648" s="7">
        <v>1</v>
      </c>
      <c r="AK648" s="7">
        <v>0</v>
      </c>
      <c r="AL648" s="7">
        <v>0</v>
      </c>
      <c r="AM648" s="7">
        <v>0</v>
      </c>
      <c r="AN648" s="7">
        <v>0</v>
      </c>
      <c r="AP648">
        <v>1</v>
      </c>
      <c r="AQ648" s="7">
        <v>1</v>
      </c>
      <c r="AR648" s="7">
        <v>1</v>
      </c>
      <c r="AS648" s="7">
        <v>0</v>
      </c>
      <c r="AV648" s="7">
        <v>1</v>
      </c>
      <c r="BD648" s="7"/>
      <c r="BE648" s="7">
        <v>240</v>
      </c>
      <c r="BG648" s="7">
        <v>2</v>
      </c>
      <c r="BL648" s="7">
        <v>0</v>
      </c>
    </row>
    <row r="649" spans="1:64" s="15" customFormat="1">
      <c r="A649" s="15">
        <v>130512</v>
      </c>
      <c r="B649" s="15" t="s">
        <v>1922</v>
      </c>
      <c r="C649" s="15" t="s">
        <v>740</v>
      </c>
      <c r="D649" s="15" t="s">
        <v>741</v>
      </c>
      <c r="E649" s="15">
        <v>1</v>
      </c>
      <c r="F649" s="15" t="s">
        <v>959</v>
      </c>
      <c r="G649" s="15">
        <v>0</v>
      </c>
      <c r="H649" s="15">
        <v>0</v>
      </c>
      <c r="I649" s="15">
        <v>99999</v>
      </c>
      <c r="J649" s="15">
        <v>0</v>
      </c>
      <c r="K649" s="15">
        <v>0</v>
      </c>
      <c r="L649" s="15" t="s">
        <v>1562</v>
      </c>
      <c r="M649" s="16">
        <v>1</v>
      </c>
      <c r="N649" s="16">
        <v>1</v>
      </c>
      <c r="Q649" s="15">
        <v>0</v>
      </c>
      <c r="S649" s="16">
        <v>4000</v>
      </c>
      <c r="T649" s="15">
        <v>3</v>
      </c>
      <c r="V649" s="15">
        <v>1</v>
      </c>
      <c r="W649" s="15">
        <v>1</v>
      </c>
      <c r="X649" s="30"/>
      <c r="Y649" s="15" t="s">
        <v>742</v>
      </c>
      <c r="Z649" s="15" t="s">
        <v>2756</v>
      </c>
      <c r="AA649" s="16" t="s">
        <v>701</v>
      </c>
      <c r="AB649" s="15">
        <v>0</v>
      </c>
      <c r="AC649" s="15">
        <v>1</v>
      </c>
      <c r="AD649" s="15">
        <v>0</v>
      </c>
      <c r="AE649" s="15">
        <v>0</v>
      </c>
      <c r="AF649" s="15">
        <v>1</v>
      </c>
      <c r="AI649" s="16">
        <v>24</v>
      </c>
      <c r="AJ649" s="16">
        <v>1</v>
      </c>
      <c r="AK649" s="16">
        <v>0</v>
      </c>
      <c r="AL649" s="16">
        <v>0</v>
      </c>
      <c r="AM649" s="16">
        <v>0</v>
      </c>
      <c r="AN649" s="16">
        <v>0</v>
      </c>
      <c r="AO649" s="16"/>
      <c r="AP649" s="15">
        <v>1</v>
      </c>
      <c r="AQ649" s="16">
        <v>1</v>
      </c>
      <c r="AR649" s="16">
        <v>1</v>
      </c>
      <c r="AS649" s="16">
        <v>0</v>
      </c>
      <c r="AV649" s="16">
        <v>1</v>
      </c>
      <c r="BD649" s="16"/>
      <c r="BE649" s="16">
        <v>240</v>
      </c>
      <c r="BG649" s="15">
        <v>2</v>
      </c>
      <c r="BL649" s="7">
        <v>0</v>
      </c>
    </row>
    <row r="650" spans="1:64" s="15" customFormat="1">
      <c r="A650" s="15">
        <v>130513</v>
      </c>
      <c r="B650" s="15" t="s">
        <v>1923</v>
      </c>
      <c r="C650" s="15" t="s">
        <v>740</v>
      </c>
      <c r="D650" s="15" t="s">
        <v>741</v>
      </c>
      <c r="E650" s="15">
        <v>1</v>
      </c>
      <c r="F650" s="15" t="s">
        <v>959</v>
      </c>
      <c r="G650" s="15">
        <v>0</v>
      </c>
      <c r="H650" s="15">
        <v>0</v>
      </c>
      <c r="I650" s="15">
        <v>99999</v>
      </c>
      <c r="J650" s="15">
        <v>0</v>
      </c>
      <c r="K650" s="15">
        <v>0</v>
      </c>
      <c r="L650" s="15" t="s">
        <v>1562</v>
      </c>
      <c r="M650" s="16">
        <v>1</v>
      </c>
      <c r="N650" s="7">
        <v>1</v>
      </c>
      <c r="Q650" s="15">
        <v>0</v>
      </c>
      <c r="S650" s="7">
        <v>10000</v>
      </c>
      <c r="T650" s="15">
        <v>3</v>
      </c>
      <c r="V650" s="15">
        <v>1</v>
      </c>
      <c r="W650" s="15">
        <v>1</v>
      </c>
      <c r="X650" s="30"/>
      <c r="Y650" s="15" t="s">
        <v>742</v>
      </c>
      <c r="Z650" s="15" t="s">
        <v>2757</v>
      </c>
      <c r="AA650" s="16" t="s">
        <v>701</v>
      </c>
      <c r="AB650" s="15">
        <v>0</v>
      </c>
      <c r="AC650" s="15">
        <v>1</v>
      </c>
      <c r="AD650" s="15">
        <v>0</v>
      </c>
      <c r="AE650" s="15">
        <v>0</v>
      </c>
      <c r="AF650" s="15">
        <v>1</v>
      </c>
      <c r="AI650" s="15">
        <v>24</v>
      </c>
      <c r="AJ650" s="15">
        <v>1</v>
      </c>
      <c r="AK650" s="15">
        <v>0</v>
      </c>
      <c r="AL650" s="15">
        <v>0</v>
      </c>
      <c r="AM650" s="15">
        <v>0</v>
      </c>
      <c r="AN650" s="15">
        <v>0</v>
      </c>
      <c r="AP650" s="15">
        <v>1</v>
      </c>
      <c r="AQ650" s="15">
        <v>1</v>
      </c>
      <c r="AR650" s="15">
        <v>1</v>
      </c>
      <c r="AS650" s="15">
        <v>0</v>
      </c>
      <c r="AV650" s="15">
        <v>1</v>
      </c>
      <c r="BD650" s="16"/>
      <c r="BE650" s="7">
        <v>240</v>
      </c>
      <c r="BG650" s="15">
        <v>2</v>
      </c>
      <c r="BL650" s="7">
        <v>0</v>
      </c>
    </row>
    <row r="651" spans="1:64" s="15" customFormat="1">
      <c r="A651" s="15">
        <v>130514</v>
      </c>
      <c r="B651" s="15" t="s">
        <v>1924</v>
      </c>
      <c r="C651" s="15" t="s">
        <v>740</v>
      </c>
      <c r="D651" s="15" t="s">
        <v>741</v>
      </c>
      <c r="E651" s="15">
        <v>1</v>
      </c>
      <c r="F651" s="15" t="s">
        <v>959</v>
      </c>
      <c r="G651" s="15">
        <v>0</v>
      </c>
      <c r="H651" s="15">
        <v>0</v>
      </c>
      <c r="I651" s="15">
        <v>99999</v>
      </c>
      <c r="J651" s="15">
        <v>0</v>
      </c>
      <c r="K651" s="15">
        <v>0</v>
      </c>
      <c r="L651" s="15" t="s">
        <v>1562</v>
      </c>
      <c r="M651" s="16">
        <v>1</v>
      </c>
      <c r="N651" s="7">
        <v>1</v>
      </c>
      <c r="Q651" s="15">
        <v>0</v>
      </c>
      <c r="S651" s="7">
        <v>10000</v>
      </c>
      <c r="T651" s="15">
        <v>3</v>
      </c>
      <c r="V651" s="15">
        <v>1</v>
      </c>
      <c r="W651" s="15">
        <v>1</v>
      </c>
      <c r="X651" s="30"/>
      <c r="Y651" s="15" t="s">
        <v>742</v>
      </c>
      <c r="Z651" s="15" t="s">
        <v>2758</v>
      </c>
      <c r="AA651" s="16" t="s">
        <v>701</v>
      </c>
      <c r="AB651" s="15">
        <v>0</v>
      </c>
      <c r="AC651" s="15">
        <v>1</v>
      </c>
      <c r="AD651" s="15">
        <v>0</v>
      </c>
      <c r="AE651" s="15">
        <v>0</v>
      </c>
      <c r="AF651" s="15">
        <v>1</v>
      </c>
      <c r="AI651" s="15">
        <v>24</v>
      </c>
      <c r="AJ651" s="15">
        <v>1</v>
      </c>
      <c r="AK651" s="15">
        <v>0</v>
      </c>
      <c r="AL651" s="15">
        <v>0</v>
      </c>
      <c r="AM651" s="15">
        <v>0</v>
      </c>
      <c r="AN651" s="15">
        <v>0</v>
      </c>
      <c r="AP651" s="15">
        <v>1</v>
      </c>
      <c r="AQ651" s="15">
        <v>1</v>
      </c>
      <c r="AR651" s="15">
        <v>1</v>
      </c>
      <c r="AS651" s="15">
        <v>0</v>
      </c>
      <c r="AV651" s="15">
        <v>1</v>
      </c>
      <c r="BD651" s="16"/>
      <c r="BE651" s="7">
        <v>240</v>
      </c>
      <c r="BG651" s="15">
        <v>2</v>
      </c>
      <c r="BL651" s="7">
        <v>0</v>
      </c>
    </row>
    <row r="652" spans="1:64" s="15" customFormat="1">
      <c r="A652" s="15">
        <v>130515</v>
      </c>
      <c r="B652" s="15" t="s">
        <v>1925</v>
      </c>
      <c r="C652" s="15" t="s">
        <v>740</v>
      </c>
      <c r="D652" s="15" t="s">
        <v>741</v>
      </c>
      <c r="E652" s="15">
        <v>1</v>
      </c>
      <c r="F652" s="15" t="s">
        <v>959</v>
      </c>
      <c r="G652" s="15">
        <v>0</v>
      </c>
      <c r="H652" s="15">
        <v>0</v>
      </c>
      <c r="I652" s="15">
        <v>99999</v>
      </c>
      <c r="J652" s="15">
        <v>0</v>
      </c>
      <c r="K652" s="15">
        <v>0</v>
      </c>
      <c r="L652" s="15" t="s">
        <v>1562</v>
      </c>
      <c r="M652" s="16">
        <v>1</v>
      </c>
      <c r="N652" s="7">
        <v>1</v>
      </c>
      <c r="Q652" s="15">
        <v>0</v>
      </c>
      <c r="S652" s="7">
        <v>10000</v>
      </c>
      <c r="T652" s="15">
        <v>3</v>
      </c>
      <c r="V652" s="15">
        <v>1</v>
      </c>
      <c r="W652" s="15">
        <v>1</v>
      </c>
      <c r="X652" s="30"/>
      <c r="Y652" s="15" t="s">
        <v>742</v>
      </c>
      <c r="Z652" s="15" t="s">
        <v>2759</v>
      </c>
      <c r="AA652" s="16" t="s">
        <v>701</v>
      </c>
      <c r="AB652" s="15">
        <v>0</v>
      </c>
      <c r="AC652" s="15">
        <v>1</v>
      </c>
      <c r="AD652" s="15">
        <v>0</v>
      </c>
      <c r="AE652" s="15">
        <v>0</v>
      </c>
      <c r="AF652" s="15">
        <v>1</v>
      </c>
      <c r="AI652" s="15">
        <v>24</v>
      </c>
      <c r="AJ652" s="15">
        <v>1</v>
      </c>
      <c r="AK652" s="15">
        <v>0</v>
      </c>
      <c r="AL652" s="15">
        <v>0</v>
      </c>
      <c r="AM652" s="15">
        <v>0</v>
      </c>
      <c r="AN652" s="15">
        <v>0</v>
      </c>
      <c r="AP652" s="15">
        <v>1</v>
      </c>
      <c r="AQ652" s="15">
        <v>1</v>
      </c>
      <c r="AR652" s="15">
        <v>1</v>
      </c>
      <c r="AS652" s="15">
        <v>0</v>
      </c>
      <c r="AV652" s="15">
        <v>1</v>
      </c>
      <c r="BD652" s="16"/>
      <c r="BE652" s="7">
        <v>240</v>
      </c>
      <c r="BG652" s="15">
        <v>2</v>
      </c>
      <c r="BL652" s="7">
        <v>0</v>
      </c>
    </row>
    <row r="653" spans="1:64" s="15" customFormat="1">
      <c r="A653" s="15">
        <v>130516</v>
      </c>
      <c r="B653" s="15" t="s">
        <v>1926</v>
      </c>
      <c r="C653" s="15" t="s">
        <v>740</v>
      </c>
      <c r="D653" s="15" t="s">
        <v>741</v>
      </c>
      <c r="E653" s="15">
        <v>1</v>
      </c>
      <c r="F653" s="15" t="s">
        <v>959</v>
      </c>
      <c r="G653" s="15">
        <v>0</v>
      </c>
      <c r="H653" s="15">
        <v>0</v>
      </c>
      <c r="I653" s="15">
        <v>99999</v>
      </c>
      <c r="J653" s="15">
        <v>0</v>
      </c>
      <c r="K653" s="15">
        <v>0</v>
      </c>
      <c r="L653" s="15" t="s">
        <v>1562</v>
      </c>
      <c r="M653" s="16">
        <v>1</v>
      </c>
      <c r="N653" s="7">
        <v>1</v>
      </c>
      <c r="Q653" s="15">
        <v>0</v>
      </c>
      <c r="S653" s="7">
        <v>10000</v>
      </c>
      <c r="T653" s="15">
        <v>3</v>
      </c>
      <c r="V653" s="15">
        <v>1</v>
      </c>
      <c r="W653" s="15">
        <v>1</v>
      </c>
      <c r="X653" s="30"/>
      <c r="Y653" s="15" t="s">
        <v>742</v>
      </c>
      <c r="Z653" s="15" t="s">
        <v>2760</v>
      </c>
      <c r="AA653" s="16" t="s">
        <v>701</v>
      </c>
      <c r="AB653" s="15">
        <v>0</v>
      </c>
      <c r="AC653" s="15">
        <v>1</v>
      </c>
      <c r="AD653" s="15">
        <v>0</v>
      </c>
      <c r="AE653" s="15">
        <v>0</v>
      </c>
      <c r="AF653" s="15">
        <v>1</v>
      </c>
      <c r="AI653" s="15">
        <v>24</v>
      </c>
      <c r="AJ653" s="15">
        <v>1</v>
      </c>
      <c r="AK653" s="15">
        <v>0</v>
      </c>
      <c r="AL653" s="15">
        <v>0</v>
      </c>
      <c r="AM653" s="15">
        <v>0</v>
      </c>
      <c r="AN653" s="15">
        <v>0</v>
      </c>
      <c r="AP653" s="15">
        <v>1</v>
      </c>
      <c r="AQ653" s="15">
        <v>1</v>
      </c>
      <c r="AR653" s="15">
        <v>1</v>
      </c>
      <c r="AS653" s="15">
        <v>0</v>
      </c>
      <c r="AV653" s="15">
        <v>1</v>
      </c>
      <c r="BD653" s="16"/>
      <c r="BE653" s="7">
        <v>240</v>
      </c>
      <c r="BG653" s="15">
        <v>2</v>
      </c>
      <c r="BL653" s="7">
        <v>0</v>
      </c>
    </row>
    <row r="654" spans="1:64" s="15" customFormat="1">
      <c r="A654" s="15">
        <v>130517</v>
      </c>
      <c r="B654" s="15" t="s">
        <v>1927</v>
      </c>
      <c r="C654" s="15" t="s">
        <v>740</v>
      </c>
      <c r="D654" s="15" t="s">
        <v>741</v>
      </c>
      <c r="E654" s="15">
        <v>1</v>
      </c>
      <c r="F654" s="15" t="s">
        <v>959</v>
      </c>
      <c r="G654" s="15">
        <v>0</v>
      </c>
      <c r="H654" s="15">
        <v>0</v>
      </c>
      <c r="I654" s="15">
        <v>99999</v>
      </c>
      <c r="J654" s="15">
        <v>0</v>
      </c>
      <c r="K654" s="15">
        <v>0</v>
      </c>
      <c r="L654" s="15" t="s">
        <v>1562</v>
      </c>
      <c r="M654" s="16">
        <v>1</v>
      </c>
      <c r="N654" s="7">
        <v>1</v>
      </c>
      <c r="Q654" s="15">
        <v>0</v>
      </c>
      <c r="S654" s="7">
        <v>10000</v>
      </c>
      <c r="T654" s="15">
        <v>3</v>
      </c>
      <c r="V654" s="15">
        <v>1</v>
      </c>
      <c r="W654" s="15">
        <v>1</v>
      </c>
      <c r="X654" s="30"/>
      <c r="Y654" s="15" t="s">
        <v>742</v>
      </c>
      <c r="Z654" s="15" t="s">
        <v>2761</v>
      </c>
      <c r="AA654" s="16" t="s">
        <v>701</v>
      </c>
      <c r="AB654" s="15">
        <v>0</v>
      </c>
      <c r="AC654" s="15">
        <v>1</v>
      </c>
      <c r="AD654" s="15">
        <v>0</v>
      </c>
      <c r="AE654" s="15">
        <v>0</v>
      </c>
      <c r="AF654" s="15">
        <v>1</v>
      </c>
      <c r="AI654" s="15">
        <v>24</v>
      </c>
      <c r="AJ654" s="15">
        <v>1</v>
      </c>
      <c r="AK654" s="15">
        <v>0</v>
      </c>
      <c r="AL654" s="15">
        <v>0</v>
      </c>
      <c r="AM654" s="15">
        <v>0</v>
      </c>
      <c r="AN654" s="15">
        <v>0</v>
      </c>
      <c r="AP654" s="15">
        <v>1</v>
      </c>
      <c r="AQ654" s="15">
        <v>1</v>
      </c>
      <c r="AR654" s="15">
        <v>1</v>
      </c>
      <c r="AS654" s="15">
        <v>0</v>
      </c>
      <c r="AV654" s="15">
        <v>1</v>
      </c>
      <c r="BD654" s="16"/>
      <c r="BE654" s="7">
        <v>240</v>
      </c>
      <c r="BG654" s="15">
        <v>2</v>
      </c>
      <c r="BL654" s="7">
        <v>0</v>
      </c>
    </row>
    <row r="655" spans="1:64" s="15" customFormat="1">
      <c r="A655" s="15">
        <v>130518</v>
      </c>
      <c r="B655" s="15" t="s">
        <v>1928</v>
      </c>
      <c r="C655" s="15" t="s">
        <v>740</v>
      </c>
      <c r="D655" s="15" t="s">
        <v>741</v>
      </c>
      <c r="E655" s="15">
        <v>1</v>
      </c>
      <c r="F655" s="15" t="s">
        <v>959</v>
      </c>
      <c r="G655" s="15">
        <v>0</v>
      </c>
      <c r="H655" s="15">
        <v>0</v>
      </c>
      <c r="I655" s="15">
        <v>99999</v>
      </c>
      <c r="J655" s="15">
        <v>0</v>
      </c>
      <c r="K655" s="15">
        <v>0</v>
      </c>
      <c r="L655" s="15" t="s">
        <v>1562</v>
      </c>
      <c r="M655" s="16">
        <v>1</v>
      </c>
      <c r="N655" s="7">
        <v>1</v>
      </c>
      <c r="Q655" s="15">
        <v>0</v>
      </c>
      <c r="S655" s="7">
        <v>10000</v>
      </c>
      <c r="T655" s="15">
        <v>3</v>
      </c>
      <c r="V655" s="15">
        <v>1</v>
      </c>
      <c r="W655" s="15">
        <v>1</v>
      </c>
      <c r="X655" s="30"/>
      <c r="Y655" s="15" t="s">
        <v>742</v>
      </c>
      <c r="Z655" s="15" t="s">
        <v>2762</v>
      </c>
      <c r="AA655" s="16" t="s">
        <v>701</v>
      </c>
      <c r="AB655" s="15">
        <v>0</v>
      </c>
      <c r="AC655" s="15">
        <v>1</v>
      </c>
      <c r="AD655" s="15">
        <v>0</v>
      </c>
      <c r="AE655" s="15">
        <v>0</v>
      </c>
      <c r="AF655" s="15">
        <v>1</v>
      </c>
      <c r="AI655" s="15">
        <v>24</v>
      </c>
      <c r="AJ655" s="15">
        <v>1</v>
      </c>
      <c r="AK655" s="15">
        <v>0</v>
      </c>
      <c r="AL655" s="15">
        <v>0</v>
      </c>
      <c r="AM655" s="15">
        <v>0</v>
      </c>
      <c r="AN655" s="15">
        <v>0</v>
      </c>
      <c r="AP655" s="15">
        <v>1</v>
      </c>
      <c r="AQ655" s="15">
        <v>1</v>
      </c>
      <c r="AR655" s="15">
        <v>1</v>
      </c>
      <c r="AS655" s="15">
        <v>0</v>
      </c>
      <c r="AV655" s="15">
        <v>1</v>
      </c>
      <c r="BD655" s="16"/>
      <c r="BE655" s="7">
        <v>240</v>
      </c>
      <c r="BG655" s="15">
        <v>2</v>
      </c>
      <c r="BL655" s="7">
        <v>0</v>
      </c>
    </row>
    <row r="656" spans="1:64" s="15" customFormat="1">
      <c r="A656" s="15">
        <v>130519</v>
      </c>
      <c r="B656" s="15" t="s">
        <v>1929</v>
      </c>
      <c r="C656" s="15" t="s">
        <v>740</v>
      </c>
      <c r="D656" s="15" t="s">
        <v>741</v>
      </c>
      <c r="E656" s="15">
        <v>1</v>
      </c>
      <c r="F656" s="15" t="s">
        <v>959</v>
      </c>
      <c r="G656" s="15">
        <v>0</v>
      </c>
      <c r="H656" s="15">
        <v>0</v>
      </c>
      <c r="I656" s="15">
        <v>99999</v>
      </c>
      <c r="J656" s="15">
        <v>0</v>
      </c>
      <c r="K656" s="15">
        <v>0</v>
      </c>
      <c r="L656" s="15" t="s">
        <v>1562</v>
      </c>
      <c r="M656" s="16">
        <v>1</v>
      </c>
      <c r="N656" s="7">
        <v>1</v>
      </c>
      <c r="Q656" s="15">
        <v>0</v>
      </c>
      <c r="S656" s="7">
        <v>10000</v>
      </c>
      <c r="T656" s="15">
        <v>3</v>
      </c>
      <c r="V656" s="15">
        <v>1</v>
      </c>
      <c r="W656" s="15">
        <v>1</v>
      </c>
      <c r="X656" s="30"/>
      <c r="Y656" s="15" t="s">
        <v>742</v>
      </c>
      <c r="Z656" s="15" t="s">
        <v>2763</v>
      </c>
      <c r="AA656" s="16" t="s">
        <v>701</v>
      </c>
      <c r="AB656" s="15">
        <v>0</v>
      </c>
      <c r="AC656" s="15">
        <v>1</v>
      </c>
      <c r="AD656" s="15">
        <v>0</v>
      </c>
      <c r="AE656" s="15">
        <v>0</v>
      </c>
      <c r="AF656" s="15">
        <v>1</v>
      </c>
      <c r="AI656" s="15">
        <v>24</v>
      </c>
      <c r="AJ656" s="15">
        <v>1</v>
      </c>
      <c r="AK656" s="15">
        <v>0</v>
      </c>
      <c r="AL656" s="15">
        <v>0</v>
      </c>
      <c r="AM656" s="15">
        <v>0</v>
      </c>
      <c r="AN656" s="15">
        <v>0</v>
      </c>
      <c r="AP656" s="15">
        <v>1</v>
      </c>
      <c r="AQ656" s="15">
        <v>1</v>
      </c>
      <c r="AR656" s="15">
        <v>1</v>
      </c>
      <c r="AS656" s="15">
        <v>0</v>
      </c>
      <c r="AV656" s="15">
        <v>1</v>
      </c>
      <c r="BD656" s="16"/>
      <c r="BE656" s="7">
        <v>240</v>
      </c>
      <c r="BG656" s="15">
        <v>2</v>
      </c>
      <c r="BL656" s="7">
        <v>0</v>
      </c>
    </row>
    <row r="657" spans="1:64">
      <c r="A657">
        <v>130521</v>
      </c>
      <c r="B657" t="s">
        <v>1930</v>
      </c>
      <c r="C657" t="s">
        <v>740</v>
      </c>
      <c r="D657" t="s">
        <v>741</v>
      </c>
      <c r="E657">
        <v>1</v>
      </c>
      <c r="F657" t="s">
        <v>959</v>
      </c>
      <c r="G657">
        <v>0</v>
      </c>
      <c r="H657">
        <v>0</v>
      </c>
      <c r="I657">
        <v>99999</v>
      </c>
      <c r="J657">
        <v>0</v>
      </c>
      <c r="K657">
        <v>0</v>
      </c>
      <c r="L657" t="s">
        <v>1562</v>
      </c>
      <c r="M657" s="7">
        <v>1</v>
      </c>
      <c r="N657" s="7">
        <v>1</v>
      </c>
      <c r="Q657">
        <v>0</v>
      </c>
      <c r="S657" s="7">
        <v>2000</v>
      </c>
      <c r="T657">
        <v>3</v>
      </c>
      <c r="V657">
        <v>1</v>
      </c>
      <c r="W657">
        <v>1</v>
      </c>
      <c r="Y657" t="s">
        <v>742</v>
      </c>
      <c r="Z657" t="s">
        <v>2764</v>
      </c>
      <c r="AA657" s="7" t="s">
        <v>701</v>
      </c>
      <c r="AB657">
        <v>0</v>
      </c>
      <c r="AC657">
        <v>1</v>
      </c>
      <c r="AD657">
        <v>0</v>
      </c>
      <c r="AE657">
        <v>0</v>
      </c>
      <c r="AF657">
        <v>1</v>
      </c>
      <c r="AI657" s="7">
        <v>24</v>
      </c>
      <c r="AJ657" s="7">
        <v>1</v>
      </c>
      <c r="AK657" s="7">
        <v>0</v>
      </c>
      <c r="AL657" s="7">
        <v>0</v>
      </c>
      <c r="AM657" s="7">
        <v>0</v>
      </c>
      <c r="AN657" s="7">
        <v>0</v>
      </c>
      <c r="AP657">
        <v>1</v>
      </c>
      <c r="AQ657" s="7">
        <v>1</v>
      </c>
      <c r="AR657" s="7">
        <v>1</v>
      </c>
      <c r="AS657" s="7">
        <v>0</v>
      </c>
      <c r="AV657" s="7">
        <v>1</v>
      </c>
      <c r="BD657" s="7"/>
      <c r="BE657" s="7">
        <v>240</v>
      </c>
      <c r="BG657" s="7">
        <v>2</v>
      </c>
      <c r="BL657" s="7">
        <v>0</v>
      </c>
    </row>
    <row r="658" spans="1:64" s="15" customFormat="1">
      <c r="A658" s="15">
        <v>130522</v>
      </c>
      <c r="B658" s="15" t="s">
        <v>1931</v>
      </c>
      <c r="C658" s="15" t="s">
        <v>740</v>
      </c>
      <c r="D658" s="15" t="s">
        <v>741</v>
      </c>
      <c r="E658" s="15">
        <v>1</v>
      </c>
      <c r="F658" s="15" t="s">
        <v>959</v>
      </c>
      <c r="G658" s="15">
        <v>0</v>
      </c>
      <c r="H658" s="15">
        <v>0</v>
      </c>
      <c r="I658" s="15">
        <v>99999</v>
      </c>
      <c r="J658" s="15">
        <v>0</v>
      </c>
      <c r="K658" s="15">
        <v>0</v>
      </c>
      <c r="L658" s="15" t="s">
        <v>1562</v>
      </c>
      <c r="M658" s="16">
        <v>1</v>
      </c>
      <c r="N658" s="16">
        <v>1</v>
      </c>
      <c r="Q658" s="15">
        <v>0</v>
      </c>
      <c r="S658" s="16">
        <v>4000</v>
      </c>
      <c r="T658" s="15">
        <v>3</v>
      </c>
      <c r="V658" s="15">
        <v>1</v>
      </c>
      <c r="W658" s="15">
        <v>1</v>
      </c>
      <c r="X658" s="30"/>
      <c r="Y658" s="15" t="s">
        <v>742</v>
      </c>
      <c r="Z658" s="15" t="s">
        <v>2765</v>
      </c>
      <c r="AA658" s="16" t="s">
        <v>701</v>
      </c>
      <c r="AB658" s="15">
        <v>0</v>
      </c>
      <c r="AC658" s="15">
        <v>1</v>
      </c>
      <c r="AD658" s="15">
        <v>0</v>
      </c>
      <c r="AE658" s="15">
        <v>0</v>
      </c>
      <c r="AF658" s="15">
        <v>1</v>
      </c>
      <c r="AI658" s="16">
        <v>24</v>
      </c>
      <c r="AJ658" s="16">
        <v>1</v>
      </c>
      <c r="AK658" s="16">
        <v>0</v>
      </c>
      <c r="AL658" s="16">
        <v>0</v>
      </c>
      <c r="AM658" s="16">
        <v>0</v>
      </c>
      <c r="AN658" s="16">
        <v>0</v>
      </c>
      <c r="AO658" s="16"/>
      <c r="AP658" s="15">
        <v>1</v>
      </c>
      <c r="AQ658" s="16">
        <v>1</v>
      </c>
      <c r="AR658" s="16">
        <v>1</v>
      </c>
      <c r="AS658" s="16">
        <v>0</v>
      </c>
      <c r="AV658" s="16">
        <v>1</v>
      </c>
      <c r="BD658" s="16"/>
      <c r="BE658" s="16">
        <v>240</v>
      </c>
      <c r="BG658" s="15">
        <v>2</v>
      </c>
      <c r="BL658" s="7">
        <v>0</v>
      </c>
    </row>
    <row r="659" spans="1:64" s="15" customFormat="1">
      <c r="A659" s="15">
        <v>130523</v>
      </c>
      <c r="B659" s="15" t="s">
        <v>1932</v>
      </c>
      <c r="C659" s="15" t="s">
        <v>740</v>
      </c>
      <c r="D659" s="15" t="s">
        <v>741</v>
      </c>
      <c r="E659" s="15">
        <v>1</v>
      </c>
      <c r="F659" s="15" t="s">
        <v>959</v>
      </c>
      <c r="G659" s="15">
        <v>0</v>
      </c>
      <c r="H659" s="15">
        <v>0</v>
      </c>
      <c r="I659" s="15">
        <v>99999</v>
      </c>
      <c r="J659" s="15">
        <v>0</v>
      </c>
      <c r="K659" s="15">
        <v>0</v>
      </c>
      <c r="L659" s="15" t="s">
        <v>1562</v>
      </c>
      <c r="M659" s="16">
        <v>1</v>
      </c>
      <c r="N659" s="7">
        <v>1</v>
      </c>
      <c r="Q659" s="15">
        <v>0</v>
      </c>
      <c r="S659" s="7">
        <v>10000</v>
      </c>
      <c r="T659" s="15">
        <v>3</v>
      </c>
      <c r="V659" s="15">
        <v>1</v>
      </c>
      <c r="W659" s="15">
        <v>1</v>
      </c>
      <c r="X659" s="30"/>
      <c r="Y659" s="15" t="s">
        <v>742</v>
      </c>
      <c r="Z659" s="15" t="s">
        <v>2766</v>
      </c>
      <c r="AA659" s="16" t="s">
        <v>701</v>
      </c>
      <c r="AB659" s="15">
        <v>0</v>
      </c>
      <c r="AC659" s="15">
        <v>1</v>
      </c>
      <c r="AD659" s="15">
        <v>0</v>
      </c>
      <c r="AE659" s="15">
        <v>0</v>
      </c>
      <c r="AF659" s="15">
        <v>1</v>
      </c>
      <c r="AI659" s="15">
        <v>24</v>
      </c>
      <c r="AJ659" s="15">
        <v>1</v>
      </c>
      <c r="AK659" s="15">
        <v>0</v>
      </c>
      <c r="AL659" s="15">
        <v>0</v>
      </c>
      <c r="AM659" s="15">
        <v>0</v>
      </c>
      <c r="AN659" s="15">
        <v>0</v>
      </c>
      <c r="AP659" s="15">
        <v>1</v>
      </c>
      <c r="AQ659" s="15">
        <v>1</v>
      </c>
      <c r="AR659" s="15">
        <v>1</v>
      </c>
      <c r="AS659" s="15">
        <v>0</v>
      </c>
      <c r="AV659" s="15">
        <v>1</v>
      </c>
      <c r="BD659" s="16"/>
      <c r="BE659" s="7">
        <v>240</v>
      </c>
      <c r="BG659" s="15">
        <v>2</v>
      </c>
      <c r="BL659" s="7">
        <v>0</v>
      </c>
    </row>
    <row r="660" spans="1:64" s="15" customFormat="1">
      <c r="A660" s="15">
        <v>130524</v>
      </c>
      <c r="B660" s="15" t="s">
        <v>1933</v>
      </c>
      <c r="C660" s="15" t="s">
        <v>740</v>
      </c>
      <c r="D660" s="15" t="s">
        <v>741</v>
      </c>
      <c r="E660" s="15">
        <v>1</v>
      </c>
      <c r="F660" s="15" t="s">
        <v>959</v>
      </c>
      <c r="G660" s="15">
        <v>0</v>
      </c>
      <c r="H660" s="15">
        <v>0</v>
      </c>
      <c r="I660" s="15">
        <v>99999</v>
      </c>
      <c r="J660" s="15">
        <v>0</v>
      </c>
      <c r="K660" s="15">
        <v>0</v>
      </c>
      <c r="L660" s="15" t="s">
        <v>1562</v>
      </c>
      <c r="M660" s="16">
        <v>1</v>
      </c>
      <c r="N660" s="7">
        <v>1</v>
      </c>
      <c r="Q660" s="15">
        <v>0</v>
      </c>
      <c r="S660" s="7">
        <v>10000</v>
      </c>
      <c r="T660" s="15">
        <v>3</v>
      </c>
      <c r="V660" s="15">
        <v>1</v>
      </c>
      <c r="W660" s="15">
        <v>1</v>
      </c>
      <c r="X660" s="30"/>
      <c r="Y660" s="15" t="s">
        <v>742</v>
      </c>
      <c r="Z660" s="15" t="s">
        <v>2767</v>
      </c>
      <c r="AA660" s="16" t="s">
        <v>701</v>
      </c>
      <c r="AB660" s="15">
        <v>0</v>
      </c>
      <c r="AC660" s="15">
        <v>1</v>
      </c>
      <c r="AD660" s="15">
        <v>0</v>
      </c>
      <c r="AE660" s="15">
        <v>0</v>
      </c>
      <c r="AF660" s="15">
        <v>1</v>
      </c>
      <c r="AI660" s="15">
        <v>24</v>
      </c>
      <c r="AJ660" s="15">
        <v>1</v>
      </c>
      <c r="AK660" s="15">
        <v>0</v>
      </c>
      <c r="AL660" s="15">
        <v>0</v>
      </c>
      <c r="AM660" s="15">
        <v>0</v>
      </c>
      <c r="AN660" s="15">
        <v>0</v>
      </c>
      <c r="AP660" s="15">
        <v>1</v>
      </c>
      <c r="AQ660" s="15">
        <v>1</v>
      </c>
      <c r="AR660" s="15">
        <v>1</v>
      </c>
      <c r="AS660" s="15">
        <v>0</v>
      </c>
      <c r="AV660" s="15">
        <v>1</v>
      </c>
      <c r="BD660" s="16"/>
      <c r="BE660" s="7">
        <v>240</v>
      </c>
      <c r="BG660" s="15">
        <v>2</v>
      </c>
      <c r="BL660" s="7">
        <v>0</v>
      </c>
    </row>
    <row r="661" spans="1:64" s="15" customFormat="1">
      <c r="A661" s="15">
        <v>130525</v>
      </c>
      <c r="B661" s="15" t="s">
        <v>1934</v>
      </c>
      <c r="C661" s="15" t="s">
        <v>740</v>
      </c>
      <c r="D661" s="15" t="s">
        <v>741</v>
      </c>
      <c r="E661" s="15">
        <v>1</v>
      </c>
      <c r="F661" s="15" t="s">
        <v>959</v>
      </c>
      <c r="G661" s="15">
        <v>0</v>
      </c>
      <c r="H661" s="15">
        <v>0</v>
      </c>
      <c r="I661" s="15">
        <v>99999</v>
      </c>
      <c r="J661" s="15">
        <v>0</v>
      </c>
      <c r="K661" s="15">
        <v>0</v>
      </c>
      <c r="L661" s="15" t="s">
        <v>1562</v>
      </c>
      <c r="M661" s="16">
        <v>1</v>
      </c>
      <c r="N661" s="7">
        <v>1</v>
      </c>
      <c r="Q661" s="15">
        <v>0</v>
      </c>
      <c r="S661" s="7">
        <v>10000</v>
      </c>
      <c r="T661" s="15">
        <v>3</v>
      </c>
      <c r="V661" s="15">
        <v>1</v>
      </c>
      <c r="W661" s="15">
        <v>1</v>
      </c>
      <c r="X661" s="30"/>
      <c r="Y661" s="15" t="s">
        <v>742</v>
      </c>
      <c r="Z661" s="15" t="s">
        <v>2768</v>
      </c>
      <c r="AA661" s="16" t="s">
        <v>701</v>
      </c>
      <c r="AB661" s="15">
        <v>0</v>
      </c>
      <c r="AC661" s="15">
        <v>1</v>
      </c>
      <c r="AD661" s="15">
        <v>0</v>
      </c>
      <c r="AE661" s="15">
        <v>0</v>
      </c>
      <c r="AF661" s="15">
        <v>1</v>
      </c>
      <c r="AI661" s="15">
        <v>24</v>
      </c>
      <c r="AJ661" s="15">
        <v>1</v>
      </c>
      <c r="AK661" s="15">
        <v>0</v>
      </c>
      <c r="AL661" s="15">
        <v>0</v>
      </c>
      <c r="AM661" s="15">
        <v>0</v>
      </c>
      <c r="AN661" s="15">
        <v>0</v>
      </c>
      <c r="AP661" s="15">
        <v>1</v>
      </c>
      <c r="AQ661" s="15">
        <v>1</v>
      </c>
      <c r="AR661" s="15">
        <v>1</v>
      </c>
      <c r="AS661" s="15">
        <v>0</v>
      </c>
      <c r="AV661" s="15">
        <v>1</v>
      </c>
      <c r="BD661" s="16"/>
      <c r="BE661" s="7">
        <v>240</v>
      </c>
      <c r="BG661" s="15">
        <v>2</v>
      </c>
      <c r="BL661" s="7">
        <v>0</v>
      </c>
    </row>
    <row r="662" spans="1:64" s="15" customFormat="1">
      <c r="A662" s="15">
        <v>130526</v>
      </c>
      <c r="B662" s="15" t="s">
        <v>1935</v>
      </c>
      <c r="C662" s="15" t="s">
        <v>740</v>
      </c>
      <c r="D662" s="15" t="s">
        <v>741</v>
      </c>
      <c r="E662" s="15">
        <v>1</v>
      </c>
      <c r="F662" s="15" t="s">
        <v>959</v>
      </c>
      <c r="G662" s="15">
        <v>0</v>
      </c>
      <c r="H662" s="15">
        <v>0</v>
      </c>
      <c r="I662" s="15">
        <v>99999</v>
      </c>
      <c r="J662" s="15">
        <v>0</v>
      </c>
      <c r="K662" s="15">
        <v>0</v>
      </c>
      <c r="L662" s="15" t="s">
        <v>1562</v>
      </c>
      <c r="M662" s="16">
        <v>1</v>
      </c>
      <c r="N662" s="7">
        <v>1</v>
      </c>
      <c r="Q662" s="15">
        <v>0</v>
      </c>
      <c r="S662" s="7">
        <v>10000</v>
      </c>
      <c r="T662" s="15">
        <v>3</v>
      </c>
      <c r="V662" s="15">
        <v>1</v>
      </c>
      <c r="W662" s="15">
        <v>1</v>
      </c>
      <c r="X662" s="30"/>
      <c r="Y662" s="15" t="s">
        <v>742</v>
      </c>
      <c r="Z662" s="15" t="s">
        <v>2769</v>
      </c>
      <c r="AA662" s="16" t="s">
        <v>701</v>
      </c>
      <c r="AB662" s="15">
        <v>0</v>
      </c>
      <c r="AC662" s="15">
        <v>1</v>
      </c>
      <c r="AD662" s="15">
        <v>0</v>
      </c>
      <c r="AE662" s="15">
        <v>0</v>
      </c>
      <c r="AF662" s="15">
        <v>1</v>
      </c>
      <c r="AI662" s="15">
        <v>24</v>
      </c>
      <c r="AJ662" s="15">
        <v>1</v>
      </c>
      <c r="AK662" s="15">
        <v>0</v>
      </c>
      <c r="AL662" s="15">
        <v>0</v>
      </c>
      <c r="AM662" s="15">
        <v>0</v>
      </c>
      <c r="AN662" s="15">
        <v>0</v>
      </c>
      <c r="AP662" s="15">
        <v>1</v>
      </c>
      <c r="AQ662" s="15">
        <v>1</v>
      </c>
      <c r="AR662" s="15">
        <v>1</v>
      </c>
      <c r="AS662" s="15">
        <v>0</v>
      </c>
      <c r="AV662" s="15">
        <v>1</v>
      </c>
      <c r="BD662" s="16"/>
      <c r="BE662" s="7">
        <v>240</v>
      </c>
      <c r="BG662" s="15">
        <v>2</v>
      </c>
      <c r="BL662" s="7">
        <v>0</v>
      </c>
    </row>
    <row r="663" spans="1:64" s="15" customFormat="1">
      <c r="A663" s="15">
        <v>130527</v>
      </c>
      <c r="B663" s="15" t="s">
        <v>1936</v>
      </c>
      <c r="C663" s="15" t="s">
        <v>740</v>
      </c>
      <c r="D663" s="15" t="s">
        <v>741</v>
      </c>
      <c r="E663" s="15">
        <v>1</v>
      </c>
      <c r="F663" s="15" t="s">
        <v>959</v>
      </c>
      <c r="G663" s="15">
        <v>0</v>
      </c>
      <c r="H663" s="15">
        <v>0</v>
      </c>
      <c r="I663" s="15">
        <v>99999</v>
      </c>
      <c r="J663" s="15">
        <v>0</v>
      </c>
      <c r="K663" s="15">
        <v>0</v>
      </c>
      <c r="L663" s="15" t="s">
        <v>1562</v>
      </c>
      <c r="M663" s="16">
        <v>1</v>
      </c>
      <c r="N663" s="7">
        <v>1</v>
      </c>
      <c r="Q663" s="15">
        <v>0</v>
      </c>
      <c r="S663" s="7">
        <v>10000</v>
      </c>
      <c r="T663" s="15">
        <v>3</v>
      </c>
      <c r="V663" s="15">
        <v>1</v>
      </c>
      <c r="W663" s="15">
        <v>1</v>
      </c>
      <c r="X663" s="30"/>
      <c r="Y663" s="15" t="s">
        <v>742</v>
      </c>
      <c r="Z663" s="15" t="s">
        <v>2770</v>
      </c>
      <c r="AA663" s="16" t="s">
        <v>701</v>
      </c>
      <c r="AB663" s="15">
        <v>0</v>
      </c>
      <c r="AC663" s="15">
        <v>1</v>
      </c>
      <c r="AD663" s="15">
        <v>0</v>
      </c>
      <c r="AE663" s="15">
        <v>0</v>
      </c>
      <c r="AF663" s="15">
        <v>1</v>
      </c>
      <c r="AI663" s="15">
        <v>24</v>
      </c>
      <c r="AJ663" s="15">
        <v>1</v>
      </c>
      <c r="AK663" s="15">
        <v>0</v>
      </c>
      <c r="AL663" s="15">
        <v>0</v>
      </c>
      <c r="AM663" s="15">
        <v>0</v>
      </c>
      <c r="AN663" s="15">
        <v>0</v>
      </c>
      <c r="AP663" s="15">
        <v>1</v>
      </c>
      <c r="AQ663" s="15">
        <v>1</v>
      </c>
      <c r="AR663" s="15">
        <v>1</v>
      </c>
      <c r="AS663" s="15">
        <v>0</v>
      </c>
      <c r="AV663" s="15">
        <v>1</v>
      </c>
      <c r="BD663" s="16"/>
      <c r="BE663" s="7">
        <v>240</v>
      </c>
      <c r="BG663" s="15">
        <v>2</v>
      </c>
      <c r="BL663" s="7">
        <v>0</v>
      </c>
    </row>
    <row r="664" spans="1:64" s="15" customFormat="1">
      <c r="A664" s="15">
        <v>130528</v>
      </c>
      <c r="B664" s="15" t="s">
        <v>1937</v>
      </c>
      <c r="C664" s="15" t="s">
        <v>740</v>
      </c>
      <c r="D664" s="15" t="s">
        <v>741</v>
      </c>
      <c r="E664" s="15">
        <v>1</v>
      </c>
      <c r="F664" s="15" t="s">
        <v>959</v>
      </c>
      <c r="G664" s="15">
        <v>0</v>
      </c>
      <c r="H664" s="15">
        <v>0</v>
      </c>
      <c r="I664" s="15">
        <v>99999</v>
      </c>
      <c r="J664" s="15">
        <v>0</v>
      </c>
      <c r="K664" s="15">
        <v>0</v>
      </c>
      <c r="L664" s="15" t="s">
        <v>1562</v>
      </c>
      <c r="M664" s="16">
        <v>1</v>
      </c>
      <c r="N664" s="7">
        <v>1</v>
      </c>
      <c r="Q664" s="15">
        <v>0</v>
      </c>
      <c r="S664" s="7">
        <v>10000</v>
      </c>
      <c r="T664" s="15">
        <v>3</v>
      </c>
      <c r="V664" s="15">
        <v>1</v>
      </c>
      <c r="W664" s="15">
        <v>1</v>
      </c>
      <c r="X664" s="30"/>
      <c r="Y664" s="15" t="s">
        <v>742</v>
      </c>
      <c r="Z664" s="15" t="s">
        <v>2771</v>
      </c>
      <c r="AA664" s="16" t="s">
        <v>701</v>
      </c>
      <c r="AB664" s="15">
        <v>0</v>
      </c>
      <c r="AC664" s="15">
        <v>1</v>
      </c>
      <c r="AD664" s="15">
        <v>0</v>
      </c>
      <c r="AE664" s="15">
        <v>0</v>
      </c>
      <c r="AF664" s="15">
        <v>1</v>
      </c>
      <c r="AI664" s="15">
        <v>24</v>
      </c>
      <c r="AJ664" s="15">
        <v>1</v>
      </c>
      <c r="AK664" s="15">
        <v>0</v>
      </c>
      <c r="AL664" s="15">
        <v>0</v>
      </c>
      <c r="AM664" s="15">
        <v>0</v>
      </c>
      <c r="AN664" s="15">
        <v>0</v>
      </c>
      <c r="AP664" s="15">
        <v>1</v>
      </c>
      <c r="AQ664" s="15">
        <v>1</v>
      </c>
      <c r="AR664" s="15">
        <v>1</v>
      </c>
      <c r="AS664" s="15">
        <v>0</v>
      </c>
      <c r="AV664" s="15">
        <v>1</v>
      </c>
      <c r="BD664" s="16"/>
      <c r="BE664" s="7">
        <v>240</v>
      </c>
      <c r="BG664" s="15">
        <v>2</v>
      </c>
      <c r="BL664" s="7">
        <v>0</v>
      </c>
    </row>
    <row r="665" spans="1:64" s="15" customFormat="1">
      <c r="A665" s="15">
        <v>130529</v>
      </c>
      <c r="B665" s="15" t="s">
        <v>1938</v>
      </c>
      <c r="C665" s="15" t="s">
        <v>740</v>
      </c>
      <c r="D665" s="15" t="s">
        <v>741</v>
      </c>
      <c r="E665" s="15">
        <v>1</v>
      </c>
      <c r="F665" s="15" t="s">
        <v>959</v>
      </c>
      <c r="G665" s="15">
        <v>0</v>
      </c>
      <c r="H665" s="15">
        <v>0</v>
      </c>
      <c r="I665" s="15">
        <v>99999</v>
      </c>
      <c r="J665" s="15">
        <v>0</v>
      </c>
      <c r="K665" s="15">
        <v>0</v>
      </c>
      <c r="L665" s="15" t="s">
        <v>1562</v>
      </c>
      <c r="M665" s="16">
        <v>1</v>
      </c>
      <c r="N665" s="7">
        <v>1</v>
      </c>
      <c r="Q665" s="15">
        <v>0</v>
      </c>
      <c r="S665" s="7">
        <v>10000</v>
      </c>
      <c r="T665" s="15">
        <v>3</v>
      </c>
      <c r="V665" s="15">
        <v>1</v>
      </c>
      <c r="W665" s="15">
        <v>1</v>
      </c>
      <c r="X665" s="30"/>
      <c r="Y665" s="15" t="s">
        <v>742</v>
      </c>
      <c r="Z665" s="15" t="s">
        <v>2772</v>
      </c>
      <c r="AA665" s="16" t="s">
        <v>701</v>
      </c>
      <c r="AB665" s="15">
        <v>0</v>
      </c>
      <c r="AC665" s="15">
        <v>1</v>
      </c>
      <c r="AD665" s="15">
        <v>0</v>
      </c>
      <c r="AE665" s="15">
        <v>0</v>
      </c>
      <c r="AF665" s="15">
        <v>1</v>
      </c>
      <c r="AI665" s="15">
        <v>24</v>
      </c>
      <c r="AJ665" s="15">
        <v>1</v>
      </c>
      <c r="AK665" s="15">
        <v>0</v>
      </c>
      <c r="AL665" s="15">
        <v>0</v>
      </c>
      <c r="AM665" s="15">
        <v>0</v>
      </c>
      <c r="AN665" s="15">
        <v>0</v>
      </c>
      <c r="AP665" s="15">
        <v>1</v>
      </c>
      <c r="AQ665" s="15">
        <v>1</v>
      </c>
      <c r="AR665" s="15">
        <v>1</v>
      </c>
      <c r="AS665" s="15">
        <v>0</v>
      </c>
      <c r="AV665" s="15">
        <v>1</v>
      </c>
      <c r="BD665" s="16"/>
      <c r="BE665" s="7">
        <v>240</v>
      </c>
      <c r="BG665" s="15">
        <v>2</v>
      </c>
      <c r="BL665" s="7">
        <v>0</v>
      </c>
    </row>
    <row r="666" spans="1:64" s="15" customFormat="1">
      <c r="A666" s="15">
        <v>130901</v>
      </c>
      <c r="B666" s="15" t="s">
        <v>743</v>
      </c>
      <c r="C666" s="15" t="s">
        <v>740</v>
      </c>
      <c r="D666" s="15" t="s">
        <v>741</v>
      </c>
      <c r="E666" s="15">
        <v>1</v>
      </c>
      <c r="F666" s="15" t="s">
        <v>959</v>
      </c>
      <c r="G666" s="15">
        <v>0</v>
      </c>
      <c r="H666" s="15">
        <v>0</v>
      </c>
      <c r="I666" s="15">
        <v>99999</v>
      </c>
      <c r="J666" s="15">
        <v>0</v>
      </c>
      <c r="K666" s="15">
        <v>0</v>
      </c>
      <c r="L666" s="15" t="s">
        <v>1562</v>
      </c>
      <c r="M666" s="16">
        <v>1</v>
      </c>
      <c r="N666" s="7">
        <v>1</v>
      </c>
      <c r="Q666" s="15">
        <v>0</v>
      </c>
      <c r="S666" s="7">
        <v>2000</v>
      </c>
      <c r="T666" s="15">
        <v>3</v>
      </c>
      <c r="V666" s="15">
        <v>1</v>
      </c>
      <c r="W666" s="15">
        <v>1</v>
      </c>
      <c r="X666" s="30"/>
      <c r="Y666" s="15" t="s">
        <v>742</v>
      </c>
      <c r="Z666" s="15" t="s">
        <v>2773</v>
      </c>
      <c r="AA666" s="16" t="s">
        <v>701</v>
      </c>
      <c r="AB666" s="15">
        <v>0</v>
      </c>
      <c r="AC666" s="15">
        <v>1</v>
      </c>
      <c r="AD666" s="15">
        <v>0</v>
      </c>
      <c r="AE666" s="15">
        <v>0</v>
      </c>
      <c r="AF666" s="15">
        <v>1</v>
      </c>
      <c r="AI666" s="7">
        <v>24</v>
      </c>
      <c r="AJ666" s="7">
        <v>1</v>
      </c>
      <c r="AK666" s="7">
        <v>0</v>
      </c>
      <c r="AL666" s="7">
        <v>0</v>
      </c>
      <c r="AM666" s="7">
        <v>0</v>
      </c>
      <c r="AN666" s="7">
        <v>0</v>
      </c>
      <c r="AO666" s="7"/>
      <c r="AP666" s="15">
        <v>1</v>
      </c>
      <c r="AQ666" s="15">
        <v>1</v>
      </c>
      <c r="AR666" s="15">
        <v>1</v>
      </c>
      <c r="AS666" s="15">
        <v>0</v>
      </c>
      <c r="AV666" s="15">
        <v>1</v>
      </c>
      <c r="BD666" s="16"/>
      <c r="BE666" s="7">
        <v>240</v>
      </c>
      <c r="BG666" s="15">
        <v>2</v>
      </c>
      <c r="BL666" s="7">
        <v>0</v>
      </c>
    </row>
    <row r="667" spans="1:64" s="15" customFormat="1">
      <c r="A667" s="15">
        <v>130902</v>
      </c>
      <c r="B667" s="15" t="s">
        <v>744</v>
      </c>
      <c r="C667" s="15" t="s">
        <v>740</v>
      </c>
      <c r="D667" s="15" t="s">
        <v>741</v>
      </c>
      <c r="E667" s="15">
        <v>1</v>
      </c>
      <c r="F667" s="15" t="s">
        <v>959</v>
      </c>
      <c r="G667" s="15">
        <v>0</v>
      </c>
      <c r="H667" s="15">
        <v>0</v>
      </c>
      <c r="I667" s="15">
        <v>99999</v>
      </c>
      <c r="J667" s="15">
        <v>0</v>
      </c>
      <c r="K667" s="15">
        <v>0</v>
      </c>
      <c r="L667" s="15" t="s">
        <v>1562</v>
      </c>
      <c r="M667" s="16">
        <v>1</v>
      </c>
      <c r="N667" s="7">
        <v>1</v>
      </c>
      <c r="Q667" s="15">
        <v>0</v>
      </c>
      <c r="S667" s="7">
        <v>4000</v>
      </c>
      <c r="T667" s="15">
        <v>3</v>
      </c>
      <c r="V667" s="15">
        <v>1</v>
      </c>
      <c r="W667" s="15">
        <v>1</v>
      </c>
      <c r="X667" s="30"/>
      <c r="Y667" s="15" t="s">
        <v>742</v>
      </c>
      <c r="Z667" s="15" t="s">
        <v>2774</v>
      </c>
      <c r="AA667" s="16" t="s">
        <v>701</v>
      </c>
      <c r="AB667" s="15">
        <v>0</v>
      </c>
      <c r="AC667" s="15">
        <v>1</v>
      </c>
      <c r="AD667" s="15">
        <v>0</v>
      </c>
      <c r="AE667" s="15">
        <v>0</v>
      </c>
      <c r="AF667" s="15">
        <v>1</v>
      </c>
      <c r="AI667" s="7">
        <v>24</v>
      </c>
      <c r="AJ667" s="7">
        <v>1</v>
      </c>
      <c r="AK667" s="7">
        <v>0</v>
      </c>
      <c r="AL667" s="7">
        <v>0</v>
      </c>
      <c r="AM667" s="7">
        <v>0</v>
      </c>
      <c r="AN667" s="7">
        <v>0</v>
      </c>
      <c r="AO667" s="7"/>
      <c r="AP667" s="15">
        <v>1</v>
      </c>
      <c r="AQ667" s="15">
        <v>1</v>
      </c>
      <c r="AR667" s="15">
        <v>1</v>
      </c>
      <c r="AS667" s="15">
        <v>0</v>
      </c>
      <c r="AV667" s="15">
        <v>1</v>
      </c>
      <c r="BD667" s="16"/>
      <c r="BE667" s="7">
        <v>240</v>
      </c>
      <c r="BG667" s="15">
        <v>2</v>
      </c>
      <c r="BL667" s="7">
        <v>0</v>
      </c>
    </row>
    <row r="668" spans="1:64" s="15" customFormat="1">
      <c r="A668" s="15">
        <v>130903</v>
      </c>
      <c r="B668" s="15" t="s">
        <v>745</v>
      </c>
      <c r="C668" s="15" t="s">
        <v>740</v>
      </c>
      <c r="D668" s="15" t="s">
        <v>741</v>
      </c>
      <c r="E668" s="15">
        <v>1</v>
      </c>
      <c r="F668" s="15" t="s">
        <v>959</v>
      </c>
      <c r="G668" s="15">
        <v>0</v>
      </c>
      <c r="H668" s="15">
        <v>0</v>
      </c>
      <c r="I668" s="15">
        <v>99999</v>
      </c>
      <c r="J668" s="15">
        <v>0</v>
      </c>
      <c r="K668" s="15">
        <v>0</v>
      </c>
      <c r="L668" s="15" t="s">
        <v>1562</v>
      </c>
      <c r="M668" s="16">
        <v>1</v>
      </c>
      <c r="N668" s="7">
        <v>1</v>
      </c>
      <c r="Q668" s="15">
        <v>0</v>
      </c>
      <c r="S668" s="7">
        <v>10000</v>
      </c>
      <c r="T668" s="15">
        <v>3</v>
      </c>
      <c r="V668" s="15">
        <v>1</v>
      </c>
      <c r="W668" s="15">
        <v>1</v>
      </c>
      <c r="X668" s="30"/>
      <c r="Y668" s="15" t="s">
        <v>742</v>
      </c>
      <c r="Z668" s="15" t="s">
        <v>2775</v>
      </c>
      <c r="AA668" s="16" t="s">
        <v>701</v>
      </c>
      <c r="AB668" s="15">
        <v>0</v>
      </c>
      <c r="AC668" s="15">
        <v>1</v>
      </c>
      <c r="AD668" s="15">
        <v>0</v>
      </c>
      <c r="AE668" s="15">
        <v>0</v>
      </c>
      <c r="AF668" s="15">
        <v>1</v>
      </c>
      <c r="AI668" s="15">
        <v>24</v>
      </c>
      <c r="AJ668" s="15">
        <v>1</v>
      </c>
      <c r="AK668" s="15">
        <v>0</v>
      </c>
      <c r="AL668" s="15">
        <v>0</v>
      </c>
      <c r="AM668" s="15">
        <v>0</v>
      </c>
      <c r="AN668" s="15">
        <v>0</v>
      </c>
      <c r="AP668" s="15">
        <v>1</v>
      </c>
      <c r="AQ668" s="15">
        <v>1</v>
      </c>
      <c r="AR668" s="15">
        <v>1</v>
      </c>
      <c r="AS668" s="15">
        <v>0</v>
      </c>
      <c r="AV668" s="15">
        <v>1</v>
      </c>
      <c r="BD668" s="16"/>
      <c r="BE668" s="7">
        <v>240</v>
      </c>
      <c r="BG668" s="15">
        <v>2</v>
      </c>
      <c r="BL668" s="7">
        <v>0</v>
      </c>
    </row>
    <row r="669" spans="1:64" s="15" customFormat="1">
      <c r="A669" s="15">
        <v>130904</v>
      </c>
      <c r="B669" s="15" t="s">
        <v>746</v>
      </c>
      <c r="C669" s="15" t="s">
        <v>740</v>
      </c>
      <c r="D669" s="15" t="s">
        <v>741</v>
      </c>
      <c r="E669" s="15">
        <v>1</v>
      </c>
      <c r="F669" s="15" t="s">
        <v>959</v>
      </c>
      <c r="G669" s="15">
        <v>0</v>
      </c>
      <c r="H669" s="15">
        <v>0</v>
      </c>
      <c r="I669" s="15">
        <v>99999</v>
      </c>
      <c r="J669" s="15">
        <v>0</v>
      </c>
      <c r="K669" s="15">
        <v>0</v>
      </c>
      <c r="L669" s="15" t="s">
        <v>1562</v>
      </c>
      <c r="M669" s="16">
        <v>1</v>
      </c>
      <c r="N669" s="7">
        <v>1</v>
      </c>
      <c r="Q669" s="15">
        <v>0</v>
      </c>
      <c r="S669" s="7">
        <v>10000</v>
      </c>
      <c r="T669" s="15">
        <v>3</v>
      </c>
      <c r="V669" s="15">
        <v>1</v>
      </c>
      <c r="W669" s="15">
        <v>1</v>
      </c>
      <c r="X669" s="30"/>
      <c r="Y669" s="15" t="s">
        <v>742</v>
      </c>
      <c r="Z669" s="15" t="s">
        <v>2776</v>
      </c>
      <c r="AA669" s="16" t="s">
        <v>701</v>
      </c>
      <c r="AB669" s="15">
        <v>0</v>
      </c>
      <c r="AC669" s="15">
        <v>1</v>
      </c>
      <c r="AD669" s="15">
        <v>0</v>
      </c>
      <c r="AE669" s="15">
        <v>0</v>
      </c>
      <c r="AF669" s="15">
        <v>1</v>
      </c>
      <c r="AI669" s="15">
        <v>24</v>
      </c>
      <c r="AJ669" s="15">
        <v>1</v>
      </c>
      <c r="AK669" s="15">
        <v>0</v>
      </c>
      <c r="AL669" s="15">
        <v>0</v>
      </c>
      <c r="AM669" s="15">
        <v>0</v>
      </c>
      <c r="AN669" s="15">
        <v>0</v>
      </c>
      <c r="AP669" s="15">
        <v>1</v>
      </c>
      <c r="AQ669" s="15">
        <v>1</v>
      </c>
      <c r="AR669" s="15">
        <v>1</v>
      </c>
      <c r="AS669" s="15">
        <v>0</v>
      </c>
      <c r="AV669" s="15">
        <v>1</v>
      </c>
      <c r="BD669" s="16"/>
      <c r="BE669" s="7">
        <v>240</v>
      </c>
      <c r="BG669" s="15">
        <v>2</v>
      </c>
      <c r="BL669" s="7">
        <v>0</v>
      </c>
    </row>
    <row r="670" spans="1:64" s="15" customFormat="1">
      <c r="A670" s="15">
        <v>130905</v>
      </c>
      <c r="B670" s="15" t="s">
        <v>747</v>
      </c>
      <c r="C670" s="15" t="s">
        <v>740</v>
      </c>
      <c r="D670" s="15" t="s">
        <v>741</v>
      </c>
      <c r="E670" s="15">
        <v>1</v>
      </c>
      <c r="F670" s="15" t="s">
        <v>959</v>
      </c>
      <c r="G670" s="15">
        <v>0</v>
      </c>
      <c r="H670" s="15">
        <v>0</v>
      </c>
      <c r="I670" s="15">
        <v>99999</v>
      </c>
      <c r="J670" s="15">
        <v>0</v>
      </c>
      <c r="K670" s="15">
        <v>0</v>
      </c>
      <c r="L670" s="15" t="s">
        <v>1562</v>
      </c>
      <c r="M670" s="16">
        <v>1</v>
      </c>
      <c r="N670" s="7">
        <v>1</v>
      </c>
      <c r="Q670" s="15">
        <v>0</v>
      </c>
      <c r="S670" s="7">
        <v>10000</v>
      </c>
      <c r="T670" s="15">
        <v>3</v>
      </c>
      <c r="V670" s="15">
        <v>1</v>
      </c>
      <c r="W670" s="15">
        <v>1</v>
      </c>
      <c r="X670" s="30"/>
      <c r="Y670" s="15" t="s">
        <v>742</v>
      </c>
      <c r="Z670" s="15" t="s">
        <v>2777</v>
      </c>
      <c r="AA670" s="16" t="s">
        <v>701</v>
      </c>
      <c r="AB670" s="15">
        <v>0</v>
      </c>
      <c r="AC670" s="15">
        <v>1</v>
      </c>
      <c r="AD670" s="15">
        <v>0</v>
      </c>
      <c r="AE670" s="15">
        <v>0</v>
      </c>
      <c r="AF670" s="15">
        <v>1</v>
      </c>
      <c r="AI670" s="15">
        <v>24</v>
      </c>
      <c r="AJ670" s="15">
        <v>1</v>
      </c>
      <c r="AK670" s="15">
        <v>0</v>
      </c>
      <c r="AL670" s="15">
        <v>0</v>
      </c>
      <c r="AM670" s="15">
        <v>0</v>
      </c>
      <c r="AN670" s="15">
        <v>0</v>
      </c>
      <c r="AP670" s="15">
        <v>1</v>
      </c>
      <c r="AQ670" s="15">
        <v>1</v>
      </c>
      <c r="AR670" s="15">
        <v>1</v>
      </c>
      <c r="AS670" s="15">
        <v>0</v>
      </c>
      <c r="AV670" s="15">
        <v>1</v>
      </c>
      <c r="BD670" s="16"/>
      <c r="BE670" s="7">
        <v>240</v>
      </c>
      <c r="BG670" s="15">
        <v>2</v>
      </c>
      <c r="BL670" s="7">
        <v>0</v>
      </c>
    </row>
    <row r="671" spans="1:64" s="15" customFormat="1">
      <c r="A671" s="15">
        <v>130906</v>
      </c>
      <c r="B671" s="15" t="s">
        <v>748</v>
      </c>
      <c r="C671" s="15" t="s">
        <v>740</v>
      </c>
      <c r="D671" s="15" t="s">
        <v>741</v>
      </c>
      <c r="E671" s="15">
        <v>1</v>
      </c>
      <c r="F671" s="15" t="s">
        <v>959</v>
      </c>
      <c r="G671" s="15">
        <v>0</v>
      </c>
      <c r="H671" s="15">
        <v>0</v>
      </c>
      <c r="I671" s="15">
        <v>99999</v>
      </c>
      <c r="J671" s="15">
        <v>0</v>
      </c>
      <c r="K671" s="15">
        <v>0</v>
      </c>
      <c r="L671" s="15" t="s">
        <v>1562</v>
      </c>
      <c r="M671" s="16">
        <v>1</v>
      </c>
      <c r="N671" s="7">
        <v>1</v>
      </c>
      <c r="Q671" s="15">
        <v>0</v>
      </c>
      <c r="S671" s="7">
        <v>10000</v>
      </c>
      <c r="T671" s="15">
        <v>3</v>
      </c>
      <c r="V671" s="15">
        <v>1</v>
      </c>
      <c r="W671" s="15">
        <v>1</v>
      </c>
      <c r="X671" s="30"/>
      <c r="Y671" s="15" t="s">
        <v>742</v>
      </c>
      <c r="Z671" s="15" t="s">
        <v>2778</v>
      </c>
      <c r="AA671" s="16" t="s">
        <v>701</v>
      </c>
      <c r="AB671" s="15">
        <v>0</v>
      </c>
      <c r="AC671" s="15">
        <v>1</v>
      </c>
      <c r="AD671" s="15">
        <v>0</v>
      </c>
      <c r="AE671" s="15">
        <v>0</v>
      </c>
      <c r="AF671" s="15">
        <v>1</v>
      </c>
      <c r="AI671" s="15">
        <v>24</v>
      </c>
      <c r="AJ671" s="15">
        <v>1</v>
      </c>
      <c r="AK671" s="15">
        <v>0</v>
      </c>
      <c r="AL671" s="15">
        <v>0</v>
      </c>
      <c r="AM671" s="15">
        <v>0</v>
      </c>
      <c r="AN671" s="15">
        <v>0</v>
      </c>
      <c r="AP671" s="15">
        <v>1</v>
      </c>
      <c r="AQ671" s="15">
        <v>1</v>
      </c>
      <c r="AR671" s="15">
        <v>1</v>
      </c>
      <c r="AS671" s="15">
        <v>0</v>
      </c>
      <c r="AV671" s="15">
        <v>1</v>
      </c>
      <c r="BD671" s="16"/>
      <c r="BE671" s="7">
        <v>240</v>
      </c>
      <c r="BG671" s="15">
        <v>2</v>
      </c>
      <c r="BL671" s="7">
        <v>0</v>
      </c>
    </row>
    <row r="672" spans="1:64" s="15" customFormat="1">
      <c r="A672" s="15">
        <v>130907</v>
      </c>
      <c r="B672" s="15" t="s">
        <v>749</v>
      </c>
      <c r="C672" s="15" t="s">
        <v>740</v>
      </c>
      <c r="D672" s="15" t="s">
        <v>741</v>
      </c>
      <c r="E672" s="15">
        <v>1</v>
      </c>
      <c r="F672" s="15" t="s">
        <v>959</v>
      </c>
      <c r="G672" s="15">
        <v>0</v>
      </c>
      <c r="H672" s="15">
        <v>0</v>
      </c>
      <c r="I672" s="15">
        <v>99999</v>
      </c>
      <c r="J672" s="15">
        <v>0</v>
      </c>
      <c r="K672" s="15">
        <v>0</v>
      </c>
      <c r="L672" s="15" t="s">
        <v>1562</v>
      </c>
      <c r="M672" s="16">
        <v>1</v>
      </c>
      <c r="N672" s="7">
        <v>1</v>
      </c>
      <c r="Q672" s="15">
        <v>0</v>
      </c>
      <c r="S672" s="7">
        <v>10000</v>
      </c>
      <c r="T672" s="15">
        <v>3</v>
      </c>
      <c r="V672" s="15">
        <v>1</v>
      </c>
      <c r="W672" s="15">
        <v>1</v>
      </c>
      <c r="X672" s="30"/>
      <c r="Y672" s="15" t="s">
        <v>742</v>
      </c>
      <c r="Z672" s="15" t="s">
        <v>2779</v>
      </c>
      <c r="AA672" s="16" t="s">
        <v>701</v>
      </c>
      <c r="AB672" s="15">
        <v>0</v>
      </c>
      <c r="AC672" s="15">
        <v>1</v>
      </c>
      <c r="AD672" s="15">
        <v>0</v>
      </c>
      <c r="AE672" s="15">
        <v>0</v>
      </c>
      <c r="AF672" s="15">
        <v>1</v>
      </c>
      <c r="AI672" s="15">
        <v>24</v>
      </c>
      <c r="AJ672" s="15">
        <v>1</v>
      </c>
      <c r="AK672" s="15">
        <v>0</v>
      </c>
      <c r="AL672" s="15">
        <v>0</v>
      </c>
      <c r="AM672" s="15">
        <v>0</v>
      </c>
      <c r="AN672" s="15">
        <v>0</v>
      </c>
      <c r="AP672" s="15">
        <v>1</v>
      </c>
      <c r="AQ672" s="15">
        <v>1</v>
      </c>
      <c r="AR672" s="15">
        <v>1</v>
      </c>
      <c r="AS672" s="15">
        <v>0</v>
      </c>
      <c r="AV672" s="15">
        <v>1</v>
      </c>
      <c r="BD672" s="16"/>
      <c r="BE672" s="7">
        <v>240</v>
      </c>
      <c r="BG672" s="15">
        <v>2</v>
      </c>
      <c r="BL672" s="7">
        <v>0</v>
      </c>
    </row>
    <row r="673" spans="1:64" s="15" customFormat="1">
      <c r="A673" s="15">
        <v>130908</v>
      </c>
      <c r="B673" s="15" t="s">
        <v>750</v>
      </c>
      <c r="C673" s="15" t="s">
        <v>740</v>
      </c>
      <c r="D673" s="15" t="s">
        <v>741</v>
      </c>
      <c r="E673" s="15">
        <v>1</v>
      </c>
      <c r="F673" s="15" t="s">
        <v>959</v>
      </c>
      <c r="G673" s="15">
        <v>0</v>
      </c>
      <c r="H673" s="15">
        <v>0</v>
      </c>
      <c r="I673" s="15">
        <v>99999</v>
      </c>
      <c r="J673" s="15">
        <v>0</v>
      </c>
      <c r="K673" s="15">
        <v>0</v>
      </c>
      <c r="L673" s="15" t="s">
        <v>1562</v>
      </c>
      <c r="M673" s="16">
        <v>1</v>
      </c>
      <c r="N673" s="7">
        <v>1</v>
      </c>
      <c r="Q673" s="15">
        <v>0</v>
      </c>
      <c r="S673" s="7">
        <v>10000</v>
      </c>
      <c r="T673" s="15">
        <v>3</v>
      </c>
      <c r="V673" s="15">
        <v>1</v>
      </c>
      <c r="W673" s="15">
        <v>1</v>
      </c>
      <c r="X673" s="30"/>
      <c r="Y673" s="15" t="s">
        <v>742</v>
      </c>
      <c r="Z673" s="15" t="s">
        <v>2780</v>
      </c>
      <c r="AA673" s="16" t="s">
        <v>701</v>
      </c>
      <c r="AB673" s="15">
        <v>0</v>
      </c>
      <c r="AC673" s="15">
        <v>1</v>
      </c>
      <c r="AD673" s="15">
        <v>0</v>
      </c>
      <c r="AE673" s="15">
        <v>0</v>
      </c>
      <c r="AF673" s="15">
        <v>1</v>
      </c>
      <c r="AI673" s="15">
        <v>24</v>
      </c>
      <c r="AJ673" s="15">
        <v>1</v>
      </c>
      <c r="AK673" s="15">
        <v>0</v>
      </c>
      <c r="AL673" s="15">
        <v>0</v>
      </c>
      <c r="AM673" s="15">
        <v>0</v>
      </c>
      <c r="AN673" s="15">
        <v>0</v>
      </c>
      <c r="AP673" s="15">
        <v>1</v>
      </c>
      <c r="AQ673" s="15">
        <v>1</v>
      </c>
      <c r="AR673" s="15">
        <v>1</v>
      </c>
      <c r="AS673" s="15">
        <v>0</v>
      </c>
      <c r="AV673" s="15">
        <v>1</v>
      </c>
      <c r="BD673" s="16"/>
      <c r="BE673" s="7">
        <v>240</v>
      </c>
      <c r="BG673" s="15">
        <v>2</v>
      </c>
      <c r="BL673" s="7">
        <v>0</v>
      </c>
    </row>
    <row r="674" spans="1:64" s="15" customFormat="1">
      <c r="A674" s="15">
        <v>130909</v>
      </c>
      <c r="B674" s="15" t="s">
        <v>751</v>
      </c>
      <c r="C674" s="15" t="s">
        <v>740</v>
      </c>
      <c r="D674" s="15" t="s">
        <v>741</v>
      </c>
      <c r="E674" s="15">
        <v>1</v>
      </c>
      <c r="F674" s="15" t="s">
        <v>959</v>
      </c>
      <c r="G674" s="15">
        <v>0</v>
      </c>
      <c r="H674" s="15">
        <v>0</v>
      </c>
      <c r="I674" s="15">
        <v>99999</v>
      </c>
      <c r="J674" s="15">
        <v>0</v>
      </c>
      <c r="K674" s="15">
        <v>0</v>
      </c>
      <c r="L674" s="15" t="s">
        <v>1562</v>
      </c>
      <c r="M674" s="16">
        <v>1</v>
      </c>
      <c r="N674" s="7">
        <v>1</v>
      </c>
      <c r="Q674" s="15">
        <v>0</v>
      </c>
      <c r="S674" s="7">
        <v>10000</v>
      </c>
      <c r="T674" s="15">
        <v>3</v>
      </c>
      <c r="V674" s="15">
        <v>1</v>
      </c>
      <c r="W674" s="15">
        <v>1</v>
      </c>
      <c r="X674" s="30"/>
      <c r="Y674" s="15" t="s">
        <v>742</v>
      </c>
      <c r="Z674" s="15" t="s">
        <v>2781</v>
      </c>
      <c r="AA674" s="16" t="s">
        <v>701</v>
      </c>
      <c r="AB674" s="15">
        <v>0</v>
      </c>
      <c r="AC674" s="15">
        <v>1</v>
      </c>
      <c r="AD674" s="15">
        <v>0</v>
      </c>
      <c r="AE674" s="15">
        <v>0</v>
      </c>
      <c r="AF674" s="15">
        <v>1</v>
      </c>
      <c r="AI674" s="15">
        <v>24</v>
      </c>
      <c r="AJ674" s="15">
        <v>1</v>
      </c>
      <c r="AK674" s="15">
        <v>0</v>
      </c>
      <c r="AL674" s="15">
        <v>0</v>
      </c>
      <c r="AM674" s="15">
        <v>0</v>
      </c>
      <c r="AN674" s="15">
        <v>0</v>
      </c>
      <c r="AP674" s="15">
        <v>1</v>
      </c>
      <c r="AQ674" s="15">
        <v>1</v>
      </c>
      <c r="AR674" s="15">
        <v>1</v>
      </c>
      <c r="AS674" s="15">
        <v>0</v>
      </c>
      <c r="AV674" s="15">
        <v>1</v>
      </c>
      <c r="BD674" s="16"/>
      <c r="BE674" s="7">
        <v>240</v>
      </c>
      <c r="BG674" s="15">
        <v>2</v>
      </c>
      <c r="BL674" s="7">
        <v>0</v>
      </c>
    </row>
    <row r="675" spans="1:64" s="15" customFormat="1">
      <c r="A675" s="15">
        <v>130911</v>
      </c>
      <c r="B675" s="15" t="s">
        <v>752</v>
      </c>
      <c r="C675" s="15" t="s">
        <v>740</v>
      </c>
      <c r="D675" s="15" t="s">
        <v>741</v>
      </c>
      <c r="E675" s="15">
        <v>1</v>
      </c>
      <c r="F675" s="15" t="s">
        <v>959</v>
      </c>
      <c r="G675" s="15">
        <v>0</v>
      </c>
      <c r="H675" s="15">
        <v>0</v>
      </c>
      <c r="I675" s="15">
        <v>99999</v>
      </c>
      <c r="J675" s="15">
        <v>0</v>
      </c>
      <c r="K675" s="15">
        <v>0</v>
      </c>
      <c r="L675" s="15" t="s">
        <v>1562</v>
      </c>
      <c r="M675" s="16">
        <v>1</v>
      </c>
      <c r="N675" s="7">
        <v>1</v>
      </c>
      <c r="Q675" s="15">
        <v>0</v>
      </c>
      <c r="S675" s="7">
        <v>2000</v>
      </c>
      <c r="T675" s="15">
        <v>3</v>
      </c>
      <c r="V675" s="15">
        <v>1</v>
      </c>
      <c r="W675" s="15">
        <v>1</v>
      </c>
      <c r="X675" s="30"/>
      <c r="Y675" s="15" t="s">
        <v>742</v>
      </c>
      <c r="Z675" s="15" t="s">
        <v>2782</v>
      </c>
      <c r="AA675" s="16" t="s">
        <v>701</v>
      </c>
      <c r="AB675" s="15">
        <v>0</v>
      </c>
      <c r="AC675" s="15">
        <v>1</v>
      </c>
      <c r="AD675" s="15">
        <v>0</v>
      </c>
      <c r="AE675" s="15">
        <v>0</v>
      </c>
      <c r="AF675" s="15">
        <v>1</v>
      </c>
      <c r="AI675" s="7">
        <v>24</v>
      </c>
      <c r="AJ675" s="7">
        <v>1</v>
      </c>
      <c r="AK675" s="7">
        <v>0</v>
      </c>
      <c r="AL675" s="7">
        <v>0</v>
      </c>
      <c r="AM675" s="7">
        <v>0</v>
      </c>
      <c r="AN675" s="7">
        <v>0</v>
      </c>
      <c r="AO675" s="7"/>
      <c r="AP675" s="15">
        <v>1</v>
      </c>
      <c r="AQ675" s="15">
        <v>1</v>
      </c>
      <c r="AR675" s="15">
        <v>1</v>
      </c>
      <c r="AS675" s="15">
        <v>0</v>
      </c>
      <c r="AV675" s="15">
        <v>1</v>
      </c>
      <c r="BD675" s="16"/>
      <c r="BE675" s="7">
        <v>240</v>
      </c>
      <c r="BG675" s="15">
        <v>2</v>
      </c>
      <c r="BL675" s="7">
        <v>0</v>
      </c>
    </row>
    <row r="676" spans="1:64" s="15" customFormat="1">
      <c r="A676" s="15">
        <v>130912</v>
      </c>
      <c r="B676" s="15" t="s">
        <v>753</v>
      </c>
      <c r="C676" s="15" t="s">
        <v>740</v>
      </c>
      <c r="D676" s="15" t="s">
        <v>741</v>
      </c>
      <c r="E676" s="15">
        <v>1</v>
      </c>
      <c r="F676" s="15" t="s">
        <v>959</v>
      </c>
      <c r="G676" s="15">
        <v>0</v>
      </c>
      <c r="H676" s="15">
        <v>0</v>
      </c>
      <c r="I676" s="15">
        <v>99999</v>
      </c>
      <c r="J676" s="15">
        <v>0</v>
      </c>
      <c r="K676" s="15">
        <v>0</v>
      </c>
      <c r="L676" s="15" t="s">
        <v>1562</v>
      </c>
      <c r="M676" s="16">
        <v>1</v>
      </c>
      <c r="N676" s="7">
        <v>1</v>
      </c>
      <c r="Q676" s="15">
        <v>0</v>
      </c>
      <c r="S676" s="7">
        <v>4000</v>
      </c>
      <c r="T676" s="15">
        <v>3</v>
      </c>
      <c r="V676" s="15">
        <v>1</v>
      </c>
      <c r="W676" s="15">
        <v>1</v>
      </c>
      <c r="X676" s="30"/>
      <c r="Y676" s="15" t="s">
        <v>742</v>
      </c>
      <c r="Z676" s="15" t="s">
        <v>2783</v>
      </c>
      <c r="AA676" s="16" t="s">
        <v>701</v>
      </c>
      <c r="AB676" s="15">
        <v>0</v>
      </c>
      <c r="AC676" s="15">
        <v>1</v>
      </c>
      <c r="AD676" s="15">
        <v>0</v>
      </c>
      <c r="AE676" s="15">
        <v>0</v>
      </c>
      <c r="AF676" s="15">
        <v>1</v>
      </c>
      <c r="AI676" s="7">
        <v>24</v>
      </c>
      <c r="AJ676" s="7">
        <v>1</v>
      </c>
      <c r="AK676" s="7">
        <v>0</v>
      </c>
      <c r="AL676" s="7">
        <v>0</v>
      </c>
      <c r="AM676" s="7">
        <v>0</v>
      </c>
      <c r="AN676" s="7">
        <v>0</v>
      </c>
      <c r="AO676" s="7"/>
      <c r="AP676" s="15">
        <v>1</v>
      </c>
      <c r="AQ676" s="15">
        <v>1</v>
      </c>
      <c r="AR676" s="15">
        <v>1</v>
      </c>
      <c r="AS676" s="15">
        <v>0</v>
      </c>
      <c r="AV676" s="15">
        <v>1</v>
      </c>
      <c r="BD676" s="16"/>
      <c r="BE676" s="7">
        <v>240</v>
      </c>
      <c r="BG676" s="15">
        <v>2</v>
      </c>
      <c r="BL676" s="7">
        <v>0</v>
      </c>
    </row>
    <row r="677" spans="1:64" s="15" customFormat="1">
      <c r="A677" s="15">
        <v>130913</v>
      </c>
      <c r="B677" s="15" t="s">
        <v>754</v>
      </c>
      <c r="C677" s="15" t="s">
        <v>740</v>
      </c>
      <c r="D677" s="15" t="s">
        <v>741</v>
      </c>
      <c r="E677" s="15">
        <v>1</v>
      </c>
      <c r="F677" s="15" t="s">
        <v>959</v>
      </c>
      <c r="G677" s="15">
        <v>0</v>
      </c>
      <c r="H677" s="15">
        <v>0</v>
      </c>
      <c r="I677" s="15">
        <v>99999</v>
      </c>
      <c r="J677" s="15">
        <v>0</v>
      </c>
      <c r="K677" s="15">
        <v>0</v>
      </c>
      <c r="L677" s="15" t="s">
        <v>1562</v>
      </c>
      <c r="M677" s="16">
        <v>1</v>
      </c>
      <c r="N677" s="7">
        <v>1</v>
      </c>
      <c r="Q677" s="15">
        <v>0</v>
      </c>
      <c r="S677" s="7">
        <v>10000</v>
      </c>
      <c r="T677" s="15">
        <v>3</v>
      </c>
      <c r="V677" s="15">
        <v>1</v>
      </c>
      <c r="W677" s="15">
        <v>1</v>
      </c>
      <c r="X677" s="30"/>
      <c r="Y677" s="15" t="s">
        <v>742</v>
      </c>
      <c r="Z677" s="15" t="s">
        <v>2784</v>
      </c>
      <c r="AA677" s="16" t="s">
        <v>701</v>
      </c>
      <c r="AB677" s="15">
        <v>0</v>
      </c>
      <c r="AC677" s="15">
        <v>1</v>
      </c>
      <c r="AD677" s="15">
        <v>0</v>
      </c>
      <c r="AE677" s="15">
        <v>0</v>
      </c>
      <c r="AF677" s="15">
        <v>1</v>
      </c>
      <c r="AI677" s="15">
        <v>24</v>
      </c>
      <c r="AJ677" s="15">
        <v>1</v>
      </c>
      <c r="AK677" s="15">
        <v>0</v>
      </c>
      <c r="AL677" s="15">
        <v>0</v>
      </c>
      <c r="AM677" s="15">
        <v>0</v>
      </c>
      <c r="AN677" s="15">
        <v>0</v>
      </c>
      <c r="AP677" s="15">
        <v>1</v>
      </c>
      <c r="AQ677" s="15">
        <v>1</v>
      </c>
      <c r="AR677" s="15">
        <v>1</v>
      </c>
      <c r="AS677" s="15">
        <v>0</v>
      </c>
      <c r="AV677" s="15">
        <v>1</v>
      </c>
      <c r="BD677" s="16"/>
      <c r="BE677" s="7">
        <v>240</v>
      </c>
      <c r="BG677" s="15">
        <v>2</v>
      </c>
      <c r="BL677" s="7">
        <v>0</v>
      </c>
    </row>
    <row r="678" spans="1:64" s="15" customFormat="1">
      <c r="A678" s="15">
        <v>130914</v>
      </c>
      <c r="B678" s="15" t="s">
        <v>755</v>
      </c>
      <c r="C678" s="15" t="s">
        <v>740</v>
      </c>
      <c r="D678" s="15" t="s">
        <v>741</v>
      </c>
      <c r="E678" s="15">
        <v>1</v>
      </c>
      <c r="F678" s="15" t="s">
        <v>959</v>
      </c>
      <c r="G678" s="15">
        <v>0</v>
      </c>
      <c r="H678" s="15">
        <v>0</v>
      </c>
      <c r="I678" s="15">
        <v>99999</v>
      </c>
      <c r="J678" s="15">
        <v>0</v>
      </c>
      <c r="K678" s="15">
        <v>0</v>
      </c>
      <c r="L678" s="15" t="s">
        <v>1562</v>
      </c>
      <c r="M678" s="16">
        <v>1</v>
      </c>
      <c r="N678" s="7">
        <v>1</v>
      </c>
      <c r="Q678" s="15">
        <v>0</v>
      </c>
      <c r="S678" s="7">
        <v>10000</v>
      </c>
      <c r="T678" s="15">
        <v>3</v>
      </c>
      <c r="V678" s="15">
        <v>1</v>
      </c>
      <c r="W678" s="15">
        <v>1</v>
      </c>
      <c r="X678" s="30"/>
      <c r="Y678" s="15" t="s">
        <v>742</v>
      </c>
      <c r="Z678" s="15" t="s">
        <v>2785</v>
      </c>
      <c r="AA678" s="16" t="s">
        <v>701</v>
      </c>
      <c r="AB678" s="15">
        <v>0</v>
      </c>
      <c r="AC678" s="15">
        <v>1</v>
      </c>
      <c r="AD678" s="15">
        <v>0</v>
      </c>
      <c r="AE678" s="15">
        <v>0</v>
      </c>
      <c r="AF678" s="15">
        <v>1</v>
      </c>
      <c r="AI678" s="15">
        <v>24</v>
      </c>
      <c r="AJ678" s="15">
        <v>1</v>
      </c>
      <c r="AK678" s="15">
        <v>0</v>
      </c>
      <c r="AL678" s="15">
        <v>0</v>
      </c>
      <c r="AM678" s="15">
        <v>0</v>
      </c>
      <c r="AN678" s="15">
        <v>0</v>
      </c>
      <c r="AP678" s="15">
        <v>1</v>
      </c>
      <c r="AQ678" s="15">
        <v>1</v>
      </c>
      <c r="AR678" s="15">
        <v>1</v>
      </c>
      <c r="AS678" s="15">
        <v>0</v>
      </c>
      <c r="AV678" s="15">
        <v>1</v>
      </c>
      <c r="BD678" s="16"/>
      <c r="BE678" s="7">
        <v>240</v>
      </c>
      <c r="BG678" s="15">
        <v>2</v>
      </c>
      <c r="BL678" s="7">
        <v>0</v>
      </c>
    </row>
    <row r="679" spans="1:64" s="15" customFormat="1">
      <c r="A679" s="15">
        <v>130915</v>
      </c>
      <c r="B679" s="15" t="s">
        <v>756</v>
      </c>
      <c r="C679" s="15" t="s">
        <v>740</v>
      </c>
      <c r="D679" s="15" t="s">
        <v>741</v>
      </c>
      <c r="E679" s="15">
        <v>1</v>
      </c>
      <c r="F679" s="15" t="s">
        <v>959</v>
      </c>
      <c r="G679" s="15">
        <v>0</v>
      </c>
      <c r="H679" s="15">
        <v>0</v>
      </c>
      <c r="I679" s="15">
        <v>99999</v>
      </c>
      <c r="J679" s="15">
        <v>0</v>
      </c>
      <c r="K679" s="15">
        <v>0</v>
      </c>
      <c r="L679" s="15" t="s">
        <v>1562</v>
      </c>
      <c r="M679" s="16">
        <v>1</v>
      </c>
      <c r="N679" s="7">
        <v>1</v>
      </c>
      <c r="Q679" s="15">
        <v>0</v>
      </c>
      <c r="S679" s="7">
        <v>10000</v>
      </c>
      <c r="T679" s="15">
        <v>3</v>
      </c>
      <c r="V679" s="15">
        <v>1</v>
      </c>
      <c r="W679" s="15">
        <v>1</v>
      </c>
      <c r="X679" s="30"/>
      <c r="Y679" s="15" t="s">
        <v>742</v>
      </c>
      <c r="Z679" s="15" t="s">
        <v>2786</v>
      </c>
      <c r="AA679" s="16" t="s">
        <v>701</v>
      </c>
      <c r="AB679" s="15">
        <v>0</v>
      </c>
      <c r="AC679" s="15">
        <v>1</v>
      </c>
      <c r="AD679" s="15">
        <v>0</v>
      </c>
      <c r="AE679" s="15">
        <v>0</v>
      </c>
      <c r="AF679" s="15">
        <v>1</v>
      </c>
      <c r="AI679" s="15">
        <v>24</v>
      </c>
      <c r="AJ679" s="15">
        <v>1</v>
      </c>
      <c r="AK679" s="15">
        <v>0</v>
      </c>
      <c r="AL679" s="15">
        <v>0</v>
      </c>
      <c r="AM679" s="15">
        <v>0</v>
      </c>
      <c r="AN679" s="15">
        <v>0</v>
      </c>
      <c r="AP679" s="15">
        <v>1</v>
      </c>
      <c r="AQ679" s="15">
        <v>1</v>
      </c>
      <c r="AR679" s="15">
        <v>1</v>
      </c>
      <c r="AS679" s="15">
        <v>0</v>
      </c>
      <c r="AV679" s="15">
        <v>1</v>
      </c>
      <c r="BD679" s="16"/>
      <c r="BE679" s="7">
        <v>240</v>
      </c>
      <c r="BG679" s="15">
        <v>2</v>
      </c>
      <c r="BL679" s="7">
        <v>0</v>
      </c>
    </row>
    <row r="680" spans="1:64" s="15" customFormat="1">
      <c r="A680" s="15">
        <v>130916</v>
      </c>
      <c r="B680" s="15" t="s">
        <v>757</v>
      </c>
      <c r="C680" s="15" t="s">
        <v>740</v>
      </c>
      <c r="D680" s="15" t="s">
        <v>741</v>
      </c>
      <c r="E680" s="15">
        <v>1</v>
      </c>
      <c r="F680" s="15" t="s">
        <v>959</v>
      </c>
      <c r="G680" s="15">
        <v>0</v>
      </c>
      <c r="H680" s="15">
        <v>0</v>
      </c>
      <c r="I680" s="15">
        <v>99999</v>
      </c>
      <c r="J680" s="15">
        <v>0</v>
      </c>
      <c r="K680" s="15">
        <v>0</v>
      </c>
      <c r="L680" s="15" t="s">
        <v>1562</v>
      </c>
      <c r="M680" s="16">
        <v>1</v>
      </c>
      <c r="N680" s="7">
        <v>1</v>
      </c>
      <c r="Q680" s="15">
        <v>0</v>
      </c>
      <c r="S680" s="7">
        <v>10000</v>
      </c>
      <c r="T680" s="15">
        <v>3</v>
      </c>
      <c r="V680" s="15">
        <v>1</v>
      </c>
      <c r="W680" s="15">
        <v>1</v>
      </c>
      <c r="X680" s="30"/>
      <c r="Y680" s="15" t="s">
        <v>742</v>
      </c>
      <c r="Z680" s="15" t="s">
        <v>2787</v>
      </c>
      <c r="AA680" s="16" t="s">
        <v>701</v>
      </c>
      <c r="AB680" s="15">
        <v>0</v>
      </c>
      <c r="AC680" s="15">
        <v>1</v>
      </c>
      <c r="AD680" s="15">
        <v>0</v>
      </c>
      <c r="AE680" s="15">
        <v>0</v>
      </c>
      <c r="AF680" s="15">
        <v>1</v>
      </c>
      <c r="AI680" s="15">
        <v>24</v>
      </c>
      <c r="AJ680" s="15">
        <v>1</v>
      </c>
      <c r="AK680" s="15">
        <v>0</v>
      </c>
      <c r="AL680" s="15">
        <v>0</v>
      </c>
      <c r="AM680" s="15">
        <v>0</v>
      </c>
      <c r="AN680" s="15">
        <v>0</v>
      </c>
      <c r="AP680" s="15">
        <v>1</v>
      </c>
      <c r="AQ680" s="15">
        <v>1</v>
      </c>
      <c r="AR680" s="15">
        <v>1</v>
      </c>
      <c r="AS680" s="15">
        <v>0</v>
      </c>
      <c r="AV680" s="15">
        <v>1</v>
      </c>
      <c r="BD680" s="16"/>
      <c r="BE680" s="7">
        <v>240</v>
      </c>
      <c r="BG680" s="15">
        <v>2</v>
      </c>
      <c r="BL680" s="7">
        <v>0</v>
      </c>
    </row>
    <row r="681" spans="1:64" s="15" customFormat="1">
      <c r="A681" s="15">
        <v>130917</v>
      </c>
      <c r="B681" s="15" t="s">
        <v>758</v>
      </c>
      <c r="C681" s="15" t="s">
        <v>740</v>
      </c>
      <c r="D681" s="15" t="s">
        <v>741</v>
      </c>
      <c r="E681" s="15">
        <v>1</v>
      </c>
      <c r="F681" s="15" t="s">
        <v>959</v>
      </c>
      <c r="G681" s="15">
        <v>0</v>
      </c>
      <c r="H681" s="15">
        <v>0</v>
      </c>
      <c r="I681" s="15">
        <v>99999</v>
      </c>
      <c r="J681" s="15">
        <v>0</v>
      </c>
      <c r="K681" s="15">
        <v>0</v>
      </c>
      <c r="L681" s="15" t="s">
        <v>1562</v>
      </c>
      <c r="M681" s="16">
        <v>1</v>
      </c>
      <c r="N681" s="7">
        <v>1</v>
      </c>
      <c r="Q681" s="15">
        <v>0</v>
      </c>
      <c r="S681" s="7">
        <v>10000</v>
      </c>
      <c r="T681" s="15">
        <v>3</v>
      </c>
      <c r="V681" s="15">
        <v>1</v>
      </c>
      <c r="W681" s="15">
        <v>1</v>
      </c>
      <c r="X681" s="30"/>
      <c r="Y681" s="15" t="s">
        <v>742</v>
      </c>
      <c r="Z681" s="15" t="s">
        <v>2788</v>
      </c>
      <c r="AA681" s="16" t="s">
        <v>701</v>
      </c>
      <c r="AB681" s="15">
        <v>0</v>
      </c>
      <c r="AC681" s="15">
        <v>1</v>
      </c>
      <c r="AD681" s="15">
        <v>0</v>
      </c>
      <c r="AE681" s="15">
        <v>0</v>
      </c>
      <c r="AF681" s="15">
        <v>1</v>
      </c>
      <c r="AI681" s="15">
        <v>24</v>
      </c>
      <c r="AJ681" s="15">
        <v>1</v>
      </c>
      <c r="AK681" s="15">
        <v>0</v>
      </c>
      <c r="AL681" s="15">
        <v>0</v>
      </c>
      <c r="AM681" s="15">
        <v>0</v>
      </c>
      <c r="AN681" s="15">
        <v>0</v>
      </c>
      <c r="AP681" s="15">
        <v>1</v>
      </c>
      <c r="AQ681" s="15">
        <v>1</v>
      </c>
      <c r="AR681" s="15">
        <v>1</v>
      </c>
      <c r="AS681" s="15">
        <v>0</v>
      </c>
      <c r="AV681" s="15">
        <v>1</v>
      </c>
      <c r="BD681" s="16"/>
      <c r="BE681" s="7">
        <v>240</v>
      </c>
      <c r="BG681" s="15">
        <v>2</v>
      </c>
      <c r="BL681" s="7">
        <v>0</v>
      </c>
    </row>
    <row r="682" spans="1:64" s="15" customFormat="1">
      <c r="A682" s="15">
        <v>130918</v>
      </c>
      <c r="B682" s="15" t="s">
        <v>759</v>
      </c>
      <c r="C682" s="15" t="s">
        <v>740</v>
      </c>
      <c r="D682" s="15" t="s">
        <v>741</v>
      </c>
      <c r="E682" s="15">
        <v>1</v>
      </c>
      <c r="F682" s="15" t="s">
        <v>959</v>
      </c>
      <c r="G682" s="15">
        <v>0</v>
      </c>
      <c r="H682" s="15">
        <v>0</v>
      </c>
      <c r="I682" s="15">
        <v>99999</v>
      </c>
      <c r="J682" s="15">
        <v>0</v>
      </c>
      <c r="K682" s="15">
        <v>0</v>
      </c>
      <c r="L682" s="15" t="s">
        <v>1562</v>
      </c>
      <c r="M682" s="16">
        <v>1</v>
      </c>
      <c r="N682" s="7">
        <v>1</v>
      </c>
      <c r="Q682" s="15">
        <v>0</v>
      </c>
      <c r="S682" s="7">
        <v>10000</v>
      </c>
      <c r="T682" s="15">
        <v>3</v>
      </c>
      <c r="V682" s="15">
        <v>1</v>
      </c>
      <c r="W682" s="15">
        <v>1</v>
      </c>
      <c r="X682" s="30"/>
      <c r="Y682" s="15" t="s">
        <v>742</v>
      </c>
      <c r="Z682" s="15" t="s">
        <v>2789</v>
      </c>
      <c r="AA682" s="16" t="s">
        <v>701</v>
      </c>
      <c r="AB682" s="15">
        <v>0</v>
      </c>
      <c r="AC682" s="15">
        <v>1</v>
      </c>
      <c r="AD682" s="15">
        <v>0</v>
      </c>
      <c r="AE682" s="15">
        <v>0</v>
      </c>
      <c r="AF682" s="15">
        <v>1</v>
      </c>
      <c r="AI682" s="15">
        <v>24</v>
      </c>
      <c r="AJ682" s="15">
        <v>1</v>
      </c>
      <c r="AK682" s="15">
        <v>0</v>
      </c>
      <c r="AL682" s="15">
        <v>0</v>
      </c>
      <c r="AM682" s="15">
        <v>0</v>
      </c>
      <c r="AN682" s="15">
        <v>0</v>
      </c>
      <c r="AP682" s="15">
        <v>1</v>
      </c>
      <c r="AQ682" s="15">
        <v>1</v>
      </c>
      <c r="AR682" s="15">
        <v>1</v>
      </c>
      <c r="AS682" s="15">
        <v>0</v>
      </c>
      <c r="AV682" s="15">
        <v>1</v>
      </c>
      <c r="BD682" s="16"/>
      <c r="BE682" s="7">
        <v>240</v>
      </c>
      <c r="BG682" s="15">
        <v>2</v>
      </c>
      <c r="BL682" s="7">
        <v>0</v>
      </c>
    </row>
    <row r="683" spans="1:64" s="15" customFormat="1">
      <c r="A683" s="15">
        <v>130919</v>
      </c>
      <c r="B683" s="15" t="s">
        <v>760</v>
      </c>
      <c r="C683" s="15" t="s">
        <v>740</v>
      </c>
      <c r="D683" s="15" t="s">
        <v>741</v>
      </c>
      <c r="E683" s="15">
        <v>1</v>
      </c>
      <c r="F683" s="15" t="s">
        <v>959</v>
      </c>
      <c r="G683" s="15">
        <v>0</v>
      </c>
      <c r="H683" s="15">
        <v>0</v>
      </c>
      <c r="I683" s="15">
        <v>99999</v>
      </c>
      <c r="J683" s="15">
        <v>0</v>
      </c>
      <c r="K683" s="15">
        <v>0</v>
      </c>
      <c r="L683" s="15" t="s">
        <v>1562</v>
      </c>
      <c r="M683" s="16">
        <v>1</v>
      </c>
      <c r="N683" s="7">
        <v>1</v>
      </c>
      <c r="Q683" s="15">
        <v>0</v>
      </c>
      <c r="S683" s="7">
        <v>10000</v>
      </c>
      <c r="T683" s="15">
        <v>3</v>
      </c>
      <c r="V683" s="15">
        <v>1</v>
      </c>
      <c r="W683" s="15">
        <v>1</v>
      </c>
      <c r="X683" s="30"/>
      <c r="Y683" s="15" t="s">
        <v>742</v>
      </c>
      <c r="Z683" s="15" t="s">
        <v>2790</v>
      </c>
      <c r="AA683" s="16" t="s">
        <v>701</v>
      </c>
      <c r="AB683" s="15">
        <v>0</v>
      </c>
      <c r="AC683" s="15">
        <v>1</v>
      </c>
      <c r="AD683" s="15">
        <v>0</v>
      </c>
      <c r="AE683" s="15">
        <v>0</v>
      </c>
      <c r="AF683" s="15">
        <v>1</v>
      </c>
      <c r="AI683" s="15">
        <v>24</v>
      </c>
      <c r="AJ683" s="15">
        <v>1</v>
      </c>
      <c r="AK683" s="15">
        <v>0</v>
      </c>
      <c r="AL683" s="15">
        <v>0</v>
      </c>
      <c r="AM683" s="15">
        <v>0</v>
      </c>
      <c r="AN683" s="15">
        <v>0</v>
      </c>
      <c r="AP683" s="15">
        <v>1</v>
      </c>
      <c r="AQ683" s="15">
        <v>1</v>
      </c>
      <c r="AR683" s="15">
        <v>1</v>
      </c>
      <c r="AS683" s="15">
        <v>0</v>
      </c>
      <c r="AV683" s="15">
        <v>1</v>
      </c>
      <c r="BD683" s="16"/>
      <c r="BE683" s="7">
        <v>240</v>
      </c>
      <c r="BG683" s="15">
        <v>2</v>
      </c>
      <c r="BL683" s="7">
        <v>0</v>
      </c>
    </row>
    <row r="684" spans="1:64" s="15" customFormat="1">
      <c r="A684" s="15">
        <v>130921</v>
      </c>
      <c r="B684" s="15" t="s">
        <v>761</v>
      </c>
      <c r="C684" s="15" t="s">
        <v>740</v>
      </c>
      <c r="D684" s="15" t="s">
        <v>741</v>
      </c>
      <c r="E684" s="15">
        <v>1</v>
      </c>
      <c r="F684" s="15" t="s">
        <v>959</v>
      </c>
      <c r="G684" s="15">
        <v>0</v>
      </c>
      <c r="H684" s="15">
        <v>0</v>
      </c>
      <c r="I684" s="15">
        <v>99999</v>
      </c>
      <c r="J684" s="15">
        <v>0</v>
      </c>
      <c r="K684" s="15">
        <v>0</v>
      </c>
      <c r="L684" s="15" t="s">
        <v>1562</v>
      </c>
      <c r="M684" s="16">
        <v>1</v>
      </c>
      <c r="N684" s="7">
        <v>1</v>
      </c>
      <c r="Q684" s="15">
        <v>0</v>
      </c>
      <c r="S684" s="7">
        <v>2000</v>
      </c>
      <c r="T684" s="15">
        <v>3</v>
      </c>
      <c r="V684" s="15">
        <v>1</v>
      </c>
      <c r="W684" s="15">
        <v>1</v>
      </c>
      <c r="X684" s="30"/>
      <c r="Y684" s="15" t="s">
        <v>742</v>
      </c>
      <c r="Z684" s="15" t="s">
        <v>2791</v>
      </c>
      <c r="AA684" s="16" t="s">
        <v>701</v>
      </c>
      <c r="AB684" s="15">
        <v>0</v>
      </c>
      <c r="AC684" s="15">
        <v>1</v>
      </c>
      <c r="AD684" s="15">
        <v>0</v>
      </c>
      <c r="AE684" s="15">
        <v>0</v>
      </c>
      <c r="AF684" s="15">
        <v>1</v>
      </c>
      <c r="AI684" s="7">
        <v>24</v>
      </c>
      <c r="AJ684" s="7">
        <v>1</v>
      </c>
      <c r="AK684" s="7">
        <v>0</v>
      </c>
      <c r="AL684" s="7">
        <v>0</v>
      </c>
      <c r="AM684" s="7">
        <v>0</v>
      </c>
      <c r="AN684" s="7">
        <v>0</v>
      </c>
      <c r="AO684" s="7"/>
      <c r="AP684" s="15">
        <v>1</v>
      </c>
      <c r="AQ684" s="15">
        <v>1</v>
      </c>
      <c r="AR684" s="15">
        <v>1</v>
      </c>
      <c r="AS684" s="15">
        <v>0</v>
      </c>
      <c r="AV684" s="15">
        <v>1</v>
      </c>
      <c r="BD684" s="16"/>
      <c r="BE684" s="7">
        <v>240</v>
      </c>
      <c r="BG684" s="15">
        <v>2</v>
      </c>
      <c r="BL684" s="7">
        <v>0</v>
      </c>
    </row>
    <row r="685" spans="1:64" s="15" customFormat="1">
      <c r="A685" s="15">
        <v>130922</v>
      </c>
      <c r="B685" s="15" t="s">
        <v>762</v>
      </c>
      <c r="C685" s="15" t="s">
        <v>740</v>
      </c>
      <c r="D685" s="15" t="s">
        <v>741</v>
      </c>
      <c r="E685" s="15">
        <v>1</v>
      </c>
      <c r="F685" s="15" t="s">
        <v>959</v>
      </c>
      <c r="G685" s="15">
        <v>0</v>
      </c>
      <c r="H685" s="15">
        <v>0</v>
      </c>
      <c r="I685" s="15">
        <v>99999</v>
      </c>
      <c r="J685" s="15">
        <v>0</v>
      </c>
      <c r="K685" s="15">
        <v>0</v>
      </c>
      <c r="L685" s="15" t="s">
        <v>1562</v>
      </c>
      <c r="M685" s="16">
        <v>1</v>
      </c>
      <c r="N685" s="7">
        <v>1</v>
      </c>
      <c r="Q685" s="15">
        <v>0</v>
      </c>
      <c r="S685" s="7">
        <v>4000</v>
      </c>
      <c r="T685" s="15">
        <v>3</v>
      </c>
      <c r="V685" s="15">
        <v>1</v>
      </c>
      <c r="W685" s="15">
        <v>1</v>
      </c>
      <c r="X685" s="30"/>
      <c r="Y685" s="15" t="s">
        <v>742</v>
      </c>
      <c r="Z685" s="15" t="s">
        <v>2792</v>
      </c>
      <c r="AA685" s="16" t="s">
        <v>701</v>
      </c>
      <c r="AB685" s="15">
        <v>0</v>
      </c>
      <c r="AC685" s="15">
        <v>1</v>
      </c>
      <c r="AD685" s="15">
        <v>0</v>
      </c>
      <c r="AE685" s="15">
        <v>0</v>
      </c>
      <c r="AF685" s="15">
        <v>1</v>
      </c>
      <c r="AI685" s="7">
        <v>24</v>
      </c>
      <c r="AJ685" s="7">
        <v>1</v>
      </c>
      <c r="AK685" s="7">
        <v>0</v>
      </c>
      <c r="AL685" s="7">
        <v>0</v>
      </c>
      <c r="AM685" s="7">
        <v>0</v>
      </c>
      <c r="AN685" s="7">
        <v>0</v>
      </c>
      <c r="AO685" s="7"/>
      <c r="AP685" s="15">
        <v>1</v>
      </c>
      <c r="AQ685" s="15">
        <v>1</v>
      </c>
      <c r="AR685" s="15">
        <v>1</v>
      </c>
      <c r="AS685" s="15">
        <v>0</v>
      </c>
      <c r="AV685" s="15">
        <v>1</v>
      </c>
      <c r="BD685" s="16"/>
      <c r="BE685" s="7">
        <v>240</v>
      </c>
      <c r="BG685" s="15">
        <v>2</v>
      </c>
      <c r="BL685" s="7">
        <v>0</v>
      </c>
    </row>
    <row r="686" spans="1:64" s="15" customFormat="1">
      <c r="A686" s="15">
        <v>130923</v>
      </c>
      <c r="B686" s="15" t="s">
        <v>763</v>
      </c>
      <c r="C686" s="15" t="s">
        <v>740</v>
      </c>
      <c r="D686" s="15" t="s">
        <v>741</v>
      </c>
      <c r="E686" s="15">
        <v>1</v>
      </c>
      <c r="F686" s="15" t="s">
        <v>959</v>
      </c>
      <c r="G686" s="15">
        <v>0</v>
      </c>
      <c r="H686" s="15">
        <v>0</v>
      </c>
      <c r="I686" s="15">
        <v>99999</v>
      </c>
      <c r="J686" s="15">
        <v>0</v>
      </c>
      <c r="K686" s="15">
        <v>0</v>
      </c>
      <c r="L686" s="15" t="s">
        <v>1562</v>
      </c>
      <c r="M686" s="16">
        <v>1</v>
      </c>
      <c r="N686" s="7">
        <v>1</v>
      </c>
      <c r="Q686" s="15">
        <v>0</v>
      </c>
      <c r="S686" s="7">
        <v>10000</v>
      </c>
      <c r="T686" s="15">
        <v>3</v>
      </c>
      <c r="V686" s="15">
        <v>1</v>
      </c>
      <c r="W686" s="15">
        <v>1</v>
      </c>
      <c r="X686" s="30"/>
      <c r="Y686" s="15" t="s">
        <v>742</v>
      </c>
      <c r="Z686" s="15" t="s">
        <v>2793</v>
      </c>
      <c r="AA686" s="16" t="s">
        <v>701</v>
      </c>
      <c r="AB686" s="15">
        <v>0</v>
      </c>
      <c r="AC686" s="15">
        <v>1</v>
      </c>
      <c r="AD686" s="15">
        <v>0</v>
      </c>
      <c r="AE686" s="15">
        <v>0</v>
      </c>
      <c r="AF686" s="15">
        <v>1</v>
      </c>
      <c r="AI686" s="15">
        <v>24</v>
      </c>
      <c r="AJ686" s="15">
        <v>1</v>
      </c>
      <c r="AK686" s="15">
        <v>0</v>
      </c>
      <c r="AL686" s="15">
        <v>0</v>
      </c>
      <c r="AM686" s="15">
        <v>0</v>
      </c>
      <c r="AN686" s="15">
        <v>0</v>
      </c>
      <c r="AP686" s="15">
        <v>1</v>
      </c>
      <c r="AQ686" s="15">
        <v>1</v>
      </c>
      <c r="AR686" s="15">
        <v>1</v>
      </c>
      <c r="AS686" s="15">
        <v>0</v>
      </c>
      <c r="AV686" s="15">
        <v>1</v>
      </c>
      <c r="BD686" s="16"/>
      <c r="BE686" s="7">
        <v>240</v>
      </c>
      <c r="BG686" s="15">
        <v>2</v>
      </c>
      <c r="BL686" s="7">
        <v>0</v>
      </c>
    </row>
    <row r="687" spans="1:64" s="15" customFormat="1">
      <c r="A687" s="15">
        <v>130924</v>
      </c>
      <c r="B687" s="15" t="s">
        <v>764</v>
      </c>
      <c r="C687" s="15" t="s">
        <v>740</v>
      </c>
      <c r="D687" s="15" t="s">
        <v>741</v>
      </c>
      <c r="E687" s="15">
        <v>1</v>
      </c>
      <c r="F687" s="15" t="s">
        <v>959</v>
      </c>
      <c r="G687" s="15">
        <v>0</v>
      </c>
      <c r="H687" s="15">
        <v>0</v>
      </c>
      <c r="I687" s="15">
        <v>99999</v>
      </c>
      <c r="J687" s="15">
        <v>0</v>
      </c>
      <c r="K687" s="15">
        <v>0</v>
      </c>
      <c r="L687" s="15" t="s">
        <v>1562</v>
      </c>
      <c r="M687" s="16">
        <v>1</v>
      </c>
      <c r="N687" s="7">
        <v>1</v>
      </c>
      <c r="Q687" s="15">
        <v>0</v>
      </c>
      <c r="S687" s="7">
        <v>10000</v>
      </c>
      <c r="T687" s="15">
        <v>3</v>
      </c>
      <c r="V687" s="15">
        <v>1</v>
      </c>
      <c r="W687" s="15">
        <v>1</v>
      </c>
      <c r="X687" s="30"/>
      <c r="Y687" s="15" t="s">
        <v>742</v>
      </c>
      <c r="Z687" s="15" t="s">
        <v>2794</v>
      </c>
      <c r="AA687" s="16" t="s">
        <v>701</v>
      </c>
      <c r="AB687" s="15">
        <v>0</v>
      </c>
      <c r="AC687" s="15">
        <v>1</v>
      </c>
      <c r="AD687" s="15">
        <v>0</v>
      </c>
      <c r="AE687" s="15">
        <v>0</v>
      </c>
      <c r="AF687" s="15">
        <v>1</v>
      </c>
      <c r="AI687" s="15">
        <v>24</v>
      </c>
      <c r="AJ687" s="15">
        <v>1</v>
      </c>
      <c r="AK687" s="15">
        <v>0</v>
      </c>
      <c r="AL687" s="15">
        <v>0</v>
      </c>
      <c r="AM687" s="15">
        <v>0</v>
      </c>
      <c r="AN687" s="15">
        <v>0</v>
      </c>
      <c r="AP687" s="15">
        <v>1</v>
      </c>
      <c r="AQ687" s="15">
        <v>1</v>
      </c>
      <c r="AR687" s="15">
        <v>1</v>
      </c>
      <c r="AS687" s="15">
        <v>0</v>
      </c>
      <c r="AV687" s="15">
        <v>1</v>
      </c>
      <c r="BD687" s="16"/>
      <c r="BE687" s="7">
        <v>240</v>
      </c>
      <c r="BG687" s="15">
        <v>2</v>
      </c>
      <c r="BL687" s="7">
        <v>0</v>
      </c>
    </row>
    <row r="688" spans="1:64" s="15" customFormat="1">
      <c r="A688" s="15">
        <v>130925</v>
      </c>
      <c r="B688" s="15" t="s">
        <v>765</v>
      </c>
      <c r="C688" s="15" t="s">
        <v>740</v>
      </c>
      <c r="D688" s="15" t="s">
        <v>741</v>
      </c>
      <c r="E688" s="15">
        <v>1</v>
      </c>
      <c r="F688" s="15" t="s">
        <v>959</v>
      </c>
      <c r="G688" s="15">
        <v>0</v>
      </c>
      <c r="H688" s="15">
        <v>0</v>
      </c>
      <c r="I688" s="15">
        <v>99999</v>
      </c>
      <c r="J688" s="15">
        <v>0</v>
      </c>
      <c r="K688" s="15">
        <v>0</v>
      </c>
      <c r="L688" s="15" t="s">
        <v>1562</v>
      </c>
      <c r="M688" s="16">
        <v>1</v>
      </c>
      <c r="N688" s="7">
        <v>1</v>
      </c>
      <c r="Q688" s="15">
        <v>0</v>
      </c>
      <c r="S688" s="7">
        <v>10000</v>
      </c>
      <c r="T688" s="15">
        <v>3</v>
      </c>
      <c r="V688" s="15">
        <v>1</v>
      </c>
      <c r="W688" s="15">
        <v>1</v>
      </c>
      <c r="X688" s="30"/>
      <c r="Y688" s="15" t="s">
        <v>742</v>
      </c>
      <c r="Z688" s="15" t="s">
        <v>2795</v>
      </c>
      <c r="AA688" s="16" t="s">
        <v>701</v>
      </c>
      <c r="AB688" s="15">
        <v>0</v>
      </c>
      <c r="AC688" s="15">
        <v>1</v>
      </c>
      <c r="AD688" s="15">
        <v>0</v>
      </c>
      <c r="AE688" s="15">
        <v>0</v>
      </c>
      <c r="AF688" s="15">
        <v>1</v>
      </c>
      <c r="AI688" s="15">
        <v>24</v>
      </c>
      <c r="AJ688" s="15">
        <v>1</v>
      </c>
      <c r="AK688" s="15">
        <v>0</v>
      </c>
      <c r="AL688" s="15">
        <v>0</v>
      </c>
      <c r="AM688" s="15">
        <v>0</v>
      </c>
      <c r="AN688" s="15">
        <v>0</v>
      </c>
      <c r="AP688" s="15">
        <v>1</v>
      </c>
      <c r="AQ688" s="15">
        <v>1</v>
      </c>
      <c r="AR688" s="15">
        <v>1</v>
      </c>
      <c r="AS688" s="15">
        <v>0</v>
      </c>
      <c r="AV688" s="15">
        <v>1</v>
      </c>
      <c r="BD688" s="16"/>
      <c r="BE688" s="7">
        <v>240</v>
      </c>
      <c r="BG688" s="15">
        <v>2</v>
      </c>
      <c r="BL688" s="7">
        <v>0</v>
      </c>
    </row>
    <row r="689" spans="1:64" s="15" customFormat="1">
      <c r="A689" s="15">
        <v>130926</v>
      </c>
      <c r="B689" s="15" t="s">
        <v>766</v>
      </c>
      <c r="C689" s="15" t="s">
        <v>740</v>
      </c>
      <c r="D689" s="15" t="s">
        <v>741</v>
      </c>
      <c r="E689" s="15">
        <v>1</v>
      </c>
      <c r="F689" s="15" t="s">
        <v>959</v>
      </c>
      <c r="G689" s="15">
        <v>0</v>
      </c>
      <c r="H689" s="15">
        <v>0</v>
      </c>
      <c r="I689" s="15">
        <v>99999</v>
      </c>
      <c r="J689" s="15">
        <v>0</v>
      </c>
      <c r="K689" s="15">
        <v>0</v>
      </c>
      <c r="L689" s="15" t="s">
        <v>1562</v>
      </c>
      <c r="M689" s="16">
        <v>1</v>
      </c>
      <c r="N689" s="7">
        <v>1</v>
      </c>
      <c r="Q689" s="15">
        <v>0</v>
      </c>
      <c r="S689" s="7">
        <v>10000</v>
      </c>
      <c r="T689" s="15">
        <v>3</v>
      </c>
      <c r="V689" s="15">
        <v>1</v>
      </c>
      <c r="W689" s="15">
        <v>1</v>
      </c>
      <c r="X689" s="30"/>
      <c r="Y689" s="15" t="s">
        <v>742</v>
      </c>
      <c r="Z689" s="15" t="s">
        <v>2796</v>
      </c>
      <c r="AA689" s="16" t="s">
        <v>701</v>
      </c>
      <c r="AB689" s="15">
        <v>0</v>
      </c>
      <c r="AC689" s="15">
        <v>1</v>
      </c>
      <c r="AD689" s="15">
        <v>0</v>
      </c>
      <c r="AE689" s="15">
        <v>0</v>
      </c>
      <c r="AF689" s="15">
        <v>1</v>
      </c>
      <c r="AI689" s="15">
        <v>24</v>
      </c>
      <c r="AJ689" s="15">
        <v>1</v>
      </c>
      <c r="AK689" s="15">
        <v>0</v>
      </c>
      <c r="AL689" s="15">
        <v>0</v>
      </c>
      <c r="AM689" s="15">
        <v>0</v>
      </c>
      <c r="AN689" s="15">
        <v>0</v>
      </c>
      <c r="AP689" s="15">
        <v>1</v>
      </c>
      <c r="AQ689" s="15">
        <v>1</v>
      </c>
      <c r="AR689" s="15">
        <v>1</v>
      </c>
      <c r="AS689" s="15">
        <v>0</v>
      </c>
      <c r="AV689" s="15">
        <v>1</v>
      </c>
      <c r="BD689" s="16"/>
      <c r="BE689" s="7">
        <v>240</v>
      </c>
      <c r="BG689" s="15">
        <v>2</v>
      </c>
      <c r="BL689" s="7">
        <v>0</v>
      </c>
    </row>
    <row r="690" spans="1:64" s="15" customFormat="1">
      <c r="A690" s="15">
        <v>130927</v>
      </c>
      <c r="B690" s="15" t="s">
        <v>767</v>
      </c>
      <c r="C690" s="15" t="s">
        <v>740</v>
      </c>
      <c r="D690" s="15" t="s">
        <v>741</v>
      </c>
      <c r="E690" s="15">
        <v>1</v>
      </c>
      <c r="F690" s="15" t="s">
        <v>959</v>
      </c>
      <c r="G690" s="15">
        <v>0</v>
      </c>
      <c r="H690" s="15">
        <v>0</v>
      </c>
      <c r="I690" s="15">
        <v>99999</v>
      </c>
      <c r="J690" s="15">
        <v>0</v>
      </c>
      <c r="K690" s="15">
        <v>0</v>
      </c>
      <c r="L690" s="15" t="s">
        <v>1562</v>
      </c>
      <c r="M690" s="16">
        <v>1</v>
      </c>
      <c r="N690" s="7">
        <v>1</v>
      </c>
      <c r="Q690" s="15">
        <v>0</v>
      </c>
      <c r="S690" s="7">
        <v>10000</v>
      </c>
      <c r="T690" s="15">
        <v>3</v>
      </c>
      <c r="V690" s="15">
        <v>1</v>
      </c>
      <c r="W690" s="15">
        <v>1</v>
      </c>
      <c r="X690" s="30"/>
      <c r="Y690" s="15" t="s">
        <v>742</v>
      </c>
      <c r="Z690" s="15" t="s">
        <v>2797</v>
      </c>
      <c r="AA690" s="16" t="s">
        <v>701</v>
      </c>
      <c r="AB690" s="15">
        <v>0</v>
      </c>
      <c r="AC690" s="15">
        <v>1</v>
      </c>
      <c r="AD690" s="15">
        <v>0</v>
      </c>
      <c r="AE690" s="15">
        <v>0</v>
      </c>
      <c r="AF690" s="15">
        <v>1</v>
      </c>
      <c r="AI690" s="15">
        <v>24</v>
      </c>
      <c r="AJ690" s="15">
        <v>1</v>
      </c>
      <c r="AK690" s="15">
        <v>0</v>
      </c>
      <c r="AL690" s="15">
        <v>0</v>
      </c>
      <c r="AM690" s="15">
        <v>0</v>
      </c>
      <c r="AN690" s="15">
        <v>0</v>
      </c>
      <c r="AP690" s="15">
        <v>1</v>
      </c>
      <c r="AQ690" s="15">
        <v>1</v>
      </c>
      <c r="AR690" s="15">
        <v>1</v>
      </c>
      <c r="AS690" s="15">
        <v>0</v>
      </c>
      <c r="AV690" s="15">
        <v>1</v>
      </c>
      <c r="BD690" s="16"/>
      <c r="BE690" s="7">
        <v>240</v>
      </c>
      <c r="BG690" s="15">
        <v>2</v>
      </c>
      <c r="BL690" s="7">
        <v>0</v>
      </c>
    </row>
    <row r="691" spans="1:64" s="15" customFormat="1">
      <c r="A691" s="15">
        <v>130928</v>
      </c>
      <c r="B691" s="15" t="s">
        <v>768</v>
      </c>
      <c r="C691" s="15" t="s">
        <v>740</v>
      </c>
      <c r="D691" s="15" t="s">
        <v>741</v>
      </c>
      <c r="E691" s="15">
        <v>1</v>
      </c>
      <c r="F691" s="15" t="s">
        <v>959</v>
      </c>
      <c r="G691" s="15">
        <v>0</v>
      </c>
      <c r="H691" s="15">
        <v>0</v>
      </c>
      <c r="I691" s="15">
        <v>99999</v>
      </c>
      <c r="J691" s="15">
        <v>0</v>
      </c>
      <c r="K691" s="15">
        <v>0</v>
      </c>
      <c r="L691" s="15" t="s">
        <v>1562</v>
      </c>
      <c r="M691" s="16">
        <v>1</v>
      </c>
      <c r="N691" s="7">
        <v>1</v>
      </c>
      <c r="Q691" s="15">
        <v>0</v>
      </c>
      <c r="S691" s="7">
        <v>10000</v>
      </c>
      <c r="T691" s="15">
        <v>3</v>
      </c>
      <c r="V691" s="15">
        <v>1</v>
      </c>
      <c r="W691" s="15">
        <v>1</v>
      </c>
      <c r="X691" s="30"/>
      <c r="Y691" s="15" t="s">
        <v>742</v>
      </c>
      <c r="Z691" s="15" t="s">
        <v>2798</v>
      </c>
      <c r="AA691" s="16" t="s">
        <v>701</v>
      </c>
      <c r="AB691" s="15">
        <v>0</v>
      </c>
      <c r="AC691" s="15">
        <v>1</v>
      </c>
      <c r="AD691" s="15">
        <v>0</v>
      </c>
      <c r="AE691" s="15">
        <v>0</v>
      </c>
      <c r="AF691" s="15">
        <v>1</v>
      </c>
      <c r="AI691" s="15">
        <v>24</v>
      </c>
      <c r="AJ691" s="15">
        <v>1</v>
      </c>
      <c r="AK691" s="15">
        <v>0</v>
      </c>
      <c r="AL691" s="15">
        <v>0</v>
      </c>
      <c r="AM691" s="15">
        <v>0</v>
      </c>
      <c r="AN691" s="15">
        <v>0</v>
      </c>
      <c r="AP691" s="15">
        <v>1</v>
      </c>
      <c r="AQ691" s="15">
        <v>1</v>
      </c>
      <c r="AR691" s="15">
        <v>1</v>
      </c>
      <c r="AS691" s="15">
        <v>0</v>
      </c>
      <c r="AV691" s="15">
        <v>1</v>
      </c>
      <c r="BD691" s="16"/>
      <c r="BE691" s="7">
        <v>240</v>
      </c>
      <c r="BG691" s="15">
        <v>2</v>
      </c>
      <c r="BL691" s="7">
        <v>0</v>
      </c>
    </row>
    <row r="692" spans="1:64" s="15" customFormat="1">
      <c r="A692" s="15">
        <v>130929</v>
      </c>
      <c r="B692" s="15" t="s">
        <v>769</v>
      </c>
      <c r="C692" s="15" t="s">
        <v>740</v>
      </c>
      <c r="D692" s="15" t="s">
        <v>741</v>
      </c>
      <c r="E692" s="15">
        <v>1</v>
      </c>
      <c r="F692" s="15" t="s">
        <v>959</v>
      </c>
      <c r="G692" s="15">
        <v>0</v>
      </c>
      <c r="H692" s="15">
        <v>0</v>
      </c>
      <c r="I692" s="15">
        <v>99999</v>
      </c>
      <c r="J692" s="15">
        <v>0</v>
      </c>
      <c r="K692" s="15">
        <v>0</v>
      </c>
      <c r="L692" s="15" t="s">
        <v>1562</v>
      </c>
      <c r="M692" s="16">
        <v>1</v>
      </c>
      <c r="N692" s="7">
        <v>1</v>
      </c>
      <c r="Q692" s="15">
        <v>0</v>
      </c>
      <c r="S692" s="7">
        <v>10000</v>
      </c>
      <c r="T692" s="15">
        <v>3</v>
      </c>
      <c r="V692" s="15">
        <v>1</v>
      </c>
      <c r="W692" s="15">
        <v>1</v>
      </c>
      <c r="X692" s="30"/>
      <c r="Y692" s="15" t="s">
        <v>742</v>
      </c>
      <c r="Z692" s="15" t="s">
        <v>2799</v>
      </c>
      <c r="AA692" s="16" t="s">
        <v>701</v>
      </c>
      <c r="AB692" s="15">
        <v>0</v>
      </c>
      <c r="AC692" s="15">
        <v>1</v>
      </c>
      <c r="AD692" s="15">
        <v>0</v>
      </c>
      <c r="AE692" s="15">
        <v>0</v>
      </c>
      <c r="AF692" s="15">
        <v>1</v>
      </c>
      <c r="AI692" s="15">
        <v>24</v>
      </c>
      <c r="AJ692" s="15">
        <v>1</v>
      </c>
      <c r="AK692" s="15">
        <v>0</v>
      </c>
      <c r="AL692" s="15">
        <v>0</v>
      </c>
      <c r="AM692" s="15">
        <v>0</v>
      </c>
      <c r="AN692" s="15">
        <v>0</v>
      </c>
      <c r="AP692" s="15">
        <v>1</v>
      </c>
      <c r="AQ692" s="15">
        <v>1</v>
      </c>
      <c r="AR692" s="15">
        <v>1</v>
      </c>
      <c r="AS692" s="15">
        <v>0</v>
      </c>
      <c r="AV692" s="15">
        <v>1</v>
      </c>
      <c r="BD692" s="16"/>
      <c r="BE692" s="7">
        <v>240</v>
      </c>
      <c r="BG692" s="15">
        <v>2</v>
      </c>
      <c r="BL692" s="7">
        <v>0</v>
      </c>
    </row>
    <row r="693" spans="1:64" s="7" customFormat="1">
      <c r="A693" s="7">
        <v>200002</v>
      </c>
      <c r="B693" s="7" t="s">
        <v>3042</v>
      </c>
      <c r="C693" s="7" t="s">
        <v>740</v>
      </c>
      <c r="D693" s="7" t="s">
        <v>741</v>
      </c>
      <c r="E693" s="7">
        <v>1</v>
      </c>
      <c r="F693" s="7" t="s">
        <v>959</v>
      </c>
      <c r="G693" s="7">
        <v>0</v>
      </c>
      <c r="H693" s="7">
        <v>0</v>
      </c>
      <c r="I693" s="7">
        <v>99999</v>
      </c>
      <c r="J693" s="7">
        <v>0</v>
      </c>
      <c r="K693" s="7">
        <v>0</v>
      </c>
      <c r="L693" s="7" t="s">
        <v>1562</v>
      </c>
      <c r="M693" s="7">
        <v>1</v>
      </c>
      <c r="N693" s="7">
        <v>1</v>
      </c>
      <c r="Q693" s="7">
        <v>0</v>
      </c>
      <c r="S693" s="7">
        <v>2000</v>
      </c>
      <c r="T693" s="7">
        <v>3</v>
      </c>
      <c r="V693" s="7">
        <v>1</v>
      </c>
      <c r="W693" s="7">
        <v>1</v>
      </c>
      <c r="X693" s="6"/>
      <c r="Y693" s="7" t="s">
        <v>742</v>
      </c>
      <c r="Z693" s="7" t="s">
        <v>3043</v>
      </c>
      <c r="AA693" s="7" t="s">
        <v>701</v>
      </c>
      <c r="AB693" s="7">
        <v>0</v>
      </c>
      <c r="AC693" s="7">
        <v>1</v>
      </c>
      <c r="AD693" s="7">
        <v>0</v>
      </c>
      <c r="AE693" s="7">
        <v>0</v>
      </c>
      <c r="AF693" s="7">
        <v>0</v>
      </c>
      <c r="AI693" s="15">
        <v>0</v>
      </c>
      <c r="AJ693" s="15">
        <v>0</v>
      </c>
      <c r="AK693" s="15">
        <v>0</v>
      </c>
      <c r="AL693" s="15">
        <v>0</v>
      </c>
      <c r="AM693" s="15">
        <v>0</v>
      </c>
      <c r="AN693" s="15">
        <v>0</v>
      </c>
      <c r="AP693" s="7">
        <v>1</v>
      </c>
      <c r="AQ693" s="7">
        <v>1</v>
      </c>
      <c r="AS693" s="7">
        <v>0</v>
      </c>
      <c r="AV693" s="7">
        <v>1</v>
      </c>
      <c r="BE693" s="7">
        <v>240</v>
      </c>
      <c r="BG693" s="7">
        <v>2</v>
      </c>
      <c r="BL693" s="7">
        <v>0</v>
      </c>
    </row>
    <row r="694" spans="1:64" s="7" customFormat="1">
      <c r="A694" s="7">
        <v>200011</v>
      </c>
      <c r="B694" s="7" t="s">
        <v>2026</v>
      </c>
      <c r="C694" s="7" t="s">
        <v>740</v>
      </c>
      <c r="D694" s="7" t="s">
        <v>741</v>
      </c>
      <c r="E694" s="7">
        <v>1</v>
      </c>
      <c r="F694" s="7" t="s">
        <v>959</v>
      </c>
      <c r="G694" s="7">
        <v>0</v>
      </c>
      <c r="H694" s="7">
        <v>0</v>
      </c>
      <c r="I694" s="7">
        <v>99999</v>
      </c>
      <c r="J694" s="7">
        <v>0</v>
      </c>
      <c r="K694" s="7">
        <v>0</v>
      </c>
      <c r="L694" s="7" t="s">
        <v>1562</v>
      </c>
      <c r="M694" s="7">
        <v>1</v>
      </c>
      <c r="N694" s="7">
        <v>1</v>
      </c>
      <c r="Q694" s="7">
        <v>0</v>
      </c>
      <c r="S694" s="7">
        <v>2000</v>
      </c>
      <c r="T694" s="7">
        <v>3</v>
      </c>
      <c r="V694" s="7">
        <v>1</v>
      </c>
      <c r="W694" s="7">
        <v>1</v>
      </c>
      <c r="X694" s="6"/>
      <c r="Y694" s="7" t="s">
        <v>742</v>
      </c>
      <c r="Z694" s="7" t="s">
        <v>3022</v>
      </c>
      <c r="AA694" s="7" t="s">
        <v>701</v>
      </c>
      <c r="AB694" s="7">
        <v>0</v>
      </c>
      <c r="AC694" s="7">
        <v>1</v>
      </c>
      <c r="AD694" s="7">
        <v>0</v>
      </c>
      <c r="AE694" s="7">
        <v>0</v>
      </c>
      <c r="AF694" s="7">
        <v>1</v>
      </c>
      <c r="AI694" s="7">
        <v>24</v>
      </c>
      <c r="AJ694" s="7">
        <v>1</v>
      </c>
      <c r="AK694" s="7">
        <v>0</v>
      </c>
      <c r="AL694" s="7">
        <v>0</v>
      </c>
      <c r="AM694" s="7">
        <v>0</v>
      </c>
      <c r="AN694" s="7">
        <v>0</v>
      </c>
      <c r="AP694" s="7">
        <v>1</v>
      </c>
      <c r="AQ694" s="7">
        <v>1</v>
      </c>
      <c r="AR694" s="7">
        <v>1</v>
      </c>
      <c r="AS694" s="7">
        <v>0</v>
      </c>
      <c r="AV694" s="7">
        <v>1</v>
      </c>
      <c r="BE694" s="7">
        <v>240</v>
      </c>
      <c r="BG694" s="7">
        <v>2</v>
      </c>
      <c r="BL694" s="7">
        <v>0</v>
      </c>
    </row>
    <row r="695" spans="1:64" s="7" customFormat="1">
      <c r="A695" s="7">
        <v>200012</v>
      </c>
      <c r="B695" s="7" t="s">
        <v>3023</v>
      </c>
      <c r="C695" s="7" t="s">
        <v>740</v>
      </c>
      <c r="D695" s="7" t="s">
        <v>741</v>
      </c>
      <c r="E695" s="7">
        <v>1</v>
      </c>
      <c r="F695" s="7" t="s">
        <v>959</v>
      </c>
      <c r="G695" s="7">
        <v>0</v>
      </c>
      <c r="H695" s="7">
        <v>0</v>
      </c>
      <c r="I695" s="7">
        <v>99999</v>
      </c>
      <c r="J695" s="7">
        <v>0</v>
      </c>
      <c r="K695" s="7">
        <v>0</v>
      </c>
      <c r="L695" s="7" t="s">
        <v>1562</v>
      </c>
      <c r="M695" s="7">
        <v>1</v>
      </c>
      <c r="N695" s="7">
        <v>1</v>
      </c>
      <c r="Q695" s="7">
        <v>0</v>
      </c>
      <c r="S695" s="7">
        <v>5000</v>
      </c>
      <c r="T695" s="7">
        <v>3</v>
      </c>
      <c r="V695" s="7">
        <v>1</v>
      </c>
      <c r="W695" s="7">
        <v>1</v>
      </c>
      <c r="X695" s="6"/>
      <c r="Y695" s="7" t="s">
        <v>742</v>
      </c>
      <c r="Z695" s="7" t="s">
        <v>3024</v>
      </c>
      <c r="AA695" s="7" t="s">
        <v>701</v>
      </c>
      <c r="AB695" s="7">
        <v>0</v>
      </c>
      <c r="AC695" s="7">
        <v>1</v>
      </c>
      <c r="AD695" s="7">
        <v>0</v>
      </c>
      <c r="AE695" s="7">
        <v>0</v>
      </c>
      <c r="AF695" s="7">
        <v>1</v>
      </c>
      <c r="AI695" s="7">
        <v>24</v>
      </c>
      <c r="AJ695" s="7">
        <v>1</v>
      </c>
      <c r="AK695" s="7">
        <v>0</v>
      </c>
      <c r="AL695" s="7">
        <v>0</v>
      </c>
      <c r="AM695" s="7">
        <v>0</v>
      </c>
      <c r="AN695" s="7">
        <v>0</v>
      </c>
      <c r="AP695" s="7">
        <v>1</v>
      </c>
      <c r="AQ695" s="7">
        <v>1</v>
      </c>
      <c r="AR695" s="7">
        <v>1</v>
      </c>
      <c r="AS695" s="7">
        <v>0</v>
      </c>
      <c r="AV695" s="7">
        <v>1</v>
      </c>
      <c r="BE695" s="7">
        <v>240</v>
      </c>
      <c r="BG695" s="7">
        <v>2</v>
      </c>
      <c r="BL695" s="7">
        <v>0</v>
      </c>
    </row>
    <row r="696" spans="1:64" s="7" customFormat="1">
      <c r="A696" s="7">
        <v>200013</v>
      </c>
      <c r="B696" s="7" t="s">
        <v>3025</v>
      </c>
      <c r="C696" s="7" t="s">
        <v>740</v>
      </c>
      <c r="D696" s="7" t="s">
        <v>741</v>
      </c>
      <c r="E696" s="7">
        <v>1</v>
      </c>
      <c r="F696" s="7" t="s">
        <v>959</v>
      </c>
      <c r="G696" s="7">
        <v>0</v>
      </c>
      <c r="H696" s="7">
        <v>0</v>
      </c>
      <c r="I696" s="7">
        <v>99999</v>
      </c>
      <c r="J696" s="7">
        <v>0</v>
      </c>
      <c r="K696" s="7">
        <v>0</v>
      </c>
      <c r="L696" s="7" t="s">
        <v>1562</v>
      </c>
      <c r="M696" s="7">
        <v>1</v>
      </c>
      <c r="N696" s="7">
        <v>1</v>
      </c>
      <c r="Q696" s="7">
        <v>0</v>
      </c>
      <c r="S696" s="7">
        <v>10000</v>
      </c>
      <c r="T696" s="7">
        <v>3</v>
      </c>
      <c r="V696" s="7">
        <v>1</v>
      </c>
      <c r="W696" s="7">
        <v>1</v>
      </c>
      <c r="X696" s="6"/>
      <c r="Y696" s="7" t="s">
        <v>742</v>
      </c>
      <c r="Z696" s="7" t="s">
        <v>3026</v>
      </c>
      <c r="AA696" s="7" t="s">
        <v>701</v>
      </c>
      <c r="AB696" s="7">
        <v>0</v>
      </c>
      <c r="AC696" s="7">
        <v>1</v>
      </c>
      <c r="AD696" s="7">
        <v>0</v>
      </c>
      <c r="AE696" s="7">
        <v>0</v>
      </c>
      <c r="AF696" s="7">
        <v>1</v>
      </c>
      <c r="AI696" s="7">
        <v>24</v>
      </c>
      <c r="AJ696" s="7">
        <v>1</v>
      </c>
      <c r="AK696" s="7">
        <v>0</v>
      </c>
      <c r="AL696" s="7">
        <v>0</v>
      </c>
      <c r="AM696" s="7">
        <v>0</v>
      </c>
      <c r="AN696" s="7">
        <v>0</v>
      </c>
      <c r="AP696" s="7">
        <v>1</v>
      </c>
      <c r="AQ696" s="7">
        <v>1</v>
      </c>
      <c r="AR696" s="7">
        <v>1</v>
      </c>
      <c r="AS696" s="7">
        <v>0</v>
      </c>
      <c r="AV696" s="7">
        <v>1</v>
      </c>
      <c r="BE696" s="7">
        <v>240</v>
      </c>
      <c r="BG696" s="7">
        <v>2</v>
      </c>
      <c r="BL696" s="7">
        <v>0</v>
      </c>
    </row>
    <row r="697" spans="1:64" s="7" customFormat="1">
      <c r="A697" s="7">
        <v>200021</v>
      </c>
      <c r="B697" s="7" t="s">
        <v>3027</v>
      </c>
      <c r="C697" s="7" t="s">
        <v>740</v>
      </c>
      <c r="D697" s="7" t="s">
        <v>741</v>
      </c>
      <c r="E697" s="7">
        <v>1</v>
      </c>
      <c r="F697" s="7" t="s">
        <v>959</v>
      </c>
      <c r="G697" s="7">
        <v>0</v>
      </c>
      <c r="H697" s="7">
        <v>0</v>
      </c>
      <c r="I697" s="7">
        <v>99999</v>
      </c>
      <c r="J697" s="7">
        <v>0</v>
      </c>
      <c r="K697" s="7">
        <v>0</v>
      </c>
      <c r="L697" s="7" t="s">
        <v>1562</v>
      </c>
      <c r="M697" s="7">
        <v>1</v>
      </c>
      <c r="N697" s="7">
        <v>1</v>
      </c>
      <c r="Q697" s="7">
        <v>0</v>
      </c>
      <c r="S697" s="7">
        <v>2000</v>
      </c>
      <c r="T697" s="7">
        <v>3</v>
      </c>
      <c r="V697" s="7">
        <v>1</v>
      </c>
      <c r="W697" s="7">
        <v>1</v>
      </c>
      <c r="X697" s="6"/>
      <c r="Y697" s="7" t="s">
        <v>742</v>
      </c>
      <c r="Z697" s="7" t="s">
        <v>3028</v>
      </c>
      <c r="AA697" s="7" t="s">
        <v>701</v>
      </c>
      <c r="AB697" s="7">
        <v>0</v>
      </c>
      <c r="AC697" s="7">
        <v>1</v>
      </c>
      <c r="AD697" s="7">
        <v>0</v>
      </c>
      <c r="AE697" s="7">
        <v>0</v>
      </c>
      <c r="AF697" s="7">
        <v>1</v>
      </c>
      <c r="AI697" s="7">
        <v>24</v>
      </c>
      <c r="AJ697" s="7">
        <v>1</v>
      </c>
      <c r="AK697" s="7">
        <v>0</v>
      </c>
      <c r="AL697" s="7">
        <v>0</v>
      </c>
      <c r="AM697" s="7">
        <v>0</v>
      </c>
      <c r="AN697" s="7">
        <v>0</v>
      </c>
      <c r="AP697" s="7">
        <v>1</v>
      </c>
      <c r="AQ697" s="7">
        <v>1</v>
      </c>
      <c r="AR697" s="7">
        <v>1</v>
      </c>
      <c r="AS697" s="7">
        <v>0</v>
      </c>
      <c r="AV697" s="7">
        <v>1</v>
      </c>
      <c r="BE697" s="7">
        <v>240</v>
      </c>
      <c r="BG697" s="7">
        <v>2</v>
      </c>
      <c r="BL697" s="7">
        <v>0</v>
      </c>
    </row>
    <row r="698" spans="1:64" s="7" customFormat="1">
      <c r="A698" s="7">
        <v>200022</v>
      </c>
      <c r="B698" s="7" t="s">
        <v>3029</v>
      </c>
      <c r="C698" s="7" t="s">
        <v>740</v>
      </c>
      <c r="D698" s="7" t="s">
        <v>741</v>
      </c>
      <c r="E698" s="7">
        <v>1</v>
      </c>
      <c r="F698" s="7" t="s">
        <v>959</v>
      </c>
      <c r="G698" s="7">
        <v>0</v>
      </c>
      <c r="H698" s="7">
        <v>0</v>
      </c>
      <c r="I698" s="7">
        <v>99999</v>
      </c>
      <c r="J698" s="7">
        <v>0</v>
      </c>
      <c r="K698" s="7">
        <v>0</v>
      </c>
      <c r="L698" s="7" t="s">
        <v>1562</v>
      </c>
      <c r="M698" s="7">
        <v>1</v>
      </c>
      <c r="N698" s="7">
        <v>1</v>
      </c>
      <c r="Q698" s="7">
        <v>0</v>
      </c>
      <c r="S698" s="7">
        <v>5000</v>
      </c>
      <c r="T698" s="7">
        <v>3</v>
      </c>
      <c r="V698" s="7">
        <v>1</v>
      </c>
      <c r="W698" s="7">
        <v>1</v>
      </c>
      <c r="X698" s="6"/>
      <c r="Y698" s="7" t="s">
        <v>742</v>
      </c>
      <c r="Z698" s="7" t="s">
        <v>3030</v>
      </c>
      <c r="AA698" s="7" t="s">
        <v>701</v>
      </c>
      <c r="AB698" s="7">
        <v>0</v>
      </c>
      <c r="AC698" s="7">
        <v>1</v>
      </c>
      <c r="AD698" s="7">
        <v>0</v>
      </c>
      <c r="AE698" s="7">
        <v>0</v>
      </c>
      <c r="AF698" s="7">
        <v>1</v>
      </c>
      <c r="AI698" s="7">
        <v>24</v>
      </c>
      <c r="AJ698" s="7">
        <v>1</v>
      </c>
      <c r="AK698" s="7">
        <v>0</v>
      </c>
      <c r="AL698" s="7">
        <v>0</v>
      </c>
      <c r="AM698" s="7">
        <v>0</v>
      </c>
      <c r="AN698" s="7">
        <v>0</v>
      </c>
      <c r="AP698" s="7">
        <v>1</v>
      </c>
      <c r="AQ698" s="7">
        <v>1</v>
      </c>
      <c r="AR698" s="7">
        <v>1</v>
      </c>
      <c r="AS698" s="7">
        <v>0</v>
      </c>
      <c r="AV698" s="7">
        <v>1</v>
      </c>
      <c r="BE698" s="7">
        <v>240</v>
      </c>
      <c r="BG698" s="7">
        <v>2</v>
      </c>
      <c r="BL698" s="7">
        <v>0</v>
      </c>
    </row>
    <row r="699" spans="1:64" s="7" customFormat="1">
      <c r="A699" s="7">
        <v>200023</v>
      </c>
      <c r="B699" s="7" t="s">
        <v>3031</v>
      </c>
      <c r="C699" s="7" t="s">
        <v>740</v>
      </c>
      <c r="D699" s="7" t="s">
        <v>741</v>
      </c>
      <c r="E699" s="7">
        <v>1</v>
      </c>
      <c r="F699" s="7" t="s">
        <v>959</v>
      </c>
      <c r="G699" s="7">
        <v>0</v>
      </c>
      <c r="H699" s="7">
        <v>0</v>
      </c>
      <c r="I699" s="7">
        <v>99999</v>
      </c>
      <c r="J699" s="7">
        <v>0</v>
      </c>
      <c r="K699" s="7">
        <v>0</v>
      </c>
      <c r="L699" s="7" t="s">
        <v>1562</v>
      </c>
      <c r="M699" s="7">
        <v>1</v>
      </c>
      <c r="N699" s="7">
        <v>1</v>
      </c>
      <c r="Q699" s="7">
        <v>0</v>
      </c>
      <c r="S699" s="7">
        <v>10000</v>
      </c>
      <c r="T699" s="7">
        <v>3</v>
      </c>
      <c r="V699" s="7">
        <v>1</v>
      </c>
      <c r="W699" s="7">
        <v>1</v>
      </c>
      <c r="X699" s="6"/>
      <c r="Y699" s="7" t="s">
        <v>742</v>
      </c>
      <c r="Z699" s="7" t="s">
        <v>3032</v>
      </c>
      <c r="AA699" s="7" t="s">
        <v>701</v>
      </c>
      <c r="AB699" s="7">
        <v>0</v>
      </c>
      <c r="AC699" s="7">
        <v>1</v>
      </c>
      <c r="AD699" s="7">
        <v>0</v>
      </c>
      <c r="AE699" s="7">
        <v>0</v>
      </c>
      <c r="AF699" s="7">
        <v>1</v>
      </c>
      <c r="AI699" s="7">
        <v>24</v>
      </c>
      <c r="AJ699" s="7">
        <v>1</v>
      </c>
      <c r="AK699" s="7">
        <v>0</v>
      </c>
      <c r="AL699" s="7">
        <v>0</v>
      </c>
      <c r="AM699" s="7">
        <v>0</v>
      </c>
      <c r="AN699" s="7">
        <v>0</v>
      </c>
      <c r="AP699" s="7">
        <v>1</v>
      </c>
      <c r="AQ699" s="7">
        <v>1</v>
      </c>
      <c r="AR699" s="7">
        <v>1</v>
      </c>
      <c r="AS699" s="7">
        <v>0</v>
      </c>
      <c r="AV699" s="7">
        <v>1</v>
      </c>
      <c r="BE699" s="7">
        <v>240</v>
      </c>
      <c r="BG699" s="7">
        <v>2</v>
      </c>
      <c r="BL699" s="7">
        <v>0</v>
      </c>
    </row>
    <row r="700" spans="1:64" s="7" customFormat="1">
      <c r="A700" s="7">
        <v>200031</v>
      </c>
      <c r="B700" s="7" t="s">
        <v>3033</v>
      </c>
      <c r="C700" s="7" t="s">
        <v>740</v>
      </c>
      <c r="D700" s="7" t="s">
        <v>741</v>
      </c>
      <c r="E700" s="7">
        <v>1</v>
      </c>
      <c r="F700" s="7" t="s">
        <v>959</v>
      </c>
      <c r="G700" s="7">
        <v>0</v>
      </c>
      <c r="H700" s="7">
        <v>0</v>
      </c>
      <c r="I700" s="7">
        <v>99999</v>
      </c>
      <c r="J700" s="7">
        <v>0</v>
      </c>
      <c r="K700" s="7">
        <v>0</v>
      </c>
      <c r="L700" s="7" t="s">
        <v>1562</v>
      </c>
      <c r="M700" s="7">
        <v>1</v>
      </c>
      <c r="N700" s="7">
        <v>1</v>
      </c>
      <c r="Q700" s="7">
        <v>0</v>
      </c>
      <c r="S700" s="7">
        <v>2000</v>
      </c>
      <c r="T700" s="7">
        <v>3</v>
      </c>
      <c r="V700" s="7">
        <v>1</v>
      </c>
      <c r="W700" s="7">
        <v>1</v>
      </c>
      <c r="X700" s="6"/>
      <c r="Y700" s="7" t="s">
        <v>742</v>
      </c>
      <c r="Z700" s="7" t="s">
        <v>3034</v>
      </c>
      <c r="AA700" s="7" t="s">
        <v>701</v>
      </c>
      <c r="AB700" s="7">
        <v>0</v>
      </c>
      <c r="AC700" s="7">
        <v>1</v>
      </c>
      <c r="AD700" s="7">
        <v>0</v>
      </c>
      <c r="AE700" s="7">
        <v>0</v>
      </c>
      <c r="AF700" s="7">
        <v>1</v>
      </c>
      <c r="AI700" s="7">
        <v>24</v>
      </c>
      <c r="AJ700" s="7">
        <v>1</v>
      </c>
      <c r="AK700" s="7">
        <v>0</v>
      </c>
      <c r="AL700" s="7">
        <v>0</v>
      </c>
      <c r="AM700" s="7">
        <v>0</v>
      </c>
      <c r="AN700" s="7">
        <v>0</v>
      </c>
      <c r="AP700" s="7">
        <v>1</v>
      </c>
      <c r="AQ700" s="7">
        <v>1</v>
      </c>
      <c r="AR700" s="7">
        <v>1</v>
      </c>
      <c r="AS700" s="7">
        <v>0</v>
      </c>
      <c r="AV700" s="7">
        <v>1</v>
      </c>
      <c r="BE700" s="7">
        <v>240</v>
      </c>
      <c r="BG700" s="7">
        <v>2</v>
      </c>
      <c r="BL700" s="7">
        <v>0</v>
      </c>
    </row>
    <row r="701" spans="1:64" s="7" customFormat="1">
      <c r="A701" s="7">
        <v>200032</v>
      </c>
      <c r="B701" s="7" t="s">
        <v>3035</v>
      </c>
      <c r="C701" s="7" t="s">
        <v>740</v>
      </c>
      <c r="D701" s="7" t="s">
        <v>741</v>
      </c>
      <c r="E701" s="7">
        <v>1</v>
      </c>
      <c r="F701" s="7" t="s">
        <v>959</v>
      </c>
      <c r="G701" s="7">
        <v>0</v>
      </c>
      <c r="H701" s="7">
        <v>0</v>
      </c>
      <c r="I701" s="7">
        <v>99999</v>
      </c>
      <c r="J701" s="7">
        <v>0</v>
      </c>
      <c r="K701" s="7">
        <v>0</v>
      </c>
      <c r="L701" s="7" t="s">
        <v>1562</v>
      </c>
      <c r="M701" s="7">
        <v>1</v>
      </c>
      <c r="N701" s="7">
        <v>1</v>
      </c>
      <c r="Q701" s="7">
        <v>0</v>
      </c>
      <c r="S701" s="7">
        <v>5000</v>
      </c>
      <c r="T701" s="7">
        <v>3</v>
      </c>
      <c r="V701" s="7">
        <v>1</v>
      </c>
      <c r="W701" s="7">
        <v>1</v>
      </c>
      <c r="X701" s="6"/>
      <c r="Y701" s="7" t="s">
        <v>742</v>
      </c>
      <c r="Z701" s="7" t="s">
        <v>3036</v>
      </c>
      <c r="AA701" s="7" t="s">
        <v>701</v>
      </c>
      <c r="AB701" s="7">
        <v>0</v>
      </c>
      <c r="AC701" s="7">
        <v>1</v>
      </c>
      <c r="AD701" s="7">
        <v>0</v>
      </c>
      <c r="AE701" s="7">
        <v>0</v>
      </c>
      <c r="AF701" s="7">
        <v>1</v>
      </c>
      <c r="AI701" s="7">
        <v>24</v>
      </c>
      <c r="AJ701" s="7">
        <v>1</v>
      </c>
      <c r="AK701" s="7">
        <v>0</v>
      </c>
      <c r="AL701" s="7">
        <v>0</v>
      </c>
      <c r="AM701" s="7">
        <v>0</v>
      </c>
      <c r="AN701" s="7">
        <v>0</v>
      </c>
      <c r="AP701" s="7">
        <v>1</v>
      </c>
      <c r="AQ701" s="7">
        <v>1</v>
      </c>
      <c r="AR701" s="7">
        <v>1</v>
      </c>
      <c r="AS701" s="7">
        <v>0</v>
      </c>
      <c r="AV701" s="7">
        <v>1</v>
      </c>
      <c r="BE701" s="7">
        <v>240</v>
      </c>
      <c r="BG701" s="7">
        <v>2</v>
      </c>
      <c r="BL701" s="7">
        <v>0</v>
      </c>
    </row>
    <row r="702" spans="1:64" s="7" customFormat="1">
      <c r="A702" s="7">
        <v>200033</v>
      </c>
      <c r="B702" s="7" t="s">
        <v>3037</v>
      </c>
      <c r="C702" s="7" t="s">
        <v>740</v>
      </c>
      <c r="D702" s="7" t="s">
        <v>741</v>
      </c>
      <c r="E702" s="7">
        <v>1</v>
      </c>
      <c r="F702" s="7" t="s">
        <v>959</v>
      </c>
      <c r="G702" s="7">
        <v>0</v>
      </c>
      <c r="H702" s="7">
        <v>0</v>
      </c>
      <c r="I702" s="7">
        <v>99999</v>
      </c>
      <c r="J702" s="7">
        <v>0</v>
      </c>
      <c r="K702" s="7">
        <v>0</v>
      </c>
      <c r="L702" s="7" t="s">
        <v>1562</v>
      </c>
      <c r="M702" s="7">
        <v>1</v>
      </c>
      <c r="N702" s="7">
        <v>1</v>
      </c>
      <c r="Q702" s="7">
        <v>0</v>
      </c>
      <c r="S702" s="7">
        <v>10000</v>
      </c>
      <c r="T702" s="7">
        <v>3</v>
      </c>
      <c r="V702" s="7">
        <v>1</v>
      </c>
      <c r="W702" s="7">
        <v>1</v>
      </c>
      <c r="X702" s="6"/>
      <c r="Y702" s="7" t="s">
        <v>742</v>
      </c>
      <c r="Z702" s="7" t="s">
        <v>3038</v>
      </c>
      <c r="AA702" s="7" t="s">
        <v>701</v>
      </c>
      <c r="AB702" s="7">
        <v>0</v>
      </c>
      <c r="AC702" s="7">
        <v>1</v>
      </c>
      <c r="AD702" s="7">
        <v>0</v>
      </c>
      <c r="AE702" s="7">
        <v>0</v>
      </c>
      <c r="AF702" s="7">
        <v>1</v>
      </c>
      <c r="AI702" s="7">
        <v>24</v>
      </c>
      <c r="AJ702" s="7">
        <v>1</v>
      </c>
      <c r="AK702" s="7">
        <v>0</v>
      </c>
      <c r="AL702" s="7">
        <v>0</v>
      </c>
      <c r="AM702" s="7">
        <v>0</v>
      </c>
      <c r="AN702" s="7">
        <v>0</v>
      </c>
      <c r="AP702" s="7">
        <v>1</v>
      </c>
      <c r="AQ702" s="7">
        <v>1</v>
      </c>
      <c r="AR702" s="7">
        <v>1</v>
      </c>
      <c r="AS702" s="7">
        <v>0</v>
      </c>
      <c r="AV702" s="7">
        <v>1</v>
      </c>
      <c r="BE702" s="7">
        <v>240</v>
      </c>
      <c r="BG702" s="7">
        <v>2</v>
      </c>
      <c r="BL702" s="7">
        <v>0</v>
      </c>
    </row>
    <row r="703" spans="1:64" s="7" customFormat="1">
      <c r="A703" s="7">
        <v>200111</v>
      </c>
      <c r="B703" s="7" t="s">
        <v>3421</v>
      </c>
      <c r="C703" s="7" t="s">
        <v>740</v>
      </c>
      <c r="D703" s="7" t="s">
        <v>741</v>
      </c>
      <c r="E703" s="7">
        <v>1</v>
      </c>
      <c r="F703" s="7" t="s">
        <v>959</v>
      </c>
      <c r="G703" s="7">
        <v>0</v>
      </c>
      <c r="H703" s="7">
        <v>0</v>
      </c>
      <c r="I703" s="7">
        <v>99999</v>
      </c>
      <c r="J703" s="7">
        <v>0</v>
      </c>
      <c r="K703" s="7">
        <v>0</v>
      </c>
      <c r="L703" s="7" t="s">
        <v>1562</v>
      </c>
      <c r="M703" s="7">
        <v>1</v>
      </c>
      <c r="N703" s="7">
        <v>1</v>
      </c>
      <c r="Q703" s="7">
        <v>0</v>
      </c>
      <c r="S703" s="7">
        <v>2000</v>
      </c>
      <c r="T703" s="7">
        <v>3</v>
      </c>
      <c r="V703" s="7">
        <v>1</v>
      </c>
      <c r="W703" s="7">
        <v>1</v>
      </c>
      <c r="X703" s="6"/>
      <c r="Y703" s="7" t="s">
        <v>742</v>
      </c>
      <c r="Z703" s="7" t="s">
        <v>3426</v>
      </c>
      <c r="AA703" s="7" t="s">
        <v>701</v>
      </c>
      <c r="AB703" s="7">
        <v>0</v>
      </c>
      <c r="AC703" s="7">
        <v>1</v>
      </c>
      <c r="AD703" s="7">
        <v>0</v>
      </c>
      <c r="AE703" s="7">
        <v>0</v>
      </c>
      <c r="AF703" s="7">
        <v>1</v>
      </c>
      <c r="AI703" s="7">
        <v>24</v>
      </c>
      <c r="AJ703" s="7">
        <v>1</v>
      </c>
      <c r="AK703" s="7">
        <v>0</v>
      </c>
      <c r="AL703" s="7">
        <v>0</v>
      </c>
      <c r="AM703" s="7">
        <v>0</v>
      </c>
      <c r="AN703" s="7">
        <v>0</v>
      </c>
      <c r="AP703" s="7">
        <v>1</v>
      </c>
      <c r="AQ703" s="7">
        <v>1</v>
      </c>
      <c r="AR703" s="7">
        <v>1</v>
      </c>
      <c r="AS703" s="7">
        <v>0</v>
      </c>
      <c r="AV703" s="7">
        <v>1</v>
      </c>
      <c r="BE703" s="7">
        <v>240</v>
      </c>
      <c r="BG703" s="7">
        <v>2</v>
      </c>
      <c r="BL703" s="7">
        <v>0</v>
      </c>
    </row>
    <row r="704" spans="1:64" s="7" customFormat="1">
      <c r="A704" s="7">
        <v>200121</v>
      </c>
      <c r="B704" s="7" t="s">
        <v>3422</v>
      </c>
      <c r="C704" s="7" t="s">
        <v>740</v>
      </c>
      <c r="D704" s="7" t="s">
        <v>741</v>
      </c>
      <c r="E704" s="7">
        <v>1</v>
      </c>
      <c r="F704" s="7" t="s">
        <v>959</v>
      </c>
      <c r="G704" s="7">
        <v>0</v>
      </c>
      <c r="H704" s="7">
        <v>0</v>
      </c>
      <c r="I704" s="7">
        <v>99999</v>
      </c>
      <c r="J704" s="7">
        <v>0</v>
      </c>
      <c r="K704" s="7">
        <v>0</v>
      </c>
      <c r="L704" s="7" t="s">
        <v>1562</v>
      </c>
      <c r="M704" s="7">
        <v>1</v>
      </c>
      <c r="N704" s="7">
        <v>1</v>
      </c>
      <c r="Q704" s="7">
        <v>0</v>
      </c>
      <c r="S704" s="7">
        <v>5000</v>
      </c>
      <c r="T704" s="7">
        <v>3</v>
      </c>
      <c r="V704" s="7">
        <v>1</v>
      </c>
      <c r="W704" s="7">
        <v>1</v>
      </c>
      <c r="X704" s="6"/>
      <c r="Y704" s="7" t="s">
        <v>742</v>
      </c>
      <c r="Z704" s="7" t="s">
        <v>3427</v>
      </c>
      <c r="AA704" s="7" t="s">
        <v>701</v>
      </c>
      <c r="AB704" s="7">
        <v>0</v>
      </c>
      <c r="AC704" s="7">
        <v>1</v>
      </c>
      <c r="AD704" s="7">
        <v>0</v>
      </c>
      <c r="AE704" s="7">
        <v>0</v>
      </c>
      <c r="AF704" s="7">
        <v>1</v>
      </c>
      <c r="AI704" s="7">
        <v>24</v>
      </c>
      <c r="AJ704" s="7">
        <v>1</v>
      </c>
      <c r="AK704" s="7">
        <v>0</v>
      </c>
      <c r="AL704" s="7">
        <v>0</v>
      </c>
      <c r="AM704" s="7">
        <v>0</v>
      </c>
      <c r="AN704" s="7">
        <v>0</v>
      </c>
      <c r="AP704" s="7">
        <v>1</v>
      </c>
      <c r="AQ704" s="7">
        <v>1</v>
      </c>
      <c r="AR704" s="7">
        <v>1</v>
      </c>
      <c r="AS704" s="7">
        <v>0</v>
      </c>
      <c r="AV704" s="7">
        <v>1</v>
      </c>
      <c r="BE704" s="7">
        <v>240</v>
      </c>
      <c r="BG704" s="7">
        <v>2</v>
      </c>
      <c r="BL704" s="7">
        <v>0</v>
      </c>
    </row>
    <row r="705" spans="1:64" s="7" customFormat="1">
      <c r="A705" s="7">
        <v>200211</v>
      </c>
      <c r="B705" s="7" t="s">
        <v>3423</v>
      </c>
      <c r="C705" s="7" t="s">
        <v>740</v>
      </c>
      <c r="D705" s="7" t="s">
        <v>741</v>
      </c>
      <c r="E705" s="7">
        <v>1</v>
      </c>
      <c r="F705" s="7" t="s">
        <v>959</v>
      </c>
      <c r="G705" s="7">
        <v>0</v>
      </c>
      <c r="H705" s="7">
        <v>0</v>
      </c>
      <c r="I705" s="7">
        <v>99999</v>
      </c>
      <c r="J705" s="7">
        <v>0</v>
      </c>
      <c r="K705" s="7">
        <v>0</v>
      </c>
      <c r="L705" s="7" t="s">
        <v>1562</v>
      </c>
      <c r="M705" s="7">
        <v>1</v>
      </c>
      <c r="N705" s="7">
        <v>1</v>
      </c>
      <c r="Q705" s="7">
        <v>0</v>
      </c>
      <c r="S705" s="7">
        <v>2000</v>
      </c>
      <c r="T705" s="7">
        <v>3</v>
      </c>
      <c r="V705" s="7">
        <v>1</v>
      </c>
      <c r="W705" s="7">
        <v>1</v>
      </c>
      <c r="X705" s="6"/>
      <c r="Y705" s="7" t="s">
        <v>742</v>
      </c>
      <c r="Z705" s="7" t="s">
        <v>3428</v>
      </c>
      <c r="AA705" s="7" t="s">
        <v>701</v>
      </c>
      <c r="AB705" s="7">
        <v>0</v>
      </c>
      <c r="AC705" s="7">
        <v>1</v>
      </c>
      <c r="AD705" s="7">
        <v>0</v>
      </c>
      <c r="AE705" s="7">
        <v>0</v>
      </c>
      <c r="AF705" s="7">
        <v>1</v>
      </c>
      <c r="AI705" s="7">
        <v>24</v>
      </c>
      <c r="AJ705" s="7">
        <v>1</v>
      </c>
      <c r="AK705" s="7">
        <v>0</v>
      </c>
      <c r="AL705" s="7">
        <v>0</v>
      </c>
      <c r="AM705" s="7">
        <v>0</v>
      </c>
      <c r="AN705" s="7">
        <v>0</v>
      </c>
      <c r="AP705" s="7">
        <v>1</v>
      </c>
      <c r="AQ705" s="7">
        <v>1</v>
      </c>
      <c r="AR705" s="7">
        <v>1</v>
      </c>
      <c r="AS705" s="7">
        <v>0</v>
      </c>
      <c r="AV705" s="7">
        <v>1</v>
      </c>
      <c r="BE705" s="7">
        <v>240</v>
      </c>
      <c r="BG705" s="7">
        <v>2</v>
      </c>
      <c r="BL705" s="7">
        <v>0</v>
      </c>
    </row>
    <row r="706" spans="1:64" s="7" customFormat="1">
      <c r="A706" s="7">
        <v>200221</v>
      </c>
      <c r="B706" s="7" t="s">
        <v>3424</v>
      </c>
      <c r="C706" s="7" t="s">
        <v>740</v>
      </c>
      <c r="D706" s="7" t="s">
        <v>741</v>
      </c>
      <c r="E706" s="7">
        <v>1</v>
      </c>
      <c r="F706" s="7" t="s">
        <v>959</v>
      </c>
      <c r="G706" s="7">
        <v>0</v>
      </c>
      <c r="H706" s="7">
        <v>0</v>
      </c>
      <c r="I706" s="7">
        <v>99999</v>
      </c>
      <c r="J706" s="7">
        <v>0</v>
      </c>
      <c r="K706" s="7">
        <v>0</v>
      </c>
      <c r="L706" s="7" t="s">
        <v>1562</v>
      </c>
      <c r="M706" s="7">
        <v>1</v>
      </c>
      <c r="N706" s="7">
        <v>1</v>
      </c>
      <c r="Q706" s="7">
        <v>0</v>
      </c>
      <c r="S706" s="7">
        <v>5000</v>
      </c>
      <c r="T706" s="7">
        <v>3</v>
      </c>
      <c r="V706" s="7">
        <v>1</v>
      </c>
      <c r="W706" s="7">
        <v>1</v>
      </c>
      <c r="X706" s="6"/>
      <c r="Y706" s="7" t="s">
        <v>742</v>
      </c>
      <c r="Z706" s="7" t="s">
        <v>3429</v>
      </c>
      <c r="AA706" s="7" t="s">
        <v>701</v>
      </c>
      <c r="AB706" s="7">
        <v>0</v>
      </c>
      <c r="AC706" s="7">
        <v>1</v>
      </c>
      <c r="AD706" s="7">
        <v>0</v>
      </c>
      <c r="AE706" s="7">
        <v>0</v>
      </c>
      <c r="AF706" s="7">
        <v>1</v>
      </c>
      <c r="AI706" s="7">
        <v>24</v>
      </c>
      <c r="AJ706" s="7">
        <v>1</v>
      </c>
      <c r="AK706" s="7">
        <v>0</v>
      </c>
      <c r="AL706" s="7">
        <v>0</v>
      </c>
      <c r="AM706" s="7">
        <v>0</v>
      </c>
      <c r="AN706" s="7">
        <v>0</v>
      </c>
      <c r="AP706" s="7">
        <v>1</v>
      </c>
      <c r="AQ706" s="7">
        <v>1</v>
      </c>
      <c r="AR706" s="7">
        <v>1</v>
      </c>
      <c r="AS706" s="7">
        <v>0</v>
      </c>
      <c r="AV706" s="7">
        <v>1</v>
      </c>
      <c r="BE706" s="7">
        <v>240</v>
      </c>
      <c r="BG706" s="7">
        <v>2</v>
      </c>
      <c r="BL706" s="7">
        <v>0</v>
      </c>
    </row>
    <row r="707" spans="1:64" s="7" customFormat="1">
      <c r="A707" s="7">
        <v>200311</v>
      </c>
      <c r="B707" s="7" t="s">
        <v>3435</v>
      </c>
      <c r="C707" s="7" t="s">
        <v>740</v>
      </c>
      <c r="D707" s="7" t="s">
        <v>741</v>
      </c>
      <c r="E707" s="7">
        <v>1</v>
      </c>
      <c r="F707" s="7" t="s">
        <v>959</v>
      </c>
      <c r="G707" s="7">
        <v>0</v>
      </c>
      <c r="H707" s="7">
        <v>0</v>
      </c>
      <c r="I707" s="7">
        <v>99999</v>
      </c>
      <c r="J707" s="7">
        <v>0</v>
      </c>
      <c r="K707" s="7">
        <v>0</v>
      </c>
      <c r="L707" s="7" t="s">
        <v>1562</v>
      </c>
      <c r="M707" s="7">
        <v>1</v>
      </c>
      <c r="N707" s="7">
        <v>1</v>
      </c>
      <c r="Q707" s="7">
        <v>0</v>
      </c>
      <c r="S707" s="7">
        <v>2000</v>
      </c>
      <c r="T707" s="7">
        <v>3</v>
      </c>
      <c r="V707" s="7">
        <v>1</v>
      </c>
      <c r="W707" s="7">
        <v>1</v>
      </c>
      <c r="X707" s="6"/>
      <c r="Y707" s="7" t="s">
        <v>742</v>
      </c>
      <c r="Z707" s="7" t="s">
        <v>3430</v>
      </c>
      <c r="AA707" s="7" t="s">
        <v>701</v>
      </c>
      <c r="AB707" s="7">
        <v>0</v>
      </c>
      <c r="AC707" s="7">
        <v>1</v>
      </c>
      <c r="AD707" s="7">
        <v>0</v>
      </c>
      <c r="AE707" s="7">
        <v>0</v>
      </c>
      <c r="AF707" s="7">
        <v>1</v>
      </c>
      <c r="AI707" s="7">
        <v>24</v>
      </c>
      <c r="AJ707" s="7">
        <v>1</v>
      </c>
      <c r="AK707" s="7">
        <v>0</v>
      </c>
      <c r="AL707" s="7">
        <v>0</v>
      </c>
      <c r="AM707" s="7">
        <v>0</v>
      </c>
      <c r="AN707" s="7">
        <v>0</v>
      </c>
      <c r="AP707" s="7">
        <v>1</v>
      </c>
      <c r="AQ707" s="7">
        <v>1</v>
      </c>
      <c r="AR707" s="7">
        <v>1</v>
      </c>
      <c r="AS707" s="7">
        <v>0</v>
      </c>
      <c r="AV707" s="7">
        <v>1</v>
      </c>
      <c r="BE707" s="7">
        <v>240</v>
      </c>
      <c r="BG707" s="7">
        <v>2</v>
      </c>
      <c r="BL707" s="7">
        <v>0</v>
      </c>
    </row>
    <row r="708" spans="1:64" s="7" customFormat="1">
      <c r="A708" s="7">
        <v>200321</v>
      </c>
      <c r="B708" s="7" t="s">
        <v>3425</v>
      </c>
      <c r="C708" s="7" t="s">
        <v>740</v>
      </c>
      <c r="D708" s="7" t="s">
        <v>741</v>
      </c>
      <c r="E708" s="7">
        <v>1</v>
      </c>
      <c r="F708" s="7" t="s">
        <v>959</v>
      </c>
      <c r="G708" s="7">
        <v>0</v>
      </c>
      <c r="H708" s="7">
        <v>0</v>
      </c>
      <c r="I708" s="7">
        <v>99999</v>
      </c>
      <c r="J708" s="7">
        <v>0</v>
      </c>
      <c r="K708" s="7">
        <v>0</v>
      </c>
      <c r="L708" s="7" t="s">
        <v>1562</v>
      </c>
      <c r="M708" s="7">
        <v>1</v>
      </c>
      <c r="N708" s="7">
        <v>1</v>
      </c>
      <c r="Q708" s="7">
        <v>0</v>
      </c>
      <c r="S708" s="7">
        <v>5000</v>
      </c>
      <c r="T708" s="7">
        <v>3</v>
      </c>
      <c r="V708" s="7">
        <v>1</v>
      </c>
      <c r="W708" s="7">
        <v>1</v>
      </c>
      <c r="X708" s="6"/>
      <c r="Y708" s="7" t="s">
        <v>742</v>
      </c>
      <c r="Z708" s="7" t="s">
        <v>3431</v>
      </c>
      <c r="AA708" s="7" t="s">
        <v>701</v>
      </c>
      <c r="AB708" s="7">
        <v>0</v>
      </c>
      <c r="AC708" s="7">
        <v>1</v>
      </c>
      <c r="AD708" s="7">
        <v>0</v>
      </c>
      <c r="AE708" s="7">
        <v>0</v>
      </c>
      <c r="AF708" s="7">
        <v>1</v>
      </c>
      <c r="AI708" s="7">
        <v>24</v>
      </c>
      <c r="AJ708" s="7">
        <v>1</v>
      </c>
      <c r="AK708" s="7">
        <v>0</v>
      </c>
      <c r="AL708" s="7">
        <v>0</v>
      </c>
      <c r="AM708" s="7">
        <v>0</v>
      </c>
      <c r="AN708" s="7">
        <v>0</v>
      </c>
      <c r="AP708" s="7">
        <v>1</v>
      </c>
      <c r="AQ708" s="7">
        <v>1</v>
      </c>
      <c r="AR708" s="7">
        <v>1</v>
      </c>
      <c r="AS708" s="7">
        <v>0</v>
      </c>
      <c r="AV708" s="7">
        <v>1</v>
      </c>
      <c r="BE708" s="7">
        <v>240</v>
      </c>
      <c r="BG708" s="7">
        <v>2</v>
      </c>
      <c r="BL708" s="7">
        <v>0</v>
      </c>
    </row>
    <row r="709" spans="1:64">
      <c r="A709">
        <v>1000011</v>
      </c>
      <c r="B709" t="s">
        <v>1050</v>
      </c>
      <c r="C709" t="s">
        <v>540</v>
      </c>
      <c r="D709" t="s">
        <v>550</v>
      </c>
      <c r="E709">
        <v>3</v>
      </c>
      <c r="F709" t="s">
        <v>959</v>
      </c>
      <c r="G709">
        <v>0</v>
      </c>
      <c r="H709">
        <v>0</v>
      </c>
      <c r="I709">
        <v>99999</v>
      </c>
      <c r="J709">
        <v>0</v>
      </c>
      <c r="K709">
        <v>3</v>
      </c>
      <c r="L709" t="s">
        <v>1562</v>
      </c>
      <c r="M709">
        <v>1</v>
      </c>
      <c r="N709" s="7">
        <v>1</v>
      </c>
      <c r="Q709">
        <v>0</v>
      </c>
      <c r="R709">
        <v>0</v>
      </c>
      <c r="S709">
        <v>1</v>
      </c>
      <c r="T709">
        <v>0</v>
      </c>
      <c r="V709">
        <v>0</v>
      </c>
      <c r="W709">
        <v>0</v>
      </c>
      <c r="X709" s="6" t="s">
        <v>771</v>
      </c>
      <c r="Y709" t="s">
        <v>772</v>
      </c>
      <c r="Z709" t="s">
        <v>2800</v>
      </c>
      <c r="AA709" t="s">
        <v>527</v>
      </c>
      <c r="AB709">
        <v>0</v>
      </c>
      <c r="AC709">
        <v>16</v>
      </c>
      <c r="AD709">
        <v>0</v>
      </c>
      <c r="AE709">
        <v>0</v>
      </c>
      <c r="AF709">
        <v>0</v>
      </c>
      <c r="AI709">
        <v>0</v>
      </c>
      <c r="AJ709">
        <v>0</v>
      </c>
      <c r="AK709" s="7">
        <v>0</v>
      </c>
      <c r="AL709" s="7">
        <v>0</v>
      </c>
      <c r="AM709" s="7">
        <v>0</v>
      </c>
      <c r="AN709" s="7">
        <v>0</v>
      </c>
      <c r="AP709">
        <v>0</v>
      </c>
      <c r="AQ709" s="15">
        <v>1</v>
      </c>
      <c r="AR709" s="7">
        <v>0</v>
      </c>
      <c r="AS709" s="7">
        <v>0</v>
      </c>
      <c r="AT709">
        <v>1</v>
      </c>
      <c r="BD709" s="7"/>
      <c r="BE709" s="7">
        <v>240</v>
      </c>
      <c r="BG709" s="7">
        <v>2</v>
      </c>
      <c r="BL709" s="7">
        <v>0</v>
      </c>
    </row>
    <row r="710" spans="1:64">
      <c r="A710">
        <v>1000012</v>
      </c>
      <c r="B710" t="s">
        <v>773</v>
      </c>
      <c r="C710" t="s">
        <v>540</v>
      </c>
      <c r="D710" t="s">
        <v>550</v>
      </c>
      <c r="E710">
        <v>1</v>
      </c>
      <c r="F710" t="s">
        <v>959</v>
      </c>
      <c r="G710">
        <v>0</v>
      </c>
      <c r="H710">
        <v>0</v>
      </c>
      <c r="I710">
        <v>99999</v>
      </c>
      <c r="J710">
        <v>0</v>
      </c>
      <c r="K710">
        <v>3</v>
      </c>
      <c r="L710" t="s">
        <v>1562</v>
      </c>
      <c r="M710">
        <v>1</v>
      </c>
      <c r="N710" s="7">
        <v>1</v>
      </c>
      <c r="Q710">
        <v>0</v>
      </c>
      <c r="R710">
        <v>0</v>
      </c>
      <c r="S710" s="7">
        <v>1</v>
      </c>
      <c r="T710">
        <v>0</v>
      </c>
      <c r="V710">
        <v>0</v>
      </c>
      <c r="W710">
        <v>0</v>
      </c>
      <c r="X710" s="6" t="s">
        <v>774</v>
      </c>
      <c r="Y710" t="s">
        <v>559</v>
      </c>
      <c r="Z710" t="s">
        <v>2801</v>
      </c>
      <c r="AA710" t="s">
        <v>527</v>
      </c>
      <c r="AB710">
        <v>0</v>
      </c>
      <c r="AC710">
        <v>16</v>
      </c>
      <c r="AD710">
        <v>0</v>
      </c>
      <c r="AE710">
        <v>0</v>
      </c>
      <c r="AF710">
        <v>0</v>
      </c>
      <c r="AI710">
        <v>0</v>
      </c>
      <c r="AJ710">
        <v>0</v>
      </c>
      <c r="AK710" s="7">
        <v>0</v>
      </c>
      <c r="AL710" s="7">
        <v>0</v>
      </c>
      <c r="AM710" s="7">
        <v>0</v>
      </c>
      <c r="AN710" s="7">
        <v>0</v>
      </c>
      <c r="AP710">
        <v>0</v>
      </c>
      <c r="AQ710" s="15">
        <v>1</v>
      </c>
      <c r="AR710" s="7">
        <v>0</v>
      </c>
      <c r="AS710" s="7">
        <v>0</v>
      </c>
      <c r="AT710">
        <v>1</v>
      </c>
      <c r="BD710" s="7"/>
      <c r="BE710" s="7">
        <v>240</v>
      </c>
      <c r="BG710" s="7">
        <v>2</v>
      </c>
      <c r="BL710" s="7">
        <v>0</v>
      </c>
    </row>
    <row r="711" spans="1:64">
      <c r="A711">
        <v>1000013</v>
      </c>
      <c r="B711" t="s">
        <v>775</v>
      </c>
      <c r="C711" t="s">
        <v>540</v>
      </c>
      <c r="D711" t="s">
        <v>550</v>
      </c>
      <c r="E711">
        <v>1</v>
      </c>
      <c r="F711" t="s">
        <v>959</v>
      </c>
      <c r="G711">
        <v>0</v>
      </c>
      <c r="H711">
        <v>0</v>
      </c>
      <c r="I711">
        <v>99999</v>
      </c>
      <c r="J711">
        <v>0</v>
      </c>
      <c r="K711">
        <v>3</v>
      </c>
      <c r="L711" t="s">
        <v>1562</v>
      </c>
      <c r="M711">
        <v>1</v>
      </c>
      <c r="N711" s="7">
        <v>1</v>
      </c>
      <c r="Q711">
        <v>0</v>
      </c>
      <c r="R711">
        <v>0</v>
      </c>
      <c r="S711" s="7">
        <v>1</v>
      </c>
      <c r="T711">
        <v>0</v>
      </c>
      <c r="V711">
        <v>0</v>
      </c>
      <c r="W711">
        <v>0</v>
      </c>
      <c r="Y711" t="s">
        <v>559</v>
      </c>
      <c r="Z711" t="s">
        <v>2802</v>
      </c>
      <c r="AA711" t="s">
        <v>527</v>
      </c>
      <c r="AB711">
        <v>0</v>
      </c>
      <c r="AC711">
        <v>16</v>
      </c>
      <c r="AD711">
        <v>0</v>
      </c>
      <c r="AE711">
        <v>0</v>
      </c>
      <c r="AF711">
        <v>0</v>
      </c>
      <c r="AI711">
        <v>0</v>
      </c>
      <c r="AJ711">
        <v>0</v>
      </c>
      <c r="AK711" s="7">
        <v>0</v>
      </c>
      <c r="AL711" s="7">
        <v>0</v>
      </c>
      <c r="AM711" s="7">
        <v>0</v>
      </c>
      <c r="AN711" s="7">
        <v>0</v>
      </c>
      <c r="AP711">
        <v>0</v>
      </c>
      <c r="AQ711" s="15">
        <v>1</v>
      </c>
      <c r="AR711" s="7">
        <v>0</v>
      </c>
      <c r="AS711" s="7">
        <v>0</v>
      </c>
      <c r="AT711">
        <v>1</v>
      </c>
      <c r="BD711" s="7"/>
      <c r="BE711" s="7">
        <v>240</v>
      </c>
      <c r="BG711" s="7">
        <v>2</v>
      </c>
      <c r="BL711" s="7">
        <v>0</v>
      </c>
    </row>
    <row r="712" spans="1:64">
      <c r="A712">
        <v>1000014</v>
      </c>
      <c r="B712" t="s">
        <v>1051</v>
      </c>
      <c r="C712" t="s">
        <v>540</v>
      </c>
      <c r="D712" t="s">
        <v>550</v>
      </c>
      <c r="E712">
        <v>10</v>
      </c>
      <c r="F712" t="s">
        <v>959</v>
      </c>
      <c r="G712">
        <v>0</v>
      </c>
      <c r="H712">
        <v>0</v>
      </c>
      <c r="I712">
        <v>99999</v>
      </c>
      <c r="J712">
        <v>0</v>
      </c>
      <c r="K712">
        <v>3</v>
      </c>
      <c r="L712" t="s">
        <v>1562</v>
      </c>
      <c r="M712">
        <v>1</v>
      </c>
      <c r="N712" s="7">
        <v>1</v>
      </c>
      <c r="Q712">
        <v>0</v>
      </c>
      <c r="R712">
        <v>0</v>
      </c>
      <c r="S712" s="7">
        <v>1</v>
      </c>
      <c r="T712">
        <v>0</v>
      </c>
      <c r="V712">
        <v>0</v>
      </c>
      <c r="W712">
        <v>0</v>
      </c>
      <c r="X712" s="6" t="s">
        <v>776</v>
      </c>
      <c r="Y712" t="s">
        <v>772</v>
      </c>
      <c r="Z712" t="s">
        <v>2800</v>
      </c>
      <c r="AA712" t="s">
        <v>527</v>
      </c>
      <c r="AB712">
        <v>0</v>
      </c>
      <c r="AC712">
        <v>16</v>
      </c>
      <c r="AD712">
        <v>0</v>
      </c>
      <c r="AE712">
        <v>0</v>
      </c>
      <c r="AF712">
        <v>0</v>
      </c>
      <c r="AI712">
        <v>0</v>
      </c>
      <c r="AJ712">
        <v>0</v>
      </c>
      <c r="AK712" s="7">
        <v>0</v>
      </c>
      <c r="AL712" s="7">
        <v>0</v>
      </c>
      <c r="AM712" s="7">
        <v>0</v>
      </c>
      <c r="AN712" s="7">
        <v>0</v>
      </c>
      <c r="AP712">
        <v>0</v>
      </c>
      <c r="AQ712" s="15">
        <v>1</v>
      </c>
      <c r="AR712" s="7">
        <v>0</v>
      </c>
      <c r="AS712" s="7">
        <v>0</v>
      </c>
      <c r="AT712">
        <v>1</v>
      </c>
      <c r="BD712" s="7"/>
      <c r="BE712" s="7">
        <v>240</v>
      </c>
      <c r="BG712" s="7">
        <v>2</v>
      </c>
      <c r="BL712" s="7">
        <v>0</v>
      </c>
    </row>
    <row r="713" spans="1:64">
      <c r="A713">
        <v>1000015</v>
      </c>
      <c r="B713" t="s">
        <v>1052</v>
      </c>
      <c r="C713" t="s">
        <v>540</v>
      </c>
      <c r="D713" t="s">
        <v>550</v>
      </c>
      <c r="E713">
        <v>20</v>
      </c>
      <c r="F713" t="s">
        <v>959</v>
      </c>
      <c r="G713">
        <v>0</v>
      </c>
      <c r="H713">
        <v>0</v>
      </c>
      <c r="I713">
        <v>99999</v>
      </c>
      <c r="J713">
        <v>0</v>
      </c>
      <c r="K713">
        <v>3</v>
      </c>
      <c r="L713" t="s">
        <v>1562</v>
      </c>
      <c r="M713">
        <v>1</v>
      </c>
      <c r="N713" s="7">
        <v>1</v>
      </c>
      <c r="Q713">
        <v>0</v>
      </c>
      <c r="R713">
        <v>0</v>
      </c>
      <c r="S713" s="7">
        <v>1</v>
      </c>
      <c r="T713">
        <v>0</v>
      </c>
      <c r="V713">
        <v>0</v>
      </c>
      <c r="W713">
        <v>0</v>
      </c>
      <c r="X713" s="6" t="s">
        <v>777</v>
      </c>
      <c r="Y713" t="s">
        <v>772</v>
      </c>
      <c r="Z713" t="s">
        <v>2800</v>
      </c>
      <c r="AA713" t="s">
        <v>527</v>
      </c>
      <c r="AB713">
        <v>0</v>
      </c>
      <c r="AC713">
        <v>16</v>
      </c>
      <c r="AD713">
        <v>0</v>
      </c>
      <c r="AE713">
        <v>0</v>
      </c>
      <c r="AF713">
        <v>0</v>
      </c>
      <c r="AI713">
        <v>0</v>
      </c>
      <c r="AJ713">
        <v>0</v>
      </c>
      <c r="AK713" s="7">
        <v>0</v>
      </c>
      <c r="AL713" s="7">
        <v>0</v>
      </c>
      <c r="AM713" s="7">
        <v>0</v>
      </c>
      <c r="AN713" s="7">
        <v>0</v>
      </c>
      <c r="AP713">
        <v>0</v>
      </c>
      <c r="AQ713" s="7">
        <v>1</v>
      </c>
      <c r="AR713" s="7">
        <v>0</v>
      </c>
      <c r="AS713" s="7">
        <v>0</v>
      </c>
      <c r="AT713">
        <v>1</v>
      </c>
      <c r="BD713" s="7"/>
      <c r="BE713" s="7">
        <v>240</v>
      </c>
      <c r="BG713" s="7">
        <v>2</v>
      </c>
      <c r="BL713" s="7">
        <v>0</v>
      </c>
    </row>
    <row r="714" spans="1:64" s="7" customFormat="1">
      <c r="A714" s="7">
        <v>1000016</v>
      </c>
      <c r="B714" s="7" t="s">
        <v>943</v>
      </c>
      <c r="C714" s="7" t="s">
        <v>540</v>
      </c>
      <c r="D714" s="7" t="s">
        <v>550</v>
      </c>
      <c r="E714" s="7">
        <v>1</v>
      </c>
      <c r="F714" s="7" t="s">
        <v>959</v>
      </c>
      <c r="G714" s="7">
        <v>0</v>
      </c>
      <c r="H714" s="7">
        <v>0</v>
      </c>
      <c r="I714" s="7">
        <v>99999</v>
      </c>
      <c r="J714" s="7">
        <v>0</v>
      </c>
      <c r="K714" s="7">
        <v>3</v>
      </c>
      <c r="L714" s="7" t="s">
        <v>1562</v>
      </c>
      <c r="M714" s="7">
        <v>1</v>
      </c>
      <c r="N714" s="7">
        <v>1</v>
      </c>
      <c r="Q714" s="7">
        <v>0</v>
      </c>
      <c r="R714" s="7">
        <v>0</v>
      </c>
      <c r="S714" s="7">
        <v>1</v>
      </c>
      <c r="T714" s="7">
        <v>0</v>
      </c>
      <c r="V714" s="7">
        <v>0</v>
      </c>
      <c r="W714" s="7">
        <v>0</v>
      </c>
      <c r="X714" s="6"/>
      <c r="Y714" s="7" t="s">
        <v>772</v>
      </c>
      <c r="Z714" s="7" t="s">
        <v>2803</v>
      </c>
      <c r="AA714" s="7" t="s">
        <v>527</v>
      </c>
      <c r="AB714" s="7">
        <v>0</v>
      </c>
      <c r="AC714" s="7">
        <v>16</v>
      </c>
      <c r="AD714" s="7">
        <v>0</v>
      </c>
      <c r="AE714" s="7">
        <v>0</v>
      </c>
      <c r="AF714" s="7">
        <v>0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P714" s="7">
        <v>0</v>
      </c>
      <c r="AQ714" s="7">
        <v>1</v>
      </c>
      <c r="AR714" s="7">
        <v>0</v>
      </c>
      <c r="AS714" s="7">
        <v>0</v>
      </c>
      <c r="AT714" s="7">
        <v>1</v>
      </c>
      <c r="BE714" s="7">
        <v>240</v>
      </c>
      <c r="BG714" s="7">
        <v>2</v>
      </c>
      <c r="BL714" s="7">
        <v>0</v>
      </c>
    </row>
    <row r="715" spans="1:64">
      <c r="A715">
        <v>1000101</v>
      </c>
      <c r="B715" t="s">
        <v>778</v>
      </c>
      <c r="C715" t="s">
        <v>540</v>
      </c>
      <c r="D715" t="s">
        <v>550</v>
      </c>
      <c r="E715">
        <v>1</v>
      </c>
      <c r="F715" t="s">
        <v>959</v>
      </c>
      <c r="G715">
        <v>0</v>
      </c>
      <c r="H715">
        <v>0</v>
      </c>
      <c r="I715">
        <v>99999</v>
      </c>
      <c r="J715">
        <v>0</v>
      </c>
      <c r="K715">
        <v>3</v>
      </c>
      <c r="L715" t="s">
        <v>1562</v>
      </c>
      <c r="M715">
        <v>1</v>
      </c>
      <c r="N715" s="7">
        <v>1</v>
      </c>
      <c r="Q715">
        <v>0</v>
      </c>
      <c r="R715">
        <v>0</v>
      </c>
      <c r="S715" s="7">
        <v>1</v>
      </c>
      <c r="T715">
        <v>0</v>
      </c>
      <c r="V715">
        <v>0</v>
      </c>
      <c r="W715">
        <v>0</v>
      </c>
      <c r="X715" s="6" t="s">
        <v>779</v>
      </c>
      <c r="Y715" t="s">
        <v>772</v>
      </c>
      <c r="Z715" t="s">
        <v>2804</v>
      </c>
      <c r="AA715" t="s">
        <v>527</v>
      </c>
      <c r="AB715">
        <v>0</v>
      </c>
      <c r="AC715">
        <v>16</v>
      </c>
      <c r="AD715">
        <v>0</v>
      </c>
      <c r="AE715">
        <v>0</v>
      </c>
      <c r="AF715">
        <v>0</v>
      </c>
      <c r="AI715">
        <v>0</v>
      </c>
      <c r="AJ715">
        <v>0</v>
      </c>
      <c r="AK715" s="7">
        <v>0</v>
      </c>
      <c r="AL715" s="7">
        <v>0</v>
      </c>
      <c r="AM715" s="7">
        <v>0</v>
      </c>
      <c r="AN715" s="7">
        <v>0</v>
      </c>
      <c r="AP715">
        <v>0</v>
      </c>
      <c r="AQ715" s="7">
        <v>1</v>
      </c>
      <c r="AR715" s="7">
        <v>0</v>
      </c>
      <c r="AS715" s="7">
        <v>0</v>
      </c>
      <c r="AT715">
        <v>1</v>
      </c>
      <c r="BD715" s="7"/>
      <c r="BE715" s="7">
        <v>240</v>
      </c>
      <c r="BG715" s="7">
        <v>2</v>
      </c>
      <c r="BL715" s="7">
        <v>0</v>
      </c>
    </row>
    <row r="716" spans="1:64">
      <c r="A716">
        <v>1000102</v>
      </c>
      <c r="B716" t="s">
        <v>780</v>
      </c>
      <c r="C716" t="s">
        <v>540</v>
      </c>
      <c r="D716" t="s">
        <v>550</v>
      </c>
      <c r="E716">
        <v>1</v>
      </c>
      <c r="F716" t="s">
        <v>959</v>
      </c>
      <c r="G716">
        <v>0</v>
      </c>
      <c r="H716">
        <v>0</v>
      </c>
      <c r="I716">
        <v>99999</v>
      </c>
      <c r="J716">
        <v>0</v>
      </c>
      <c r="K716">
        <v>3</v>
      </c>
      <c r="L716" t="s">
        <v>1562</v>
      </c>
      <c r="M716">
        <v>1</v>
      </c>
      <c r="N716" s="7">
        <v>1</v>
      </c>
      <c r="Q716">
        <v>0</v>
      </c>
      <c r="R716">
        <v>0</v>
      </c>
      <c r="S716" s="7">
        <v>1</v>
      </c>
      <c r="T716">
        <v>0</v>
      </c>
      <c r="V716">
        <v>0</v>
      </c>
      <c r="W716">
        <v>0</v>
      </c>
      <c r="X716" s="6" t="s">
        <v>781</v>
      </c>
      <c r="Y716" t="s">
        <v>772</v>
      </c>
      <c r="Z716" t="s">
        <v>2804</v>
      </c>
      <c r="AA716" t="s">
        <v>527</v>
      </c>
      <c r="AB716">
        <v>0</v>
      </c>
      <c r="AC716">
        <v>16</v>
      </c>
      <c r="AD716">
        <v>0</v>
      </c>
      <c r="AE716">
        <v>0</v>
      </c>
      <c r="AF716">
        <v>0</v>
      </c>
      <c r="AI716">
        <v>0</v>
      </c>
      <c r="AJ716">
        <v>0</v>
      </c>
      <c r="AK716" s="7">
        <v>0</v>
      </c>
      <c r="AL716" s="7">
        <v>0</v>
      </c>
      <c r="AM716" s="7">
        <v>0</v>
      </c>
      <c r="AN716" s="7">
        <v>0</v>
      </c>
      <c r="AP716">
        <v>0</v>
      </c>
      <c r="AQ716" s="7">
        <v>1</v>
      </c>
      <c r="AR716" s="7">
        <v>0</v>
      </c>
      <c r="AS716" s="7">
        <v>0</v>
      </c>
      <c r="AT716">
        <v>1</v>
      </c>
      <c r="BD716" s="7"/>
      <c r="BE716" s="7">
        <v>240</v>
      </c>
      <c r="BG716" s="7">
        <v>2</v>
      </c>
      <c r="BL716" s="7">
        <v>0</v>
      </c>
    </row>
    <row r="717" spans="1:64" s="15" customFormat="1">
      <c r="A717" s="15">
        <v>1010001</v>
      </c>
      <c r="B717" s="15" t="s">
        <v>782</v>
      </c>
      <c r="C717" s="15" t="s">
        <v>540</v>
      </c>
      <c r="D717" s="15" t="s">
        <v>550</v>
      </c>
      <c r="E717" s="15">
        <v>20</v>
      </c>
      <c r="F717" s="15" t="s">
        <v>959</v>
      </c>
      <c r="G717" s="15">
        <v>0</v>
      </c>
      <c r="H717" s="15">
        <v>0</v>
      </c>
      <c r="I717" s="15">
        <v>99999</v>
      </c>
      <c r="J717" s="15">
        <v>0</v>
      </c>
      <c r="K717" s="15">
        <v>0</v>
      </c>
      <c r="L717" s="15" t="s">
        <v>1562</v>
      </c>
      <c r="M717" s="15">
        <v>1</v>
      </c>
      <c r="N717" s="7">
        <v>1</v>
      </c>
      <c r="Q717" s="15">
        <v>0</v>
      </c>
      <c r="R717" s="15">
        <v>0</v>
      </c>
      <c r="S717" s="7">
        <v>1</v>
      </c>
      <c r="T717" s="15">
        <v>0</v>
      </c>
      <c r="V717" s="15">
        <v>1</v>
      </c>
      <c r="W717" s="15">
        <v>0</v>
      </c>
      <c r="X717" s="30"/>
      <c r="Y717" s="15" t="s">
        <v>783</v>
      </c>
      <c r="Z717" s="15" t="s">
        <v>2805</v>
      </c>
      <c r="AA717" s="15" t="s">
        <v>527</v>
      </c>
      <c r="AB717" s="15">
        <v>0</v>
      </c>
      <c r="AC717" s="15">
        <v>16</v>
      </c>
      <c r="AD717" s="15">
        <v>0</v>
      </c>
      <c r="AE717" s="15">
        <v>0</v>
      </c>
      <c r="AF717" s="15">
        <v>0</v>
      </c>
      <c r="AI717" s="15">
        <v>0</v>
      </c>
      <c r="AJ717" s="15">
        <v>0</v>
      </c>
      <c r="AK717" s="15">
        <v>0</v>
      </c>
      <c r="AL717" s="15">
        <v>0</v>
      </c>
      <c r="AM717" s="15">
        <v>0</v>
      </c>
      <c r="AN717" s="15">
        <v>0</v>
      </c>
      <c r="AP717" s="15">
        <v>0</v>
      </c>
      <c r="AR717" s="15">
        <v>0</v>
      </c>
      <c r="AS717" s="15">
        <v>0</v>
      </c>
      <c r="AT717" s="15">
        <v>1</v>
      </c>
      <c r="BD717" s="16"/>
      <c r="BE717" s="7">
        <v>240</v>
      </c>
      <c r="BG717" s="15">
        <v>2</v>
      </c>
      <c r="BL717" s="7">
        <v>0</v>
      </c>
    </row>
    <row r="718" spans="1:64" s="15" customFormat="1">
      <c r="A718" s="15">
        <v>1010002</v>
      </c>
      <c r="B718" s="15" t="s">
        <v>784</v>
      </c>
      <c r="C718" s="15" t="s">
        <v>540</v>
      </c>
      <c r="D718" s="15" t="s">
        <v>550</v>
      </c>
      <c r="E718" s="15">
        <v>30</v>
      </c>
      <c r="F718" s="15" t="s">
        <v>959</v>
      </c>
      <c r="G718" s="15">
        <v>0</v>
      </c>
      <c r="H718" s="15">
        <v>0</v>
      </c>
      <c r="I718" s="15">
        <v>99999</v>
      </c>
      <c r="J718" s="15">
        <v>0</v>
      </c>
      <c r="K718" s="15">
        <v>0</v>
      </c>
      <c r="L718" s="15" t="s">
        <v>1562</v>
      </c>
      <c r="M718" s="15">
        <v>1</v>
      </c>
      <c r="N718" s="7">
        <v>1</v>
      </c>
      <c r="Q718" s="15">
        <v>0</v>
      </c>
      <c r="R718" s="15">
        <v>0</v>
      </c>
      <c r="S718" s="7">
        <v>1</v>
      </c>
      <c r="T718" s="15">
        <v>0</v>
      </c>
      <c r="V718" s="15">
        <v>1</v>
      </c>
      <c r="W718" s="15">
        <v>0</v>
      </c>
      <c r="X718" s="30"/>
      <c r="Y718" s="15" t="s">
        <v>783</v>
      </c>
      <c r="Z718" s="15" t="s">
        <v>2806</v>
      </c>
      <c r="AA718" s="15" t="s">
        <v>527</v>
      </c>
      <c r="AB718" s="15">
        <v>0</v>
      </c>
      <c r="AC718" s="15">
        <v>16</v>
      </c>
      <c r="AD718" s="15">
        <v>0</v>
      </c>
      <c r="AE718" s="15">
        <v>0</v>
      </c>
      <c r="AF718" s="15">
        <v>0</v>
      </c>
      <c r="AI718" s="15">
        <v>0</v>
      </c>
      <c r="AJ718" s="15">
        <v>0</v>
      </c>
      <c r="AK718" s="15">
        <v>0</v>
      </c>
      <c r="AL718" s="15">
        <v>0</v>
      </c>
      <c r="AM718" s="15">
        <v>0</v>
      </c>
      <c r="AN718" s="15">
        <v>0</v>
      </c>
      <c r="AP718" s="15">
        <v>0</v>
      </c>
      <c r="AR718" s="15">
        <v>0</v>
      </c>
      <c r="AS718" s="15">
        <v>0</v>
      </c>
      <c r="AT718" s="15">
        <v>1</v>
      </c>
      <c r="BD718" s="16"/>
      <c r="BE718" s="7">
        <v>240</v>
      </c>
      <c r="BG718" s="15">
        <v>2</v>
      </c>
      <c r="BL718" s="7">
        <v>0</v>
      </c>
    </row>
    <row r="719" spans="1:64" s="15" customFormat="1">
      <c r="A719" s="15">
        <v>1010003</v>
      </c>
      <c r="B719" s="15" t="s">
        <v>785</v>
      </c>
      <c r="C719" s="15" t="s">
        <v>540</v>
      </c>
      <c r="D719" s="15" t="s">
        <v>550</v>
      </c>
      <c r="E719" s="15">
        <v>40</v>
      </c>
      <c r="F719" s="15" t="s">
        <v>959</v>
      </c>
      <c r="G719" s="15">
        <v>0</v>
      </c>
      <c r="H719" s="15">
        <v>0</v>
      </c>
      <c r="I719" s="15">
        <v>99999</v>
      </c>
      <c r="J719" s="15">
        <v>0</v>
      </c>
      <c r="K719" s="15">
        <v>0</v>
      </c>
      <c r="L719" s="15" t="s">
        <v>1562</v>
      </c>
      <c r="M719" s="15">
        <v>1</v>
      </c>
      <c r="N719" s="7">
        <v>1</v>
      </c>
      <c r="Q719" s="15">
        <v>0</v>
      </c>
      <c r="R719" s="15">
        <v>0</v>
      </c>
      <c r="S719" s="7">
        <v>1</v>
      </c>
      <c r="T719" s="15">
        <v>0</v>
      </c>
      <c r="V719" s="15">
        <v>1</v>
      </c>
      <c r="W719" s="15">
        <v>0</v>
      </c>
      <c r="X719" s="30"/>
      <c r="Y719" s="15" t="s">
        <v>783</v>
      </c>
      <c r="Z719" s="15" t="s">
        <v>2807</v>
      </c>
      <c r="AA719" s="15" t="s">
        <v>527</v>
      </c>
      <c r="AB719" s="15">
        <v>0</v>
      </c>
      <c r="AC719" s="15">
        <v>16</v>
      </c>
      <c r="AD719" s="15">
        <v>0</v>
      </c>
      <c r="AE719" s="15">
        <v>0</v>
      </c>
      <c r="AF719" s="15">
        <v>0</v>
      </c>
      <c r="AI719" s="15">
        <v>0</v>
      </c>
      <c r="AJ719" s="15">
        <v>0</v>
      </c>
      <c r="AK719" s="15">
        <v>0</v>
      </c>
      <c r="AL719" s="15">
        <v>0</v>
      </c>
      <c r="AM719" s="15">
        <v>0</v>
      </c>
      <c r="AN719" s="15">
        <v>0</v>
      </c>
      <c r="AP719" s="15">
        <v>0</v>
      </c>
      <c r="AR719" s="15">
        <v>0</v>
      </c>
      <c r="AS719" s="15">
        <v>0</v>
      </c>
      <c r="AT719" s="15">
        <v>1</v>
      </c>
      <c r="BD719" s="16"/>
      <c r="BE719" s="7">
        <v>240</v>
      </c>
      <c r="BG719" s="15">
        <v>2</v>
      </c>
      <c r="BL719" s="7">
        <v>0</v>
      </c>
    </row>
    <row r="720" spans="1:64">
      <c r="A720">
        <v>1020011</v>
      </c>
      <c r="B720" t="s">
        <v>786</v>
      </c>
      <c r="C720" t="s">
        <v>540</v>
      </c>
      <c r="D720" t="s">
        <v>550</v>
      </c>
      <c r="E720">
        <v>10</v>
      </c>
      <c r="F720" t="s">
        <v>959</v>
      </c>
      <c r="G720">
        <v>0</v>
      </c>
      <c r="H720">
        <v>0</v>
      </c>
      <c r="I720">
        <v>99999</v>
      </c>
      <c r="J720">
        <v>0</v>
      </c>
      <c r="K720">
        <v>3</v>
      </c>
      <c r="L720" t="s">
        <v>1562</v>
      </c>
      <c r="M720">
        <v>1</v>
      </c>
      <c r="N720" s="7">
        <v>1</v>
      </c>
      <c r="Q720">
        <v>0</v>
      </c>
      <c r="R720">
        <v>0</v>
      </c>
      <c r="S720" s="7">
        <v>1</v>
      </c>
      <c r="T720">
        <v>0</v>
      </c>
      <c r="V720">
        <v>0</v>
      </c>
      <c r="W720">
        <v>0</v>
      </c>
      <c r="X720" s="6" t="s">
        <v>787</v>
      </c>
      <c r="Y720" t="s">
        <v>788</v>
      </c>
      <c r="Z720" t="s">
        <v>2808</v>
      </c>
      <c r="AA720" t="s">
        <v>527</v>
      </c>
      <c r="AB720">
        <v>0</v>
      </c>
      <c r="AC720">
        <v>16</v>
      </c>
      <c r="AD720">
        <v>0</v>
      </c>
      <c r="AE720">
        <v>0</v>
      </c>
      <c r="AF720">
        <v>0</v>
      </c>
      <c r="AI720">
        <v>0</v>
      </c>
      <c r="AJ720">
        <v>0</v>
      </c>
      <c r="AK720" s="7">
        <v>0</v>
      </c>
      <c r="AL720" s="7">
        <v>0</v>
      </c>
      <c r="AM720" s="7">
        <v>0</v>
      </c>
      <c r="AN720" s="7">
        <v>0</v>
      </c>
      <c r="AP720">
        <v>0</v>
      </c>
      <c r="AQ720" s="7">
        <v>1</v>
      </c>
      <c r="AR720" s="7">
        <v>0</v>
      </c>
      <c r="AS720" s="7">
        <v>0</v>
      </c>
      <c r="AT720">
        <v>1</v>
      </c>
      <c r="BD720" s="7"/>
      <c r="BE720" s="7">
        <v>240</v>
      </c>
      <c r="BG720" s="7">
        <v>2</v>
      </c>
      <c r="BL720" s="7">
        <v>0</v>
      </c>
    </row>
    <row r="721" spans="1:64" s="7" customFormat="1">
      <c r="A721" s="7">
        <v>1020101</v>
      </c>
      <c r="B721" s="7" t="s">
        <v>2283</v>
      </c>
      <c r="C721" s="7" t="s">
        <v>540</v>
      </c>
      <c r="D721" s="7" t="s">
        <v>550</v>
      </c>
      <c r="E721" s="7">
        <v>1</v>
      </c>
      <c r="F721" s="7" t="s">
        <v>959</v>
      </c>
      <c r="G721" s="7">
        <v>0</v>
      </c>
      <c r="H721" s="7">
        <v>0</v>
      </c>
      <c r="I721" s="7">
        <v>99999</v>
      </c>
      <c r="J721" s="7">
        <v>0</v>
      </c>
      <c r="K721" s="7">
        <v>0</v>
      </c>
      <c r="L721" s="7" t="s">
        <v>1562</v>
      </c>
      <c r="M721" s="7">
        <v>1</v>
      </c>
      <c r="N721" s="7">
        <v>1</v>
      </c>
      <c r="Q721" s="7">
        <v>0</v>
      </c>
      <c r="R721" s="7">
        <v>0</v>
      </c>
      <c r="S721" s="7">
        <v>1</v>
      </c>
      <c r="T721" s="7">
        <v>0</v>
      </c>
      <c r="V721" s="7">
        <v>1</v>
      </c>
      <c r="W721" s="7">
        <v>0</v>
      </c>
      <c r="X721" s="6" t="s">
        <v>2285</v>
      </c>
      <c r="Y721" s="7" t="s">
        <v>772</v>
      </c>
      <c r="Z721" s="7" t="s">
        <v>2809</v>
      </c>
      <c r="AA721" s="7" t="s">
        <v>527</v>
      </c>
      <c r="AB721" s="7">
        <v>0</v>
      </c>
      <c r="AC721" s="7">
        <v>16</v>
      </c>
      <c r="AD721" s="7">
        <v>0</v>
      </c>
      <c r="AE721" s="7">
        <v>0</v>
      </c>
      <c r="AF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P721" s="7">
        <v>1</v>
      </c>
      <c r="AQ721" s="7">
        <v>1</v>
      </c>
      <c r="AR721" s="7">
        <v>1</v>
      </c>
      <c r="AS721" s="7">
        <v>0</v>
      </c>
      <c r="BE721" s="7">
        <v>240</v>
      </c>
      <c r="BG721" s="7">
        <v>2</v>
      </c>
      <c r="BL721" s="7">
        <v>0</v>
      </c>
    </row>
    <row r="722" spans="1:64" s="7" customFormat="1">
      <c r="A722" s="7">
        <v>1020102</v>
      </c>
      <c r="B722" s="7" t="s">
        <v>2284</v>
      </c>
      <c r="C722" s="7" t="s">
        <v>540</v>
      </c>
      <c r="D722" s="7" t="s">
        <v>550</v>
      </c>
      <c r="E722" s="7">
        <v>1</v>
      </c>
      <c r="F722" s="7" t="s">
        <v>959</v>
      </c>
      <c r="G722" s="7">
        <v>0</v>
      </c>
      <c r="H722" s="7">
        <v>0</v>
      </c>
      <c r="I722" s="7">
        <v>99999</v>
      </c>
      <c r="J722" s="7">
        <v>0</v>
      </c>
      <c r="K722" s="7">
        <v>0</v>
      </c>
      <c r="L722" s="7" t="s">
        <v>1562</v>
      </c>
      <c r="M722" s="7">
        <v>1</v>
      </c>
      <c r="N722" s="7">
        <v>1</v>
      </c>
      <c r="Q722" s="7">
        <v>0</v>
      </c>
      <c r="R722" s="7">
        <v>0</v>
      </c>
      <c r="S722" s="7">
        <v>1</v>
      </c>
      <c r="T722" s="7">
        <v>0</v>
      </c>
      <c r="V722" s="7">
        <v>1</v>
      </c>
      <c r="W722" s="7">
        <v>0</v>
      </c>
      <c r="X722" s="6" t="s">
        <v>2286</v>
      </c>
      <c r="Y722" s="7" t="s">
        <v>772</v>
      </c>
      <c r="Z722" s="7" t="s">
        <v>2810</v>
      </c>
      <c r="AA722" s="7" t="s">
        <v>527</v>
      </c>
      <c r="AB722" s="7">
        <v>0</v>
      </c>
      <c r="AC722" s="7">
        <v>16</v>
      </c>
      <c r="AD722" s="7">
        <v>0</v>
      </c>
      <c r="AE722" s="7">
        <v>0</v>
      </c>
      <c r="AF722" s="7">
        <v>0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P722" s="7">
        <v>1</v>
      </c>
      <c r="AQ722" s="7">
        <v>1</v>
      </c>
      <c r="AR722" s="7">
        <v>1</v>
      </c>
      <c r="AS722" s="7">
        <v>0</v>
      </c>
      <c r="BE722" s="7">
        <v>240</v>
      </c>
      <c r="BG722" s="7">
        <v>2</v>
      </c>
      <c r="BL722" s="7">
        <v>0</v>
      </c>
    </row>
    <row r="723" spans="1:64">
      <c r="A723">
        <v>1021001</v>
      </c>
      <c r="B723" t="s">
        <v>789</v>
      </c>
      <c r="C723" t="s">
        <v>540</v>
      </c>
      <c r="D723" t="s">
        <v>550</v>
      </c>
      <c r="E723">
        <v>20</v>
      </c>
      <c r="F723" t="s">
        <v>959</v>
      </c>
      <c r="G723">
        <v>0</v>
      </c>
      <c r="H723">
        <v>0</v>
      </c>
      <c r="I723">
        <v>99999</v>
      </c>
      <c r="J723">
        <v>0</v>
      </c>
      <c r="K723">
        <v>3</v>
      </c>
      <c r="L723" t="s">
        <v>1562</v>
      </c>
      <c r="M723">
        <v>1</v>
      </c>
      <c r="N723" s="7">
        <v>1</v>
      </c>
      <c r="Q723">
        <v>0</v>
      </c>
      <c r="R723">
        <v>0</v>
      </c>
      <c r="S723" s="7">
        <v>1</v>
      </c>
      <c r="T723">
        <v>0</v>
      </c>
      <c r="V723">
        <v>0</v>
      </c>
      <c r="W723">
        <v>0</v>
      </c>
      <c r="X723" s="6" t="s">
        <v>790</v>
      </c>
      <c r="Y723" t="s">
        <v>788</v>
      </c>
      <c r="Z723" t="s">
        <v>2811</v>
      </c>
      <c r="AA723" t="s">
        <v>527</v>
      </c>
      <c r="AB723">
        <v>0</v>
      </c>
      <c r="AC723">
        <v>16</v>
      </c>
      <c r="AD723">
        <v>0</v>
      </c>
      <c r="AE723">
        <v>0</v>
      </c>
      <c r="AF723">
        <v>0</v>
      </c>
      <c r="AI723">
        <v>0</v>
      </c>
      <c r="AJ723">
        <v>0</v>
      </c>
      <c r="AK723" s="7">
        <v>0</v>
      </c>
      <c r="AL723" s="7">
        <v>0</v>
      </c>
      <c r="AM723" s="7">
        <v>0</v>
      </c>
      <c r="AN723" s="7">
        <v>0</v>
      </c>
      <c r="AP723">
        <v>0</v>
      </c>
      <c r="AQ723" s="7">
        <v>1</v>
      </c>
      <c r="AR723" s="7">
        <v>0</v>
      </c>
      <c r="AS723" s="7">
        <v>0</v>
      </c>
      <c r="AT723">
        <v>1</v>
      </c>
      <c r="BD723" s="7"/>
      <c r="BE723" s="7">
        <v>240</v>
      </c>
      <c r="BG723" s="7">
        <v>2</v>
      </c>
      <c r="BL723" s="7">
        <v>0</v>
      </c>
    </row>
    <row r="724" spans="1:64">
      <c r="A724">
        <v>1021002</v>
      </c>
      <c r="B724" t="s">
        <v>791</v>
      </c>
      <c r="C724" t="s">
        <v>540</v>
      </c>
      <c r="D724" t="s">
        <v>550</v>
      </c>
      <c r="E724">
        <v>20</v>
      </c>
      <c r="F724" t="s">
        <v>959</v>
      </c>
      <c r="G724">
        <v>0</v>
      </c>
      <c r="H724">
        <v>0</v>
      </c>
      <c r="I724">
        <v>99999</v>
      </c>
      <c r="J724">
        <v>0</v>
      </c>
      <c r="K724">
        <v>3</v>
      </c>
      <c r="L724" t="s">
        <v>1562</v>
      </c>
      <c r="M724">
        <v>1</v>
      </c>
      <c r="N724" s="7">
        <v>1</v>
      </c>
      <c r="Q724">
        <v>0</v>
      </c>
      <c r="R724">
        <v>0</v>
      </c>
      <c r="S724" s="7">
        <v>1</v>
      </c>
      <c r="T724">
        <v>0</v>
      </c>
      <c r="V724">
        <v>0</v>
      </c>
      <c r="W724">
        <v>0</v>
      </c>
      <c r="X724" s="6" t="s">
        <v>790</v>
      </c>
      <c r="Y724" t="s">
        <v>788</v>
      </c>
      <c r="Z724" t="s">
        <v>2811</v>
      </c>
      <c r="AA724" t="s">
        <v>527</v>
      </c>
      <c r="AB724">
        <v>0</v>
      </c>
      <c r="AC724">
        <v>16</v>
      </c>
      <c r="AD724">
        <v>0</v>
      </c>
      <c r="AE724">
        <v>0</v>
      </c>
      <c r="AF724">
        <v>0</v>
      </c>
      <c r="AI724">
        <v>0</v>
      </c>
      <c r="AJ724">
        <v>0</v>
      </c>
      <c r="AK724" s="7">
        <v>0</v>
      </c>
      <c r="AL724" s="7">
        <v>0</v>
      </c>
      <c r="AM724" s="7">
        <v>0</v>
      </c>
      <c r="AN724" s="7">
        <v>0</v>
      </c>
      <c r="AP724">
        <v>0</v>
      </c>
      <c r="AQ724" s="7">
        <v>1</v>
      </c>
      <c r="AR724" s="7">
        <v>0</v>
      </c>
      <c r="AS724" s="7">
        <v>0</v>
      </c>
      <c r="AT724">
        <v>1</v>
      </c>
      <c r="BD724" s="7"/>
      <c r="BE724" s="7">
        <v>240</v>
      </c>
      <c r="BG724" s="7">
        <v>2</v>
      </c>
      <c r="BL724" s="7">
        <v>0</v>
      </c>
    </row>
    <row r="725" spans="1:64">
      <c r="A725">
        <v>1021003</v>
      </c>
      <c r="B725" t="s">
        <v>792</v>
      </c>
      <c r="C725" t="s">
        <v>540</v>
      </c>
      <c r="D725" t="s">
        <v>550</v>
      </c>
      <c r="E725">
        <v>20</v>
      </c>
      <c r="F725" t="s">
        <v>959</v>
      </c>
      <c r="G725">
        <v>0</v>
      </c>
      <c r="H725">
        <v>0</v>
      </c>
      <c r="I725">
        <v>99999</v>
      </c>
      <c r="J725">
        <v>0</v>
      </c>
      <c r="K725">
        <v>3</v>
      </c>
      <c r="L725" t="s">
        <v>1562</v>
      </c>
      <c r="M725">
        <v>1</v>
      </c>
      <c r="N725" s="7">
        <v>1</v>
      </c>
      <c r="Q725">
        <v>0</v>
      </c>
      <c r="R725">
        <v>0</v>
      </c>
      <c r="S725" s="7">
        <v>1</v>
      </c>
      <c r="T725">
        <v>0</v>
      </c>
      <c r="V725">
        <v>0</v>
      </c>
      <c r="W725">
        <v>0</v>
      </c>
      <c r="X725" s="6" t="s">
        <v>790</v>
      </c>
      <c r="Y725" t="s">
        <v>788</v>
      </c>
      <c r="Z725" t="s">
        <v>2811</v>
      </c>
      <c r="AA725" t="s">
        <v>527</v>
      </c>
      <c r="AB725">
        <v>0</v>
      </c>
      <c r="AC725">
        <v>16</v>
      </c>
      <c r="AD725">
        <v>0</v>
      </c>
      <c r="AE725">
        <v>0</v>
      </c>
      <c r="AF725">
        <v>0</v>
      </c>
      <c r="AI725">
        <v>0</v>
      </c>
      <c r="AJ725">
        <v>0</v>
      </c>
      <c r="AK725" s="7">
        <v>0</v>
      </c>
      <c r="AL725" s="7">
        <v>0</v>
      </c>
      <c r="AM725" s="7">
        <v>0</v>
      </c>
      <c r="AN725" s="7">
        <v>0</v>
      </c>
      <c r="AP725">
        <v>0</v>
      </c>
      <c r="AQ725" s="7">
        <v>1</v>
      </c>
      <c r="AR725" s="7">
        <v>0</v>
      </c>
      <c r="AS725" s="7">
        <v>0</v>
      </c>
      <c r="AT725">
        <v>1</v>
      </c>
      <c r="BD725" s="7"/>
      <c r="BE725" s="7">
        <v>240</v>
      </c>
      <c r="BG725" s="7">
        <v>2</v>
      </c>
      <c r="BL725" s="7">
        <v>0</v>
      </c>
    </row>
    <row r="726" spans="1:64">
      <c r="A726">
        <v>1021004</v>
      </c>
      <c r="B726" t="s">
        <v>793</v>
      </c>
      <c r="C726" t="s">
        <v>540</v>
      </c>
      <c r="D726" t="s">
        <v>550</v>
      </c>
      <c r="E726">
        <v>20</v>
      </c>
      <c r="F726" t="s">
        <v>959</v>
      </c>
      <c r="G726">
        <v>0</v>
      </c>
      <c r="H726">
        <v>0</v>
      </c>
      <c r="I726">
        <v>99999</v>
      </c>
      <c r="J726">
        <v>0</v>
      </c>
      <c r="K726">
        <v>3</v>
      </c>
      <c r="L726" t="s">
        <v>1562</v>
      </c>
      <c r="M726">
        <v>1</v>
      </c>
      <c r="N726" s="7">
        <v>1</v>
      </c>
      <c r="Q726">
        <v>0</v>
      </c>
      <c r="R726">
        <v>0</v>
      </c>
      <c r="S726" s="7">
        <v>1</v>
      </c>
      <c r="T726">
        <v>0</v>
      </c>
      <c r="V726">
        <v>0</v>
      </c>
      <c r="W726">
        <v>0</v>
      </c>
      <c r="X726" s="6" t="s">
        <v>790</v>
      </c>
      <c r="Y726" t="s">
        <v>788</v>
      </c>
      <c r="Z726" t="s">
        <v>2811</v>
      </c>
      <c r="AA726" t="s">
        <v>527</v>
      </c>
      <c r="AB726">
        <v>0</v>
      </c>
      <c r="AC726">
        <v>16</v>
      </c>
      <c r="AD726">
        <v>0</v>
      </c>
      <c r="AE726">
        <v>0</v>
      </c>
      <c r="AF726">
        <v>0</v>
      </c>
      <c r="AI726">
        <v>0</v>
      </c>
      <c r="AJ726">
        <v>0</v>
      </c>
      <c r="AK726" s="7">
        <v>0</v>
      </c>
      <c r="AL726" s="7">
        <v>0</v>
      </c>
      <c r="AM726" s="7">
        <v>0</v>
      </c>
      <c r="AN726" s="7">
        <v>0</v>
      </c>
      <c r="AP726">
        <v>0</v>
      </c>
      <c r="AQ726" s="7">
        <v>1</v>
      </c>
      <c r="AR726" s="7">
        <v>0</v>
      </c>
      <c r="AS726" s="7">
        <v>0</v>
      </c>
      <c r="AT726">
        <v>1</v>
      </c>
      <c r="BD726" s="7"/>
      <c r="BE726" s="7">
        <v>240</v>
      </c>
      <c r="BG726" s="7">
        <v>2</v>
      </c>
      <c r="BL726" s="7">
        <v>0</v>
      </c>
    </row>
    <row r="727" spans="1:64">
      <c r="A727">
        <v>1022001</v>
      </c>
      <c r="B727" t="s">
        <v>794</v>
      </c>
      <c r="C727" t="s">
        <v>540</v>
      </c>
      <c r="D727" t="s">
        <v>550</v>
      </c>
      <c r="E727">
        <v>1</v>
      </c>
      <c r="F727" t="s">
        <v>959</v>
      </c>
      <c r="G727">
        <v>0</v>
      </c>
      <c r="H727">
        <v>0</v>
      </c>
      <c r="I727">
        <v>99999</v>
      </c>
      <c r="J727">
        <v>0</v>
      </c>
      <c r="K727">
        <v>3</v>
      </c>
      <c r="L727" t="s">
        <v>1562</v>
      </c>
      <c r="M727">
        <v>1</v>
      </c>
      <c r="N727" s="7">
        <v>1</v>
      </c>
      <c r="Q727">
        <v>0</v>
      </c>
      <c r="R727">
        <v>0</v>
      </c>
      <c r="S727" s="7">
        <v>1</v>
      </c>
      <c r="T727">
        <v>0</v>
      </c>
      <c r="V727">
        <v>0</v>
      </c>
      <c r="W727">
        <v>0</v>
      </c>
      <c r="X727" s="6" t="s">
        <v>795</v>
      </c>
      <c r="Y727" t="s">
        <v>788</v>
      </c>
      <c r="Z727" t="s">
        <v>2812</v>
      </c>
      <c r="AA727" t="s">
        <v>527</v>
      </c>
      <c r="AB727">
        <v>0</v>
      </c>
      <c r="AC727">
        <v>16</v>
      </c>
      <c r="AD727">
        <v>0</v>
      </c>
      <c r="AE727">
        <v>0</v>
      </c>
      <c r="AF727">
        <v>0</v>
      </c>
      <c r="AI727">
        <v>0</v>
      </c>
      <c r="AJ727">
        <v>0</v>
      </c>
      <c r="AK727" s="7">
        <v>0</v>
      </c>
      <c r="AL727" s="7">
        <v>0</v>
      </c>
      <c r="AM727" s="7">
        <v>0</v>
      </c>
      <c r="AN727" s="7">
        <v>0</v>
      </c>
      <c r="AP727">
        <v>1</v>
      </c>
      <c r="AQ727" s="7">
        <v>1</v>
      </c>
      <c r="AR727" s="7">
        <v>1</v>
      </c>
      <c r="AS727" s="7">
        <v>0</v>
      </c>
      <c r="AT727">
        <v>1</v>
      </c>
      <c r="BD727" s="7"/>
      <c r="BE727" s="7">
        <v>240</v>
      </c>
      <c r="BG727" s="7">
        <v>2</v>
      </c>
      <c r="BL727" s="7">
        <v>0</v>
      </c>
    </row>
    <row r="728" spans="1:64">
      <c r="A728">
        <v>1022002</v>
      </c>
      <c r="B728" t="s">
        <v>796</v>
      </c>
      <c r="C728" t="s">
        <v>540</v>
      </c>
      <c r="D728" t="s">
        <v>550</v>
      </c>
      <c r="E728">
        <v>1</v>
      </c>
      <c r="F728" t="s">
        <v>959</v>
      </c>
      <c r="G728">
        <v>0</v>
      </c>
      <c r="H728">
        <v>0</v>
      </c>
      <c r="I728">
        <v>99999</v>
      </c>
      <c r="J728">
        <v>0</v>
      </c>
      <c r="K728">
        <v>3</v>
      </c>
      <c r="L728" t="s">
        <v>1562</v>
      </c>
      <c r="M728">
        <v>1</v>
      </c>
      <c r="N728" s="7">
        <v>1</v>
      </c>
      <c r="Q728">
        <v>0</v>
      </c>
      <c r="R728">
        <v>0</v>
      </c>
      <c r="S728" s="7">
        <v>1</v>
      </c>
      <c r="T728">
        <v>0</v>
      </c>
      <c r="V728">
        <v>0</v>
      </c>
      <c r="W728">
        <v>0</v>
      </c>
      <c r="X728" s="6" t="s">
        <v>797</v>
      </c>
      <c r="Y728" t="s">
        <v>788</v>
      </c>
      <c r="Z728" t="s">
        <v>2813</v>
      </c>
      <c r="AA728" t="s">
        <v>527</v>
      </c>
      <c r="AB728">
        <v>0</v>
      </c>
      <c r="AC728">
        <v>16</v>
      </c>
      <c r="AD728">
        <v>0</v>
      </c>
      <c r="AE728">
        <v>0</v>
      </c>
      <c r="AF728">
        <v>0</v>
      </c>
      <c r="AI728">
        <v>0</v>
      </c>
      <c r="AJ728">
        <v>0</v>
      </c>
      <c r="AK728" s="7">
        <v>0</v>
      </c>
      <c r="AL728" s="7">
        <v>0</v>
      </c>
      <c r="AM728" s="7">
        <v>0</v>
      </c>
      <c r="AN728" s="7">
        <v>0</v>
      </c>
      <c r="AP728">
        <v>1</v>
      </c>
      <c r="AQ728" s="7">
        <v>1</v>
      </c>
      <c r="AR728" s="7">
        <v>1</v>
      </c>
      <c r="AS728" s="7">
        <v>0</v>
      </c>
      <c r="AT728">
        <v>1</v>
      </c>
      <c r="BD728" s="7"/>
      <c r="BE728" s="7">
        <v>240</v>
      </c>
      <c r="BG728" s="7">
        <v>2</v>
      </c>
      <c r="BL728" s="7">
        <v>0</v>
      </c>
    </row>
    <row r="729" spans="1:64" s="7" customFormat="1">
      <c r="A729" s="7">
        <v>1029001</v>
      </c>
      <c r="B729" s="7" t="s">
        <v>1987</v>
      </c>
      <c r="C729" s="7" t="s">
        <v>540</v>
      </c>
      <c r="D729" s="7" t="s">
        <v>550</v>
      </c>
      <c r="E729" s="7">
        <v>1</v>
      </c>
      <c r="F729" s="7" t="s">
        <v>959</v>
      </c>
      <c r="G729" s="7">
        <v>0</v>
      </c>
      <c r="H729" s="7">
        <v>0</v>
      </c>
      <c r="I729" s="7">
        <v>99999</v>
      </c>
      <c r="J729" s="7">
        <v>0</v>
      </c>
      <c r="K729" s="7">
        <v>0</v>
      </c>
      <c r="L729" s="7" t="s">
        <v>1562</v>
      </c>
      <c r="M729" s="7">
        <v>1</v>
      </c>
      <c r="N729" s="7">
        <v>1</v>
      </c>
      <c r="Q729" s="7">
        <v>0</v>
      </c>
      <c r="R729" s="7">
        <v>0</v>
      </c>
      <c r="S729" s="7">
        <v>500</v>
      </c>
      <c r="T729" s="7">
        <v>0</v>
      </c>
      <c r="V729" s="7">
        <v>1</v>
      </c>
      <c r="W729" s="7">
        <v>0</v>
      </c>
      <c r="X729" s="6" t="s">
        <v>2033</v>
      </c>
      <c r="Y729" s="7" t="s">
        <v>2024</v>
      </c>
      <c r="Z729" s="7" t="s">
        <v>2814</v>
      </c>
      <c r="AA729" s="7" t="s">
        <v>2025</v>
      </c>
      <c r="AB729" s="7">
        <v>0</v>
      </c>
      <c r="AC729" s="7">
        <v>16</v>
      </c>
      <c r="AD729" s="7">
        <v>0</v>
      </c>
      <c r="AE729" s="7">
        <v>0</v>
      </c>
      <c r="AF729" s="7">
        <v>1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P729" s="7">
        <v>0</v>
      </c>
      <c r="AQ729" s="7">
        <v>1</v>
      </c>
      <c r="AR729" s="7">
        <v>0</v>
      </c>
      <c r="AS729" s="7">
        <v>0</v>
      </c>
      <c r="BE729" s="7">
        <v>240</v>
      </c>
      <c r="BG729" s="7">
        <v>2</v>
      </c>
      <c r="BL729" s="7">
        <v>0</v>
      </c>
    </row>
    <row r="730" spans="1:64">
      <c r="A730">
        <v>1030001</v>
      </c>
      <c r="B730" t="s">
        <v>798</v>
      </c>
      <c r="C730" t="s">
        <v>540</v>
      </c>
      <c r="D730" t="s">
        <v>550</v>
      </c>
      <c r="E730">
        <v>1</v>
      </c>
      <c r="F730" t="s">
        <v>959</v>
      </c>
      <c r="G730">
        <v>0</v>
      </c>
      <c r="H730">
        <v>0</v>
      </c>
      <c r="I730">
        <v>99999</v>
      </c>
      <c r="J730">
        <v>0</v>
      </c>
      <c r="K730">
        <v>3</v>
      </c>
      <c r="L730" t="s">
        <v>1562</v>
      </c>
      <c r="M730">
        <v>20</v>
      </c>
      <c r="N730" s="7">
        <v>1</v>
      </c>
      <c r="Q730">
        <v>0</v>
      </c>
      <c r="R730">
        <v>0</v>
      </c>
      <c r="S730" s="7">
        <v>1</v>
      </c>
      <c r="T730">
        <v>0</v>
      </c>
      <c r="V730">
        <v>0</v>
      </c>
      <c r="W730">
        <v>0</v>
      </c>
      <c r="X730" s="6" t="s">
        <v>1274</v>
      </c>
      <c r="Y730" t="s">
        <v>544</v>
      </c>
      <c r="Z730" s="7" t="s">
        <v>2815</v>
      </c>
      <c r="AA730" t="s">
        <v>527</v>
      </c>
      <c r="AB730">
        <v>0</v>
      </c>
      <c r="AC730">
        <v>11</v>
      </c>
      <c r="AD730">
        <v>0</v>
      </c>
      <c r="AE730">
        <v>0</v>
      </c>
      <c r="AF730">
        <v>0</v>
      </c>
      <c r="AI730">
        <v>0</v>
      </c>
      <c r="AJ730">
        <v>0</v>
      </c>
      <c r="AK730" s="7">
        <v>0</v>
      </c>
      <c r="AL730" s="7">
        <v>0</v>
      </c>
      <c r="AM730" s="7">
        <v>0</v>
      </c>
      <c r="AN730" s="7">
        <v>0</v>
      </c>
      <c r="AP730">
        <v>0</v>
      </c>
      <c r="AQ730" s="7">
        <v>1</v>
      </c>
      <c r="AR730" s="7">
        <v>0</v>
      </c>
      <c r="AS730" s="7">
        <v>0</v>
      </c>
      <c r="AT730">
        <v>1</v>
      </c>
      <c r="BD730" s="7"/>
      <c r="BE730" s="7">
        <v>240</v>
      </c>
      <c r="BG730" s="7">
        <v>2</v>
      </c>
      <c r="BL730" s="7">
        <v>0</v>
      </c>
    </row>
    <row r="731" spans="1:64">
      <c r="A731">
        <v>1030002</v>
      </c>
      <c r="B731" t="s">
        <v>799</v>
      </c>
      <c r="C731" t="s">
        <v>540</v>
      </c>
      <c r="D731" t="s">
        <v>550</v>
      </c>
      <c r="E731">
        <v>1</v>
      </c>
      <c r="F731" t="s">
        <v>959</v>
      </c>
      <c r="G731">
        <v>0</v>
      </c>
      <c r="H731">
        <v>0</v>
      </c>
      <c r="I731">
        <v>99999</v>
      </c>
      <c r="J731">
        <v>0</v>
      </c>
      <c r="K731">
        <v>3</v>
      </c>
      <c r="L731" t="s">
        <v>1562</v>
      </c>
      <c r="M731" s="7">
        <v>20</v>
      </c>
      <c r="N731" s="7">
        <v>1</v>
      </c>
      <c r="Q731">
        <v>0</v>
      </c>
      <c r="R731">
        <v>0</v>
      </c>
      <c r="S731" s="7">
        <v>1</v>
      </c>
      <c r="T731">
        <v>0</v>
      </c>
      <c r="V731">
        <v>0</v>
      </c>
      <c r="W731">
        <v>0</v>
      </c>
      <c r="X731" s="6" t="s">
        <v>512</v>
      </c>
      <c r="Y731" t="s">
        <v>544</v>
      </c>
      <c r="Z731" s="7" t="s">
        <v>3056</v>
      </c>
      <c r="AA731" t="s">
        <v>527</v>
      </c>
      <c r="AB731">
        <v>0</v>
      </c>
      <c r="AC731" s="7">
        <v>11</v>
      </c>
      <c r="AD731">
        <v>0</v>
      </c>
      <c r="AE731">
        <v>0</v>
      </c>
      <c r="AF731">
        <v>0</v>
      </c>
      <c r="AI731">
        <v>0</v>
      </c>
      <c r="AJ731">
        <v>0</v>
      </c>
      <c r="AK731" s="7">
        <v>0</v>
      </c>
      <c r="AL731" s="7">
        <v>0</v>
      </c>
      <c r="AM731" s="7">
        <v>0</v>
      </c>
      <c r="AN731" s="7">
        <v>0</v>
      </c>
      <c r="AP731">
        <v>0</v>
      </c>
      <c r="AQ731" s="7">
        <v>1</v>
      </c>
      <c r="AR731" s="7">
        <v>0</v>
      </c>
      <c r="AS731" s="7">
        <v>0</v>
      </c>
      <c r="AT731">
        <v>1</v>
      </c>
      <c r="BD731" s="7"/>
      <c r="BE731" s="7">
        <v>240</v>
      </c>
      <c r="BG731" s="7">
        <v>2</v>
      </c>
      <c r="BL731" s="7">
        <v>0</v>
      </c>
    </row>
    <row r="732" spans="1:64">
      <c r="A732">
        <v>1030003</v>
      </c>
      <c r="B732" t="s">
        <v>500</v>
      </c>
      <c r="C732" t="s">
        <v>540</v>
      </c>
      <c r="D732" t="s">
        <v>550</v>
      </c>
      <c r="E732">
        <v>1</v>
      </c>
      <c r="F732" t="s">
        <v>959</v>
      </c>
      <c r="G732">
        <v>0</v>
      </c>
      <c r="H732">
        <v>0</v>
      </c>
      <c r="I732">
        <v>99999</v>
      </c>
      <c r="J732">
        <v>0</v>
      </c>
      <c r="K732">
        <v>3</v>
      </c>
      <c r="L732" t="s">
        <v>1562</v>
      </c>
      <c r="M732" s="7">
        <v>20</v>
      </c>
      <c r="N732" s="7">
        <v>1</v>
      </c>
      <c r="Q732">
        <v>0</v>
      </c>
      <c r="R732">
        <v>0</v>
      </c>
      <c r="S732" s="7">
        <v>1</v>
      </c>
      <c r="T732">
        <v>0</v>
      </c>
      <c r="V732">
        <v>0</v>
      </c>
      <c r="W732">
        <v>0</v>
      </c>
      <c r="X732" s="6" t="s">
        <v>513</v>
      </c>
      <c r="Y732" t="s">
        <v>544</v>
      </c>
      <c r="Z732" s="7" t="s">
        <v>3057</v>
      </c>
      <c r="AA732" t="s">
        <v>527</v>
      </c>
      <c r="AB732">
        <v>0</v>
      </c>
      <c r="AC732" s="7">
        <v>11</v>
      </c>
      <c r="AD732">
        <v>0</v>
      </c>
      <c r="AE732">
        <v>0</v>
      </c>
      <c r="AF732">
        <v>0</v>
      </c>
      <c r="AI732">
        <v>0</v>
      </c>
      <c r="AJ732">
        <v>0</v>
      </c>
      <c r="AK732" s="7">
        <v>0</v>
      </c>
      <c r="AL732" s="7">
        <v>0</v>
      </c>
      <c r="AM732" s="7">
        <v>0</v>
      </c>
      <c r="AN732" s="7">
        <v>0</v>
      </c>
      <c r="AP732">
        <v>0</v>
      </c>
      <c r="AQ732" s="7">
        <v>1</v>
      </c>
      <c r="AR732" s="7">
        <v>0</v>
      </c>
      <c r="AS732" s="7">
        <v>0</v>
      </c>
      <c r="AT732">
        <v>1</v>
      </c>
      <c r="BD732" s="7"/>
      <c r="BE732" s="7">
        <v>240</v>
      </c>
      <c r="BG732" s="7">
        <v>2</v>
      </c>
      <c r="BL732" s="7">
        <v>0</v>
      </c>
    </row>
    <row r="733" spans="1:64">
      <c r="A733">
        <v>1030004</v>
      </c>
      <c r="B733" t="s">
        <v>501</v>
      </c>
      <c r="C733" t="s">
        <v>540</v>
      </c>
      <c r="D733" t="s">
        <v>550</v>
      </c>
      <c r="E733">
        <v>1</v>
      </c>
      <c r="F733" t="s">
        <v>959</v>
      </c>
      <c r="G733">
        <v>0</v>
      </c>
      <c r="H733">
        <v>0</v>
      </c>
      <c r="I733">
        <v>99999</v>
      </c>
      <c r="J733">
        <v>0</v>
      </c>
      <c r="K733">
        <v>3</v>
      </c>
      <c r="L733" t="s">
        <v>1562</v>
      </c>
      <c r="M733" s="7">
        <v>20</v>
      </c>
      <c r="N733" s="7">
        <v>1</v>
      </c>
      <c r="Q733">
        <v>0</v>
      </c>
      <c r="R733">
        <v>0</v>
      </c>
      <c r="S733" s="7">
        <v>1</v>
      </c>
      <c r="T733">
        <v>0</v>
      </c>
      <c r="V733">
        <v>0</v>
      </c>
      <c r="W733">
        <v>0</v>
      </c>
      <c r="X733" s="6" t="s">
        <v>514</v>
      </c>
      <c r="Y733" t="s">
        <v>544</v>
      </c>
      <c r="Z733" s="7" t="s">
        <v>3058</v>
      </c>
      <c r="AA733" t="s">
        <v>527</v>
      </c>
      <c r="AB733">
        <v>0</v>
      </c>
      <c r="AC733" s="7">
        <v>11</v>
      </c>
      <c r="AD733">
        <v>0</v>
      </c>
      <c r="AE733">
        <v>0</v>
      </c>
      <c r="AF733">
        <v>0</v>
      </c>
      <c r="AI733">
        <v>0</v>
      </c>
      <c r="AJ733">
        <v>0</v>
      </c>
      <c r="AK733" s="7">
        <v>0</v>
      </c>
      <c r="AL733" s="7">
        <v>0</v>
      </c>
      <c r="AM733" s="7">
        <v>0</v>
      </c>
      <c r="AN733" s="7">
        <v>0</v>
      </c>
      <c r="AP733">
        <v>0</v>
      </c>
      <c r="AQ733" s="7">
        <v>1</v>
      </c>
      <c r="AR733" s="7">
        <v>0</v>
      </c>
      <c r="AS733" s="7">
        <v>0</v>
      </c>
      <c r="AT733">
        <v>1</v>
      </c>
      <c r="BD733" s="7"/>
      <c r="BE733" s="7">
        <v>240</v>
      </c>
      <c r="BG733" s="7">
        <v>2</v>
      </c>
      <c r="BL733" s="7">
        <v>0</v>
      </c>
    </row>
    <row r="734" spans="1:64">
      <c r="A734">
        <v>1030005</v>
      </c>
      <c r="B734" t="s">
        <v>502</v>
      </c>
      <c r="C734" t="s">
        <v>540</v>
      </c>
      <c r="D734" t="s">
        <v>550</v>
      </c>
      <c r="E734">
        <v>1</v>
      </c>
      <c r="F734" t="s">
        <v>959</v>
      </c>
      <c r="G734">
        <v>0</v>
      </c>
      <c r="H734">
        <v>0</v>
      </c>
      <c r="I734">
        <v>99999</v>
      </c>
      <c r="J734">
        <v>0</v>
      </c>
      <c r="K734">
        <v>3</v>
      </c>
      <c r="L734" t="s">
        <v>1562</v>
      </c>
      <c r="M734" s="7">
        <v>20</v>
      </c>
      <c r="N734" s="7">
        <v>1</v>
      </c>
      <c r="Q734">
        <v>0</v>
      </c>
      <c r="R734">
        <v>0</v>
      </c>
      <c r="S734" s="7">
        <v>1</v>
      </c>
      <c r="T734">
        <v>0</v>
      </c>
      <c r="V734">
        <v>0</v>
      </c>
      <c r="W734">
        <v>0</v>
      </c>
      <c r="X734" s="6" t="s">
        <v>515</v>
      </c>
      <c r="Y734" t="s">
        <v>544</v>
      </c>
      <c r="Z734" s="7" t="s">
        <v>3057</v>
      </c>
      <c r="AA734" t="s">
        <v>527</v>
      </c>
      <c r="AB734">
        <v>0</v>
      </c>
      <c r="AC734" s="7">
        <v>11</v>
      </c>
      <c r="AD734">
        <v>0</v>
      </c>
      <c r="AE734">
        <v>0</v>
      </c>
      <c r="AF734">
        <v>0</v>
      </c>
      <c r="AI734">
        <v>0</v>
      </c>
      <c r="AJ734">
        <v>0</v>
      </c>
      <c r="AK734" s="7">
        <v>0</v>
      </c>
      <c r="AL734" s="7">
        <v>0</v>
      </c>
      <c r="AM734" s="7">
        <v>0</v>
      </c>
      <c r="AN734" s="7">
        <v>0</v>
      </c>
      <c r="AP734">
        <v>0</v>
      </c>
      <c r="AQ734" s="7">
        <v>1</v>
      </c>
      <c r="AR734" s="7">
        <v>0</v>
      </c>
      <c r="AS734" s="7">
        <v>0</v>
      </c>
      <c r="AT734">
        <v>1</v>
      </c>
      <c r="BD734" s="7"/>
      <c r="BE734" s="7">
        <v>240</v>
      </c>
      <c r="BG734" s="7">
        <v>2</v>
      </c>
      <c r="BL734" s="7">
        <v>0</v>
      </c>
    </row>
    <row r="735" spans="1:64">
      <c r="A735">
        <v>1030006</v>
      </c>
      <c r="B735" t="s">
        <v>503</v>
      </c>
      <c r="C735" t="s">
        <v>540</v>
      </c>
      <c r="D735" t="s">
        <v>550</v>
      </c>
      <c r="E735">
        <v>1</v>
      </c>
      <c r="F735" t="s">
        <v>959</v>
      </c>
      <c r="G735">
        <v>0</v>
      </c>
      <c r="H735">
        <v>0</v>
      </c>
      <c r="I735">
        <v>99999</v>
      </c>
      <c r="J735">
        <v>0</v>
      </c>
      <c r="K735">
        <v>3</v>
      </c>
      <c r="L735" t="s">
        <v>1562</v>
      </c>
      <c r="M735" s="7">
        <v>20</v>
      </c>
      <c r="N735" s="7">
        <v>1</v>
      </c>
      <c r="Q735">
        <v>0</v>
      </c>
      <c r="R735">
        <v>0</v>
      </c>
      <c r="S735" s="7">
        <v>1</v>
      </c>
      <c r="T735">
        <v>0</v>
      </c>
      <c r="V735">
        <v>0</v>
      </c>
      <c r="W735">
        <v>0</v>
      </c>
      <c r="X735" s="6" t="s">
        <v>516</v>
      </c>
      <c r="Y735" t="s">
        <v>544</v>
      </c>
      <c r="Z735" s="7" t="s">
        <v>3059</v>
      </c>
      <c r="AA735" t="s">
        <v>527</v>
      </c>
      <c r="AB735">
        <v>0</v>
      </c>
      <c r="AC735" s="7">
        <v>11</v>
      </c>
      <c r="AD735">
        <v>0</v>
      </c>
      <c r="AE735">
        <v>0</v>
      </c>
      <c r="AF735">
        <v>0</v>
      </c>
      <c r="AI735">
        <v>0</v>
      </c>
      <c r="AJ735">
        <v>0</v>
      </c>
      <c r="AK735" s="7">
        <v>0</v>
      </c>
      <c r="AL735" s="7">
        <v>0</v>
      </c>
      <c r="AM735" s="7">
        <v>0</v>
      </c>
      <c r="AN735" s="7">
        <v>0</v>
      </c>
      <c r="AP735">
        <v>0</v>
      </c>
      <c r="AQ735" s="7">
        <v>1</v>
      </c>
      <c r="AR735" s="7">
        <v>0</v>
      </c>
      <c r="AS735" s="7">
        <v>0</v>
      </c>
      <c r="AT735">
        <v>1</v>
      </c>
      <c r="BD735" s="7"/>
      <c r="BE735" s="7">
        <v>240</v>
      </c>
      <c r="BG735" s="7">
        <v>2</v>
      </c>
      <c r="BL735" s="7">
        <v>0</v>
      </c>
    </row>
    <row r="736" spans="1:64">
      <c r="A736">
        <v>1030007</v>
      </c>
      <c r="B736" t="s">
        <v>504</v>
      </c>
      <c r="C736" t="s">
        <v>540</v>
      </c>
      <c r="D736" t="s">
        <v>550</v>
      </c>
      <c r="E736">
        <v>1</v>
      </c>
      <c r="F736" t="s">
        <v>959</v>
      </c>
      <c r="G736">
        <v>0</v>
      </c>
      <c r="H736">
        <v>0</v>
      </c>
      <c r="I736">
        <v>99999</v>
      </c>
      <c r="J736">
        <v>0</v>
      </c>
      <c r="K736">
        <v>3</v>
      </c>
      <c r="L736" t="s">
        <v>1562</v>
      </c>
      <c r="M736" s="7">
        <v>20</v>
      </c>
      <c r="N736" s="7">
        <v>1</v>
      </c>
      <c r="Q736">
        <v>0</v>
      </c>
      <c r="R736">
        <v>0</v>
      </c>
      <c r="S736" s="7">
        <v>1</v>
      </c>
      <c r="T736">
        <v>0</v>
      </c>
      <c r="V736">
        <v>0</v>
      </c>
      <c r="W736">
        <v>0</v>
      </c>
      <c r="X736" s="6" t="s">
        <v>517</v>
      </c>
      <c r="Y736" t="s">
        <v>544</v>
      </c>
      <c r="Z736" s="7" t="s">
        <v>3058</v>
      </c>
      <c r="AA736" t="s">
        <v>527</v>
      </c>
      <c r="AB736">
        <v>0</v>
      </c>
      <c r="AC736" s="7">
        <v>11</v>
      </c>
      <c r="AD736">
        <v>0</v>
      </c>
      <c r="AE736">
        <v>0</v>
      </c>
      <c r="AF736">
        <v>0</v>
      </c>
      <c r="AI736">
        <v>0</v>
      </c>
      <c r="AJ736">
        <v>0</v>
      </c>
      <c r="AK736" s="7">
        <v>0</v>
      </c>
      <c r="AL736" s="7">
        <v>0</v>
      </c>
      <c r="AM736" s="7">
        <v>0</v>
      </c>
      <c r="AN736" s="7">
        <v>0</v>
      </c>
      <c r="AP736">
        <v>0</v>
      </c>
      <c r="AQ736" s="7">
        <v>1</v>
      </c>
      <c r="AR736" s="7">
        <v>0</v>
      </c>
      <c r="AS736" s="7">
        <v>0</v>
      </c>
      <c r="AT736">
        <v>1</v>
      </c>
      <c r="BD736" s="7"/>
      <c r="BE736" s="7">
        <v>240</v>
      </c>
      <c r="BG736" s="7">
        <v>2</v>
      </c>
      <c r="BL736" s="7">
        <v>0</v>
      </c>
    </row>
    <row r="737" spans="1:64">
      <c r="A737">
        <v>1030008</v>
      </c>
      <c r="B737" t="s">
        <v>505</v>
      </c>
      <c r="C737" t="s">
        <v>540</v>
      </c>
      <c r="D737" t="s">
        <v>550</v>
      </c>
      <c r="E737">
        <v>1</v>
      </c>
      <c r="F737" t="s">
        <v>959</v>
      </c>
      <c r="G737">
        <v>0</v>
      </c>
      <c r="H737">
        <v>0</v>
      </c>
      <c r="I737">
        <v>99999</v>
      </c>
      <c r="J737">
        <v>0</v>
      </c>
      <c r="K737">
        <v>3</v>
      </c>
      <c r="L737" t="s">
        <v>1562</v>
      </c>
      <c r="M737" s="7">
        <v>20</v>
      </c>
      <c r="N737" s="7">
        <v>1</v>
      </c>
      <c r="Q737">
        <v>0</v>
      </c>
      <c r="R737">
        <v>0</v>
      </c>
      <c r="S737" s="7">
        <v>1</v>
      </c>
      <c r="T737">
        <v>0</v>
      </c>
      <c r="V737">
        <v>0</v>
      </c>
      <c r="W737">
        <v>0</v>
      </c>
      <c r="X737" s="6" t="s">
        <v>518</v>
      </c>
      <c r="Y737" t="s">
        <v>544</v>
      </c>
      <c r="Z737" s="7" t="s">
        <v>3060</v>
      </c>
      <c r="AA737" t="s">
        <v>527</v>
      </c>
      <c r="AB737">
        <v>0</v>
      </c>
      <c r="AC737" s="7">
        <v>11</v>
      </c>
      <c r="AD737">
        <v>0</v>
      </c>
      <c r="AE737">
        <v>0</v>
      </c>
      <c r="AF737">
        <v>0</v>
      </c>
      <c r="AI737">
        <v>0</v>
      </c>
      <c r="AJ737">
        <v>0</v>
      </c>
      <c r="AK737" s="7">
        <v>0</v>
      </c>
      <c r="AL737" s="7">
        <v>0</v>
      </c>
      <c r="AM737" s="7">
        <v>0</v>
      </c>
      <c r="AN737" s="7">
        <v>0</v>
      </c>
      <c r="AP737">
        <v>0</v>
      </c>
      <c r="AQ737" s="7">
        <v>1</v>
      </c>
      <c r="AR737" s="7">
        <v>0</v>
      </c>
      <c r="AS737" s="7">
        <v>0</v>
      </c>
      <c r="AT737">
        <v>1</v>
      </c>
      <c r="BD737" s="7"/>
      <c r="BE737" s="7">
        <v>240</v>
      </c>
      <c r="BG737" s="7">
        <v>2</v>
      </c>
      <c r="BL737" s="7">
        <v>0</v>
      </c>
    </row>
    <row r="738" spans="1:64">
      <c r="A738">
        <v>1030009</v>
      </c>
      <c r="B738" t="s">
        <v>506</v>
      </c>
      <c r="C738" t="s">
        <v>540</v>
      </c>
      <c r="D738" t="s">
        <v>550</v>
      </c>
      <c r="E738">
        <v>1</v>
      </c>
      <c r="F738" t="s">
        <v>959</v>
      </c>
      <c r="G738">
        <v>0</v>
      </c>
      <c r="H738">
        <v>0</v>
      </c>
      <c r="I738">
        <v>99999</v>
      </c>
      <c r="J738">
        <v>0</v>
      </c>
      <c r="K738">
        <v>3</v>
      </c>
      <c r="L738" t="s">
        <v>1562</v>
      </c>
      <c r="M738" s="7">
        <v>20</v>
      </c>
      <c r="N738" s="7">
        <v>1</v>
      </c>
      <c r="Q738">
        <v>0</v>
      </c>
      <c r="R738">
        <v>0</v>
      </c>
      <c r="S738" s="7">
        <v>1</v>
      </c>
      <c r="T738">
        <v>0</v>
      </c>
      <c r="V738">
        <v>0</v>
      </c>
      <c r="W738">
        <v>0</v>
      </c>
      <c r="X738" s="6" t="s">
        <v>519</v>
      </c>
      <c r="Y738" t="s">
        <v>544</v>
      </c>
      <c r="Z738" s="7" t="s">
        <v>3061</v>
      </c>
      <c r="AA738" t="s">
        <v>527</v>
      </c>
      <c r="AB738">
        <v>0</v>
      </c>
      <c r="AC738" s="7">
        <v>11</v>
      </c>
      <c r="AD738">
        <v>0</v>
      </c>
      <c r="AE738">
        <v>0</v>
      </c>
      <c r="AF738">
        <v>0</v>
      </c>
      <c r="AI738">
        <v>0</v>
      </c>
      <c r="AJ738">
        <v>0</v>
      </c>
      <c r="AK738" s="7">
        <v>0</v>
      </c>
      <c r="AL738" s="7">
        <v>0</v>
      </c>
      <c r="AM738" s="7">
        <v>0</v>
      </c>
      <c r="AN738" s="7">
        <v>0</v>
      </c>
      <c r="AP738">
        <v>0</v>
      </c>
      <c r="AQ738" s="7">
        <v>1</v>
      </c>
      <c r="AR738" s="7">
        <v>0</v>
      </c>
      <c r="AS738" s="7">
        <v>0</v>
      </c>
      <c r="AT738">
        <v>1</v>
      </c>
      <c r="BD738" s="7"/>
      <c r="BE738" s="7">
        <v>240</v>
      </c>
      <c r="BG738" s="7">
        <v>2</v>
      </c>
      <c r="BL738" s="7">
        <v>0</v>
      </c>
    </row>
    <row r="739" spans="1:64">
      <c r="A739">
        <v>1030010</v>
      </c>
      <c r="B739" t="s">
        <v>507</v>
      </c>
      <c r="C739" t="s">
        <v>540</v>
      </c>
      <c r="D739" t="s">
        <v>550</v>
      </c>
      <c r="E739">
        <v>1</v>
      </c>
      <c r="F739" t="s">
        <v>959</v>
      </c>
      <c r="G739">
        <v>0</v>
      </c>
      <c r="H739">
        <v>0</v>
      </c>
      <c r="I739">
        <v>99999</v>
      </c>
      <c r="J739">
        <v>0</v>
      </c>
      <c r="K739">
        <v>3</v>
      </c>
      <c r="L739" t="s">
        <v>1562</v>
      </c>
      <c r="M739" s="7">
        <v>20</v>
      </c>
      <c r="N739" s="7">
        <v>1</v>
      </c>
      <c r="Q739">
        <v>0</v>
      </c>
      <c r="R739">
        <v>0</v>
      </c>
      <c r="S739" s="7">
        <v>1</v>
      </c>
      <c r="T739">
        <v>0</v>
      </c>
      <c r="V739">
        <v>0</v>
      </c>
      <c r="W739">
        <v>0</v>
      </c>
      <c r="X739" s="6" t="s">
        <v>520</v>
      </c>
      <c r="Y739" t="s">
        <v>544</v>
      </c>
      <c r="Z739" s="7" t="s">
        <v>3058</v>
      </c>
      <c r="AA739" t="s">
        <v>527</v>
      </c>
      <c r="AB739">
        <v>0</v>
      </c>
      <c r="AC739" s="7">
        <v>11</v>
      </c>
      <c r="AD739">
        <v>0</v>
      </c>
      <c r="AE739">
        <v>0</v>
      </c>
      <c r="AF739">
        <v>0</v>
      </c>
      <c r="AI739">
        <v>0</v>
      </c>
      <c r="AJ739">
        <v>0</v>
      </c>
      <c r="AK739" s="7">
        <v>0</v>
      </c>
      <c r="AL739" s="7">
        <v>0</v>
      </c>
      <c r="AM739" s="7">
        <v>0</v>
      </c>
      <c r="AN739" s="7">
        <v>0</v>
      </c>
      <c r="AP739">
        <v>0</v>
      </c>
      <c r="AQ739" s="7">
        <v>1</v>
      </c>
      <c r="AR739" s="7">
        <v>0</v>
      </c>
      <c r="AS739" s="7">
        <v>0</v>
      </c>
      <c r="AT739">
        <v>1</v>
      </c>
      <c r="BD739" s="7"/>
      <c r="BE739" s="7">
        <v>240</v>
      </c>
      <c r="BG739" s="7">
        <v>2</v>
      </c>
      <c r="BL739" s="7">
        <v>0</v>
      </c>
    </row>
    <row r="740" spans="1:64">
      <c r="A740">
        <v>1030011</v>
      </c>
      <c r="B740" t="s">
        <v>508</v>
      </c>
      <c r="C740" t="s">
        <v>540</v>
      </c>
      <c r="D740" t="s">
        <v>550</v>
      </c>
      <c r="E740">
        <v>1</v>
      </c>
      <c r="F740" t="s">
        <v>959</v>
      </c>
      <c r="G740">
        <v>0</v>
      </c>
      <c r="H740">
        <v>0</v>
      </c>
      <c r="I740">
        <v>99999</v>
      </c>
      <c r="J740">
        <v>0</v>
      </c>
      <c r="K740">
        <v>3</v>
      </c>
      <c r="L740" t="s">
        <v>1562</v>
      </c>
      <c r="M740" s="7">
        <v>20</v>
      </c>
      <c r="N740" s="7">
        <v>1</v>
      </c>
      <c r="Q740">
        <v>0</v>
      </c>
      <c r="R740">
        <v>0</v>
      </c>
      <c r="S740" s="7">
        <v>1</v>
      </c>
      <c r="T740">
        <v>0</v>
      </c>
      <c r="V740">
        <v>0</v>
      </c>
      <c r="W740">
        <v>0</v>
      </c>
      <c r="X740" s="6" t="s">
        <v>521</v>
      </c>
      <c r="Y740" t="s">
        <v>544</v>
      </c>
      <c r="Z740" s="7" t="s">
        <v>3062</v>
      </c>
      <c r="AA740" t="s">
        <v>527</v>
      </c>
      <c r="AB740">
        <v>0</v>
      </c>
      <c r="AC740" s="7">
        <v>11</v>
      </c>
      <c r="AD740">
        <v>0</v>
      </c>
      <c r="AE740">
        <v>0</v>
      </c>
      <c r="AF740">
        <v>0</v>
      </c>
      <c r="AI740">
        <v>0</v>
      </c>
      <c r="AJ740">
        <v>0</v>
      </c>
      <c r="AK740" s="7">
        <v>0</v>
      </c>
      <c r="AL740" s="7">
        <v>0</v>
      </c>
      <c r="AM740" s="7">
        <v>0</v>
      </c>
      <c r="AN740" s="7">
        <v>0</v>
      </c>
      <c r="AP740">
        <v>0</v>
      </c>
      <c r="AQ740" s="7">
        <v>1</v>
      </c>
      <c r="AR740" s="7">
        <v>0</v>
      </c>
      <c r="AS740" s="7">
        <v>0</v>
      </c>
      <c r="AT740">
        <v>1</v>
      </c>
      <c r="BD740" s="7"/>
      <c r="BE740" s="7">
        <v>240</v>
      </c>
      <c r="BG740" s="7">
        <v>2</v>
      </c>
      <c r="BL740" s="7">
        <v>0</v>
      </c>
    </row>
    <row r="741" spans="1:64">
      <c r="A741">
        <v>1030012</v>
      </c>
      <c r="B741" t="s">
        <v>509</v>
      </c>
      <c r="C741" t="s">
        <v>540</v>
      </c>
      <c r="D741" t="s">
        <v>550</v>
      </c>
      <c r="E741">
        <v>1</v>
      </c>
      <c r="F741" t="s">
        <v>959</v>
      </c>
      <c r="G741">
        <v>0</v>
      </c>
      <c r="H741">
        <v>0</v>
      </c>
      <c r="I741">
        <v>99999</v>
      </c>
      <c r="J741">
        <v>0</v>
      </c>
      <c r="K741">
        <v>3</v>
      </c>
      <c r="L741" t="s">
        <v>1562</v>
      </c>
      <c r="M741" s="7">
        <v>20</v>
      </c>
      <c r="N741" s="7">
        <v>1</v>
      </c>
      <c r="Q741">
        <v>0</v>
      </c>
      <c r="R741">
        <v>0</v>
      </c>
      <c r="S741" s="7">
        <v>1</v>
      </c>
      <c r="T741">
        <v>0</v>
      </c>
      <c r="V741">
        <v>0</v>
      </c>
      <c r="W741">
        <v>0</v>
      </c>
      <c r="X741" s="6" t="s">
        <v>522</v>
      </c>
      <c r="Y741" t="s">
        <v>544</v>
      </c>
      <c r="Z741" s="7" t="s">
        <v>3063</v>
      </c>
      <c r="AA741" t="s">
        <v>527</v>
      </c>
      <c r="AB741">
        <v>0</v>
      </c>
      <c r="AC741" s="7">
        <v>11</v>
      </c>
      <c r="AD741">
        <v>0</v>
      </c>
      <c r="AE741">
        <v>0</v>
      </c>
      <c r="AF741">
        <v>0</v>
      </c>
      <c r="AI741">
        <v>0</v>
      </c>
      <c r="AJ741">
        <v>0</v>
      </c>
      <c r="AK741" s="7">
        <v>0</v>
      </c>
      <c r="AL741" s="7">
        <v>0</v>
      </c>
      <c r="AM741" s="7">
        <v>0</v>
      </c>
      <c r="AN741" s="7">
        <v>0</v>
      </c>
      <c r="AP741">
        <v>0</v>
      </c>
      <c r="AQ741" s="7">
        <v>1</v>
      </c>
      <c r="AR741" s="7">
        <v>0</v>
      </c>
      <c r="AS741" s="7">
        <v>0</v>
      </c>
      <c r="AT741">
        <v>1</v>
      </c>
      <c r="BD741" s="7"/>
      <c r="BE741" s="7">
        <v>240</v>
      </c>
      <c r="BG741" s="7">
        <v>2</v>
      </c>
      <c r="BL741" s="7">
        <v>0</v>
      </c>
    </row>
    <row r="742" spans="1:64">
      <c r="A742">
        <v>1030013</v>
      </c>
      <c r="B742" t="s">
        <v>510</v>
      </c>
      <c r="C742" t="s">
        <v>540</v>
      </c>
      <c r="D742" t="s">
        <v>550</v>
      </c>
      <c r="E742">
        <v>1</v>
      </c>
      <c r="F742" t="s">
        <v>959</v>
      </c>
      <c r="G742">
        <v>0</v>
      </c>
      <c r="H742">
        <v>0</v>
      </c>
      <c r="I742">
        <v>99999</v>
      </c>
      <c r="J742">
        <v>0</v>
      </c>
      <c r="K742">
        <v>3</v>
      </c>
      <c r="L742" t="s">
        <v>1562</v>
      </c>
      <c r="M742" s="7">
        <v>20</v>
      </c>
      <c r="N742" s="7">
        <v>1</v>
      </c>
      <c r="Q742">
        <v>0</v>
      </c>
      <c r="R742">
        <v>0</v>
      </c>
      <c r="S742" s="7">
        <v>1</v>
      </c>
      <c r="T742">
        <v>0</v>
      </c>
      <c r="V742">
        <v>0</v>
      </c>
      <c r="W742">
        <v>0</v>
      </c>
      <c r="X742" s="6" t="s">
        <v>523</v>
      </c>
      <c r="Y742" t="s">
        <v>544</v>
      </c>
      <c r="Z742" s="7" t="s">
        <v>2816</v>
      </c>
      <c r="AA742" t="s">
        <v>527</v>
      </c>
      <c r="AB742">
        <v>0</v>
      </c>
      <c r="AC742" s="7">
        <v>11</v>
      </c>
      <c r="AD742">
        <v>0</v>
      </c>
      <c r="AE742">
        <v>0</v>
      </c>
      <c r="AF742">
        <v>0</v>
      </c>
      <c r="AI742">
        <v>0</v>
      </c>
      <c r="AJ742">
        <v>0</v>
      </c>
      <c r="AK742" s="7">
        <v>0</v>
      </c>
      <c r="AL742" s="7">
        <v>0</v>
      </c>
      <c r="AM742" s="7">
        <v>0</v>
      </c>
      <c r="AN742" s="7">
        <v>0</v>
      </c>
      <c r="AP742">
        <v>0</v>
      </c>
      <c r="AQ742" s="7">
        <v>1</v>
      </c>
      <c r="AR742" s="7">
        <v>0</v>
      </c>
      <c r="AS742" s="7">
        <v>0</v>
      </c>
      <c r="AT742">
        <v>1</v>
      </c>
      <c r="BD742" s="7"/>
      <c r="BE742" s="7">
        <v>240</v>
      </c>
      <c r="BG742" s="7">
        <v>2</v>
      </c>
      <c r="BL742" s="7">
        <v>0</v>
      </c>
    </row>
    <row r="743" spans="1:64">
      <c r="A743">
        <v>1030014</v>
      </c>
      <c r="B743" t="s">
        <v>511</v>
      </c>
      <c r="C743" t="s">
        <v>540</v>
      </c>
      <c r="D743" t="s">
        <v>550</v>
      </c>
      <c r="E743">
        <v>1</v>
      </c>
      <c r="F743" t="s">
        <v>959</v>
      </c>
      <c r="G743">
        <v>0</v>
      </c>
      <c r="H743">
        <v>0</v>
      </c>
      <c r="I743">
        <v>99999</v>
      </c>
      <c r="J743">
        <v>0</v>
      </c>
      <c r="K743">
        <v>3</v>
      </c>
      <c r="L743" t="s">
        <v>1562</v>
      </c>
      <c r="M743" s="7">
        <v>20</v>
      </c>
      <c r="N743" s="7">
        <v>1</v>
      </c>
      <c r="Q743">
        <v>0</v>
      </c>
      <c r="R743">
        <v>0</v>
      </c>
      <c r="S743" s="7">
        <v>1</v>
      </c>
      <c r="T743">
        <v>0</v>
      </c>
      <c r="V743">
        <v>0</v>
      </c>
      <c r="W743">
        <v>0</v>
      </c>
      <c r="X743" s="6" t="s">
        <v>524</v>
      </c>
      <c r="Y743" t="s">
        <v>544</v>
      </c>
      <c r="Z743" s="7" t="s">
        <v>2817</v>
      </c>
      <c r="AA743" t="s">
        <v>527</v>
      </c>
      <c r="AB743">
        <v>0</v>
      </c>
      <c r="AC743" s="7">
        <v>11</v>
      </c>
      <c r="AD743">
        <v>0</v>
      </c>
      <c r="AE743">
        <v>0</v>
      </c>
      <c r="AF743">
        <v>0</v>
      </c>
      <c r="AI743">
        <v>0</v>
      </c>
      <c r="AJ743">
        <v>0</v>
      </c>
      <c r="AK743" s="7">
        <v>0</v>
      </c>
      <c r="AL743" s="7">
        <v>0</v>
      </c>
      <c r="AM743" s="7">
        <v>0</v>
      </c>
      <c r="AN743" s="7">
        <v>0</v>
      </c>
      <c r="AP743">
        <v>0</v>
      </c>
      <c r="AQ743" s="7">
        <v>1</v>
      </c>
      <c r="AR743" s="7">
        <v>0</v>
      </c>
      <c r="AS743" s="7">
        <v>0</v>
      </c>
      <c r="AT743">
        <v>1</v>
      </c>
      <c r="BD743" s="7"/>
      <c r="BE743" s="7">
        <v>240</v>
      </c>
      <c r="BG743" s="7">
        <v>2</v>
      </c>
      <c r="BL743" s="7">
        <v>0</v>
      </c>
    </row>
    <row r="744" spans="1:64" s="7" customFormat="1">
      <c r="A744" s="7">
        <v>1030015</v>
      </c>
      <c r="B744" s="7" t="s">
        <v>1614</v>
      </c>
      <c r="C744" s="7" t="s">
        <v>540</v>
      </c>
      <c r="D744" s="7" t="s">
        <v>550</v>
      </c>
      <c r="E744" s="7">
        <v>1</v>
      </c>
      <c r="F744" s="7" t="s">
        <v>959</v>
      </c>
      <c r="G744" s="7">
        <v>0</v>
      </c>
      <c r="H744" s="7">
        <v>0</v>
      </c>
      <c r="I744" s="7">
        <v>99999</v>
      </c>
      <c r="J744" s="7">
        <v>0</v>
      </c>
      <c r="K744" s="7">
        <v>3</v>
      </c>
      <c r="L744" s="7" t="s">
        <v>1562</v>
      </c>
      <c r="M744" s="7">
        <v>20</v>
      </c>
      <c r="N744" s="7">
        <v>1</v>
      </c>
      <c r="Q744" s="7">
        <v>0</v>
      </c>
      <c r="R744" s="7">
        <v>0</v>
      </c>
      <c r="S744" s="7">
        <v>1</v>
      </c>
      <c r="T744" s="7">
        <v>0</v>
      </c>
      <c r="V744" s="7">
        <v>0</v>
      </c>
      <c r="W744" s="7">
        <v>0</v>
      </c>
      <c r="X744" s="6" t="s">
        <v>1621</v>
      </c>
      <c r="Y744" s="7" t="s">
        <v>544</v>
      </c>
      <c r="Z744" s="7" t="s">
        <v>2818</v>
      </c>
      <c r="AA744" s="7" t="s">
        <v>527</v>
      </c>
      <c r="AB744" s="7">
        <v>0</v>
      </c>
      <c r="AC744" s="7">
        <v>11</v>
      </c>
      <c r="AD744" s="7">
        <v>0</v>
      </c>
      <c r="AE744" s="7">
        <v>0</v>
      </c>
      <c r="AF744" s="7">
        <v>0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P744" s="7">
        <v>0</v>
      </c>
      <c r="AQ744" s="7">
        <v>1</v>
      </c>
      <c r="AR744" s="7">
        <v>0</v>
      </c>
      <c r="AS744" s="7">
        <v>0</v>
      </c>
      <c r="AT744" s="7">
        <v>1</v>
      </c>
      <c r="BE744" s="7">
        <v>240</v>
      </c>
      <c r="BG744" s="7">
        <v>2</v>
      </c>
      <c r="BL744" s="7">
        <v>0</v>
      </c>
    </row>
    <row r="745" spans="1:64" s="7" customFormat="1">
      <c r="A745" s="7">
        <v>1030016</v>
      </c>
      <c r="B745" s="7" t="s">
        <v>1615</v>
      </c>
      <c r="C745" s="7" t="s">
        <v>540</v>
      </c>
      <c r="D745" s="7" t="s">
        <v>550</v>
      </c>
      <c r="E745" s="7">
        <v>1</v>
      </c>
      <c r="F745" s="7" t="s">
        <v>959</v>
      </c>
      <c r="G745" s="7">
        <v>0</v>
      </c>
      <c r="H745" s="7">
        <v>0</v>
      </c>
      <c r="I745" s="7">
        <v>99999</v>
      </c>
      <c r="J745" s="7">
        <v>0</v>
      </c>
      <c r="K745" s="7">
        <v>3</v>
      </c>
      <c r="L745" s="7" t="s">
        <v>1562</v>
      </c>
      <c r="M745" s="7">
        <v>20</v>
      </c>
      <c r="N745" s="7">
        <v>1</v>
      </c>
      <c r="Q745" s="7">
        <v>0</v>
      </c>
      <c r="R745" s="7">
        <v>0</v>
      </c>
      <c r="S745" s="7">
        <v>1</v>
      </c>
      <c r="T745" s="7">
        <v>0</v>
      </c>
      <c r="V745" s="7">
        <v>0</v>
      </c>
      <c r="W745" s="7">
        <v>0</v>
      </c>
      <c r="X745" s="6" t="s">
        <v>1622</v>
      </c>
      <c r="Y745" s="7" t="s">
        <v>544</v>
      </c>
      <c r="Z745" s="7" t="s">
        <v>2819</v>
      </c>
      <c r="AA745" s="7" t="s">
        <v>527</v>
      </c>
      <c r="AB745" s="7">
        <v>0</v>
      </c>
      <c r="AC745" s="7">
        <v>11</v>
      </c>
      <c r="AD745" s="7">
        <v>0</v>
      </c>
      <c r="AE745" s="7">
        <v>0</v>
      </c>
      <c r="AF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P745" s="7">
        <v>0</v>
      </c>
      <c r="AQ745" s="7">
        <v>1</v>
      </c>
      <c r="AR745" s="7">
        <v>0</v>
      </c>
      <c r="AS745" s="7">
        <v>0</v>
      </c>
      <c r="AT745" s="7">
        <v>1</v>
      </c>
      <c r="BE745" s="7">
        <v>240</v>
      </c>
      <c r="BG745" s="7">
        <v>2</v>
      </c>
      <c r="BL745" s="7">
        <v>0</v>
      </c>
    </row>
    <row r="746" spans="1:64" s="7" customFormat="1">
      <c r="A746" s="7">
        <v>1030017</v>
      </c>
      <c r="B746" s="7" t="s">
        <v>1616</v>
      </c>
      <c r="C746" s="7" t="s">
        <v>540</v>
      </c>
      <c r="D746" s="7" t="s">
        <v>550</v>
      </c>
      <c r="E746" s="7">
        <v>1</v>
      </c>
      <c r="F746" s="7" t="s">
        <v>959</v>
      </c>
      <c r="G746" s="7">
        <v>0</v>
      </c>
      <c r="H746" s="7">
        <v>0</v>
      </c>
      <c r="I746" s="7">
        <v>99999</v>
      </c>
      <c r="J746" s="7">
        <v>0</v>
      </c>
      <c r="K746" s="7">
        <v>3</v>
      </c>
      <c r="L746" s="7" t="s">
        <v>1562</v>
      </c>
      <c r="M746" s="7">
        <v>20</v>
      </c>
      <c r="N746" s="7">
        <v>1</v>
      </c>
      <c r="Q746" s="7">
        <v>0</v>
      </c>
      <c r="R746" s="7">
        <v>0</v>
      </c>
      <c r="S746" s="7">
        <v>1</v>
      </c>
      <c r="T746" s="7">
        <v>0</v>
      </c>
      <c r="V746" s="7">
        <v>0</v>
      </c>
      <c r="W746" s="7">
        <v>0</v>
      </c>
      <c r="X746" s="6" t="s">
        <v>1623</v>
      </c>
      <c r="Y746" s="7" t="s">
        <v>544</v>
      </c>
      <c r="Z746" s="7" t="s">
        <v>2820</v>
      </c>
      <c r="AA746" s="7" t="s">
        <v>527</v>
      </c>
      <c r="AB746" s="7">
        <v>0</v>
      </c>
      <c r="AC746" s="7">
        <v>11</v>
      </c>
      <c r="AD746" s="7">
        <v>0</v>
      </c>
      <c r="AE746" s="7">
        <v>0</v>
      </c>
      <c r="AF746" s="7">
        <v>0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P746" s="7">
        <v>0</v>
      </c>
      <c r="AQ746" s="7">
        <v>1</v>
      </c>
      <c r="AR746" s="7">
        <v>0</v>
      </c>
      <c r="AS746" s="7">
        <v>0</v>
      </c>
      <c r="AT746" s="7">
        <v>1</v>
      </c>
      <c r="BE746" s="7">
        <v>240</v>
      </c>
      <c r="BG746" s="7">
        <v>2</v>
      </c>
      <c r="BL746" s="7">
        <v>0</v>
      </c>
    </row>
    <row r="747" spans="1:64" s="7" customFormat="1">
      <c r="A747" s="7">
        <v>1030018</v>
      </c>
      <c r="B747" s="7" t="s">
        <v>1617</v>
      </c>
      <c r="C747" s="7" t="s">
        <v>540</v>
      </c>
      <c r="D747" s="7" t="s">
        <v>550</v>
      </c>
      <c r="E747" s="7">
        <v>1</v>
      </c>
      <c r="F747" s="7" t="s">
        <v>959</v>
      </c>
      <c r="G747" s="7">
        <v>0</v>
      </c>
      <c r="H747" s="7">
        <v>0</v>
      </c>
      <c r="I747" s="7">
        <v>99999</v>
      </c>
      <c r="J747" s="7">
        <v>0</v>
      </c>
      <c r="K747" s="7">
        <v>3</v>
      </c>
      <c r="L747" s="7" t="s">
        <v>1562</v>
      </c>
      <c r="M747" s="7">
        <v>20</v>
      </c>
      <c r="N747" s="7">
        <v>1</v>
      </c>
      <c r="Q747" s="7">
        <v>0</v>
      </c>
      <c r="R747" s="7">
        <v>0</v>
      </c>
      <c r="S747" s="7">
        <v>1</v>
      </c>
      <c r="T747" s="7">
        <v>0</v>
      </c>
      <c r="V747" s="7">
        <v>0</v>
      </c>
      <c r="W747" s="7">
        <v>0</v>
      </c>
      <c r="X747" s="6" t="s">
        <v>1624</v>
      </c>
      <c r="Y747" s="7" t="s">
        <v>544</v>
      </c>
      <c r="Z747" s="7" t="s">
        <v>2821</v>
      </c>
      <c r="AA747" s="7" t="s">
        <v>527</v>
      </c>
      <c r="AB747" s="7">
        <v>0</v>
      </c>
      <c r="AC747" s="7">
        <v>11</v>
      </c>
      <c r="AD747" s="7">
        <v>0</v>
      </c>
      <c r="AE747" s="7">
        <v>0</v>
      </c>
      <c r="AF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P747" s="7">
        <v>0</v>
      </c>
      <c r="AQ747" s="7">
        <v>1</v>
      </c>
      <c r="AR747" s="7">
        <v>0</v>
      </c>
      <c r="AS747" s="7">
        <v>0</v>
      </c>
      <c r="AT747" s="7">
        <v>1</v>
      </c>
      <c r="BE747" s="7">
        <v>240</v>
      </c>
      <c r="BG747" s="7">
        <v>2</v>
      </c>
      <c r="BL747" s="7">
        <v>0</v>
      </c>
    </row>
    <row r="748" spans="1:64" s="7" customFormat="1">
      <c r="A748" s="7">
        <v>1030019</v>
      </c>
      <c r="B748" s="7" t="s">
        <v>1618</v>
      </c>
      <c r="C748" s="7" t="s">
        <v>540</v>
      </c>
      <c r="D748" s="7" t="s">
        <v>550</v>
      </c>
      <c r="E748" s="7">
        <v>1</v>
      </c>
      <c r="F748" s="7" t="s">
        <v>959</v>
      </c>
      <c r="G748" s="7">
        <v>0</v>
      </c>
      <c r="H748" s="7">
        <v>0</v>
      </c>
      <c r="I748" s="7">
        <v>99999</v>
      </c>
      <c r="J748" s="7">
        <v>0</v>
      </c>
      <c r="K748" s="7">
        <v>3</v>
      </c>
      <c r="L748" s="7" t="s">
        <v>1562</v>
      </c>
      <c r="M748" s="7">
        <v>20</v>
      </c>
      <c r="N748" s="7">
        <v>1</v>
      </c>
      <c r="Q748" s="7">
        <v>0</v>
      </c>
      <c r="R748" s="7">
        <v>0</v>
      </c>
      <c r="S748" s="7">
        <v>1</v>
      </c>
      <c r="T748" s="7">
        <v>0</v>
      </c>
      <c r="V748" s="7">
        <v>0</v>
      </c>
      <c r="W748" s="7">
        <v>0</v>
      </c>
      <c r="X748" s="6" t="s">
        <v>1625</v>
      </c>
      <c r="Y748" s="7" t="s">
        <v>544</v>
      </c>
      <c r="Z748" s="7" t="s">
        <v>2822</v>
      </c>
      <c r="AA748" s="7" t="s">
        <v>527</v>
      </c>
      <c r="AB748" s="7">
        <v>0</v>
      </c>
      <c r="AC748" s="7">
        <v>11</v>
      </c>
      <c r="AD748" s="7">
        <v>0</v>
      </c>
      <c r="AE748" s="7">
        <v>0</v>
      </c>
      <c r="AF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P748" s="7">
        <v>0</v>
      </c>
      <c r="AQ748" s="7">
        <v>1</v>
      </c>
      <c r="AR748" s="7">
        <v>0</v>
      </c>
      <c r="AS748" s="7">
        <v>0</v>
      </c>
      <c r="AT748" s="7">
        <v>1</v>
      </c>
      <c r="BE748" s="7">
        <v>240</v>
      </c>
      <c r="BG748" s="7">
        <v>2</v>
      </c>
      <c r="BL748" s="7">
        <v>0</v>
      </c>
    </row>
    <row r="749" spans="1:64" s="7" customFormat="1">
      <c r="A749" s="7">
        <v>1030020</v>
      </c>
      <c r="B749" s="7" t="s">
        <v>1619</v>
      </c>
      <c r="C749" s="7" t="s">
        <v>540</v>
      </c>
      <c r="D749" s="7" t="s">
        <v>550</v>
      </c>
      <c r="E749" s="7">
        <v>1</v>
      </c>
      <c r="F749" s="7" t="s">
        <v>959</v>
      </c>
      <c r="G749" s="7">
        <v>0</v>
      </c>
      <c r="H749" s="7">
        <v>0</v>
      </c>
      <c r="I749" s="7">
        <v>99999</v>
      </c>
      <c r="J749" s="7">
        <v>0</v>
      </c>
      <c r="K749" s="7">
        <v>3</v>
      </c>
      <c r="L749" s="7" t="s">
        <v>1562</v>
      </c>
      <c r="M749" s="7">
        <v>20</v>
      </c>
      <c r="N749" s="7">
        <v>1</v>
      </c>
      <c r="Q749" s="7">
        <v>0</v>
      </c>
      <c r="R749" s="7">
        <v>0</v>
      </c>
      <c r="S749" s="7">
        <v>1</v>
      </c>
      <c r="T749" s="7">
        <v>0</v>
      </c>
      <c r="V749" s="7">
        <v>0</v>
      </c>
      <c r="W749" s="7">
        <v>0</v>
      </c>
      <c r="X749" s="6" t="s">
        <v>1626</v>
      </c>
      <c r="Y749" s="7" t="s">
        <v>544</v>
      </c>
      <c r="Z749" s="7" t="s">
        <v>2823</v>
      </c>
      <c r="AA749" s="7" t="s">
        <v>527</v>
      </c>
      <c r="AB749" s="7">
        <v>0</v>
      </c>
      <c r="AC749" s="7">
        <v>11</v>
      </c>
      <c r="AD749" s="7">
        <v>0</v>
      </c>
      <c r="AE749" s="7">
        <v>0</v>
      </c>
      <c r="AF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P749" s="7">
        <v>0</v>
      </c>
      <c r="AQ749" s="7">
        <v>1</v>
      </c>
      <c r="AR749" s="7">
        <v>0</v>
      </c>
      <c r="AS749" s="7">
        <v>0</v>
      </c>
      <c r="AT749" s="7">
        <v>1</v>
      </c>
      <c r="BE749" s="7">
        <v>240</v>
      </c>
      <c r="BG749" s="7">
        <v>2</v>
      </c>
      <c r="BL749" s="7">
        <v>0</v>
      </c>
    </row>
    <row r="750" spans="1:64" s="7" customFormat="1">
      <c r="A750" s="7">
        <v>1030021</v>
      </c>
      <c r="B750" s="7" t="s">
        <v>1620</v>
      </c>
      <c r="C750" s="7" t="s">
        <v>540</v>
      </c>
      <c r="D750" s="7" t="s">
        <v>550</v>
      </c>
      <c r="E750" s="7">
        <v>1</v>
      </c>
      <c r="F750" s="7" t="s">
        <v>959</v>
      </c>
      <c r="G750" s="7">
        <v>0</v>
      </c>
      <c r="H750" s="7">
        <v>0</v>
      </c>
      <c r="I750" s="7">
        <v>99999</v>
      </c>
      <c r="J750" s="7">
        <v>0</v>
      </c>
      <c r="K750" s="7">
        <v>3</v>
      </c>
      <c r="L750" s="7" t="s">
        <v>1562</v>
      </c>
      <c r="M750" s="7">
        <v>20</v>
      </c>
      <c r="N750" s="7">
        <v>1</v>
      </c>
      <c r="Q750" s="7">
        <v>0</v>
      </c>
      <c r="R750" s="7">
        <v>0</v>
      </c>
      <c r="S750" s="7">
        <v>1</v>
      </c>
      <c r="T750" s="7">
        <v>0</v>
      </c>
      <c r="V750" s="7">
        <v>0</v>
      </c>
      <c r="W750" s="7">
        <v>0</v>
      </c>
      <c r="X750" s="6" t="s">
        <v>1627</v>
      </c>
      <c r="Y750" s="7" t="s">
        <v>544</v>
      </c>
      <c r="Z750" s="7" t="s">
        <v>2824</v>
      </c>
      <c r="AA750" s="7" t="s">
        <v>527</v>
      </c>
      <c r="AB750" s="7">
        <v>0</v>
      </c>
      <c r="AC750" s="7">
        <v>11</v>
      </c>
      <c r="AD750" s="7">
        <v>0</v>
      </c>
      <c r="AE750" s="7">
        <v>0</v>
      </c>
      <c r="AF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P750" s="7">
        <v>0</v>
      </c>
      <c r="AQ750" s="7">
        <v>1</v>
      </c>
      <c r="AR750" s="7">
        <v>0</v>
      </c>
      <c r="AS750" s="7">
        <v>0</v>
      </c>
      <c r="AT750" s="7">
        <v>1</v>
      </c>
      <c r="BE750" s="7">
        <v>240</v>
      </c>
      <c r="BG750" s="7">
        <v>2</v>
      </c>
      <c r="BL750" s="7">
        <v>0</v>
      </c>
    </row>
    <row r="751" spans="1:64" s="7" customFormat="1">
      <c r="A751" s="7">
        <v>1030022</v>
      </c>
      <c r="B751" s="7" t="s">
        <v>2357</v>
      </c>
      <c r="C751" s="7" t="s">
        <v>540</v>
      </c>
      <c r="D751" s="7" t="s">
        <v>550</v>
      </c>
      <c r="E751" s="7">
        <v>1</v>
      </c>
      <c r="F751" s="7" t="s">
        <v>959</v>
      </c>
      <c r="G751" s="7">
        <v>0</v>
      </c>
      <c r="H751" s="7">
        <v>0</v>
      </c>
      <c r="I751" s="7">
        <v>99999</v>
      </c>
      <c r="J751" s="7">
        <v>0</v>
      </c>
      <c r="K751" s="7">
        <v>3</v>
      </c>
      <c r="L751" s="7" t="s">
        <v>1562</v>
      </c>
      <c r="M751" s="7">
        <v>20</v>
      </c>
      <c r="N751" s="7">
        <v>1</v>
      </c>
      <c r="Q751" s="7">
        <v>0</v>
      </c>
      <c r="R751" s="7">
        <v>0</v>
      </c>
      <c r="S751" s="7">
        <v>1</v>
      </c>
      <c r="T751" s="7">
        <v>0</v>
      </c>
      <c r="V751" s="7">
        <v>0</v>
      </c>
      <c r="W751" s="7">
        <v>0</v>
      </c>
      <c r="X751" s="6" t="s">
        <v>2386</v>
      </c>
      <c r="Y751" s="7" t="s">
        <v>544</v>
      </c>
      <c r="Z751" s="7" t="s">
        <v>2825</v>
      </c>
      <c r="AA751" s="7" t="s">
        <v>527</v>
      </c>
      <c r="AB751" s="7">
        <v>0</v>
      </c>
      <c r="AC751" s="7">
        <v>11</v>
      </c>
      <c r="AD751" s="7">
        <v>0</v>
      </c>
      <c r="AE751" s="7">
        <v>0</v>
      </c>
      <c r="AF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P751" s="7">
        <v>0</v>
      </c>
      <c r="AQ751" s="7">
        <v>1</v>
      </c>
      <c r="AR751" s="7">
        <v>0</v>
      </c>
      <c r="AS751" s="7">
        <v>0</v>
      </c>
      <c r="AT751" s="7">
        <v>1</v>
      </c>
      <c r="BE751" s="7">
        <v>240</v>
      </c>
      <c r="BG751" s="7">
        <v>2</v>
      </c>
      <c r="BL751" s="7">
        <v>0</v>
      </c>
    </row>
    <row r="752" spans="1:64" s="7" customFormat="1">
      <c r="A752" s="7">
        <v>1030023</v>
      </c>
      <c r="B752" s="7" t="s">
        <v>2358</v>
      </c>
      <c r="C752" s="7" t="s">
        <v>540</v>
      </c>
      <c r="D752" s="7" t="s">
        <v>550</v>
      </c>
      <c r="E752" s="7">
        <v>1</v>
      </c>
      <c r="F752" s="7" t="s">
        <v>959</v>
      </c>
      <c r="G752" s="7">
        <v>0</v>
      </c>
      <c r="H752" s="7">
        <v>0</v>
      </c>
      <c r="I752" s="7">
        <v>99999</v>
      </c>
      <c r="J752" s="7">
        <v>0</v>
      </c>
      <c r="K752" s="7">
        <v>3</v>
      </c>
      <c r="L752" s="7" t="s">
        <v>1562</v>
      </c>
      <c r="M752" s="7">
        <v>20</v>
      </c>
      <c r="N752" s="7">
        <v>1</v>
      </c>
      <c r="Q752" s="7">
        <v>0</v>
      </c>
      <c r="R752" s="7">
        <v>0</v>
      </c>
      <c r="S752" s="7">
        <v>1</v>
      </c>
      <c r="T752" s="7">
        <v>0</v>
      </c>
      <c r="V752" s="7">
        <v>0</v>
      </c>
      <c r="W752" s="7">
        <v>0</v>
      </c>
      <c r="X752" s="6" t="s">
        <v>2387</v>
      </c>
      <c r="Y752" s="7" t="s">
        <v>544</v>
      </c>
      <c r="Z752" s="7" t="s">
        <v>2826</v>
      </c>
      <c r="AA752" s="7" t="s">
        <v>527</v>
      </c>
      <c r="AB752" s="7">
        <v>0</v>
      </c>
      <c r="AC752" s="7">
        <v>11</v>
      </c>
      <c r="AD752" s="7">
        <v>0</v>
      </c>
      <c r="AE752" s="7">
        <v>0</v>
      </c>
      <c r="AF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P752" s="7">
        <v>0</v>
      </c>
      <c r="AQ752" s="7">
        <v>1</v>
      </c>
      <c r="AR752" s="7">
        <v>0</v>
      </c>
      <c r="AS752" s="7">
        <v>0</v>
      </c>
      <c r="AT752" s="7">
        <v>1</v>
      </c>
      <c r="BE752" s="7">
        <v>240</v>
      </c>
      <c r="BG752" s="7">
        <v>2</v>
      </c>
      <c r="BL752" s="7">
        <v>0</v>
      </c>
    </row>
    <row r="753" spans="1:64" s="7" customFormat="1">
      <c r="A753" s="7">
        <v>1030024</v>
      </c>
      <c r="B753" s="7" t="s">
        <v>2359</v>
      </c>
      <c r="C753" s="7" t="s">
        <v>540</v>
      </c>
      <c r="D753" s="7" t="s">
        <v>550</v>
      </c>
      <c r="E753" s="7">
        <v>1</v>
      </c>
      <c r="F753" s="7" t="s">
        <v>959</v>
      </c>
      <c r="G753" s="7">
        <v>0</v>
      </c>
      <c r="H753" s="7">
        <v>0</v>
      </c>
      <c r="I753" s="7">
        <v>99999</v>
      </c>
      <c r="J753" s="7">
        <v>0</v>
      </c>
      <c r="K753" s="7">
        <v>3</v>
      </c>
      <c r="L753" s="7" t="s">
        <v>1562</v>
      </c>
      <c r="M753" s="7">
        <v>20</v>
      </c>
      <c r="N753" s="7">
        <v>1</v>
      </c>
      <c r="Q753" s="7">
        <v>0</v>
      </c>
      <c r="R753" s="7">
        <v>0</v>
      </c>
      <c r="S753" s="7">
        <v>1</v>
      </c>
      <c r="T753" s="7">
        <v>0</v>
      </c>
      <c r="V753" s="7">
        <v>0</v>
      </c>
      <c r="W753" s="7">
        <v>0</v>
      </c>
      <c r="X753" s="6" t="s">
        <v>2388</v>
      </c>
      <c r="Y753" s="7" t="s">
        <v>544</v>
      </c>
      <c r="Z753" s="7" t="s">
        <v>2827</v>
      </c>
      <c r="AA753" s="7" t="s">
        <v>527</v>
      </c>
      <c r="AB753" s="7">
        <v>0</v>
      </c>
      <c r="AC753" s="7">
        <v>11</v>
      </c>
      <c r="AD753" s="7">
        <v>0</v>
      </c>
      <c r="AE753" s="7">
        <v>0</v>
      </c>
      <c r="AF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P753" s="7">
        <v>0</v>
      </c>
      <c r="AQ753" s="7">
        <v>1</v>
      </c>
      <c r="AR753" s="7">
        <v>0</v>
      </c>
      <c r="AS753" s="7">
        <v>0</v>
      </c>
      <c r="AT753" s="7">
        <v>1</v>
      </c>
      <c r="BE753" s="7">
        <v>240</v>
      </c>
      <c r="BG753" s="7">
        <v>2</v>
      </c>
      <c r="BL753" s="7">
        <v>0</v>
      </c>
    </row>
    <row r="754" spans="1:64" s="7" customFormat="1">
      <c r="A754" s="7">
        <v>1030025</v>
      </c>
      <c r="B754" s="7" t="s">
        <v>2360</v>
      </c>
      <c r="C754" s="7" t="s">
        <v>540</v>
      </c>
      <c r="D754" s="7" t="s">
        <v>550</v>
      </c>
      <c r="E754" s="7">
        <v>1</v>
      </c>
      <c r="F754" s="7" t="s">
        <v>959</v>
      </c>
      <c r="G754" s="7">
        <v>0</v>
      </c>
      <c r="H754" s="7">
        <v>0</v>
      </c>
      <c r="I754" s="7">
        <v>99999</v>
      </c>
      <c r="J754" s="7">
        <v>0</v>
      </c>
      <c r="K754" s="7">
        <v>3</v>
      </c>
      <c r="L754" s="7" t="s">
        <v>1562</v>
      </c>
      <c r="M754" s="7">
        <v>20</v>
      </c>
      <c r="N754" s="7">
        <v>1</v>
      </c>
      <c r="Q754" s="7">
        <v>0</v>
      </c>
      <c r="R754" s="7">
        <v>0</v>
      </c>
      <c r="S754" s="7">
        <v>1</v>
      </c>
      <c r="T754" s="7">
        <v>0</v>
      </c>
      <c r="V754" s="7">
        <v>0</v>
      </c>
      <c r="W754" s="7">
        <v>0</v>
      </c>
      <c r="X754" s="6" t="s">
        <v>2389</v>
      </c>
      <c r="Y754" s="7" t="s">
        <v>544</v>
      </c>
      <c r="Z754" s="7" t="s">
        <v>2828</v>
      </c>
      <c r="AA754" s="7" t="s">
        <v>527</v>
      </c>
      <c r="AB754" s="7">
        <v>0</v>
      </c>
      <c r="AC754" s="7">
        <v>11</v>
      </c>
      <c r="AD754" s="7">
        <v>0</v>
      </c>
      <c r="AE754" s="7">
        <v>0</v>
      </c>
      <c r="AF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P754" s="7">
        <v>0</v>
      </c>
      <c r="AQ754" s="7">
        <v>1</v>
      </c>
      <c r="AR754" s="7">
        <v>0</v>
      </c>
      <c r="AS754" s="7">
        <v>0</v>
      </c>
      <c r="AT754" s="7">
        <v>1</v>
      </c>
      <c r="BE754" s="7">
        <v>240</v>
      </c>
      <c r="BG754" s="7">
        <v>2</v>
      </c>
      <c r="BL754" s="7">
        <v>0</v>
      </c>
    </row>
    <row r="755" spans="1:64" s="7" customFormat="1">
      <c r="A755" s="7">
        <v>1030026</v>
      </c>
      <c r="B755" s="7" t="s">
        <v>2361</v>
      </c>
      <c r="C755" s="7" t="s">
        <v>540</v>
      </c>
      <c r="D755" s="7" t="s">
        <v>550</v>
      </c>
      <c r="E755" s="7">
        <v>1</v>
      </c>
      <c r="F755" s="7" t="s">
        <v>959</v>
      </c>
      <c r="G755" s="7">
        <v>0</v>
      </c>
      <c r="H755" s="7">
        <v>0</v>
      </c>
      <c r="I755" s="7">
        <v>99999</v>
      </c>
      <c r="J755" s="7">
        <v>0</v>
      </c>
      <c r="K755" s="7">
        <v>3</v>
      </c>
      <c r="L755" s="7" t="s">
        <v>1562</v>
      </c>
      <c r="M755" s="7">
        <v>20</v>
      </c>
      <c r="N755" s="7">
        <v>1</v>
      </c>
      <c r="Q755" s="7">
        <v>0</v>
      </c>
      <c r="R755" s="7">
        <v>0</v>
      </c>
      <c r="S755" s="7">
        <v>1</v>
      </c>
      <c r="T755" s="7">
        <v>0</v>
      </c>
      <c r="V755" s="7">
        <v>0</v>
      </c>
      <c r="W755" s="7">
        <v>0</v>
      </c>
      <c r="X755" s="6" t="s">
        <v>2390</v>
      </c>
      <c r="Y755" s="7" t="s">
        <v>544</v>
      </c>
      <c r="Z755" s="7" t="s">
        <v>2829</v>
      </c>
      <c r="AA755" s="7" t="s">
        <v>527</v>
      </c>
      <c r="AB755" s="7">
        <v>0</v>
      </c>
      <c r="AC755" s="7">
        <v>11</v>
      </c>
      <c r="AD755" s="7">
        <v>0</v>
      </c>
      <c r="AE755" s="7">
        <v>0</v>
      </c>
      <c r="AF755" s="7">
        <v>0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P755" s="7">
        <v>0</v>
      </c>
      <c r="AQ755" s="7">
        <v>1</v>
      </c>
      <c r="AR755" s="7">
        <v>0</v>
      </c>
      <c r="AS755" s="7">
        <v>0</v>
      </c>
      <c r="AT755" s="7">
        <v>1</v>
      </c>
      <c r="BE755" s="7">
        <v>240</v>
      </c>
      <c r="BG755" s="7">
        <v>2</v>
      </c>
      <c r="BL755" s="7">
        <v>0</v>
      </c>
    </row>
    <row r="756" spans="1:64" s="7" customFormat="1">
      <c r="A756" s="7">
        <v>1030027</v>
      </c>
      <c r="B756" s="7" t="s">
        <v>2362</v>
      </c>
      <c r="C756" s="7" t="s">
        <v>540</v>
      </c>
      <c r="D756" s="7" t="s">
        <v>550</v>
      </c>
      <c r="E756" s="7">
        <v>1</v>
      </c>
      <c r="F756" s="7" t="s">
        <v>959</v>
      </c>
      <c r="G756" s="7">
        <v>0</v>
      </c>
      <c r="H756" s="7">
        <v>0</v>
      </c>
      <c r="I756" s="7">
        <v>99999</v>
      </c>
      <c r="J756" s="7">
        <v>0</v>
      </c>
      <c r="K756" s="7">
        <v>3</v>
      </c>
      <c r="L756" s="7" t="s">
        <v>1562</v>
      </c>
      <c r="M756" s="7">
        <v>20</v>
      </c>
      <c r="N756" s="7">
        <v>1</v>
      </c>
      <c r="Q756" s="7">
        <v>0</v>
      </c>
      <c r="R756" s="7">
        <v>0</v>
      </c>
      <c r="S756" s="7">
        <v>1</v>
      </c>
      <c r="T756" s="7">
        <v>0</v>
      </c>
      <c r="V756" s="7">
        <v>0</v>
      </c>
      <c r="W756" s="7">
        <v>0</v>
      </c>
      <c r="X756" s="6" t="s">
        <v>2391</v>
      </c>
      <c r="Y756" s="7" t="s">
        <v>544</v>
      </c>
      <c r="Z756" s="7" t="s">
        <v>2830</v>
      </c>
      <c r="AA756" s="7" t="s">
        <v>527</v>
      </c>
      <c r="AB756" s="7">
        <v>0</v>
      </c>
      <c r="AC756" s="7">
        <v>11</v>
      </c>
      <c r="AD756" s="7">
        <v>0</v>
      </c>
      <c r="AE756" s="7">
        <v>0</v>
      </c>
      <c r="AF756" s="7">
        <v>0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P756" s="7">
        <v>0</v>
      </c>
      <c r="AQ756" s="7">
        <v>1</v>
      </c>
      <c r="AR756" s="7">
        <v>0</v>
      </c>
      <c r="AS756" s="7">
        <v>0</v>
      </c>
      <c r="AT756" s="7">
        <v>1</v>
      </c>
      <c r="BE756" s="7">
        <v>240</v>
      </c>
      <c r="BG756" s="7">
        <v>2</v>
      </c>
      <c r="BL756" s="7">
        <v>0</v>
      </c>
    </row>
    <row r="757" spans="1:64" s="7" customFormat="1">
      <c r="A757" s="7">
        <v>1030028</v>
      </c>
      <c r="B757" s="7" t="s">
        <v>2363</v>
      </c>
      <c r="C757" s="7" t="s">
        <v>540</v>
      </c>
      <c r="D757" s="7" t="s">
        <v>550</v>
      </c>
      <c r="E757" s="7">
        <v>1</v>
      </c>
      <c r="F757" s="7" t="s">
        <v>959</v>
      </c>
      <c r="G757" s="7">
        <v>0</v>
      </c>
      <c r="H757" s="7">
        <v>0</v>
      </c>
      <c r="I757" s="7">
        <v>99999</v>
      </c>
      <c r="J757" s="7">
        <v>0</v>
      </c>
      <c r="K757" s="7">
        <v>3</v>
      </c>
      <c r="L757" s="7" t="s">
        <v>1562</v>
      </c>
      <c r="M757" s="7">
        <v>20</v>
      </c>
      <c r="N757" s="7">
        <v>1</v>
      </c>
      <c r="Q757" s="7">
        <v>0</v>
      </c>
      <c r="R757" s="7">
        <v>0</v>
      </c>
      <c r="S757" s="7">
        <v>1</v>
      </c>
      <c r="T757" s="7">
        <v>0</v>
      </c>
      <c r="V757" s="7">
        <v>0</v>
      </c>
      <c r="W757" s="7">
        <v>0</v>
      </c>
      <c r="X757" s="6" t="s">
        <v>2392</v>
      </c>
      <c r="Y757" s="7" t="s">
        <v>544</v>
      </c>
      <c r="Z757" s="7" t="s">
        <v>2831</v>
      </c>
      <c r="AA757" s="7" t="s">
        <v>527</v>
      </c>
      <c r="AB757" s="7">
        <v>0</v>
      </c>
      <c r="AC757" s="7">
        <v>11</v>
      </c>
      <c r="AD757" s="7">
        <v>0</v>
      </c>
      <c r="AE757" s="7">
        <v>0</v>
      </c>
      <c r="AF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P757" s="7">
        <v>0</v>
      </c>
      <c r="AQ757" s="7">
        <v>1</v>
      </c>
      <c r="AR757" s="7">
        <v>0</v>
      </c>
      <c r="AS757" s="7">
        <v>0</v>
      </c>
      <c r="AT757" s="7">
        <v>1</v>
      </c>
      <c r="BE757" s="7">
        <v>240</v>
      </c>
      <c r="BG757" s="7">
        <v>2</v>
      </c>
      <c r="BL757" s="7">
        <v>0</v>
      </c>
    </row>
    <row r="758" spans="1:64" s="7" customFormat="1">
      <c r="A758" s="7">
        <v>1030029</v>
      </c>
      <c r="B758" s="7" t="s">
        <v>2364</v>
      </c>
      <c r="C758" s="7" t="s">
        <v>540</v>
      </c>
      <c r="D758" s="7" t="s">
        <v>550</v>
      </c>
      <c r="E758" s="7">
        <v>1</v>
      </c>
      <c r="F758" s="7" t="s">
        <v>959</v>
      </c>
      <c r="G758" s="7">
        <v>0</v>
      </c>
      <c r="H758" s="7">
        <v>0</v>
      </c>
      <c r="I758" s="7">
        <v>99999</v>
      </c>
      <c r="J758" s="7">
        <v>0</v>
      </c>
      <c r="K758" s="7">
        <v>3</v>
      </c>
      <c r="L758" s="7" t="s">
        <v>1562</v>
      </c>
      <c r="M758" s="7">
        <v>20</v>
      </c>
      <c r="N758" s="7">
        <v>1</v>
      </c>
      <c r="Q758" s="7">
        <v>0</v>
      </c>
      <c r="R758" s="7">
        <v>0</v>
      </c>
      <c r="S758" s="7">
        <v>1</v>
      </c>
      <c r="T758" s="7">
        <v>0</v>
      </c>
      <c r="V758" s="7">
        <v>0</v>
      </c>
      <c r="W758" s="7">
        <v>0</v>
      </c>
      <c r="X758" s="6" t="s">
        <v>2393</v>
      </c>
      <c r="Y758" s="7" t="s">
        <v>544</v>
      </c>
      <c r="Z758" s="7" t="s">
        <v>2832</v>
      </c>
      <c r="AA758" s="7" t="s">
        <v>527</v>
      </c>
      <c r="AB758" s="7">
        <v>0</v>
      </c>
      <c r="AC758" s="7">
        <v>11</v>
      </c>
      <c r="AD758" s="7">
        <v>0</v>
      </c>
      <c r="AE758" s="7">
        <v>0</v>
      </c>
      <c r="AF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P758" s="7">
        <v>0</v>
      </c>
      <c r="AQ758" s="7">
        <v>1</v>
      </c>
      <c r="AR758" s="7">
        <v>0</v>
      </c>
      <c r="AS758" s="7">
        <v>0</v>
      </c>
      <c r="AT758" s="7">
        <v>1</v>
      </c>
      <c r="BE758" s="7">
        <v>240</v>
      </c>
      <c r="BG758" s="7">
        <v>2</v>
      </c>
      <c r="BL758" s="7">
        <v>0</v>
      </c>
    </row>
    <row r="759" spans="1:64" s="7" customFormat="1">
      <c r="A759" s="7">
        <v>1030030</v>
      </c>
      <c r="B759" s="7" t="s">
        <v>2365</v>
      </c>
      <c r="C759" s="7" t="s">
        <v>540</v>
      </c>
      <c r="D759" s="7" t="s">
        <v>550</v>
      </c>
      <c r="E759" s="7">
        <v>1</v>
      </c>
      <c r="F759" s="7" t="s">
        <v>959</v>
      </c>
      <c r="G759" s="7">
        <v>0</v>
      </c>
      <c r="H759" s="7">
        <v>0</v>
      </c>
      <c r="I759" s="7">
        <v>99999</v>
      </c>
      <c r="J759" s="7">
        <v>0</v>
      </c>
      <c r="K759" s="7">
        <v>3</v>
      </c>
      <c r="L759" s="7" t="s">
        <v>1562</v>
      </c>
      <c r="M759" s="7">
        <v>20</v>
      </c>
      <c r="N759" s="7">
        <v>1</v>
      </c>
      <c r="Q759" s="7">
        <v>0</v>
      </c>
      <c r="R759" s="7">
        <v>0</v>
      </c>
      <c r="S759" s="7">
        <v>1</v>
      </c>
      <c r="T759" s="7">
        <v>0</v>
      </c>
      <c r="V759" s="7">
        <v>0</v>
      </c>
      <c r="W759" s="7">
        <v>0</v>
      </c>
      <c r="X759" s="6" t="s">
        <v>2394</v>
      </c>
      <c r="Y759" s="7" t="s">
        <v>544</v>
      </c>
      <c r="Z759" s="7" t="s">
        <v>2833</v>
      </c>
      <c r="AA759" s="7" t="s">
        <v>527</v>
      </c>
      <c r="AB759" s="7">
        <v>0</v>
      </c>
      <c r="AC759" s="7">
        <v>11</v>
      </c>
      <c r="AD759" s="7">
        <v>0</v>
      </c>
      <c r="AE759" s="7">
        <v>0</v>
      </c>
      <c r="AF759" s="7">
        <v>0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P759" s="7">
        <v>0</v>
      </c>
      <c r="AQ759" s="7">
        <v>1</v>
      </c>
      <c r="AR759" s="7">
        <v>0</v>
      </c>
      <c r="AS759" s="7">
        <v>0</v>
      </c>
      <c r="AT759" s="7">
        <v>1</v>
      </c>
      <c r="BE759" s="7">
        <v>240</v>
      </c>
      <c r="BG759" s="7">
        <v>2</v>
      </c>
      <c r="BL759" s="7">
        <v>0</v>
      </c>
    </row>
    <row r="760" spans="1:64" s="7" customFormat="1">
      <c r="A760" s="7">
        <v>1030031</v>
      </c>
      <c r="B760" s="7" t="s">
        <v>2366</v>
      </c>
      <c r="C760" s="7" t="s">
        <v>540</v>
      </c>
      <c r="D760" s="7" t="s">
        <v>550</v>
      </c>
      <c r="E760" s="7">
        <v>1</v>
      </c>
      <c r="F760" s="7" t="s">
        <v>959</v>
      </c>
      <c r="G760" s="7">
        <v>0</v>
      </c>
      <c r="H760" s="7">
        <v>0</v>
      </c>
      <c r="I760" s="7">
        <v>99999</v>
      </c>
      <c r="J760" s="7">
        <v>0</v>
      </c>
      <c r="K760" s="7">
        <v>3</v>
      </c>
      <c r="L760" s="7" t="s">
        <v>1562</v>
      </c>
      <c r="M760" s="7">
        <v>20</v>
      </c>
      <c r="N760" s="7">
        <v>1</v>
      </c>
      <c r="Q760" s="7">
        <v>0</v>
      </c>
      <c r="R760" s="7">
        <v>0</v>
      </c>
      <c r="S760" s="7">
        <v>1</v>
      </c>
      <c r="T760" s="7">
        <v>0</v>
      </c>
      <c r="V760" s="7">
        <v>0</v>
      </c>
      <c r="W760" s="7">
        <v>0</v>
      </c>
      <c r="X760" s="6" t="s">
        <v>2395</v>
      </c>
      <c r="Y760" s="7" t="s">
        <v>544</v>
      </c>
      <c r="Z760" s="7" t="s">
        <v>2834</v>
      </c>
      <c r="AA760" s="7" t="s">
        <v>527</v>
      </c>
      <c r="AB760" s="7">
        <v>0</v>
      </c>
      <c r="AC760" s="7">
        <v>11</v>
      </c>
      <c r="AD760" s="7">
        <v>0</v>
      </c>
      <c r="AE760" s="7">
        <v>0</v>
      </c>
      <c r="AF760" s="7">
        <v>0</v>
      </c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P760" s="7">
        <v>0</v>
      </c>
      <c r="AQ760" s="7">
        <v>1</v>
      </c>
      <c r="AR760" s="7">
        <v>0</v>
      </c>
      <c r="AS760" s="7">
        <v>0</v>
      </c>
      <c r="AT760" s="7">
        <v>1</v>
      </c>
      <c r="BE760" s="7">
        <v>240</v>
      </c>
      <c r="BG760" s="7">
        <v>2</v>
      </c>
      <c r="BL760" s="7">
        <v>0</v>
      </c>
    </row>
    <row r="761" spans="1:64" s="7" customFormat="1">
      <c r="A761" s="7">
        <v>1030032</v>
      </c>
      <c r="B761" s="7" t="s">
        <v>2367</v>
      </c>
      <c r="C761" s="7" t="s">
        <v>540</v>
      </c>
      <c r="D761" s="7" t="s">
        <v>550</v>
      </c>
      <c r="E761" s="7">
        <v>1</v>
      </c>
      <c r="F761" s="7" t="s">
        <v>959</v>
      </c>
      <c r="G761" s="7">
        <v>0</v>
      </c>
      <c r="H761" s="7">
        <v>0</v>
      </c>
      <c r="I761" s="7">
        <v>99999</v>
      </c>
      <c r="J761" s="7">
        <v>0</v>
      </c>
      <c r="K761" s="7">
        <v>3</v>
      </c>
      <c r="L761" s="7" t="s">
        <v>1562</v>
      </c>
      <c r="M761" s="7">
        <v>20</v>
      </c>
      <c r="N761" s="7">
        <v>1</v>
      </c>
      <c r="Q761" s="7">
        <v>0</v>
      </c>
      <c r="R761" s="7">
        <v>0</v>
      </c>
      <c r="S761" s="7">
        <v>1</v>
      </c>
      <c r="T761" s="7">
        <v>0</v>
      </c>
      <c r="V761" s="7">
        <v>0</v>
      </c>
      <c r="W761" s="7">
        <v>0</v>
      </c>
      <c r="X761" s="6" t="s">
        <v>2396</v>
      </c>
      <c r="Y761" s="7" t="s">
        <v>544</v>
      </c>
      <c r="Z761" s="7" t="s">
        <v>2835</v>
      </c>
      <c r="AA761" s="7" t="s">
        <v>527</v>
      </c>
      <c r="AB761" s="7">
        <v>0</v>
      </c>
      <c r="AC761" s="7">
        <v>11</v>
      </c>
      <c r="AD761" s="7">
        <v>0</v>
      </c>
      <c r="AE761" s="7">
        <v>0</v>
      </c>
      <c r="AF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P761" s="7">
        <v>0</v>
      </c>
      <c r="AQ761" s="7">
        <v>1</v>
      </c>
      <c r="AR761" s="7">
        <v>0</v>
      </c>
      <c r="AS761" s="7">
        <v>0</v>
      </c>
      <c r="AT761" s="7">
        <v>1</v>
      </c>
      <c r="BE761" s="7">
        <v>240</v>
      </c>
      <c r="BG761" s="7">
        <v>2</v>
      </c>
      <c r="BL761" s="7">
        <v>0</v>
      </c>
    </row>
    <row r="762" spans="1:64" s="7" customFormat="1">
      <c r="A762" s="7">
        <v>1030033</v>
      </c>
      <c r="B762" s="7" t="s">
        <v>2368</v>
      </c>
      <c r="C762" s="7" t="s">
        <v>540</v>
      </c>
      <c r="D762" s="7" t="s">
        <v>550</v>
      </c>
      <c r="E762" s="7">
        <v>1</v>
      </c>
      <c r="F762" s="7" t="s">
        <v>959</v>
      </c>
      <c r="G762" s="7">
        <v>0</v>
      </c>
      <c r="H762" s="7">
        <v>0</v>
      </c>
      <c r="I762" s="7">
        <v>99999</v>
      </c>
      <c r="J762" s="7">
        <v>0</v>
      </c>
      <c r="K762" s="7">
        <v>3</v>
      </c>
      <c r="L762" s="7" t="s">
        <v>1562</v>
      </c>
      <c r="M762" s="7">
        <v>20</v>
      </c>
      <c r="N762" s="7">
        <v>1</v>
      </c>
      <c r="Q762" s="7">
        <v>0</v>
      </c>
      <c r="R762" s="7">
        <v>0</v>
      </c>
      <c r="S762" s="7">
        <v>1</v>
      </c>
      <c r="T762" s="7">
        <v>0</v>
      </c>
      <c r="V762" s="7">
        <v>0</v>
      </c>
      <c r="W762" s="7">
        <v>0</v>
      </c>
      <c r="X762" s="6" t="s">
        <v>2397</v>
      </c>
      <c r="Y762" s="7" t="s">
        <v>544</v>
      </c>
      <c r="Z762" s="7" t="s">
        <v>2836</v>
      </c>
      <c r="AA762" s="7" t="s">
        <v>527</v>
      </c>
      <c r="AB762" s="7">
        <v>0</v>
      </c>
      <c r="AC762" s="7">
        <v>11</v>
      </c>
      <c r="AD762" s="7">
        <v>0</v>
      </c>
      <c r="AE762" s="7">
        <v>0</v>
      </c>
      <c r="AF762" s="7">
        <v>0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P762" s="7">
        <v>0</v>
      </c>
      <c r="AQ762" s="7">
        <v>1</v>
      </c>
      <c r="AR762" s="7">
        <v>0</v>
      </c>
      <c r="AS762" s="7">
        <v>0</v>
      </c>
      <c r="AT762" s="7">
        <v>1</v>
      </c>
      <c r="BE762" s="7">
        <v>240</v>
      </c>
      <c r="BG762" s="7">
        <v>2</v>
      </c>
      <c r="BL762" s="7">
        <v>0</v>
      </c>
    </row>
    <row r="763" spans="1:64" s="7" customFormat="1">
      <c r="A763" s="7">
        <v>1030034</v>
      </c>
      <c r="B763" s="7" t="s">
        <v>2369</v>
      </c>
      <c r="C763" s="7" t="s">
        <v>540</v>
      </c>
      <c r="D763" s="7" t="s">
        <v>550</v>
      </c>
      <c r="E763" s="7">
        <v>1</v>
      </c>
      <c r="F763" s="7" t="s">
        <v>959</v>
      </c>
      <c r="G763" s="7">
        <v>0</v>
      </c>
      <c r="H763" s="7">
        <v>0</v>
      </c>
      <c r="I763" s="7">
        <v>99999</v>
      </c>
      <c r="J763" s="7">
        <v>0</v>
      </c>
      <c r="K763" s="7">
        <v>3</v>
      </c>
      <c r="L763" s="7" t="s">
        <v>1562</v>
      </c>
      <c r="M763" s="7">
        <v>20</v>
      </c>
      <c r="N763" s="7">
        <v>1</v>
      </c>
      <c r="Q763" s="7">
        <v>0</v>
      </c>
      <c r="R763" s="7">
        <v>0</v>
      </c>
      <c r="S763" s="7">
        <v>1</v>
      </c>
      <c r="T763" s="7">
        <v>0</v>
      </c>
      <c r="V763" s="7">
        <v>0</v>
      </c>
      <c r="W763" s="7">
        <v>0</v>
      </c>
      <c r="X763" s="6" t="s">
        <v>2398</v>
      </c>
      <c r="Y763" s="7" t="s">
        <v>544</v>
      </c>
      <c r="Z763" s="7" t="s">
        <v>2837</v>
      </c>
      <c r="AA763" s="7" t="s">
        <v>527</v>
      </c>
      <c r="AB763" s="7">
        <v>0</v>
      </c>
      <c r="AC763" s="7">
        <v>11</v>
      </c>
      <c r="AD763" s="7">
        <v>0</v>
      </c>
      <c r="AE763" s="7">
        <v>0</v>
      </c>
      <c r="AF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P763" s="7">
        <v>0</v>
      </c>
      <c r="AQ763" s="7">
        <v>1</v>
      </c>
      <c r="AR763" s="7">
        <v>0</v>
      </c>
      <c r="AS763" s="7">
        <v>0</v>
      </c>
      <c r="AT763" s="7">
        <v>1</v>
      </c>
      <c r="BE763" s="7">
        <v>240</v>
      </c>
      <c r="BG763" s="7">
        <v>2</v>
      </c>
      <c r="BL763" s="7">
        <v>0</v>
      </c>
    </row>
    <row r="764" spans="1:64" s="7" customFormat="1">
      <c r="A764" s="7">
        <v>1030035</v>
      </c>
      <c r="B764" s="7" t="s">
        <v>2370</v>
      </c>
      <c r="C764" s="7" t="s">
        <v>540</v>
      </c>
      <c r="D764" s="7" t="s">
        <v>550</v>
      </c>
      <c r="E764" s="7">
        <v>1</v>
      </c>
      <c r="F764" s="7" t="s">
        <v>959</v>
      </c>
      <c r="G764" s="7">
        <v>0</v>
      </c>
      <c r="H764" s="7">
        <v>0</v>
      </c>
      <c r="I764" s="7">
        <v>99999</v>
      </c>
      <c r="J764" s="7">
        <v>0</v>
      </c>
      <c r="K764" s="7">
        <v>3</v>
      </c>
      <c r="L764" s="7" t="s">
        <v>1562</v>
      </c>
      <c r="M764" s="7">
        <v>20</v>
      </c>
      <c r="N764" s="7">
        <v>1</v>
      </c>
      <c r="Q764" s="7">
        <v>0</v>
      </c>
      <c r="R764" s="7">
        <v>0</v>
      </c>
      <c r="S764" s="7">
        <v>1</v>
      </c>
      <c r="T764" s="7">
        <v>0</v>
      </c>
      <c r="V764" s="7">
        <v>0</v>
      </c>
      <c r="W764" s="7">
        <v>0</v>
      </c>
      <c r="X764" s="6" t="s">
        <v>2399</v>
      </c>
      <c r="Y764" s="7" t="s">
        <v>544</v>
      </c>
      <c r="Z764" s="7" t="s">
        <v>2838</v>
      </c>
      <c r="AA764" s="7" t="s">
        <v>527</v>
      </c>
      <c r="AB764" s="7">
        <v>0</v>
      </c>
      <c r="AC764" s="7">
        <v>11</v>
      </c>
      <c r="AD764" s="7">
        <v>0</v>
      </c>
      <c r="AE764" s="7">
        <v>0</v>
      </c>
      <c r="AF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P764" s="7">
        <v>0</v>
      </c>
      <c r="AQ764" s="7">
        <v>1</v>
      </c>
      <c r="AR764" s="7">
        <v>0</v>
      </c>
      <c r="AS764" s="7">
        <v>0</v>
      </c>
      <c r="AT764" s="7">
        <v>1</v>
      </c>
      <c r="BE764" s="7">
        <v>240</v>
      </c>
      <c r="BG764" s="7">
        <v>2</v>
      </c>
      <c r="BL764" s="7">
        <v>0</v>
      </c>
    </row>
    <row r="765" spans="1:64" s="7" customFormat="1">
      <c r="A765" s="7">
        <v>1030036</v>
      </c>
      <c r="B765" s="7" t="s">
        <v>2371</v>
      </c>
      <c r="C765" s="7" t="s">
        <v>540</v>
      </c>
      <c r="D765" s="7" t="s">
        <v>550</v>
      </c>
      <c r="E765" s="7">
        <v>1</v>
      </c>
      <c r="F765" s="7" t="s">
        <v>959</v>
      </c>
      <c r="G765" s="7">
        <v>0</v>
      </c>
      <c r="H765" s="7">
        <v>0</v>
      </c>
      <c r="I765" s="7">
        <v>99999</v>
      </c>
      <c r="J765" s="7">
        <v>0</v>
      </c>
      <c r="K765" s="7">
        <v>3</v>
      </c>
      <c r="L765" s="7" t="s">
        <v>1562</v>
      </c>
      <c r="M765" s="7">
        <v>20</v>
      </c>
      <c r="N765" s="7">
        <v>1</v>
      </c>
      <c r="Q765" s="7">
        <v>0</v>
      </c>
      <c r="R765" s="7">
        <v>0</v>
      </c>
      <c r="S765" s="7">
        <v>1</v>
      </c>
      <c r="T765" s="7">
        <v>0</v>
      </c>
      <c r="V765" s="7">
        <v>0</v>
      </c>
      <c r="W765" s="7">
        <v>0</v>
      </c>
      <c r="X765" s="6" t="s">
        <v>2400</v>
      </c>
      <c r="Y765" s="7" t="s">
        <v>544</v>
      </c>
      <c r="Z765" s="7" t="s">
        <v>2839</v>
      </c>
      <c r="AA765" s="7" t="s">
        <v>527</v>
      </c>
      <c r="AB765" s="7">
        <v>0</v>
      </c>
      <c r="AC765" s="7">
        <v>11</v>
      </c>
      <c r="AD765" s="7">
        <v>0</v>
      </c>
      <c r="AE765" s="7">
        <v>0</v>
      </c>
      <c r="AF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P765" s="7">
        <v>0</v>
      </c>
      <c r="AQ765" s="7">
        <v>1</v>
      </c>
      <c r="AR765" s="7">
        <v>0</v>
      </c>
      <c r="AS765" s="7">
        <v>0</v>
      </c>
      <c r="AT765" s="7">
        <v>1</v>
      </c>
      <c r="BE765" s="7">
        <v>240</v>
      </c>
      <c r="BG765" s="7">
        <v>2</v>
      </c>
      <c r="BL765" s="7">
        <v>0</v>
      </c>
    </row>
    <row r="766" spans="1:64" s="7" customFormat="1">
      <c r="A766" s="7">
        <v>1030037</v>
      </c>
      <c r="B766" s="7" t="s">
        <v>2372</v>
      </c>
      <c r="C766" s="7" t="s">
        <v>540</v>
      </c>
      <c r="D766" s="7" t="s">
        <v>550</v>
      </c>
      <c r="E766" s="7">
        <v>1</v>
      </c>
      <c r="F766" s="7" t="s">
        <v>959</v>
      </c>
      <c r="G766" s="7">
        <v>0</v>
      </c>
      <c r="H766" s="7">
        <v>0</v>
      </c>
      <c r="I766" s="7">
        <v>99999</v>
      </c>
      <c r="J766" s="7">
        <v>0</v>
      </c>
      <c r="K766" s="7">
        <v>3</v>
      </c>
      <c r="L766" s="7" t="s">
        <v>1562</v>
      </c>
      <c r="M766" s="7">
        <v>20</v>
      </c>
      <c r="N766" s="7">
        <v>1</v>
      </c>
      <c r="Q766" s="7">
        <v>0</v>
      </c>
      <c r="R766" s="7">
        <v>0</v>
      </c>
      <c r="S766" s="7">
        <v>1</v>
      </c>
      <c r="T766" s="7">
        <v>0</v>
      </c>
      <c r="V766" s="7">
        <v>0</v>
      </c>
      <c r="W766" s="7">
        <v>0</v>
      </c>
      <c r="X766" s="6" t="s">
        <v>2401</v>
      </c>
      <c r="Y766" s="7" t="s">
        <v>544</v>
      </c>
      <c r="Z766" s="7" t="s">
        <v>2840</v>
      </c>
      <c r="AA766" s="7" t="s">
        <v>527</v>
      </c>
      <c r="AB766" s="7">
        <v>0</v>
      </c>
      <c r="AC766" s="7">
        <v>11</v>
      </c>
      <c r="AD766" s="7">
        <v>0</v>
      </c>
      <c r="AE766" s="7">
        <v>0</v>
      </c>
      <c r="AF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P766" s="7">
        <v>0</v>
      </c>
      <c r="AQ766" s="7">
        <v>1</v>
      </c>
      <c r="AR766" s="7">
        <v>0</v>
      </c>
      <c r="AS766" s="7">
        <v>0</v>
      </c>
      <c r="AT766" s="7">
        <v>1</v>
      </c>
      <c r="BE766" s="7">
        <v>240</v>
      </c>
      <c r="BG766" s="7">
        <v>2</v>
      </c>
      <c r="BL766" s="7">
        <v>0</v>
      </c>
    </row>
    <row r="767" spans="1:64" s="7" customFormat="1">
      <c r="A767" s="7">
        <v>1030038</v>
      </c>
      <c r="B767" s="7" t="s">
        <v>2373</v>
      </c>
      <c r="C767" s="7" t="s">
        <v>540</v>
      </c>
      <c r="D767" s="7" t="s">
        <v>550</v>
      </c>
      <c r="E767" s="7">
        <v>1</v>
      </c>
      <c r="F767" s="7" t="s">
        <v>959</v>
      </c>
      <c r="G767" s="7">
        <v>0</v>
      </c>
      <c r="H767" s="7">
        <v>0</v>
      </c>
      <c r="I767" s="7">
        <v>99999</v>
      </c>
      <c r="J767" s="7">
        <v>0</v>
      </c>
      <c r="K767" s="7">
        <v>3</v>
      </c>
      <c r="L767" s="7" t="s">
        <v>1562</v>
      </c>
      <c r="M767" s="7">
        <v>20</v>
      </c>
      <c r="N767" s="7">
        <v>1</v>
      </c>
      <c r="Q767" s="7">
        <v>0</v>
      </c>
      <c r="R767" s="7">
        <v>0</v>
      </c>
      <c r="S767" s="7">
        <v>1</v>
      </c>
      <c r="T767" s="7">
        <v>0</v>
      </c>
      <c r="V767" s="7">
        <v>0</v>
      </c>
      <c r="W767" s="7">
        <v>0</v>
      </c>
      <c r="X767" s="6" t="s">
        <v>2402</v>
      </c>
      <c r="Y767" s="7" t="s">
        <v>544</v>
      </c>
      <c r="Z767" s="7" t="s">
        <v>2841</v>
      </c>
      <c r="AA767" s="7" t="s">
        <v>527</v>
      </c>
      <c r="AB767" s="7">
        <v>0</v>
      </c>
      <c r="AC767" s="7">
        <v>11</v>
      </c>
      <c r="AD767" s="7">
        <v>0</v>
      </c>
      <c r="AE767" s="7">
        <v>0</v>
      </c>
      <c r="AF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P767" s="7">
        <v>0</v>
      </c>
      <c r="AQ767" s="7">
        <v>1</v>
      </c>
      <c r="AR767" s="7">
        <v>0</v>
      </c>
      <c r="AS767" s="7">
        <v>0</v>
      </c>
      <c r="AT767" s="7">
        <v>1</v>
      </c>
      <c r="BE767" s="7">
        <v>240</v>
      </c>
      <c r="BG767" s="7">
        <v>2</v>
      </c>
      <c r="BL767" s="7">
        <v>0</v>
      </c>
    </row>
    <row r="768" spans="1:64" s="7" customFormat="1">
      <c r="A768" s="7">
        <v>1030039</v>
      </c>
      <c r="B768" s="7" t="s">
        <v>2374</v>
      </c>
      <c r="C768" s="7" t="s">
        <v>540</v>
      </c>
      <c r="D768" s="7" t="s">
        <v>550</v>
      </c>
      <c r="E768" s="7">
        <v>1</v>
      </c>
      <c r="F768" s="7" t="s">
        <v>959</v>
      </c>
      <c r="G768" s="7">
        <v>0</v>
      </c>
      <c r="H768" s="7">
        <v>0</v>
      </c>
      <c r="I768" s="7">
        <v>99999</v>
      </c>
      <c r="J768" s="7">
        <v>0</v>
      </c>
      <c r="K768" s="7">
        <v>3</v>
      </c>
      <c r="L768" s="7" t="s">
        <v>1562</v>
      </c>
      <c r="M768" s="7">
        <v>20</v>
      </c>
      <c r="N768" s="7">
        <v>1</v>
      </c>
      <c r="Q768" s="7">
        <v>0</v>
      </c>
      <c r="R768" s="7">
        <v>0</v>
      </c>
      <c r="S768" s="7">
        <v>1</v>
      </c>
      <c r="T768" s="7">
        <v>0</v>
      </c>
      <c r="V768" s="7">
        <v>0</v>
      </c>
      <c r="W768" s="7">
        <v>0</v>
      </c>
      <c r="X768" s="6" t="s">
        <v>2403</v>
      </c>
      <c r="Y768" s="7" t="s">
        <v>544</v>
      </c>
      <c r="Z768" s="7" t="s">
        <v>2842</v>
      </c>
      <c r="AA768" s="7" t="s">
        <v>527</v>
      </c>
      <c r="AB768" s="7">
        <v>0</v>
      </c>
      <c r="AC768" s="7">
        <v>11</v>
      </c>
      <c r="AD768" s="7">
        <v>0</v>
      </c>
      <c r="AE768" s="7">
        <v>0</v>
      </c>
      <c r="AF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P768" s="7">
        <v>0</v>
      </c>
      <c r="AQ768" s="7">
        <v>1</v>
      </c>
      <c r="AR768" s="7">
        <v>0</v>
      </c>
      <c r="AS768" s="7">
        <v>0</v>
      </c>
      <c r="AT768" s="7">
        <v>1</v>
      </c>
      <c r="BE768" s="7">
        <v>240</v>
      </c>
      <c r="BG768" s="7">
        <v>2</v>
      </c>
      <c r="BL768" s="7">
        <v>0</v>
      </c>
    </row>
    <row r="769" spans="1:64" s="7" customFormat="1">
      <c r="A769" s="7">
        <v>1030040</v>
      </c>
      <c r="B769" s="7" t="s">
        <v>2375</v>
      </c>
      <c r="C769" s="7" t="s">
        <v>540</v>
      </c>
      <c r="D769" s="7" t="s">
        <v>550</v>
      </c>
      <c r="E769" s="7">
        <v>1</v>
      </c>
      <c r="F769" s="7" t="s">
        <v>959</v>
      </c>
      <c r="G769" s="7">
        <v>0</v>
      </c>
      <c r="H769" s="7">
        <v>0</v>
      </c>
      <c r="I769" s="7">
        <v>99999</v>
      </c>
      <c r="J769" s="7">
        <v>0</v>
      </c>
      <c r="K769" s="7">
        <v>3</v>
      </c>
      <c r="L769" s="7" t="s">
        <v>1562</v>
      </c>
      <c r="M769" s="7">
        <v>20</v>
      </c>
      <c r="N769" s="7">
        <v>1</v>
      </c>
      <c r="Q769" s="7">
        <v>0</v>
      </c>
      <c r="R769" s="7">
        <v>0</v>
      </c>
      <c r="S769" s="7">
        <v>1</v>
      </c>
      <c r="T769" s="7">
        <v>0</v>
      </c>
      <c r="V769" s="7">
        <v>0</v>
      </c>
      <c r="W769" s="7">
        <v>0</v>
      </c>
      <c r="X769" s="6" t="s">
        <v>2404</v>
      </c>
      <c r="Y769" s="7" t="s">
        <v>544</v>
      </c>
      <c r="Z769" s="7" t="s">
        <v>2843</v>
      </c>
      <c r="AA769" s="7" t="s">
        <v>527</v>
      </c>
      <c r="AB769" s="7">
        <v>0</v>
      </c>
      <c r="AC769" s="7">
        <v>11</v>
      </c>
      <c r="AD769" s="7">
        <v>0</v>
      </c>
      <c r="AE769" s="7">
        <v>0</v>
      </c>
      <c r="AF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P769" s="7">
        <v>0</v>
      </c>
      <c r="AQ769" s="7">
        <v>1</v>
      </c>
      <c r="AR769" s="7">
        <v>0</v>
      </c>
      <c r="AS769" s="7">
        <v>0</v>
      </c>
      <c r="AT769" s="7">
        <v>1</v>
      </c>
      <c r="BE769" s="7">
        <v>240</v>
      </c>
      <c r="BG769" s="7">
        <v>2</v>
      </c>
      <c r="BL769" s="7">
        <v>0</v>
      </c>
    </row>
    <row r="770" spans="1:64" s="7" customFormat="1">
      <c r="A770" s="7">
        <v>1030041</v>
      </c>
      <c r="B770" s="7" t="s">
        <v>2376</v>
      </c>
      <c r="C770" s="7" t="s">
        <v>540</v>
      </c>
      <c r="D770" s="7" t="s">
        <v>550</v>
      </c>
      <c r="E770" s="7">
        <v>1</v>
      </c>
      <c r="F770" s="7" t="s">
        <v>959</v>
      </c>
      <c r="G770" s="7">
        <v>0</v>
      </c>
      <c r="H770" s="7">
        <v>0</v>
      </c>
      <c r="I770" s="7">
        <v>99999</v>
      </c>
      <c r="J770" s="7">
        <v>0</v>
      </c>
      <c r="K770" s="7">
        <v>3</v>
      </c>
      <c r="L770" s="7" t="s">
        <v>1562</v>
      </c>
      <c r="M770" s="7">
        <v>20</v>
      </c>
      <c r="N770" s="7">
        <v>1</v>
      </c>
      <c r="Q770" s="7">
        <v>0</v>
      </c>
      <c r="R770" s="7">
        <v>0</v>
      </c>
      <c r="S770" s="7">
        <v>1</v>
      </c>
      <c r="T770" s="7">
        <v>0</v>
      </c>
      <c r="V770" s="7">
        <v>0</v>
      </c>
      <c r="W770" s="7">
        <v>0</v>
      </c>
      <c r="X770" s="6" t="s">
        <v>2405</v>
      </c>
      <c r="Y770" s="7" t="s">
        <v>544</v>
      </c>
      <c r="Z770" s="7" t="s">
        <v>2844</v>
      </c>
      <c r="AA770" s="7" t="s">
        <v>527</v>
      </c>
      <c r="AB770" s="7">
        <v>0</v>
      </c>
      <c r="AC770" s="7">
        <v>11</v>
      </c>
      <c r="AD770" s="7">
        <v>0</v>
      </c>
      <c r="AE770" s="7">
        <v>0</v>
      </c>
      <c r="AF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P770" s="7">
        <v>0</v>
      </c>
      <c r="AQ770" s="7">
        <v>1</v>
      </c>
      <c r="AR770" s="7">
        <v>0</v>
      </c>
      <c r="AS770" s="7">
        <v>0</v>
      </c>
      <c r="AT770" s="7">
        <v>1</v>
      </c>
      <c r="BE770" s="7">
        <v>240</v>
      </c>
      <c r="BG770" s="7">
        <v>2</v>
      </c>
      <c r="BL770" s="7">
        <v>0</v>
      </c>
    </row>
    <row r="771" spans="1:64" s="7" customFormat="1">
      <c r="A771" s="7">
        <v>1030042</v>
      </c>
      <c r="B771" s="7" t="s">
        <v>2377</v>
      </c>
      <c r="C771" s="7" t="s">
        <v>540</v>
      </c>
      <c r="D771" s="7" t="s">
        <v>550</v>
      </c>
      <c r="E771" s="7">
        <v>1</v>
      </c>
      <c r="F771" s="7" t="s">
        <v>959</v>
      </c>
      <c r="G771" s="7">
        <v>0</v>
      </c>
      <c r="H771" s="7">
        <v>0</v>
      </c>
      <c r="I771" s="7">
        <v>99999</v>
      </c>
      <c r="J771" s="7">
        <v>0</v>
      </c>
      <c r="K771" s="7">
        <v>3</v>
      </c>
      <c r="L771" s="7" t="s">
        <v>1562</v>
      </c>
      <c r="M771" s="7">
        <v>20</v>
      </c>
      <c r="N771" s="7">
        <v>1</v>
      </c>
      <c r="Q771" s="7">
        <v>0</v>
      </c>
      <c r="R771" s="7">
        <v>0</v>
      </c>
      <c r="S771" s="7">
        <v>1</v>
      </c>
      <c r="T771" s="7">
        <v>0</v>
      </c>
      <c r="V771" s="7">
        <v>0</v>
      </c>
      <c r="W771" s="7">
        <v>0</v>
      </c>
      <c r="X771" s="6" t="s">
        <v>2406</v>
      </c>
      <c r="Y771" s="7" t="s">
        <v>544</v>
      </c>
      <c r="Z771" s="7" t="s">
        <v>2845</v>
      </c>
      <c r="AA771" s="7" t="s">
        <v>527</v>
      </c>
      <c r="AB771" s="7">
        <v>0</v>
      </c>
      <c r="AC771" s="7">
        <v>11</v>
      </c>
      <c r="AD771" s="7">
        <v>0</v>
      </c>
      <c r="AE771" s="7">
        <v>0</v>
      </c>
      <c r="AF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P771" s="7">
        <v>0</v>
      </c>
      <c r="AQ771" s="7">
        <v>1</v>
      </c>
      <c r="AR771" s="7">
        <v>0</v>
      </c>
      <c r="AS771" s="7">
        <v>0</v>
      </c>
      <c r="AT771" s="7">
        <v>1</v>
      </c>
      <c r="BE771" s="7">
        <v>240</v>
      </c>
      <c r="BG771" s="7">
        <v>2</v>
      </c>
      <c r="BL771" s="7">
        <v>0</v>
      </c>
    </row>
    <row r="772" spans="1:64" s="7" customFormat="1">
      <c r="A772" s="7">
        <v>1030043</v>
      </c>
      <c r="B772" s="7" t="s">
        <v>2378</v>
      </c>
      <c r="C772" s="7" t="s">
        <v>540</v>
      </c>
      <c r="D772" s="7" t="s">
        <v>550</v>
      </c>
      <c r="E772" s="7">
        <v>1</v>
      </c>
      <c r="F772" s="7" t="s">
        <v>959</v>
      </c>
      <c r="G772" s="7">
        <v>0</v>
      </c>
      <c r="H772" s="7">
        <v>0</v>
      </c>
      <c r="I772" s="7">
        <v>99999</v>
      </c>
      <c r="J772" s="7">
        <v>0</v>
      </c>
      <c r="K772" s="7">
        <v>3</v>
      </c>
      <c r="L772" s="7" t="s">
        <v>1562</v>
      </c>
      <c r="M772" s="7">
        <v>20</v>
      </c>
      <c r="N772" s="7">
        <v>1</v>
      </c>
      <c r="Q772" s="7">
        <v>0</v>
      </c>
      <c r="R772" s="7">
        <v>0</v>
      </c>
      <c r="S772" s="7">
        <v>1</v>
      </c>
      <c r="T772" s="7">
        <v>0</v>
      </c>
      <c r="V772" s="7">
        <v>0</v>
      </c>
      <c r="W772" s="7">
        <v>0</v>
      </c>
      <c r="X772" s="6" t="s">
        <v>2407</v>
      </c>
      <c r="Y772" s="7" t="s">
        <v>544</v>
      </c>
      <c r="Z772" s="7" t="s">
        <v>2846</v>
      </c>
      <c r="AA772" s="7" t="s">
        <v>527</v>
      </c>
      <c r="AB772" s="7">
        <v>0</v>
      </c>
      <c r="AC772" s="7">
        <v>11</v>
      </c>
      <c r="AD772" s="7">
        <v>0</v>
      </c>
      <c r="AE772" s="7">
        <v>0</v>
      </c>
      <c r="AF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P772" s="7">
        <v>0</v>
      </c>
      <c r="AQ772" s="7">
        <v>1</v>
      </c>
      <c r="AR772" s="7">
        <v>0</v>
      </c>
      <c r="AS772" s="7">
        <v>0</v>
      </c>
      <c r="AT772" s="7">
        <v>1</v>
      </c>
      <c r="BE772" s="7">
        <v>240</v>
      </c>
      <c r="BG772" s="7">
        <v>2</v>
      </c>
      <c r="BL772" s="7">
        <v>0</v>
      </c>
    </row>
    <row r="773" spans="1:64" s="7" customFormat="1">
      <c r="A773" s="7">
        <v>1030044</v>
      </c>
      <c r="B773" s="7" t="s">
        <v>2379</v>
      </c>
      <c r="C773" s="7" t="s">
        <v>540</v>
      </c>
      <c r="D773" s="7" t="s">
        <v>550</v>
      </c>
      <c r="E773" s="7">
        <v>1</v>
      </c>
      <c r="F773" s="7" t="s">
        <v>959</v>
      </c>
      <c r="G773" s="7">
        <v>0</v>
      </c>
      <c r="H773" s="7">
        <v>0</v>
      </c>
      <c r="I773" s="7">
        <v>99999</v>
      </c>
      <c r="J773" s="7">
        <v>0</v>
      </c>
      <c r="K773" s="7">
        <v>3</v>
      </c>
      <c r="L773" s="7" t="s">
        <v>1562</v>
      </c>
      <c r="M773" s="7">
        <v>20</v>
      </c>
      <c r="N773" s="7">
        <v>1</v>
      </c>
      <c r="Q773" s="7">
        <v>0</v>
      </c>
      <c r="R773" s="7">
        <v>0</v>
      </c>
      <c r="S773" s="7">
        <v>1</v>
      </c>
      <c r="T773" s="7">
        <v>0</v>
      </c>
      <c r="V773" s="7">
        <v>0</v>
      </c>
      <c r="W773" s="7">
        <v>0</v>
      </c>
      <c r="X773" s="6" t="s">
        <v>2408</v>
      </c>
      <c r="Y773" s="7" t="s">
        <v>544</v>
      </c>
      <c r="Z773" s="7" t="s">
        <v>2847</v>
      </c>
      <c r="AA773" s="7" t="s">
        <v>527</v>
      </c>
      <c r="AB773" s="7">
        <v>0</v>
      </c>
      <c r="AC773" s="7">
        <v>11</v>
      </c>
      <c r="AD773" s="7">
        <v>0</v>
      </c>
      <c r="AE773" s="7">
        <v>0</v>
      </c>
      <c r="AF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P773" s="7">
        <v>0</v>
      </c>
      <c r="AQ773" s="7">
        <v>1</v>
      </c>
      <c r="AR773" s="7">
        <v>0</v>
      </c>
      <c r="AS773" s="7">
        <v>0</v>
      </c>
      <c r="AT773" s="7">
        <v>1</v>
      </c>
      <c r="BE773" s="7">
        <v>240</v>
      </c>
      <c r="BG773" s="7">
        <v>2</v>
      </c>
      <c r="BL773" s="7">
        <v>0</v>
      </c>
    </row>
    <row r="774" spans="1:64" s="7" customFormat="1">
      <c r="A774" s="7">
        <v>1030045</v>
      </c>
      <c r="B774" s="7" t="s">
        <v>2380</v>
      </c>
      <c r="C774" s="7" t="s">
        <v>540</v>
      </c>
      <c r="D774" s="7" t="s">
        <v>550</v>
      </c>
      <c r="E774" s="7">
        <v>1</v>
      </c>
      <c r="F774" s="7" t="s">
        <v>959</v>
      </c>
      <c r="G774" s="7">
        <v>0</v>
      </c>
      <c r="H774" s="7">
        <v>0</v>
      </c>
      <c r="I774" s="7">
        <v>99999</v>
      </c>
      <c r="J774" s="7">
        <v>0</v>
      </c>
      <c r="K774" s="7">
        <v>3</v>
      </c>
      <c r="L774" s="7" t="s">
        <v>1562</v>
      </c>
      <c r="M774" s="7">
        <v>20</v>
      </c>
      <c r="N774" s="7">
        <v>1</v>
      </c>
      <c r="Q774" s="7">
        <v>0</v>
      </c>
      <c r="R774" s="7">
        <v>0</v>
      </c>
      <c r="S774" s="7">
        <v>1</v>
      </c>
      <c r="T774" s="7">
        <v>0</v>
      </c>
      <c r="V774" s="7">
        <v>0</v>
      </c>
      <c r="W774" s="7">
        <v>0</v>
      </c>
      <c r="X774" s="6" t="s">
        <v>2409</v>
      </c>
      <c r="Y774" s="7" t="s">
        <v>544</v>
      </c>
      <c r="Z774" s="7" t="s">
        <v>2848</v>
      </c>
      <c r="AA774" s="7" t="s">
        <v>527</v>
      </c>
      <c r="AB774" s="7">
        <v>0</v>
      </c>
      <c r="AC774" s="7">
        <v>11</v>
      </c>
      <c r="AD774" s="7">
        <v>0</v>
      </c>
      <c r="AE774" s="7">
        <v>0</v>
      </c>
      <c r="AF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P774" s="7">
        <v>0</v>
      </c>
      <c r="AQ774" s="7">
        <v>1</v>
      </c>
      <c r="AR774" s="7">
        <v>0</v>
      </c>
      <c r="AS774" s="7">
        <v>0</v>
      </c>
      <c r="AT774" s="7">
        <v>1</v>
      </c>
      <c r="BE774" s="7">
        <v>240</v>
      </c>
      <c r="BG774" s="7">
        <v>2</v>
      </c>
      <c r="BL774" s="7">
        <v>0</v>
      </c>
    </row>
    <row r="775" spans="1:64" s="7" customFormat="1">
      <c r="A775" s="7">
        <v>1030046</v>
      </c>
      <c r="B775" s="7" t="s">
        <v>2381</v>
      </c>
      <c r="C775" s="7" t="s">
        <v>540</v>
      </c>
      <c r="D775" s="7" t="s">
        <v>550</v>
      </c>
      <c r="E775" s="7">
        <v>1</v>
      </c>
      <c r="F775" s="7" t="s">
        <v>959</v>
      </c>
      <c r="G775" s="7">
        <v>0</v>
      </c>
      <c r="H775" s="7">
        <v>0</v>
      </c>
      <c r="I775" s="7">
        <v>99999</v>
      </c>
      <c r="J775" s="7">
        <v>0</v>
      </c>
      <c r="K775" s="7">
        <v>3</v>
      </c>
      <c r="L775" s="7" t="s">
        <v>1562</v>
      </c>
      <c r="M775" s="7">
        <v>20</v>
      </c>
      <c r="N775" s="7">
        <v>1</v>
      </c>
      <c r="Q775" s="7">
        <v>0</v>
      </c>
      <c r="R775" s="7">
        <v>0</v>
      </c>
      <c r="S775" s="7">
        <v>1</v>
      </c>
      <c r="T775" s="7">
        <v>0</v>
      </c>
      <c r="V775" s="7">
        <v>0</v>
      </c>
      <c r="W775" s="7">
        <v>0</v>
      </c>
      <c r="X775" s="6" t="s">
        <v>2410</v>
      </c>
      <c r="Y775" s="7" t="s">
        <v>544</v>
      </c>
      <c r="Z775" s="7" t="s">
        <v>2849</v>
      </c>
      <c r="AA775" s="7" t="s">
        <v>527</v>
      </c>
      <c r="AB775" s="7">
        <v>0</v>
      </c>
      <c r="AC775" s="7">
        <v>11</v>
      </c>
      <c r="AD775" s="7">
        <v>0</v>
      </c>
      <c r="AE775" s="7">
        <v>0</v>
      </c>
      <c r="AF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P775" s="7">
        <v>0</v>
      </c>
      <c r="AQ775" s="7">
        <v>1</v>
      </c>
      <c r="AR775" s="7">
        <v>0</v>
      </c>
      <c r="AS775" s="7">
        <v>0</v>
      </c>
      <c r="AT775" s="7">
        <v>1</v>
      </c>
      <c r="BE775" s="7">
        <v>240</v>
      </c>
      <c r="BG775" s="7">
        <v>2</v>
      </c>
      <c r="BL775" s="7">
        <v>0</v>
      </c>
    </row>
    <row r="776" spans="1:64" s="7" customFormat="1">
      <c r="A776" s="7">
        <v>1030047</v>
      </c>
      <c r="B776" s="7" t="s">
        <v>2382</v>
      </c>
      <c r="C776" s="7" t="s">
        <v>540</v>
      </c>
      <c r="D776" s="7" t="s">
        <v>550</v>
      </c>
      <c r="E776" s="7">
        <v>1</v>
      </c>
      <c r="F776" s="7" t="s">
        <v>959</v>
      </c>
      <c r="G776" s="7">
        <v>0</v>
      </c>
      <c r="H776" s="7">
        <v>0</v>
      </c>
      <c r="I776" s="7">
        <v>99999</v>
      </c>
      <c r="J776" s="7">
        <v>0</v>
      </c>
      <c r="K776" s="7">
        <v>3</v>
      </c>
      <c r="L776" s="7" t="s">
        <v>1562</v>
      </c>
      <c r="M776" s="7">
        <v>20</v>
      </c>
      <c r="N776" s="7">
        <v>1</v>
      </c>
      <c r="Q776" s="7">
        <v>0</v>
      </c>
      <c r="R776" s="7">
        <v>0</v>
      </c>
      <c r="S776" s="7">
        <v>1</v>
      </c>
      <c r="T776" s="7">
        <v>0</v>
      </c>
      <c r="V776" s="7">
        <v>0</v>
      </c>
      <c r="W776" s="7">
        <v>0</v>
      </c>
      <c r="X776" s="6" t="s">
        <v>2411</v>
      </c>
      <c r="Y776" s="7" t="s">
        <v>544</v>
      </c>
      <c r="Z776" s="7" t="s">
        <v>2850</v>
      </c>
      <c r="AA776" s="7" t="s">
        <v>527</v>
      </c>
      <c r="AB776" s="7">
        <v>0</v>
      </c>
      <c r="AC776" s="7">
        <v>11</v>
      </c>
      <c r="AD776" s="7">
        <v>0</v>
      </c>
      <c r="AE776" s="7">
        <v>0</v>
      </c>
      <c r="AF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P776" s="7">
        <v>0</v>
      </c>
      <c r="AQ776" s="7">
        <v>1</v>
      </c>
      <c r="AR776" s="7">
        <v>0</v>
      </c>
      <c r="AS776" s="7">
        <v>0</v>
      </c>
      <c r="AT776" s="7">
        <v>1</v>
      </c>
      <c r="BE776" s="7">
        <v>240</v>
      </c>
      <c r="BG776" s="7">
        <v>2</v>
      </c>
      <c r="BL776" s="7">
        <v>0</v>
      </c>
    </row>
    <row r="777" spans="1:64" s="7" customFormat="1">
      <c r="A777" s="7">
        <v>1030048</v>
      </c>
      <c r="B777" s="7" t="s">
        <v>2383</v>
      </c>
      <c r="C777" s="7" t="s">
        <v>540</v>
      </c>
      <c r="D777" s="7" t="s">
        <v>550</v>
      </c>
      <c r="E777" s="7">
        <v>1</v>
      </c>
      <c r="F777" s="7" t="s">
        <v>959</v>
      </c>
      <c r="G777" s="7">
        <v>0</v>
      </c>
      <c r="H777" s="7">
        <v>0</v>
      </c>
      <c r="I777" s="7">
        <v>99999</v>
      </c>
      <c r="J777" s="7">
        <v>0</v>
      </c>
      <c r="K777" s="7">
        <v>3</v>
      </c>
      <c r="L777" s="7" t="s">
        <v>1562</v>
      </c>
      <c r="M777" s="7">
        <v>20</v>
      </c>
      <c r="N777" s="7">
        <v>1</v>
      </c>
      <c r="Q777" s="7">
        <v>0</v>
      </c>
      <c r="R777" s="7">
        <v>0</v>
      </c>
      <c r="S777" s="7">
        <v>1</v>
      </c>
      <c r="T777" s="7">
        <v>0</v>
      </c>
      <c r="V777" s="7">
        <v>0</v>
      </c>
      <c r="W777" s="7">
        <v>0</v>
      </c>
      <c r="X777" s="6" t="s">
        <v>2412</v>
      </c>
      <c r="Y777" s="7" t="s">
        <v>544</v>
      </c>
      <c r="Z777" s="7" t="s">
        <v>2851</v>
      </c>
      <c r="AA777" s="7" t="s">
        <v>527</v>
      </c>
      <c r="AB777" s="7">
        <v>0</v>
      </c>
      <c r="AC777" s="7">
        <v>11</v>
      </c>
      <c r="AD777" s="7">
        <v>0</v>
      </c>
      <c r="AE777" s="7">
        <v>0</v>
      </c>
      <c r="AF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P777" s="7">
        <v>0</v>
      </c>
      <c r="AQ777" s="7">
        <v>1</v>
      </c>
      <c r="AR777" s="7">
        <v>0</v>
      </c>
      <c r="AS777" s="7">
        <v>0</v>
      </c>
      <c r="AT777" s="7">
        <v>1</v>
      </c>
      <c r="BE777" s="7">
        <v>240</v>
      </c>
      <c r="BG777" s="7">
        <v>2</v>
      </c>
      <c r="BL777" s="7">
        <v>0</v>
      </c>
    </row>
    <row r="778" spans="1:64" s="7" customFormat="1">
      <c r="A778" s="7">
        <v>1030049</v>
      </c>
      <c r="B778" s="7" t="s">
        <v>2384</v>
      </c>
      <c r="C778" s="7" t="s">
        <v>540</v>
      </c>
      <c r="D778" s="7" t="s">
        <v>550</v>
      </c>
      <c r="E778" s="7">
        <v>1</v>
      </c>
      <c r="F778" s="7" t="s">
        <v>959</v>
      </c>
      <c r="G778" s="7">
        <v>0</v>
      </c>
      <c r="H778" s="7">
        <v>0</v>
      </c>
      <c r="I778" s="7">
        <v>99999</v>
      </c>
      <c r="J778" s="7">
        <v>0</v>
      </c>
      <c r="K778" s="7">
        <v>3</v>
      </c>
      <c r="L778" s="7" t="s">
        <v>1562</v>
      </c>
      <c r="M778" s="7">
        <v>20</v>
      </c>
      <c r="N778" s="7">
        <v>1</v>
      </c>
      <c r="Q778" s="7">
        <v>0</v>
      </c>
      <c r="R778" s="7">
        <v>0</v>
      </c>
      <c r="S778" s="7">
        <v>1</v>
      </c>
      <c r="T778" s="7">
        <v>0</v>
      </c>
      <c r="V778" s="7">
        <v>0</v>
      </c>
      <c r="W778" s="7">
        <v>0</v>
      </c>
      <c r="X778" s="6" t="s">
        <v>2413</v>
      </c>
      <c r="Y778" s="7" t="s">
        <v>544</v>
      </c>
      <c r="Z778" s="7" t="s">
        <v>2852</v>
      </c>
      <c r="AA778" s="7" t="s">
        <v>527</v>
      </c>
      <c r="AB778" s="7">
        <v>0</v>
      </c>
      <c r="AC778" s="7">
        <v>11</v>
      </c>
      <c r="AD778" s="7">
        <v>0</v>
      </c>
      <c r="AE778" s="7">
        <v>0</v>
      </c>
      <c r="AF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P778" s="7">
        <v>0</v>
      </c>
      <c r="AQ778" s="7">
        <v>1</v>
      </c>
      <c r="AR778" s="7">
        <v>0</v>
      </c>
      <c r="AS778" s="7">
        <v>0</v>
      </c>
      <c r="AT778" s="7">
        <v>1</v>
      </c>
      <c r="BE778" s="7">
        <v>240</v>
      </c>
      <c r="BG778" s="7">
        <v>2</v>
      </c>
      <c r="BL778" s="7">
        <v>0</v>
      </c>
    </row>
    <row r="779" spans="1:64" s="7" customFormat="1">
      <c r="A779" s="7">
        <v>1030050</v>
      </c>
      <c r="B779" s="7" t="s">
        <v>2385</v>
      </c>
      <c r="C779" s="7" t="s">
        <v>540</v>
      </c>
      <c r="D779" s="7" t="s">
        <v>550</v>
      </c>
      <c r="E779" s="7">
        <v>1</v>
      </c>
      <c r="F779" s="7" t="s">
        <v>959</v>
      </c>
      <c r="G779" s="7">
        <v>0</v>
      </c>
      <c r="H779" s="7">
        <v>0</v>
      </c>
      <c r="I779" s="7">
        <v>99999</v>
      </c>
      <c r="J779" s="7">
        <v>0</v>
      </c>
      <c r="K779" s="7">
        <v>3</v>
      </c>
      <c r="L779" s="7" t="s">
        <v>1562</v>
      </c>
      <c r="M779" s="7">
        <v>20</v>
      </c>
      <c r="N779" s="7">
        <v>1</v>
      </c>
      <c r="Q779" s="7">
        <v>0</v>
      </c>
      <c r="R779" s="7">
        <v>0</v>
      </c>
      <c r="S779" s="7">
        <v>1</v>
      </c>
      <c r="T779" s="7">
        <v>0</v>
      </c>
      <c r="V779" s="7">
        <v>0</v>
      </c>
      <c r="W779" s="7">
        <v>0</v>
      </c>
      <c r="X779" s="6" t="s">
        <v>2414</v>
      </c>
      <c r="Y779" s="7" t="s">
        <v>544</v>
      </c>
      <c r="Z779" s="7" t="s">
        <v>2853</v>
      </c>
      <c r="AA779" s="7" t="s">
        <v>527</v>
      </c>
      <c r="AB779" s="7">
        <v>0</v>
      </c>
      <c r="AC779" s="7">
        <v>11</v>
      </c>
      <c r="AD779" s="7">
        <v>0</v>
      </c>
      <c r="AE779" s="7">
        <v>0</v>
      </c>
      <c r="AF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P779" s="7">
        <v>0</v>
      </c>
      <c r="AQ779" s="7">
        <v>1</v>
      </c>
      <c r="AR779" s="7">
        <v>0</v>
      </c>
      <c r="AS779" s="7">
        <v>0</v>
      </c>
      <c r="AT779" s="7">
        <v>1</v>
      </c>
      <c r="BE779" s="7">
        <v>240</v>
      </c>
      <c r="BG779" s="7">
        <v>2</v>
      </c>
      <c r="BL779" s="7">
        <v>0</v>
      </c>
    </row>
    <row r="780" spans="1:64" s="15" customFormat="1">
      <c r="A780" s="15">
        <v>1100005</v>
      </c>
      <c r="B780" s="15" t="s">
        <v>800</v>
      </c>
      <c r="C780" s="15" t="s">
        <v>540</v>
      </c>
      <c r="D780" s="15" t="s">
        <v>550</v>
      </c>
      <c r="E780" s="15">
        <v>3</v>
      </c>
      <c r="F780" s="15" t="s">
        <v>959</v>
      </c>
      <c r="G780" s="15">
        <v>0</v>
      </c>
      <c r="H780" s="15">
        <v>0</v>
      </c>
      <c r="I780" s="15">
        <v>99999</v>
      </c>
      <c r="J780" s="15">
        <v>0</v>
      </c>
      <c r="K780" s="15">
        <v>3</v>
      </c>
      <c r="L780" s="15" t="s">
        <v>1562</v>
      </c>
      <c r="M780" s="15">
        <v>1</v>
      </c>
      <c r="N780" s="7">
        <v>1</v>
      </c>
      <c r="Q780" s="15">
        <v>0</v>
      </c>
      <c r="R780" s="15">
        <v>0</v>
      </c>
      <c r="S780" s="16">
        <v>1</v>
      </c>
      <c r="T780" s="15">
        <v>0</v>
      </c>
      <c r="V780" s="15">
        <v>0</v>
      </c>
      <c r="W780" s="15">
        <v>0</v>
      </c>
      <c r="X780" s="30" t="s">
        <v>801</v>
      </c>
      <c r="Y780" s="15" t="s">
        <v>788</v>
      </c>
      <c r="Z780" s="15" t="s">
        <v>802</v>
      </c>
      <c r="AA780" s="15" t="s">
        <v>527</v>
      </c>
      <c r="AB780" s="15">
        <v>0</v>
      </c>
      <c r="AC780" s="15">
        <v>16</v>
      </c>
      <c r="AD780" s="15">
        <v>0</v>
      </c>
      <c r="AE780" s="15">
        <v>0</v>
      </c>
      <c r="AF780" s="15">
        <v>0</v>
      </c>
      <c r="AI780" s="15">
        <v>0</v>
      </c>
      <c r="AJ780" s="15">
        <v>0</v>
      </c>
      <c r="AK780" s="15">
        <v>0</v>
      </c>
      <c r="AL780" s="15">
        <v>0</v>
      </c>
      <c r="AM780" s="15">
        <v>0</v>
      </c>
      <c r="AN780" s="15">
        <v>0</v>
      </c>
      <c r="AP780" s="15">
        <v>0</v>
      </c>
      <c r="AR780" s="15">
        <v>0</v>
      </c>
      <c r="AS780" s="15">
        <v>0</v>
      </c>
      <c r="AT780" s="15">
        <v>1</v>
      </c>
      <c r="AV780" s="16"/>
      <c r="BD780" s="16"/>
      <c r="BE780" s="7">
        <v>240</v>
      </c>
      <c r="BG780" s="15">
        <v>2</v>
      </c>
      <c r="BL780" s="7">
        <v>0</v>
      </c>
    </row>
    <row r="781" spans="1:64" s="15" customFormat="1">
      <c r="A781" s="15">
        <v>1100010</v>
      </c>
      <c r="B781" s="15" t="s">
        <v>803</v>
      </c>
      <c r="C781" s="15" t="s">
        <v>540</v>
      </c>
      <c r="D781" s="15" t="s">
        <v>550</v>
      </c>
      <c r="E781" s="15">
        <v>10</v>
      </c>
      <c r="F781" s="15" t="s">
        <v>959</v>
      </c>
      <c r="G781" s="15">
        <v>0</v>
      </c>
      <c r="H781" s="15">
        <v>0</v>
      </c>
      <c r="I781" s="15">
        <v>99999</v>
      </c>
      <c r="J781" s="15">
        <v>0</v>
      </c>
      <c r="K781" s="15">
        <v>3</v>
      </c>
      <c r="L781" s="15" t="s">
        <v>1562</v>
      </c>
      <c r="M781" s="15">
        <v>1</v>
      </c>
      <c r="N781" s="7">
        <v>1</v>
      </c>
      <c r="Q781" s="15">
        <v>0</v>
      </c>
      <c r="R781" s="15">
        <v>0</v>
      </c>
      <c r="S781" s="16">
        <v>1</v>
      </c>
      <c r="T781" s="15">
        <v>0</v>
      </c>
      <c r="V781" s="15">
        <v>0</v>
      </c>
      <c r="W781" s="15">
        <v>0</v>
      </c>
      <c r="X781" s="30" t="s">
        <v>804</v>
      </c>
      <c r="Y781" s="15" t="s">
        <v>788</v>
      </c>
      <c r="Z781" s="15" t="s">
        <v>802</v>
      </c>
      <c r="AA781" s="15" t="s">
        <v>527</v>
      </c>
      <c r="AB781" s="15">
        <v>0</v>
      </c>
      <c r="AC781" s="15">
        <v>16</v>
      </c>
      <c r="AD781" s="15">
        <v>0</v>
      </c>
      <c r="AE781" s="15">
        <v>0</v>
      </c>
      <c r="AF781" s="15">
        <v>0</v>
      </c>
      <c r="AI781" s="15">
        <v>0</v>
      </c>
      <c r="AJ781" s="15">
        <v>0</v>
      </c>
      <c r="AK781" s="15">
        <v>0</v>
      </c>
      <c r="AL781" s="15">
        <v>0</v>
      </c>
      <c r="AM781" s="15">
        <v>0</v>
      </c>
      <c r="AN781" s="15">
        <v>0</v>
      </c>
      <c r="AP781" s="15">
        <v>0</v>
      </c>
      <c r="AR781" s="15">
        <v>0</v>
      </c>
      <c r="AS781" s="15">
        <v>0</v>
      </c>
      <c r="AT781" s="15">
        <v>1</v>
      </c>
      <c r="AV781" s="16"/>
      <c r="BD781" s="16"/>
      <c r="BE781" s="7">
        <v>240</v>
      </c>
      <c r="BG781" s="15">
        <v>2</v>
      </c>
      <c r="BL781" s="7">
        <v>0</v>
      </c>
    </row>
    <row r="782" spans="1:64" s="15" customFormat="1">
      <c r="A782" s="15">
        <v>1100015</v>
      </c>
      <c r="B782" s="15" t="s">
        <v>805</v>
      </c>
      <c r="C782" s="15" t="s">
        <v>540</v>
      </c>
      <c r="D782" s="15" t="s">
        <v>550</v>
      </c>
      <c r="E782" s="15">
        <v>15</v>
      </c>
      <c r="F782" s="15" t="s">
        <v>959</v>
      </c>
      <c r="G782" s="15">
        <v>0</v>
      </c>
      <c r="H782" s="15">
        <v>0</v>
      </c>
      <c r="I782" s="15">
        <v>99999</v>
      </c>
      <c r="J782" s="15">
        <v>0</v>
      </c>
      <c r="K782" s="15">
        <v>3</v>
      </c>
      <c r="L782" s="15" t="s">
        <v>1562</v>
      </c>
      <c r="M782" s="15">
        <v>1</v>
      </c>
      <c r="N782" s="7">
        <v>1</v>
      </c>
      <c r="Q782" s="15">
        <v>0</v>
      </c>
      <c r="R782" s="15">
        <v>0</v>
      </c>
      <c r="S782" s="16">
        <v>1</v>
      </c>
      <c r="T782" s="15">
        <v>0</v>
      </c>
      <c r="V782" s="15">
        <v>0</v>
      </c>
      <c r="W782" s="15">
        <v>0</v>
      </c>
      <c r="X782" s="30" t="s">
        <v>806</v>
      </c>
      <c r="Y782" s="15" t="s">
        <v>788</v>
      </c>
      <c r="Z782" s="15" t="s">
        <v>802</v>
      </c>
      <c r="AA782" s="15" t="s">
        <v>527</v>
      </c>
      <c r="AB782" s="15">
        <v>0</v>
      </c>
      <c r="AC782" s="15">
        <v>16</v>
      </c>
      <c r="AD782" s="15">
        <v>0</v>
      </c>
      <c r="AE782" s="15">
        <v>0</v>
      </c>
      <c r="AF782" s="15">
        <v>0</v>
      </c>
      <c r="AI782" s="15">
        <v>0</v>
      </c>
      <c r="AJ782" s="15">
        <v>0</v>
      </c>
      <c r="AK782" s="15">
        <v>0</v>
      </c>
      <c r="AL782" s="15">
        <v>0</v>
      </c>
      <c r="AM782" s="15">
        <v>0</v>
      </c>
      <c r="AN782" s="15">
        <v>0</v>
      </c>
      <c r="AP782" s="15">
        <v>0</v>
      </c>
      <c r="AR782" s="15">
        <v>0</v>
      </c>
      <c r="AS782" s="15">
        <v>0</v>
      </c>
      <c r="AT782" s="15">
        <v>1</v>
      </c>
      <c r="AV782" s="16"/>
      <c r="BD782" s="16"/>
      <c r="BE782" s="7">
        <v>240</v>
      </c>
      <c r="BG782" s="15">
        <v>2</v>
      </c>
      <c r="BL782" s="7">
        <v>0</v>
      </c>
    </row>
    <row r="783" spans="1:64" s="15" customFormat="1">
      <c r="A783" s="15">
        <v>1100020</v>
      </c>
      <c r="B783" s="15" t="s">
        <v>807</v>
      </c>
      <c r="C783" s="15" t="s">
        <v>540</v>
      </c>
      <c r="D783" s="15" t="s">
        <v>550</v>
      </c>
      <c r="E783" s="15">
        <v>20</v>
      </c>
      <c r="F783" s="15" t="s">
        <v>959</v>
      </c>
      <c r="G783" s="15">
        <v>0</v>
      </c>
      <c r="H783" s="15">
        <v>0</v>
      </c>
      <c r="I783" s="15">
        <v>99999</v>
      </c>
      <c r="J783" s="15">
        <v>0</v>
      </c>
      <c r="K783" s="15">
        <v>3</v>
      </c>
      <c r="L783" s="15" t="s">
        <v>1562</v>
      </c>
      <c r="M783" s="15">
        <v>1</v>
      </c>
      <c r="N783" s="7">
        <v>1</v>
      </c>
      <c r="Q783" s="15">
        <v>0</v>
      </c>
      <c r="R783" s="15">
        <v>0</v>
      </c>
      <c r="S783" s="16">
        <v>1</v>
      </c>
      <c r="T783" s="15">
        <v>0</v>
      </c>
      <c r="V783" s="15">
        <v>0</v>
      </c>
      <c r="W783" s="15">
        <v>0</v>
      </c>
      <c r="X783" s="30" t="s">
        <v>808</v>
      </c>
      <c r="Y783" s="15" t="s">
        <v>788</v>
      </c>
      <c r="Z783" s="15" t="s">
        <v>802</v>
      </c>
      <c r="AA783" s="15" t="s">
        <v>527</v>
      </c>
      <c r="AB783" s="15">
        <v>0</v>
      </c>
      <c r="AC783" s="15">
        <v>16</v>
      </c>
      <c r="AD783" s="15">
        <v>0</v>
      </c>
      <c r="AE783" s="15">
        <v>0</v>
      </c>
      <c r="AF783" s="15">
        <v>0</v>
      </c>
      <c r="AI783" s="15">
        <v>0</v>
      </c>
      <c r="AJ783" s="15">
        <v>0</v>
      </c>
      <c r="AK783" s="15">
        <v>0</v>
      </c>
      <c r="AL783" s="15">
        <v>0</v>
      </c>
      <c r="AM783" s="15">
        <v>0</v>
      </c>
      <c r="AN783" s="15">
        <v>0</v>
      </c>
      <c r="AP783" s="15">
        <v>0</v>
      </c>
      <c r="AR783" s="15">
        <v>0</v>
      </c>
      <c r="AS783" s="15">
        <v>0</v>
      </c>
      <c r="AT783" s="15">
        <v>1</v>
      </c>
      <c r="AV783" s="16"/>
      <c r="BD783" s="16"/>
      <c r="BE783" s="7">
        <v>240</v>
      </c>
      <c r="BG783" s="15">
        <v>2</v>
      </c>
      <c r="BL783" s="7">
        <v>0</v>
      </c>
    </row>
    <row r="784" spans="1:64" s="7" customFormat="1">
      <c r="A784" s="7">
        <v>1100101</v>
      </c>
      <c r="B784" s="7" t="s">
        <v>1263</v>
      </c>
      <c r="C784" s="7" t="s">
        <v>540</v>
      </c>
      <c r="D784" s="7" t="s">
        <v>550</v>
      </c>
      <c r="E784" s="7">
        <v>1</v>
      </c>
      <c r="F784" s="7" t="s">
        <v>959</v>
      </c>
      <c r="G784" s="7">
        <v>0</v>
      </c>
      <c r="H784" s="7">
        <v>0</v>
      </c>
      <c r="I784" s="7">
        <v>99999</v>
      </c>
      <c r="J784" s="7">
        <v>0</v>
      </c>
      <c r="K784" s="7">
        <v>3</v>
      </c>
      <c r="L784" s="7" t="s">
        <v>1562</v>
      </c>
      <c r="M784" s="7">
        <v>1</v>
      </c>
      <c r="N784" s="7">
        <v>1</v>
      </c>
      <c r="Q784" s="7">
        <v>0</v>
      </c>
      <c r="R784" s="7">
        <v>0</v>
      </c>
      <c r="S784" s="7">
        <v>1</v>
      </c>
      <c r="T784" s="7">
        <v>0</v>
      </c>
      <c r="V784" s="7">
        <v>0</v>
      </c>
      <c r="W784" s="7">
        <v>0</v>
      </c>
      <c r="X784" s="6" t="s">
        <v>1295</v>
      </c>
      <c r="Y784" s="7" t="s">
        <v>788</v>
      </c>
      <c r="Z784" s="7" t="s">
        <v>2854</v>
      </c>
      <c r="AA784" s="7" t="s">
        <v>527</v>
      </c>
      <c r="AB784" s="7">
        <v>0</v>
      </c>
      <c r="AC784" s="7">
        <v>16</v>
      </c>
      <c r="AD784" s="7">
        <v>0</v>
      </c>
      <c r="AE784" s="7">
        <v>0</v>
      </c>
      <c r="AF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P784" s="7">
        <v>0</v>
      </c>
      <c r="AQ784" s="7">
        <v>1</v>
      </c>
      <c r="AR784" s="7">
        <v>0</v>
      </c>
      <c r="AS784" s="7">
        <v>0</v>
      </c>
      <c r="AT784" s="7">
        <v>1</v>
      </c>
      <c r="BE784" s="7">
        <v>240</v>
      </c>
      <c r="BG784" s="7">
        <v>2</v>
      </c>
      <c r="BL784" s="7">
        <v>0</v>
      </c>
    </row>
    <row r="785" spans="1:64" s="7" customFormat="1">
      <c r="A785" s="7">
        <v>1100102</v>
      </c>
      <c r="B785" s="7" t="s">
        <v>1264</v>
      </c>
      <c r="C785" s="7" t="s">
        <v>540</v>
      </c>
      <c r="D785" s="7" t="s">
        <v>550</v>
      </c>
      <c r="E785" s="7">
        <v>1</v>
      </c>
      <c r="F785" s="7" t="s">
        <v>959</v>
      </c>
      <c r="G785" s="7">
        <v>0</v>
      </c>
      <c r="H785" s="7">
        <v>0</v>
      </c>
      <c r="I785" s="7">
        <v>99999</v>
      </c>
      <c r="J785" s="7">
        <v>0</v>
      </c>
      <c r="K785" s="7">
        <v>3</v>
      </c>
      <c r="L785" s="7" t="s">
        <v>1562</v>
      </c>
      <c r="M785" s="7">
        <v>1</v>
      </c>
      <c r="N785" s="7">
        <v>1</v>
      </c>
      <c r="Q785" s="7">
        <v>0</v>
      </c>
      <c r="R785" s="7">
        <v>0</v>
      </c>
      <c r="S785" s="7">
        <v>1</v>
      </c>
      <c r="T785" s="7">
        <v>0</v>
      </c>
      <c r="V785" s="7">
        <v>0</v>
      </c>
      <c r="W785" s="7">
        <v>0</v>
      </c>
      <c r="X785" s="6" t="s">
        <v>1289</v>
      </c>
      <c r="Y785" s="7" t="s">
        <v>788</v>
      </c>
      <c r="Z785" s="7" t="s">
        <v>2854</v>
      </c>
      <c r="AA785" s="7" t="s">
        <v>527</v>
      </c>
      <c r="AB785" s="7">
        <v>0</v>
      </c>
      <c r="AC785" s="7">
        <v>16</v>
      </c>
      <c r="AD785" s="7">
        <v>0</v>
      </c>
      <c r="AE785" s="7">
        <v>0</v>
      </c>
      <c r="AF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P785" s="7">
        <v>0</v>
      </c>
      <c r="AQ785" s="7">
        <v>1</v>
      </c>
      <c r="AR785" s="7">
        <v>0</v>
      </c>
      <c r="AS785" s="7">
        <v>0</v>
      </c>
      <c r="AT785" s="7">
        <v>1</v>
      </c>
      <c r="BE785" s="7">
        <v>240</v>
      </c>
      <c r="BG785" s="7">
        <v>2</v>
      </c>
      <c r="BL785" s="7">
        <v>0</v>
      </c>
    </row>
    <row r="786" spans="1:64" s="7" customFormat="1">
      <c r="A786" s="7">
        <v>1100103</v>
      </c>
      <c r="B786" s="7" t="s">
        <v>1265</v>
      </c>
      <c r="C786" s="7" t="s">
        <v>540</v>
      </c>
      <c r="D786" s="7" t="s">
        <v>550</v>
      </c>
      <c r="E786" s="7">
        <v>1</v>
      </c>
      <c r="F786" s="7" t="s">
        <v>959</v>
      </c>
      <c r="G786" s="7">
        <v>0</v>
      </c>
      <c r="H786" s="7">
        <v>0</v>
      </c>
      <c r="I786" s="7">
        <v>99999</v>
      </c>
      <c r="J786" s="7">
        <v>0</v>
      </c>
      <c r="K786" s="7">
        <v>3</v>
      </c>
      <c r="L786" s="7" t="s">
        <v>1562</v>
      </c>
      <c r="M786" s="7">
        <v>1</v>
      </c>
      <c r="N786" s="7">
        <v>1</v>
      </c>
      <c r="Q786" s="7">
        <v>0</v>
      </c>
      <c r="R786" s="7">
        <v>0</v>
      </c>
      <c r="S786" s="7">
        <v>1</v>
      </c>
      <c r="T786" s="7">
        <v>0</v>
      </c>
      <c r="V786" s="7">
        <v>0</v>
      </c>
      <c r="W786" s="7">
        <v>0</v>
      </c>
      <c r="X786" s="6" t="s">
        <v>1290</v>
      </c>
      <c r="Y786" s="7" t="s">
        <v>788</v>
      </c>
      <c r="Z786" s="7" t="s">
        <v>2854</v>
      </c>
      <c r="AA786" s="7" t="s">
        <v>527</v>
      </c>
      <c r="AB786" s="7">
        <v>0</v>
      </c>
      <c r="AC786" s="7">
        <v>16</v>
      </c>
      <c r="AD786" s="7">
        <v>0</v>
      </c>
      <c r="AE786" s="7">
        <v>0</v>
      </c>
      <c r="AF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P786" s="7">
        <v>0</v>
      </c>
      <c r="AQ786" s="7">
        <v>1</v>
      </c>
      <c r="AR786" s="7">
        <v>0</v>
      </c>
      <c r="AS786" s="7">
        <v>0</v>
      </c>
      <c r="AT786" s="7">
        <v>1</v>
      </c>
      <c r="BE786" s="7">
        <v>240</v>
      </c>
      <c r="BG786" s="7">
        <v>2</v>
      </c>
      <c r="BL786" s="7">
        <v>0</v>
      </c>
    </row>
    <row r="787" spans="1:64" s="7" customFormat="1">
      <c r="A787" s="7">
        <v>1100104</v>
      </c>
      <c r="B787" s="7" t="s">
        <v>1266</v>
      </c>
      <c r="C787" s="7" t="s">
        <v>540</v>
      </c>
      <c r="D787" s="7" t="s">
        <v>550</v>
      </c>
      <c r="E787" s="7">
        <v>1</v>
      </c>
      <c r="F787" s="7" t="s">
        <v>959</v>
      </c>
      <c r="G787" s="7">
        <v>0</v>
      </c>
      <c r="H787" s="7">
        <v>0</v>
      </c>
      <c r="I787" s="7">
        <v>99999</v>
      </c>
      <c r="J787" s="7">
        <v>0</v>
      </c>
      <c r="K787" s="7">
        <v>3</v>
      </c>
      <c r="L787" s="7" t="s">
        <v>1562</v>
      </c>
      <c r="M787" s="7">
        <v>1</v>
      </c>
      <c r="N787" s="7">
        <v>1</v>
      </c>
      <c r="Q787" s="7">
        <v>0</v>
      </c>
      <c r="R787" s="7">
        <v>0</v>
      </c>
      <c r="S787" s="7">
        <v>1</v>
      </c>
      <c r="T787" s="7">
        <v>0</v>
      </c>
      <c r="V787" s="7">
        <v>0</v>
      </c>
      <c r="W787" s="7">
        <v>0</v>
      </c>
      <c r="X787" s="6" t="s">
        <v>1291</v>
      </c>
      <c r="Y787" s="7" t="s">
        <v>788</v>
      </c>
      <c r="Z787" s="7" t="s">
        <v>2854</v>
      </c>
      <c r="AA787" s="7" t="s">
        <v>527</v>
      </c>
      <c r="AB787" s="7">
        <v>0</v>
      </c>
      <c r="AC787" s="7">
        <v>16</v>
      </c>
      <c r="AD787" s="7">
        <v>0</v>
      </c>
      <c r="AE787" s="7">
        <v>0</v>
      </c>
      <c r="AF787" s="7">
        <v>0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P787" s="7">
        <v>0</v>
      </c>
      <c r="AQ787" s="7">
        <v>1</v>
      </c>
      <c r="AR787" s="7">
        <v>0</v>
      </c>
      <c r="AS787" s="7">
        <v>0</v>
      </c>
      <c r="AT787" s="7">
        <v>1</v>
      </c>
      <c r="BE787" s="7">
        <v>240</v>
      </c>
      <c r="BG787" s="7">
        <v>2</v>
      </c>
      <c r="BL787" s="7">
        <v>0</v>
      </c>
    </row>
    <row r="788" spans="1:64" s="7" customFormat="1">
      <c r="A788" s="7">
        <v>1100105</v>
      </c>
      <c r="B788" s="7" t="s">
        <v>1267</v>
      </c>
      <c r="C788" s="7" t="s">
        <v>540</v>
      </c>
      <c r="D788" s="7" t="s">
        <v>550</v>
      </c>
      <c r="E788" s="7">
        <v>1</v>
      </c>
      <c r="F788" s="7" t="s">
        <v>959</v>
      </c>
      <c r="G788" s="7">
        <v>0</v>
      </c>
      <c r="H788" s="7">
        <v>0</v>
      </c>
      <c r="I788" s="7">
        <v>99999</v>
      </c>
      <c r="J788" s="7">
        <v>0</v>
      </c>
      <c r="K788" s="7">
        <v>3</v>
      </c>
      <c r="L788" s="7" t="s">
        <v>1562</v>
      </c>
      <c r="M788" s="7">
        <v>1</v>
      </c>
      <c r="N788" s="7">
        <v>1</v>
      </c>
      <c r="Q788" s="7">
        <v>0</v>
      </c>
      <c r="R788" s="7">
        <v>0</v>
      </c>
      <c r="S788" s="7">
        <v>1</v>
      </c>
      <c r="T788" s="7">
        <v>0</v>
      </c>
      <c r="V788" s="7">
        <v>0</v>
      </c>
      <c r="W788" s="7">
        <v>0</v>
      </c>
      <c r="X788" s="6" t="s">
        <v>1292</v>
      </c>
      <c r="Y788" s="7" t="s">
        <v>788</v>
      </c>
      <c r="Z788" s="7" t="s">
        <v>2854</v>
      </c>
      <c r="AA788" s="7" t="s">
        <v>527</v>
      </c>
      <c r="AB788" s="7">
        <v>0</v>
      </c>
      <c r="AC788" s="7">
        <v>16</v>
      </c>
      <c r="AD788" s="7">
        <v>0</v>
      </c>
      <c r="AE788" s="7">
        <v>0</v>
      </c>
      <c r="AF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P788" s="7">
        <v>0</v>
      </c>
      <c r="AQ788" s="7">
        <v>1</v>
      </c>
      <c r="AR788" s="7">
        <v>0</v>
      </c>
      <c r="AS788" s="7">
        <v>0</v>
      </c>
      <c r="AT788" s="7">
        <v>1</v>
      </c>
      <c r="BE788" s="7">
        <v>240</v>
      </c>
      <c r="BG788" s="7">
        <v>2</v>
      </c>
      <c r="BL788" s="7">
        <v>0</v>
      </c>
    </row>
    <row r="789" spans="1:64" s="7" customFormat="1">
      <c r="A789" s="7">
        <v>1100106</v>
      </c>
      <c r="B789" s="7" t="s">
        <v>1268</v>
      </c>
      <c r="C789" s="7" t="s">
        <v>540</v>
      </c>
      <c r="D789" s="7" t="s">
        <v>550</v>
      </c>
      <c r="E789" s="7">
        <v>1</v>
      </c>
      <c r="F789" s="7" t="s">
        <v>959</v>
      </c>
      <c r="G789" s="7">
        <v>0</v>
      </c>
      <c r="H789" s="7">
        <v>0</v>
      </c>
      <c r="I789" s="7">
        <v>99999</v>
      </c>
      <c r="J789" s="7">
        <v>0</v>
      </c>
      <c r="K789" s="7">
        <v>3</v>
      </c>
      <c r="L789" s="7" t="s">
        <v>1562</v>
      </c>
      <c r="M789" s="7">
        <v>1</v>
      </c>
      <c r="N789" s="7">
        <v>1</v>
      </c>
      <c r="Q789" s="7">
        <v>0</v>
      </c>
      <c r="R789" s="7">
        <v>0</v>
      </c>
      <c r="S789" s="7">
        <v>1</v>
      </c>
      <c r="T789" s="7">
        <v>0</v>
      </c>
      <c r="V789" s="7">
        <v>0</v>
      </c>
      <c r="W789" s="7">
        <v>0</v>
      </c>
      <c r="X789" s="6" t="s">
        <v>1293</v>
      </c>
      <c r="Y789" s="7" t="s">
        <v>788</v>
      </c>
      <c r="Z789" s="7" t="s">
        <v>2854</v>
      </c>
      <c r="AA789" s="7" t="s">
        <v>527</v>
      </c>
      <c r="AB789" s="7">
        <v>0</v>
      </c>
      <c r="AC789" s="7">
        <v>16</v>
      </c>
      <c r="AD789" s="7">
        <v>0</v>
      </c>
      <c r="AE789" s="7">
        <v>0</v>
      </c>
      <c r="AF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P789" s="7">
        <v>0</v>
      </c>
      <c r="AQ789" s="7">
        <v>1</v>
      </c>
      <c r="AR789" s="7">
        <v>0</v>
      </c>
      <c r="AS789" s="7">
        <v>0</v>
      </c>
      <c r="AT789" s="7">
        <v>1</v>
      </c>
      <c r="BE789" s="7">
        <v>240</v>
      </c>
      <c r="BG789" s="7">
        <v>2</v>
      </c>
      <c r="BL789" s="7">
        <v>0</v>
      </c>
    </row>
    <row r="790" spans="1:64" s="7" customFormat="1">
      <c r="A790" s="7">
        <v>1100107</v>
      </c>
      <c r="B790" s="7" t="s">
        <v>1269</v>
      </c>
      <c r="C790" s="7" t="s">
        <v>540</v>
      </c>
      <c r="D790" s="7" t="s">
        <v>550</v>
      </c>
      <c r="E790" s="7">
        <v>1</v>
      </c>
      <c r="F790" s="7" t="s">
        <v>959</v>
      </c>
      <c r="G790" s="7">
        <v>0</v>
      </c>
      <c r="H790" s="7">
        <v>0</v>
      </c>
      <c r="I790" s="7">
        <v>99999</v>
      </c>
      <c r="J790" s="7">
        <v>0</v>
      </c>
      <c r="K790" s="7">
        <v>3</v>
      </c>
      <c r="L790" s="7" t="s">
        <v>1562</v>
      </c>
      <c r="M790" s="7">
        <v>1</v>
      </c>
      <c r="N790" s="7">
        <v>1</v>
      </c>
      <c r="Q790" s="7">
        <v>0</v>
      </c>
      <c r="R790" s="7">
        <v>0</v>
      </c>
      <c r="S790" s="7">
        <v>1</v>
      </c>
      <c r="T790" s="7">
        <v>0</v>
      </c>
      <c r="V790" s="7">
        <v>0</v>
      </c>
      <c r="W790" s="7">
        <v>0</v>
      </c>
      <c r="X790" s="6" t="s">
        <v>1294</v>
      </c>
      <c r="Y790" s="7" t="s">
        <v>788</v>
      </c>
      <c r="Z790" s="7" t="s">
        <v>2854</v>
      </c>
      <c r="AA790" s="7" t="s">
        <v>527</v>
      </c>
      <c r="AB790" s="7">
        <v>0</v>
      </c>
      <c r="AC790" s="7">
        <v>16</v>
      </c>
      <c r="AD790" s="7">
        <v>0</v>
      </c>
      <c r="AE790" s="7">
        <v>0</v>
      </c>
      <c r="AF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P790" s="7">
        <v>0</v>
      </c>
      <c r="AQ790" s="7">
        <v>1</v>
      </c>
      <c r="AR790" s="7">
        <v>0</v>
      </c>
      <c r="AS790" s="7">
        <v>0</v>
      </c>
      <c r="AT790" s="7">
        <v>1</v>
      </c>
      <c r="BE790" s="7">
        <v>240</v>
      </c>
      <c r="BG790" s="7">
        <v>2</v>
      </c>
      <c r="BL790" s="7">
        <v>0</v>
      </c>
    </row>
    <row r="791" spans="1:64">
      <c r="A791">
        <v>1200001</v>
      </c>
      <c r="B791" t="s">
        <v>954</v>
      </c>
      <c r="C791" t="s">
        <v>540</v>
      </c>
      <c r="D791" t="s">
        <v>550</v>
      </c>
      <c r="E791">
        <v>1</v>
      </c>
      <c r="F791" t="s">
        <v>959</v>
      </c>
      <c r="G791">
        <v>0</v>
      </c>
      <c r="H791">
        <v>0</v>
      </c>
      <c r="I791">
        <v>99999</v>
      </c>
      <c r="J791">
        <v>0</v>
      </c>
      <c r="K791">
        <v>3</v>
      </c>
      <c r="L791" t="s">
        <v>1562</v>
      </c>
      <c r="M791">
        <v>1</v>
      </c>
      <c r="N791" s="7">
        <v>1</v>
      </c>
      <c r="Q791">
        <v>0</v>
      </c>
      <c r="R791">
        <v>0</v>
      </c>
      <c r="S791" s="7">
        <v>1</v>
      </c>
      <c r="T791">
        <v>0</v>
      </c>
      <c r="V791">
        <v>0</v>
      </c>
      <c r="W791">
        <v>0</v>
      </c>
      <c r="X791" s="6" t="s">
        <v>809</v>
      </c>
      <c r="Y791" t="s">
        <v>772</v>
      </c>
      <c r="Z791" t="s">
        <v>2855</v>
      </c>
      <c r="AA791" t="s">
        <v>527</v>
      </c>
      <c r="AB791">
        <v>0</v>
      </c>
      <c r="AC791">
        <v>16</v>
      </c>
      <c r="AD791">
        <v>0</v>
      </c>
      <c r="AE791">
        <v>0</v>
      </c>
      <c r="AF791">
        <v>0</v>
      </c>
      <c r="AI791">
        <v>0</v>
      </c>
      <c r="AJ791">
        <v>0</v>
      </c>
      <c r="AK791" s="7">
        <v>0</v>
      </c>
      <c r="AL791" s="7">
        <v>0</v>
      </c>
      <c r="AM791" s="7">
        <v>0</v>
      </c>
      <c r="AN791" s="7">
        <v>0</v>
      </c>
      <c r="AP791">
        <v>0</v>
      </c>
      <c r="AQ791" s="7">
        <v>1</v>
      </c>
      <c r="AR791" s="7">
        <v>0</v>
      </c>
      <c r="AS791" s="7">
        <v>0</v>
      </c>
      <c r="AT791">
        <v>1</v>
      </c>
      <c r="BD791" s="7"/>
      <c r="BE791" s="7">
        <v>240</v>
      </c>
      <c r="BG791" s="7">
        <v>2</v>
      </c>
      <c r="BL791" s="7">
        <v>0</v>
      </c>
    </row>
    <row r="792" spans="1:64">
      <c r="A792">
        <v>1200002</v>
      </c>
      <c r="B792" t="s">
        <v>1330</v>
      </c>
      <c r="C792" t="s">
        <v>540</v>
      </c>
      <c r="D792" t="s">
        <v>550</v>
      </c>
      <c r="E792">
        <v>1</v>
      </c>
      <c r="F792" t="s">
        <v>959</v>
      </c>
      <c r="G792">
        <v>0</v>
      </c>
      <c r="H792">
        <v>0</v>
      </c>
      <c r="I792">
        <v>99999</v>
      </c>
      <c r="J792">
        <v>0</v>
      </c>
      <c r="K792">
        <v>3</v>
      </c>
      <c r="L792" t="s">
        <v>1562</v>
      </c>
      <c r="M792">
        <v>1</v>
      </c>
      <c r="N792" s="7">
        <v>1</v>
      </c>
      <c r="Q792">
        <v>0</v>
      </c>
      <c r="R792">
        <v>0</v>
      </c>
      <c r="S792" s="7">
        <v>1</v>
      </c>
      <c r="T792">
        <v>0</v>
      </c>
      <c r="V792">
        <v>0</v>
      </c>
      <c r="W792">
        <v>0</v>
      </c>
      <c r="X792" s="6" t="s">
        <v>1335</v>
      </c>
      <c r="Y792" t="s">
        <v>772</v>
      </c>
      <c r="Z792" t="s">
        <v>2914</v>
      </c>
      <c r="AA792" t="s">
        <v>527</v>
      </c>
      <c r="AB792">
        <v>0</v>
      </c>
      <c r="AC792">
        <v>16</v>
      </c>
      <c r="AD792">
        <v>0</v>
      </c>
      <c r="AE792">
        <v>0</v>
      </c>
      <c r="AF792">
        <v>0</v>
      </c>
      <c r="AI792">
        <v>0</v>
      </c>
      <c r="AJ792">
        <v>0</v>
      </c>
      <c r="AK792" s="7">
        <v>0</v>
      </c>
      <c r="AL792" s="7">
        <v>0</v>
      </c>
      <c r="AM792" s="7">
        <v>0</v>
      </c>
      <c r="AN792" s="7">
        <v>0</v>
      </c>
      <c r="AP792">
        <v>0</v>
      </c>
      <c r="AQ792" s="7">
        <v>1</v>
      </c>
      <c r="AR792" s="7">
        <v>0</v>
      </c>
      <c r="AS792" s="7">
        <v>0</v>
      </c>
      <c r="AT792">
        <v>1</v>
      </c>
      <c r="BD792" s="7"/>
      <c r="BE792" s="7">
        <v>240</v>
      </c>
      <c r="BG792" s="7">
        <v>2</v>
      </c>
      <c r="BL792" s="7">
        <v>0</v>
      </c>
    </row>
    <row r="793" spans="1:64" s="7" customFormat="1">
      <c r="A793" s="7">
        <v>1200003</v>
      </c>
      <c r="B793" s="7" t="s">
        <v>1331</v>
      </c>
      <c r="C793" s="7" t="s">
        <v>540</v>
      </c>
      <c r="D793" s="7" t="s">
        <v>550</v>
      </c>
      <c r="E793" s="7">
        <v>1</v>
      </c>
      <c r="F793" s="7" t="s">
        <v>959</v>
      </c>
      <c r="G793" s="7">
        <v>0</v>
      </c>
      <c r="H793" s="7">
        <v>0</v>
      </c>
      <c r="I793" s="7">
        <v>99999</v>
      </c>
      <c r="J793" s="7">
        <v>0</v>
      </c>
      <c r="K793" s="7">
        <v>3</v>
      </c>
      <c r="L793" s="7" t="s">
        <v>1562</v>
      </c>
      <c r="M793" s="7">
        <v>1</v>
      </c>
      <c r="N793" s="7">
        <v>1</v>
      </c>
      <c r="Q793" s="7">
        <v>0</v>
      </c>
      <c r="R793" s="7">
        <v>0</v>
      </c>
      <c r="S793" s="7">
        <v>1</v>
      </c>
      <c r="T793" s="7">
        <v>0</v>
      </c>
      <c r="V793" s="7">
        <v>0</v>
      </c>
      <c r="W793" s="7">
        <v>0</v>
      </c>
      <c r="X793" s="6" t="s">
        <v>1333</v>
      </c>
      <c r="Y793" s="7" t="s">
        <v>772</v>
      </c>
      <c r="Z793" s="7" t="s">
        <v>2915</v>
      </c>
      <c r="AA793" s="7" t="s">
        <v>527</v>
      </c>
      <c r="AB793" s="7">
        <v>0</v>
      </c>
      <c r="AC793" s="7">
        <v>16</v>
      </c>
      <c r="AD793" s="7">
        <v>0</v>
      </c>
      <c r="AE793" s="7">
        <v>0</v>
      </c>
      <c r="AF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P793" s="7">
        <v>0</v>
      </c>
      <c r="AQ793" s="7">
        <v>1</v>
      </c>
      <c r="AR793" s="7">
        <v>0</v>
      </c>
      <c r="AS793" s="7">
        <v>0</v>
      </c>
      <c r="AT793" s="7">
        <v>1</v>
      </c>
      <c r="BE793" s="7">
        <v>240</v>
      </c>
      <c r="BG793" s="7">
        <v>2</v>
      </c>
      <c r="BL793" s="7">
        <v>0</v>
      </c>
    </row>
    <row r="794" spans="1:64" s="7" customFormat="1">
      <c r="A794" s="7">
        <v>1200004</v>
      </c>
      <c r="B794" s="7" t="s">
        <v>1332</v>
      </c>
      <c r="C794" s="7" t="s">
        <v>540</v>
      </c>
      <c r="D794" s="7" t="s">
        <v>550</v>
      </c>
      <c r="E794" s="7">
        <v>1</v>
      </c>
      <c r="F794" s="7" t="s">
        <v>959</v>
      </c>
      <c r="G794" s="7">
        <v>0</v>
      </c>
      <c r="H794" s="7">
        <v>0</v>
      </c>
      <c r="I794" s="7">
        <v>99999</v>
      </c>
      <c r="J794" s="7">
        <v>0</v>
      </c>
      <c r="K794" s="7">
        <v>3</v>
      </c>
      <c r="L794" s="7" t="s">
        <v>1562</v>
      </c>
      <c r="M794" s="7">
        <v>1</v>
      </c>
      <c r="N794" s="7">
        <v>1</v>
      </c>
      <c r="Q794" s="7">
        <v>0</v>
      </c>
      <c r="R794" s="7">
        <v>0</v>
      </c>
      <c r="S794" s="7">
        <v>1</v>
      </c>
      <c r="T794" s="7">
        <v>0</v>
      </c>
      <c r="V794" s="7">
        <v>0</v>
      </c>
      <c r="W794" s="7">
        <v>0</v>
      </c>
      <c r="X794" s="6" t="s">
        <v>1334</v>
      </c>
      <c r="Y794" s="7" t="s">
        <v>772</v>
      </c>
      <c r="Z794" s="7" t="s">
        <v>2915</v>
      </c>
      <c r="AA794" s="7" t="s">
        <v>527</v>
      </c>
      <c r="AB794" s="7">
        <v>0</v>
      </c>
      <c r="AC794" s="7">
        <v>16</v>
      </c>
      <c r="AD794" s="7">
        <v>0</v>
      </c>
      <c r="AE794" s="7">
        <v>0</v>
      </c>
      <c r="AF794" s="7">
        <v>0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P794" s="7">
        <v>0</v>
      </c>
      <c r="AQ794" s="7">
        <v>1</v>
      </c>
      <c r="AR794" s="7">
        <v>0</v>
      </c>
      <c r="AS794" s="7">
        <v>0</v>
      </c>
      <c r="AT794" s="7">
        <v>1</v>
      </c>
      <c r="BE794" s="7">
        <v>240</v>
      </c>
      <c r="BG794" s="7">
        <v>2</v>
      </c>
      <c r="BL794" s="7">
        <v>0</v>
      </c>
    </row>
    <row r="795" spans="1:64" s="7" customFormat="1">
      <c r="A795" s="7">
        <v>1200005</v>
      </c>
      <c r="B795" s="7" t="s">
        <v>1338</v>
      </c>
      <c r="C795" s="7" t="s">
        <v>540</v>
      </c>
      <c r="D795" s="7" t="s">
        <v>550</v>
      </c>
      <c r="E795" s="7">
        <v>1</v>
      </c>
      <c r="F795" s="7" t="s">
        <v>959</v>
      </c>
      <c r="G795" s="7">
        <v>0</v>
      </c>
      <c r="H795" s="7">
        <v>0</v>
      </c>
      <c r="I795" s="7">
        <v>99999</v>
      </c>
      <c r="J795" s="7">
        <v>0</v>
      </c>
      <c r="K795" s="7">
        <v>3</v>
      </c>
      <c r="L795" s="7" t="s">
        <v>1562</v>
      </c>
      <c r="M795" s="7">
        <v>1</v>
      </c>
      <c r="N795" s="7">
        <v>1</v>
      </c>
      <c r="Q795" s="7">
        <v>0</v>
      </c>
      <c r="R795" s="7">
        <v>0</v>
      </c>
      <c r="S795" s="7">
        <v>1</v>
      </c>
      <c r="T795" s="7">
        <v>0</v>
      </c>
      <c r="V795" s="7">
        <v>0</v>
      </c>
      <c r="W795" s="7">
        <v>0</v>
      </c>
      <c r="X795" s="6" t="s">
        <v>1339</v>
      </c>
      <c r="Y795" s="7" t="s">
        <v>772</v>
      </c>
      <c r="Z795" s="7" t="s">
        <v>2916</v>
      </c>
      <c r="AA795" s="7" t="s">
        <v>527</v>
      </c>
      <c r="AB795" s="7">
        <v>0</v>
      </c>
      <c r="AC795" s="7">
        <v>16</v>
      </c>
      <c r="AD795" s="7">
        <v>0</v>
      </c>
      <c r="AE795" s="7">
        <v>0</v>
      </c>
      <c r="AF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P795" s="7">
        <v>0</v>
      </c>
      <c r="AQ795" s="7">
        <v>1</v>
      </c>
      <c r="AR795" s="7">
        <v>0</v>
      </c>
      <c r="AS795" s="7">
        <v>0</v>
      </c>
      <c r="AT795" s="7">
        <v>1</v>
      </c>
      <c r="BE795" s="7">
        <v>240</v>
      </c>
      <c r="BG795" s="7">
        <v>2</v>
      </c>
      <c r="BL795" s="7">
        <v>0</v>
      </c>
    </row>
    <row r="796" spans="1:64">
      <c r="A796">
        <v>1310001</v>
      </c>
      <c r="B796" t="s">
        <v>810</v>
      </c>
      <c r="C796" t="s">
        <v>540</v>
      </c>
      <c r="D796" t="s">
        <v>550</v>
      </c>
      <c r="E796">
        <v>15</v>
      </c>
      <c r="F796" t="s">
        <v>959</v>
      </c>
      <c r="G796">
        <v>0</v>
      </c>
      <c r="H796">
        <v>0</v>
      </c>
      <c r="I796">
        <v>99999</v>
      </c>
      <c r="J796">
        <v>0</v>
      </c>
      <c r="K796">
        <v>3</v>
      </c>
      <c r="L796" t="s">
        <v>1562</v>
      </c>
      <c r="M796">
        <v>1</v>
      </c>
      <c r="N796" s="7">
        <v>1</v>
      </c>
      <c r="Q796">
        <v>0</v>
      </c>
      <c r="R796">
        <v>0</v>
      </c>
      <c r="S796" s="7">
        <v>1</v>
      </c>
      <c r="T796">
        <v>0</v>
      </c>
      <c r="V796">
        <v>0</v>
      </c>
      <c r="W796">
        <v>0</v>
      </c>
      <c r="X796" s="6" t="s">
        <v>811</v>
      </c>
      <c r="Y796" t="s">
        <v>788</v>
      </c>
      <c r="Z796" t="s">
        <v>2917</v>
      </c>
      <c r="AA796" t="s">
        <v>527</v>
      </c>
      <c r="AB796">
        <v>0</v>
      </c>
      <c r="AC796">
        <v>16</v>
      </c>
      <c r="AD796">
        <v>0</v>
      </c>
      <c r="AE796">
        <v>0</v>
      </c>
      <c r="AF796">
        <v>0</v>
      </c>
      <c r="AI796">
        <v>0</v>
      </c>
      <c r="AJ796">
        <v>0</v>
      </c>
      <c r="AK796" s="7">
        <v>0</v>
      </c>
      <c r="AL796" s="7">
        <v>0</v>
      </c>
      <c r="AM796" s="7">
        <v>0</v>
      </c>
      <c r="AN796" s="7">
        <v>0</v>
      </c>
      <c r="AP796">
        <v>0</v>
      </c>
      <c r="AQ796" s="7">
        <v>1</v>
      </c>
      <c r="AR796" s="7">
        <v>0</v>
      </c>
      <c r="AS796" s="7">
        <v>0</v>
      </c>
      <c r="AT796">
        <v>1</v>
      </c>
      <c r="BD796" s="7"/>
      <c r="BE796" s="7">
        <v>240</v>
      </c>
      <c r="BG796" s="7">
        <v>2</v>
      </c>
      <c r="BL796" s="7">
        <v>0</v>
      </c>
    </row>
    <row r="797" spans="1:64">
      <c r="A797">
        <v>1310002</v>
      </c>
      <c r="B797" t="s">
        <v>812</v>
      </c>
      <c r="C797" t="s">
        <v>540</v>
      </c>
      <c r="D797" t="s">
        <v>550</v>
      </c>
      <c r="E797">
        <v>15</v>
      </c>
      <c r="F797" t="s">
        <v>959</v>
      </c>
      <c r="G797">
        <v>0</v>
      </c>
      <c r="H797">
        <v>0</v>
      </c>
      <c r="I797">
        <v>99999</v>
      </c>
      <c r="J797">
        <v>0</v>
      </c>
      <c r="K797">
        <v>3</v>
      </c>
      <c r="L797" t="s">
        <v>1562</v>
      </c>
      <c r="M797">
        <v>1</v>
      </c>
      <c r="N797" s="7">
        <v>1</v>
      </c>
      <c r="Q797">
        <v>0</v>
      </c>
      <c r="R797">
        <v>0</v>
      </c>
      <c r="S797" s="7">
        <v>1</v>
      </c>
      <c r="T797">
        <v>0</v>
      </c>
      <c r="V797">
        <v>0</v>
      </c>
      <c r="W797">
        <v>0</v>
      </c>
      <c r="X797" s="6" t="s">
        <v>813</v>
      </c>
      <c r="Y797" t="s">
        <v>788</v>
      </c>
      <c r="Z797" t="s">
        <v>2917</v>
      </c>
      <c r="AA797" t="s">
        <v>527</v>
      </c>
      <c r="AB797">
        <v>0</v>
      </c>
      <c r="AC797">
        <v>16</v>
      </c>
      <c r="AD797">
        <v>0</v>
      </c>
      <c r="AE797">
        <v>0</v>
      </c>
      <c r="AF797">
        <v>0</v>
      </c>
      <c r="AI797">
        <v>0</v>
      </c>
      <c r="AJ797">
        <v>0</v>
      </c>
      <c r="AK797" s="7">
        <v>0</v>
      </c>
      <c r="AL797" s="7">
        <v>0</v>
      </c>
      <c r="AM797" s="7">
        <v>0</v>
      </c>
      <c r="AN797" s="7">
        <v>0</v>
      </c>
      <c r="AP797">
        <v>0</v>
      </c>
      <c r="AQ797" s="7">
        <v>1</v>
      </c>
      <c r="AR797" s="7">
        <v>0</v>
      </c>
      <c r="AS797" s="7">
        <v>0</v>
      </c>
      <c r="AT797">
        <v>1</v>
      </c>
      <c r="BD797" s="7"/>
      <c r="BE797" s="7">
        <v>240</v>
      </c>
      <c r="BG797" s="7">
        <v>2</v>
      </c>
      <c r="BL797" s="7">
        <v>0</v>
      </c>
    </row>
    <row r="798" spans="1:64">
      <c r="A798">
        <v>1310003</v>
      </c>
      <c r="B798" t="s">
        <v>814</v>
      </c>
      <c r="C798" t="s">
        <v>540</v>
      </c>
      <c r="D798" t="s">
        <v>550</v>
      </c>
      <c r="E798">
        <v>15</v>
      </c>
      <c r="F798" t="s">
        <v>959</v>
      </c>
      <c r="G798">
        <v>0</v>
      </c>
      <c r="H798">
        <v>0</v>
      </c>
      <c r="I798">
        <v>99999</v>
      </c>
      <c r="J798">
        <v>0</v>
      </c>
      <c r="K798">
        <v>3</v>
      </c>
      <c r="L798" t="s">
        <v>1562</v>
      </c>
      <c r="M798">
        <v>1</v>
      </c>
      <c r="N798" s="7">
        <v>1</v>
      </c>
      <c r="Q798">
        <v>0</v>
      </c>
      <c r="R798">
        <v>0</v>
      </c>
      <c r="S798" s="7">
        <v>1</v>
      </c>
      <c r="T798">
        <v>0</v>
      </c>
      <c r="V798">
        <v>0</v>
      </c>
      <c r="W798">
        <v>0</v>
      </c>
      <c r="X798" s="6" t="s">
        <v>815</v>
      </c>
      <c r="Y798" t="s">
        <v>788</v>
      </c>
      <c r="Z798" t="s">
        <v>2917</v>
      </c>
      <c r="AA798" t="s">
        <v>527</v>
      </c>
      <c r="AB798">
        <v>0</v>
      </c>
      <c r="AC798">
        <v>16</v>
      </c>
      <c r="AD798">
        <v>0</v>
      </c>
      <c r="AE798">
        <v>0</v>
      </c>
      <c r="AF798">
        <v>0</v>
      </c>
      <c r="AI798">
        <v>0</v>
      </c>
      <c r="AJ798">
        <v>0</v>
      </c>
      <c r="AK798" s="7">
        <v>0</v>
      </c>
      <c r="AL798" s="7">
        <v>0</v>
      </c>
      <c r="AM798" s="7">
        <v>0</v>
      </c>
      <c r="AN798" s="7">
        <v>0</v>
      </c>
      <c r="AP798">
        <v>0</v>
      </c>
      <c r="AQ798" s="7">
        <v>1</v>
      </c>
      <c r="AR798" s="7">
        <v>0</v>
      </c>
      <c r="AS798" s="7">
        <v>0</v>
      </c>
      <c r="AT798">
        <v>1</v>
      </c>
      <c r="BD798" s="7"/>
      <c r="BE798" s="7">
        <v>240</v>
      </c>
      <c r="BG798" s="7">
        <v>2</v>
      </c>
      <c r="BL798" s="7">
        <v>0</v>
      </c>
    </row>
    <row r="799" spans="1:64">
      <c r="A799">
        <v>1310004</v>
      </c>
      <c r="B799" t="s">
        <v>816</v>
      </c>
      <c r="C799" t="s">
        <v>540</v>
      </c>
      <c r="D799" t="s">
        <v>550</v>
      </c>
      <c r="E799">
        <v>15</v>
      </c>
      <c r="F799" t="s">
        <v>959</v>
      </c>
      <c r="G799">
        <v>0</v>
      </c>
      <c r="H799">
        <v>0</v>
      </c>
      <c r="I799">
        <v>99999</v>
      </c>
      <c r="J799">
        <v>0</v>
      </c>
      <c r="K799">
        <v>3</v>
      </c>
      <c r="L799" t="s">
        <v>1562</v>
      </c>
      <c r="M799">
        <v>1</v>
      </c>
      <c r="N799" s="7">
        <v>1</v>
      </c>
      <c r="Q799">
        <v>0</v>
      </c>
      <c r="R799">
        <v>0</v>
      </c>
      <c r="S799" s="7">
        <v>1</v>
      </c>
      <c r="T799">
        <v>0</v>
      </c>
      <c r="V799">
        <v>0</v>
      </c>
      <c r="W799">
        <v>0</v>
      </c>
      <c r="X799" s="6" t="s">
        <v>817</v>
      </c>
      <c r="Y799" t="s">
        <v>788</v>
      </c>
      <c r="Z799" t="s">
        <v>2917</v>
      </c>
      <c r="AA799" t="s">
        <v>527</v>
      </c>
      <c r="AB799">
        <v>0</v>
      </c>
      <c r="AC799">
        <v>16</v>
      </c>
      <c r="AD799">
        <v>0</v>
      </c>
      <c r="AE799">
        <v>0</v>
      </c>
      <c r="AF799">
        <v>0</v>
      </c>
      <c r="AI799">
        <v>0</v>
      </c>
      <c r="AJ799">
        <v>0</v>
      </c>
      <c r="AK799" s="7">
        <v>0</v>
      </c>
      <c r="AL799" s="7">
        <v>0</v>
      </c>
      <c r="AM799" s="7">
        <v>0</v>
      </c>
      <c r="AN799" s="7">
        <v>0</v>
      </c>
      <c r="AP799">
        <v>0</v>
      </c>
      <c r="AQ799" s="7">
        <v>1</v>
      </c>
      <c r="AR799" s="7">
        <v>0</v>
      </c>
      <c r="AS799" s="7">
        <v>0</v>
      </c>
      <c r="AT799">
        <v>1</v>
      </c>
      <c r="BD799" s="7"/>
      <c r="BE799" s="7">
        <v>240</v>
      </c>
      <c r="BG799" s="7">
        <v>2</v>
      </c>
      <c r="BL799" s="7">
        <v>0</v>
      </c>
    </row>
    <row r="800" spans="1:64">
      <c r="A800">
        <v>1310005</v>
      </c>
      <c r="B800" t="s">
        <v>818</v>
      </c>
      <c r="C800" t="s">
        <v>540</v>
      </c>
      <c r="D800" t="s">
        <v>550</v>
      </c>
      <c r="E800">
        <v>15</v>
      </c>
      <c r="F800" t="s">
        <v>959</v>
      </c>
      <c r="G800">
        <v>0</v>
      </c>
      <c r="H800">
        <v>0</v>
      </c>
      <c r="I800">
        <v>99999</v>
      </c>
      <c r="J800">
        <v>0</v>
      </c>
      <c r="K800">
        <v>3</v>
      </c>
      <c r="L800" t="s">
        <v>1562</v>
      </c>
      <c r="M800">
        <v>1</v>
      </c>
      <c r="N800" s="7">
        <v>1</v>
      </c>
      <c r="Q800">
        <v>0</v>
      </c>
      <c r="R800">
        <v>0</v>
      </c>
      <c r="S800" s="7">
        <v>1</v>
      </c>
      <c r="T800">
        <v>0</v>
      </c>
      <c r="V800">
        <v>0</v>
      </c>
      <c r="W800">
        <v>0</v>
      </c>
      <c r="X800" s="6" t="s">
        <v>819</v>
      </c>
      <c r="Y800" t="s">
        <v>788</v>
      </c>
      <c r="Z800" t="s">
        <v>2917</v>
      </c>
      <c r="AA800" t="s">
        <v>527</v>
      </c>
      <c r="AB800">
        <v>0</v>
      </c>
      <c r="AC800">
        <v>16</v>
      </c>
      <c r="AD800">
        <v>0</v>
      </c>
      <c r="AE800">
        <v>0</v>
      </c>
      <c r="AF800">
        <v>0</v>
      </c>
      <c r="AI800">
        <v>0</v>
      </c>
      <c r="AJ800">
        <v>0</v>
      </c>
      <c r="AK800" s="7">
        <v>0</v>
      </c>
      <c r="AL800" s="7">
        <v>0</v>
      </c>
      <c r="AM800" s="7">
        <v>0</v>
      </c>
      <c r="AN800" s="7">
        <v>0</v>
      </c>
      <c r="AP800">
        <v>0</v>
      </c>
      <c r="AQ800" s="7">
        <v>1</v>
      </c>
      <c r="AR800" s="7">
        <v>0</v>
      </c>
      <c r="AS800" s="7">
        <v>0</v>
      </c>
      <c r="AT800">
        <v>1</v>
      </c>
      <c r="BD800" s="7"/>
      <c r="BE800" s="7">
        <v>240</v>
      </c>
      <c r="BG800" s="7">
        <v>2</v>
      </c>
      <c r="BL800" s="7">
        <v>0</v>
      </c>
    </row>
    <row r="801" spans="1:64">
      <c r="A801">
        <v>1310006</v>
      </c>
      <c r="B801" t="s">
        <v>820</v>
      </c>
      <c r="C801" t="s">
        <v>540</v>
      </c>
      <c r="D801" t="s">
        <v>550</v>
      </c>
      <c r="E801">
        <v>15</v>
      </c>
      <c r="F801" t="s">
        <v>959</v>
      </c>
      <c r="G801">
        <v>0</v>
      </c>
      <c r="H801">
        <v>0</v>
      </c>
      <c r="I801">
        <v>99999</v>
      </c>
      <c r="J801">
        <v>0</v>
      </c>
      <c r="K801">
        <v>3</v>
      </c>
      <c r="L801" t="s">
        <v>1562</v>
      </c>
      <c r="M801">
        <v>1</v>
      </c>
      <c r="N801" s="7">
        <v>1</v>
      </c>
      <c r="Q801">
        <v>0</v>
      </c>
      <c r="R801">
        <v>0</v>
      </c>
      <c r="S801" s="7">
        <v>1</v>
      </c>
      <c r="T801">
        <v>0</v>
      </c>
      <c r="V801">
        <v>0</v>
      </c>
      <c r="W801">
        <v>0</v>
      </c>
      <c r="X801" s="6" t="s">
        <v>821</v>
      </c>
      <c r="Y801" t="s">
        <v>788</v>
      </c>
      <c r="Z801" t="s">
        <v>2917</v>
      </c>
      <c r="AA801" t="s">
        <v>527</v>
      </c>
      <c r="AB801">
        <v>0</v>
      </c>
      <c r="AC801">
        <v>16</v>
      </c>
      <c r="AD801">
        <v>0</v>
      </c>
      <c r="AE801">
        <v>0</v>
      </c>
      <c r="AF801">
        <v>0</v>
      </c>
      <c r="AI801">
        <v>0</v>
      </c>
      <c r="AJ801">
        <v>0</v>
      </c>
      <c r="AK801" s="7">
        <v>0</v>
      </c>
      <c r="AL801" s="7">
        <v>0</v>
      </c>
      <c r="AM801" s="7">
        <v>0</v>
      </c>
      <c r="AN801" s="7">
        <v>0</v>
      </c>
      <c r="AP801">
        <v>0</v>
      </c>
      <c r="AQ801" s="7">
        <v>1</v>
      </c>
      <c r="AR801" s="7">
        <v>0</v>
      </c>
      <c r="AS801" s="7">
        <v>0</v>
      </c>
      <c r="AT801">
        <v>1</v>
      </c>
      <c r="BD801" s="7"/>
      <c r="BE801" s="7">
        <v>240</v>
      </c>
      <c r="BG801" s="7">
        <v>2</v>
      </c>
      <c r="BL801" s="7">
        <v>0</v>
      </c>
    </row>
    <row r="802" spans="1:64">
      <c r="A802">
        <v>1310007</v>
      </c>
      <c r="B802" t="s">
        <v>822</v>
      </c>
      <c r="C802" t="s">
        <v>540</v>
      </c>
      <c r="D802" t="s">
        <v>550</v>
      </c>
      <c r="E802">
        <v>15</v>
      </c>
      <c r="F802" t="s">
        <v>959</v>
      </c>
      <c r="G802">
        <v>0</v>
      </c>
      <c r="H802">
        <v>0</v>
      </c>
      <c r="I802">
        <v>99999</v>
      </c>
      <c r="J802">
        <v>0</v>
      </c>
      <c r="K802">
        <v>3</v>
      </c>
      <c r="L802" t="s">
        <v>1562</v>
      </c>
      <c r="M802">
        <v>1</v>
      </c>
      <c r="N802" s="7">
        <v>1</v>
      </c>
      <c r="Q802">
        <v>0</v>
      </c>
      <c r="R802">
        <v>0</v>
      </c>
      <c r="S802" s="7">
        <v>1</v>
      </c>
      <c r="T802">
        <v>0</v>
      </c>
      <c r="V802">
        <v>0</v>
      </c>
      <c r="W802">
        <v>0</v>
      </c>
      <c r="X802" s="6" t="s">
        <v>823</v>
      </c>
      <c r="Y802" t="s">
        <v>788</v>
      </c>
      <c r="Z802" t="s">
        <v>2917</v>
      </c>
      <c r="AA802" t="s">
        <v>527</v>
      </c>
      <c r="AB802">
        <v>0</v>
      </c>
      <c r="AC802">
        <v>16</v>
      </c>
      <c r="AD802">
        <v>0</v>
      </c>
      <c r="AE802">
        <v>0</v>
      </c>
      <c r="AF802">
        <v>0</v>
      </c>
      <c r="AI802">
        <v>0</v>
      </c>
      <c r="AJ802">
        <v>0</v>
      </c>
      <c r="AK802" s="7">
        <v>0</v>
      </c>
      <c r="AL802" s="7">
        <v>0</v>
      </c>
      <c r="AM802" s="7">
        <v>0</v>
      </c>
      <c r="AN802" s="7">
        <v>0</v>
      </c>
      <c r="AP802">
        <v>0</v>
      </c>
      <c r="AQ802" s="7">
        <v>1</v>
      </c>
      <c r="AR802" s="7">
        <v>0</v>
      </c>
      <c r="AS802" s="7">
        <v>0</v>
      </c>
      <c r="AT802">
        <v>1</v>
      </c>
      <c r="BD802" s="7"/>
      <c r="BE802" s="7">
        <v>240</v>
      </c>
      <c r="BG802" s="7">
        <v>2</v>
      </c>
      <c r="BL802" s="7">
        <v>0</v>
      </c>
    </row>
    <row r="803" spans="1:64">
      <c r="A803">
        <v>1310008</v>
      </c>
      <c r="B803" t="s">
        <v>824</v>
      </c>
      <c r="C803" t="s">
        <v>540</v>
      </c>
      <c r="D803" t="s">
        <v>550</v>
      </c>
      <c r="E803">
        <v>15</v>
      </c>
      <c r="F803" t="s">
        <v>959</v>
      </c>
      <c r="G803">
        <v>0</v>
      </c>
      <c r="H803">
        <v>0</v>
      </c>
      <c r="I803">
        <v>99999</v>
      </c>
      <c r="J803">
        <v>0</v>
      </c>
      <c r="K803">
        <v>3</v>
      </c>
      <c r="L803" t="s">
        <v>1562</v>
      </c>
      <c r="M803">
        <v>1</v>
      </c>
      <c r="N803" s="7">
        <v>1</v>
      </c>
      <c r="Q803">
        <v>0</v>
      </c>
      <c r="R803">
        <v>0</v>
      </c>
      <c r="S803" s="7">
        <v>1</v>
      </c>
      <c r="T803">
        <v>0</v>
      </c>
      <c r="V803">
        <v>0</v>
      </c>
      <c r="W803">
        <v>0</v>
      </c>
      <c r="X803" s="6" t="s">
        <v>825</v>
      </c>
      <c r="Y803" t="s">
        <v>788</v>
      </c>
      <c r="Z803" t="s">
        <v>2917</v>
      </c>
      <c r="AA803" t="s">
        <v>527</v>
      </c>
      <c r="AB803">
        <v>0</v>
      </c>
      <c r="AC803">
        <v>16</v>
      </c>
      <c r="AD803">
        <v>0</v>
      </c>
      <c r="AE803">
        <v>0</v>
      </c>
      <c r="AF803">
        <v>0</v>
      </c>
      <c r="AI803">
        <v>0</v>
      </c>
      <c r="AJ803">
        <v>0</v>
      </c>
      <c r="AK803" s="7">
        <v>0</v>
      </c>
      <c r="AL803" s="7">
        <v>0</v>
      </c>
      <c r="AM803" s="7">
        <v>0</v>
      </c>
      <c r="AN803" s="7">
        <v>0</v>
      </c>
      <c r="AP803">
        <v>0</v>
      </c>
      <c r="AQ803" s="7">
        <v>1</v>
      </c>
      <c r="AR803" s="7">
        <v>0</v>
      </c>
      <c r="AS803" s="7">
        <v>0</v>
      </c>
      <c r="AT803">
        <v>1</v>
      </c>
      <c r="BD803" s="7"/>
      <c r="BE803" s="7">
        <v>240</v>
      </c>
      <c r="BG803" s="7">
        <v>2</v>
      </c>
      <c r="BL803" s="7">
        <v>0</v>
      </c>
    </row>
    <row r="804" spans="1:64">
      <c r="A804">
        <v>1310009</v>
      </c>
      <c r="B804" t="s">
        <v>826</v>
      </c>
      <c r="C804" t="s">
        <v>540</v>
      </c>
      <c r="D804" t="s">
        <v>550</v>
      </c>
      <c r="E804">
        <v>15</v>
      </c>
      <c r="F804" t="s">
        <v>959</v>
      </c>
      <c r="G804">
        <v>0</v>
      </c>
      <c r="H804">
        <v>0</v>
      </c>
      <c r="I804">
        <v>99999</v>
      </c>
      <c r="J804">
        <v>0</v>
      </c>
      <c r="K804">
        <v>3</v>
      </c>
      <c r="L804" t="s">
        <v>1562</v>
      </c>
      <c r="M804">
        <v>1</v>
      </c>
      <c r="N804" s="7">
        <v>1</v>
      </c>
      <c r="Q804">
        <v>0</v>
      </c>
      <c r="R804">
        <v>0</v>
      </c>
      <c r="S804" s="7">
        <v>1</v>
      </c>
      <c r="T804">
        <v>0</v>
      </c>
      <c r="V804">
        <v>0</v>
      </c>
      <c r="W804">
        <v>0</v>
      </c>
      <c r="X804" s="6" t="s">
        <v>827</v>
      </c>
      <c r="Y804" t="s">
        <v>788</v>
      </c>
      <c r="Z804" t="s">
        <v>2917</v>
      </c>
      <c r="AA804" t="s">
        <v>527</v>
      </c>
      <c r="AB804">
        <v>0</v>
      </c>
      <c r="AC804">
        <v>16</v>
      </c>
      <c r="AD804">
        <v>0</v>
      </c>
      <c r="AE804">
        <v>0</v>
      </c>
      <c r="AF804">
        <v>0</v>
      </c>
      <c r="AI804">
        <v>0</v>
      </c>
      <c r="AJ804">
        <v>0</v>
      </c>
      <c r="AK804" s="7">
        <v>0</v>
      </c>
      <c r="AL804" s="7">
        <v>0</v>
      </c>
      <c r="AM804" s="7">
        <v>0</v>
      </c>
      <c r="AN804" s="7">
        <v>0</v>
      </c>
      <c r="AP804">
        <v>0</v>
      </c>
      <c r="AQ804" s="7">
        <v>1</v>
      </c>
      <c r="AR804" s="7">
        <v>0</v>
      </c>
      <c r="AS804" s="7">
        <v>0</v>
      </c>
      <c r="AT804">
        <v>1</v>
      </c>
      <c r="BD804" s="7"/>
      <c r="BE804" s="7">
        <v>240</v>
      </c>
      <c r="BG804" s="7">
        <v>2</v>
      </c>
      <c r="BL804" s="7">
        <v>0</v>
      </c>
    </row>
    <row r="805" spans="1:64">
      <c r="A805">
        <v>1310010</v>
      </c>
      <c r="B805" t="s">
        <v>828</v>
      </c>
      <c r="C805" t="s">
        <v>540</v>
      </c>
      <c r="D805" t="s">
        <v>550</v>
      </c>
      <c r="E805">
        <v>15</v>
      </c>
      <c r="F805" t="s">
        <v>959</v>
      </c>
      <c r="G805">
        <v>0</v>
      </c>
      <c r="H805">
        <v>0</v>
      </c>
      <c r="I805">
        <v>99999</v>
      </c>
      <c r="J805">
        <v>0</v>
      </c>
      <c r="K805">
        <v>3</v>
      </c>
      <c r="L805" t="s">
        <v>1562</v>
      </c>
      <c r="M805">
        <v>1</v>
      </c>
      <c r="N805" s="7">
        <v>1</v>
      </c>
      <c r="Q805">
        <v>0</v>
      </c>
      <c r="R805">
        <v>0</v>
      </c>
      <c r="S805" s="7">
        <v>1</v>
      </c>
      <c r="T805">
        <v>0</v>
      </c>
      <c r="V805">
        <v>0</v>
      </c>
      <c r="W805">
        <v>0</v>
      </c>
      <c r="X805" s="6" t="s">
        <v>829</v>
      </c>
      <c r="Y805" t="s">
        <v>788</v>
      </c>
      <c r="Z805" t="s">
        <v>2857</v>
      </c>
      <c r="AA805" t="s">
        <v>527</v>
      </c>
      <c r="AB805">
        <v>0</v>
      </c>
      <c r="AC805">
        <v>16</v>
      </c>
      <c r="AD805">
        <v>0</v>
      </c>
      <c r="AE805">
        <v>0</v>
      </c>
      <c r="AF805">
        <v>0</v>
      </c>
      <c r="AI805">
        <v>0</v>
      </c>
      <c r="AJ805">
        <v>0</v>
      </c>
      <c r="AK805" s="7">
        <v>0</v>
      </c>
      <c r="AL805" s="7">
        <v>0</v>
      </c>
      <c r="AM805" s="7">
        <v>0</v>
      </c>
      <c r="AN805" s="7">
        <v>0</v>
      </c>
      <c r="AP805">
        <v>0</v>
      </c>
      <c r="AQ805" s="7">
        <v>1</v>
      </c>
      <c r="AR805" s="7">
        <v>0</v>
      </c>
      <c r="AS805" s="7">
        <v>0</v>
      </c>
      <c r="AT805">
        <v>1</v>
      </c>
      <c r="BD805" s="7"/>
      <c r="BE805" s="7">
        <v>240</v>
      </c>
      <c r="BG805" s="7">
        <v>2</v>
      </c>
      <c r="BL805" s="7">
        <v>0</v>
      </c>
    </row>
    <row r="806" spans="1:64">
      <c r="A806">
        <v>1310011</v>
      </c>
      <c r="B806" t="s">
        <v>830</v>
      </c>
      <c r="C806" t="s">
        <v>540</v>
      </c>
      <c r="D806" t="s">
        <v>550</v>
      </c>
      <c r="E806">
        <v>15</v>
      </c>
      <c r="F806" t="s">
        <v>959</v>
      </c>
      <c r="G806">
        <v>0</v>
      </c>
      <c r="H806">
        <v>0</v>
      </c>
      <c r="I806">
        <v>99999</v>
      </c>
      <c r="J806">
        <v>0</v>
      </c>
      <c r="K806">
        <v>3</v>
      </c>
      <c r="L806" t="s">
        <v>1562</v>
      </c>
      <c r="M806">
        <v>1</v>
      </c>
      <c r="N806" s="7">
        <v>1</v>
      </c>
      <c r="Q806">
        <v>0</v>
      </c>
      <c r="R806">
        <v>0</v>
      </c>
      <c r="S806" s="7">
        <v>1</v>
      </c>
      <c r="T806">
        <v>0</v>
      </c>
      <c r="V806">
        <v>0</v>
      </c>
      <c r="W806">
        <v>0</v>
      </c>
      <c r="X806" s="6" t="s">
        <v>831</v>
      </c>
      <c r="Y806" t="s">
        <v>788</v>
      </c>
      <c r="Z806" t="s">
        <v>2858</v>
      </c>
      <c r="AA806" t="s">
        <v>527</v>
      </c>
      <c r="AB806">
        <v>0</v>
      </c>
      <c r="AC806">
        <v>16</v>
      </c>
      <c r="AD806">
        <v>0</v>
      </c>
      <c r="AE806">
        <v>0</v>
      </c>
      <c r="AF806">
        <v>0</v>
      </c>
      <c r="AI806">
        <v>0</v>
      </c>
      <c r="AJ806">
        <v>0</v>
      </c>
      <c r="AK806" s="7">
        <v>0</v>
      </c>
      <c r="AL806" s="7">
        <v>0</v>
      </c>
      <c r="AM806" s="7">
        <v>0</v>
      </c>
      <c r="AN806" s="7">
        <v>0</v>
      </c>
      <c r="AP806">
        <v>0</v>
      </c>
      <c r="AQ806" s="7">
        <v>1</v>
      </c>
      <c r="AR806" s="7">
        <v>0</v>
      </c>
      <c r="AS806" s="7">
        <v>0</v>
      </c>
      <c r="AT806">
        <v>1</v>
      </c>
      <c r="BD806" s="7"/>
      <c r="BE806" s="7">
        <v>240</v>
      </c>
      <c r="BG806" s="7">
        <v>2</v>
      </c>
      <c r="BL806" s="7">
        <v>0</v>
      </c>
    </row>
    <row r="807" spans="1:64">
      <c r="A807">
        <v>1320001</v>
      </c>
      <c r="B807" t="s">
        <v>832</v>
      </c>
      <c r="C807" t="s">
        <v>540</v>
      </c>
      <c r="D807" t="s">
        <v>550</v>
      </c>
      <c r="E807">
        <v>11</v>
      </c>
      <c r="F807" t="s">
        <v>959</v>
      </c>
      <c r="G807">
        <v>0</v>
      </c>
      <c r="H807">
        <v>0</v>
      </c>
      <c r="I807">
        <v>99999</v>
      </c>
      <c r="J807">
        <v>0</v>
      </c>
      <c r="K807">
        <v>3</v>
      </c>
      <c r="L807" t="s">
        <v>1562</v>
      </c>
      <c r="M807">
        <v>1</v>
      </c>
      <c r="N807" s="7">
        <v>1</v>
      </c>
      <c r="Q807">
        <v>0</v>
      </c>
      <c r="R807">
        <v>0</v>
      </c>
      <c r="S807" s="7">
        <v>1</v>
      </c>
      <c r="T807">
        <v>0</v>
      </c>
      <c r="V807">
        <v>0</v>
      </c>
      <c r="W807">
        <v>0</v>
      </c>
      <c r="X807" s="6" t="s">
        <v>790</v>
      </c>
      <c r="Y807" t="s">
        <v>788</v>
      </c>
      <c r="Z807" t="s">
        <v>2856</v>
      </c>
      <c r="AA807" t="s">
        <v>527</v>
      </c>
      <c r="AB807">
        <v>0</v>
      </c>
      <c r="AC807">
        <v>16</v>
      </c>
      <c r="AD807">
        <v>0</v>
      </c>
      <c r="AE807">
        <v>0</v>
      </c>
      <c r="AF807">
        <v>0</v>
      </c>
      <c r="AI807">
        <v>0</v>
      </c>
      <c r="AJ807">
        <v>0</v>
      </c>
      <c r="AK807" s="7">
        <v>0</v>
      </c>
      <c r="AL807" s="7">
        <v>0</v>
      </c>
      <c r="AM807" s="7">
        <v>0</v>
      </c>
      <c r="AN807" s="7">
        <v>0</v>
      </c>
      <c r="AP807">
        <v>0</v>
      </c>
      <c r="AQ807" s="7">
        <v>1</v>
      </c>
      <c r="AR807" s="7">
        <v>0</v>
      </c>
      <c r="AS807" s="7">
        <v>0</v>
      </c>
      <c r="AT807">
        <v>1</v>
      </c>
      <c r="BD807" s="7"/>
      <c r="BE807" s="7">
        <v>240</v>
      </c>
      <c r="BG807" s="7">
        <v>2</v>
      </c>
      <c r="BL807" s="7">
        <v>0</v>
      </c>
    </row>
    <row r="808" spans="1:64">
      <c r="A808">
        <v>1320002</v>
      </c>
      <c r="B808" t="s">
        <v>833</v>
      </c>
      <c r="C808" t="s">
        <v>540</v>
      </c>
      <c r="D808" t="s">
        <v>550</v>
      </c>
      <c r="E808">
        <v>12</v>
      </c>
      <c r="F808" t="s">
        <v>959</v>
      </c>
      <c r="G808">
        <v>0</v>
      </c>
      <c r="H808">
        <v>0</v>
      </c>
      <c r="I808">
        <v>99999</v>
      </c>
      <c r="J808">
        <v>0</v>
      </c>
      <c r="K808">
        <v>3</v>
      </c>
      <c r="L808" t="s">
        <v>1562</v>
      </c>
      <c r="M808">
        <v>1</v>
      </c>
      <c r="N808" s="7">
        <v>1</v>
      </c>
      <c r="Q808">
        <v>0</v>
      </c>
      <c r="R808">
        <v>0</v>
      </c>
      <c r="S808" s="7">
        <v>1</v>
      </c>
      <c r="T808">
        <v>0</v>
      </c>
      <c r="V808">
        <v>0</v>
      </c>
      <c r="W808">
        <v>0</v>
      </c>
      <c r="X808" s="6" t="s">
        <v>834</v>
      </c>
      <c r="Y808" t="s">
        <v>788</v>
      </c>
      <c r="Z808" t="s">
        <v>2856</v>
      </c>
      <c r="AA808" t="s">
        <v>527</v>
      </c>
      <c r="AB808">
        <v>0</v>
      </c>
      <c r="AC808">
        <v>16</v>
      </c>
      <c r="AD808">
        <v>0</v>
      </c>
      <c r="AE808">
        <v>0</v>
      </c>
      <c r="AF808">
        <v>0</v>
      </c>
      <c r="AI808">
        <v>0</v>
      </c>
      <c r="AJ808">
        <v>0</v>
      </c>
      <c r="AK808" s="7">
        <v>0</v>
      </c>
      <c r="AL808" s="7">
        <v>0</v>
      </c>
      <c r="AM808" s="7">
        <v>0</v>
      </c>
      <c r="AN808" s="7">
        <v>0</v>
      </c>
      <c r="AP808">
        <v>0</v>
      </c>
      <c r="AQ808" s="7">
        <v>1</v>
      </c>
      <c r="AR808" s="7">
        <v>0</v>
      </c>
      <c r="AS808" s="7">
        <v>0</v>
      </c>
      <c r="AT808">
        <v>1</v>
      </c>
      <c r="BD808" s="7"/>
      <c r="BE808" s="7">
        <v>240</v>
      </c>
      <c r="BG808" s="7">
        <v>2</v>
      </c>
      <c r="BL808" s="7">
        <v>0</v>
      </c>
    </row>
    <row r="809" spans="1:64">
      <c r="A809">
        <v>1320003</v>
      </c>
      <c r="B809" t="s">
        <v>835</v>
      </c>
      <c r="C809" t="s">
        <v>540</v>
      </c>
      <c r="D809" t="s">
        <v>550</v>
      </c>
      <c r="E809">
        <v>13</v>
      </c>
      <c r="F809" t="s">
        <v>959</v>
      </c>
      <c r="G809">
        <v>0</v>
      </c>
      <c r="H809">
        <v>0</v>
      </c>
      <c r="I809">
        <v>99999</v>
      </c>
      <c r="J809">
        <v>0</v>
      </c>
      <c r="K809">
        <v>3</v>
      </c>
      <c r="L809" t="s">
        <v>1562</v>
      </c>
      <c r="M809">
        <v>1</v>
      </c>
      <c r="N809" s="7">
        <v>1</v>
      </c>
      <c r="Q809">
        <v>0</v>
      </c>
      <c r="R809">
        <v>0</v>
      </c>
      <c r="S809" s="7">
        <v>1</v>
      </c>
      <c r="T809">
        <v>0</v>
      </c>
      <c r="V809">
        <v>0</v>
      </c>
      <c r="W809">
        <v>0</v>
      </c>
      <c r="X809" s="6" t="s">
        <v>836</v>
      </c>
      <c r="Y809" t="s">
        <v>788</v>
      </c>
      <c r="Z809" t="s">
        <v>2856</v>
      </c>
      <c r="AA809" t="s">
        <v>527</v>
      </c>
      <c r="AB809">
        <v>0</v>
      </c>
      <c r="AC809">
        <v>16</v>
      </c>
      <c r="AD809">
        <v>0</v>
      </c>
      <c r="AE809">
        <v>0</v>
      </c>
      <c r="AF809">
        <v>0</v>
      </c>
      <c r="AI809">
        <v>0</v>
      </c>
      <c r="AJ809">
        <v>0</v>
      </c>
      <c r="AK809" s="7">
        <v>0</v>
      </c>
      <c r="AL809" s="7">
        <v>0</v>
      </c>
      <c r="AM809" s="7">
        <v>0</v>
      </c>
      <c r="AN809" s="7">
        <v>0</v>
      </c>
      <c r="AP809">
        <v>0</v>
      </c>
      <c r="AQ809" s="7">
        <v>1</v>
      </c>
      <c r="AR809" s="7">
        <v>0</v>
      </c>
      <c r="AS809" s="7">
        <v>0</v>
      </c>
      <c r="AT809">
        <v>1</v>
      </c>
      <c r="BD809" s="7"/>
      <c r="BE809" s="7">
        <v>240</v>
      </c>
      <c r="BG809" s="7">
        <v>2</v>
      </c>
      <c r="BL809" s="7">
        <v>0</v>
      </c>
    </row>
    <row r="810" spans="1:64">
      <c r="A810">
        <v>1320004</v>
      </c>
      <c r="B810" t="s">
        <v>837</v>
      </c>
      <c r="C810" t="s">
        <v>540</v>
      </c>
      <c r="D810" t="s">
        <v>550</v>
      </c>
      <c r="E810">
        <v>14</v>
      </c>
      <c r="F810" t="s">
        <v>959</v>
      </c>
      <c r="G810">
        <v>0</v>
      </c>
      <c r="H810">
        <v>0</v>
      </c>
      <c r="I810">
        <v>99999</v>
      </c>
      <c r="J810">
        <v>0</v>
      </c>
      <c r="K810">
        <v>3</v>
      </c>
      <c r="L810" t="s">
        <v>1562</v>
      </c>
      <c r="M810">
        <v>1</v>
      </c>
      <c r="N810" s="7">
        <v>1</v>
      </c>
      <c r="Q810">
        <v>0</v>
      </c>
      <c r="R810">
        <v>0</v>
      </c>
      <c r="S810" s="7">
        <v>1</v>
      </c>
      <c r="T810">
        <v>0</v>
      </c>
      <c r="V810">
        <v>0</v>
      </c>
      <c r="W810">
        <v>0</v>
      </c>
      <c r="X810" s="6" t="s">
        <v>838</v>
      </c>
      <c r="Y810" t="s">
        <v>788</v>
      </c>
      <c r="Z810" t="s">
        <v>2856</v>
      </c>
      <c r="AA810" t="s">
        <v>527</v>
      </c>
      <c r="AB810">
        <v>0</v>
      </c>
      <c r="AC810">
        <v>16</v>
      </c>
      <c r="AD810">
        <v>0</v>
      </c>
      <c r="AE810">
        <v>0</v>
      </c>
      <c r="AF810">
        <v>0</v>
      </c>
      <c r="AI810">
        <v>0</v>
      </c>
      <c r="AJ810">
        <v>0</v>
      </c>
      <c r="AK810" s="7">
        <v>0</v>
      </c>
      <c r="AL810" s="7">
        <v>0</v>
      </c>
      <c r="AM810" s="7">
        <v>0</v>
      </c>
      <c r="AN810" s="7">
        <v>0</v>
      </c>
      <c r="AP810">
        <v>0</v>
      </c>
      <c r="AQ810" s="7">
        <v>1</v>
      </c>
      <c r="AR810" s="7">
        <v>0</v>
      </c>
      <c r="AS810" s="7">
        <v>0</v>
      </c>
      <c r="AT810">
        <v>1</v>
      </c>
      <c r="BD810" s="7"/>
      <c r="BE810" s="7">
        <v>240</v>
      </c>
      <c r="BG810" s="7">
        <v>2</v>
      </c>
      <c r="BL810" s="7">
        <v>0</v>
      </c>
    </row>
    <row r="811" spans="1:64">
      <c r="A811">
        <v>1320005</v>
      </c>
      <c r="B811" t="s">
        <v>839</v>
      </c>
      <c r="C811" t="s">
        <v>540</v>
      </c>
      <c r="D811" t="s">
        <v>550</v>
      </c>
      <c r="E811">
        <v>15</v>
      </c>
      <c r="F811" t="s">
        <v>959</v>
      </c>
      <c r="G811">
        <v>0</v>
      </c>
      <c r="H811">
        <v>0</v>
      </c>
      <c r="I811">
        <v>99999</v>
      </c>
      <c r="J811">
        <v>0</v>
      </c>
      <c r="K811">
        <v>3</v>
      </c>
      <c r="L811" t="s">
        <v>1562</v>
      </c>
      <c r="M811">
        <v>1</v>
      </c>
      <c r="N811" s="7">
        <v>1</v>
      </c>
      <c r="Q811">
        <v>0</v>
      </c>
      <c r="R811">
        <v>0</v>
      </c>
      <c r="S811" s="7">
        <v>1</v>
      </c>
      <c r="T811">
        <v>0</v>
      </c>
      <c r="V811">
        <v>0</v>
      </c>
      <c r="W811">
        <v>0</v>
      </c>
      <c r="X811" s="6" t="s">
        <v>840</v>
      </c>
      <c r="Y811" t="s">
        <v>788</v>
      </c>
      <c r="Z811" t="s">
        <v>2856</v>
      </c>
      <c r="AA811" t="s">
        <v>527</v>
      </c>
      <c r="AB811">
        <v>0</v>
      </c>
      <c r="AC811">
        <v>16</v>
      </c>
      <c r="AD811">
        <v>0</v>
      </c>
      <c r="AE811">
        <v>0</v>
      </c>
      <c r="AF811">
        <v>0</v>
      </c>
      <c r="AI811">
        <v>0</v>
      </c>
      <c r="AJ811">
        <v>0</v>
      </c>
      <c r="AK811" s="7">
        <v>0</v>
      </c>
      <c r="AL811" s="7">
        <v>0</v>
      </c>
      <c r="AM811" s="7">
        <v>0</v>
      </c>
      <c r="AN811" s="7">
        <v>0</v>
      </c>
      <c r="AP811">
        <v>0</v>
      </c>
      <c r="AQ811" s="7">
        <v>1</v>
      </c>
      <c r="AR811" s="7">
        <v>0</v>
      </c>
      <c r="AS811" s="7">
        <v>0</v>
      </c>
      <c r="AT811">
        <v>1</v>
      </c>
      <c r="BD811" s="7"/>
      <c r="BE811" s="7">
        <v>240</v>
      </c>
      <c r="BG811" s="7">
        <v>2</v>
      </c>
      <c r="BL811" s="7">
        <v>0</v>
      </c>
    </row>
    <row r="812" spans="1:64">
      <c r="A812">
        <v>1320006</v>
      </c>
      <c r="B812" t="s">
        <v>841</v>
      </c>
      <c r="C812" t="s">
        <v>540</v>
      </c>
      <c r="D812" t="s">
        <v>550</v>
      </c>
      <c r="E812">
        <v>16</v>
      </c>
      <c r="F812" t="s">
        <v>959</v>
      </c>
      <c r="G812">
        <v>0</v>
      </c>
      <c r="H812">
        <v>0</v>
      </c>
      <c r="I812">
        <v>99999</v>
      </c>
      <c r="J812">
        <v>0</v>
      </c>
      <c r="K812">
        <v>3</v>
      </c>
      <c r="L812" t="s">
        <v>1562</v>
      </c>
      <c r="M812">
        <v>1</v>
      </c>
      <c r="N812" s="7">
        <v>1</v>
      </c>
      <c r="Q812">
        <v>0</v>
      </c>
      <c r="R812">
        <v>0</v>
      </c>
      <c r="S812" s="7">
        <v>1</v>
      </c>
      <c r="T812">
        <v>0</v>
      </c>
      <c r="V812">
        <v>0</v>
      </c>
      <c r="W812">
        <v>0</v>
      </c>
      <c r="X812" s="6" t="s">
        <v>842</v>
      </c>
      <c r="Y812" t="s">
        <v>788</v>
      </c>
      <c r="Z812" t="s">
        <v>2856</v>
      </c>
      <c r="AA812" t="s">
        <v>527</v>
      </c>
      <c r="AB812">
        <v>0</v>
      </c>
      <c r="AC812">
        <v>16</v>
      </c>
      <c r="AD812">
        <v>0</v>
      </c>
      <c r="AE812">
        <v>0</v>
      </c>
      <c r="AF812">
        <v>0</v>
      </c>
      <c r="AI812">
        <v>0</v>
      </c>
      <c r="AJ812">
        <v>0</v>
      </c>
      <c r="AK812" s="7">
        <v>0</v>
      </c>
      <c r="AL812" s="7">
        <v>0</v>
      </c>
      <c r="AM812" s="7">
        <v>0</v>
      </c>
      <c r="AN812" s="7">
        <v>0</v>
      </c>
      <c r="AP812">
        <v>0</v>
      </c>
      <c r="AQ812" s="7">
        <v>1</v>
      </c>
      <c r="AR812" s="7">
        <v>0</v>
      </c>
      <c r="AS812" s="7">
        <v>0</v>
      </c>
      <c r="AT812">
        <v>1</v>
      </c>
      <c r="BD812" s="7"/>
      <c r="BE812" s="7">
        <v>240</v>
      </c>
      <c r="BG812" s="7">
        <v>2</v>
      </c>
      <c r="BL812" s="7">
        <v>0</v>
      </c>
    </row>
    <row r="813" spans="1:64">
      <c r="A813">
        <v>1320007</v>
      </c>
      <c r="B813" t="s">
        <v>843</v>
      </c>
      <c r="C813" t="s">
        <v>540</v>
      </c>
      <c r="D813" t="s">
        <v>550</v>
      </c>
      <c r="E813">
        <v>17</v>
      </c>
      <c r="F813" t="s">
        <v>959</v>
      </c>
      <c r="G813">
        <v>0</v>
      </c>
      <c r="H813">
        <v>0</v>
      </c>
      <c r="I813">
        <v>99999</v>
      </c>
      <c r="J813">
        <v>0</v>
      </c>
      <c r="K813">
        <v>3</v>
      </c>
      <c r="L813" t="s">
        <v>1562</v>
      </c>
      <c r="M813">
        <v>1</v>
      </c>
      <c r="N813" s="7">
        <v>1</v>
      </c>
      <c r="Q813">
        <v>0</v>
      </c>
      <c r="R813">
        <v>0</v>
      </c>
      <c r="S813" s="7">
        <v>1</v>
      </c>
      <c r="T813">
        <v>0</v>
      </c>
      <c r="V813">
        <v>0</v>
      </c>
      <c r="W813">
        <v>0</v>
      </c>
      <c r="X813" s="6" t="s">
        <v>844</v>
      </c>
      <c r="Y813" t="s">
        <v>788</v>
      </c>
      <c r="Z813" t="s">
        <v>2856</v>
      </c>
      <c r="AA813" t="s">
        <v>527</v>
      </c>
      <c r="AB813">
        <v>0</v>
      </c>
      <c r="AC813">
        <v>16</v>
      </c>
      <c r="AD813">
        <v>0</v>
      </c>
      <c r="AE813">
        <v>0</v>
      </c>
      <c r="AF813">
        <v>0</v>
      </c>
      <c r="AI813">
        <v>0</v>
      </c>
      <c r="AJ813">
        <v>0</v>
      </c>
      <c r="AK813" s="7">
        <v>0</v>
      </c>
      <c r="AL813" s="7">
        <v>0</v>
      </c>
      <c r="AM813" s="7">
        <v>0</v>
      </c>
      <c r="AN813" s="7">
        <v>0</v>
      </c>
      <c r="AP813">
        <v>0</v>
      </c>
      <c r="AQ813" s="7">
        <v>1</v>
      </c>
      <c r="AR813" s="7">
        <v>0</v>
      </c>
      <c r="AS813" s="7">
        <v>0</v>
      </c>
      <c r="AT813">
        <v>1</v>
      </c>
      <c r="BD813" s="7"/>
      <c r="BE813" s="7">
        <v>240</v>
      </c>
      <c r="BG813" s="7">
        <v>2</v>
      </c>
      <c r="BL813" s="7">
        <v>0</v>
      </c>
    </row>
    <row r="814" spans="1:64">
      <c r="A814">
        <v>1320008</v>
      </c>
      <c r="B814" t="s">
        <v>845</v>
      </c>
      <c r="C814" t="s">
        <v>540</v>
      </c>
      <c r="D814" t="s">
        <v>550</v>
      </c>
      <c r="E814">
        <v>18</v>
      </c>
      <c r="F814" t="s">
        <v>959</v>
      </c>
      <c r="G814">
        <v>0</v>
      </c>
      <c r="H814">
        <v>0</v>
      </c>
      <c r="I814">
        <v>99999</v>
      </c>
      <c r="J814">
        <v>0</v>
      </c>
      <c r="K814">
        <v>3</v>
      </c>
      <c r="L814" t="s">
        <v>1562</v>
      </c>
      <c r="M814">
        <v>1</v>
      </c>
      <c r="N814" s="7">
        <v>1</v>
      </c>
      <c r="Q814">
        <v>0</v>
      </c>
      <c r="R814">
        <v>0</v>
      </c>
      <c r="S814" s="7">
        <v>1</v>
      </c>
      <c r="T814">
        <v>0</v>
      </c>
      <c r="V814">
        <v>0</v>
      </c>
      <c r="W814">
        <v>0</v>
      </c>
      <c r="X814" s="6" t="s">
        <v>846</v>
      </c>
      <c r="Y814" t="s">
        <v>788</v>
      </c>
      <c r="Z814" t="s">
        <v>2856</v>
      </c>
      <c r="AA814" t="s">
        <v>527</v>
      </c>
      <c r="AB814">
        <v>0</v>
      </c>
      <c r="AC814">
        <v>16</v>
      </c>
      <c r="AD814">
        <v>0</v>
      </c>
      <c r="AE814">
        <v>0</v>
      </c>
      <c r="AF814">
        <v>0</v>
      </c>
      <c r="AI814">
        <v>0</v>
      </c>
      <c r="AJ814">
        <v>0</v>
      </c>
      <c r="AK814" s="7">
        <v>0</v>
      </c>
      <c r="AL814" s="7">
        <v>0</v>
      </c>
      <c r="AM814" s="7">
        <v>0</v>
      </c>
      <c r="AN814" s="7">
        <v>0</v>
      </c>
      <c r="AP814">
        <v>0</v>
      </c>
      <c r="AQ814" s="7">
        <v>1</v>
      </c>
      <c r="AR814" s="7">
        <v>0</v>
      </c>
      <c r="AS814" s="7">
        <v>0</v>
      </c>
      <c r="AT814">
        <v>1</v>
      </c>
      <c r="BD814" s="7"/>
      <c r="BE814" s="7">
        <v>240</v>
      </c>
      <c r="BG814" s="7">
        <v>2</v>
      </c>
      <c r="BL814" s="7">
        <v>0</v>
      </c>
    </row>
    <row r="815" spans="1:64">
      <c r="A815">
        <v>1320009</v>
      </c>
      <c r="B815" t="s">
        <v>847</v>
      </c>
      <c r="C815" t="s">
        <v>540</v>
      </c>
      <c r="D815" t="s">
        <v>550</v>
      </c>
      <c r="E815">
        <v>19</v>
      </c>
      <c r="F815" t="s">
        <v>959</v>
      </c>
      <c r="G815">
        <v>0</v>
      </c>
      <c r="H815">
        <v>0</v>
      </c>
      <c r="I815">
        <v>99999</v>
      </c>
      <c r="J815">
        <v>0</v>
      </c>
      <c r="K815">
        <v>3</v>
      </c>
      <c r="L815" t="s">
        <v>1562</v>
      </c>
      <c r="M815">
        <v>1</v>
      </c>
      <c r="N815" s="7">
        <v>1</v>
      </c>
      <c r="Q815">
        <v>0</v>
      </c>
      <c r="R815">
        <v>0</v>
      </c>
      <c r="S815" s="7">
        <v>1</v>
      </c>
      <c r="T815">
        <v>0</v>
      </c>
      <c r="V815">
        <v>0</v>
      </c>
      <c r="W815">
        <v>0</v>
      </c>
      <c r="X815" s="6" t="s">
        <v>848</v>
      </c>
      <c r="Y815" t="s">
        <v>788</v>
      </c>
      <c r="Z815" t="s">
        <v>2856</v>
      </c>
      <c r="AA815" t="s">
        <v>527</v>
      </c>
      <c r="AB815">
        <v>0</v>
      </c>
      <c r="AC815">
        <v>16</v>
      </c>
      <c r="AD815">
        <v>0</v>
      </c>
      <c r="AE815">
        <v>0</v>
      </c>
      <c r="AF815">
        <v>0</v>
      </c>
      <c r="AI815">
        <v>0</v>
      </c>
      <c r="AJ815">
        <v>0</v>
      </c>
      <c r="AK815" s="7">
        <v>0</v>
      </c>
      <c r="AL815" s="7">
        <v>0</v>
      </c>
      <c r="AM815" s="7">
        <v>0</v>
      </c>
      <c r="AN815" s="7">
        <v>0</v>
      </c>
      <c r="AP815">
        <v>0</v>
      </c>
      <c r="AQ815" s="7">
        <v>1</v>
      </c>
      <c r="AR815" s="7">
        <v>0</v>
      </c>
      <c r="AS815" s="7">
        <v>0</v>
      </c>
      <c r="AT815">
        <v>1</v>
      </c>
      <c r="BD815" s="7"/>
      <c r="BE815" s="7">
        <v>240</v>
      </c>
      <c r="BG815" s="7">
        <v>2</v>
      </c>
      <c r="BL815" s="7">
        <v>0</v>
      </c>
    </row>
    <row r="816" spans="1:64">
      <c r="A816">
        <v>1320010</v>
      </c>
      <c r="B816" t="s">
        <v>849</v>
      </c>
      <c r="C816" t="s">
        <v>540</v>
      </c>
      <c r="D816" t="s">
        <v>550</v>
      </c>
      <c r="E816">
        <v>15</v>
      </c>
      <c r="F816" t="s">
        <v>959</v>
      </c>
      <c r="G816">
        <v>0</v>
      </c>
      <c r="H816">
        <v>0</v>
      </c>
      <c r="I816">
        <v>99999</v>
      </c>
      <c r="J816">
        <v>0</v>
      </c>
      <c r="K816">
        <v>3</v>
      </c>
      <c r="L816" t="s">
        <v>1562</v>
      </c>
      <c r="M816">
        <v>1</v>
      </c>
      <c r="N816" s="7">
        <v>1</v>
      </c>
      <c r="Q816">
        <v>0</v>
      </c>
      <c r="R816">
        <v>0</v>
      </c>
      <c r="S816" s="7">
        <v>1</v>
      </c>
      <c r="T816">
        <v>0</v>
      </c>
      <c r="V816">
        <v>0</v>
      </c>
      <c r="W816">
        <v>0</v>
      </c>
      <c r="X816" s="6" t="s">
        <v>850</v>
      </c>
      <c r="Y816" t="s">
        <v>788</v>
      </c>
      <c r="Z816" t="s">
        <v>2859</v>
      </c>
      <c r="AA816" t="s">
        <v>527</v>
      </c>
      <c r="AB816">
        <v>0</v>
      </c>
      <c r="AC816">
        <v>16</v>
      </c>
      <c r="AD816">
        <v>0</v>
      </c>
      <c r="AE816">
        <v>0</v>
      </c>
      <c r="AF816">
        <v>0</v>
      </c>
      <c r="AI816">
        <v>0</v>
      </c>
      <c r="AJ816">
        <v>0</v>
      </c>
      <c r="AK816" s="7">
        <v>0</v>
      </c>
      <c r="AL816" s="7">
        <v>0</v>
      </c>
      <c r="AM816" s="7">
        <v>0</v>
      </c>
      <c r="AN816" s="7">
        <v>0</v>
      </c>
      <c r="AP816">
        <v>0</v>
      </c>
      <c r="AQ816" s="7">
        <v>1</v>
      </c>
      <c r="AR816" s="7">
        <v>0</v>
      </c>
      <c r="AS816" s="7">
        <v>0</v>
      </c>
      <c r="AT816">
        <v>1</v>
      </c>
      <c r="BD816" s="7"/>
      <c r="BE816" s="7">
        <v>240</v>
      </c>
      <c r="BG816" s="7">
        <v>2</v>
      </c>
      <c r="BL816" s="7">
        <v>0</v>
      </c>
    </row>
    <row r="817" spans="1:64">
      <c r="A817">
        <v>1331501</v>
      </c>
      <c r="B817" t="s">
        <v>2306</v>
      </c>
      <c r="C817" t="s">
        <v>540</v>
      </c>
      <c r="D817" t="s">
        <v>550</v>
      </c>
      <c r="E817">
        <v>1</v>
      </c>
      <c r="F817" t="s">
        <v>959</v>
      </c>
      <c r="G817">
        <v>0</v>
      </c>
      <c r="H817">
        <v>0</v>
      </c>
      <c r="I817">
        <v>99999</v>
      </c>
      <c r="J817">
        <v>0</v>
      </c>
      <c r="K817">
        <v>3</v>
      </c>
      <c r="L817" t="s">
        <v>1562</v>
      </c>
      <c r="M817">
        <v>1</v>
      </c>
      <c r="N817" s="7">
        <v>1</v>
      </c>
      <c r="Q817">
        <v>0</v>
      </c>
      <c r="R817">
        <v>0</v>
      </c>
      <c r="S817" s="7">
        <v>1</v>
      </c>
      <c r="T817">
        <v>0</v>
      </c>
      <c r="V817">
        <v>0</v>
      </c>
      <c r="W817">
        <v>0</v>
      </c>
      <c r="X817" s="6" t="s">
        <v>852</v>
      </c>
      <c r="Y817" t="s">
        <v>788</v>
      </c>
      <c r="Z817" t="s">
        <v>2860</v>
      </c>
      <c r="AA817" t="s">
        <v>527</v>
      </c>
      <c r="AB817">
        <v>0</v>
      </c>
      <c r="AC817">
        <v>16</v>
      </c>
      <c r="AD817">
        <v>0</v>
      </c>
      <c r="AE817">
        <v>0</v>
      </c>
      <c r="AF817">
        <v>0</v>
      </c>
      <c r="AI817">
        <v>0</v>
      </c>
      <c r="AJ817">
        <v>0</v>
      </c>
      <c r="AK817" s="7">
        <v>0</v>
      </c>
      <c r="AL817" s="7">
        <v>0</v>
      </c>
      <c r="AM817" s="7">
        <v>0</v>
      </c>
      <c r="AN817" s="7">
        <v>0</v>
      </c>
      <c r="AP817">
        <v>0</v>
      </c>
      <c r="AQ817" s="7">
        <v>1</v>
      </c>
      <c r="AR817" s="7">
        <v>0</v>
      </c>
      <c r="AS817" s="7">
        <v>0</v>
      </c>
      <c r="AT817">
        <v>1</v>
      </c>
      <c r="BD817" s="7"/>
      <c r="BE817" s="7">
        <v>240</v>
      </c>
      <c r="BG817" s="7">
        <v>2</v>
      </c>
      <c r="BL817" s="7">
        <v>0</v>
      </c>
    </row>
    <row r="818" spans="1:64">
      <c r="A818">
        <v>1332001</v>
      </c>
      <c r="B818" t="s">
        <v>2307</v>
      </c>
      <c r="C818" t="s">
        <v>540</v>
      </c>
      <c r="D818" t="s">
        <v>550</v>
      </c>
      <c r="E818">
        <v>1</v>
      </c>
      <c r="F818" t="s">
        <v>959</v>
      </c>
      <c r="G818">
        <v>0</v>
      </c>
      <c r="H818">
        <v>0</v>
      </c>
      <c r="I818">
        <v>99999</v>
      </c>
      <c r="J818">
        <v>0</v>
      </c>
      <c r="K818">
        <v>3</v>
      </c>
      <c r="L818" t="s">
        <v>1562</v>
      </c>
      <c r="M818">
        <v>1</v>
      </c>
      <c r="N818" s="7">
        <v>1</v>
      </c>
      <c r="Q818">
        <v>0</v>
      </c>
      <c r="R818">
        <v>0</v>
      </c>
      <c r="S818" s="7">
        <v>1</v>
      </c>
      <c r="T818">
        <v>0</v>
      </c>
      <c r="V818">
        <v>0</v>
      </c>
      <c r="W818">
        <v>0</v>
      </c>
      <c r="X818" s="6" t="s">
        <v>854</v>
      </c>
      <c r="Y818" t="s">
        <v>788</v>
      </c>
      <c r="Z818" t="s">
        <v>2860</v>
      </c>
      <c r="AA818" t="s">
        <v>527</v>
      </c>
      <c r="AB818">
        <v>0</v>
      </c>
      <c r="AC818">
        <v>16</v>
      </c>
      <c r="AD818">
        <v>0</v>
      </c>
      <c r="AE818">
        <v>0</v>
      </c>
      <c r="AF818">
        <v>0</v>
      </c>
      <c r="AI818">
        <v>0</v>
      </c>
      <c r="AJ818">
        <v>0</v>
      </c>
      <c r="AK818" s="7">
        <v>0</v>
      </c>
      <c r="AL818" s="7">
        <v>0</v>
      </c>
      <c r="AM818" s="7">
        <v>0</v>
      </c>
      <c r="AN818" s="7">
        <v>0</v>
      </c>
      <c r="AP818">
        <v>0</v>
      </c>
      <c r="AQ818" s="7">
        <v>1</v>
      </c>
      <c r="AR818" s="7">
        <v>0</v>
      </c>
      <c r="AS818" s="7">
        <v>0</v>
      </c>
      <c r="AT818">
        <v>1</v>
      </c>
      <c r="BD818" s="7"/>
      <c r="BE818" s="7">
        <v>240</v>
      </c>
      <c r="BG818" s="7">
        <v>2</v>
      </c>
      <c r="BL818" s="7">
        <v>0</v>
      </c>
    </row>
    <row r="819" spans="1:64">
      <c r="A819">
        <v>1332501</v>
      </c>
      <c r="B819" t="s">
        <v>2308</v>
      </c>
      <c r="C819" t="s">
        <v>540</v>
      </c>
      <c r="D819" t="s">
        <v>550</v>
      </c>
      <c r="E819">
        <v>1</v>
      </c>
      <c r="F819" t="s">
        <v>959</v>
      </c>
      <c r="G819">
        <v>0</v>
      </c>
      <c r="H819">
        <v>0</v>
      </c>
      <c r="I819">
        <v>99999</v>
      </c>
      <c r="J819">
        <v>0</v>
      </c>
      <c r="K819">
        <v>3</v>
      </c>
      <c r="L819" t="s">
        <v>1562</v>
      </c>
      <c r="M819">
        <v>1</v>
      </c>
      <c r="N819" s="7">
        <v>1</v>
      </c>
      <c r="Q819">
        <v>0</v>
      </c>
      <c r="R819">
        <v>0</v>
      </c>
      <c r="S819" s="7">
        <v>1</v>
      </c>
      <c r="T819">
        <v>0</v>
      </c>
      <c r="V819">
        <v>0</v>
      </c>
      <c r="W819">
        <v>0</v>
      </c>
      <c r="X819" s="6" t="s">
        <v>856</v>
      </c>
      <c r="Y819" t="s">
        <v>788</v>
      </c>
      <c r="Z819" t="s">
        <v>2860</v>
      </c>
      <c r="AA819" t="s">
        <v>527</v>
      </c>
      <c r="AB819">
        <v>0</v>
      </c>
      <c r="AC819">
        <v>16</v>
      </c>
      <c r="AD819">
        <v>0</v>
      </c>
      <c r="AE819">
        <v>0</v>
      </c>
      <c r="AF819">
        <v>0</v>
      </c>
      <c r="AI819">
        <v>0</v>
      </c>
      <c r="AJ819">
        <v>0</v>
      </c>
      <c r="AK819" s="7">
        <v>0</v>
      </c>
      <c r="AL819" s="7">
        <v>0</v>
      </c>
      <c r="AM819" s="7">
        <v>0</v>
      </c>
      <c r="AN819" s="7">
        <v>0</v>
      </c>
      <c r="AP819">
        <v>0</v>
      </c>
      <c r="AQ819" s="7">
        <v>1</v>
      </c>
      <c r="AR819" s="7">
        <v>0</v>
      </c>
      <c r="AS819" s="7">
        <v>0</v>
      </c>
      <c r="AT819">
        <v>1</v>
      </c>
      <c r="BD819" s="7"/>
      <c r="BE819" s="7">
        <v>240</v>
      </c>
      <c r="BG819" s="7">
        <v>2</v>
      </c>
      <c r="BL819" s="7">
        <v>0</v>
      </c>
    </row>
    <row r="820" spans="1:64">
      <c r="A820">
        <v>1333001</v>
      </c>
      <c r="B820" t="s">
        <v>2309</v>
      </c>
      <c r="C820" t="s">
        <v>540</v>
      </c>
      <c r="D820" t="s">
        <v>550</v>
      </c>
      <c r="E820">
        <v>1</v>
      </c>
      <c r="F820" t="s">
        <v>959</v>
      </c>
      <c r="G820">
        <v>0</v>
      </c>
      <c r="H820">
        <v>0</v>
      </c>
      <c r="I820">
        <v>99999</v>
      </c>
      <c r="J820">
        <v>0</v>
      </c>
      <c r="K820">
        <v>3</v>
      </c>
      <c r="L820" t="s">
        <v>1562</v>
      </c>
      <c r="M820">
        <v>1</v>
      </c>
      <c r="N820" s="7">
        <v>1</v>
      </c>
      <c r="Q820">
        <v>0</v>
      </c>
      <c r="R820">
        <v>0</v>
      </c>
      <c r="S820" s="7">
        <v>1</v>
      </c>
      <c r="T820">
        <v>0</v>
      </c>
      <c r="V820">
        <v>0</v>
      </c>
      <c r="W820">
        <v>0</v>
      </c>
      <c r="X820" s="6" t="s">
        <v>858</v>
      </c>
      <c r="Y820" t="s">
        <v>788</v>
      </c>
      <c r="Z820" t="s">
        <v>2860</v>
      </c>
      <c r="AA820" t="s">
        <v>527</v>
      </c>
      <c r="AB820">
        <v>0</v>
      </c>
      <c r="AC820">
        <v>16</v>
      </c>
      <c r="AD820">
        <v>0</v>
      </c>
      <c r="AE820">
        <v>0</v>
      </c>
      <c r="AF820">
        <v>0</v>
      </c>
      <c r="AI820">
        <v>0</v>
      </c>
      <c r="AJ820">
        <v>0</v>
      </c>
      <c r="AK820" s="7">
        <v>0</v>
      </c>
      <c r="AL820" s="7">
        <v>0</v>
      </c>
      <c r="AM820" s="7">
        <v>0</v>
      </c>
      <c r="AN820" s="7">
        <v>0</v>
      </c>
      <c r="AP820">
        <v>0</v>
      </c>
      <c r="AQ820" s="7">
        <v>1</v>
      </c>
      <c r="AR820" s="7">
        <v>0</v>
      </c>
      <c r="AS820" s="7">
        <v>0</v>
      </c>
      <c r="AT820">
        <v>1</v>
      </c>
      <c r="BD820" s="7"/>
      <c r="BE820" s="7">
        <v>240</v>
      </c>
      <c r="BG820" s="7">
        <v>2</v>
      </c>
      <c r="BL820" s="7">
        <v>0</v>
      </c>
    </row>
    <row r="821" spans="1:64">
      <c r="A821">
        <v>1333501</v>
      </c>
      <c r="B821" t="s">
        <v>2310</v>
      </c>
      <c r="C821" t="s">
        <v>540</v>
      </c>
      <c r="D821" t="s">
        <v>550</v>
      </c>
      <c r="E821">
        <v>1</v>
      </c>
      <c r="F821" t="s">
        <v>959</v>
      </c>
      <c r="G821">
        <v>0</v>
      </c>
      <c r="H821">
        <v>0</v>
      </c>
      <c r="I821">
        <v>99999</v>
      </c>
      <c r="J821">
        <v>0</v>
      </c>
      <c r="K821">
        <v>3</v>
      </c>
      <c r="L821" t="s">
        <v>1562</v>
      </c>
      <c r="M821">
        <v>1</v>
      </c>
      <c r="N821" s="7">
        <v>1</v>
      </c>
      <c r="Q821">
        <v>0</v>
      </c>
      <c r="R821">
        <v>0</v>
      </c>
      <c r="S821" s="7">
        <v>1</v>
      </c>
      <c r="T821">
        <v>0</v>
      </c>
      <c r="V821">
        <v>0</v>
      </c>
      <c r="W821">
        <v>0</v>
      </c>
      <c r="X821" s="6" t="s">
        <v>860</v>
      </c>
      <c r="Y821" t="s">
        <v>788</v>
      </c>
      <c r="Z821" t="s">
        <v>2860</v>
      </c>
      <c r="AA821" t="s">
        <v>527</v>
      </c>
      <c r="AB821">
        <v>0</v>
      </c>
      <c r="AC821">
        <v>16</v>
      </c>
      <c r="AD821">
        <v>0</v>
      </c>
      <c r="AE821">
        <v>0</v>
      </c>
      <c r="AF821">
        <v>0</v>
      </c>
      <c r="AI821">
        <v>0</v>
      </c>
      <c r="AJ821">
        <v>0</v>
      </c>
      <c r="AK821" s="7">
        <v>0</v>
      </c>
      <c r="AL821" s="7">
        <v>0</v>
      </c>
      <c r="AM821" s="7">
        <v>0</v>
      </c>
      <c r="AN821" s="7">
        <v>0</v>
      </c>
      <c r="AP821">
        <v>0</v>
      </c>
      <c r="AQ821" s="7">
        <v>1</v>
      </c>
      <c r="AR821" s="7">
        <v>0</v>
      </c>
      <c r="AS821" s="7">
        <v>0</v>
      </c>
      <c r="AT821">
        <v>1</v>
      </c>
      <c r="BD821" s="7"/>
      <c r="BE821" s="7">
        <v>240</v>
      </c>
      <c r="BG821" s="7">
        <v>2</v>
      </c>
      <c r="BL821" s="7">
        <v>0</v>
      </c>
    </row>
    <row r="822" spans="1:64">
      <c r="A822">
        <v>1334001</v>
      </c>
      <c r="B822" t="s">
        <v>2311</v>
      </c>
      <c r="C822" t="s">
        <v>540</v>
      </c>
      <c r="D822" t="s">
        <v>550</v>
      </c>
      <c r="E822">
        <v>1</v>
      </c>
      <c r="F822" t="s">
        <v>959</v>
      </c>
      <c r="G822">
        <v>0</v>
      </c>
      <c r="H822">
        <v>0</v>
      </c>
      <c r="I822">
        <v>99999</v>
      </c>
      <c r="J822">
        <v>0</v>
      </c>
      <c r="K822">
        <v>3</v>
      </c>
      <c r="L822" t="s">
        <v>1562</v>
      </c>
      <c r="M822">
        <v>1</v>
      </c>
      <c r="N822" s="7">
        <v>1</v>
      </c>
      <c r="Q822">
        <v>0</v>
      </c>
      <c r="R822">
        <v>0</v>
      </c>
      <c r="S822" s="7">
        <v>1</v>
      </c>
      <c r="T822">
        <v>0</v>
      </c>
      <c r="V822">
        <v>0</v>
      </c>
      <c r="W822">
        <v>0</v>
      </c>
      <c r="X822" s="6" t="s">
        <v>862</v>
      </c>
      <c r="Y822" t="s">
        <v>788</v>
      </c>
      <c r="Z822" t="s">
        <v>2860</v>
      </c>
      <c r="AA822" t="s">
        <v>527</v>
      </c>
      <c r="AB822">
        <v>0</v>
      </c>
      <c r="AC822">
        <v>16</v>
      </c>
      <c r="AD822">
        <v>0</v>
      </c>
      <c r="AE822">
        <v>0</v>
      </c>
      <c r="AF822">
        <v>0</v>
      </c>
      <c r="AI822">
        <v>0</v>
      </c>
      <c r="AJ822">
        <v>0</v>
      </c>
      <c r="AK822" s="7">
        <v>0</v>
      </c>
      <c r="AL822" s="7">
        <v>0</v>
      </c>
      <c r="AM822" s="7">
        <v>0</v>
      </c>
      <c r="AN822" s="7">
        <v>0</v>
      </c>
      <c r="AP822">
        <v>0</v>
      </c>
      <c r="AQ822" s="7">
        <v>1</v>
      </c>
      <c r="AR822" s="7">
        <v>0</v>
      </c>
      <c r="AS822" s="7">
        <v>0</v>
      </c>
      <c r="AT822">
        <v>1</v>
      </c>
      <c r="BD822" s="7"/>
      <c r="BE822" s="7">
        <v>240</v>
      </c>
      <c r="BG822" s="7">
        <v>2</v>
      </c>
      <c r="BL822" s="7">
        <v>0</v>
      </c>
    </row>
    <row r="823" spans="1:64">
      <c r="A823">
        <v>1331502</v>
      </c>
      <c r="B823" s="7" t="s">
        <v>2312</v>
      </c>
      <c r="C823" t="s">
        <v>540</v>
      </c>
      <c r="D823" t="s">
        <v>550</v>
      </c>
      <c r="E823">
        <v>1</v>
      </c>
      <c r="F823" t="s">
        <v>959</v>
      </c>
      <c r="G823">
        <v>0</v>
      </c>
      <c r="H823">
        <v>0</v>
      </c>
      <c r="I823">
        <v>99999</v>
      </c>
      <c r="J823">
        <v>0</v>
      </c>
      <c r="K823">
        <v>3</v>
      </c>
      <c r="L823" t="s">
        <v>1562</v>
      </c>
      <c r="M823">
        <v>1</v>
      </c>
      <c r="N823" s="7">
        <v>1</v>
      </c>
      <c r="Q823">
        <v>0</v>
      </c>
      <c r="R823">
        <v>0</v>
      </c>
      <c r="S823" s="7">
        <v>1</v>
      </c>
      <c r="T823">
        <v>0</v>
      </c>
      <c r="V823">
        <v>0</v>
      </c>
      <c r="W823">
        <v>0</v>
      </c>
      <c r="X823" s="6" t="s">
        <v>864</v>
      </c>
      <c r="Y823" t="s">
        <v>788</v>
      </c>
      <c r="Z823" t="s">
        <v>2861</v>
      </c>
      <c r="AA823" t="s">
        <v>527</v>
      </c>
      <c r="AB823">
        <v>0</v>
      </c>
      <c r="AC823">
        <v>16</v>
      </c>
      <c r="AD823">
        <v>0</v>
      </c>
      <c r="AE823">
        <v>0</v>
      </c>
      <c r="AF823">
        <v>0</v>
      </c>
      <c r="AI823">
        <v>0</v>
      </c>
      <c r="AJ823">
        <v>0</v>
      </c>
      <c r="AK823" s="7">
        <v>0</v>
      </c>
      <c r="AL823" s="7">
        <v>0</v>
      </c>
      <c r="AM823" s="7">
        <v>0</v>
      </c>
      <c r="AN823" s="7">
        <v>0</v>
      </c>
      <c r="AP823">
        <v>0</v>
      </c>
      <c r="AQ823" s="7">
        <v>1</v>
      </c>
      <c r="AR823" s="7">
        <v>0</v>
      </c>
      <c r="AS823" s="7">
        <v>0</v>
      </c>
      <c r="AT823">
        <v>1</v>
      </c>
      <c r="BD823" s="7"/>
      <c r="BE823" s="7">
        <v>240</v>
      </c>
      <c r="BG823" s="7">
        <v>2</v>
      </c>
      <c r="BL823" s="7">
        <v>0</v>
      </c>
    </row>
    <row r="824" spans="1:64">
      <c r="A824">
        <v>1332002</v>
      </c>
      <c r="B824" s="7" t="s">
        <v>2313</v>
      </c>
      <c r="C824" t="s">
        <v>540</v>
      </c>
      <c r="D824" t="s">
        <v>550</v>
      </c>
      <c r="E824">
        <v>1</v>
      </c>
      <c r="F824" t="s">
        <v>959</v>
      </c>
      <c r="G824">
        <v>0</v>
      </c>
      <c r="H824">
        <v>0</v>
      </c>
      <c r="I824">
        <v>99999</v>
      </c>
      <c r="J824">
        <v>0</v>
      </c>
      <c r="K824">
        <v>3</v>
      </c>
      <c r="L824" t="s">
        <v>1562</v>
      </c>
      <c r="M824">
        <v>1</v>
      </c>
      <c r="N824" s="7">
        <v>1</v>
      </c>
      <c r="Q824">
        <v>0</v>
      </c>
      <c r="R824">
        <v>0</v>
      </c>
      <c r="S824" s="7">
        <v>1</v>
      </c>
      <c r="T824">
        <v>0</v>
      </c>
      <c r="V824">
        <v>0</v>
      </c>
      <c r="W824">
        <v>0</v>
      </c>
      <c r="X824" s="6" t="s">
        <v>866</v>
      </c>
      <c r="Y824" t="s">
        <v>788</v>
      </c>
      <c r="Z824" t="s">
        <v>2861</v>
      </c>
      <c r="AA824" t="s">
        <v>527</v>
      </c>
      <c r="AB824">
        <v>0</v>
      </c>
      <c r="AC824">
        <v>16</v>
      </c>
      <c r="AD824">
        <v>0</v>
      </c>
      <c r="AE824">
        <v>0</v>
      </c>
      <c r="AF824">
        <v>0</v>
      </c>
      <c r="AI824">
        <v>0</v>
      </c>
      <c r="AJ824">
        <v>0</v>
      </c>
      <c r="AK824" s="7">
        <v>0</v>
      </c>
      <c r="AL824" s="7">
        <v>0</v>
      </c>
      <c r="AM824" s="7">
        <v>0</v>
      </c>
      <c r="AN824" s="7">
        <v>0</v>
      </c>
      <c r="AP824">
        <v>0</v>
      </c>
      <c r="AQ824" s="7">
        <v>1</v>
      </c>
      <c r="AR824" s="7">
        <v>0</v>
      </c>
      <c r="AS824" s="7">
        <v>0</v>
      </c>
      <c r="AT824">
        <v>1</v>
      </c>
      <c r="BD824" s="7"/>
      <c r="BE824" s="7">
        <v>240</v>
      </c>
      <c r="BG824" s="7">
        <v>2</v>
      </c>
      <c r="BL824" s="7">
        <v>0</v>
      </c>
    </row>
    <row r="825" spans="1:64">
      <c r="A825">
        <v>1332502</v>
      </c>
      <c r="B825" s="7" t="s">
        <v>2314</v>
      </c>
      <c r="C825" t="s">
        <v>540</v>
      </c>
      <c r="D825" t="s">
        <v>550</v>
      </c>
      <c r="E825">
        <v>1</v>
      </c>
      <c r="F825" t="s">
        <v>959</v>
      </c>
      <c r="G825">
        <v>0</v>
      </c>
      <c r="H825">
        <v>0</v>
      </c>
      <c r="I825">
        <v>99999</v>
      </c>
      <c r="J825">
        <v>0</v>
      </c>
      <c r="K825">
        <v>3</v>
      </c>
      <c r="L825" t="s">
        <v>1562</v>
      </c>
      <c r="M825">
        <v>1</v>
      </c>
      <c r="N825" s="7">
        <v>1</v>
      </c>
      <c r="Q825">
        <v>0</v>
      </c>
      <c r="R825">
        <v>0</v>
      </c>
      <c r="S825" s="7">
        <v>1</v>
      </c>
      <c r="T825">
        <v>0</v>
      </c>
      <c r="V825">
        <v>0</v>
      </c>
      <c r="W825">
        <v>0</v>
      </c>
      <c r="X825" s="6" t="s">
        <v>868</v>
      </c>
      <c r="Y825" t="s">
        <v>788</v>
      </c>
      <c r="Z825" t="s">
        <v>2861</v>
      </c>
      <c r="AA825" t="s">
        <v>527</v>
      </c>
      <c r="AB825">
        <v>0</v>
      </c>
      <c r="AC825">
        <v>16</v>
      </c>
      <c r="AD825">
        <v>0</v>
      </c>
      <c r="AE825">
        <v>0</v>
      </c>
      <c r="AF825">
        <v>0</v>
      </c>
      <c r="AI825">
        <v>0</v>
      </c>
      <c r="AJ825">
        <v>0</v>
      </c>
      <c r="AK825" s="7">
        <v>0</v>
      </c>
      <c r="AL825" s="7">
        <v>0</v>
      </c>
      <c r="AM825" s="7">
        <v>0</v>
      </c>
      <c r="AN825" s="7">
        <v>0</v>
      </c>
      <c r="AP825">
        <v>0</v>
      </c>
      <c r="AQ825" s="7">
        <v>1</v>
      </c>
      <c r="AR825" s="7">
        <v>0</v>
      </c>
      <c r="AS825" s="7">
        <v>0</v>
      </c>
      <c r="AT825">
        <v>1</v>
      </c>
      <c r="BD825" s="7"/>
      <c r="BE825" s="7">
        <v>240</v>
      </c>
      <c r="BG825" s="7">
        <v>2</v>
      </c>
      <c r="BL825" s="7">
        <v>0</v>
      </c>
    </row>
    <row r="826" spans="1:64">
      <c r="A826">
        <v>1333002</v>
      </c>
      <c r="B826" s="7" t="s">
        <v>2315</v>
      </c>
      <c r="C826" t="s">
        <v>540</v>
      </c>
      <c r="D826" t="s">
        <v>550</v>
      </c>
      <c r="E826">
        <v>1</v>
      </c>
      <c r="F826" t="s">
        <v>959</v>
      </c>
      <c r="G826">
        <v>0</v>
      </c>
      <c r="H826">
        <v>0</v>
      </c>
      <c r="I826">
        <v>99999</v>
      </c>
      <c r="J826">
        <v>0</v>
      </c>
      <c r="K826">
        <v>3</v>
      </c>
      <c r="L826" t="s">
        <v>1562</v>
      </c>
      <c r="M826">
        <v>1</v>
      </c>
      <c r="N826" s="7">
        <v>1</v>
      </c>
      <c r="Q826">
        <v>0</v>
      </c>
      <c r="R826">
        <v>0</v>
      </c>
      <c r="S826" s="7">
        <v>1</v>
      </c>
      <c r="T826">
        <v>0</v>
      </c>
      <c r="V826">
        <v>0</v>
      </c>
      <c r="W826">
        <v>0</v>
      </c>
      <c r="X826" s="6" t="s">
        <v>870</v>
      </c>
      <c r="Y826" t="s">
        <v>788</v>
      </c>
      <c r="Z826" t="s">
        <v>2861</v>
      </c>
      <c r="AA826" t="s">
        <v>527</v>
      </c>
      <c r="AB826">
        <v>0</v>
      </c>
      <c r="AC826">
        <v>16</v>
      </c>
      <c r="AD826">
        <v>0</v>
      </c>
      <c r="AE826">
        <v>0</v>
      </c>
      <c r="AF826">
        <v>0</v>
      </c>
      <c r="AI826">
        <v>0</v>
      </c>
      <c r="AJ826">
        <v>0</v>
      </c>
      <c r="AK826" s="7">
        <v>0</v>
      </c>
      <c r="AL826" s="7">
        <v>0</v>
      </c>
      <c r="AM826" s="7">
        <v>0</v>
      </c>
      <c r="AN826" s="7">
        <v>0</v>
      </c>
      <c r="AP826">
        <v>0</v>
      </c>
      <c r="AQ826" s="7">
        <v>1</v>
      </c>
      <c r="AR826" s="7">
        <v>0</v>
      </c>
      <c r="AS826" s="7">
        <v>0</v>
      </c>
      <c r="AT826">
        <v>1</v>
      </c>
      <c r="BD826" s="7"/>
      <c r="BE826" s="7">
        <v>240</v>
      </c>
      <c r="BG826" s="7">
        <v>2</v>
      </c>
      <c r="BL826" s="7">
        <v>0</v>
      </c>
    </row>
    <row r="827" spans="1:64">
      <c r="A827">
        <v>1333502</v>
      </c>
      <c r="B827" s="7" t="s">
        <v>2316</v>
      </c>
      <c r="C827" t="s">
        <v>540</v>
      </c>
      <c r="D827" t="s">
        <v>550</v>
      </c>
      <c r="E827">
        <v>1</v>
      </c>
      <c r="F827" t="s">
        <v>959</v>
      </c>
      <c r="G827">
        <v>0</v>
      </c>
      <c r="H827">
        <v>0</v>
      </c>
      <c r="I827">
        <v>99999</v>
      </c>
      <c r="J827">
        <v>0</v>
      </c>
      <c r="K827">
        <v>3</v>
      </c>
      <c r="L827" t="s">
        <v>1562</v>
      </c>
      <c r="M827">
        <v>1</v>
      </c>
      <c r="N827" s="7">
        <v>1</v>
      </c>
      <c r="Q827">
        <v>0</v>
      </c>
      <c r="R827">
        <v>0</v>
      </c>
      <c r="S827" s="7">
        <v>1</v>
      </c>
      <c r="T827">
        <v>0</v>
      </c>
      <c r="V827">
        <v>0</v>
      </c>
      <c r="W827">
        <v>0</v>
      </c>
      <c r="X827" s="6" t="s">
        <v>872</v>
      </c>
      <c r="Y827" t="s">
        <v>788</v>
      </c>
      <c r="Z827" t="s">
        <v>2861</v>
      </c>
      <c r="AA827" t="s">
        <v>527</v>
      </c>
      <c r="AB827">
        <v>0</v>
      </c>
      <c r="AC827">
        <v>16</v>
      </c>
      <c r="AD827">
        <v>0</v>
      </c>
      <c r="AE827">
        <v>0</v>
      </c>
      <c r="AF827">
        <v>0</v>
      </c>
      <c r="AI827">
        <v>0</v>
      </c>
      <c r="AJ827">
        <v>0</v>
      </c>
      <c r="AK827" s="7">
        <v>0</v>
      </c>
      <c r="AL827" s="7">
        <v>0</v>
      </c>
      <c r="AM827" s="7">
        <v>0</v>
      </c>
      <c r="AN827" s="7">
        <v>0</v>
      </c>
      <c r="AP827">
        <v>0</v>
      </c>
      <c r="AQ827" s="7">
        <v>1</v>
      </c>
      <c r="AR827" s="7">
        <v>0</v>
      </c>
      <c r="AS827" s="7">
        <v>0</v>
      </c>
      <c r="AT827">
        <v>1</v>
      </c>
      <c r="BD827" s="7"/>
      <c r="BE827" s="7">
        <v>240</v>
      </c>
      <c r="BG827" s="7">
        <v>2</v>
      </c>
      <c r="BL827" s="7">
        <v>0</v>
      </c>
    </row>
    <row r="828" spans="1:64">
      <c r="A828">
        <v>1334002</v>
      </c>
      <c r="B828" s="7" t="s">
        <v>2317</v>
      </c>
      <c r="C828" t="s">
        <v>540</v>
      </c>
      <c r="D828" t="s">
        <v>550</v>
      </c>
      <c r="E828">
        <v>1</v>
      </c>
      <c r="F828" t="s">
        <v>959</v>
      </c>
      <c r="G828">
        <v>0</v>
      </c>
      <c r="H828">
        <v>0</v>
      </c>
      <c r="I828">
        <v>99999</v>
      </c>
      <c r="J828">
        <v>0</v>
      </c>
      <c r="K828">
        <v>3</v>
      </c>
      <c r="L828" t="s">
        <v>1562</v>
      </c>
      <c r="M828">
        <v>1</v>
      </c>
      <c r="N828" s="7">
        <v>1</v>
      </c>
      <c r="Q828">
        <v>0</v>
      </c>
      <c r="R828">
        <v>0</v>
      </c>
      <c r="S828" s="7">
        <v>1</v>
      </c>
      <c r="T828">
        <v>0</v>
      </c>
      <c r="V828">
        <v>0</v>
      </c>
      <c r="W828">
        <v>0</v>
      </c>
      <c r="X828" s="6" t="s">
        <v>874</v>
      </c>
      <c r="Y828" t="s">
        <v>788</v>
      </c>
      <c r="Z828" t="s">
        <v>2861</v>
      </c>
      <c r="AA828" t="s">
        <v>527</v>
      </c>
      <c r="AB828">
        <v>0</v>
      </c>
      <c r="AC828">
        <v>16</v>
      </c>
      <c r="AD828">
        <v>0</v>
      </c>
      <c r="AE828">
        <v>0</v>
      </c>
      <c r="AF828">
        <v>0</v>
      </c>
      <c r="AI828">
        <v>0</v>
      </c>
      <c r="AJ828">
        <v>0</v>
      </c>
      <c r="AK828" s="7">
        <v>0</v>
      </c>
      <c r="AL828" s="7">
        <v>0</v>
      </c>
      <c r="AM828" s="7">
        <v>0</v>
      </c>
      <c r="AN828" s="7">
        <v>0</v>
      </c>
      <c r="AP828">
        <v>0</v>
      </c>
      <c r="AQ828" s="7">
        <v>1</v>
      </c>
      <c r="AR828" s="7">
        <v>0</v>
      </c>
      <c r="AS828" s="7">
        <v>0</v>
      </c>
      <c r="AT828">
        <v>1</v>
      </c>
      <c r="BD828" s="7"/>
      <c r="BE828" s="7">
        <v>240</v>
      </c>
      <c r="BG828" s="7">
        <v>2</v>
      </c>
      <c r="BL828" s="7">
        <v>0</v>
      </c>
    </row>
    <row r="829" spans="1:64">
      <c r="A829">
        <v>1331503</v>
      </c>
      <c r="B829" s="7" t="s">
        <v>2318</v>
      </c>
      <c r="C829" t="s">
        <v>540</v>
      </c>
      <c r="D829" t="s">
        <v>550</v>
      </c>
      <c r="E829">
        <v>1</v>
      </c>
      <c r="F829" t="s">
        <v>959</v>
      </c>
      <c r="G829">
        <v>0</v>
      </c>
      <c r="H829">
        <v>0</v>
      </c>
      <c r="I829">
        <v>99999</v>
      </c>
      <c r="J829">
        <v>0</v>
      </c>
      <c r="K829">
        <v>3</v>
      </c>
      <c r="L829" t="s">
        <v>1562</v>
      </c>
      <c r="M829">
        <v>1</v>
      </c>
      <c r="N829" s="7">
        <v>1</v>
      </c>
      <c r="Q829">
        <v>0</v>
      </c>
      <c r="R829">
        <v>0</v>
      </c>
      <c r="S829" s="7">
        <v>1</v>
      </c>
      <c r="T829">
        <v>0</v>
      </c>
      <c r="V829">
        <v>0</v>
      </c>
      <c r="W829">
        <v>0</v>
      </c>
      <c r="X829" s="6" t="s">
        <v>876</v>
      </c>
      <c r="Y829" t="s">
        <v>788</v>
      </c>
      <c r="Z829" t="s">
        <v>2862</v>
      </c>
      <c r="AA829" t="s">
        <v>527</v>
      </c>
      <c r="AB829">
        <v>0</v>
      </c>
      <c r="AC829">
        <v>16</v>
      </c>
      <c r="AD829">
        <v>0</v>
      </c>
      <c r="AE829">
        <v>0</v>
      </c>
      <c r="AF829">
        <v>0</v>
      </c>
      <c r="AI829">
        <v>0</v>
      </c>
      <c r="AJ829">
        <v>0</v>
      </c>
      <c r="AK829" s="7">
        <v>0</v>
      </c>
      <c r="AL829" s="7">
        <v>0</v>
      </c>
      <c r="AM829" s="7">
        <v>0</v>
      </c>
      <c r="AN829" s="7">
        <v>0</v>
      </c>
      <c r="AP829">
        <v>0</v>
      </c>
      <c r="AQ829" s="7">
        <v>1</v>
      </c>
      <c r="AR829" s="7">
        <v>0</v>
      </c>
      <c r="AS829" s="7">
        <v>0</v>
      </c>
      <c r="AT829">
        <v>1</v>
      </c>
      <c r="BD829" s="7"/>
      <c r="BE829" s="7">
        <v>240</v>
      </c>
      <c r="BG829" s="7">
        <v>2</v>
      </c>
      <c r="BL829" s="7">
        <v>0</v>
      </c>
    </row>
    <row r="830" spans="1:64">
      <c r="A830">
        <v>1332003</v>
      </c>
      <c r="B830" s="7" t="s">
        <v>2319</v>
      </c>
      <c r="C830" t="s">
        <v>540</v>
      </c>
      <c r="D830" t="s">
        <v>550</v>
      </c>
      <c r="E830">
        <v>1</v>
      </c>
      <c r="F830" t="s">
        <v>959</v>
      </c>
      <c r="G830">
        <v>0</v>
      </c>
      <c r="H830">
        <v>0</v>
      </c>
      <c r="I830">
        <v>99999</v>
      </c>
      <c r="J830">
        <v>0</v>
      </c>
      <c r="K830">
        <v>3</v>
      </c>
      <c r="L830" t="s">
        <v>1562</v>
      </c>
      <c r="M830">
        <v>1</v>
      </c>
      <c r="N830" s="7">
        <v>1</v>
      </c>
      <c r="Q830">
        <v>0</v>
      </c>
      <c r="R830">
        <v>0</v>
      </c>
      <c r="S830" s="7">
        <v>1</v>
      </c>
      <c r="T830">
        <v>0</v>
      </c>
      <c r="V830">
        <v>0</v>
      </c>
      <c r="W830">
        <v>0</v>
      </c>
      <c r="X830" s="6" t="s">
        <v>878</v>
      </c>
      <c r="Y830" t="s">
        <v>788</v>
      </c>
      <c r="Z830" t="s">
        <v>2862</v>
      </c>
      <c r="AA830" t="s">
        <v>527</v>
      </c>
      <c r="AB830">
        <v>0</v>
      </c>
      <c r="AC830">
        <v>16</v>
      </c>
      <c r="AD830">
        <v>0</v>
      </c>
      <c r="AE830">
        <v>0</v>
      </c>
      <c r="AF830">
        <v>0</v>
      </c>
      <c r="AI830">
        <v>0</v>
      </c>
      <c r="AJ830">
        <v>0</v>
      </c>
      <c r="AK830" s="7">
        <v>0</v>
      </c>
      <c r="AL830" s="7">
        <v>0</v>
      </c>
      <c r="AM830" s="7">
        <v>0</v>
      </c>
      <c r="AN830" s="7">
        <v>0</v>
      </c>
      <c r="AP830">
        <v>0</v>
      </c>
      <c r="AQ830" s="7">
        <v>1</v>
      </c>
      <c r="AR830" s="7">
        <v>0</v>
      </c>
      <c r="AS830" s="7">
        <v>0</v>
      </c>
      <c r="AT830">
        <v>1</v>
      </c>
      <c r="BD830" s="7"/>
      <c r="BE830" s="7">
        <v>240</v>
      </c>
      <c r="BG830" s="7">
        <v>2</v>
      </c>
      <c r="BL830" s="7">
        <v>0</v>
      </c>
    </row>
    <row r="831" spans="1:64">
      <c r="A831">
        <v>1332503</v>
      </c>
      <c r="B831" s="7" t="s">
        <v>2320</v>
      </c>
      <c r="C831" t="s">
        <v>540</v>
      </c>
      <c r="D831" t="s">
        <v>550</v>
      </c>
      <c r="E831">
        <v>1</v>
      </c>
      <c r="F831" t="s">
        <v>959</v>
      </c>
      <c r="G831">
        <v>0</v>
      </c>
      <c r="H831">
        <v>0</v>
      </c>
      <c r="I831">
        <v>99999</v>
      </c>
      <c r="J831">
        <v>0</v>
      </c>
      <c r="K831">
        <v>3</v>
      </c>
      <c r="L831" t="s">
        <v>1562</v>
      </c>
      <c r="M831">
        <v>1</v>
      </c>
      <c r="N831" s="7">
        <v>1</v>
      </c>
      <c r="Q831">
        <v>0</v>
      </c>
      <c r="R831">
        <v>0</v>
      </c>
      <c r="S831" s="7">
        <v>1</v>
      </c>
      <c r="T831">
        <v>0</v>
      </c>
      <c r="V831">
        <v>0</v>
      </c>
      <c r="W831">
        <v>0</v>
      </c>
      <c r="X831" s="6" t="s">
        <v>880</v>
      </c>
      <c r="Y831" t="s">
        <v>788</v>
      </c>
      <c r="Z831" t="s">
        <v>2862</v>
      </c>
      <c r="AA831" t="s">
        <v>527</v>
      </c>
      <c r="AB831">
        <v>0</v>
      </c>
      <c r="AC831">
        <v>16</v>
      </c>
      <c r="AD831">
        <v>0</v>
      </c>
      <c r="AE831">
        <v>0</v>
      </c>
      <c r="AF831">
        <v>0</v>
      </c>
      <c r="AI831">
        <v>0</v>
      </c>
      <c r="AJ831">
        <v>0</v>
      </c>
      <c r="AK831" s="7">
        <v>0</v>
      </c>
      <c r="AL831" s="7">
        <v>0</v>
      </c>
      <c r="AM831" s="7">
        <v>0</v>
      </c>
      <c r="AN831" s="7">
        <v>0</v>
      </c>
      <c r="AP831">
        <v>0</v>
      </c>
      <c r="AQ831" s="7">
        <v>1</v>
      </c>
      <c r="AR831" s="7">
        <v>0</v>
      </c>
      <c r="AS831" s="7">
        <v>0</v>
      </c>
      <c r="AT831">
        <v>1</v>
      </c>
      <c r="BD831" s="7"/>
      <c r="BE831" s="7">
        <v>240</v>
      </c>
      <c r="BG831" s="7">
        <v>2</v>
      </c>
      <c r="BL831" s="7">
        <v>0</v>
      </c>
    </row>
    <row r="832" spans="1:64">
      <c r="A832">
        <v>1333003</v>
      </c>
      <c r="B832" s="7" t="s">
        <v>2321</v>
      </c>
      <c r="C832" t="s">
        <v>540</v>
      </c>
      <c r="D832" t="s">
        <v>550</v>
      </c>
      <c r="E832">
        <v>1</v>
      </c>
      <c r="F832" t="s">
        <v>959</v>
      </c>
      <c r="G832">
        <v>0</v>
      </c>
      <c r="H832">
        <v>0</v>
      </c>
      <c r="I832">
        <v>99999</v>
      </c>
      <c r="J832">
        <v>0</v>
      </c>
      <c r="K832">
        <v>3</v>
      </c>
      <c r="L832" t="s">
        <v>1562</v>
      </c>
      <c r="M832">
        <v>1</v>
      </c>
      <c r="N832" s="7">
        <v>1</v>
      </c>
      <c r="Q832">
        <v>0</v>
      </c>
      <c r="R832">
        <v>0</v>
      </c>
      <c r="S832" s="7">
        <v>1</v>
      </c>
      <c r="T832">
        <v>0</v>
      </c>
      <c r="V832">
        <v>0</v>
      </c>
      <c r="W832">
        <v>0</v>
      </c>
      <c r="X832" s="6" t="s">
        <v>882</v>
      </c>
      <c r="Y832" t="s">
        <v>788</v>
      </c>
      <c r="Z832" t="s">
        <v>2862</v>
      </c>
      <c r="AA832" t="s">
        <v>527</v>
      </c>
      <c r="AB832">
        <v>0</v>
      </c>
      <c r="AC832">
        <v>16</v>
      </c>
      <c r="AD832">
        <v>0</v>
      </c>
      <c r="AE832">
        <v>0</v>
      </c>
      <c r="AF832">
        <v>0</v>
      </c>
      <c r="AI832">
        <v>0</v>
      </c>
      <c r="AJ832">
        <v>0</v>
      </c>
      <c r="AK832" s="7">
        <v>0</v>
      </c>
      <c r="AL832" s="7">
        <v>0</v>
      </c>
      <c r="AM832" s="7">
        <v>0</v>
      </c>
      <c r="AN832" s="7">
        <v>0</v>
      </c>
      <c r="AP832">
        <v>0</v>
      </c>
      <c r="AQ832" s="7">
        <v>1</v>
      </c>
      <c r="AR832" s="7">
        <v>0</v>
      </c>
      <c r="AS832" s="7">
        <v>0</v>
      </c>
      <c r="AT832">
        <v>1</v>
      </c>
      <c r="BD832" s="7"/>
      <c r="BE832" s="7">
        <v>240</v>
      </c>
      <c r="BG832" s="7">
        <v>2</v>
      </c>
      <c r="BL832" s="7">
        <v>0</v>
      </c>
    </row>
    <row r="833" spans="1:64">
      <c r="A833">
        <v>1333503</v>
      </c>
      <c r="B833" s="7" t="s">
        <v>2322</v>
      </c>
      <c r="C833" t="s">
        <v>540</v>
      </c>
      <c r="D833" t="s">
        <v>550</v>
      </c>
      <c r="E833">
        <v>1</v>
      </c>
      <c r="F833" t="s">
        <v>959</v>
      </c>
      <c r="G833">
        <v>0</v>
      </c>
      <c r="H833">
        <v>0</v>
      </c>
      <c r="I833">
        <v>99999</v>
      </c>
      <c r="J833">
        <v>0</v>
      </c>
      <c r="K833">
        <v>3</v>
      </c>
      <c r="L833" t="s">
        <v>1562</v>
      </c>
      <c r="M833">
        <v>1</v>
      </c>
      <c r="N833" s="7">
        <v>1</v>
      </c>
      <c r="Q833">
        <v>0</v>
      </c>
      <c r="R833">
        <v>0</v>
      </c>
      <c r="S833" s="7">
        <v>1</v>
      </c>
      <c r="T833">
        <v>0</v>
      </c>
      <c r="V833">
        <v>0</v>
      </c>
      <c r="W833">
        <v>0</v>
      </c>
      <c r="X833" s="6" t="s">
        <v>884</v>
      </c>
      <c r="Y833" t="s">
        <v>788</v>
      </c>
      <c r="Z833" t="s">
        <v>2862</v>
      </c>
      <c r="AA833" t="s">
        <v>527</v>
      </c>
      <c r="AB833">
        <v>0</v>
      </c>
      <c r="AC833">
        <v>16</v>
      </c>
      <c r="AD833">
        <v>0</v>
      </c>
      <c r="AE833">
        <v>0</v>
      </c>
      <c r="AF833">
        <v>0</v>
      </c>
      <c r="AI833">
        <v>0</v>
      </c>
      <c r="AJ833">
        <v>0</v>
      </c>
      <c r="AK833" s="7">
        <v>0</v>
      </c>
      <c r="AL833" s="7">
        <v>0</v>
      </c>
      <c r="AM833" s="7">
        <v>0</v>
      </c>
      <c r="AN833" s="7">
        <v>0</v>
      </c>
      <c r="AP833">
        <v>0</v>
      </c>
      <c r="AQ833" s="7">
        <v>1</v>
      </c>
      <c r="AR833" s="7">
        <v>0</v>
      </c>
      <c r="AS833" s="7">
        <v>0</v>
      </c>
      <c r="AT833">
        <v>1</v>
      </c>
      <c r="BD833" s="7"/>
      <c r="BE833" s="7">
        <v>240</v>
      </c>
      <c r="BG833" s="7">
        <v>2</v>
      </c>
      <c r="BL833" s="7">
        <v>0</v>
      </c>
    </row>
    <row r="834" spans="1:64">
      <c r="A834">
        <v>1334003</v>
      </c>
      <c r="B834" s="7" t="s">
        <v>2323</v>
      </c>
      <c r="C834" t="s">
        <v>540</v>
      </c>
      <c r="D834" t="s">
        <v>550</v>
      </c>
      <c r="E834">
        <v>1</v>
      </c>
      <c r="F834" t="s">
        <v>959</v>
      </c>
      <c r="G834">
        <v>0</v>
      </c>
      <c r="H834">
        <v>0</v>
      </c>
      <c r="I834">
        <v>99999</v>
      </c>
      <c r="J834">
        <v>0</v>
      </c>
      <c r="K834">
        <v>3</v>
      </c>
      <c r="L834" t="s">
        <v>1562</v>
      </c>
      <c r="M834">
        <v>1</v>
      </c>
      <c r="N834" s="7">
        <v>1</v>
      </c>
      <c r="Q834">
        <v>0</v>
      </c>
      <c r="R834">
        <v>0</v>
      </c>
      <c r="S834" s="7">
        <v>1</v>
      </c>
      <c r="T834">
        <v>0</v>
      </c>
      <c r="V834">
        <v>0</v>
      </c>
      <c r="W834">
        <v>0</v>
      </c>
      <c r="X834" s="6" t="s">
        <v>886</v>
      </c>
      <c r="Y834" t="s">
        <v>788</v>
      </c>
      <c r="Z834" t="s">
        <v>2862</v>
      </c>
      <c r="AA834" t="s">
        <v>527</v>
      </c>
      <c r="AB834">
        <v>0</v>
      </c>
      <c r="AC834">
        <v>16</v>
      </c>
      <c r="AD834">
        <v>0</v>
      </c>
      <c r="AE834">
        <v>0</v>
      </c>
      <c r="AF834">
        <v>0</v>
      </c>
      <c r="AI834">
        <v>0</v>
      </c>
      <c r="AJ834">
        <v>0</v>
      </c>
      <c r="AK834" s="7">
        <v>0</v>
      </c>
      <c r="AL834" s="7">
        <v>0</v>
      </c>
      <c r="AM834" s="7">
        <v>0</v>
      </c>
      <c r="AN834" s="7">
        <v>0</v>
      </c>
      <c r="AP834">
        <v>0</v>
      </c>
      <c r="AQ834" s="7">
        <v>1</v>
      </c>
      <c r="AR834" s="7">
        <v>0</v>
      </c>
      <c r="AS834" s="7">
        <v>0</v>
      </c>
      <c r="AT834">
        <v>1</v>
      </c>
      <c r="BD834" s="7"/>
      <c r="BE834" s="7">
        <v>240</v>
      </c>
      <c r="BG834" s="7">
        <v>2</v>
      </c>
      <c r="BL834" s="7">
        <v>0</v>
      </c>
    </row>
    <row r="835" spans="1:64">
      <c r="A835">
        <v>1344501</v>
      </c>
      <c r="B835" s="7" t="s">
        <v>1277</v>
      </c>
      <c r="C835" t="s">
        <v>540</v>
      </c>
      <c r="D835" t="s">
        <v>550</v>
      </c>
      <c r="E835">
        <v>1</v>
      </c>
      <c r="F835" t="s">
        <v>959</v>
      </c>
      <c r="G835">
        <v>0</v>
      </c>
      <c r="H835">
        <v>0</v>
      </c>
      <c r="I835">
        <v>99999</v>
      </c>
      <c r="J835">
        <v>0</v>
      </c>
      <c r="K835">
        <v>3</v>
      </c>
      <c r="L835" t="s">
        <v>1562</v>
      </c>
      <c r="M835">
        <v>1</v>
      </c>
      <c r="N835" s="7">
        <v>1</v>
      </c>
      <c r="Q835">
        <v>0</v>
      </c>
      <c r="R835">
        <v>0</v>
      </c>
      <c r="S835" s="7">
        <v>1</v>
      </c>
      <c r="T835">
        <v>0</v>
      </c>
      <c r="V835">
        <v>0</v>
      </c>
      <c r="W835">
        <v>0</v>
      </c>
      <c r="X835" s="6" t="s">
        <v>887</v>
      </c>
      <c r="Y835" t="s">
        <v>788</v>
      </c>
      <c r="Z835" t="s">
        <v>2863</v>
      </c>
      <c r="AA835" t="s">
        <v>527</v>
      </c>
      <c r="AB835">
        <v>0</v>
      </c>
      <c r="AC835">
        <v>16</v>
      </c>
      <c r="AD835">
        <v>0</v>
      </c>
      <c r="AE835">
        <v>0</v>
      </c>
      <c r="AF835">
        <v>0</v>
      </c>
      <c r="AI835">
        <v>0</v>
      </c>
      <c r="AJ835">
        <v>0</v>
      </c>
      <c r="AK835" s="7">
        <v>0</v>
      </c>
      <c r="AL835" s="7">
        <v>0</v>
      </c>
      <c r="AM835" s="7">
        <v>0</v>
      </c>
      <c r="AN835" s="7">
        <v>0</v>
      </c>
      <c r="AP835">
        <v>0</v>
      </c>
      <c r="AQ835" s="7">
        <v>1</v>
      </c>
      <c r="AR835" s="7">
        <v>0</v>
      </c>
      <c r="AS835" s="7">
        <v>0</v>
      </c>
      <c r="AT835">
        <v>1</v>
      </c>
      <c r="BD835" s="7"/>
      <c r="BE835" s="7">
        <v>240</v>
      </c>
      <c r="BG835" s="7">
        <v>2</v>
      </c>
      <c r="BL835" s="7">
        <v>0</v>
      </c>
    </row>
    <row r="836" spans="1:64">
      <c r="A836">
        <v>1345001</v>
      </c>
      <c r="B836" s="7" t="s">
        <v>1278</v>
      </c>
      <c r="C836" t="s">
        <v>540</v>
      </c>
      <c r="D836" t="s">
        <v>550</v>
      </c>
      <c r="E836">
        <v>1</v>
      </c>
      <c r="F836" t="s">
        <v>959</v>
      </c>
      <c r="G836">
        <v>0</v>
      </c>
      <c r="H836">
        <v>0</v>
      </c>
      <c r="I836">
        <v>99999</v>
      </c>
      <c r="J836">
        <v>0</v>
      </c>
      <c r="K836">
        <v>3</v>
      </c>
      <c r="L836" t="s">
        <v>1562</v>
      </c>
      <c r="M836">
        <v>1</v>
      </c>
      <c r="N836" s="7">
        <v>1</v>
      </c>
      <c r="Q836">
        <v>0</v>
      </c>
      <c r="R836">
        <v>0</v>
      </c>
      <c r="S836" s="7">
        <v>1</v>
      </c>
      <c r="T836">
        <v>0</v>
      </c>
      <c r="V836">
        <v>0</v>
      </c>
      <c r="W836">
        <v>0</v>
      </c>
      <c r="X836" s="6" t="s">
        <v>888</v>
      </c>
      <c r="Y836" t="s">
        <v>788</v>
      </c>
      <c r="Z836" s="7" t="s">
        <v>2863</v>
      </c>
      <c r="AA836" t="s">
        <v>527</v>
      </c>
      <c r="AB836">
        <v>0</v>
      </c>
      <c r="AC836">
        <v>16</v>
      </c>
      <c r="AD836">
        <v>0</v>
      </c>
      <c r="AE836">
        <v>0</v>
      </c>
      <c r="AF836">
        <v>0</v>
      </c>
      <c r="AI836">
        <v>0</v>
      </c>
      <c r="AJ836">
        <v>0</v>
      </c>
      <c r="AK836" s="7">
        <v>0</v>
      </c>
      <c r="AL836" s="7">
        <v>0</v>
      </c>
      <c r="AM836" s="7">
        <v>0</v>
      </c>
      <c r="AN836" s="7">
        <v>0</v>
      </c>
      <c r="AP836">
        <v>0</v>
      </c>
      <c r="AQ836" s="7">
        <v>1</v>
      </c>
      <c r="AR836" s="7">
        <v>0</v>
      </c>
      <c r="AS836" s="7">
        <v>0</v>
      </c>
      <c r="AT836">
        <v>1</v>
      </c>
      <c r="BD836" s="7"/>
      <c r="BE836" s="7">
        <v>240</v>
      </c>
      <c r="BG836" s="7">
        <v>2</v>
      </c>
      <c r="BL836" s="7">
        <v>0</v>
      </c>
    </row>
    <row r="837" spans="1:64">
      <c r="A837">
        <v>1345501</v>
      </c>
      <c r="B837" s="7" t="s">
        <v>1279</v>
      </c>
      <c r="C837" t="s">
        <v>540</v>
      </c>
      <c r="D837" t="s">
        <v>550</v>
      </c>
      <c r="E837">
        <v>1</v>
      </c>
      <c r="F837" t="s">
        <v>959</v>
      </c>
      <c r="G837">
        <v>0</v>
      </c>
      <c r="H837">
        <v>0</v>
      </c>
      <c r="I837">
        <v>99999</v>
      </c>
      <c r="J837">
        <v>0</v>
      </c>
      <c r="K837">
        <v>3</v>
      </c>
      <c r="L837" t="s">
        <v>1562</v>
      </c>
      <c r="M837">
        <v>1</v>
      </c>
      <c r="N837" s="7">
        <v>1</v>
      </c>
      <c r="Q837">
        <v>0</v>
      </c>
      <c r="R837">
        <v>0</v>
      </c>
      <c r="S837" s="7">
        <v>1</v>
      </c>
      <c r="T837">
        <v>0</v>
      </c>
      <c r="V837">
        <v>0</v>
      </c>
      <c r="W837">
        <v>0</v>
      </c>
      <c r="X837" s="6" t="s">
        <v>889</v>
      </c>
      <c r="Y837" t="s">
        <v>788</v>
      </c>
      <c r="Z837" s="7" t="s">
        <v>2863</v>
      </c>
      <c r="AA837" t="s">
        <v>527</v>
      </c>
      <c r="AB837">
        <v>0</v>
      </c>
      <c r="AC837">
        <v>16</v>
      </c>
      <c r="AD837">
        <v>0</v>
      </c>
      <c r="AE837">
        <v>0</v>
      </c>
      <c r="AF837">
        <v>0</v>
      </c>
      <c r="AI837">
        <v>0</v>
      </c>
      <c r="AJ837">
        <v>0</v>
      </c>
      <c r="AK837" s="7">
        <v>0</v>
      </c>
      <c r="AL837" s="7">
        <v>0</v>
      </c>
      <c r="AM837" s="7">
        <v>0</v>
      </c>
      <c r="AN837" s="7">
        <v>0</v>
      </c>
      <c r="AP837">
        <v>0</v>
      </c>
      <c r="AQ837" s="7">
        <v>1</v>
      </c>
      <c r="AR837" s="7">
        <v>0</v>
      </c>
      <c r="AS837" s="7">
        <v>0</v>
      </c>
      <c r="AT837">
        <v>1</v>
      </c>
      <c r="BD837" s="7"/>
      <c r="BE837" s="7">
        <v>240</v>
      </c>
      <c r="BG837" s="7">
        <v>2</v>
      </c>
      <c r="BL837" s="7">
        <v>0</v>
      </c>
    </row>
    <row r="838" spans="1:64">
      <c r="A838">
        <v>1344502</v>
      </c>
      <c r="B838" s="7" t="s">
        <v>1280</v>
      </c>
      <c r="C838" t="s">
        <v>540</v>
      </c>
      <c r="D838" t="s">
        <v>550</v>
      </c>
      <c r="E838">
        <v>1</v>
      </c>
      <c r="F838" t="s">
        <v>959</v>
      </c>
      <c r="G838">
        <v>0</v>
      </c>
      <c r="H838">
        <v>0</v>
      </c>
      <c r="I838">
        <v>99999</v>
      </c>
      <c r="J838">
        <v>0</v>
      </c>
      <c r="K838">
        <v>3</v>
      </c>
      <c r="L838" t="s">
        <v>1562</v>
      </c>
      <c r="M838">
        <v>1</v>
      </c>
      <c r="N838" s="7">
        <v>1</v>
      </c>
      <c r="Q838">
        <v>0</v>
      </c>
      <c r="R838">
        <v>0</v>
      </c>
      <c r="S838" s="7">
        <v>1</v>
      </c>
      <c r="T838">
        <v>0</v>
      </c>
      <c r="V838">
        <v>0</v>
      </c>
      <c r="W838">
        <v>0</v>
      </c>
      <c r="X838" s="6" t="s">
        <v>890</v>
      </c>
      <c r="Y838" t="s">
        <v>788</v>
      </c>
      <c r="Z838" s="7" t="s">
        <v>2864</v>
      </c>
      <c r="AA838" t="s">
        <v>527</v>
      </c>
      <c r="AB838">
        <v>0</v>
      </c>
      <c r="AC838">
        <v>16</v>
      </c>
      <c r="AD838">
        <v>0</v>
      </c>
      <c r="AE838">
        <v>0</v>
      </c>
      <c r="AF838">
        <v>0</v>
      </c>
      <c r="AI838">
        <v>0</v>
      </c>
      <c r="AJ838">
        <v>0</v>
      </c>
      <c r="AK838" s="7">
        <v>0</v>
      </c>
      <c r="AL838" s="7">
        <v>0</v>
      </c>
      <c r="AM838" s="7">
        <v>0</v>
      </c>
      <c r="AN838" s="7">
        <v>0</v>
      </c>
      <c r="AP838">
        <v>0</v>
      </c>
      <c r="AQ838" s="7">
        <v>1</v>
      </c>
      <c r="AR838" s="7">
        <v>0</v>
      </c>
      <c r="AS838" s="7">
        <v>0</v>
      </c>
      <c r="AT838">
        <v>1</v>
      </c>
      <c r="BD838" s="7"/>
      <c r="BE838" s="7">
        <v>240</v>
      </c>
      <c r="BG838" s="7">
        <v>2</v>
      </c>
      <c r="BL838" s="7">
        <v>0</v>
      </c>
    </row>
    <row r="839" spans="1:64">
      <c r="A839">
        <v>1345002</v>
      </c>
      <c r="B839" s="7" t="s">
        <v>1281</v>
      </c>
      <c r="C839" t="s">
        <v>540</v>
      </c>
      <c r="D839" t="s">
        <v>550</v>
      </c>
      <c r="E839">
        <v>1</v>
      </c>
      <c r="F839" t="s">
        <v>959</v>
      </c>
      <c r="G839">
        <v>0</v>
      </c>
      <c r="H839">
        <v>0</v>
      </c>
      <c r="I839">
        <v>99999</v>
      </c>
      <c r="J839">
        <v>0</v>
      </c>
      <c r="K839">
        <v>3</v>
      </c>
      <c r="L839" t="s">
        <v>1562</v>
      </c>
      <c r="M839">
        <v>1</v>
      </c>
      <c r="N839" s="7">
        <v>1</v>
      </c>
      <c r="Q839">
        <v>0</v>
      </c>
      <c r="R839">
        <v>0</v>
      </c>
      <c r="S839" s="7">
        <v>1</v>
      </c>
      <c r="T839">
        <v>0</v>
      </c>
      <c r="V839">
        <v>0</v>
      </c>
      <c r="W839">
        <v>0</v>
      </c>
      <c r="X839" s="6" t="s">
        <v>891</v>
      </c>
      <c r="Y839" t="s">
        <v>788</v>
      </c>
      <c r="Z839" s="7" t="s">
        <v>2864</v>
      </c>
      <c r="AA839" t="s">
        <v>527</v>
      </c>
      <c r="AB839">
        <v>0</v>
      </c>
      <c r="AC839">
        <v>16</v>
      </c>
      <c r="AD839">
        <v>0</v>
      </c>
      <c r="AE839">
        <v>0</v>
      </c>
      <c r="AF839">
        <v>0</v>
      </c>
      <c r="AI839">
        <v>0</v>
      </c>
      <c r="AJ839">
        <v>0</v>
      </c>
      <c r="AK839" s="7">
        <v>0</v>
      </c>
      <c r="AL839" s="7">
        <v>0</v>
      </c>
      <c r="AM839" s="7">
        <v>0</v>
      </c>
      <c r="AN839" s="7">
        <v>0</v>
      </c>
      <c r="AP839">
        <v>0</v>
      </c>
      <c r="AQ839" s="7">
        <v>1</v>
      </c>
      <c r="AR839" s="7">
        <v>0</v>
      </c>
      <c r="AS839" s="7">
        <v>0</v>
      </c>
      <c r="AT839">
        <v>1</v>
      </c>
      <c r="BD839" s="7"/>
      <c r="BE839" s="7">
        <v>240</v>
      </c>
      <c r="BG839" s="7">
        <v>2</v>
      </c>
      <c r="BL839" s="7">
        <v>0</v>
      </c>
    </row>
    <row r="840" spans="1:64">
      <c r="A840">
        <v>1345502</v>
      </c>
      <c r="B840" s="7" t="s">
        <v>1282</v>
      </c>
      <c r="C840" t="s">
        <v>540</v>
      </c>
      <c r="D840" t="s">
        <v>550</v>
      </c>
      <c r="E840">
        <v>1</v>
      </c>
      <c r="F840" t="s">
        <v>959</v>
      </c>
      <c r="G840">
        <v>0</v>
      </c>
      <c r="H840">
        <v>0</v>
      </c>
      <c r="I840">
        <v>99999</v>
      </c>
      <c r="J840">
        <v>0</v>
      </c>
      <c r="K840">
        <v>3</v>
      </c>
      <c r="L840" t="s">
        <v>1562</v>
      </c>
      <c r="M840">
        <v>1</v>
      </c>
      <c r="N840" s="7">
        <v>1</v>
      </c>
      <c r="Q840">
        <v>0</v>
      </c>
      <c r="R840">
        <v>0</v>
      </c>
      <c r="S840" s="7">
        <v>1</v>
      </c>
      <c r="T840">
        <v>0</v>
      </c>
      <c r="V840">
        <v>0</v>
      </c>
      <c r="W840">
        <v>0</v>
      </c>
      <c r="X840" s="6" t="s">
        <v>892</v>
      </c>
      <c r="Y840" t="s">
        <v>788</v>
      </c>
      <c r="Z840" s="7" t="s">
        <v>2864</v>
      </c>
      <c r="AA840" t="s">
        <v>527</v>
      </c>
      <c r="AB840">
        <v>0</v>
      </c>
      <c r="AC840">
        <v>16</v>
      </c>
      <c r="AD840">
        <v>0</v>
      </c>
      <c r="AE840">
        <v>0</v>
      </c>
      <c r="AF840">
        <v>0</v>
      </c>
      <c r="AI840">
        <v>0</v>
      </c>
      <c r="AJ840">
        <v>0</v>
      </c>
      <c r="AK840" s="7">
        <v>0</v>
      </c>
      <c r="AL840" s="7">
        <v>0</v>
      </c>
      <c r="AM840" s="7">
        <v>0</v>
      </c>
      <c r="AN840" s="7">
        <v>0</v>
      </c>
      <c r="AP840">
        <v>0</v>
      </c>
      <c r="AQ840" s="7">
        <v>1</v>
      </c>
      <c r="AR840" s="7">
        <v>0</v>
      </c>
      <c r="AS840" s="7">
        <v>0</v>
      </c>
      <c r="AT840">
        <v>1</v>
      </c>
      <c r="BD840" s="7"/>
      <c r="BE840" s="7">
        <v>240</v>
      </c>
      <c r="BG840" s="7">
        <v>2</v>
      </c>
      <c r="BL840" s="7">
        <v>0</v>
      </c>
    </row>
    <row r="841" spans="1:64">
      <c r="A841">
        <v>1344503</v>
      </c>
      <c r="B841" s="7" t="s">
        <v>1283</v>
      </c>
      <c r="C841" t="s">
        <v>540</v>
      </c>
      <c r="D841" t="s">
        <v>550</v>
      </c>
      <c r="E841">
        <v>1</v>
      </c>
      <c r="F841" t="s">
        <v>959</v>
      </c>
      <c r="G841">
        <v>0</v>
      </c>
      <c r="H841">
        <v>0</v>
      </c>
      <c r="I841">
        <v>99999</v>
      </c>
      <c r="J841">
        <v>0</v>
      </c>
      <c r="K841">
        <v>3</v>
      </c>
      <c r="L841" t="s">
        <v>1562</v>
      </c>
      <c r="M841">
        <v>1</v>
      </c>
      <c r="N841" s="7">
        <v>1</v>
      </c>
      <c r="Q841">
        <v>0</v>
      </c>
      <c r="R841">
        <v>0</v>
      </c>
      <c r="S841" s="7">
        <v>1</v>
      </c>
      <c r="T841">
        <v>0</v>
      </c>
      <c r="V841">
        <v>0</v>
      </c>
      <c r="W841">
        <v>0</v>
      </c>
      <c r="X841" s="6" t="s">
        <v>893</v>
      </c>
      <c r="Y841" t="s">
        <v>788</v>
      </c>
      <c r="Z841" s="7" t="s">
        <v>2865</v>
      </c>
      <c r="AA841" t="s">
        <v>527</v>
      </c>
      <c r="AB841">
        <v>0</v>
      </c>
      <c r="AC841">
        <v>16</v>
      </c>
      <c r="AD841">
        <v>0</v>
      </c>
      <c r="AE841">
        <v>0</v>
      </c>
      <c r="AF841">
        <v>0</v>
      </c>
      <c r="AI841">
        <v>0</v>
      </c>
      <c r="AJ841">
        <v>0</v>
      </c>
      <c r="AK841" s="7">
        <v>0</v>
      </c>
      <c r="AL841" s="7">
        <v>0</v>
      </c>
      <c r="AM841" s="7">
        <v>0</v>
      </c>
      <c r="AN841" s="7">
        <v>0</v>
      </c>
      <c r="AP841">
        <v>0</v>
      </c>
      <c r="AQ841" s="7">
        <v>1</v>
      </c>
      <c r="AR841" s="7">
        <v>0</v>
      </c>
      <c r="AS841" s="7">
        <v>0</v>
      </c>
      <c r="AT841">
        <v>1</v>
      </c>
      <c r="BD841" s="7"/>
      <c r="BE841" s="7">
        <v>240</v>
      </c>
      <c r="BG841" s="7">
        <v>2</v>
      </c>
      <c r="BL841" s="7">
        <v>0</v>
      </c>
    </row>
    <row r="842" spans="1:64">
      <c r="A842">
        <v>1345003</v>
      </c>
      <c r="B842" s="7" t="s">
        <v>1284</v>
      </c>
      <c r="C842" t="s">
        <v>540</v>
      </c>
      <c r="D842" t="s">
        <v>550</v>
      </c>
      <c r="E842">
        <v>1</v>
      </c>
      <c r="F842" t="s">
        <v>959</v>
      </c>
      <c r="G842">
        <v>0</v>
      </c>
      <c r="H842">
        <v>0</v>
      </c>
      <c r="I842">
        <v>99999</v>
      </c>
      <c r="J842">
        <v>0</v>
      </c>
      <c r="K842">
        <v>3</v>
      </c>
      <c r="L842" t="s">
        <v>1562</v>
      </c>
      <c r="M842">
        <v>1</v>
      </c>
      <c r="N842" s="7">
        <v>1</v>
      </c>
      <c r="Q842">
        <v>0</v>
      </c>
      <c r="R842">
        <v>0</v>
      </c>
      <c r="S842" s="7">
        <v>1</v>
      </c>
      <c r="T842">
        <v>0</v>
      </c>
      <c r="V842">
        <v>0</v>
      </c>
      <c r="W842">
        <v>0</v>
      </c>
      <c r="X842" s="6" t="s">
        <v>894</v>
      </c>
      <c r="Y842" t="s">
        <v>788</v>
      </c>
      <c r="Z842" s="7" t="s">
        <v>2865</v>
      </c>
      <c r="AA842" t="s">
        <v>527</v>
      </c>
      <c r="AB842">
        <v>0</v>
      </c>
      <c r="AC842">
        <v>16</v>
      </c>
      <c r="AD842">
        <v>0</v>
      </c>
      <c r="AE842">
        <v>0</v>
      </c>
      <c r="AF842">
        <v>0</v>
      </c>
      <c r="AI842">
        <v>0</v>
      </c>
      <c r="AJ842">
        <v>0</v>
      </c>
      <c r="AK842" s="7">
        <v>0</v>
      </c>
      <c r="AL842" s="7">
        <v>0</v>
      </c>
      <c r="AM842" s="7">
        <v>0</v>
      </c>
      <c r="AN842" s="7">
        <v>0</v>
      </c>
      <c r="AP842">
        <v>0</v>
      </c>
      <c r="AQ842" s="7">
        <v>1</v>
      </c>
      <c r="AR842" s="7">
        <v>0</v>
      </c>
      <c r="AS842" s="7">
        <v>0</v>
      </c>
      <c r="AT842">
        <v>1</v>
      </c>
      <c r="BD842" s="7"/>
      <c r="BE842" s="7">
        <v>240</v>
      </c>
      <c r="BG842" s="7">
        <v>2</v>
      </c>
      <c r="BL842" s="7">
        <v>0</v>
      </c>
    </row>
    <row r="843" spans="1:64">
      <c r="A843">
        <v>1345503</v>
      </c>
      <c r="B843" s="7" t="s">
        <v>1285</v>
      </c>
      <c r="C843" t="s">
        <v>540</v>
      </c>
      <c r="D843" t="s">
        <v>550</v>
      </c>
      <c r="E843">
        <v>1</v>
      </c>
      <c r="F843" t="s">
        <v>959</v>
      </c>
      <c r="G843">
        <v>0</v>
      </c>
      <c r="H843">
        <v>0</v>
      </c>
      <c r="I843">
        <v>99999</v>
      </c>
      <c r="J843">
        <v>0</v>
      </c>
      <c r="K843">
        <v>3</v>
      </c>
      <c r="L843" t="s">
        <v>1562</v>
      </c>
      <c r="M843">
        <v>1</v>
      </c>
      <c r="N843" s="7">
        <v>1</v>
      </c>
      <c r="Q843">
        <v>0</v>
      </c>
      <c r="R843">
        <v>0</v>
      </c>
      <c r="S843" s="7">
        <v>1</v>
      </c>
      <c r="T843">
        <v>0</v>
      </c>
      <c r="V843">
        <v>0</v>
      </c>
      <c r="W843">
        <v>0</v>
      </c>
      <c r="X843" s="6" t="s">
        <v>895</v>
      </c>
      <c r="Y843" t="s">
        <v>788</v>
      </c>
      <c r="Z843" s="7" t="s">
        <v>2865</v>
      </c>
      <c r="AA843" t="s">
        <v>527</v>
      </c>
      <c r="AB843">
        <v>0</v>
      </c>
      <c r="AC843">
        <v>16</v>
      </c>
      <c r="AD843">
        <v>0</v>
      </c>
      <c r="AE843">
        <v>0</v>
      </c>
      <c r="AF843">
        <v>0</v>
      </c>
      <c r="AI843">
        <v>0</v>
      </c>
      <c r="AJ843">
        <v>0</v>
      </c>
      <c r="AK843" s="7">
        <v>0</v>
      </c>
      <c r="AL843" s="7">
        <v>0</v>
      </c>
      <c r="AM843" s="7">
        <v>0</v>
      </c>
      <c r="AN843" s="7">
        <v>0</v>
      </c>
      <c r="AP843">
        <v>0</v>
      </c>
      <c r="AQ843" s="7">
        <v>1</v>
      </c>
      <c r="AR843" s="7">
        <v>0</v>
      </c>
      <c r="AS843" s="7">
        <v>0</v>
      </c>
      <c r="AT843">
        <v>1</v>
      </c>
      <c r="BD843" s="7"/>
      <c r="BE843" s="7">
        <v>240</v>
      </c>
      <c r="BG843" s="7">
        <v>2</v>
      </c>
      <c r="BL843" s="7">
        <v>0</v>
      </c>
    </row>
    <row r="844" spans="1:64">
      <c r="A844">
        <v>1350001</v>
      </c>
      <c r="B844" t="s">
        <v>896</v>
      </c>
      <c r="C844" t="s">
        <v>540</v>
      </c>
      <c r="D844" t="s">
        <v>550</v>
      </c>
      <c r="E844">
        <v>1</v>
      </c>
      <c r="F844" t="s">
        <v>959</v>
      </c>
      <c r="G844">
        <v>0</v>
      </c>
      <c r="H844">
        <v>0</v>
      </c>
      <c r="I844">
        <v>99999</v>
      </c>
      <c r="J844">
        <v>0</v>
      </c>
      <c r="K844">
        <v>3</v>
      </c>
      <c r="L844" t="s">
        <v>1562</v>
      </c>
      <c r="M844">
        <v>1</v>
      </c>
      <c r="N844" s="7">
        <v>1</v>
      </c>
      <c r="Q844">
        <v>0</v>
      </c>
      <c r="R844">
        <v>0</v>
      </c>
      <c r="S844" s="7">
        <v>1</v>
      </c>
      <c r="T844">
        <v>0</v>
      </c>
      <c r="V844">
        <v>0</v>
      </c>
      <c r="W844">
        <v>0</v>
      </c>
      <c r="X844" s="6" t="s">
        <v>897</v>
      </c>
      <c r="Y844" t="s">
        <v>541</v>
      </c>
      <c r="Z844" t="s">
        <v>2944</v>
      </c>
      <c r="AA844" t="s">
        <v>527</v>
      </c>
      <c r="AB844">
        <v>0</v>
      </c>
      <c r="AC844">
        <v>16</v>
      </c>
      <c r="AD844">
        <v>0</v>
      </c>
      <c r="AE844">
        <v>0</v>
      </c>
      <c r="AF844">
        <v>0</v>
      </c>
      <c r="AI844">
        <v>0</v>
      </c>
      <c r="AJ844">
        <v>0</v>
      </c>
      <c r="AK844" s="7">
        <v>0</v>
      </c>
      <c r="AL844" s="7">
        <v>0</v>
      </c>
      <c r="AM844" s="7">
        <v>0</v>
      </c>
      <c r="AN844" s="7">
        <v>0</v>
      </c>
      <c r="AP844">
        <v>0</v>
      </c>
      <c r="AQ844" s="7">
        <v>1</v>
      </c>
      <c r="AR844" s="7">
        <v>0</v>
      </c>
      <c r="AS844" s="7">
        <v>0</v>
      </c>
      <c r="AT844">
        <v>1</v>
      </c>
      <c r="BD844" s="7"/>
      <c r="BE844" s="7">
        <v>240</v>
      </c>
      <c r="BG844" s="7">
        <v>2</v>
      </c>
      <c r="BL844" s="7">
        <v>0</v>
      </c>
    </row>
    <row r="845" spans="1:64">
      <c r="A845">
        <v>1350002</v>
      </c>
      <c r="B845" t="s">
        <v>898</v>
      </c>
      <c r="C845" t="s">
        <v>540</v>
      </c>
      <c r="D845" t="s">
        <v>550</v>
      </c>
      <c r="E845">
        <v>1</v>
      </c>
      <c r="F845" t="s">
        <v>959</v>
      </c>
      <c r="G845">
        <v>0</v>
      </c>
      <c r="H845">
        <v>0</v>
      </c>
      <c r="I845">
        <v>99999</v>
      </c>
      <c r="J845">
        <v>0</v>
      </c>
      <c r="K845">
        <v>3</v>
      </c>
      <c r="L845" t="s">
        <v>1562</v>
      </c>
      <c r="M845">
        <v>1</v>
      </c>
      <c r="N845" s="7">
        <v>1</v>
      </c>
      <c r="Q845">
        <v>0</v>
      </c>
      <c r="R845">
        <v>0</v>
      </c>
      <c r="S845" s="7">
        <v>1</v>
      </c>
      <c r="T845">
        <v>0</v>
      </c>
      <c r="V845">
        <v>0</v>
      </c>
      <c r="W845">
        <v>0</v>
      </c>
      <c r="X845" s="6" t="s">
        <v>899</v>
      </c>
      <c r="Y845" t="s">
        <v>544</v>
      </c>
      <c r="Z845" s="7" t="s">
        <v>2945</v>
      </c>
      <c r="AA845" t="s">
        <v>527</v>
      </c>
      <c r="AB845">
        <v>0</v>
      </c>
      <c r="AC845">
        <v>16</v>
      </c>
      <c r="AD845">
        <v>0</v>
      </c>
      <c r="AE845">
        <v>0</v>
      </c>
      <c r="AF845">
        <v>0</v>
      </c>
      <c r="AI845">
        <v>0</v>
      </c>
      <c r="AJ845">
        <v>0</v>
      </c>
      <c r="AK845" s="7">
        <v>0</v>
      </c>
      <c r="AL845" s="7">
        <v>0</v>
      </c>
      <c r="AM845" s="7">
        <v>0</v>
      </c>
      <c r="AN845" s="7">
        <v>0</v>
      </c>
      <c r="AP845">
        <v>0</v>
      </c>
      <c r="AQ845" s="7">
        <v>1</v>
      </c>
      <c r="AR845" s="7">
        <v>0</v>
      </c>
      <c r="AS845" s="7">
        <v>0</v>
      </c>
      <c r="AT845">
        <v>1</v>
      </c>
      <c r="BD845" s="7"/>
      <c r="BE845" s="7">
        <v>240</v>
      </c>
      <c r="BG845" s="7">
        <v>2</v>
      </c>
      <c r="BL845" s="7">
        <v>0</v>
      </c>
    </row>
    <row r="846" spans="1:64" s="7" customFormat="1">
      <c r="A846" s="7">
        <v>1350003</v>
      </c>
      <c r="B846" s="7" t="s">
        <v>937</v>
      </c>
      <c r="C846" s="7" t="s">
        <v>540</v>
      </c>
      <c r="D846" s="7" t="s">
        <v>550</v>
      </c>
      <c r="E846" s="7">
        <v>1</v>
      </c>
      <c r="F846" s="7" t="s">
        <v>959</v>
      </c>
      <c r="G846" s="7">
        <v>0</v>
      </c>
      <c r="H846" s="7">
        <v>0</v>
      </c>
      <c r="I846" s="7">
        <v>99999</v>
      </c>
      <c r="J846" s="7">
        <v>0</v>
      </c>
      <c r="K846" s="7">
        <v>3</v>
      </c>
      <c r="L846" s="7" t="s">
        <v>1562</v>
      </c>
      <c r="M846" s="7">
        <v>1</v>
      </c>
      <c r="N846" s="7">
        <v>1</v>
      </c>
      <c r="Q846" s="7">
        <v>0</v>
      </c>
      <c r="R846" s="7">
        <v>0</v>
      </c>
      <c r="S846" s="7">
        <v>1</v>
      </c>
      <c r="T846" s="7">
        <v>0</v>
      </c>
      <c r="V846" s="7">
        <v>0</v>
      </c>
      <c r="W846" s="7">
        <v>0</v>
      </c>
      <c r="X846" s="6" t="s">
        <v>941</v>
      </c>
      <c r="Y846" s="7" t="s">
        <v>788</v>
      </c>
      <c r="Z846" s="7" t="s">
        <v>2866</v>
      </c>
      <c r="AA846" s="7" t="s">
        <v>527</v>
      </c>
      <c r="AB846" s="7">
        <v>0</v>
      </c>
      <c r="AC846" s="7">
        <v>16</v>
      </c>
      <c r="AD846" s="7">
        <v>0</v>
      </c>
      <c r="AE846" s="7">
        <v>0</v>
      </c>
      <c r="AF846" s="7">
        <v>0</v>
      </c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P846" s="7">
        <v>0</v>
      </c>
      <c r="AQ846" s="7">
        <v>1</v>
      </c>
      <c r="AR846" s="7">
        <v>0</v>
      </c>
      <c r="AS846" s="7">
        <v>0</v>
      </c>
      <c r="AT846" s="7">
        <v>1</v>
      </c>
      <c r="BE846" s="7">
        <v>240</v>
      </c>
      <c r="BG846" s="7">
        <v>2</v>
      </c>
      <c r="BL846" s="7">
        <v>0</v>
      </c>
    </row>
    <row r="847" spans="1:64" s="7" customFormat="1">
      <c r="A847" s="7">
        <v>1350004</v>
      </c>
      <c r="B847" s="7" t="s">
        <v>938</v>
      </c>
      <c r="C847" s="7" t="s">
        <v>540</v>
      </c>
      <c r="D847" s="7" t="s">
        <v>550</v>
      </c>
      <c r="E847" s="7">
        <v>1</v>
      </c>
      <c r="F847" s="7" t="s">
        <v>959</v>
      </c>
      <c r="G847" s="7">
        <v>0</v>
      </c>
      <c r="H847" s="7">
        <v>0</v>
      </c>
      <c r="I847" s="7">
        <v>99999</v>
      </c>
      <c r="J847" s="7">
        <v>0</v>
      </c>
      <c r="K847" s="7">
        <v>3</v>
      </c>
      <c r="L847" s="7" t="s">
        <v>1562</v>
      </c>
      <c r="M847" s="7">
        <v>1</v>
      </c>
      <c r="N847" s="7">
        <v>1</v>
      </c>
      <c r="Q847" s="7">
        <v>0</v>
      </c>
      <c r="R847" s="7">
        <v>0</v>
      </c>
      <c r="S847" s="7">
        <v>1</v>
      </c>
      <c r="T847" s="7">
        <v>0</v>
      </c>
      <c r="V847" s="7">
        <v>0</v>
      </c>
      <c r="W847" s="7">
        <v>0</v>
      </c>
      <c r="X847" s="6" t="s">
        <v>942</v>
      </c>
      <c r="Y847" s="7" t="s">
        <v>788</v>
      </c>
      <c r="Z847" s="7" t="s">
        <v>2867</v>
      </c>
      <c r="AA847" s="7" t="s">
        <v>527</v>
      </c>
      <c r="AB847" s="7">
        <v>0</v>
      </c>
      <c r="AC847" s="7">
        <v>16</v>
      </c>
      <c r="AD847" s="7">
        <v>0</v>
      </c>
      <c r="AE847" s="7">
        <v>0</v>
      </c>
      <c r="AF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P847" s="7">
        <v>0</v>
      </c>
      <c r="AQ847" s="7">
        <v>1</v>
      </c>
      <c r="AR847" s="7">
        <v>0</v>
      </c>
      <c r="AS847" s="7">
        <v>0</v>
      </c>
      <c r="AT847" s="7">
        <v>1</v>
      </c>
      <c r="BE847" s="7">
        <v>240</v>
      </c>
      <c r="BG847" s="7">
        <v>2</v>
      </c>
      <c r="BL847" s="7">
        <v>0</v>
      </c>
    </row>
    <row r="848" spans="1:64" s="7" customFormat="1">
      <c r="A848" s="7">
        <v>1350005</v>
      </c>
      <c r="B848" s="7" t="s">
        <v>939</v>
      </c>
      <c r="C848" s="7" t="s">
        <v>540</v>
      </c>
      <c r="D848" s="7" t="s">
        <v>550</v>
      </c>
      <c r="E848" s="7">
        <v>1</v>
      </c>
      <c r="F848" s="7" t="s">
        <v>959</v>
      </c>
      <c r="G848" s="7">
        <v>0</v>
      </c>
      <c r="H848" s="7">
        <v>0</v>
      </c>
      <c r="I848" s="7">
        <v>99999</v>
      </c>
      <c r="J848" s="7">
        <v>0</v>
      </c>
      <c r="K848" s="7">
        <v>3</v>
      </c>
      <c r="L848" s="7" t="s">
        <v>1562</v>
      </c>
      <c r="M848" s="7">
        <v>1</v>
      </c>
      <c r="N848" s="7">
        <v>1</v>
      </c>
      <c r="Q848" s="7">
        <v>0</v>
      </c>
      <c r="R848" s="7">
        <v>0</v>
      </c>
      <c r="S848" s="7">
        <v>1</v>
      </c>
      <c r="T848" s="7">
        <v>0</v>
      </c>
      <c r="V848" s="7">
        <v>0</v>
      </c>
      <c r="W848" s="7">
        <v>0</v>
      </c>
      <c r="X848" s="6" t="s">
        <v>940</v>
      </c>
      <c r="Y848" s="7" t="s">
        <v>788</v>
      </c>
      <c r="Z848" s="7" t="s">
        <v>2868</v>
      </c>
      <c r="AA848" s="7" t="s">
        <v>527</v>
      </c>
      <c r="AB848" s="7">
        <v>0</v>
      </c>
      <c r="AC848" s="7">
        <v>16</v>
      </c>
      <c r="AD848" s="7">
        <v>0</v>
      </c>
      <c r="AE848" s="7">
        <v>0</v>
      </c>
      <c r="AF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P848" s="7">
        <v>0</v>
      </c>
      <c r="AQ848" s="7">
        <v>1</v>
      </c>
      <c r="AR848" s="7">
        <v>0</v>
      </c>
      <c r="AS848" s="7">
        <v>0</v>
      </c>
      <c r="AT848" s="7">
        <v>1</v>
      </c>
      <c r="BE848" s="7">
        <v>240</v>
      </c>
      <c r="BG848" s="7">
        <v>2</v>
      </c>
      <c r="BL848" s="7">
        <v>0</v>
      </c>
    </row>
    <row r="849" spans="1:64">
      <c r="A849">
        <v>1360001</v>
      </c>
      <c r="B849" t="s">
        <v>900</v>
      </c>
      <c r="C849" t="s">
        <v>540</v>
      </c>
      <c r="D849" t="s">
        <v>550</v>
      </c>
      <c r="E849">
        <v>1</v>
      </c>
      <c r="F849" t="s">
        <v>959</v>
      </c>
      <c r="G849">
        <v>0</v>
      </c>
      <c r="H849">
        <v>0</v>
      </c>
      <c r="I849">
        <v>99999</v>
      </c>
      <c r="J849">
        <v>0</v>
      </c>
      <c r="K849">
        <v>3</v>
      </c>
      <c r="L849" t="s">
        <v>1562</v>
      </c>
      <c r="M849">
        <v>1</v>
      </c>
      <c r="N849" s="7">
        <v>1</v>
      </c>
      <c r="Q849">
        <v>0</v>
      </c>
      <c r="R849">
        <v>0</v>
      </c>
      <c r="S849" s="7">
        <v>1</v>
      </c>
      <c r="T849">
        <v>0</v>
      </c>
      <c r="V849">
        <v>0</v>
      </c>
      <c r="W849">
        <v>0</v>
      </c>
      <c r="Y849" t="s">
        <v>788</v>
      </c>
      <c r="Z849" s="7" t="s">
        <v>2869</v>
      </c>
      <c r="AA849" t="s">
        <v>527</v>
      </c>
      <c r="AB849">
        <v>0</v>
      </c>
      <c r="AC849">
        <v>16</v>
      </c>
      <c r="AD849">
        <v>0</v>
      </c>
      <c r="AE849">
        <v>0</v>
      </c>
      <c r="AF849">
        <v>0</v>
      </c>
      <c r="AI849">
        <v>0</v>
      </c>
      <c r="AJ849">
        <v>0</v>
      </c>
      <c r="AK849" s="7">
        <v>0</v>
      </c>
      <c r="AL849" s="7">
        <v>0</v>
      </c>
      <c r="AM849" s="7">
        <v>0</v>
      </c>
      <c r="AN849" s="7">
        <v>0</v>
      </c>
      <c r="AP849">
        <v>1</v>
      </c>
      <c r="AQ849" s="7">
        <v>1</v>
      </c>
      <c r="AR849" s="7">
        <v>1</v>
      </c>
      <c r="AS849" s="7">
        <v>0</v>
      </c>
      <c r="AT849">
        <v>1</v>
      </c>
      <c r="BD849" s="7"/>
      <c r="BE849" s="7">
        <v>240</v>
      </c>
      <c r="BG849" s="7">
        <v>2</v>
      </c>
      <c r="BL849" s="7">
        <v>0</v>
      </c>
    </row>
    <row r="850" spans="1:64" s="7" customFormat="1">
      <c r="A850" s="7">
        <v>1370001</v>
      </c>
      <c r="B850" s="7" t="s">
        <v>1739</v>
      </c>
      <c r="C850" s="7" t="s">
        <v>540</v>
      </c>
      <c r="D850" s="7" t="s">
        <v>550</v>
      </c>
      <c r="E850" s="7">
        <v>1</v>
      </c>
      <c r="F850" s="7" t="s">
        <v>959</v>
      </c>
      <c r="G850" s="7">
        <v>0</v>
      </c>
      <c r="H850" s="7">
        <v>0</v>
      </c>
      <c r="I850" s="7">
        <v>99999</v>
      </c>
      <c r="J850" s="7">
        <v>0</v>
      </c>
      <c r="K850" s="7">
        <v>3</v>
      </c>
      <c r="L850" s="7" t="s">
        <v>1562</v>
      </c>
      <c r="M850" s="7">
        <v>1</v>
      </c>
      <c r="N850" s="7">
        <v>1</v>
      </c>
      <c r="Q850" s="7">
        <v>0</v>
      </c>
      <c r="R850" s="7">
        <v>0</v>
      </c>
      <c r="S850" s="7">
        <v>1</v>
      </c>
      <c r="T850" s="7">
        <v>0</v>
      </c>
      <c r="V850" s="7">
        <v>0</v>
      </c>
      <c r="W850" s="7">
        <v>0</v>
      </c>
      <c r="X850" s="6" t="s">
        <v>2042</v>
      </c>
      <c r="Y850" s="7" t="s">
        <v>1702</v>
      </c>
      <c r="Z850" s="7" t="s">
        <v>2870</v>
      </c>
      <c r="AA850" s="7" t="s">
        <v>527</v>
      </c>
      <c r="AB850" s="7">
        <v>0</v>
      </c>
      <c r="AC850" s="7">
        <v>16</v>
      </c>
      <c r="AD850" s="7">
        <v>0</v>
      </c>
      <c r="AE850" s="7">
        <v>0</v>
      </c>
      <c r="AF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P850" s="7">
        <v>0</v>
      </c>
      <c r="AQ850" s="7">
        <v>0</v>
      </c>
      <c r="AR850" s="7">
        <v>0</v>
      </c>
      <c r="AS850" s="7">
        <v>0</v>
      </c>
      <c r="AT850" s="7">
        <v>1</v>
      </c>
      <c r="BE850" s="7">
        <v>240</v>
      </c>
      <c r="BG850" s="7">
        <v>2</v>
      </c>
      <c r="BL850" s="7">
        <v>0</v>
      </c>
    </row>
    <row r="851" spans="1:64" s="7" customFormat="1">
      <c r="A851" s="7">
        <v>1370002</v>
      </c>
      <c r="B851" s="7" t="s">
        <v>1738</v>
      </c>
      <c r="C851" s="7" t="s">
        <v>540</v>
      </c>
      <c r="D851" s="7" t="s">
        <v>550</v>
      </c>
      <c r="E851" s="7">
        <v>1</v>
      </c>
      <c r="F851" s="7" t="s">
        <v>959</v>
      </c>
      <c r="G851" s="7">
        <v>0</v>
      </c>
      <c r="H851" s="7">
        <v>0</v>
      </c>
      <c r="I851" s="7">
        <v>99999</v>
      </c>
      <c r="J851" s="7">
        <v>0</v>
      </c>
      <c r="K851" s="7">
        <v>3</v>
      </c>
      <c r="L851" s="7" t="s">
        <v>1562</v>
      </c>
      <c r="M851" s="7">
        <v>1</v>
      </c>
      <c r="N851" s="7">
        <v>1</v>
      </c>
      <c r="Q851" s="7">
        <v>0</v>
      </c>
      <c r="R851" s="7">
        <v>0</v>
      </c>
      <c r="S851" s="7">
        <v>1</v>
      </c>
      <c r="T851" s="7">
        <v>0</v>
      </c>
      <c r="V851" s="7">
        <v>0</v>
      </c>
      <c r="W851" s="7">
        <v>0</v>
      </c>
      <c r="X851" s="6" t="s">
        <v>2043</v>
      </c>
      <c r="Y851" s="7" t="s">
        <v>1702</v>
      </c>
      <c r="Z851" s="7" t="s">
        <v>2870</v>
      </c>
      <c r="AA851" s="7" t="s">
        <v>527</v>
      </c>
      <c r="AB851" s="7">
        <v>0</v>
      </c>
      <c r="AC851" s="7">
        <v>16</v>
      </c>
      <c r="AD851" s="7">
        <v>0</v>
      </c>
      <c r="AE851" s="7">
        <v>0</v>
      </c>
      <c r="AF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P851" s="7">
        <v>0</v>
      </c>
      <c r="AQ851" s="7">
        <v>0</v>
      </c>
      <c r="AR851" s="7">
        <v>0</v>
      </c>
      <c r="AS851" s="7">
        <v>0</v>
      </c>
      <c r="AT851" s="7">
        <v>1</v>
      </c>
      <c r="BE851" s="7">
        <v>240</v>
      </c>
      <c r="BG851" s="7">
        <v>2</v>
      </c>
      <c r="BL851" s="7">
        <v>0</v>
      </c>
    </row>
    <row r="852" spans="1:64" s="7" customFormat="1">
      <c r="A852" s="7">
        <v>1370003</v>
      </c>
      <c r="B852" s="7" t="s">
        <v>1737</v>
      </c>
      <c r="C852" s="7" t="s">
        <v>540</v>
      </c>
      <c r="D852" s="7" t="s">
        <v>550</v>
      </c>
      <c r="E852" s="7">
        <v>1</v>
      </c>
      <c r="F852" s="7" t="s">
        <v>959</v>
      </c>
      <c r="G852" s="7">
        <v>0</v>
      </c>
      <c r="H852" s="7">
        <v>0</v>
      </c>
      <c r="I852" s="7">
        <v>99999</v>
      </c>
      <c r="J852" s="7">
        <v>0</v>
      </c>
      <c r="K852" s="7">
        <v>3</v>
      </c>
      <c r="L852" s="7" t="s">
        <v>1562</v>
      </c>
      <c r="M852" s="7">
        <v>1</v>
      </c>
      <c r="N852" s="7">
        <v>1</v>
      </c>
      <c r="Q852" s="7">
        <v>0</v>
      </c>
      <c r="R852" s="7">
        <v>0</v>
      </c>
      <c r="S852" s="7">
        <v>1</v>
      </c>
      <c r="T852" s="7">
        <v>0</v>
      </c>
      <c r="V852" s="7">
        <v>0</v>
      </c>
      <c r="W852" s="7">
        <v>0</v>
      </c>
      <c r="X852" s="6" t="s">
        <v>2044</v>
      </c>
      <c r="Y852" s="7" t="s">
        <v>1702</v>
      </c>
      <c r="Z852" s="7" t="s">
        <v>2870</v>
      </c>
      <c r="AA852" s="7" t="s">
        <v>527</v>
      </c>
      <c r="AB852" s="7">
        <v>0</v>
      </c>
      <c r="AC852" s="7">
        <v>16</v>
      </c>
      <c r="AD852" s="7">
        <v>0</v>
      </c>
      <c r="AE852" s="7">
        <v>0</v>
      </c>
      <c r="AF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P852" s="7">
        <v>0</v>
      </c>
      <c r="AQ852" s="7">
        <v>0</v>
      </c>
      <c r="AR852" s="7">
        <v>0</v>
      </c>
      <c r="AS852" s="7">
        <v>0</v>
      </c>
      <c r="AT852" s="7">
        <v>1</v>
      </c>
      <c r="BE852" s="7">
        <v>240</v>
      </c>
      <c r="BG852" s="7">
        <v>2</v>
      </c>
      <c r="BL852" s="7">
        <v>0</v>
      </c>
    </row>
    <row r="853" spans="1:64" s="7" customFormat="1">
      <c r="A853" s="7">
        <v>1370004</v>
      </c>
      <c r="B853" s="7" t="s">
        <v>1736</v>
      </c>
      <c r="C853" s="7" t="s">
        <v>540</v>
      </c>
      <c r="D853" s="7" t="s">
        <v>550</v>
      </c>
      <c r="E853" s="7">
        <v>1</v>
      </c>
      <c r="F853" s="7" t="s">
        <v>959</v>
      </c>
      <c r="G853" s="7">
        <v>0</v>
      </c>
      <c r="H853" s="7">
        <v>0</v>
      </c>
      <c r="I853" s="7">
        <v>99999</v>
      </c>
      <c r="J853" s="7">
        <v>0</v>
      </c>
      <c r="K853" s="7">
        <v>3</v>
      </c>
      <c r="L853" s="7" t="s">
        <v>1562</v>
      </c>
      <c r="M853" s="7">
        <v>1</v>
      </c>
      <c r="N853" s="7">
        <v>1</v>
      </c>
      <c r="Q853" s="7">
        <v>0</v>
      </c>
      <c r="R853" s="7">
        <v>0</v>
      </c>
      <c r="S853" s="7">
        <v>1</v>
      </c>
      <c r="T853" s="7">
        <v>0</v>
      </c>
      <c r="V853" s="7">
        <v>0</v>
      </c>
      <c r="W853" s="7">
        <v>0</v>
      </c>
      <c r="X853" s="6" t="s">
        <v>2045</v>
      </c>
      <c r="Y853" s="7" t="s">
        <v>1702</v>
      </c>
      <c r="Z853" s="7" t="s">
        <v>2870</v>
      </c>
      <c r="AA853" s="7" t="s">
        <v>527</v>
      </c>
      <c r="AB853" s="7">
        <v>0</v>
      </c>
      <c r="AC853" s="7">
        <v>16</v>
      </c>
      <c r="AD853" s="7">
        <v>0</v>
      </c>
      <c r="AE853" s="7">
        <v>0</v>
      </c>
      <c r="AF853" s="7">
        <v>0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P853" s="7">
        <v>0</v>
      </c>
      <c r="AQ853" s="7">
        <v>0</v>
      </c>
      <c r="AR853" s="7">
        <v>0</v>
      </c>
      <c r="AS853" s="7">
        <v>0</v>
      </c>
      <c r="AT853" s="7">
        <v>1</v>
      </c>
      <c r="BE853" s="7">
        <v>240</v>
      </c>
      <c r="BG853" s="7">
        <v>2</v>
      </c>
      <c r="BL853" s="7">
        <v>0</v>
      </c>
    </row>
    <row r="854" spans="1:64" s="7" customFormat="1">
      <c r="A854" s="7">
        <v>1370005</v>
      </c>
      <c r="B854" s="7" t="s">
        <v>1735</v>
      </c>
      <c r="C854" s="7" t="s">
        <v>540</v>
      </c>
      <c r="D854" s="7" t="s">
        <v>550</v>
      </c>
      <c r="E854" s="7">
        <v>1</v>
      </c>
      <c r="F854" s="7" t="s">
        <v>959</v>
      </c>
      <c r="G854" s="7">
        <v>0</v>
      </c>
      <c r="H854" s="7">
        <v>0</v>
      </c>
      <c r="I854" s="7">
        <v>99999</v>
      </c>
      <c r="J854" s="7">
        <v>0</v>
      </c>
      <c r="K854" s="7">
        <v>3</v>
      </c>
      <c r="L854" s="7" t="s">
        <v>1562</v>
      </c>
      <c r="M854" s="7">
        <v>1</v>
      </c>
      <c r="N854" s="7">
        <v>1</v>
      </c>
      <c r="Q854" s="7">
        <v>0</v>
      </c>
      <c r="R854" s="7">
        <v>0</v>
      </c>
      <c r="S854" s="7">
        <v>1</v>
      </c>
      <c r="T854" s="7">
        <v>0</v>
      </c>
      <c r="V854" s="7">
        <v>0</v>
      </c>
      <c r="W854" s="7">
        <v>0</v>
      </c>
      <c r="X854" s="6" t="s">
        <v>2046</v>
      </c>
      <c r="Y854" s="7" t="s">
        <v>1702</v>
      </c>
      <c r="Z854" s="7" t="s">
        <v>2870</v>
      </c>
      <c r="AA854" s="7" t="s">
        <v>527</v>
      </c>
      <c r="AB854" s="7">
        <v>0</v>
      </c>
      <c r="AC854" s="7">
        <v>16</v>
      </c>
      <c r="AD854" s="7">
        <v>0</v>
      </c>
      <c r="AE854" s="7">
        <v>0</v>
      </c>
      <c r="AF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P854" s="7">
        <v>0</v>
      </c>
      <c r="AQ854" s="7">
        <v>0</v>
      </c>
      <c r="AR854" s="7">
        <v>0</v>
      </c>
      <c r="AS854" s="7">
        <v>0</v>
      </c>
      <c r="AT854" s="7">
        <v>1</v>
      </c>
      <c r="BE854" s="7">
        <v>240</v>
      </c>
      <c r="BG854" s="7">
        <v>2</v>
      </c>
      <c r="BL854" s="7">
        <v>0</v>
      </c>
    </row>
    <row r="855" spans="1:64" s="7" customFormat="1">
      <c r="A855" s="7">
        <v>1370006</v>
      </c>
      <c r="B855" s="7" t="s">
        <v>1734</v>
      </c>
      <c r="C855" s="7" t="s">
        <v>540</v>
      </c>
      <c r="D855" s="7" t="s">
        <v>550</v>
      </c>
      <c r="E855" s="7">
        <v>1</v>
      </c>
      <c r="F855" s="7" t="s">
        <v>959</v>
      </c>
      <c r="G855" s="7">
        <v>0</v>
      </c>
      <c r="H855" s="7">
        <v>0</v>
      </c>
      <c r="I855" s="7">
        <v>99999</v>
      </c>
      <c r="J855" s="7">
        <v>0</v>
      </c>
      <c r="K855" s="7">
        <v>3</v>
      </c>
      <c r="L855" s="7" t="s">
        <v>1562</v>
      </c>
      <c r="M855" s="7">
        <v>1</v>
      </c>
      <c r="N855" s="7">
        <v>1</v>
      </c>
      <c r="Q855" s="7">
        <v>0</v>
      </c>
      <c r="R855" s="7">
        <v>0</v>
      </c>
      <c r="S855" s="7">
        <v>1</v>
      </c>
      <c r="T855" s="7">
        <v>0</v>
      </c>
      <c r="V855" s="7">
        <v>0</v>
      </c>
      <c r="W855" s="7">
        <v>0</v>
      </c>
      <c r="X855" s="6" t="s">
        <v>2047</v>
      </c>
      <c r="Y855" s="7" t="s">
        <v>1702</v>
      </c>
      <c r="Z855" s="7" t="s">
        <v>2870</v>
      </c>
      <c r="AA855" s="7" t="s">
        <v>527</v>
      </c>
      <c r="AB855" s="7">
        <v>0</v>
      </c>
      <c r="AC855" s="7">
        <v>16</v>
      </c>
      <c r="AD855" s="7">
        <v>0</v>
      </c>
      <c r="AE855" s="7">
        <v>0</v>
      </c>
      <c r="AF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P855" s="7">
        <v>0</v>
      </c>
      <c r="AQ855" s="7">
        <v>0</v>
      </c>
      <c r="AR855" s="7">
        <v>0</v>
      </c>
      <c r="AS855" s="7">
        <v>0</v>
      </c>
      <c r="AT855" s="7">
        <v>1</v>
      </c>
      <c r="BE855" s="7">
        <v>240</v>
      </c>
      <c r="BG855" s="7">
        <v>2</v>
      </c>
      <c r="BL855" s="7">
        <v>0</v>
      </c>
    </row>
    <row r="856" spans="1:64" s="7" customFormat="1">
      <c r="A856" s="7">
        <v>1370007</v>
      </c>
      <c r="B856" s="7" t="s">
        <v>1733</v>
      </c>
      <c r="C856" s="7" t="s">
        <v>540</v>
      </c>
      <c r="D856" s="7" t="s">
        <v>550</v>
      </c>
      <c r="E856" s="7">
        <v>1</v>
      </c>
      <c r="F856" s="7" t="s">
        <v>959</v>
      </c>
      <c r="G856" s="7">
        <v>0</v>
      </c>
      <c r="H856" s="7">
        <v>0</v>
      </c>
      <c r="I856" s="7">
        <v>99999</v>
      </c>
      <c r="J856" s="7">
        <v>0</v>
      </c>
      <c r="K856" s="7">
        <v>3</v>
      </c>
      <c r="L856" s="7" t="s">
        <v>1562</v>
      </c>
      <c r="M856" s="7">
        <v>1</v>
      </c>
      <c r="N856" s="7">
        <v>1</v>
      </c>
      <c r="Q856" s="7">
        <v>0</v>
      </c>
      <c r="R856" s="7">
        <v>0</v>
      </c>
      <c r="S856" s="7">
        <v>1</v>
      </c>
      <c r="T856" s="7">
        <v>0</v>
      </c>
      <c r="V856" s="7">
        <v>0</v>
      </c>
      <c r="W856" s="7">
        <v>0</v>
      </c>
      <c r="X856" s="6" t="s">
        <v>2048</v>
      </c>
      <c r="Y856" s="7" t="s">
        <v>1702</v>
      </c>
      <c r="Z856" s="7" t="s">
        <v>2870</v>
      </c>
      <c r="AA856" s="7" t="s">
        <v>527</v>
      </c>
      <c r="AB856" s="7">
        <v>0</v>
      </c>
      <c r="AC856" s="7">
        <v>16</v>
      </c>
      <c r="AD856" s="7">
        <v>0</v>
      </c>
      <c r="AE856" s="7">
        <v>0</v>
      </c>
      <c r="AF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P856" s="7">
        <v>0</v>
      </c>
      <c r="AQ856" s="7">
        <v>0</v>
      </c>
      <c r="AR856" s="7">
        <v>0</v>
      </c>
      <c r="AS856" s="7">
        <v>0</v>
      </c>
      <c r="AT856" s="7">
        <v>1</v>
      </c>
      <c r="BE856" s="7">
        <v>240</v>
      </c>
      <c r="BG856" s="7">
        <v>2</v>
      </c>
      <c r="BL856" s="7">
        <v>0</v>
      </c>
    </row>
    <row r="857" spans="1:64" s="7" customFormat="1">
      <c r="A857" s="7">
        <v>1370008</v>
      </c>
      <c r="B857" s="7" t="s">
        <v>2027</v>
      </c>
      <c r="C857" s="7" t="s">
        <v>540</v>
      </c>
      <c r="D857" s="7" t="s">
        <v>550</v>
      </c>
      <c r="E857" s="7">
        <v>1</v>
      </c>
      <c r="F857" s="7" t="s">
        <v>959</v>
      </c>
      <c r="G857" s="7">
        <v>0</v>
      </c>
      <c r="H857" s="7">
        <v>0</v>
      </c>
      <c r="I857" s="7">
        <v>99999</v>
      </c>
      <c r="J857" s="7">
        <v>0</v>
      </c>
      <c r="K857" s="7">
        <v>3</v>
      </c>
      <c r="L857" s="7" t="s">
        <v>1562</v>
      </c>
      <c r="M857" s="7">
        <v>1</v>
      </c>
      <c r="N857" s="7">
        <v>1</v>
      </c>
      <c r="Q857" s="7">
        <v>0</v>
      </c>
      <c r="R857" s="7">
        <v>0</v>
      </c>
      <c r="S857" s="7">
        <v>1</v>
      </c>
      <c r="T857" s="7">
        <v>0</v>
      </c>
      <c r="V857" s="7">
        <v>0</v>
      </c>
      <c r="W857" s="7">
        <v>0</v>
      </c>
      <c r="X857" s="6" t="s">
        <v>2057</v>
      </c>
      <c r="Y857" s="7" t="s">
        <v>1702</v>
      </c>
      <c r="Z857" s="7" t="s">
        <v>2870</v>
      </c>
      <c r="AA857" s="7" t="s">
        <v>527</v>
      </c>
      <c r="AB857" s="7">
        <v>0</v>
      </c>
      <c r="AC857" s="7">
        <v>16</v>
      </c>
      <c r="AD857" s="7">
        <v>0</v>
      </c>
      <c r="AE857" s="7">
        <v>0</v>
      </c>
      <c r="AF857" s="7">
        <v>0</v>
      </c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P857" s="7">
        <v>0</v>
      </c>
      <c r="AQ857" s="7">
        <v>0</v>
      </c>
      <c r="AR857" s="7">
        <v>0</v>
      </c>
      <c r="AS857" s="7">
        <v>0</v>
      </c>
      <c r="AT857" s="7">
        <v>1</v>
      </c>
      <c r="BE857" s="7">
        <v>240</v>
      </c>
      <c r="BG857" s="7">
        <v>2</v>
      </c>
      <c r="BL857" s="7">
        <v>0</v>
      </c>
    </row>
    <row r="858" spans="1:64" s="7" customFormat="1">
      <c r="A858" s="7">
        <v>1370009</v>
      </c>
      <c r="B858" s="7" t="s">
        <v>3298</v>
      </c>
      <c r="C858" s="7" t="s">
        <v>540</v>
      </c>
      <c r="D858" s="7" t="s">
        <v>550</v>
      </c>
      <c r="E858" s="7">
        <v>1</v>
      </c>
      <c r="F858" s="7" t="s">
        <v>959</v>
      </c>
      <c r="G858" s="7">
        <v>0</v>
      </c>
      <c r="H858" s="7">
        <v>0</v>
      </c>
      <c r="I858" s="7">
        <v>99999</v>
      </c>
      <c r="J858" s="7">
        <v>0</v>
      </c>
      <c r="K858" s="7">
        <v>3</v>
      </c>
      <c r="L858" s="7" t="s">
        <v>1562</v>
      </c>
      <c r="M858" s="7">
        <v>1</v>
      </c>
      <c r="N858" s="7">
        <v>1</v>
      </c>
      <c r="Q858" s="7">
        <v>0</v>
      </c>
      <c r="R858" s="7">
        <v>0</v>
      </c>
      <c r="S858" s="7">
        <v>1</v>
      </c>
      <c r="T858" s="7">
        <v>0</v>
      </c>
      <c r="V858" s="7">
        <v>0</v>
      </c>
      <c r="W858" s="7">
        <v>0</v>
      </c>
      <c r="X858" s="6" t="s">
        <v>3300</v>
      </c>
      <c r="Y858" s="7" t="s">
        <v>1677</v>
      </c>
      <c r="Z858" s="7" t="s">
        <v>2870</v>
      </c>
      <c r="AA858" s="7" t="s">
        <v>527</v>
      </c>
      <c r="AB858" s="7">
        <v>0</v>
      </c>
      <c r="AC858" s="7">
        <v>16</v>
      </c>
      <c r="AD858" s="7">
        <v>0</v>
      </c>
      <c r="AE858" s="7">
        <v>0</v>
      </c>
      <c r="AF858" s="7">
        <v>0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P858" s="7">
        <v>0</v>
      </c>
      <c r="AQ858" s="7">
        <v>0</v>
      </c>
      <c r="AR858" s="7">
        <v>0</v>
      </c>
      <c r="AS858" s="7">
        <v>0</v>
      </c>
      <c r="AT858" s="7">
        <v>1</v>
      </c>
      <c r="BE858" s="7">
        <v>240</v>
      </c>
      <c r="BG858" s="7">
        <v>2</v>
      </c>
      <c r="BL858" s="7">
        <v>0</v>
      </c>
    </row>
    <row r="859" spans="1:64" s="7" customFormat="1">
      <c r="A859" s="7">
        <v>1370101</v>
      </c>
      <c r="B859" s="7" t="s">
        <v>2034</v>
      </c>
      <c r="C859" s="7" t="s">
        <v>540</v>
      </c>
      <c r="D859" s="7" t="s">
        <v>550</v>
      </c>
      <c r="E859" s="7">
        <v>1</v>
      </c>
      <c r="F859" s="7" t="s">
        <v>959</v>
      </c>
      <c r="G859" s="7">
        <v>0</v>
      </c>
      <c r="H859" s="7">
        <v>0</v>
      </c>
      <c r="I859" s="7">
        <v>99999</v>
      </c>
      <c r="J859" s="7">
        <v>0</v>
      </c>
      <c r="K859" s="7">
        <v>3</v>
      </c>
      <c r="L859" s="7" t="s">
        <v>1562</v>
      </c>
      <c r="M859" s="7">
        <v>1</v>
      </c>
      <c r="N859" s="7">
        <v>1</v>
      </c>
      <c r="Q859" s="7">
        <v>0</v>
      </c>
      <c r="R859" s="7">
        <v>0</v>
      </c>
      <c r="S859" s="7">
        <v>1</v>
      </c>
      <c r="T859" s="7">
        <v>0</v>
      </c>
      <c r="V859" s="7">
        <v>0</v>
      </c>
      <c r="W859" s="7">
        <v>0</v>
      </c>
      <c r="X859" s="6" t="s">
        <v>2049</v>
      </c>
      <c r="Y859" s="7" t="s">
        <v>1678</v>
      </c>
      <c r="Z859" s="7" t="s">
        <v>2871</v>
      </c>
      <c r="AA859" s="7" t="s">
        <v>527</v>
      </c>
      <c r="AB859" s="7">
        <v>0</v>
      </c>
      <c r="AC859" s="7">
        <v>16</v>
      </c>
      <c r="AD859" s="7">
        <v>0</v>
      </c>
      <c r="AE859" s="7">
        <v>0</v>
      </c>
      <c r="AF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P859" s="7">
        <v>0</v>
      </c>
      <c r="AQ859" s="7">
        <v>0</v>
      </c>
      <c r="AR859" s="7">
        <v>0</v>
      </c>
      <c r="AS859" s="7">
        <v>0</v>
      </c>
      <c r="AT859" s="7">
        <v>1</v>
      </c>
      <c r="BE859" s="7">
        <v>240</v>
      </c>
      <c r="BG859" s="7">
        <v>2</v>
      </c>
      <c r="BL859" s="7">
        <v>0</v>
      </c>
    </row>
    <row r="860" spans="1:64" s="7" customFormat="1">
      <c r="A860" s="7">
        <v>1370102</v>
      </c>
      <c r="B860" s="7" t="s">
        <v>2035</v>
      </c>
      <c r="C860" s="7" t="s">
        <v>540</v>
      </c>
      <c r="D860" s="7" t="s">
        <v>550</v>
      </c>
      <c r="E860" s="7">
        <v>1</v>
      </c>
      <c r="F860" s="7" t="s">
        <v>959</v>
      </c>
      <c r="G860" s="7">
        <v>0</v>
      </c>
      <c r="H860" s="7">
        <v>0</v>
      </c>
      <c r="I860" s="7">
        <v>99999</v>
      </c>
      <c r="J860" s="7">
        <v>0</v>
      </c>
      <c r="K860" s="7">
        <v>3</v>
      </c>
      <c r="L860" s="7" t="s">
        <v>1562</v>
      </c>
      <c r="M860" s="7">
        <v>1</v>
      </c>
      <c r="N860" s="7">
        <v>1</v>
      </c>
      <c r="Q860" s="7">
        <v>0</v>
      </c>
      <c r="R860" s="7">
        <v>0</v>
      </c>
      <c r="S860" s="7">
        <v>1</v>
      </c>
      <c r="T860" s="7">
        <v>0</v>
      </c>
      <c r="V860" s="7">
        <v>0</v>
      </c>
      <c r="W860" s="7">
        <v>0</v>
      </c>
      <c r="X860" s="6" t="s">
        <v>2050</v>
      </c>
      <c r="Y860" s="7" t="s">
        <v>1678</v>
      </c>
      <c r="Z860" s="7" t="s">
        <v>2871</v>
      </c>
      <c r="AA860" s="7" t="s">
        <v>527</v>
      </c>
      <c r="AB860" s="7">
        <v>0</v>
      </c>
      <c r="AC860" s="7">
        <v>16</v>
      </c>
      <c r="AD860" s="7">
        <v>0</v>
      </c>
      <c r="AE860" s="7">
        <v>0</v>
      </c>
      <c r="AF860" s="7">
        <v>0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P860" s="7">
        <v>0</v>
      </c>
      <c r="AQ860" s="7">
        <v>0</v>
      </c>
      <c r="AR860" s="7">
        <v>0</v>
      </c>
      <c r="AS860" s="7">
        <v>0</v>
      </c>
      <c r="AT860" s="7">
        <v>1</v>
      </c>
      <c r="BE860" s="7">
        <v>240</v>
      </c>
      <c r="BG860" s="7">
        <v>2</v>
      </c>
      <c r="BL860" s="7">
        <v>0</v>
      </c>
    </row>
    <row r="861" spans="1:64" s="7" customFormat="1">
      <c r="A861" s="7">
        <v>1370103</v>
      </c>
      <c r="B861" s="7" t="s">
        <v>2036</v>
      </c>
      <c r="C861" s="7" t="s">
        <v>540</v>
      </c>
      <c r="D861" s="7" t="s">
        <v>550</v>
      </c>
      <c r="E861" s="7">
        <v>1</v>
      </c>
      <c r="F861" s="7" t="s">
        <v>959</v>
      </c>
      <c r="G861" s="7">
        <v>0</v>
      </c>
      <c r="H861" s="7">
        <v>0</v>
      </c>
      <c r="I861" s="7">
        <v>99999</v>
      </c>
      <c r="J861" s="7">
        <v>0</v>
      </c>
      <c r="K861" s="7">
        <v>3</v>
      </c>
      <c r="L861" s="7" t="s">
        <v>1562</v>
      </c>
      <c r="M861" s="7">
        <v>1</v>
      </c>
      <c r="N861" s="7">
        <v>1</v>
      </c>
      <c r="Q861" s="7">
        <v>0</v>
      </c>
      <c r="R861" s="7">
        <v>0</v>
      </c>
      <c r="S861" s="7">
        <v>1</v>
      </c>
      <c r="T861" s="7">
        <v>0</v>
      </c>
      <c r="V861" s="7">
        <v>0</v>
      </c>
      <c r="W861" s="7">
        <v>0</v>
      </c>
      <c r="X861" s="6" t="s">
        <v>2051</v>
      </c>
      <c r="Y861" s="7" t="s">
        <v>1678</v>
      </c>
      <c r="Z861" s="7" t="s">
        <v>2871</v>
      </c>
      <c r="AA861" s="7" t="s">
        <v>527</v>
      </c>
      <c r="AB861" s="7">
        <v>0</v>
      </c>
      <c r="AC861" s="7">
        <v>16</v>
      </c>
      <c r="AD861" s="7">
        <v>0</v>
      </c>
      <c r="AE861" s="7">
        <v>0</v>
      </c>
      <c r="AF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P861" s="7">
        <v>0</v>
      </c>
      <c r="AQ861" s="7">
        <v>0</v>
      </c>
      <c r="AR861" s="7">
        <v>0</v>
      </c>
      <c r="AS861" s="7">
        <v>0</v>
      </c>
      <c r="AT861" s="7">
        <v>1</v>
      </c>
      <c r="BE861" s="7">
        <v>240</v>
      </c>
      <c r="BG861" s="7">
        <v>2</v>
      </c>
      <c r="BL861" s="7">
        <v>0</v>
      </c>
    </row>
    <row r="862" spans="1:64" s="7" customFormat="1">
      <c r="A862" s="7">
        <v>1370104</v>
      </c>
      <c r="B862" s="7" t="s">
        <v>2037</v>
      </c>
      <c r="C862" s="7" t="s">
        <v>540</v>
      </c>
      <c r="D862" s="7" t="s">
        <v>550</v>
      </c>
      <c r="E862" s="7">
        <v>1</v>
      </c>
      <c r="F862" s="7" t="s">
        <v>959</v>
      </c>
      <c r="G862" s="7">
        <v>0</v>
      </c>
      <c r="H862" s="7">
        <v>0</v>
      </c>
      <c r="I862" s="7">
        <v>99999</v>
      </c>
      <c r="J862" s="7">
        <v>0</v>
      </c>
      <c r="K862" s="7">
        <v>3</v>
      </c>
      <c r="L862" s="7" t="s">
        <v>1562</v>
      </c>
      <c r="M862" s="7">
        <v>1</v>
      </c>
      <c r="N862" s="7">
        <v>1</v>
      </c>
      <c r="Q862" s="7">
        <v>0</v>
      </c>
      <c r="R862" s="7">
        <v>0</v>
      </c>
      <c r="S862" s="7">
        <v>1</v>
      </c>
      <c r="T862" s="7">
        <v>0</v>
      </c>
      <c r="V862" s="7">
        <v>0</v>
      </c>
      <c r="W862" s="7">
        <v>0</v>
      </c>
      <c r="X862" s="6" t="s">
        <v>2052</v>
      </c>
      <c r="Y862" s="7" t="s">
        <v>1678</v>
      </c>
      <c r="Z862" s="7" t="s">
        <v>2871</v>
      </c>
      <c r="AA862" s="7" t="s">
        <v>527</v>
      </c>
      <c r="AB862" s="7">
        <v>0</v>
      </c>
      <c r="AC862" s="7">
        <v>16</v>
      </c>
      <c r="AD862" s="7">
        <v>0</v>
      </c>
      <c r="AE862" s="7">
        <v>0</v>
      </c>
      <c r="AF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P862" s="7">
        <v>0</v>
      </c>
      <c r="AQ862" s="7">
        <v>0</v>
      </c>
      <c r="AR862" s="7">
        <v>0</v>
      </c>
      <c r="AS862" s="7">
        <v>0</v>
      </c>
      <c r="AT862" s="7">
        <v>1</v>
      </c>
      <c r="BE862" s="7">
        <v>240</v>
      </c>
      <c r="BG862" s="7">
        <v>2</v>
      </c>
      <c r="BL862" s="7">
        <v>0</v>
      </c>
    </row>
    <row r="863" spans="1:64" s="7" customFormat="1">
      <c r="A863" s="7">
        <v>1370105</v>
      </c>
      <c r="B863" s="7" t="s">
        <v>2038</v>
      </c>
      <c r="C863" s="7" t="s">
        <v>540</v>
      </c>
      <c r="D863" s="7" t="s">
        <v>550</v>
      </c>
      <c r="E863" s="7">
        <v>1</v>
      </c>
      <c r="F863" s="7" t="s">
        <v>959</v>
      </c>
      <c r="G863" s="7">
        <v>0</v>
      </c>
      <c r="H863" s="7">
        <v>0</v>
      </c>
      <c r="I863" s="7">
        <v>99999</v>
      </c>
      <c r="J863" s="7">
        <v>0</v>
      </c>
      <c r="K863" s="7">
        <v>3</v>
      </c>
      <c r="L863" s="7" t="s">
        <v>1562</v>
      </c>
      <c r="M863" s="7">
        <v>1</v>
      </c>
      <c r="N863" s="7">
        <v>1</v>
      </c>
      <c r="Q863" s="7">
        <v>0</v>
      </c>
      <c r="R863" s="7">
        <v>0</v>
      </c>
      <c r="S863" s="7">
        <v>1</v>
      </c>
      <c r="T863" s="7">
        <v>0</v>
      </c>
      <c r="V863" s="7">
        <v>0</v>
      </c>
      <c r="W863" s="7">
        <v>0</v>
      </c>
      <c r="X863" s="6" t="s">
        <v>2053</v>
      </c>
      <c r="Y863" s="7" t="s">
        <v>1678</v>
      </c>
      <c r="Z863" s="7" t="s">
        <v>2871</v>
      </c>
      <c r="AA863" s="7" t="s">
        <v>527</v>
      </c>
      <c r="AB863" s="7">
        <v>0</v>
      </c>
      <c r="AC863" s="7">
        <v>16</v>
      </c>
      <c r="AD863" s="7">
        <v>0</v>
      </c>
      <c r="AE863" s="7">
        <v>0</v>
      </c>
      <c r="AF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P863" s="7">
        <v>0</v>
      </c>
      <c r="AQ863" s="7">
        <v>0</v>
      </c>
      <c r="AR863" s="7">
        <v>0</v>
      </c>
      <c r="AS863" s="7">
        <v>0</v>
      </c>
      <c r="AT863" s="7">
        <v>1</v>
      </c>
      <c r="BE863" s="7">
        <v>240</v>
      </c>
      <c r="BG863" s="7">
        <v>2</v>
      </c>
      <c r="BL863" s="7">
        <v>0</v>
      </c>
    </row>
    <row r="864" spans="1:64" s="7" customFormat="1">
      <c r="A864" s="7">
        <v>1370106</v>
      </c>
      <c r="B864" s="7" t="s">
        <v>2039</v>
      </c>
      <c r="C864" s="7" t="s">
        <v>540</v>
      </c>
      <c r="D864" s="7" t="s">
        <v>550</v>
      </c>
      <c r="E864" s="7">
        <v>1</v>
      </c>
      <c r="F864" s="7" t="s">
        <v>959</v>
      </c>
      <c r="G864" s="7">
        <v>0</v>
      </c>
      <c r="H864" s="7">
        <v>0</v>
      </c>
      <c r="I864" s="7">
        <v>99999</v>
      </c>
      <c r="J864" s="7">
        <v>0</v>
      </c>
      <c r="K864" s="7">
        <v>3</v>
      </c>
      <c r="L864" s="7" t="s">
        <v>1562</v>
      </c>
      <c r="M864" s="7">
        <v>1</v>
      </c>
      <c r="N864" s="7">
        <v>1</v>
      </c>
      <c r="Q864" s="7">
        <v>0</v>
      </c>
      <c r="R864" s="7">
        <v>0</v>
      </c>
      <c r="S864" s="7">
        <v>1</v>
      </c>
      <c r="T864" s="7">
        <v>0</v>
      </c>
      <c r="V864" s="7">
        <v>0</v>
      </c>
      <c r="W864" s="7">
        <v>0</v>
      </c>
      <c r="X864" s="6" t="s">
        <v>2054</v>
      </c>
      <c r="Y864" s="7" t="s">
        <v>1678</v>
      </c>
      <c r="Z864" s="7" t="s">
        <v>2871</v>
      </c>
      <c r="AA864" s="7" t="s">
        <v>527</v>
      </c>
      <c r="AB864" s="7">
        <v>0</v>
      </c>
      <c r="AC864" s="7">
        <v>16</v>
      </c>
      <c r="AD864" s="7">
        <v>0</v>
      </c>
      <c r="AE864" s="7">
        <v>0</v>
      </c>
      <c r="AF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P864" s="7">
        <v>0</v>
      </c>
      <c r="AQ864" s="7">
        <v>0</v>
      </c>
      <c r="AR864" s="7">
        <v>0</v>
      </c>
      <c r="AS864" s="7">
        <v>0</v>
      </c>
      <c r="AT864" s="7">
        <v>1</v>
      </c>
      <c r="BE864" s="7">
        <v>240</v>
      </c>
      <c r="BG864" s="7">
        <v>2</v>
      </c>
      <c r="BL864" s="7">
        <v>0</v>
      </c>
    </row>
    <row r="865" spans="1:64" s="7" customFormat="1">
      <c r="A865" s="7">
        <v>1370107</v>
      </c>
      <c r="B865" s="7" t="s">
        <v>2040</v>
      </c>
      <c r="C865" s="7" t="s">
        <v>540</v>
      </c>
      <c r="D865" s="7" t="s">
        <v>550</v>
      </c>
      <c r="E865" s="7">
        <v>1</v>
      </c>
      <c r="F865" s="7" t="s">
        <v>959</v>
      </c>
      <c r="G865" s="7">
        <v>0</v>
      </c>
      <c r="H865" s="7">
        <v>0</v>
      </c>
      <c r="I865" s="7">
        <v>99999</v>
      </c>
      <c r="J865" s="7">
        <v>0</v>
      </c>
      <c r="K865" s="7">
        <v>3</v>
      </c>
      <c r="L865" s="7" t="s">
        <v>1562</v>
      </c>
      <c r="M865" s="7">
        <v>1</v>
      </c>
      <c r="N865" s="7">
        <v>1</v>
      </c>
      <c r="Q865" s="7">
        <v>0</v>
      </c>
      <c r="R865" s="7">
        <v>0</v>
      </c>
      <c r="S865" s="7">
        <v>1</v>
      </c>
      <c r="T865" s="7">
        <v>0</v>
      </c>
      <c r="V865" s="7">
        <v>0</v>
      </c>
      <c r="W865" s="7">
        <v>0</v>
      </c>
      <c r="X865" s="6" t="s">
        <v>2055</v>
      </c>
      <c r="Y865" s="7" t="s">
        <v>1678</v>
      </c>
      <c r="Z865" s="7" t="s">
        <v>2871</v>
      </c>
      <c r="AA865" s="7" t="s">
        <v>527</v>
      </c>
      <c r="AB865" s="7">
        <v>0</v>
      </c>
      <c r="AC865" s="7">
        <v>16</v>
      </c>
      <c r="AD865" s="7">
        <v>0</v>
      </c>
      <c r="AE865" s="7">
        <v>0</v>
      </c>
      <c r="AF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P865" s="7">
        <v>0</v>
      </c>
      <c r="AQ865" s="7">
        <v>0</v>
      </c>
      <c r="AR865" s="7">
        <v>0</v>
      </c>
      <c r="AS865" s="7">
        <v>0</v>
      </c>
      <c r="AT865" s="7">
        <v>1</v>
      </c>
      <c r="BE865" s="7">
        <v>240</v>
      </c>
      <c r="BG865" s="7">
        <v>2</v>
      </c>
      <c r="BL865" s="7">
        <v>0</v>
      </c>
    </row>
    <row r="866" spans="1:64" s="7" customFormat="1">
      <c r="A866" s="7">
        <v>1370108</v>
      </c>
      <c r="B866" s="7" t="s">
        <v>2041</v>
      </c>
      <c r="C866" s="7" t="s">
        <v>540</v>
      </c>
      <c r="D866" s="7" t="s">
        <v>550</v>
      </c>
      <c r="E866" s="7">
        <v>1</v>
      </c>
      <c r="F866" s="7" t="s">
        <v>959</v>
      </c>
      <c r="G866" s="7">
        <v>0</v>
      </c>
      <c r="H866" s="7">
        <v>0</v>
      </c>
      <c r="I866" s="7">
        <v>99999</v>
      </c>
      <c r="J866" s="7">
        <v>0</v>
      </c>
      <c r="K866" s="7">
        <v>3</v>
      </c>
      <c r="L866" s="7" t="s">
        <v>1562</v>
      </c>
      <c r="M866" s="7">
        <v>1</v>
      </c>
      <c r="N866" s="7">
        <v>1</v>
      </c>
      <c r="Q866" s="7">
        <v>0</v>
      </c>
      <c r="R866" s="7">
        <v>0</v>
      </c>
      <c r="S866" s="7">
        <v>1</v>
      </c>
      <c r="T866" s="7">
        <v>0</v>
      </c>
      <c r="V866" s="7">
        <v>0</v>
      </c>
      <c r="W866" s="7">
        <v>0</v>
      </c>
      <c r="X866" s="6" t="s">
        <v>2056</v>
      </c>
      <c r="Y866" s="7" t="s">
        <v>1678</v>
      </c>
      <c r="Z866" s="7" t="s">
        <v>2871</v>
      </c>
      <c r="AA866" s="7" t="s">
        <v>527</v>
      </c>
      <c r="AB866" s="7">
        <v>0</v>
      </c>
      <c r="AC866" s="7">
        <v>16</v>
      </c>
      <c r="AD866" s="7">
        <v>0</v>
      </c>
      <c r="AE866" s="7">
        <v>0</v>
      </c>
      <c r="AF866" s="7">
        <v>0</v>
      </c>
      <c r="AI866" s="7">
        <v>0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P866" s="7">
        <v>0</v>
      </c>
      <c r="AQ866" s="7">
        <v>0</v>
      </c>
      <c r="AR866" s="7">
        <v>0</v>
      </c>
      <c r="AS866" s="7">
        <v>0</v>
      </c>
      <c r="AT866" s="7">
        <v>1</v>
      </c>
      <c r="BE866" s="7">
        <v>240</v>
      </c>
      <c r="BG866" s="7">
        <v>2</v>
      </c>
      <c r="BL866" s="7">
        <v>0</v>
      </c>
    </row>
    <row r="867" spans="1:64" s="7" customFormat="1">
      <c r="A867" s="7">
        <v>1370109</v>
      </c>
      <c r="B867" s="7" t="s">
        <v>3299</v>
      </c>
      <c r="C867" s="7" t="s">
        <v>540</v>
      </c>
      <c r="D867" s="7" t="s">
        <v>550</v>
      </c>
      <c r="E867" s="7">
        <v>1</v>
      </c>
      <c r="F867" s="7" t="s">
        <v>959</v>
      </c>
      <c r="G867" s="7">
        <v>0</v>
      </c>
      <c r="H867" s="7">
        <v>0</v>
      </c>
      <c r="I867" s="7">
        <v>99999</v>
      </c>
      <c r="J867" s="7">
        <v>0</v>
      </c>
      <c r="K867" s="7">
        <v>3</v>
      </c>
      <c r="L867" s="7" t="s">
        <v>1562</v>
      </c>
      <c r="M867" s="7">
        <v>1</v>
      </c>
      <c r="N867" s="7">
        <v>1</v>
      </c>
      <c r="Q867" s="7">
        <v>0</v>
      </c>
      <c r="R867" s="7">
        <v>0</v>
      </c>
      <c r="S867" s="7">
        <v>1</v>
      </c>
      <c r="T867" s="7">
        <v>0</v>
      </c>
      <c r="V867" s="7">
        <v>0</v>
      </c>
      <c r="W867" s="7">
        <v>0</v>
      </c>
      <c r="X867" s="6" t="s">
        <v>3301</v>
      </c>
      <c r="Y867" s="7" t="s">
        <v>1678</v>
      </c>
      <c r="Z867" s="7" t="s">
        <v>2871</v>
      </c>
      <c r="AA867" s="7" t="s">
        <v>527</v>
      </c>
      <c r="AB867" s="7">
        <v>0</v>
      </c>
      <c r="AC867" s="7">
        <v>16</v>
      </c>
      <c r="AD867" s="7">
        <v>0</v>
      </c>
      <c r="AE867" s="7">
        <v>0</v>
      </c>
      <c r="AF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P867" s="7">
        <v>0</v>
      </c>
      <c r="AQ867" s="7">
        <v>0</v>
      </c>
      <c r="AR867" s="7">
        <v>0</v>
      </c>
      <c r="AS867" s="7">
        <v>0</v>
      </c>
      <c r="AT867" s="7">
        <v>1</v>
      </c>
      <c r="BE867" s="7">
        <v>240</v>
      </c>
      <c r="BG867" s="7">
        <v>2</v>
      </c>
      <c r="BL867" s="7">
        <v>0</v>
      </c>
    </row>
    <row r="868" spans="1:64" s="7" customFormat="1">
      <c r="A868" s="7">
        <v>1380011</v>
      </c>
      <c r="B868" s="7" t="s">
        <v>2242</v>
      </c>
      <c r="C868" s="7" t="s">
        <v>540</v>
      </c>
      <c r="D868" s="7" t="s">
        <v>550</v>
      </c>
      <c r="E868" s="7">
        <v>7</v>
      </c>
      <c r="F868" s="7" t="s">
        <v>997</v>
      </c>
      <c r="G868" s="7">
        <v>0</v>
      </c>
      <c r="H868" s="7">
        <v>0</v>
      </c>
      <c r="I868" s="7">
        <v>99999</v>
      </c>
      <c r="J868" s="7">
        <v>0</v>
      </c>
      <c r="K868" s="7">
        <v>3</v>
      </c>
      <c r="L868" s="7" t="s">
        <v>1562</v>
      </c>
      <c r="M868" s="7">
        <v>1</v>
      </c>
      <c r="N868" s="7">
        <v>1</v>
      </c>
      <c r="Q868" s="7">
        <v>0</v>
      </c>
      <c r="R868" s="7">
        <v>0</v>
      </c>
      <c r="S868" s="7">
        <v>1</v>
      </c>
      <c r="T868" s="7">
        <v>0</v>
      </c>
      <c r="V868" s="7">
        <v>0</v>
      </c>
      <c r="W868" s="7">
        <v>0</v>
      </c>
      <c r="X868" s="6" t="s">
        <v>2257</v>
      </c>
      <c r="Y868" s="7" t="s">
        <v>1691</v>
      </c>
      <c r="Z868" s="7" t="s">
        <v>2872</v>
      </c>
      <c r="AA868" s="7" t="s">
        <v>527</v>
      </c>
      <c r="AB868" s="7">
        <v>0</v>
      </c>
      <c r="AC868" s="7">
        <v>16</v>
      </c>
      <c r="AD868" s="7">
        <v>0</v>
      </c>
      <c r="AE868" s="7">
        <v>0</v>
      </c>
      <c r="AF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P868" s="7">
        <v>0</v>
      </c>
      <c r="AQ868" s="7">
        <v>0</v>
      </c>
      <c r="AR868" s="7">
        <v>0</v>
      </c>
      <c r="AS868" s="7">
        <v>0</v>
      </c>
      <c r="AT868" s="7">
        <v>1</v>
      </c>
      <c r="BE868" s="7">
        <v>240</v>
      </c>
      <c r="BG868" s="7">
        <v>2</v>
      </c>
      <c r="BL868" s="7">
        <v>0</v>
      </c>
    </row>
    <row r="869" spans="1:64" s="7" customFormat="1">
      <c r="A869" s="7">
        <v>1380012</v>
      </c>
      <c r="B869" s="7" t="s">
        <v>2243</v>
      </c>
      <c r="C869" s="7" t="s">
        <v>540</v>
      </c>
      <c r="D869" s="7" t="s">
        <v>550</v>
      </c>
      <c r="E869" s="7">
        <v>15</v>
      </c>
      <c r="F869" s="7" t="s">
        <v>997</v>
      </c>
      <c r="G869" s="7">
        <v>0</v>
      </c>
      <c r="H869" s="7">
        <v>0</v>
      </c>
      <c r="I869" s="7">
        <v>99999</v>
      </c>
      <c r="J869" s="7">
        <v>0</v>
      </c>
      <c r="K869" s="7">
        <v>3</v>
      </c>
      <c r="L869" s="7" t="s">
        <v>1562</v>
      </c>
      <c r="M869" s="7">
        <v>1</v>
      </c>
      <c r="N869" s="7">
        <v>1</v>
      </c>
      <c r="Q869" s="7">
        <v>0</v>
      </c>
      <c r="R869" s="7">
        <v>0</v>
      </c>
      <c r="S869" s="7">
        <v>1</v>
      </c>
      <c r="T869" s="7">
        <v>0</v>
      </c>
      <c r="V869" s="7">
        <v>0</v>
      </c>
      <c r="W869" s="7">
        <v>0</v>
      </c>
      <c r="X869" s="6" t="s">
        <v>2258</v>
      </c>
      <c r="Y869" s="7" t="s">
        <v>1691</v>
      </c>
      <c r="Z869" s="7" t="s">
        <v>2873</v>
      </c>
      <c r="AA869" s="7" t="s">
        <v>527</v>
      </c>
      <c r="AB869" s="7">
        <v>0</v>
      </c>
      <c r="AC869" s="7">
        <v>16</v>
      </c>
      <c r="AD869" s="7">
        <v>0</v>
      </c>
      <c r="AE869" s="7">
        <v>0</v>
      </c>
      <c r="AF869" s="7">
        <v>0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P869" s="7">
        <v>0</v>
      </c>
      <c r="AQ869" s="7">
        <v>0</v>
      </c>
      <c r="AR869" s="7">
        <v>0</v>
      </c>
      <c r="AS869" s="7">
        <v>0</v>
      </c>
      <c r="AT869" s="7">
        <v>1</v>
      </c>
      <c r="BE869" s="7">
        <v>240</v>
      </c>
      <c r="BG869" s="7">
        <v>2</v>
      </c>
      <c r="BL869" s="7">
        <v>0</v>
      </c>
    </row>
    <row r="870" spans="1:64" s="7" customFormat="1">
      <c r="A870" s="7">
        <v>1380013</v>
      </c>
      <c r="B870" s="7" t="s">
        <v>2244</v>
      </c>
      <c r="C870" s="7" t="s">
        <v>540</v>
      </c>
      <c r="D870" s="7" t="s">
        <v>550</v>
      </c>
      <c r="E870" s="7">
        <v>22</v>
      </c>
      <c r="F870" s="7" t="s">
        <v>997</v>
      </c>
      <c r="G870" s="7">
        <v>0</v>
      </c>
      <c r="H870" s="7">
        <v>0</v>
      </c>
      <c r="I870" s="7">
        <v>99999</v>
      </c>
      <c r="J870" s="7">
        <v>0</v>
      </c>
      <c r="K870" s="7">
        <v>3</v>
      </c>
      <c r="L870" s="7" t="s">
        <v>1562</v>
      </c>
      <c r="M870" s="7">
        <v>1</v>
      </c>
      <c r="N870" s="7">
        <v>1</v>
      </c>
      <c r="Q870" s="7">
        <v>0</v>
      </c>
      <c r="R870" s="7">
        <v>0</v>
      </c>
      <c r="S870" s="7">
        <v>1</v>
      </c>
      <c r="T870" s="7">
        <v>0</v>
      </c>
      <c r="V870" s="7">
        <v>0</v>
      </c>
      <c r="W870" s="7">
        <v>0</v>
      </c>
      <c r="X870" s="6" t="s">
        <v>2259</v>
      </c>
      <c r="Y870" s="7" t="s">
        <v>1691</v>
      </c>
      <c r="Z870" s="7" t="s">
        <v>2874</v>
      </c>
      <c r="AA870" s="7" t="s">
        <v>527</v>
      </c>
      <c r="AB870" s="7">
        <v>0</v>
      </c>
      <c r="AC870" s="7">
        <v>16</v>
      </c>
      <c r="AD870" s="7">
        <v>0</v>
      </c>
      <c r="AE870" s="7">
        <v>0</v>
      </c>
      <c r="AF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P870" s="7">
        <v>0</v>
      </c>
      <c r="AQ870" s="7">
        <v>0</v>
      </c>
      <c r="AR870" s="7">
        <v>0</v>
      </c>
      <c r="AS870" s="7">
        <v>0</v>
      </c>
      <c r="AT870" s="7">
        <v>1</v>
      </c>
      <c r="BE870" s="7">
        <v>240</v>
      </c>
      <c r="BG870" s="7">
        <v>2</v>
      </c>
      <c r="BL870" s="7">
        <v>0</v>
      </c>
    </row>
    <row r="871" spans="1:64" s="7" customFormat="1">
      <c r="A871" s="7">
        <v>1380014</v>
      </c>
      <c r="B871" s="7" t="s">
        <v>2245</v>
      </c>
      <c r="C871" s="7" t="s">
        <v>540</v>
      </c>
      <c r="D871" s="7" t="s">
        <v>550</v>
      </c>
      <c r="E871" s="7">
        <v>28</v>
      </c>
      <c r="F871" s="7" t="s">
        <v>997</v>
      </c>
      <c r="G871" s="7">
        <v>0</v>
      </c>
      <c r="H871" s="7">
        <v>0</v>
      </c>
      <c r="I871" s="7">
        <v>99999</v>
      </c>
      <c r="J871" s="7">
        <v>0</v>
      </c>
      <c r="K871" s="7">
        <v>3</v>
      </c>
      <c r="L871" s="7" t="s">
        <v>1562</v>
      </c>
      <c r="M871" s="7">
        <v>1</v>
      </c>
      <c r="N871" s="7">
        <v>1</v>
      </c>
      <c r="Q871" s="7">
        <v>0</v>
      </c>
      <c r="R871" s="7">
        <v>0</v>
      </c>
      <c r="S871" s="7">
        <v>1</v>
      </c>
      <c r="T871" s="7">
        <v>0</v>
      </c>
      <c r="V871" s="7">
        <v>0</v>
      </c>
      <c r="W871" s="7">
        <v>0</v>
      </c>
      <c r="X871" s="6" t="s">
        <v>2260</v>
      </c>
      <c r="Y871" s="7" t="s">
        <v>1691</v>
      </c>
      <c r="Z871" s="7" t="s">
        <v>2875</v>
      </c>
      <c r="AA871" s="7" t="s">
        <v>527</v>
      </c>
      <c r="AB871" s="7">
        <v>0</v>
      </c>
      <c r="AC871" s="7">
        <v>16</v>
      </c>
      <c r="AD871" s="7">
        <v>0</v>
      </c>
      <c r="AE871" s="7">
        <v>0</v>
      </c>
      <c r="AF871" s="7">
        <v>0</v>
      </c>
      <c r="AI871" s="7">
        <v>0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P871" s="7">
        <v>0</v>
      </c>
      <c r="AQ871" s="7">
        <v>0</v>
      </c>
      <c r="AR871" s="7">
        <v>0</v>
      </c>
      <c r="AS871" s="7">
        <v>0</v>
      </c>
      <c r="AT871" s="7">
        <v>1</v>
      </c>
      <c r="BE871" s="7">
        <v>240</v>
      </c>
      <c r="BG871" s="7">
        <v>2</v>
      </c>
      <c r="BL871" s="7">
        <v>0</v>
      </c>
    </row>
    <row r="872" spans="1:64" s="7" customFormat="1">
      <c r="A872" s="7">
        <v>1380015</v>
      </c>
      <c r="B872" s="7" t="s">
        <v>2246</v>
      </c>
      <c r="C872" s="7" t="s">
        <v>540</v>
      </c>
      <c r="D872" s="7" t="s">
        <v>550</v>
      </c>
      <c r="E872" s="7">
        <v>35</v>
      </c>
      <c r="F872" s="7" t="s">
        <v>997</v>
      </c>
      <c r="G872" s="7">
        <v>0</v>
      </c>
      <c r="H872" s="7">
        <v>0</v>
      </c>
      <c r="I872" s="7">
        <v>99999</v>
      </c>
      <c r="J872" s="7">
        <v>0</v>
      </c>
      <c r="K872" s="7">
        <v>3</v>
      </c>
      <c r="L872" s="7" t="s">
        <v>1562</v>
      </c>
      <c r="M872" s="7">
        <v>1</v>
      </c>
      <c r="N872" s="7">
        <v>1</v>
      </c>
      <c r="Q872" s="7">
        <v>0</v>
      </c>
      <c r="R872" s="7">
        <v>0</v>
      </c>
      <c r="S872" s="7">
        <v>1</v>
      </c>
      <c r="T872" s="7">
        <v>0</v>
      </c>
      <c r="V872" s="7">
        <v>0</v>
      </c>
      <c r="W872" s="7">
        <v>0</v>
      </c>
      <c r="X872" s="6" t="s">
        <v>2261</v>
      </c>
      <c r="Y872" s="7" t="s">
        <v>1691</v>
      </c>
      <c r="Z872" s="7" t="s">
        <v>2876</v>
      </c>
      <c r="AA872" s="7" t="s">
        <v>527</v>
      </c>
      <c r="AB872" s="7">
        <v>0</v>
      </c>
      <c r="AC872" s="7">
        <v>16</v>
      </c>
      <c r="AD872" s="7">
        <v>0</v>
      </c>
      <c r="AE872" s="7">
        <v>0</v>
      </c>
      <c r="AF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P872" s="7">
        <v>0</v>
      </c>
      <c r="AQ872" s="7">
        <v>0</v>
      </c>
      <c r="AR872" s="7">
        <v>0</v>
      </c>
      <c r="AS872" s="7">
        <v>0</v>
      </c>
      <c r="AT872" s="7">
        <v>1</v>
      </c>
      <c r="BE872" s="7">
        <v>240</v>
      </c>
      <c r="BG872" s="7">
        <v>2</v>
      </c>
      <c r="BL872" s="7">
        <v>0</v>
      </c>
    </row>
    <row r="873" spans="1:64" s="7" customFormat="1">
      <c r="A873" s="7">
        <v>1380021</v>
      </c>
      <c r="B873" s="7" t="s">
        <v>2247</v>
      </c>
      <c r="C873" s="7" t="s">
        <v>540</v>
      </c>
      <c r="D873" s="7" t="s">
        <v>550</v>
      </c>
      <c r="E873" s="7">
        <v>7</v>
      </c>
      <c r="F873" s="7" t="s">
        <v>997</v>
      </c>
      <c r="G873" s="7">
        <v>0</v>
      </c>
      <c r="H873" s="7">
        <v>0</v>
      </c>
      <c r="I873" s="7">
        <v>99999</v>
      </c>
      <c r="J873" s="7">
        <v>0</v>
      </c>
      <c r="K873" s="7">
        <v>3</v>
      </c>
      <c r="L873" s="7" t="s">
        <v>1562</v>
      </c>
      <c r="M873" s="7">
        <v>1</v>
      </c>
      <c r="N873" s="7">
        <v>1</v>
      </c>
      <c r="Q873" s="7">
        <v>0</v>
      </c>
      <c r="R873" s="7">
        <v>0</v>
      </c>
      <c r="S873" s="7">
        <v>1</v>
      </c>
      <c r="T873" s="7">
        <v>0</v>
      </c>
      <c r="V873" s="7">
        <v>0</v>
      </c>
      <c r="W873" s="7">
        <v>0</v>
      </c>
      <c r="X873" s="6" t="s">
        <v>2262</v>
      </c>
      <c r="Y873" s="7" t="s">
        <v>1691</v>
      </c>
      <c r="Z873" s="7" t="s">
        <v>2872</v>
      </c>
      <c r="AA873" s="7" t="s">
        <v>527</v>
      </c>
      <c r="AB873" s="7">
        <v>0</v>
      </c>
      <c r="AC873" s="7">
        <v>16</v>
      </c>
      <c r="AD873" s="7">
        <v>0</v>
      </c>
      <c r="AE873" s="7">
        <v>0</v>
      </c>
      <c r="AF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P873" s="7">
        <v>0</v>
      </c>
      <c r="AQ873" s="7">
        <v>0</v>
      </c>
      <c r="AR873" s="7">
        <v>0</v>
      </c>
      <c r="AS873" s="7">
        <v>0</v>
      </c>
      <c r="AT873" s="7">
        <v>1</v>
      </c>
      <c r="BE873" s="7">
        <v>240</v>
      </c>
      <c r="BG873" s="7">
        <v>2</v>
      </c>
      <c r="BL873" s="7">
        <v>0</v>
      </c>
    </row>
    <row r="874" spans="1:64" s="7" customFormat="1">
      <c r="A874" s="7">
        <v>1380022</v>
      </c>
      <c r="B874" s="7" t="s">
        <v>2248</v>
      </c>
      <c r="C874" s="7" t="s">
        <v>540</v>
      </c>
      <c r="D874" s="7" t="s">
        <v>550</v>
      </c>
      <c r="E874" s="7">
        <v>15</v>
      </c>
      <c r="F874" s="7" t="s">
        <v>997</v>
      </c>
      <c r="G874" s="7">
        <v>0</v>
      </c>
      <c r="H874" s="7">
        <v>0</v>
      </c>
      <c r="I874" s="7">
        <v>99999</v>
      </c>
      <c r="J874" s="7">
        <v>0</v>
      </c>
      <c r="K874" s="7">
        <v>3</v>
      </c>
      <c r="L874" s="7" t="s">
        <v>1562</v>
      </c>
      <c r="M874" s="7">
        <v>1</v>
      </c>
      <c r="N874" s="7">
        <v>1</v>
      </c>
      <c r="Q874" s="7">
        <v>0</v>
      </c>
      <c r="R874" s="7">
        <v>0</v>
      </c>
      <c r="S874" s="7">
        <v>1</v>
      </c>
      <c r="T874" s="7">
        <v>0</v>
      </c>
      <c r="V874" s="7">
        <v>0</v>
      </c>
      <c r="W874" s="7">
        <v>0</v>
      </c>
      <c r="X874" s="6" t="s">
        <v>2263</v>
      </c>
      <c r="Y874" s="7" t="s">
        <v>1691</v>
      </c>
      <c r="Z874" s="7" t="s">
        <v>2877</v>
      </c>
      <c r="AA874" s="7" t="s">
        <v>527</v>
      </c>
      <c r="AB874" s="7">
        <v>0</v>
      </c>
      <c r="AC874" s="7">
        <v>16</v>
      </c>
      <c r="AD874" s="7">
        <v>0</v>
      </c>
      <c r="AE874" s="7">
        <v>0</v>
      </c>
      <c r="AF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P874" s="7">
        <v>0</v>
      </c>
      <c r="AQ874" s="7">
        <v>0</v>
      </c>
      <c r="AR874" s="7">
        <v>0</v>
      </c>
      <c r="AS874" s="7">
        <v>0</v>
      </c>
      <c r="AT874" s="7">
        <v>1</v>
      </c>
      <c r="BE874" s="7">
        <v>240</v>
      </c>
      <c r="BG874" s="7">
        <v>2</v>
      </c>
      <c r="BL874" s="7">
        <v>0</v>
      </c>
    </row>
    <row r="875" spans="1:64" s="7" customFormat="1">
      <c r="A875" s="7">
        <v>1380023</v>
      </c>
      <c r="B875" s="7" t="s">
        <v>2249</v>
      </c>
      <c r="C875" s="7" t="s">
        <v>540</v>
      </c>
      <c r="D875" s="7" t="s">
        <v>550</v>
      </c>
      <c r="E875" s="7">
        <v>22</v>
      </c>
      <c r="F875" s="7" t="s">
        <v>997</v>
      </c>
      <c r="G875" s="7">
        <v>0</v>
      </c>
      <c r="H875" s="7">
        <v>0</v>
      </c>
      <c r="I875" s="7">
        <v>99999</v>
      </c>
      <c r="J875" s="7">
        <v>0</v>
      </c>
      <c r="K875" s="7">
        <v>3</v>
      </c>
      <c r="L875" s="7" t="s">
        <v>1562</v>
      </c>
      <c r="M875" s="7">
        <v>1</v>
      </c>
      <c r="N875" s="7">
        <v>1</v>
      </c>
      <c r="Q875" s="7">
        <v>0</v>
      </c>
      <c r="R875" s="7">
        <v>0</v>
      </c>
      <c r="S875" s="7">
        <v>1</v>
      </c>
      <c r="T875" s="7">
        <v>0</v>
      </c>
      <c r="V875" s="7">
        <v>0</v>
      </c>
      <c r="W875" s="7">
        <v>0</v>
      </c>
      <c r="X875" s="6" t="s">
        <v>2264</v>
      </c>
      <c r="Y875" s="7" t="s">
        <v>1691</v>
      </c>
      <c r="Z875" s="7" t="s">
        <v>2878</v>
      </c>
      <c r="AA875" s="7" t="s">
        <v>527</v>
      </c>
      <c r="AB875" s="7">
        <v>0</v>
      </c>
      <c r="AC875" s="7">
        <v>16</v>
      </c>
      <c r="AD875" s="7">
        <v>0</v>
      </c>
      <c r="AE875" s="7">
        <v>0</v>
      </c>
      <c r="AF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P875" s="7">
        <v>0</v>
      </c>
      <c r="AQ875" s="7">
        <v>0</v>
      </c>
      <c r="AR875" s="7">
        <v>0</v>
      </c>
      <c r="AS875" s="7">
        <v>0</v>
      </c>
      <c r="AT875" s="7">
        <v>1</v>
      </c>
      <c r="BE875" s="7">
        <v>240</v>
      </c>
      <c r="BG875" s="7">
        <v>2</v>
      </c>
      <c r="BL875" s="7">
        <v>0</v>
      </c>
    </row>
    <row r="876" spans="1:64" s="7" customFormat="1">
      <c r="A876" s="7">
        <v>1380024</v>
      </c>
      <c r="B876" s="7" t="s">
        <v>2250</v>
      </c>
      <c r="C876" s="7" t="s">
        <v>540</v>
      </c>
      <c r="D876" s="7" t="s">
        <v>550</v>
      </c>
      <c r="E876" s="7">
        <v>28</v>
      </c>
      <c r="F876" s="7" t="s">
        <v>997</v>
      </c>
      <c r="G876" s="7">
        <v>0</v>
      </c>
      <c r="H876" s="7">
        <v>0</v>
      </c>
      <c r="I876" s="7">
        <v>99999</v>
      </c>
      <c r="J876" s="7">
        <v>0</v>
      </c>
      <c r="K876" s="7">
        <v>3</v>
      </c>
      <c r="L876" s="7" t="s">
        <v>1562</v>
      </c>
      <c r="M876" s="7">
        <v>1</v>
      </c>
      <c r="N876" s="7">
        <v>1</v>
      </c>
      <c r="Q876" s="7">
        <v>0</v>
      </c>
      <c r="R876" s="7">
        <v>0</v>
      </c>
      <c r="S876" s="7">
        <v>1</v>
      </c>
      <c r="T876" s="7">
        <v>0</v>
      </c>
      <c r="V876" s="7">
        <v>0</v>
      </c>
      <c r="W876" s="7">
        <v>0</v>
      </c>
      <c r="X876" s="6" t="s">
        <v>2265</v>
      </c>
      <c r="Y876" s="7" t="s">
        <v>1691</v>
      </c>
      <c r="Z876" s="7" t="s">
        <v>2879</v>
      </c>
      <c r="AA876" s="7" t="s">
        <v>527</v>
      </c>
      <c r="AB876" s="7">
        <v>0</v>
      </c>
      <c r="AC876" s="7">
        <v>16</v>
      </c>
      <c r="AD876" s="7">
        <v>0</v>
      </c>
      <c r="AE876" s="7">
        <v>0</v>
      </c>
      <c r="AF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P876" s="7">
        <v>0</v>
      </c>
      <c r="AQ876" s="7">
        <v>0</v>
      </c>
      <c r="AR876" s="7">
        <v>0</v>
      </c>
      <c r="AS876" s="7">
        <v>0</v>
      </c>
      <c r="AT876" s="7">
        <v>1</v>
      </c>
      <c r="BE876" s="7">
        <v>240</v>
      </c>
      <c r="BG876" s="7">
        <v>2</v>
      </c>
      <c r="BL876" s="7">
        <v>0</v>
      </c>
    </row>
    <row r="877" spans="1:64" s="7" customFormat="1">
      <c r="A877" s="7">
        <v>1380025</v>
      </c>
      <c r="B877" s="7" t="s">
        <v>2251</v>
      </c>
      <c r="C877" s="7" t="s">
        <v>540</v>
      </c>
      <c r="D877" s="7" t="s">
        <v>550</v>
      </c>
      <c r="E877" s="7">
        <v>35</v>
      </c>
      <c r="F877" s="7" t="s">
        <v>997</v>
      </c>
      <c r="G877" s="7">
        <v>0</v>
      </c>
      <c r="H877" s="7">
        <v>0</v>
      </c>
      <c r="I877" s="7">
        <v>99999</v>
      </c>
      <c r="J877" s="7">
        <v>0</v>
      </c>
      <c r="K877" s="7">
        <v>3</v>
      </c>
      <c r="L877" s="7" t="s">
        <v>1562</v>
      </c>
      <c r="M877" s="7">
        <v>1</v>
      </c>
      <c r="N877" s="7">
        <v>1</v>
      </c>
      <c r="Q877" s="7">
        <v>0</v>
      </c>
      <c r="R877" s="7">
        <v>0</v>
      </c>
      <c r="S877" s="7">
        <v>1</v>
      </c>
      <c r="T877" s="7">
        <v>0</v>
      </c>
      <c r="V877" s="7">
        <v>0</v>
      </c>
      <c r="W877" s="7">
        <v>0</v>
      </c>
      <c r="X877" s="6" t="s">
        <v>2266</v>
      </c>
      <c r="Y877" s="7" t="s">
        <v>1691</v>
      </c>
      <c r="Z877" s="7" t="s">
        <v>2880</v>
      </c>
      <c r="AA877" s="7" t="s">
        <v>527</v>
      </c>
      <c r="AB877" s="7">
        <v>0</v>
      </c>
      <c r="AC877" s="7">
        <v>16</v>
      </c>
      <c r="AD877" s="7">
        <v>0</v>
      </c>
      <c r="AE877" s="7">
        <v>0</v>
      </c>
      <c r="AF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P877" s="7">
        <v>0</v>
      </c>
      <c r="AQ877" s="7">
        <v>0</v>
      </c>
      <c r="AR877" s="7">
        <v>0</v>
      </c>
      <c r="AS877" s="7">
        <v>0</v>
      </c>
      <c r="AT877" s="7">
        <v>1</v>
      </c>
      <c r="BE877" s="7">
        <v>240</v>
      </c>
      <c r="BG877" s="7">
        <v>2</v>
      </c>
      <c r="BL877" s="7">
        <v>0</v>
      </c>
    </row>
    <row r="878" spans="1:64" s="7" customFormat="1">
      <c r="A878" s="7">
        <v>1380031</v>
      </c>
      <c r="B878" s="7" t="s">
        <v>2252</v>
      </c>
      <c r="C878" s="7" t="s">
        <v>540</v>
      </c>
      <c r="D878" s="7" t="s">
        <v>550</v>
      </c>
      <c r="E878" s="7">
        <v>7</v>
      </c>
      <c r="F878" s="7" t="s">
        <v>997</v>
      </c>
      <c r="G878" s="7">
        <v>0</v>
      </c>
      <c r="H878" s="7">
        <v>0</v>
      </c>
      <c r="I878" s="7">
        <v>99999</v>
      </c>
      <c r="J878" s="7">
        <v>0</v>
      </c>
      <c r="K878" s="7">
        <v>3</v>
      </c>
      <c r="L878" s="7" t="s">
        <v>1562</v>
      </c>
      <c r="M878" s="7">
        <v>1</v>
      </c>
      <c r="N878" s="7">
        <v>1</v>
      </c>
      <c r="Q878" s="7">
        <v>0</v>
      </c>
      <c r="R878" s="7">
        <v>0</v>
      </c>
      <c r="S878" s="7">
        <v>1</v>
      </c>
      <c r="T878" s="7">
        <v>0</v>
      </c>
      <c r="V878" s="7">
        <v>0</v>
      </c>
      <c r="W878" s="7">
        <v>0</v>
      </c>
      <c r="X878" s="6" t="s">
        <v>2267</v>
      </c>
      <c r="Y878" s="7" t="s">
        <v>1691</v>
      </c>
      <c r="Z878" s="7" t="s">
        <v>2872</v>
      </c>
      <c r="AA878" s="7" t="s">
        <v>527</v>
      </c>
      <c r="AB878" s="7">
        <v>0</v>
      </c>
      <c r="AC878" s="7">
        <v>16</v>
      </c>
      <c r="AD878" s="7">
        <v>0</v>
      </c>
      <c r="AE878" s="7">
        <v>0</v>
      </c>
      <c r="AF878" s="7">
        <v>0</v>
      </c>
      <c r="AI878" s="7">
        <v>0</v>
      </c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P878" s="7">
        <v>0</v>
      </c>
      <c r="AQ878" s="7">
        <v>0</v>
      </c>
      <c r="AR878" s="7">
        <v>0</v>
      </c>
      <c r="AS878" s="7">
        <v>0</v>
      </c>
      <c r="AT878" s="7">
        <v>1</v>
      </c>
      <c r="BE878" s="7">
        <v>240</v>
      </c>
      <c r="BG878" s="7">
        <v>2</v>
      </c>
      <c r="BL878" s="7">
        <v>0</v>
      </c>
    </row>
    <row r="879" spans="1:64" s="7" customFormat="1">
      <c r="A879" s="7">
        <v>1380032</v>
      </c>
      <c r="B879" s="7" t="s">
        <v>2253</v>
      </c>
      <c r="C879" s="7" t="s">
        <v>540</v>
      </c>
      <c r="D879" s="7" t="s">
        <v>550</v>
      </c>
      <c r="E879" s="7">
        <v>15</v>
      </c>
      <c r="F879" s="7" t="s">
        <v>997</v>
      </c>
      <c r="G879" s="7">
        <v>0</v>
      </c>
      <c r="H879" s="7">
        <v>0</v>
      </c>
      <c r="I879" s="7">
        <v>99999</v>
      </c>
      <c r="J879" s="7">
        <v>0</v>
      </c>
      <c r="K879" s="7">
        <v>3</v>
      </c>
      <c r="L879" s="7" t="s">
        <v>1562</v>
      </c>
      <c r="M879" s="7">
        <v>1</v>
      </c>
      <c r="N879" s="7">
        <v>1</v>
      </c>
      <c r="Q879" s="7">
        <v>0</v>
      </c>
      <c r="R879" s="7">
        <v>0</v>
      </c>
      <c r="S879" s="7">
        <v>1</v>
      </c>
      <c r="T879" s="7">
        <v>0</v>
      </c>
      <c r="V879" s="7">
        <v>0</v>
      </c>
      <c r="W879" s="7">
        <v>0</v>
      </c>
      <c r="X879" s="6" t="s">
        <v>2268</v>
      </c>
      <c r="Y879" s="7" t="s">
        <v>1691</v>
      </c>
      <c r="Z879" s="7" t="s">
        <v>2881</v>
      </c>
      <c r="AA879" s="7" t="s">
        <v>527</v>
      </c>
      <c r="AB879" s="7">
        <v>0</v>
      </c>
      <c r="AC879" s="7">
        <v>16</v>
      </c>
      <c r="AD879" s="7">
        <v>0</v>
      </c>
      <c r="AE879" s="7">
        <v>0</v>
      </c>
      <c r="AF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P879" s="7">
        <v>0</v>
      </c>
      <c r="AQ879" s="7">
        <v>0</v>
      </c>
      <c r="AR879" s="7">
        <v>0</v>
      </c>
      <c r="AS879" s="7">
        <v>0</v>
      </c>
      <c r="AT879" s="7">
        <v>1</v>
      </c>
      <c r="BE879" s="7">
        <v>240</v>
      </c>
      <c r="BG879" s="7">
        <v>2</v>
      </c>
      <c r="BL879" s="7">
        <v>0</v>
      </c>
    </row>
    <row r="880" spans="1:64" s="7" customFormat="1">
      <c r="A880" s="7">
        <v>1380033</v>
      </c>
      <c r="B880" s="7" t="s">
        <v>2254</v>
      </c>
      <c r="C880" s="7" t="s">
        <v>540</v>
      </c>
      <c r="D880" s="7" t="s">
        <v>550</v>
      </c>
      <c r="E880" s="7">
        <v>22</v>
      </c>
      <c r="F880" s="7" t="s">
        <v>997</v>
      </c>
      <c r="G880" s="7">
        <v>0</v>
      </c>
      <c r="H880" s="7">
        <v>0</v>
      </c>
      <c r="I880" s="7">
        <v>99999</v>
      </c>
      <c r="J880" s="7">
        <v>0</v>
      </c>
      <c r="K880" s="7">
        <v>3</v>
      </c>
      <c r="L880" s="7" t="s">
        <v>1562</v>
      </c>
      <c r="M880" s="7">
        <v>1</v>
      </c>
      <c r="N880" s="7">
        <v>1</v>
      </c>
      <c r="Q880" s="7">
        <v>0</v>
      </c>
      <c r="R880" s="7">
        <v>0</v>
      </c>
      <c r="S880" s="7">
        <v>1</v>
      </c>
      <c r="T880" s="7">
        <v>0</v>
      </c>
      <c r="V880" s="7">
        <v>0</v>
      </c>
      <c r="W880" s="7">
        <v>0</v>
      </c>
      <c r="X880" s="6" t="s">
        <v>2269</v>
      </c>
      <c r="Y880" s="7" t="s">
        <v>1691</v>
      </c>
      <c r="Z880" s="7" t="s">
        <v>2882</v>
      </c>
      <c r="AA880" s="7" t="s">
        <v>527</v>
      </c>
      <c r="AB880" s="7">
        <v>0</v>
      </c>
      <c r="AC880" s="7">
        <v>16</v>
      </c>
      <c r="AD880" s="7">
        <v>0</v>
      </c>
      <c r="AE880" s="7">
        <v>0</v>
      </c>
      <c r="AF880" s="7">
        <v>0</v>
      </c>
      <c r="AI880" s="7">
        <v>0</v>
      </c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P880" s="7">
        <v>0</v>
      </c>
      <c r="AQ880" s="7">
        <v>0</v>
      </c>
      <c r="AR880" s="7">
        <v>0</v>
      </c>
      <c r="AS880" s="7">
        <v>0</v>
      </c>
      <c r="AT880" s="7">
        <v>1</v>
      </c>
      <c r="BE880" s="7">
        <v>240</v>
      </c>
      <c r="BG880" s="7">
        <v>2</v>
      </c>
      <c r="BL880" s="7">
        <v>0</v>
      </c>
    </row>
    <row r="881" spans="1:64" s="7" customFormat="1">
      <c r="A881" s="7">
        <v>1380034</v>
      </c>
      <c r="B881" s="7" t="s">
        <v>2255</v>
      </c>
      <c r="C881" s="7" t="s">
        <v>540</v>
      </c>
      <c r="D881" s="7" t="s">
        <v>550</v>
      </c>
      <c r="E881" s="7">
        <v>28</v>
      </c>
      <c r="F881" s="7" t="s">
        <v>997</v>
      </c>
      <c r="G881" s="7">
        <v>0</v>
      </c>
      <c r="H881" s="7">
        <v>0</v>
      </c>
      <c r="I881" s="7">
        <v>99999</v>
      </c>
      <c r="J881" s="7">
        <v>0</v>
      </c>
      <c r="K881" s="7">
        <v>3</v>
      </c>
      <c r="L881" s="7" t="s">
        <v>1562</v>
      </c>
      <c r="M881" s="7">
        <v>1</v>
      </c>
      <c r="N881" s="7">
        <v>1</v>
      </c>
      <c r="Q881" s="7">
        <v>0</v>
      </c>
      <c r="R881" s="7">
        <v>0</v>
      </c>
      <c r="S881" s="7">
        <v>1</v>
      </c>
      <c r="T881" s="7">
        <v>0</v>
      </c>
      <c r="V881" s="7">
        <v>0</v>
      </c>
      <c r="W881" s="7">
        <v>0</v>
      </c>
      <c r="X881" s="6" t="s">
        <v>2270</v>
      </c>
      <c r="Y881" s="7" t="s">
        <v>1691</v>
      </c>
      <c r="Z881" s="7" t="s">
        <v>2883</v>
      </c>
      <c r="AA881" s="7" t="s">
        <v>527</v>
      </c>
      <c r="AB881" s="7">
        <v>0</v>
      </c>
      <c r="AC881" s="7">
        <v>16</v>
      </c>
      <c r="AD881" s="7">
        <v>0</v>
      </c>
      <c r="AE881" s="7">
        <v>0</v>
      </c>
      <c r="AF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P881" s="7">
        <v>0</v>
      </c>
      <c r="AQ881" s="7">
        <v>0</v>
      </c>
      <c r="AR881" s="7">
        <v>0</v>
      </c>
      <c r="AS881" s="7">
        <v>0</v>
      </c>
      <c r="AT881" s="7">
        <v>1</v>
      </c>
      <c r="BE881" s="7">
        <v>240</v>
      </c>
      <c r="BG881" s="7">
        <v>2</v>
      </c>
      <c r="BL881" s="7">
        <v>0</v>
      </c>
    </row>
    <row r="882" spans="1:64" s="7" customFormat="1">
      <c r="A882" s="7">
        <v>1380035</v>
      </c>
      <c r="B882" s="7" t="s">
        <v>2256</v>
      </c>
      <c r="C882" s="7" t="s">
        <v>540</v>
      </c>
      <c r="D882" s="7" t="s">
        <v>550</v>
      </c>
      <c r="E882" s="7">
        <v>35</v>
      </c>
      <c r="F882" s="7" t="s">
        <v>997</v>
      </c>
      <c r="G882" s="7">
        <v>0</v>
      </c>
      <c r="H882" s="7">
        <v>0</v>
      </c>
      <c r="I882" s="7">
        <v>99999</v>
      </c>
      <c r="J882" s="7">
        <v>0</v>
      </c>
      <c r="K882" s="7">
        <v>3</v>
      </c>
      <c r="L882" s="7" t="s">
        <v>1562</v>
      </c>
      <c r="M882" s="7">
        <v>1</v>
      </c>
      <c r="N882" s="7">
        <v>1</v>
      </c>
      <c r="Q882" s="7">
        <v>0</v>
      </c>
      <c r="R882" s="7">
        <v>0</v>
      </c>
      <c r="S882" s="7">
        <v>1</v>
      </c>
      <c r="T882" s="7">
        <v>0</v>
      </c>
      <c r="V882" s="7">
        <v>0</v>
      </c>
      <c r="W882" s="7">
        <v>0</v>
      </c>
      <c r="X882" s="6" t="s">
        <v>2271</v>
      </c>
      <c r="Y882" s="7" t="s">
        <v>1691</v>
      </c>
      <c r="Z882" s="7" t="s">
        <v>2884</v>
      </c>
      <c r="AA882" s="7" t="s">
        <v>527</v>
      </c>
      <c r="AB882" s="7">
        <v>0</v>
      </c>
      <c r="AC882" s="7">
        <v>16</v>
      </c>
      <c r="AD882" s="7">
        <v>0</v>
      </c>
      <c r="AE882" s="7">
        <v>0</v>
      </c>
      <c r="AF882" s="7">
        <v>0</v>
      </c>
      <c r="AI882" s="7">
        <v>0</v>
      </c>
      <c r="AJ882" s="7">
        <v>0</v>
      </c>
      <c r="AK882" s="7">
        <v>0</v>
      </c>
      <c r="AL882" s="7">
        <v>0</v>
      </c>
      <c r="AM882" s="7">
        <v>0</v>
      </c>
      <c r="AN882" s="7">
        <v>0</v>
      </c>
      <c r="AP882" s="7">
        <v>0</v>
      </c>
      <c r="AQ882" s="7">
        <v>0</v>
      </c>
      <c r="AR882" s="7">
        <v>0</v>
      </c>
      <c r="AS882" s="7">
        <v>0</v>
      </c>
      <c r="AT882" s="7">
        <v>1</v>
      </c>
      <c r="BE882" s="7">
        <v>240</v>
      </c>
      <c r="BG882" s="7">
        <v>2</v>
      </c>
      <c r="BL882" s="7">
        <v>0</v>
      </c>
    </row>
    <row r="883" spans="1:64" s="7" customFormat="1">
      <c r="A883" s="7">
        <v>1390011</v>
      </c>
      <c r="B883" s="7" t="s">
        <v>2324</v>
      </c>
      <c r="C883" s="7" t="s">
        <v>540</v>
      </c>
      <c r="D883" s="7" t="s">
        <v>550</v>
      </c>
      <c r="E883" s="7">
        <v>1</v>
      </c>
      <c r="F883" s="7" t="s">
        <v>959</v>
      </c>
      <c r="G883" s="7">
        <v>0</v>
      </c>
      <c r="H883" s="7">
        <v>0</v>
      </c>
      <c r="I883" s="7">
        <v>99999</v>
      </c>
      <c r="J883" s="7">
        <v>0</v>
      </c>
      <c r="K883" s="7">
        <v>3</v>
      </c>
      <c r="L883" s="7" t="s">
        <v>1562</v>
      </c>
      <c r="M883" s="7">
        <v>1</v>
      </c>
      <c r="N883" s="7">
        <v>1</v>
      </c>
      <c r="Q883" s="7">
        <v>0</v>
      </c>
      <c r="R883" s="7">
        <v>0</v>
      </c>
      <c r="S883" s="7">
        <v>1</v>
      </c>
      <c r="T883" s="7">
        <v>0</v>
      </c>
      <c r="V883" s="7">
        <v>0</v>
      </c>
      <c r="W883" s="7">
        <v>0</v>
      </c>
      <c r="X883" s="6" t="s">
        <v>2337</v>
      </c>
      <c r="Y883" s="7" t="s">
        <v>788</v>
      </c>
      <c r="Z883" s="7" t="s">
        <v>2348</v>
      </c>
      <c r="AA883" s="7" t="s">
        <v>527</v>
      </c>
      <c r="AB883" s="7">
        <v>0</v>
      </c>
      <c r="AC883" s="7">
        <v>16</v>
      </c>
      <c r="AD883" s="7">
        <v>0</v>
      </c>
      <c r="AE883" s="7">
        <v>0</v>
      </c>
      <c r="AF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P883" s="7">
        <v>0</v>
      </c>
      <c r="AQ883" s="7">
        <v>1</v>
      </c>
      <c r="AR883" s="7">
        <v>0</v>
      </c>
      <c r="AS883" s="7">
        <v>0</v>
      </c>
      <c r="AT883" s="7">
        <v>1</v>
      </c>
      <c r="BE883" s="7">
        <v>240</v>
      </c>
      <c r="BG883" s="7">
        <v>2</v>
      </c>
      <c r="BL883" s="7">
        <v>0</v>
      </c>
    </row>
    <row r="884" spans="1:64" s="7" customFormat="1">
      <c r="A884" s="7">
        <v>1390012</v>
      </c>
      <c r="B884" s="7" t="s">
        <v>2325</v>
      </c>
      <c r="C884" s="7" t="s">
        <v>540</v>
      </c>
      <c r="D884" s="7" t="s">
        <v>550</v>
      </c>
      <c r="E884" s="7">
        <v>1</v>
      </c>
      <c r="F884" s="7" t="s">
        <v>959</v>
      </c>
      <c r="G884" s="7">
        <v>0</v>
      </c>
      <c r="H884" s="7">
        <v>0</v>
      </c>
      <c r="I884" s="7">
        <v>99999</v>
      </c>
      <c r="J884" s="7">
        <v>0</v>
      </c>
      <c r="K884" s="7">
        <v>3</v>
      </c>
      <c r="L884" s="7" t="s">
        <v>1562</v>
      </c>
      <c r="M884" s="7">
        <v>1</v>
      </c>
      <c r="N884" s="7">
        <v>1</v>
      </c>
      <c r="Q884" s="7">
        <v>0</v>
      </c>
      <c r="R884" s="7">
        <v>0</v>
      </c>
      <c r="S884" s="7">
        <v>1</v>
      </c>
      <c r="T884" s="7">
        <v>0</v>
      </c>
      <c r="V884" s="7">
        <v>0</v>
      </c>
      <c r="W884" s="7">
        <v>0</v>
      </c>
      <c r="X884" s="6" t="s">
        <v>2336</v>
      </c>
      <c r="Y884" s="7" t="s">
        <v>788</v>
      </c>
      <c r="Z884" s="7" t="s">
        <v>2349</v>
      </c>
      <c r="AA884" s="7" t="s">
        <v>527</v>
      </c>
      <c r="AB884" s="7">
        <v>0</v>
      </c>
      <c r="AC884" s="7">
        <v>16</v>
      </c>
      <c r="AD884" s="7">
        <v>0</v>
      </c>
      <c r="AE884" s="7">
        <v>0</v>
      </c>
      <c r="AF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P884" s="7">
        <v>0</v>
      </c>
      <c r="AQ884" s="7">
        <v>1</v>
      </c>
      <c r="AR884" s="7">
        <v>0</v>
      </c>
      <c r="AS884" s="7">
        <v>0</v>
      </c>
      <c r="AT884" s="7">
        <v>1</v>
      </c>
      <c r="BE884" s="7">
        <v>240</v>
      </c>
      <c r="BG884" s="7">
        <v>2</v>
      </c>
      <c r="BL884" s="7">
        <v>0</v>
      </c>
    </row>
    <row r="885" spans="1:64" s="7" customFormat="1">
      <c r="A885" s="7">
        <v>1390013</v>
      </c>
      <c r="B885" s="7" t="s">
        <v>2326</v>
      </c>
      <c r="C885" s="7" t="s">
        <v>540</v>
      </c>
      <c r="D885" s="7" t="s">
        <v>550</v>
      </c>
      <c r="E885" s="7">
        <v>1</v>
      </c>
      <c r="F885" s="7" t="s">
        <v>959</v>
      </c>
      <c r="G885" s="7">
        <v>0</v>
      </c>
      <c r="H885" s="7">
        <v>0</v>
      </c>
      <c r="I885" s="7">
        <v>99999</v>
      </c>
      <c r="J885" s="7">
        <v>0</v>
      </c>
      <c r="K885" s="7">
        <v>3</v>
      </c>
      <c r="L885" s="7" t="s">
        <v>1562</v>
      </c>
      <c r="M885" s="7">
        <v>1</v>
      </c>
      <c r="N885" s="7">
        <v>1</v>
      </c>
      <c r="Q885" s="7">
        <v>0</v>
      </c>
      <c r="R885" s="7">
        <v>0</v>
      </c>
      <c r="S885" s="7">
        <v>1</v>
      </c>
      <c r="T885" s="7">
        <v>0</v>
      </c>
      <c r="V885" s="7">
        <v>0</v>
      </c>
      <c r="W885" s="7">
        <v>0</v>
      </c>
      <c r="X885" s="6" t="s">
        <v>2338</v>
      </c>
      <c r="Y885" s="7" t="s">
        <v>788</v>
      </c>
      <c r="Z885" s="7" t="s">
        <v>2350</v>
      </c>
      <c r="AA885" s="7" t="s">
        <v>527</v>
      </c>
      <c r="AB885" s="7">
        <v>0</v>
      </c>
      <c r="AC885" s="7">
        <v>16</v>
      </c>
      <c r="AD885" s="7">
        <v>0</v>
      </c>
      <c r="AE885" s="7">
        <v>0</v>
      </c>
      <c r="AF885" s="7">
        <v>0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P885" s="7">
        <v>0</v>
      </c>
      <c r="AQ885" s="7">
        <v>1</v>
      </c>
      <c r="AR885" s="7">
        <v>0</v>
      </c>
      <c r="AS885" s="7">
        <v>0</v>
      </c>
      <c r="AT885" s="7">
        <v>1</v>
      </c>
      <c r="BE885" s="7">
        <v>240</v>
      </c>
      <c r="BG885" s="7">
        <v>2</v>
      </c>
      <c r="BL885" s="7">
        <v>0</v>
      </c>
    </row>
    <row r="886" spans="1:64" s="7" customFormat="1">
      <c r="A886" s="7">
        <v>1390021</v>
      </c>
      <c r="B886" s="7" t="s">
        <v>2327</v>
      </c>
      <c r="C886" s="7" t="s">
        <v>540</v>
      </c>
      <c r="D886" s="7" t="s">
        <v>550</v>
      </c>
      <c r="E886" s="7">
        <v>1</v>
      </c>
      <c r="F886" s="7" t="s">
        <v>959</v>
      </c>
      <c r="G886" s="7">
        <v>0</v>
      </c>
      <c r="H886" s="7">
        <v>0</v>
      </c>
      <c r="I886" s="7">
        <v>99999</v>
      </c>
      <c r="J886" s="7">
        <v>0</v>
      </c>
      <c r="K886" s="7">
        <v>3</v>
      </c>
      <c r="L886" s="7" t="s">
        <v>1562</v>
      </c>
      <c r="M886" s="7">
        <v>1</v>
      </c>
      <c r="N886" s="7">
        <v>1</v>
      </c>
      <c r="Q886" s="7">
        <v>0</v>
      </c>
      <c r="R886" s="7">
        <v>0</v>
      </c>
      <c r="S886" s="7">
        <v>1</v>
      </c>
      <c r="T886" s="7">
        <v>0</v>
      </c>
      <c r="V886" s="7">
        <v>0</v>
      </c>
      <c r="W886" s="7">
        <v>0</v>
      </c>
      <c r="X886" s="6" t="s">
        <v>2339</v>
      </c>
      <c r="Y886" s="7" t="s">
        <v>788</v>
      </c>
      <c r="Z886" s="7" t="s">
        <v>2348</v>
      </c>
      <c r="AA886" s="7" t="s">
        <v>527</v>
      </c>
      <c r="AB886" s="7">
        <v>0</v>
      </c>
      <c r="AC886" s="7">
        <v>16</v>
      </c>
      <c r="AD886" s="7">
        <v>0</v>
      </c>
      <c r="AE886" s="7">
        <v>0</v>
      </c>
      <c r="AF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P886" s="7">
        <v>0</v>
      </c>
      <c r="AQ886" s="7">
        <v>1</v>
      </c>
      <c r="AR886" s="7">
        <v>0</v>
      </c>
      <c r="AS886" s="7">
        <v>0</v>
      </c>
      <c r="AT886" s="7">
        <v>1</v>
      </c>
      <c r="BE886" s="7">
        <v>240</v>
      </c>
      <c r="BG886" s="7">
        <v>2</v>
      </c>
      <c r="BL886" s="7">
        <v>0</v>
      </c>
    </row>
    <row r="887" spans="1:64" s="7" customFormat="1">
      <c r="A887" s="7">
        <v>1390022</v>
      </c>
      <c r="B887" s="7" t="s">
        <v>2328</v>
      </c>
      <c r="C887" s="7" t="s">
        <v>540</v>
      </c>
      <c r="D887" s="7" t="s">
        <v>550</v>
      </c>
      <c r="E887" s="7">
        <v>1</v>
      </c>
      <c r="F887" s="7" t="s">
        <v>959</v>
      </c>
      <c r="G887" s="7">
        <v>0</v>
      </c>
      <c r="H887" s="7">
        <v>0</v>
      </c>
      <c r="I887" s="7">
        <v>99999</v>
      </c>
      <c r="J887" s="7">
        <v>0</v>
      </c>
      <c r="K887" s="7">
        <v>3</v>
      </c>
      <c r="L887" s="7" t="s">
        <v>1562</v>
      </c>
      <c r="M887" s="7">
        <v>1</v>
      </c>
      <c r="N887" s="7">
        <v>1</v>
      </c>
      <c r="Q887" s="7">
        <v>0</v>
      </c>
      <c r="R887" s="7">
        <v>0</v>
      </c>
      <c r="S887" s="7">
        <v>1</v>
      </c>
      <c r="T887" s="7">
        <v>0</v>
      </c>
      <c r="V887" s="7">
        <v>0</v>
      </c>
      <c r="W887" s="7">
        <v>0</v>
      </c>
      <c r="X887" s="6" t="s">
        <v>2340</v>
      </c>
      <c r="Y887" s="7" t="s">
        <v>788</v>
      </c>
      <c r="Z887" s="7" t="s">
        <v>2351</v>
      </c>
      <c r="AA887" s="7" t="s">
        <v>527</v>
      </c>
      <c r="AB887" s="7">
        <v>0</v>
      </c>
      <c r="AC887" s="7">
        <v>16</v>
      </c>
      <c r="AD887" s="7">
        <v>0</v>
      </c>
      <c r="AE887" s="7">
        <v>0</v>
      </c>
      <c r="AF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P887" s="7">
        <v>0</v>
      </c>
      <c r="AQ887" s="7">
        <v>1</v>
      </c>
      <c r="AR887" s="7">
        <v>0</v>
      </c>
      <c r="AS887" s="7">
        <v>0</v>
      </c>
      <c r="AT887" s="7">
        <v>1</v>
      </c>
      <c r="BE887" s="7">
        <v>240</v>
      </c>
      <c r="BG887" s="7">
        <v>2</v>
      </c>
      <c r="BL887" s="7">
        <v>0</v>
      </c>
    </row>
    <row r="888" spans="1:64" s="7" customFormat="1">
      <c r="A888" s="7">
        <v>1390023</v>
      </c>
      <c r="B888" s="7" t="s">
        <v>2329</v>
      </c>
      <c r="C888" s="7" t="s">
        <v>540</v>
      </c>
      <c r="D888" s="7" t="s">
        <v>550</v>
      </c>
      <c r="E888" s="7">
        <v>1</v>
      </c>
      <c r="F888" s="7" t="s">
        <v>959</v>
      </c>
      <c r="G888" s="7">
        <v>0</v>
      </c>
      <c r="H888" s="7">
        <v>0</v>
      </c>
      <c r="I888" s="7">
        <v>99999</v>
      </c>
      <c r="J888" s="7">
        <v>0</v>
      </c>
      <c r="K888" s="7">
        <v>3</v>
      </c>
      <c r="L888" s="7" t="s">
        <v>1562</v>
      </c>
      <c r="M888" s="7">
        <v>1</v>
      </c>
      <c r="N888" s="7">
        <v>1</v>
      </c>
      <c r="Q888" s="7">
        <v>0</v>
      </c>
      <c r="R888" s="7">
        <v>0</v>
      </c>
      <c r="S888" s="7">
        <v>1</v>
      </c>
      <c r="T888" s="7">
        <v>0</v>
      </c>
      <c r="V888" s="7">
        <v>0</v>
      </c>
      <c r="W888" s="7">
        <v>0</v>
      </c>
      <c r="X888" s="6" t="s">
        <v>2341</v>
      </c>
      <c r="Y888" s="7" t="s">
        <v>788</v>
      </c>
      <c r="Z888" s="7" t="s">
        <v>2352</v>
      </c>
      <c r="AA888" s="7" t="s">
        <v>527</v>
      </c>
      <c r="AB888" s="7">
        <v>0</v>
      </c>
      <c r="AC888" s="7">
        <v>16</v>
      </c>
      <c r="AD888" s="7">
        <v>0</v>
      </c>
      <c r="AE888" s="7">
        <v>0</v>
      </c>
      <c r="AF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P888" s="7">
        <v>0</v>
      </c>
      <c r="AQ888" s="7">
        <v>1</v>
      </c>
      <c r="AR888" s="7">
        <v>0</v>
      </c>
      <c r="AS888" s="7">
        <v>0</v>
      </c>
      <c r="AT888" s="7">
        <v>1</v>
      </c>
      <c r="BE888" s="7">
        <v>240</v>
      </c>
      <c r="BG888" s="7">
        <v>2</v>
      </c>
      <c r="BL888" s="7">
        <v>0</v>
      </c>
    </row>
    <row r="889" spans="1:64" s="7" customFormat="1">
      <c r="A889" s="7">
        <v>1390031</v>
      </c>
      <c r="B889" s="7" t="s">
        <v>2330</v>
      </c>
      <c r="C889" s="7" t="s">
        <v>540</v>
      </c>
      <c r="D889" s="7" t="s">
        <v>550</v>
      </c>
      <c r="E889" s="7">
        <v>1</v>
      </c>
      <c r="F889" s="7" t="s">
        <v>959</v>
      </c>
      <c r="G889" s="7">
        <v>0</v>
      </c>
      <c r="H889" s="7">
        <v>0</v>
      </c>
      <c r="I889" s="7">
        <v>99999</v>
      </c>
      <c r="J889" s="7">
        <v>0</v>
      </c>
      <c r="K889" s="7">
        <v>3</v>
      </c>
      <c r="L889" s="7" t="s">
        <v>1562</v>
      </c>
      <c r="M889" s="7">
        <v>1</v>
      </c>
      <c r="N889" s="7">
        <v>1</v>
      </c>
      <c r="Q889" s="7">
        <v>0</v>
      </c>
      <c r="R889" s="7">
        <v>0</v>
      </c>
      <c r="S889" s="7">
        <v>1</v>
      </c>
      <c r="T889" s="7">
        <v>0</v>
      </c>
      <c r="V889" s="7">
        <v>0</v>
      </c>
      <c r="W889" s="7">
        <v>0</v>
      </c>
      <c r="X889" s="6" t="s">
        <v>2342</v>
      </c>
      <c r="Y889" s="7" t="s">
        <v>788</v>
      </c>
      <c r="Z889" s="7" t="s">
        <v>2348</v>
      </c>
      <c r="AA889" s="7" t="s">
        <v>527</v>
      </c>
      <c r="AB889" s="7">
        <v>0</v>
      </c>
      <c r="AC889" s="7">
        <v>16</v>
      </c>
      <c r="AD889" s="7">
        <v>0</v>
      </c>
      <c r="AE889" s="7">
        <v>0</v>
      </c>
      <c r="AF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P889" s="7">
        <v>0</v>
      </c>
      <c r="AQ889" s="7">
        <v>1</v>
      </c>
      <c r="AR889" s="7">
        <v>0</v>
      </c>
      <c r="AS889" s="7">
        <v>0</v>
      </c>
      <c r="AT889" s="7">
        <v>1</v>
      </c>
      <c r="BE889" s="7">
        <v>240</v>
      </c>
      <c r="BG889" s="7">
        <v>2</v>
      </c>
      <c r="BL889" s="7">
        <v>0</v>
      </c>
    </row>
    <row r="890" spans="1:64" s="7" customFormat="1">
      <c r="A890" s="7">
        <v>1390032</v>
      </c>
      <c r="B890" s="7" t="s">
        <v>2331</v>
      </c>
      <c r="C890" s="7" t="s">
        <v>540</v>
      </c>
      <c r="D890" s="7" t="s">
        <v>550</v>
      </c>
      <c r="E890" s="7">
        <v>1</v>
      </c>
      <c r="F890" s="7" t="s">
        <v>959</v>
      </c>
      <c r="G890" s="7">
        <v>0</v>
      </c>
      <c r="H890" s="7">
        <v>0</v>
      </c>
      <c r="I890" s="7">
        <v>99999</v>
      </c>
      <c r="J890" s="7">
        <v>0</v>
      </c>
      <c r="K890" s="7">
        <v>3</v>
      </c>
      <c r="L890" s="7" t="s">
        <v>1562</v>
      </c>
      <c r="M890" s="7">
        <v>1</v>
      </c>
      <c r="N890" s="7">
        <v>1</v>
      </c>
      <c r="Q890" s="7">
        <v>0</v>
      </c>
      <c r="R890" s="7">
        <v>0</v>
      </c>
      <c r="S890" s="7">
        <v>1</v>
      </c>
      <c r="T890" s="7">
        <v>0</v>
      </c>
      <c r="V890" s="7">
        <v>0</v>
      </c>
      <c r="W890" s="7">
        <v>0</v>
      </c>
      <c r="X890" s="6" t="s">
        <v>2343</v>
      </c>
      <c r="Y890" s="7" t="s">
        <v>788</v>
      </c>
      <c r="Z890" s="7" t="s">
        <v>2353</v>
      </c>
      <c r="AA890" s="7" t="s">
        <v>527</v>
      </c>
      <c r="AB890" s="7">
        <v>0</v>
      </c>
      <c r="AC890" s="7">
        <v>16</v>
      </c>
      <c r="AD890" s="7">
        <v>0</v>
      </c>
      <c r="AE890" s="7">
        <v>0</v>
      </c>
      <c r="AF890" s="7">
        <v>0</v>
      </c>
      <c r="AI890" s="7">
        <v>0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P890" s="7">
        <v>0</v>
      </c>
      <c r="AQ890" s="7">
        <v>1</v>
      </c>
      <c r="AR890" s="7">
        <v>0</v>
      </c>
      <c r="AS890" s="7">
        <v>0</v>
      </c>
      <c r="AT890" s="7">
        <v>1</v>
      </c>
      <c r="BE890" s="7">
        <v>240</v>
      </c>
      <c r="BG890" s="7">
        <v>2</v>
      </c>
      <c r="BL890" s="7">
        <v>0</v>
      </c>
    </row>
    <row r="891" spans="1:64" s="7" customFormat="1">
      <c r="A891" s="7">
        <v>1390033</v>
      </c>
      <c r="B891" s="7" t="s">
        <v>2332</v>
      </c>
      <c r="C891" s="7" t="s">
        <v>540</v>
      </c>
      <c r="D891" s="7" t="s">
        <v>550</v>
      </c>
      <c r="E891" s="7">
        <v>1</v>
      </c>
      <c r="F891" s="7" t="s">
        <v>959</v>
      </c>
      <c r="G891" s="7">
        <v>0</v>
      </c>
      <c r="H891" s="7">
        <v>0</v>
      </c>
      <c r="I891" s="7">
        <v>99999</v>
      </c>
      <c r="J891" s="7">
        <v>0</v>
      </c>
      <c r="K891" s="7">
        <v>3</v>
      </c>
      <c r="L891" s="7" t="s">
        <v>1562</v>
      </c>
      <c r="M891" s="7">
        <v>1</v>
      </c>
      <c r="N891" s="7">
        <v>1</v>
      </c>
      <c r="Q891" s="7">
        <v>0</v>
      </c>
      <c r="R891" s="7">
        <v>0</v>
      </c>
      <c r="S891" s="7">
        <v>1</v>
      </c>
      <c r="T891" s="7">
        <v>0</v>
      </c>
      <c r="V891" s="7">
        <v>0</v>
      </c>
      <c r="W891" s="7">
        <v>0</v>
      </c>
      <c r="X891" s="6" t="s">
        <v>2344</v>
      </c>
      <c r="Y891" s="7" t="s">
        <v>788</v>
      </c>
      <c r="Z891" s="7" t="s">
        <v>2354</v>
      </c>
      <c r="AA891" s="7" t="s">
        <v>527</v>
      </c>
      <c r="AB891" s="7">
        <v>0</v>
      </c>
      <c r="AC891" s="7">
        <v>16</v>
      </c>
      <c r="AD891" s="7">
        <v>0</v>
      </c>
      <c r="AE891" s="7">
        <v>0</v>
      </c>
      <c r="AF891" s="7">
        <v>0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P891" s="7">
        <v>0</v>
      </c>
      <c r="AQ891" s="7">
        <v>1</v>
      </c>
      <c r="AR891" s="7">
        <v>0</v>
      </c>
      <c r="AS891" s="7">
        <v>0</v>
      </c>
      <c r="AT891" s="7">
        <v>1</v>
      </c>
      <c r="BE891" s="7">
        <v>240</v>
      </c>
      <c r="BG891" s="7">
        <v>2</v>
      </c>
      <c r="BL891" s="7">
        <v>0</v>
      </c>
    </row>
    <row r="892" spans="1:64" s="7" customFormat="1">
      <c r="A892" s="7">
        <v>1390041</v>
      </c>
      <c r="B892" s="7" t="s">
        <v>2333</v>
      </c>
      <c r="C892" s="7" t="s">
        <v>540</v>
      </c>
      <c r="D892" s="7" t="s">
        <v>550</v>
      </c>
      <c r="E892" s="7">
        <v>1</v>
      </c>
      <c r="F892" s="7" t="s">
        <v>959</v>
      </c>
      <c r="G892" s="7">
        <v>0</v>
      </c>
      <c r="H892" s="7">
        <v>0</v>
      </c>
      <c r="I892" s="7">
        <v>99999</v>
      </c>
      <c r="J892" s="7">
        <v>0</v>
      </c>
      <c r="K892" s="7">
        <v>3</v>
      </c>
      <c r="L892" s="7" t="s">
        <v>1562</v>
      </c>
      <c r="M892" s="7">
        <v>1</v>
      </c>
      <c r="N892" s="7">
        <v>1</v>
      </c>
      <c r="Q892" s="7">
        <v>0</v>
      </c>
      <c r="R892" s="7">
        <v>0</v>
      </c>
      <c r="S892" s="7">
        <v>1</v>
      </c>
      <c r="T892" s="7">
        <v>0</v>
      </c>
      <c r="V892" s="7">
        <v>0</v>
      </c>
      <c r="W892" s="7">
        <v>0</v>
      </c>
      <c r="X892" s="6" t="s">
        <v>2345</v>
      </c>
      <c r="Y892" s="7" t="s">
        <v>788</v>
      </c>
      <c r="Z892" s="7" t="s">
        <v>2348</v>
      </c>
      <c r="AA892" s="7" t="s">
        <v>527</v>
      </c>
      <c r="AB892" s="7">
        <v>0</v>
      </c>
      <c r="AC892" s="7">
        <v>16</v>
      </c>
      <c r="AD892" s="7">
        <v>0</v>
      </c>
      <c r="AE892" s="7">
        <v>0</v>
      </c>
      <c r="AF892" s="7">
        <v>0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P892" s="7">
        <v>0</v>
      </c>
      <c r="AQ892" s="7">
        <v>1</v>
      </c>
      <c r="AR892" s="7">
        <v>0</v>
      </c>
      <c r="AS892" s="7">
        <v>0</v>
      </c>
      <c r="AT892" s="7">
        <v>1</v>
      </c>
      <c r="BE892" s="7">
        <v>240</v>
      </c>
      <c r="BG892" s="7">
        <v>2</v>
      </c>
      <c r="BL892" s="7">
        <v>0</v>
      </c>
    </row>
    <row r="893" spans="1:64" s="7" customFormat="1">
      <c r="A893" s="7">
        <v>1390042</v>
      </c>
      <c r="B893" s="7" t="s">
        <v>2334</v>
      </c>
      <c r="C893" s="7" t="s">
        <v>540</v>
      </c>
      <c r="D893" s="7" t="s">
        <v>550</v>
      </c>
      <c r="E893" s="7">
        <v>1</v>
      </c>
      <c r="F893" s="7" t="s">
        <v>959</v>
      </c>
      <c r="G893" s="7">
        <v>0</v>
      </c>
      <c r="H893" s="7">
        <v>0</v>
      </c>
      <c r="I893" s="7">
        <v>99999</v>
      </c>
      <c r="J893" s="7">
        <v>0</v>
      </c>
      <c r="K893" s="7">
        <v>3</v>
      </c>
      <c r="L893" s="7" t="s">
        <v>1562</v>
      </c>
      <c r="M893" s="7">
        <v>1</v>
      </c>
      <c r="N893" s="7">
        <v>1</v>
      </c>
      <c r="Q893" s="7">
        <v>0</v>
      </c>
      <c r="R893" s="7">
        <v>0</v>
      </c>
      <c r="S893" s="7">
        <v>1</v>
      </c>
      <c r="T893" s="7">
        <v>0</v>
      </c>
      <c r="V893" s="7">
        <v>0</v>
      </c>
      <c r="W893" s="7">
        <v>0</v>
      </c>
      <c r="X893" s="6" t="s">
        <v>2346</v>
      </c>
      <c r="Y893" s="7" t="s">
        <v>788</v>
      </c>
      <c r="Z893" s="7" t="s">
        <v>2355</v>
      </c>
      <c r="AA893" s="7" t="s">
        <v>527</v>
      </c>
      <c r="AB893" s="7">
        <v>0</v>
      </c>
      <c r="AC893" s="7">
        <v>16</v>
      </c>
      <c r="AD893" s="7">
        <v>0</v>
      </c>
      <c r="AE893" s="7">
        <v>0</v>
      </c>
      <c r="AF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P893" s="7">
        <v>0</v>
      </c>
      <c r="AQ893" s="7">
        <v>1</v>
      </c>
      <c r="AR893" s="7">
        <v>0</v>
      </c>
      <c r="AS893" s="7">
        <v>0</v>
      </c>
      <c r="AT893" s="7">
        <v>1</v>
      </c>
      <c r="BE893" s="7">
        <v>240</v>
      </c>
      <c r="BG893" s="7">
        <v>2</v>
      </c>
      <c r="BL893" s="7">
        <v>0</v>
      </c>
    </row>
    <row r="894" spans="1:64" s="7" customFormat="1">
      <c r="A894" s="7">
        <v>1390043</v>
      </c>
      <c r="B894" s="7" t="s">
        <v>2335</v>
      </c>
      <c r="C894" s="7" t="s">
        <v>540</v>
      </c>
      <c r="D894" s="7" t="s">
        <v>550</v>
      </c>
      <c r="E894" s="7">
        <v>1</v>
      </c>
      <c r="F894" s="7" t="s">
        <v>959</v>
      </c>
      <c r="G894" s="7">
        <v>0</v>
      </c>
      <c r="H894" s="7">
        <v>0</v>
      </c>
      <c r="I894" s="7">
        <v>99999</v>
      </c>
      <c r="J894" s="7">
        <v>0</v>
      </c>
      <c r="K894" s="7">
        <v>3</v>
      </c>
      <c r="L894" s="7" t="s">
        <v>1562</v>
      </c>
      <c r="M894" s="7">
        <v>1</v>
      </c>
      <c r="N894" s="7">
        <v>1</v>
      </c>
      <c r="Q894" s="7">
        <v>0</v>
      </c>
      <c r="R894" s="7">
        <v>0</v>
      </c>
      <c r="S894" s="7">
        <v>1</v>
      </c>
      <c r="T894" s="7">
        <v>0</v>
      </c>
      <c r="V894" s="7">
        <v>0</v>
      </c>
      <c r="W894" s="7">
        <v>0</v>
      </c>
      <c r="X894" s="6" t="s">
        <v>2347</v>
      </c>
      <c r="Y894" s="7" t="s">
        <v>788</v>
      </c>
      <c r="Z894" s="7" t="s">
        <v>2356</v>
      </c>
      <c r="AA894" s="7" t="s">
        <v>527</v>
      </c>
      <c r="AB894" s="7">
        <v>0</v>
      </c>
      <c r="AC894" s="7">
        <v>16</v>
      </c>
      <c r="AD894" s="7">
        <v>0</v>
      </c>
      <c r="AE894" s="7">
        <v>0</v>
      </c>
      <c r="AF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P894" s="7">
        <v>0</v>
      </c>
      <c r="AQ894" s="7">
        <v>1</v>
      </c>
      <c r="AR894" s="7">
        <v>0</v>
      </c>
      <c r="AS894" s="7">
        <v>0</v>
      </c>
      <c r="AT894" s="7">
        <v>1</v>
      </c>
      <c r="BE894" s="7">
        <v>240</v>
      </c>
      <c r="BG894" s="7">
        <v>2</v>
      </c>
      <c r="BL894" s="7">
        <v>0</v>
      </c>
    </row>
    <row r="895" spans="1:64" s="22" customFormat="1">
      <c r="A895" s="22">
        <v>1410036</v>
      </c>
      <c r="B895" s="22" t="s">
        <v>901</v>
      </c>
      <c r="C895" s="22" t="s">
        <v>540</v>
      </c>
      <c r="D895" s="22" t="s">
        <v>550</v>
      </c>
      <c r="E895" s="22">
        <v>1</v>
      </c>
      <c r="F895" s="22" t="s">
        <v>959</v>
      </c>
      <c r="G895" s="22">
        <v>0</v>
      </c>
      <c r="H895" s="22">
        <v>0</v>
      </c>
      <c r="I895" s="22">
        <v>1</v>
      </c>
      <c r="J895" s="22">
        <v>0</v>
      </c>
      <c r="K895" s="22">
        <v>3</v>
      </c>
      <c r="L895" s="22" t="s">
        <v>1562</v>
      </c>
      <c r="M895" s="22">
        <v>1</v>
      </c>
      <c r="N895" s="23">
        <v>1</v>
      </c>
      <c r="Q895" s="22">
        <v>0</v>
      </c>
      <c r="R895" s="22">
        <v>0</v>
      </c>
      <c r="S895" s="23">
        <v>1</v>
      </c>
      <c r="T895" s="22">
        <v>0</v>
      </c>
      <c r="V895" s="22">
        <v>0</v>
      </c>
      <c r="W895" s="22">
        <v>0</v>
      </c>
      <c r="X895" s="34" t="s">
        <v>902</v>
      </c>
      <c r="Y895" s="22" t="s">
        <v>788</v>
      </c>
      <c r="Z895" s="22" t="s">
        <v>903</v>
      </c>
      <c r="AA895" s="22" t="s">
        <v>527</v>
      </c>
      <c r="AB895" s="22">
        <v>0</v>
      </c>
      <c r="AC895" s="22">
        <v>16</v>
      </c>
      <c r="AD895" s="22">
        <v>0</v>
      </c>
      <c r="AE895" s="22">
        <v>0</v>
      </c>
      <c r="AF895" s="22">
        <v>0</v>
      </c>
      <c r="AI895" s="22">
        <v>0</v>
      </c>
      <c r="AJ895" s="22">
        <v>0</v>
      </c>
      <c r="AK895" s="22">
        <v>0</v>
      </c>
      <c r="AL895" s="22">
        <v>0</v>
      </c>
      <c r="AM895" s="22">
        <v>0</v>
      </c>
      <c r="AN895" s="22">
        <v>0</v>
      </c>
      <c r="AP895" s="22">
        <v>1</v>
      </c>
      <c r="AQ895" s="22">
        <v>1</v>
      </c>
      <c r="AR895" s="22">
        <v>1</v>
      </c>
      <c r="AS895" s="22">
        <v>0</v>
      </c>
      <c r="AT895" s="22">
        <v>1</v>
      </c>
      <c r="AV895" s="23"/>
      <c r="BD895" s="23"/>
      <c r="BE895" s="23">
        <v>240</v>
      </c>
      <c r="BG895" s="22">
        <v>2</v>
      </c>
      <c r="BL895" s="7">
        <v>0</v>
      </c>
    </row>
    <row r="896" spans="1:64" s="22" customFormat="1">
      <c r="A896" s="22">
        <v>1410038</v>
      </c>
      <c r="B896" s="22" t="s">
        <v>904</v>
      </c>
      <c r="C896" s="22" t="s">
        <v>540</v>
      </c>
      <c r="D896" s="22" t="s">
        <v>550</v>
      </c>
      <c r="E896" s="22">
        <v>1</v>
      </c>
      <c r="F896" s="22" t="s">
        <v>959</v>
      </c>
      <c r="G896" s="22">
        <v>0</v>
      </c>
      <c r="H896" s="22">
        <v>0</v>
      </c>
      <c r="I896" s="22">
        <v>1</v>
      </c>
      <c r="J896" s="22">
        <v>0</v>
      </c>
      <c r="K896" s="22">
        <v>3</v>
      </c>
      <c r="L896" s="22" t="s">
        <v>1562</v>
      </c>
      <c r="M896" s="22">
        <v>1</v>
      </c>
      <c r="N896" s="23">
        <v>1</v>
      </c>
      <c r="Q896" s="22">
        <v>0</v>
      </c>
      <c r="R896" s="22">
        <v>0</v>
      </c>
      <c r="S896" s="23">
        <v>1</v>
      </c>
      <c r="T896" s="22">
        <v>0</v>
      </c>
      <c r="V896" s="22">
        <v>0</v>
      </c>
      <c r="W896" s="22">
        <v>0</v>
      </c>
      <c r="X896" s="34" t="s">
        <v>905</v>
      </c>
      <c r="Y896" s="22" t="s">
        <v>788</v>
      </c>
      <c r="Z896" s="22" t="s">
        <v>906</v>
      </c>
      <c r="AA896" s="22" t="s">
        <v>527</v>
      </c>
      <c r="AB896" s="22">
        <v>0</v>
      </c>
      <c r="AC896" s="22">
        <v>16</v>
      </c>
      <c r="AD896" s="22">
        <v>0</v>
      </c>
      <c r="AE896" s="22">
        <v>0</v>
      </c>
      <c r="AF896" s="22">
        <v>0</v>
      </c>
      <c r="AI896" s="22">
        <v>0</v>
      </c>
      <c r="AJ896" s="22">
        <v>0</v>
      </c>
      <c r="AK896" s="22">
        <v>0</v>
      </c>
      <c r="AL896" s="22">
        <v>0</v>
      </c>
      <c r="AM896" s="22">
        <v>0</v>
      </c>
      <c r="AN896" s="22">
        <v>0</v>
      </c>
      <c r="AP896" s="22">
        <v>1</v>
      </c>
      <c r="AQ896" s="22">
        <v>1</v>
      </c>
      <c r="AR896" s="22">
        <v>1</v>
      </c>
      <c r="AS896" s="22">
        <v>0</v>
      </c>
      <c r="AT896" s="22">
        <v>1</v>
      </c>
      <c r="AV896" s="23"/>
      <c r="BD896" s="23"/>
      <c r="BE896" s="23">
        <v>240</v>
      </c>
      <c r="BG896" s="22">
        <v>2</v>
      </c>
      <c r="BL896" s="7">
        <v>0</v>
      </c>
    </row>
    <row r="897" spans="1:64" s="22" customFormat="1">
      <c r="A897" s="22">
        <v>1410052</v>
      </c>
      <c r="B897" s="22" t="s">
        <v>907</v>
      </c>
      <c r="C897" s="22" t="s">
        <v>540</v>
      </c>
      <c r="D897" s="22" t="s">
        <v>550</v>
      </c>
      <c r="E897" s="22">
        <v>1</v>
      </c>
      <c r="F897" s="22" t="s">
        <v>959</v>
      </c>
      <c r="G897" s="22">
        <v>0</v>
      </c>
      <c r="H897" s="22">
        <v>0</v>
      </c>
      <c r="I897" s="22">
        <v>1</v>
      </c>
      <c r="J897" s="22">
        <v>0</v>
      </c>
      <c r="K897" s="22">
        <v>3</v>
      </c>
      <c r="L897" s="22" t="s">
        <v>1562</v>
      </c>
      <c r="M897" s="22">
        <v>1</v>
      </c>
      <c r="N897" s="23">
        <v>1</v>
      </c>
      <c r="Q897" s="22">
        <v>0</v>
      </c>
      <c r="R897" s="22">
        <v>0</v>
      </c>
      <c r="S897" s="23">
        <v>1</v>
      </c>
      <c r="T897" s="22">
        <v>0</v>
      </c>
      <c r="V897" s="22">
        <v>0</v>
      </c>
      <c r="W897" s="22">
        <v>0</v>
      </c>
      <c r="X897" s="34" t="s">
        <v>908</v>
      </c>
      <c r="Y897" s="22" t="s">
        <v>788</v>
      </c>
      <c r="Z897" s="22" t="s">
        <v>909</v>
      </c>
      <c r="AA897" s="22" t="s">
        <v>527</v>
      </c>
      <c r="AB897" s="22">
        <v>0</v>
      </c>
      <c r="AC897" s="22">
        <v>16</v>
      </c>
      <c r="AD897" s="22">
        <v>0</v>
      </c>
      <c r="AE897" s="22">
        <v>0</v>
      </c>
      <c r="AF897" s="22">
        <v>0</v>
      </c>
      <c r="AI897" s="22">
        <v>0</v>
      </c>
      <c r="AJ897" s="22">
        <v>0</v>
      </c>
      <c r="AK897" s="22">
        <v>0</v>
      </c>
      <c r="AL897" s="22">
        <v>0</v>
      </c>
      <c r="AM897" s="22">
        <v>0</v>
      </c>
      <c r="AN897" s="22">
        <v>0</v>
      </c>
      <c r="AP897" s="22">
        <v>1</v>
      </c>
      <c r="AQ897" s="22">
        <v>1</v>
      </c>
      <c r="AR897" s="22">
        <v>1</v>
      </c>
      <c r="AS897" s="22">
        <v>0</v>
      </c>
      <c r="AT897" s="22">
        <v>1</v>
      </c>
      <c r="AV897" s="23"/>
      <c r="BD897" s="23"/>
      <c r="BE897" s="23">
        <v>240</v>
      </c>
      <c r="BG897" s="22">
        <v>2</v>
      </c>
      <c r="BL897" s="7">
        <v>0</v>
      </c>
    </row>
    <row r="898" spans="1:64" s="22" customFormat="1">
      <c r="A898" s="22">
        <v>1410093</v>
      </c>
      <c r="B898" s="22" t="s">
        <v>1272</v>
      </c>
      <c r="C898" s="22" t="s">
        <v>540</v>
      </c>
      <c r="D898" s="22" t="s">
        <v>550</v>
      </c>
      <c r="E898" s="22">
        <v>1</v>
      </c>
      <c r="F898" s="22" t="s">
        <v>959</v>
      </c>
      <c r="G898" s="22">
        <v>0</v>
      </c>
      <c r="H898" s="22">
        <v>0</v>
      </c>
      <c r="I898" s="22">
        <v>1</v>
      </c>
      <c r="J898" s="22">
        <v>0</v>
      </c>
      <c r="K898" s="22">
        <v>3</v>
      </c>
      <c r="L898" s="22" t="s">
        <v>1562</v>
      </c>
      <c r="M898" s="22">
        <v>1</v>
      </c>
      <c r="N898" s="22">
        <v>1</v>
      </c>
      <c r="Q898" s="22">
        <v>0</v>
      </c>
      <c r="R898" s="22">
        <v>0</v>
      </c>
      <c r="S898" s="22">
        <v>1</v>
      </c>
      <c r="T898" s="22">
        <v>0</v>
      </c>
      <c r="V898" s="22">
        <v>0</v>
      </c>
      <c r="W898" s="22">
        <v>0</v>
      </c>
      <c r="X898" s="34" t="s">
        <v>1273</v>
      </c>
      <c r="Y898" s="22" t="s">
        <v>788</v>
      </c>
      <c r="Z898" s="22" t="s">
        <v>1307</v>
      </c>
      <c r="AA898" s="22" t="s">
        <v>527</v>
      </c>
      <c r="AB898" s="22">
        <v>0</v>
      </c>
      <c r="AC898" s="22">
        <v>16</v>
      </c>
      <c r="AD898" s="22">
        <v>0</v>
      </c>
      <c r="AE898" s="22">
        <v>0</v>
      </c>
      <c r="AF898" s="22">
        <v>0</v>
      </c>
      <c r="AI898" s="22">
        <v>0</v>
      </c>
      <c r="AJ898" s="22">
        <v>0</v>
      </c>
      <c r="AK898" s="22">
        <v>0</v>
      </c>
      <c r="AL898" s="22">
        <v>0</v>
      </c>
      <c r="AM898" s="22">
        <v>0</v>
      </c>
      <c r="AN898" s="22">
        <v>0</v>
      </c>
      <c r="AP898" s="22">
        <v>1</v>
      </c>
      <c r="AQ898" s="22">
        <v>1</v>
      </c>
      <c r="AR898" s="22">
        <v>1</v>
      </c>
      <c r="AS898" s="22">
        <v>0</v>
      </c>
      <c r="AT898" s="22">
        <v>1</v>
      </c>
      <c r="BE898" s="22">
        <v>240</v>
      </c>
      <c r="BG898" s="22">
        <v>2</v>
      </c>
      <c r="BL898" s="7">
        <v>0</v>
      </c>
    </row>
    <row r="899" spans="1:64" s="22" customFormat="1">
      <c r="A899" s="22">
        <v>1410094</v>
      </c>
      <c r="B899" s="22" t="s">
        <v>2976</v>
      </c>
      <c r="C899" s="22" t="s">
        <v>540</v>
      </c>
      <c r="D899" s="22" t="s">
        <v>550</v>
      </c>
      <c r="E899" s="22">
        <v>1</v>
      </c>
      <c r="F899" s="22" t="s">
        <v>959</v>
      </c>
      <c r="G899" s="22">
        <v>0</v>
      </c>
      <c r="H899" s="22">
        <v>0</v>
      </c>
      <c r="I899" s="22">
        <v>1</v>
      </c>
      <c r="J899" s="22">
        <v>0</v>
      </c>
      <c r="K899" s="22">
        <v>3</v>
      </c>
      <c r="L899" s="22" t="s">
        <v>1562</v>
      </c>
      <c r="M899" s="22">
        <v>1</v>
      </c>
      <c r="N899" s="23">
        <v>1</v>
      </c>
      <c r="Q899" s="22">
        <v>0</v>
      </c>
      <c r="R899" s="22">
        <v>0</v>
      </c>
      <c r="S899" s="23">
        <v>1</v>
      </c>
      <c r="T899" s="22">
        <v>0</v>
      </c>
      <c r="V899" s="22">
        <v>0</v>
      </c>
      <c r="W899" s="22">
        <v>0</v>
      </c>
      <c r="X899" s="34" t="s">
        <v>2974</v>
      </c>
      <c r="Y899" s="22" t="s">
        <v>3052</v>
      </c>
      <c r="Z899" s="22" t="s">
        <v>3020</v>
      </c>
      <c r="AA899" s="22" t="s">
        <v>527</v>
      </c>
      <c r="AB899" s="22">
        <v>0</v>
      </c>
      <c r="AC899" s="22">
        <v>16</v>
      </c>
      <c r="AD899" s="22">
        <v>0</v>
      </c>
      <c r="AE899" s="22">
        <v>0</v>
      </c>
      <c r="AF899" s="22">
        <v>0</v>
      </c>
      <c r="AI899" s="22">
        <v>0</v>
      </c>
      <c r="AJ899" s="22">
        <v>0</v>
      </c>
      <c r="AK899" s="22">
        <v>0</v>
      </c>
      <c r="AL899" s="22">
        <v>0</v>
      </c>
      <c r="AM899" s="22">
        <v>0</v>
      </c>
      <c r="AN899" s="22">
        <v>0</v>
      </c>
      <c r="AP899" s="22">
        <v>1</v>
      </c>
      <c r="AQ899" s="22">
        <v>1</v>
      </c>
      <c r="AR899" s="22">
        <v>1</v>
      </c>
      <c r="AS899" s="22">
        <v>0</v>
      </c>
      <c r="AT899" s="22">
        <v>1</v>
      </c>
      <c r="AV899" s="23"/>
      <c r="BD899" s="23"/>
      <c r="BE899" s="23">
        <v>240</v>
      </c>
      <c r="BG899" s="22">
        <v>2</v>
      </c>
      <c r="BL899" s="7">
        <v>0</v>
      </c>
    </row>
    <row r="900" spans="1:64" s="22" customFormat="1">
      <c r="A900" s="22">
        <v>1410095</v>
      </c>
      <c r="B900" s="22" t="s">
        <v>2973</v>
      </c>
      <c r="C900" s="22" t="s">
        <v>540</v>
      </c>
      <c r="D900" s="22" t="s">
        <v>550</v>
      </c>
      <c r="E900" s="22">
        <v>1</v>
      </c>
      <c r="F900" s="22" t="s">
        <v>959</v>
      </c>
      <c r="G900" s="22">
        <v>0</v>
      </c>
      <c r="H900" s="22">
        <v>0</v>
      </c>
      <c r="I900" s="22">
        <v>1</v>
      </c>
      <c r="J900" s="22">
        <v>0</v>
      </c>
      <c r="K900" s="22">
        <v>3</v>
      </c>
      <c r="L900" s="22" t="s">
        <v>1562</v>
      </c>
      <c r="M900" s="22">
        <v>1</v>
      </c>
      <c r="N900" s="23">
        <v>1</v>
      </c>
      <c r="Q900" s="22">
        <v>0</v>
      </c>
      <c r="R900" s="22">
        <v>0</v>
      </c>
      <c r="S900" s="23">
        <v>1</v>
      </c>
      <c r="T900" s="22">
        <v>0</v>
      </c>
      <c r="V900" s="22">
        <v>0</v>
      </c>
      <c r="W900" s="22">
        <v>0</v>
      </c>
      <c r="X900" s="34" t="s">
        <v>2975</v>
      </c>
      <c r="Y900" s="22" t="s">
        <v>3051</v>
      </c>
      <c r="Z900" s="22" t="s">
        <v>3021</v>
      </c>
      <c r="AA900" s="22" t="s">
        <v>527</v>
      </c>
      <c r="AB900" s="22">
        <v>0</v>
      </c>
      <c r="AC900" s="22">
        <v>16</v>
      </c>
      <c r="AD900" s="22">
        <v>0</v>
      </c>
      <c r="AE900" s="22">
        <v>0</v>
      </c>
      <c r="AF900" s="22">
        <v>0</v>
      </c>
      <c r="AI900" s="22">
        <v>0</v>
      </c>
      <c r="AJ900" s="22">
        <v>0</v>
      </c>
      <c r="AK900" s="22">
        <v>0</v>
      </c>
      <c r="AL900" s="22">
        <v>0</v>
      </c>
      <c r="AM900" s="22">
        <v>0</v>
      </c>
      <c r="AN900" s="22">
        <v>0</v>
      </c>
      <c r="AP900" s="22">
        <v>1</v>
      </c>
      <c r="AQ900" s="22">
        <v>1</v>
      </c>
      <c r="AR900" s="22">
        <v>1</v>
      </c>
      <c r="AS900" s="22">
        <v>0</v>
      </c>
      <c r="AT900" s="22">
        <v>1</v>
      </c>
      <c r="AV900" s="23"/>
      <c r="BD900" s="23"/>
      <c r="BE900" s="23">
        <v>240</v>
      </c>
      <c r="BG900" s="22">
        <v>2</v>
      </c>
      <c r="BL900" s="7">
        <v>0</v>
      </c>
    </row>
    <row r="901" spans="1:64" s="22" customFormat="1">
      <c r="A901" s="22">
        <v>1410096</v>
      </c>
      <c r="B901" s="22" t="s">
        <v>3222</v>
      </c>
      <c r="C901" s="22" t="s">
        <v>540</v>
      </c>
      <c r="D901" s="22" t="s">
        <v>550</v>
      </c>
      <c r="E901" s="22">
        <v>1</v>
      </c>
      <c r="F901" s="22" t="s">
        <v>959</v>
      </c>
      <c r="G901" s="22">
        <v>0</v>
      </c>
      <c r="H901" s="22">
        <v>0</v>
      </c>
      <c r="I901" s="22">
        <v>1</v>
      </c>
      <c r="J901" s="22">
        <v>0</v>
      </c>
      <c r="K901" s="22">
        <v>3</v>
      </c>
      <c r="L901" s="22" t="s">
        <v>1562</v>
      </c>
      <c r="M901" s="22">
        <v>1</v>
      </c>
      <c r="N901" s="23">
        <v>1</v>
      </c>
      <c r="Q901" s="22">
        <v>0</v>
      </c>
      <c r="R901" s="22">
        <v>0</v>
      </c>
      <c r="S901" s="23">
        <v>1</v>
      </c>
      <c r="T901" s="22">
        <v>0</v>
      </c>
      <c r="V901" s="22">
        <v>0</v>
      </c>
      <c r="W901" s="22">
        <v>0</v>
      </c>
      <c r="X901" s="34" t="s">
        <v>3225</v>
      </c>
      <c r="Y901" s="22" t="s">
        <v>3229</v>
      </c>
      <c r="Z901" s="22" t="s">
        <v>3224</v>
      </c>
      <c r="AA901" s="22" t="s">
        <v>527</v>
      </c>
      <c r="AB901" s="22">
        <v>0</v>
      </c>
      <c r="AC901" s="22">
        <v>16</v>
      </c>
      <c r="AD901" s="22">
        <v>0</v>
      </c>
      <c r="AE901" s="22">
        <v>0</v>
      </c>
      <c r="AF901" s="22">
        <v>0</v>
      </c>
      <c r="AI901" s="22">
        <v>0</v>
      </c>
      <c r="AJ901" s="22">
        <v>0</v>
      </c>
      <c r="AK901" s="22">
        <v>0</v>
      </c>
      <c r="AL901" s="22">
        <v>0</v>
      </c>
      <c r="AM901" s="22">
        <v>0</v>
      </c>
      <c r="AN901" s="22">
        <v>0</v>
      </c>
      <c r="AP901" s="22">
        <v>1</v>
      </c>
      <c r="AQ901" s="22">
        <v>1</v>
      </c>
      <c r="AR901" s="22">
        <v>1</v>
      </c>
      <c r="AS901" s="22">
        <v>0</v>
      </c>
      <c r="AT901" s="22">
        <v>1</v>
      </c>
      <c r="AV901" s="23"/>
      <c r="BD901" s="23"/>
      <c r="BE901" s="23">
        <v>240</v>
      </c>
      <c r="BG901" s="22">
        <v>2</v>
      </c>
      <c r="BL901" s="7">
        <v>0</v>
      </c>
    </row>
    <row r="902" spans="1:64" s="22" customFormat="1">
      <c r="A902" s="22">
        <v>1410097</v>
      </c>
      <c r="B902" s="22" t="s">
        <v>3223</v>
      </c>
      <c r="C902" s="22" t="s">
        <v>540</v>
      </c>
      <c r="D902" s="22" t="s">
        <v>550</v>
      </c>
      <c r="E902" s="22">
        <v>1</v>
      </c>
      <c r="F902" s="22" t="s">
        <v>959</v>
      </c>
      <c r="G902" s="22">
        <v>0</v>
      </c>
      <c r="H902" s="22">
        <v>0</v>
      </c>
      <c r="I902" s="22">
        <v>1</v>
      </c>
      <c r="J902" s="22">
        <v>0</v>
      </c>
      <c r="K902" s="22">
        <v>3</v>
      </c>
      <c r="L902" s="22" t="s">
        <v>1562</v>
      </c>
      <c r="M902" s="22">
        <v>1</v>
      </c>
      <c r="N902" s="23">
        <v>1</v>
      </c>
      <c r="Q902" s="22">
        <v>0</v>
      </c>
      <c r="R902" s="22">
        <v>0</v>
      </c>
      <c r="S902" s="23">
        <v>1</v>
      </c>
      <c r="T902" s="22">
        <v>0</v>
      </c>
      <c r="V902" s="22">
        <v>0</v>
      </c>
      <c r="W902" s="22">
        <v>0</v>
      </c>
      <c r="X902" s="34" t="s">
        <v>3226</v>
      </c>
      <c r="Y902" s="22" t="s">
        <v>3228</v>
      </c>
      <c r="Z902" s="22" t="s">
        <v>3227</v>
      </c>
      <c r="AA902" s="22" t="s">
        <v>527</v>
      </c>
      <c r="AB902" s="22">
        <v>0</v>
      </c>
      <c r="AC902" s="22">
        <v>16</v>
      </c>
      <c r="AD902" s="22">
        <v>0</v>
      </c>
      <c r="AE902" s="22">
        <v>0</v>
      </c>
      <c r="AF902" s="22">
        <v>0</v>
      </c>
      <c r="AI902" s="22">
        <v>0</v>
      </c>
      <c r="AJ902" s="22">
        <v>0</v>
      </c>
      <c r="AK902" s="22">
        <v>0</v>
      </c>
      <c r="AL902" s="22">
        <v>0</v>
      </c>
      <c r="AM902" s="22">
        <v>0</v>
      </c>
      <c r="AN902" s="22">
        <v>0</v>
      </c>
      <c r="AP902" s="22">
        <v>1</v>
      </c>
      <c r="AQ902" s="22">
        <v>1</v>
      </c>
      <c r="AR902" s="22">
        <v>1</v>
      </c>
      <c r="AS902" s="22">
        <v>0</v>
      </c>
      <c r="AT902" s="22">
        <v>1</v>
      </c>
      <c r="AV902" s="23"/>
      <c r="BD902" s="23"/>
      <c r="BE902" s="23">
        <v>240</v>
      </c>
      <c r="BG902" s="22">
        <v>2</v>
      </c>
      <c r="BL902" s="7">
        <v>0</v>
      </c>
    </row>
    <row r="903" spans="1:64" s="22" customFormat="1">
      <c r="A903" s="22">
        <v>1410098</v>
      </c>
      <c r="B903" s="22" t="s">
        <v>3257</v>
      </c>
      <c r="C903" s="22" t="s">
        <v>540</v>
      </c>
      <c r="D903" s="22" t="s">
        <v>550</v>
      </c>
      <c r="E903" s="22">
        <v>1</v>
      </c>
      <c r="F903" s="22" t="s">
        <v>959</v>
      </c>
      <c r="G903" s="22">
        <v>0</v>
      </c>
      <c r="H903" s="22">
        <v>0</v>
      </c>
      <c r="I903" s="22">
        <v>1</v>
      </c>
      <c r="J903" s="22">
        <v>0</v>
      </c>
      <c r="K903" s="22">
        <v>3</v>
      </c>
      <c r="L903" s="22" t="s">
        <v>1562</v>
      </c>
      <c r="M903" s="22">
        <v>1</v>
      </c>
      <c r="N903" s="23">
        <v>1</v>
      </c>
      <c r="Q903" s="22">
        <v>0</v>
      </c>
      <c r="R903" s="22">
        <v>0</v>
      </c>
      <c r="S903" s="23">
        <v>1</v>
      </c>
      <c r="T903" s="22">
        <v>0</v>
      </c>
      <c r="V903" s="22">
        <v>0</v>
      </c>
      <c r="W903" s="22">
        <v>0</v>
      </c>
      <c r="X903" s="34" t="s">
        <v>3267</v>
      </c>
      <c r="Y903" s="22" t="s">
        <v>3278</v>
      </c>
      <c r="Z903" s="22" t="s">
        <v>3258</v>
      </c>
      <c r="AA903" s="22" t="s">
        <v>527</v>
      </c>
      <c r="AB903" s="22">
        <v>0</v>
      </c>
      <c r="AC903" s="22">
        <v>16</v>
      </c>
      <c r="AD903" s="22">
        <v>0</v>
      </c>
      <c r="AE903" s="22">
        <v>0</v>
      </c>
      <c r="AF903" s="22">
        <v>0</v>
      </c>
      <c r="AI903" s="22">
        <v>0</v>
      </c>
      <c r="AJ903" s="22">
        <v>0</v>
      </c>
      <c r="AK903" s="22">
        <v>0</v>
      </c>
      <c r="AL903" s="22">
        <v>0</v>
      </c>
      <c r="AM903" s="22">
        <v>0</v>
      </c>
      <c r="AN903" s="22">
        <v>0</v>
      </c>
      <c r="AP903" s="22">
        <v>1</v>
      </c>
      <c r="AQ903" s="22">
        <v>1</v>
      </c>
      <c r="AR903" s="22">
        <v>1</v>
      </c>
      <c r="AS903" s="22">
        <v>0</v>
      </c>
      <c r="AT903" s="22">
        <v>1</v>
      </c>
      <c r="AV903" s="23"/>
      <c r="BD903" s="23"/>
      <c r="BE903" s="23">
        <v>240</v>
      </c>
      <c r="BG903" s="22">
        <v>2</v>
      </c>
      <c r="BL903" s="7">
        <v>0</v>
      </c>
    </row>
    <row r="904" spans="1:64" s="7" customFormat="1">
      <c r="A904" s="7">
        <v>1500001</v>
      </c>
      <c r="B904" s="7" t="s">
        <v>3263</v>
      </c>
      <c r="C904" s="7" t="s">
        <v>540</v>
      </c>
      <c r="D904" s="7" t="s">
        <v>550</v>
      </c>
      <c r="E904" s="7">
        <v>1</v>
      </c>
      <c r="F904" s="7" t="s">
        <v>959</v>
      </c>
      <c r="G904" s="7">
        <v>0</v>
      </c>
      <c r="H904" s="7">
        <v>0</v>
      </c>
      <c r="I904" s="7">
        <v>99999</v>
      </c>
      <c r="J904" s="7">
        <v>0</v>
      </c>
      <c r="K904" s="7">
        <v>3</v>
      </c>
      <c r="L904" s="7" t="s">
        <v>1562</v>
      </c>
      <c r="M904" s="7">
        <v>1</v>
      </c>
      <c r="N904" s="7">
        <v>1</v>
      </c>
      <c r="Q904" s="7">
        <v>0</v>
      </c>
      <c r="R904" s="7">
        <v>0</v>
      </c>
      <c r="S904" s="7">
        <v>1</v>
      </c>
      <c r="T904" s="7">
        <v>0</v>
      </c>
      <c r="V904" s="7">
        <v>0</v>
      </c>
      <c r="W904" s="7">
        <v>0</v>
      </c>
      <c r="X904" s="6"/>
      <c r="Y904" s="7" t="s">
        <v>1677</v>
      </c>
      <c r="Z904" s="7" t="s">
        <v>2911</v>
      </c>
      <c r="AA904" s="7" t="s">
        <v>527</v>
      </c>
      <c r="AB904" s="7">
        <v>0</v>
      </c>
      <c r="AC904" s="7">
        <v>16</v>
      </c>
      <c r="AD904" s="7">
        <v>0</v>
      </c>
      <c r="AE904" s="7">
        <v>0</v>
      </c>
      <c r="AF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P904" s="7">
        <v>1</v>
      </c>
      <c r="AQ904" s="7">
        <v>1</v>
      </c>
      <c r="AR904" s="7">
        <v>1</v>
      </c>
      <c r="AS904" s="7">
        <v>0</v>
      </c>
      <c r="AT904" s="7">
        <v>1</v>
      </c>
      <c r="BE904" s="7">
        <v>240</v>
      </c>
      <c r="BG904" s="7">
        <v>2</v>
      </c>
      <c r="BL904" s="7">
        <v>0</v>
      </c>
    </row>
    <row r="905" spans="1:64" s="7" customFormat="1">
      <c r="A905" s="7">
        <v>1500002</v>
      </c>
      <c r="B905" s="7" t="s">
        <v>3264</v>
      </c>
      <c r="C905" s="7" t="s">
        <v>540</v>
      </c>
      <c r="D905" s="7" t="s">
        <v>550</v>
      </c>
      <c r="E905" s="7">
        <v>1</v>
      </c>
      <c r="F905" s="7" t="s">
        <v>959</v>
      </c>
      <c r="G905" s="7">
        <v>0</v>
      </c>
      <c r="H905" s="7">
        <v>0</v>
      </c>
      <c r="I905" s="7">
        <v>99999</v>
      </c>
      <c r="J905" s="7">
        <v>0</v>
      </c>
      <c r="K905" s="7">
        <v>0</v>
      </c>
      <c r="L905" s="7" t="s">
        <v>1562</v>
      </c>
      <c r="M905" s="7">
        <v>300</v>
      </c>
      <c r="N905" s="7">
        <v>1</v>
      </c>
      <c r="Q905" s="7">
        <v>0</v>
      </c>
      <c r="R905" s="7">
        <v>0</v>
      </c>
      <c r="S905" s="7">
        <v>1</v>
      </c>
      <c r="T905" s="7">
        <v>0</v>
      </c>
      <c r="V905" s="7">
        <v>0</v>
      </c>
      <c r="W905" s="7">
        <v>0</v>
      </c>
      <c r="X905" s="6"/>
      <c r="Y905" s="7" t="s">
        <v>1678</v>
      </c>
      <c r="Z905" s="7" t="s">
        <v>2885</v>
      </c>
      <c r="AA905" s="7" t="s">
        <v>527</v>
      </c>
      <c r="AB905" s="7">
        <v>0</v>
      </c>
      <c r="AC905" s="7">
        <v>16</v>
      </c>
      <c r="AD905" s="7">
        <v>0</v>
      </c>
      <c r="AE905" s="7">
        <v>0</v>
      </c>
      <c r="AF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P905" s="7">
        <v>1</v>
      </c>
      <c r="AQ905" s="7">
        <v>1</v>
      </c>
      <c r="AR905" s="7">
        <v>0</v>
      </c>
      <c r="AS905" s="7">
        <v>0</v>
      </c>
      <c r="AT905" s="7">
        <v>1</v>
      </c>
      <c r="BE905" s="7">
        <v>240</v>
      </c>
      <c r="BG905" s="7">
        <v>2</v>
      </c>
      <c r="BL905" s="7">
        <v>0</v>
      </c>
    </row>
    <row r="906" spans="1:64" s="7" customFormat="1">
      <c r="A906" s="7">
        <v>1500003</v>
      </c>
      <c r="B906" s="7" t="s">
        <v>2272</v>
      </c>
      <c r="C906" s="7" t="s">
        <v>540</v>
      </c>
      <c r="D906" s="7" t="s">
        <v>550</v>
      </c>
      <c r="E906" s="7">
        <v>1</v>
      </c>
      <c r="F906" s="7" t="s">
        <v>959</v>
      </c>
      <c r="G906" s="7">
        <v>0</v>
      </c>
      <c r="H906" s="7">
        <v>0</v>
      </c>
      <c r="I906" s="7">
        <v>99999</v>
      </c>
      <c r="J906" s="7">
        <v>0</v>
      </c>
      <c r="K906" s="7">
        <v>3</v>
      </c>
      <c r="L906" s="7" t="s">
        <v>1562</v>
      </c>
      <c r="M906" s="7">
        <v>1</v>
      </c>
      <c r="N906" s="7">
        <v>1</v>
      </c>
      <c r="Q906" s="7">
        <v>0</v>
      </c>
      <c r="R906" s="7">
        <v>0</v>
      </c>
      <c r="S906" s="7">
        <v>1</v>
      </c>
      <c r="T906" s="7">
        <v>0</v>
      </c>
      <c r="V906" s="7">
        <v>0</v>
      </c>
      <c r="W906" s="7">
        <v>0</v>
      </c>
      <c r="X906" s="6" t="s">
        <v>2274</v>
      </c>
      <c r="Y906" s="7" t="s">
        <v>1678</v>
      </c>
      <c r="Z906" s="7" t="s">
        <v>2886</v>
      </c>
      <c r="AA906" s="7" t="s">
        <v>527</v>
      </c>
      <c r="AB906" s="7">
        <v>0</v>
      </c>
      <c r="AC906" s="7">
        <v>16</v>
      </c>
      <c r="AD906" s="7">
        <v>0</v>
      </c>
      <c r="AE906" s="7">
        <v>0</v>
      </c>
      <c r="AF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P906" s="7">
        <v>1</v>
      </c>
      <c r="AQ906" s="7">
        <v>1</v>
      </c>
      <c r="AR906" s="7">
        <v>0</v>
      </c>
      <c r="AS906" s="7">
        <v>0</v>
      </c>
      <c r="AT906" s="7">
        <v>1</v>
      </c>
      <c r="BE906" s="7">
        <v>240</v>
      </c>
      <c r="BG906" s="7">
        <v>2</v>
      </c>
      <c r="BL906" s="7">
        <v>0</v>
      </c>
    </row>
    <row r="907" spans="1:64" s="7" customFormat="1">
      <c r="A907" s="7">
        <v>1500004</v>
      </c>
      <c r="B907" s="7" t="s">
        <v>2273</v>
      </c>
      <c r="C907" s="7" t="s">
        <v>540</v>
      </c>
      <c r="D907" s="7" t="s">
        <v>550</v>
      </c>
      <c r="E907" s="7">
        <v>1</v>
      </c>
      <c r="F907" s="7" t="s">
        <v>959</v>
      </c>
      <c r="G907" s="7">
        <v>0</v>
      </c>
      <c r="H907" s="7">
        <v>0</v>
      </c>
      <c r="I907" s="7">
        <v>99999</v>
      </c>
      <c r="J907" s="7">
        <v>0</v>
      </c>
      <c r="K907" s="7">
        <v>3</v>
      </c>
      <c r="L907" s="7" t="s">
        <v>1562</v>
      </c>
      <c r="M907" s="7">
        <v>1</v>
      </c>
      <c r="N907" s="7">
        <v>1</v>
      </c>
      <c r="Q907" s="7">
        <v>0</v>
      </c>
      <c r="R907" s="7">
        <v>0</v>
      </c>
      <c r="S907" s="7">
        <v>1</v>
      </c>
      <c r="T907" s="7">
        <v>0</v>
      </c>
      <c r="V907" s="7">
        <v>0</v>
      </c>
      <c r="W907" s="7">
        <v>0</v>
      </c>
      <c r="X907" s="6" t="s">
        <v>2275</v>
      </c>
      <c r="Y907" s="7" t="s">
        <v>1678</v>
      </c>
      <c r="Z907" s="7" t="s">
        <v>2887</v>
      </c>
      <c r="AA907" s="7" t="s">
        <v>527</v>
      </c>
      <c r="AB907" s="7">
        <v>0</v>
      </c>
      <c r="AC907" s="7">
        <v>16</v>
      </c>
      <c r="AD907" s="7">
        <v>0</v>
      </c>
      <c r="AE907" s="7">
        <v>0</v>
      </c>
      <c r="AF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P907" s="7">
        <v>1</v>
      </c>
      <c r="AQ907" s="7">
        <v>1</v>
      </c>
      <c r="AR907" s="7">
        <v>0</v>
      </c>
      <c r="AS907" s="7">
        <v>0</v>
      </c>
      <c r="AT907" s="7">
        <v>1</v>
      </c>
      <c r="BE907" s="7">
        <v>240</v>
      </c>
      <c r="BG907" s="7">
        <v>2</v>
      </c>
      <c r="BL907" s="7">
        <v>0</v>
      </c>
    </row>
    <row r="908" spans="1:64" s="7" customFormat="1">
      <c r="A908" s="7">
        <v>1500005</v>
      </c>
      <c r="B908" s="7" t="s">
        <v>2276</v>
      </c>
      <c r="C908" s="7" t="s">
        <v>540</v>
      </c>
      <c r="D908" s="7" t="s">
        <v>550</v>
      </c>
      <c r="E908" s="7">
        <v>1</v>
      </c>
      <c r="F908" s="7" t="s">
        <v>959</v>
      </c>
      <c r="G908" s="7">
        <v>0</v>
      </c>
      <c r="H908" s="7">
        <v>0</v>
      </c>
      <c r="I908" s="7">
        <v>99999</v>
      </c>
      <c r="J908" s="7">
        <v>0</v>
      </c>
      <c r="K908" s="7">
        <v>3</v>
      </c>
      <c r="L908" s="7" t="s">
        <v>1562</v>
      </c>
      <c r="M908" s="7">
        <v>1</v>
      </c>
      <c r="N908" s="7">
        <v>1</v>
      </c>
      <c r="Q908" s="7">
        <v>0</v>
      </c>
      <c r="R908" s="7">
        <v>0</v>
      </c>
      <c r="S908" s="7">
        <v>1</v>
      </c>
      <c r="T908" s="7">
        <v>0</v>
      </c>
      <c r="V908" s="7">
        <v>0</v>
      </c>
      <c r="W908" s="7">
        <v>0</v>
      </c>
      <c r="X908" s="6" t="s">
        <v>2277</v>
      </c>
      <c r="Y908" s="7" t="s">
        <v>2278</v>
      </c>
      <c r="Z908" s="7" t="s">
        <v>2888</v>
      </c>
      <c r="AA908" s="7" t="s">
        <v>527</v>
      </c>
      <c r="AB908" s="7">
        <v>0</v>
      </c>
      <c r="AC908" s="7">
        <v>16</v>
      </c>
      <c r="AD908" s="7">
        <v>0</v>
      </c>
      <c r="AE908" s="7">
        <v>0</v>
      </c>
      <c r="AF908" s="7">
        <v>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P908" s="7">
        <v>1</v>
      </c>
      <c r="AQ908" s="7">
        <v>1</v>
      </c>
      <c r="AR908" s="7">
        <v>0</v>
      </c>
      <c r="AS908" s="7">
        <v>0</v>
      </c>
      <c r="AT908" s="7">
        <v>1</v>
      </c>
      <c r="BE908" s="7">
        <v>240</v>
      </c>
      <c r="BG908" s="7">
        <v>2</v>
      </c>
      <c r="BL908" s="7">
        <v>0</v>
      </c>
    </row>
    <row r="909" spans="1:64" s="7" customFormat="1">
      <c r="A909" s="7">
        <v>1500006</v>
      </c>
      <c r="B909" s="7" t="s">
        <v>3208</v>
      </c>
      <c r="C909" s="7" t="s">
        <v>540</v>
      </c>
      <c r="D909" s="7" t="s">
        <v>550</v>
      </c>
      <c r="E909" s="7">
        <v>1</v>
      </c>
      <c r="F909" s="7" t="s">
        <v>959</v>
      </c>
      <c r="G909" s="7">
        <v>0</v>
      </c>
      <c r="H909" s="7">
        <v>0</v>
      </c>
      <c r="I909" s="7">
        <v>99999</v>
      </c>
      <c r="J909" s="7">
        <v>0</v>
      </c>
      <c r="K909" s="7">
        <v>3</v>
      </c>
      <c r="L909" s="7" t="s">
        <v>1562</v>
      </c>
      <c r="M909" s="7">
        <v>1</v>
      </c>
      <c r="N909" s="7">
        <v>1</v>
      </c>
      <c r="Q909" s="7">
        <v>0</v>
      </c>
      <c r="R909" s="7">
        <v>0</v>
      </c>
      <c r="S909" s="7">
        <v>1</v>
      </c>
      <c r="T909" s="7">
        <v>0</v>
      </c>
      <c r="V909" s="7">
        <v>0</v>
      </c>
      <c r="W909" s="7">
        <v>0</v>
      </c>
      <c r="X909" s="6" t="s">
        <v>3210</v>
      </c>
      <c r="Y909" s="7" t="s">
        <v>1677</v>
      </c>
      <c r="Z909" s="7" t="s">
        <v>3213</v>
      </c>
      <c r="AA909" s="7" t="s">
        <v>527</v>
      </c>
      <c r="AB909" s="7">
        <v>0</v>
      </c>
      <c r="AC909" s="7">
        <v>16</v>
      </c>
      <c r="AD909" s="7">
        <v>0</v>
      </c>
      <c r="AE909" s="7">
        <v>0</v>
      </c>
      <c r="AF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P909" s="7">
        <v>1</v>
      </c>
      <c r="AQ909" s="7">
        <v>1</v>
      </c>
      <c r="AR909" s="7">
        <v>0</v>
      </c>
      <c r="AS909" s="7">
        <v>0</v>
      </c>
      <c r="AT909" s="7">
        <v>1</v>
      </c>
      <c r="BE909" s="7">
        <v>240</v>
      </c>
      <c r="BG909" s="7">
        <v>2</v>
      </c>
      <c r="BL909" s="7">
        <v>0</v>
      </c>
    </row>
    <row r="910" spans="1:64" s="7" customFormat="1">
      <c r="A910" s="7">
        <v>1500007</v>
      </c>
      <c r="B910" s="7" t="s">
        <v>3209</v>
      </c>
      <c r="C910" s="7" t="s">
        <v>540</v>
      </c>
      <c r="D910" s="7" t="s">
        <v>550</v>
      </c>
      <c r="E910" s="7">
        <v>1</v>
      </c>
      <c r="F910" s="7" t="s">
        <v>959</v>
      </c>
      <c r="G910" s="7">
        <v>0</v>
      </c>
      <c r="H910" s="7">
        <v>0</v>
      </c>
      <c r="I910" s="7">
        <v>99999</v>
      </c>
      <c r="J910" s="7">
        <v>0</v>
      </c>
      <c r="K910" s="7">
        <v>3</v>
      </c>
      <c r="L910" s="7" t="s">
        <v>1562</v>
      </c>
      <c r="M910" s="7">
        <v>1</v>
      </c>
      <c r="N910" s="7">
        <v>1</v>
      </c>
      <c r="Q910" s="7">
        <v>0</v>
      </c>
      <c r="R910" s="7">
        <v>0</v>
      </c>
      <c r="S910" s="7">
        <v>1</v>
      </c>
      <c r="T910" s="7">
        <v>0</v>
      </c>
      <c r="V910" s="7">
        <v>0</v>
      </c>
      <c r="W910" s="7">
        <v>0</v>
      </c>
      <c r="X910" s="6" t="s">
        <v>3211</v>
      </c>
      <c r="Y910" s="7" t="s">
        <v>3212</v>
      </c>
      <c r="Z910" s="7" t="s">
        <v>3215</v>
      </c>
      <c r="AA910" s="7" t="s">
        <v>527</v>
      </c>
      <c r="AB910" s="7">
        <v>0</v>
      </c>
      <c r="AC910" s="7">
        <v>16</v>
      </c>
      <c r="AD910" s="7">
        <v>0</v>
      </c>
      <c r="AE910" s="7">
        <v>0</v>
      </c>
      <c r="AF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P910" s="7">
        <v>1</v>
      </c>
      <c r="AQ910" s="7">
        <v>1</v>
      </c>
      <c r="AR910" s="7">
        <v>0</v>
      </c>
      <c r="AS910" s="7">
        <v>0</v>
      </c>
      <c r="AT910" s="7">
        <v>1</v>
      </c>
      <c r="BE910" s="7">
        <v>240</v>
      </c>
      <c r="BG910" s="7">
        <v>2</v>
      </c>
      <c r="BL910" s="7">
        <v>0</v>
      </c>
    </row>
    <row r="911" spans="1:64" s="7" customFormat="1">
      <c r="A911" s="7">
        <v>1500008</v>
      </c>
      <c r="B911" s="7" t="s">
        <v>1716</v>
      </c>
      <c r="C911" s="7" t="s">
        <v>540</v>
      </c>
      <c r="D911" s="7" t="s">
        <v>550</v>
      </c>
      <c r="E911" s="7">
        <v>1</v>
      </c>
      <c r="F911" s="7" t="s">
        <v>997</v>
      </c>
      <c r="G911" s="7">
        <v>0</v>
      </c>
      <c r="H911" s="7">
        <v>0</v>
      </c>
      <c r="I911" s="7">
        <v>99999</v>
      </c>
      <c r="J911" s="7">
        <v>0</v>
      </c>
      <c r="K911" s="7">
        <v>3</v>
      </c>
      <c r="L911" s="7" t="s">
        <v>1562</v>
      </c>
      <c r="M911" s="7">
        <v>1</v>
      </c>
      <c r="N911" s="7">
        <v>1</v>
      </c>
      <c r="Q911" s="7">
        <v>0</v>
      </c>
      <c r="R911" s="7">
        <v>0</v>
      </c>
      <c r="S911" s="7">
        <v>1</v>
      </c>
      <c r="T911" s="7">
        <v>0</v>
      </c>
      <c r="V911" s="7">
        <v>0</v>
      </c>
      <c r="W911" s="7">
        <v>0</v>
      </c>
      <c r="X911" s="6" t="s">
        <v>1719</v>
      </c>
      <c r="Y911" s="7" t="s">
        <v>1691</v>
      </c>
      <c r="Z911" s="7" t="s">
        <v>2889</v>
      </c>
      <c r="AA911" s="7" t="s">
        <v>527</v>
      </c>
      <c r="AB911" s="7">
        <v>0</v>
      </c>
      <c r="AC911" s="7">
        <v>16</v>
      </c>
      <c r="AD911" s="7">
        <v>0</v>
      </c>
      <c r="AE911" s="7">
        <v>0</v>
      </c>
      <c r="AF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P911" s="7">
        <v>0</v>
      </c>
      <c r="AQ911" s="7">
        <v>0</v>
      </c>
      <c r="AR911" s="7">
        <v>0</v>
      </c>
      <c r="AS911" s="7">
        <v>0</v>
      </c>
      <c r="AT911" s="7">
        <v>1</v>
      </c>
      <c r="BE911" s="7">
        <v>240</v>
      </c>
      <c r="BG911" s="7">
        <v>2</v>
      </c>
      <c r="BL911" s="7">
        <v>0</v>
      </c>
    </row>
    <row r="912" spans="1:64" s="7" customFormat="1">
      <c r="A912" s="7">
        <v>1500009</v>
      </c>
      <c r="B912" s="7" t="s">
        <v>1717</v>
      </c>
      <c r="C912" s="7" t="s">
        <v>540</v>
      </c>
      <c r="D912" s="7" t="s">
        <v>550</v>
      </c>
      <c r="E912" s="7">
        <v>1</v>
      </c>
      <c r="F912" s="7" t="s">
        <v>997</v>
      </c>
      <c r="G912" s="7">
        <v>0</v>
      </c>
      <c r="H912" s="7">
        <v>0</v>
      </c>
      <c r="I912" s="7">
        <v>99999</v>
      </c>
      <c r="J912" s="7">
        <v>0</v>
      </c>
      <c r="K912" s="7">
        <v>3</v>
      </c>
      <c r="L912" s="7" t="s">
        <v>1562</v>
      </c>
      <c r="M912" s="7">
        <v>1</v>
      </c>
      <c r="N912" s="7">
        <v>1</v>
      </c>
      <c r="Q912" s="7">
        <v>0</v>
      </c>
      <c r="R912" s="7">
        <v>0</v>
      </c>
      <c r="S912" s="7">
        <v>1</v>
      </c>
      <c r="T912" s="7">
        <v>0</v>
      </c>
      <c r="V912" s="7">
        <v>0</v>
      </c>
      <c r="W912" s="7">
        <v>0</v>
      </c>
      <c r="X912" s="6" t="s">
        <v>1720</v>
      </c>
      <c r="Y912" s="7" t="s">
        <v>1678</v>
      </c>
      <c r="Z912" s="7" t="s">
        <v>2890</v>
      </c>
      <c r="AA912" s="7" t="s">
        <v>527</v>
      </c>
      <c r="AB912" s="7">
        <v>0</v>
      </c>
      <c r="AC912" s="7">
        <v>16</v>
      </c>
      <c r="AD912" s="7">
        <v>0</v>
      </c>
      <c r="AE912" s="7">
        <v>0</v>
      </c>
      <c r="AF912" s="7">
        <v>0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P912" s="7">
        <v>0</v>
      </c>
      <c r="AQ912" s="7">
        <v>0</v>
      </c>
      <c r="AR912" s="7">
        <v>0</v>
      </c>
      <c r="AS912" s="7">
        <v>0</v>
      </c>
      <c r="AT912" s="7">
        <v>1</v>
      </c>
      <c r="BE912" s="7">
        <v>240</v>
      </c>
      <c r="BG912" s="7">
        <v>2</v>
      </c>
      <c r="BL912" s="7">
        <v>0</v>
      </c>
    </row>
    <row r="913" spans="1:64" s="7" customFormat="1">
      <c r="A913" s="7">
        <v>1500010</v>
      </c>
      <c r="B913" s="7" t="s">
        <v>1718</v>
      </c>
      <c r="C913" s="7" t="s">
        <v>540</v>
      </c>
      <c r="D913" s="7" t="s">
        <v>550</v>
      </c>
      <c r="E913" s="7">
        <v>1</v>
      </c>
      <c r="F913" s="7" t="s">
        <v>997</v>
      </c>
      <c r="G913" s="7">
        <v>0</v>
      </c>
      <c r="H913" s="7">
        <v>0</v>
      </c>
      <c r="I913" s="7">
        <v>99999</v>
      </c>
      <c r="J913" s="7">
        <v>0</v>
      </c>
      <c r="K913" s="7">
        <v>3</v>
      </c>
      <c r="L913" s="7" t="s">
        <v>1562</v>
      </c>
      <c r="M913" s="7">
        <v>1</v>
      </c>
      <c r="N913" s="7">
        <v>1</v>
      </c>
      <c r="Q913" s="7">
        <v>0</v>
      </c>
      <c r="R913" s="7">
        <v>0</v>
      </c>
      <c r="S913" s="7">
        <v>1</v>
      </c>
      <c r="T913" s="7">
        <v>0</v>
      </c>
      <c r="V913" s="7">
        <v>0</v>
      </c>
      <c r="W913" s="7">
        <v>0</v>
      </c>
      <c r="X913" s="6" t="s">
        <v>1721</v>
      </c>
      <c r="Y913" s="7" t="s">
        <v>1691</v>
      </c>
      <c r="Z913" s="7" t="s">
        <v>2891</v>
      </c>
      <c r="AA913" s="7" t="s">
        <v>527</v>
      </c>
      <c r="AB913" s="7">
        <v>0</v>
      </c>
      <c r="AC913" s="7">
        <v>16</v>
      </c>
      <c r="AD913" s="7">
        <v>0</v>
      </c>
      <c r="AE913" s="7">
        <v>0</v>
      </c>
      <c r="AF913" s="7">
        <v>0</v>
      </c>
      <c r="AI913" s="7">
        <v>0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P913" s="7">
        <v>0</v>
      </c>
      <c r="AQ913" s="7">
        <v>0</v>
      </c>
      <c r="AR913" s="7">
        <v>0</v>
      </c>
      <c r="AS913" s="7">
        <v>0</v>
      </c>
      <c r="AT913" s="7">
        <v>1</v>
      </c>
      <c r="BE913" s="7">
        <v>240</v>
      </c>
      <c r="BG913" s="7">
        <v>2</v>
      </c>
      <c r="BL913" s="7">
        <v>0</v>
      </c>
    </row>
    <row r="914" spans="1:64" s="7" customFormat="1">
      <c r="A914" s="7">
        <v>1500011</v>
      </c>
      <c r="B914" s="7" t="s">
        <v>1669</v>
      </c>
      <c r="C914" s="7" t="s">
        <v>540</v>
      </c>
      <c r="D914" s="7" t="s">
        <v>550</v>
      </c>
      <c r="E914" s="7">
        <v>1</v>
      </c>
      <c r="F914" s="7" t="s">
        <v>1675</v>
      </c>
      <c r="G914" s="7">
        <v>0</v>
      </c>
      <c r="H914" s="7">
        <v>0</v>
      </c>
      <c r="I914" s="7">
        <v>99999</v>
      </c>
      <c r="J914" s="7">
        <v>0</v>
      </c>
      <c r="K914" s="7">
        <v>3</v>
      </c>
      <c r="L914" s="7" t="s">
        <v>1562</v>
      </c>
      <c r="M914" s="7">
        <v>1</v>
      </c>
      <c r="N914" s="7">
        <v>1</v>
      </c>
      <c r="Q914" s="7">
        <v>0</v>
      </c>
      <c r="R914" s="7">
        <v>0</v>
      </c>
      <c r="S914" s="7">
        <v>1</v>
      </c>
      <c r="T914" s="7">
        <v>0</v>
      </c>
      <c r="V914" s="7">
        <v>0</v>
      </c>
      <c r="W914" s="7">
        <v>0</v>
      </c>
      <c r="X914" s="6" t="s">
        <v>1670</v>
      </c>
      <c r="Y914" s="7" t="s">
        <v>1677</v>
      </c>
      <c r="Z914" s="7" t="s">
        <v>2892</v>
      </c>
      <c r="AA914" s="7" t="s">
        <v>527</v>
      </c>
      <c r="AB914" s="7">
        <v>0</v>
      </c>
      <c r="AC914" s="7">
        <v>16</v>
      </c>
      <c r="AD914" s="7">
        <v>0</v>
      </c>
      <c r="AE914" s="7">
        <v>0</v>
      </c>
      <c r="AF914" s="7">
        <v>0</v>
      </c>
      <c r="AI914" s="7">
        <v>0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P914" s="7">
        <v>0</v>
      </c>
      <c r="AQ914" s="7">
        <v>0</v>
      </c>
      <c r="AR914" s="7">
        <v>0</v>
      </c>
      <c r="AS914" s="7">
        <v>0</v>
      </c>
      <c r="AT914" s="7">
        <v>1</v>
      </c>
      <c r="BE914" s="7">
        <v>240</v>
      </c>
      <c r="BG914" s="7">
        <v>2</v>
      </c>
      <c r="BL914" s="7">
        <v>0</v>
      </c>
    </row>
    <row r="915" spans="1:64" s="7" customFormat="1">
      <c r="A915" s="7">
        <v>1500012</v>
      </c>
      <c r="B915" s="7" t="s">
        <v>1745</v>
      </c>
      <c r="C915" s="7" t="s">
        <v>540</v>
      </c>
      <c r="D915" s="7" t="s">
        <v>550</v>
      </c>
      <c r="E915" s="7">
        <v>1</v>
      </c>
      <c r="F915" s="7" t="s">
        <v>959</v>
      </c>
      <c r="G915" s="7">
        <v>0</v>
      </c>
      <c r="H915" s="7">
        <v>0</v>
      </c>
      <c r="I915" s="7">
        <v>99999</v>
      </c>
      <c r="J915" s="7">
        <v>0</v>
      </c>
      <c r="K915" s="7">
        <v>3</v>
      </c>
      <c r="L915" s="7" t="s">
        <v>1562</v>
      </c>
      <c r="M915" s="7">
        <v>1</v>
      </c>
      <c r="N915" s="7">
        <v>1</v>
      </c>
      <c r="Q915" s="7">
        <v>0</v>
      </c>
      <c r="R915" s="7">
        <v>0</v>
      </c>
      <c r="S915" s="7">
        <v>1</v>
      </c>
      <c r="T915" s="7">
        <v>0</v>
      </c>
      <c r="V915" s="7">
        <v>0</v>
      </c>
      <c r="W915" s="7">
        <v>0</v>
      </c>
      <c r="X915" s="6" t="s">
        <v>1676</v>
      </c>
      <c r="Y915" s="7" t="s">
        <v>1678</v>
      </c>
      <c r="Z915" s="7" t="s">
        <v>2893</v>
      </c>
      <c r="AA915" s="7" t="s">
        <v>527</v>
      </c>
      <c r="AB915" s="7">
        <v>0</v>
      </c>
      <c r="AC915" s="7">
        <v>16</v>
      </c>
      <c r="AD915" s="7">
        <v>0</v>
      </c>
      <c r="AE915" s="7">
        <v>0</v>
      </c>
      <c r="AF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P915" s="7">
        <v>0</v>
      </c>
      <c r="AQ915" s="7">
        <v>0</v>
      </c>
      <c r="AR915" s="7">
        <v>0</v>
      </c>
      <c r="AS915" s="7">
        <v>0</v>
      </c>
      <c r="AT915" s="7">
        <v>1</v>
      </c>
      <c r="BE915" s="7">
        <v>240</v>
      </c>
      <c r="BG915" s="7">
        <v>2</v>
      </c>
      <c r="BL915" s="7">
        <v>0</v>
      </c>
    </row>
    <row r="916" spans="1:64" s="7" customFormat="1">
      <c r="A916" s="7">
        <v>1500013</v>
      </c>
      <c r="B916" s="7" t="s">
        <v>1744</v>
      </c>
      <c r="C916" s="7" t="s">
        <v>540</v>
      </c>
      <c r="D916" s="7" t="s">
        <v>550</v>
      </c>
      <c r="E916" s="7">
        <v>1</v>
      </c>
      <c r="F916" s="7" t="s">
        <v>959</v>
      </c>
      <c r="G916" s="7">
        <v>0</v>
      </c>
      <c r="H916" s="7">
        <v>0</v>
      </c>
      <c r="I916" s="7">
        <v>99999</v>
      </c>
      <c r="J916" s="7">
        <v>0</v>
      </c>
      <c r="K916" s="7">
        <v>3</v>
      </c>
      <c r="L916" s="7" t="s">
        <v>1562</v>
      </c>
      <c r="M916" s="7">
        <v>1</v>
      </c>
      <c r="N916" s="7">
        <v>1</v>
      </c>
      <c r="Q916" s="7">
        <v>0</v>
      </c>
      <c r="R916" s="7">
        <v>0</v>
      </c>
      <c r="S916" s="7">
        <v>1</v>
      </c>
      <c r="T916" s="7">
        <v>0</v>
      </c>
      <c r="V916" s="7">
        <v>0</v>
      </c>
      <c r="W916" s="7">
        <v>0</v>
      </c>
      <c r="X916" s="6" t="s">
        <v>1671</v>
      </c>
      <c r="Y916" s="7" t="s">
        <v>1677</v>
      </c>
      <c r="Z916" s="7" t="s">
        <v>2894</v>
      </c>
      <c r="AA916" s="7" t="s">
        <v>527</v>
      </c>
      <c r="AB916" s="7">
        <v>0</v>
      </c>
      <c r="AC916" s="7">
        <v>16</v>
      </c>
      <c r="AD916" s="7">
        <v>0</v>
      </c>
      <c r="AE916" s="7">
        <v>0</v>
      </c>
      <c r="AF916" s="7">
        <v>0</v>
      </c>
      <c r="AI916" s="7">
        <v>0</v>
      </c>
      <c r="AJ916" s="7">
        <v>0</v>
      </c>
      <c r="AK916" s="7">
        <v>0</v>
      </c>
      <c r="AL916" s="7">
        <v>0</v>
      </c>
      <c r="AM916" s="7">
        <v>0</v>
      </c>
      <c r="AN916" s="7">
        <v>0</v>
      </c>
      <c r="AP916" s="7">
        <v>0</v>
      </c>
      <c r="AQ916" s="7">
        <v>0</v>
      </c>
      <c r="AR916" s="7">
        <v>0</v>
      </c>
      <c r="AS916" s="7">
        <v>0</v>
      </c>
      <c r="AT916" s="7">
        <v>1</v>
      </c>
      <c r="BE916" s="7">
        <v>240</v>
      </c>
      <c r="BG916" s="7">
        <v>2</v>
      </c>
      <c r="BL916" s="7">
        <v>0</v>
      </c>
    </row>
    <row r="917" spans="1:64" s="7" customFormat="1">
      <c r="A917" s="7">
        <v>1500014</v>
      </c>
      <c r="B917" s="7" t="s">
        <v>1732</v>
      </c>
      <c r="C917" s="7" t="s">
        <v>540</v>
      </c>
      <c r="D917" s="7" t="s">
        <v>550</v>
      </c>
      <c r="E917" s="7">
        <v>1</v>
      </c>
      <c r="F917" s="7" t="s">
        <v>959</v>
      </c>
      <c r="G917" s="7">
        <v>0</v>
      </c>
      <c r="H917" s="7">
        <v>0</v>
      </c>
      <c r="I917" s="7">
        <v>99999</v>
      </c>
      <c r="J917" s="7">
        <v>0</v>
      </c>
      <c r="K917" s="7">
        <v>3</v>
      </c>
      <c r="L917" s="7" t="s">
        <v>1562</v>
      </c>
      <c r="M917" s="7">
        <v>1</v>
      </c>
      <c r="N917" s="7">
        <v>1</v>
      </c>
      <c r="Q917" s="7">
        <v>0</v>
      </c>
      <c r="R917" s="7">
        <v>0</v>
      </c>
      <c r="S917" s="7">
        <v>1</v>
      </c>
      <c r="T917" s="7">
        <v>0</v>
      </c>
      <c r="V917" s="7">
        <v>0</v>
      </c>
      <c r="W917" s="7">
        <v>0</v>
      </c>
      <c r="X917" s="6" t="s">
        <v>1672</v>
      </c>
      <c r="Y917" s="7" t="s">
        <v>1695</v>
      </c>
      <c r="Z917" s="7" t="s">
        <v>2895</v>
      </c>
      <c r="AA917" s="7" t="s">
        <v>527</v>
      </c>
      <c r="AB917" s="7">
        <v>0</v>
      </c>
      <c r="AC917" s="7">
        <v>16</v>
      </c>
      <c r="AD917" s="7">
        <v>0</v>
      </c>
      <c r="AE917" s="7">
        <v>0</v>
      </c>
      <c r="AF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P917" s="7">
        <v>0</v>
      </c>
      <c r="AQ917" s="7">
        <v>0</v>
      </c>
      <c r="AR917" s="7">
        <v>0</v>
      </c>
      <c r="AS917" s="7">
        <v>0</v>
      </c>
      <c r="AT917" s="7">
        <v>1</v>
      </c>
      <c r="BE917" s="7">
        <v>240</v>
      </c>
      <c r="BG917" s="7">
        <v>2</v>
      </c>
      <c r="BL917" s="7">
        <v>0</v>
      </c>
    </row>
    <row r="918" spans="1:64" s="7" customFormat="1">
      <c r="A918" s="7">
        <v>1500015</v>
      </c>
      <c r="B918" s="7" t="s">
        <v>1743</v>
      </c>
      <c r="C918" s="7" t="s">
        <v>540</v>
      </c>
      <c r="D918" s="7" t="s">
        <v>550</v>
      </c>
      <c r="E918" s="7">
        <v>1</v>
      </c>
      <c r="F918" s="7" t="s">
        <v>959</v>
      </c>
      <c r="G918" s="7">
        <v>0</v>
      </c>
      <c r="H918" s="7">
        <v>0</v>
      </c>
      <c r="I918" s="7">
        <v>99999</v>
      </c>
      <c r="J918" s="7">
        <v>0</v>
      </c>
      <c r="K918" s="7">
        <v>3</v>
      </c>
      <c r="L918" s="7" t="s">
        <v>1562</v>
      </c>
      <c r="M918" s="7">
        <v>1</v>
      </c>
      <c r="N918" s="7">
        <v>1</v>
      </c>
      <c r="Q918" s="7">
        <v>0</v>
      </c>
      <c r="R918" s="7">
        <v>0</v>
      </c>
      <c r="S918" s="7">
        <v>1</v>
      </c>
      <c r="T918" s="7">
        <v>0</v>
      </c>
      <c r="V918" s="7">
        <v>0</v>
      </c>
      <c r="W918" s="7">
        <v>0</v>
      </c>
      <c r="X918" s="6" t="s">
        <v>1673</v>
      </c>
      <c r="Y918" s="7" t="s">
        <v>1677</v>
      </c>
      <c r="Z918" s="7" t="s">
        <v>2896</v>
      </c>
      <c r="AA918" s="7" t="s">
        <v>527</v>
      </c>
      <c r="AB918" s="7">
        <v>0</v>
      </c>
      <c r="AC918" s="7">
        <v>16</v>
      </c>
      <c r="AD918" s="7">
        <v>0</v>
      </c>
      <c r="AE918" s="7">
        <v>0</v>
      </c>
      <c r="AF918" s="7">
        <v>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P918" s="7">
        <v>0</v>
      </c>
      <c r="AQ918" s="7">
        <v>0</v>
      </c>
      <c r="AR918" s="7">
        <v>0</v>
      </c>
      <c r="AS918" s="7">
        <v>0</v>
      </c>
      <c r="AT918" s="7">
        <v>1</v>
      </c>
      <c r="BE918" s="7">
        <v>240</v>
      </c>
      <c r="BG918" s="7">
        <v>2</v>
      </c>
      <c r="BL918" s="7">
        <v>0</v>
      </c>
    </row>
    <row r="919" spans="1:64" s="7" customFormat="1">
      <c r="A919" s="7">
        <v>1500016</v>
      </c>
      <c r="B919" s="7" t="s">
        <v>1682</v>
      </c>
      <c r="C919" s="7" t="s">
        <v>540</v>
      </c>
      <c r="D919" s="7" t="s">
        <v>550</v>
      </c>
      <c r="E919" s="7">
        <v>1</v>
      </c>
      <c r="F919" s="7" t="s">
        <v>959</v>
      </c>
      <c r="G919" s="7">
        <v>0</v>
      </c>
      <c r="H919" s="7">
        <v>0</v>
      </c>
      <c r="I919" s="7">
        <v>99999</v>
      </c>
      <c r="J919" s="7">
        <v>0</v>
      </c>
      <c r="K919" s="7">
        <v>3</v>
      </c>
      <c r="L919" s="7" t="s">
        <v>1562</v>
      </c>
      <c r="M919" s="7">
        <v>1</v>
      </c>
      <c r="N919" s="7">
        <v>1</v>
      </c>
      <c r="Q919" s="7">
        <v>0</v>
      </c>
      <c r="R919" s="7">
        <v>0</v>
      </c>
      <c r="S919" s="7">
        <v>1</v>
      </c>
      <c r="T919" s="7">
        <v>0</v>
      </c>
      <c r="V919" s="7">
        <v>0</v>
      </c>
      <c r="W919" s="7">
        <v>0</v>
      </c>
      <c r="X919" s="6" t="s">
        <v>1674</v>
      </c>
      <c r="Y919" s="7" t="s">
        <v>1678</v>
      </c>
      <c r="Z919" s="7" t="s">
        <v>2897</v>
      </c>
      <c r="AA919" s="7" t="s">
        <v>527</v>
      </c>
      <c r="AB919" s="7">
        <v>0</v>
      </c>
      <c r="AC919" s="7">
        <v>16</v>
      </c>
      <c r="AD919" s="7">
        <v>0</v>
      </c>
      <c r="AE919" s="7">
        <v>0</v>
      </c>
      <c r="AF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P919" s="7">
        <v>0</v>
      </c>
      <c r="AQ919" s="7">
        <v>0</v>
      </c>
      <c r="AR919" s="7">
        <v>0</v>
      </c>
      <c r="AS919" s="7">
        <v>0</v>
      </c>
      <c r="AT919" s="7">
        <v>1</v>
      </c>
      <c r="BE919" s="7">
        <v>240</v>
      </c>
      <c r="BG919" s="7">
        <v>2</v>
      </c>
      <c r="BL919" s="7">
        <v>0</v>
      </c>
    </row>
    <row r="920" spans="1:64" s="7" customFormat="1">
      <c r="A920" s="7">
        <v>1500017</v>
      </c>
      <c r="B920" s="7" t="s">
        <v>1740</v>
      </c>
      <c r="C920" s="7" t="s">
        <v>540</v>
      </c>
      <c r="D920" s="7" t="s">
        <v>550</v>
      </c>
      <c r="E920" s="7">
        <v>1</v>
      </c>
      <c r="F920" s="7" t="s">
        <v>959</v>
      </c>
      <c r="G920" s="7">
        <v>0</v>
      </c>
      <c r="H920" s="7">
        <v>0</v>
      </c>
      <c r="I920" s="7">
        <v>99999</v>
      </c>
      <c r="J920" s="7">
        <v>0</v>
      </c>
      <c r="K920" s="7">
        <v>3</v>
      </c>
      <c r="L920" s="7" t="s">
        <v>1562</v>
      </c>
      <c r="M920" s="7">
        <v>1</v>
      </c>
      <c r="N920" s="7">
        <v>1</v>
      </c>
      <c r="Q920" s="7">
        <v>0</v>
      </c>
      <c r="R920" s="7">
        <v>0</v>
      </c>
      <c r="S920" s="7">
        <v>1</v>
      </c>
      <c r="T920" s="7">
        <v>0</v>
      </c>
      <c r="V920" s="7">
        <v>0</v>
      </c>
      <c r="W920" s="7">
        <v>0</v>
      </c>
      <c r="X920" s="6" t="s">
        <v>1684</v>
      </c>
      <c r="Y920" s="7" t="s">
        <v>1691</v>
      </c>
      <c r="Z920" s="7" t="s">
        <v>2898</v>
      </c>
      <c r="AA920" s="7" t="s">
        <v>527</v>
      </c>
      <c r="AB920" s="7">
        <v>0</v>
      </c>
      <c r="AC920" s="7">
        <v>16</v>
      </c>
      <c r="AD920" s="7">
        <v>0</v>
      </c>
      <c r="AE920" s="7">
        <v>0</v>
      </c>
      <c r="AF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P920" s="7">
        <v>0</v>
      </c>
      <c r="AQ920" s="7">
        <v>0</v>
      </c>
      <c r="AR920" s="7">
        <v>0</v>
      </c>
      <c r="AS920" s="7">
        <v>0</v>
      </c>
      <c r="AT920" s="7">
        <v>1</v>
      </c>
      <c r="BE920" s="7">
        <v>240</v>
      </c>
      <c r="BG920" s="7">
        <v>2</v>
      </c>
      <c r="BL920" s="7">
        <v>0</v>
      </c>
    </row>
    <row r="921" spans="1:64" s="7" customFormat="1">
      <c r="A921" s="7">
        <v>1500018</v>
      </c>
      <c r="B921" s="7" t="s">
        <v>1741</v>
      </c>
      <c r="C921" s="7" t="s">
        <v>540</v>
      </c>
      <c r="D921" s="7" t="s">
        <v>550</v>
      </c>
      <c r="E921" s="7">
        <v>1</v>
      </c>
      <c r="F921" s="7" t="s">
        <v>959</v>
      </c>
      <c r="G921" s="7">
        <v>0</v>
      </c>
      <c r="H921" s="7">
        <v>0</v>
      </c>
      <c r="I921" s="7">
        <v>99999</v>
      </c>
      <c r="J921" s="7">
        <v>0</v>
      </c>
      <c r="K921" s="7">
        <v>3</v>
      </c>
      <c r="L921" s="7" t="s">
        <v>1562</v>
      </c>
      <c r="M921" s="7">
        <v>1</v>
      </c>
      <c r="N921" s="7">
        <v>1</v>
      </c>
      <c r="Q921" s="7">
        <v>0</v>
      </c>
      <c r="R921" s="7">
        <v>0</v>
      </c>
      <c r="S921" s="7">
        <v>1</v>
      </c>
      <c r="T921" s="7">
        <v>0</v>
      </c>
      <c r="V921" s="7">
        <v>0</v>
      </c>
      <c r="W921" s="7">
        <v>0</v>
      </c>
      <c r="X921" s="6" t="s">
        <v>1685</v>
      </c>
      <c r="Y921" s="7" t="s">
        <v>1692</v>
      </c>
      <c r="Z921" s="7" t="s">
        <v>2899</v>
      </c>
      <c r="AA921" s="7" t="s">
        <v>527</v>
      </c>
      <c r="AB921" s="7">
        <v>0</v>
      </c>
      <c r="AC921" s="7">
        <v>16</v>
      </c>
      <c r="AD921" s="7">
        <v>0</v>
      </c>
      <c r="AE921" s="7">
        <v>0</v>
      </c>
      <c r="AF921" s="7">
        <v>0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P921" s="7">
        <v>0</v>
      </c>
      <c r="AQ921" s="7">
        <v>0</v>
      </c>
      <c r="AR921" s="7">
        <v>0</v>
      </c>
      <c r="AS921" s="7">
        <v>0</v>
      </c>
      <c r="AT921" s="7">
        <v>1</v>
      </c>
      <c r="BE921" s="7">
        <v>240</v>
      </c>
      <c r="BG921" s="7">
        <v>2</v>
      </c>
      <c r="BL921" s="7">
        <v>0</v>
      </c>
    </row>
    <row r="922" spans="1:64" s="7" customFormat="1">
      <c r="A922" s="7">
        <v>1500019</v>
      </c>
      <c r="B922" s="7" t="s">
        <v>1742</v>
      </c>
      <c r="C922" s="7" t="s">
        <v>540</v>
      </c>
      <c r="D922" s="7" t="s">
        <v>550</v>
      </c>
      <c r="E922" s="7">
        <v>1</v>
      </c>
      <c r="F922" s="7" t="s">
        <v>959</v>
      </c>
      <c r="G922" s="7">
        <v>0</v>
      </c>
      <c r="H922" s="7">
        <v>0</v>
      </c>
      <c r="I922" s="7">
        <v>99999</v>
      </c>
      <c r="J922" s="7">
        <v>0</v>
      </c>
      <c r="K922" s="7">
        <v>3</v>
      </c>
      <c r="L922" s="7" t="s">
        <v>1562</v>
      </c>
      <c r="M922" s="7">
        <v>1</v>
      </c>
      <c r="N922" s="7">
        <v>1</v>
      </c>
      <c r="Q922" s="7">
        <v>0</v>
      </c>
      <c r="R922" s="7">
        <v>0</v>
      </c>
      <c r="S922" s="7">
        <v>1</v>
      </c>
      <c r="T922" s="7">
        <v>0</v>
      </c>
      <c r="V922" s="7">
        <v>0</v>
      </c>
      <c r="W922" s="7">
        <v>0</v>
      </c>
      <c r="X922" s="6" t="s">
        <v>1686</v>
      </c>
      <c r="Y922" s="7" t="s">
        <v>1693</v>
      </c>
      <c r="Z922" s="7" t="s">
        <v>2900</v>
      </c>
      <c r="AA922" s="7" t="s">
        <v>527</v>
      </c>
      <c r="AB922" s="7">
        <v>0</v>
      </c>
      <c r="AC922" s="7">
        <v>16</v>
      </c>
      <c r="AD922" s="7">
        <v>0</v>
      </c>
      <c r="AE922" s="7">
        <v>0</v>
      </c>
      <c r="AF922" s="7">
        <v>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P922" s="7">
        <v>0</v>
      </c>
      <c r="AQ922" s="7">
        <v>0</v>
      </c>
      <c r="AR922" s="7">
        <v>0</v>
      </c>
      <c r="AS922" s="7">
        <v>0</v>
      </c>
      <c r="AT922" s="7">
        <v>1</v>
      </c>
      <c r="BE922" s="7">
        <v>240</v>
      </c>
      <c r="BG922" s="7">
        <v>2</v>
      </c>
      <c r="BL922" s="7">
        <v>0</v>
      </c>
    </row>
    <row r="923" spans="1:64" s="7" customFormat="1">
      <c r="A923" s="7">
        <v>1500020</v>
      </c>
      <c r="B923" s="7" t="s">
        <v>1683</v>
      </c>
      <c r="C923" s="7" t="s">
        <v>540</v>
      </c>
      <c r="D923" s="7" t="s">
        <v>550</v>
      </c>
      <c r="E923" s="7">
        <v>1</v>
      </c>
      <c r="F923" s="7" t="s">
        <v>959</v>
      </c>
      <c r="G923" s="7">
        <v>0</v>
      </c>
      <c r="H923" s="7">
        <v>0</v>
      </c>
      <c r="I923" s="7">
        <v>99999</v>
      </c>
      <c r="J923" s="7">
        <v>0</v>
      </c>
      <c r="K923" s="7">
        <v>3</v>
      </c>
      <c r="L923" s="7" t="s">
        <v>1562</v>
      </c>
      <c r="M923" s="7">
        <v>1</v>
      </c>
      <c r="N923" s="7">
        <v>1</v>
      </c>
      <c r="Q923" s="7">
        <v>0</v>
      </c>
      <c r="R923" s="7">
        <v>0</v>
      </c>
      <c r="S923" s="7">
        <v>1</v>
      </c>
      <c r="T923" s="7">
        <v>0</v>
      </c>
      <c r="V923" s="7">
        <v>0</v>
      </c>
      <c r="W923" s="7">
        <v>0</v>
      </c>
      <c r="X923" s="6" t="s">
        <v>1687</v>
      </c>
      <c r="Y923" s="7" t="s">
        <v>1694</v>
      </c>
      <c r="Z923" s="7" t="s">
        <v>2901</v>
      </c>
      <c r="AA923" s="7" t="s">
        <v>527</v>
      </c>
      <c r="AB923" s="7">
        <v>0</v>
      </c>
      <c r="AC923" s="7">
        <v>16</v>
      </c>
      <c r="AD923" s="7">
        <v>0</v>
      </c>
      <c r="AE923" s="7">
        <v>0</v>
      </c>
      <c r="AF923" s="7">
        <v>0</v>
      </c>
      <c r="AI923" s="7">
        <v>0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P923" s="7">
        <v>0</v>
      </c>
      <c r="AQ923" s="7">
        <v>0</v>
      </c>
      <c r="AR923" s="7">
        <v>0</v>
      </c>
      <c r="AS923" s="7">
        <v>0</v>
      </c>
      <c r="AT923" s="7">
        <v>1</v>
      </c>
      <c r="BE923" s="7">
        <v>240</v>
      </c>
      <c r="BG923" s="7">
        <v>2</v>
      </c>
      <c r="BL923" s="7">
        <v>0</v>
      </c>
    </row>
    <row r="924" spans="1:64" s="7" customFormat="1">
      <c r="A924" s="7">
        <v>1500021</v>
      </c>
      <c r="B924" s="7" t="s">
        <v>1696</v>
      </c>
      <c r="C924" s="7" t="s">
        <v>540</v>
      </c>
      <c r="D924" s="7" t="s">
        <v>550</v>
      </c>
      <c r="E924" s="7">
        <v>8</v>
      </c>
      <c r="F924" s="7" t="s">
        <v>959</v>
      </c>
      <c r="G924" s="7">
        <v>0</v>
      </c>
      <c r="H924" s="7">
        <v>0</v>
      </c>
      <c r="I924" s="7">
        <v>99999</v>
      </c>
      <c r="J924" s="7">
        <v>0</v>
      </c>
      <c r="K924" s="7">
        <v>3</v>
      </c>
      <c r="L924" s="7" t="s">
        <v>1562</v>
      </c>
      <c r="M924" s="7">
        <v>1</v>
      </c>
      <c r="N924" s="7">
        <v>1</v>
      </c>
      <c r="Q924" s="7">
        <v>0</v>
      </c>
      <c r="R924" s="7">
        <v>0</v>
      </c>
      <c r="S924" s="7">
        <v>1</v>
      </c>
      <c r="T924" s="7">
        <v>0</v>
      </c>
      <c r="V924" s="7">
        <v>0</v>
      </c>
      <c r="W924" s="7">
        <v>0</v>
      </c>
      <c r="X924" s="6" t="s">
        <v>1698</v>
      </c>
      <c r="Y924" s="7" t="s">
        <v>1678</v>
      </c>
      <c r="Z924" s="7" t="s">
        <v>3344</v>
      </c>
      <c r="AA924" s="7" t="s">
        <v>527</v>
      </c>
      <c r="AB924" s="7">
        <v>0</v>
      </c>
      <c r="AC924" s="7">
        <v>16</v>
      </c>
      <c r="AD924" s="7">
        <v>0</v>
      </c>
      <c r="AE924" s="7">
        <v>0</v>
      </c>
      <c r="AF924" s="7">
        <v>0</v>
      </c>
      <c r="AI924" s="7">
        <v>0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P924" s="7">
        <v>1</v>
      </c>
      <c r="AQ924" s="7">
        <v>1</v>
      </c>
      <c r="AR924" s="7">
        <v>0</v>
      </c>
      <c r="AS924" s="7">
        <v>0</v>
      </c>
      <c r="AT924" s="7">
        <v>1</v>
      </c>
      <c r="BE924" s="7">
        <v>240</v>
      </c>
      <c r="BG924" s="7">
        <v>2</v>
      </c>
      <c r="BL924" s="7">
        <v>0</v>
      </c>
    </row>
    <row r="925" spans="1:64" s="7" customFormat="1">
      <c r="A925" s="7">
        <v>1500022</v>
      </c>
      <c r="B925" s="7" t="s">
        <v>1697</v>
      </c>
      <c r="C925" s="7" t="s">
        <v>540</v>
      </c>
      <c r="D925" s="7" t="s">
        <v>550</v>
      </c>
      <c r="E925" s="7">
        <v>8</v>
      </c>
      <c r="F925" s="7" t="s">
        <v>959</v>
      </c>
      <c r="G925" s="7">
        <v>0</v>
      </c>
      <c r="H925" s="7">
        <v>0</v>
      </c>
      <c r="I925" s="7">
        <v>99999</v>
      </c>
      <c r="J925" s="7">
        <v>0</v>
      </c>
      <c r="K925" s="7">
        <v>3</v>
      </c>
      <c r="L925" s="7" t="s">
        <v>1562</v>
      </c>
      <c r="M925" s="7">
        <v>1</v>
      </c>
      <c r="N925" s="7">
        <v>1</v>
      </c>
      <c r="Q925" s="7">
        <v>0</v>
      </c>
      <c r="R925" s="7">
        <v>0</v>
      </c>
      <c r="S925" s="7">
        <v>1</v>
      </c>
      <c r="T925" s="7">
        <v>0</v>
      </c>
      <c r="V925" s="7">
        <v>0</v>
      </c>
      <c r="W925" s="7">
        <v>0</v>
      </c>
      <c r="X925" s="6" t="s">
        <v>1700</v>
      </c>
      <c r="Y925" s="7" t="s">
        <v>1678</v>
      </c>
      <c r="Z925" s="7" t="s">
        <v>2902</v>
      </c>
      <c r="AA925" s="7" t="s">
        <v>527</v>
      </c>
      <c r="AB925" s="7">
        <v>0</v>
      </c>
      <c r="AC925" s="7">
        <v>16</v>
      </c>
      <c r="AD925" s="7">
        <v>0</v>
      </c>
      <c r="AE925" s="7">
        <v>0</v>
      </c>
      <c r="AF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P925" s="7">
        <v>1</v>
      </c>
      <c r="AQ925" s="7">
        <v>1</v>
      </c>
      <c r="AR925" s="7">
        <v>0</v>
      </c>
      <c r="AS925" s="7">
        <v>0</v>
      </c>
      <c r="AT925" s="7">
        <v>1</v>
      </c>
      <c r="BE925" s="7">
        <v>240</v>
      </c>
      <c r="BG925" s="7">
        <v>2</v>
      </c>
      <c r="BL925" s="7">
        <v>0</v>
      </c>
    </row>
    <row r="926" spans="1:64" s="7" customFormat="1">
      <c r="A926" s="7">
        <v>1500023</v>
      </c>
      <c r="B926" s="7" t="s">
        <v>1701</v>
      </c>
      <c r="C926" s="7" t="s">
        <v>540</v>
      </c>
      <c r="D926" s="7" t="s">
        <v>550</v>
      </c>
      <c r="E926" s="7">
        <v>8</v>
      </c>
      <c r="F926" s="7" t="s">
        <v>959</v>
      </c>
      <c r="G926" s="7">
        <v>0</v>
      </c>
      <c r="H926" s="7">
        <v>0</v>
      </c>
      <c r="I926" s="7">
        <v>99999</v>
      </c>
      <c r="J926" s="7">
        <v>0</v>
      </c>
      <c r="K926" s="7">
        <v>3</v>
      </c>
      <c r="L926" s="7" t="s">
        <v>1562</v>
      </c>
      <c r="M926" s="7">
        <v>1</v>
      </c>
      <c r="N926" s="7">
        <v>1</v>
      </c>
      <c r="Q926" s="7">
        <v>0</v>
      </c>
      <c r="R926" s="7">
        <v>0</v>
      </c>
      <c r="S926" s="7">
        <v>1</v>
      </c>
      <c r="T926" s="7">
        <v>0</v>
      </c>
      <c r="V926" s="7">
        <v>0</v>
      </c>
      <c r="W926" s="7">
        <v>0</v>
      </c>
      <c r="X926" s="6" t="s">
        <v>1699</v>
      </c>
      <c r="Y926" s="7" t="s">
        <v>1678</v>
      </c>
      <c r="Z926" s="7" t="s">
        <v>2903</v>
      </c>
      <c r="AA926" s="7" t="s">
        <v>527</v>
      </c>
      <c r="AB926" s="7">
        <v>0</v>
      </c>
      <c r="AC926" s="7">
        <v>16</v>
      </c>
      <c r="AD926" s="7">
        <v>0</v>
      </c>
      <c r="AE926" s="7">
        <v>0</v>
      </c>
      <c r="AF926" s="7">
        <v>0</v>
      </c>
      <c r="AI926" s="7">
        <v>0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P926" s="7">
        <v>1</v>
      </c>
      <c r="AQ926" s="7">
        <v>1</v>
      </c>
      <c r="AR926" s="7">
        <v>0</v>
      </c>
      <c r="AS926" s="7">
        <v>0</v>
      </c>
      <c r="AT926" s="7">
        <v>1</v>
      </c>
      <c r="BE926" s="7">
        <v>240</v>
      </c>
      <c r="BG926" s="7">
        <v>2</v>
      </c>
      <c r="BL926" s="7">
        <v>0</v>
      </c>
    </row>
    <row r="927" spans="1:64" s="24" customFormat="1">
      <c r="A927" s="24">
        <v>1500024</v>
      </c>
      <c r="B927" s="24" t="s">
        <v>3079</v>
      </c>
      <c r="C927" s="24" t="s">
        <v>540</v>
      </c>
      <c r="D927" s="24" t="s">
        <v>550</v>
      </c>
      <c r="E927" s="24">
        <v>1</v>
      </c>
      <c r="F927" s="24" t="s">
        <v>997</v>
      </c>
      <c r="G927" s="24">
        <v>0</v>
      </c>
      <c r="H927" s="24">
        <v>0</v>
      </c>
      <c r="I927" s="24">
        <v>99999</v>
      </c>
      <c r="J927" s="24">
        <v>0</v>
      </c>
      <c r="K927" s="24">
        <v>3</v>
      </c>
      <c r="L927" s="24" t="s">
        <v>1562</v>
      </c>
      <c r="M927" s="24">
        <v>1</v>
      </c>
      <c r="N927" s="24">
        <v>1</v>
      </c>
      <c r="Q927" s="24">
        <v>0</v>
      </c>
      <c r="R927" s="24">
        <v>0</v>
      </c>
      <c r="S927" s="24">
        <v>1</v>
      </c>
      <c r="T927" s="24">
        <v>0</v>
      </c>
      <c r="V927" s="24">
        <v>0</v>
      </c>
      <c r="W927" s="24">
        <v>0</v>
      </c>
      <c r="X927" s="6" t="s">
        <v>3081</v>
      </c>
      <c r="Y927" s="24" t="s">
        <v>3078</v>
      </c>
      <c r="Z927" s="24" t="s">
        <v>3080</v>
      </c>
      <c r="AA927" s="24" t="s">
        <v>527</v>
      </c>
      <c r="AB927" s="24">
        <v>0</v>
      </c>
      <c r="AC927" s="24">
        <v>16</v>
      </c>
      <c r="AD927" s="24">
        <v>0</v>
      </c>
      <c r="AE927" s="24">
        <v>0</v>
      </c>
      <c r="AF927" s="24">
        <v>0</v>
      </c>
      <c r="AI927" s="24">
        <v>0</v>
      </c>
      <c r="AJ927" s="24">
        <v>0</v>
      </c>
      <c r="AK927" s="24">
        <v>0</v>
      </c>
      <c r="AL927" s="24">
        <v>0</v>
      </c>
      <c r="AM927" s="24">
        <v>0</v>
      </c>
      <c r="AN927" s="24">
        <v>0</v>
      </c>
      <c r="AP927" s="24">
        <v>1</v>
      </c>
      <c r="AQ927" s="24">
        <v>1</v>
      </c>
      <c r="AR927" s="24">
        <v>1</v>
      </c>
      <c r="AS927" s="24">
        <v>0</v>
      </c>
      <c r="AT927" s="24">
        <v>1</v>
      </c>
      <c r="BE927" s="24">
        <v>240</v>
      </c>
      <c r="BG927" s="24">
        <v>2</v>
      </c>
      <c r="BL927" s="7">
        <v>0</v>
      </c>
    </row>
    <row r="928" spans="1:64" s="7" customFormat="1">
      <c r="A928" s="7">
        <v>1500025</v>
      </c>
      <c r="B928" s="7" t="s">
        <v>3175</v>
      </c>
      <c r="C928" s="7" t="s">
        <v>540</v>
      </c>
      <c r="D928" s="7" t="s">
        <v>550</v>
      </c>
      <c r="E928" s="7">
        <v>1</v>
      </c>
      <c r="F928" s="7" t="s">
        <v>959</v>
      </c>
      <c r="G928" s="7">
        <v>0</v>
      </c>
      <c r="H928" s="7">
        <v>0</v>
      </c>
      <c r="I928" s="7">
        <v>99999</v>
      </c>
      <c r="J928" s="7">
        <v>0</v>
      </c>
      <c r="K928" s="7">
        <v>3</v>
      </c>
      <c r="L928" s="7" t="s">
        <v>1562</v>
      </c>
      <c r="M928" s="7">
        <v>1</v>
      </c>
      <c r="N928" s="7">
        <v>1</v>
      </c>
      <c r="Q928" s="7">
        <v>0</v>
      </c>
      <c r="R928" s="7">
        <v>0</v>
      </c>
      <c r="S928" s="7">
        <v>1</v>
      </c>
      <c r="T928" s="7">
        <v>0</v>
      </c>
      <c r="V928" s="7">
        <v>0</v>
      </c>
      <c r="W928" s="7">
        <v>0</v>
      </c>
      <c r="X928" s="6" t="s">
        <v>3173</v>
      </c>
      <c r="Y928" s="7" t="s">
        <v>1694</v>
      </c>
      <c r="Z928" s="7" t="s">
        <v>3174</v>
      </c>
      <c r="AA928" s="7" t="s">
        <v>527</v>
      </c>
      <c r="AB928" s="7">
        <v>0</v>
      </c>
      <c r="AC928" s="7">
        <v>16</v>
      </c>
      <c r="AD928" s="7">
        <v>0</v>
      </c>
      <c r="AE928" s="7">
        <v>0</v>
      </c>
      <c r="AF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P928" s="7">
        <v>1</v>
      </c>
      <c r="AQ928" s="7">
        <v>1</v>
      </c>
      <c r="AR928" s="7">
        <v>0</v>
      </c>
      <c r="AS928" s="7">
        <v>0</v>
      </c>
      <c r="AT928" s="7">
        <v>1</v>
      </c>
      <c r="BE928" s="7">
        <v>240</v>
      </c>
      <c r="BG928" s="7">
        <v>2</v>
      </c>
      <c r="BL928" s="7">
        <v>0</v>
      </c>
    </row>
    <row r="929" spans="1:64" s="7" customFormat="1">
      <c r="A929" s="7">
        <v>1500026</v>
      </c>
      <c r="B929" s="7" t="s">
        <v>3265</v>
      </c>
      <c r="C929" s="7" t="s">
        <v>540</v>
      </c>
      <c r="D929" s="7" t="s">
        <v>550</v>
      </c>
      <c r="E929" s="7">
        <v>1</v>
      </c>
      <c r="F929" s="7" t="s">
        <v>959</v>
      </c>
      <c r="G929" s="7">
        <v>0</v>
      </c>
      <c r="H929" s="7">
        <v>0</v>
      </c>
      <c r="I929" s="7">
        <v>99999</v>
      </c>
      <c r="J929" s="7">
        <v>0</v>
      </c>
      <c r="K929" s="7">
        <v>3</v>
      </c>
      <c r="L929" s="7" t="s">
        <v>1562</v>
      </c>
      <c r="M929" s="7">
        <v>1</v>
      </c>
      <c r="N929" s="7">
        <v>1</v>
      </c>
      <c r="Q929" s="7">
        <v>0</v>
      </c>
      <c r="R929" s="7">
        <v>0</v>
      </c>
      <c r="S929" s="7">
        <v>1</v>
      </c>
      <c r="T929" s="7">
        <v>0</v>
      </c>
      <c r="V929" s="7">
        <v>0</v>
      </c>
      <c r="W929" s="7">
        <v>0</v>
      </c>
      <c r="X929" s="6" t="s">
        <v>3268</v>
      </c>
      <c r="Y929" s="7" t="s">
        <v>1677</v>
      </c>
      <c r="Z929" s="7" t="s">
        <v>3271</v>
      </c>
      <c r="AA929" s="7" t="s">
        <v>527</v>
      </c>
      <c r="AB929" s="7">
        <v>0</v>
      </c>
      <c r="AC929" s="7">
        <v>16</v>
      </c>
      <c r="AD929" s="7">
        <v>0</v>
      </c>
      <c r="AE929" s="7">
        <v>0</v>
      </c>
      <c r="AF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P929" s="7">
        <v>1</v>
      </c>
      <c r="AQ929" s="7">
        <v>1</v>
      </c>
      <c r="AR929" s="7">
        <v>0</v>
      </c>
      <c r="AS929" s="7">
        <v>0</v>
      </c>
      <c r="AT929" s="7">
        <v>1</v>
      </c>
      <c r="BE929" s="7">
        <v>240</v>
      </c>
      <c r="BG929" s="7">
        <v>2</v>
      </c>
      <c r="BL929" s="7">
        <v>0</v>
      </c>
    </row>
    <row r="930" spans="1:64" s="7" customFormat="1">
      <c r="A930" s="7">
        <v>1500027</v>
      </c>
      <c r="B930" s="7" t="s">
        <v>3266</v>
      </c>
      <c r="C930" s="7" t="s">
        <v>540</v>
      </c>
      <c r="D930" s="7" t="s">
        <v>550</v>
      </c>
      <c r="E930" s="7">
        <v>1</v>
      </c>
      <c r="F930" s="7" t="s">
        <v>959</v>
      </c>
      <c r="G930" s="7">
        <v>0</v>
      </c>
      <c r="H930" s="7">
        <v>0</v>
      </c>
      <c r="I930" s="7">
        <v>99999</v>
      </c>
      <c r="J930" s="7">
        <v>0</v>
      </c>
      <c r="K930" s="7">
        <v>3</v>
      </c>
      <c r="L930" s="7" t="s">
        <v>1562</v>
      </c>
      <c r="M930" s="7">
        <v>1</v>
      </c>
      <c r="N930" s="7">
        <v>1</v>
      </c>
      <c r="Q930" s="7">
        <v>0</v>
      </c>
      <c r="R930" s="7">
        <v>0</v>
      </c>
      <c r="S930" s="7">
        <v>1</v>
      </c>
      <c r="T930" s="7">
        <v>0</v>
      </c>
      <c r="V930" s="7">
        <v>0</v>
      </c>
      <c r="W930" s="7">
        <v>0</v>
      </c>
      <c r="X930" s="6" t="s">
        <v>3269</v>
      </c>
      <c r="Y930" s="7" t="s">
        <v>3270</v>
      </c>
      <c r="Z930" s="7" t="s">
        <v>3272</v>
      </c>
      <c r="AA930" s="7" t="s">
        <v>527</v>
      </c>
      <c r="AB930" s="7">
        <v>0</v>
      </c>
      <c r="AC930" s="7">
        <v>16</v>
      </c>
      <c r="AD930" s="7">
        <v>0</v>
      </c>
      <c r="AE930" s="7">
        <v>0</v>
      </c>
      <c r="AF930" s="7">
        <v>0</v>
      </c>
      <c r="AI930" s="7">
        <v>0</v>
      </c>
      <c r="AJ930" s="7">
        <v>0</v>
      </c>
      <c r="AK930" s="7">
        <v>0</v>
      </c>
      <c r="AL930" s="7">
        <v>0</v>
      </c>
      <c r="AM930" s="7">
        <v>0</v>
      </c>
      <c r="AN930" s="7">
        <v>0</v>
      </c>
      <c r="AP930" s="7">
        <v>1</v>
      </c>
      <c r="AQ930" s="7">
        <v>1</v>
      </c>
      <c r="AR930" s="7">
        <v>0</v>
      </c>
      <c r="AS930" s="7">
        <v>0</v>
      </c>
      <c r="AT930" s="7">
        <v>1</v>
      </c>
      <c r="BE930" s="7">
        <v>240</v>
      </c>
      <c r="BG930" s="7">
        <v>2</v>
      </c>
      <c r="BL930" s="7">
        <v>0</v>
      </c>
    </row>
    <row r="931" spans="1:64" s="7" customFormat="1">
      <c r="A931" s="7">
        <v>1500028</v>
      </c>
      <c r="B931" s="7" t="s">
        <v>3351</v>
      </c>
      <c r="C931" s="7" t="s">
        <v>540</v>
      </c>
      <c r="D931" s="7" t="s">
        <v>550</v>
      </c>
      <c r="E931" s="7">
        <v>1</v>
      </c>
      <c r="F931" s="7" t="s">
        <v>959</v>
      </c>
      <c r="G931" s="7">
        <v>0</v>
      </c>
      <c r="H931" s="7">
        <v>0</v>
      </c>
      <c r="I931" s="7">
        <v>99999</v>
      </c>
      <c r="J931" s="7">
        <v>0</v>
      </c>
      <c r="K931" s="7">
        <v>3</v>
      </c>
      <c r="L931" s="7" t="s">
        <v>1562</v>
      </c>
      <c r="M931" s="7">
        <v>1</v>
      </c>
      <c r="N931" s="7">
        <v>1</v>
      </c>
      <c r="Q931" s="7">
        <v>0</v>
      </c>
      <c r="R931" s="7">
        <v>0</v>
      </c>
      <c r="S931" s="7">
        <v>1</v>
      </c>
      <c r="T931" s="7">
        <v>0</v>
      </c>
      <c r="V931" s="7">
        <v>0</v>
      </c>
      <c r="W931" s="7">
        <v>0</v>
      </c>
      <c r="X931" s="6" t="s">
        <v>3353</v>
      </c>
      <c r="Y931" s="7" t="s">
        <v>1677</v>
      </c>
      <c r="Z931" s="7" t="s">
        <v>3352</v>
      </c>
      <c r="AA931" s="7" t="s">
        <v>527</v>
      </c>
      <c r="AB931" s="7">
        <v>0</v>
      </c>
      <c r="AC931" s="7">
        <v>16</v>
      </c>
      <c r="AD931" s="7">
        <v>0</v>
      </c>
      <c r="AE931" s="7">
        <v>0</v>
      </c>
      <c r="AF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P931" s="7">
        <v>1</v>
      </c>
      <c r="AQ931" s="7">
        <v>1</v>
      </c>
      <c r="AR931" s="7">
        <v>0</v>
      </c>
      <c r="AS931" s="7">
        <v>0</v>
      </c>
      <c r="AT931" s="7">
        <v>1</v>
      </c>
      <c r="BE931" s="7">
        <v>240</v>
      </c>
      <c r="BG931" s="7">
        <v>2</v>
      </c>
      <c r="BL931" s="7">
        <v>0</v>
      </c>
    </row>
    <row r="932" spans="1:64" s="7" customFormat="1">
      <c r="A932" s="7">
        <v>1500029</v>
      </c>
      <c r="B932" s="7" t="s">
        <v>3347</v>
      </c>
      <c r="C932" s="7" t="s">
        <v>540</v>
      </c>
      <c r="D932" s="7" t="s">
        <v>550</v>
      </c>
      <c r="E932" s="7">
        <v>1</v>
      </c>
      <c r="F932" s="7" t="s">
        <v>959</v>
      </c>
      <c r="G932" s="7">
        <v>0</v>
      </c>
      <c r="H932" s="7">
        <v>0</v>
      </c>
      <c r="I932" s="7">
        <v>99999</v>
      </c>
      <c r="J932" s="7">
        <v>0</v>
      </c>
      <c r="K932" s="7">
        <v>3</v>
      </c>
      <c r="L932" s="7" t="s">
        <v>1562</v>
      </c>
      <c r="M932" s="7">
        <v>1</v>
      </c>
      <c r="N932" s="7">
        <v>1</v>
      </c>
      <c r="Q932" s="7">
        <v>0</v>
      </c>
      <c r="R932" s="7">
        <v>0</v>
      </c>
      <c r="S932" s="7">
        <v>1</v>
      </c>
      <c r="T932" s="7">
        <v>0</v>
      </c>
      <c r="V932" s="7">
        <v>0</v>
      </c>
      <c r="W932" s="7">
        <v>0</v>
      </c>
      <c r="X932" s="6" t="s">
        <v>3346</v>
      </c>
      <c r="Y932" s="7" t="s">
        <v>1677</v>
      </c>
      <c r="Z932" s="7" t="s">
        <v>3345</v>
      </c>
      <c r="AA932" s="7" t="s">
        <v>527</v>
      </c>
      <c r="AB932" s="7">
        <v>0</v>
      </c>
      <c r="AC932" s="7">
        <v>16</v>
      </c>
      <c r="AD932" s="7">
        <v>0</v>
      </c>
      <c r="AE932" s="7">
        <v>0</v>
      </c>
      <c r="AF932" s="7">
        <v>0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P932" s="7">
        <v>1</v>
      </c>
      <c r="AQ932" s="7">
        <v>1</v>
      </c>
      <c r="AR932" s="7">
        <v>0</v>
      </c>
      <c r="AS932" s="7">
        <v>0</v>
      </c>
      <c r="AT932" s="7">
        <v>1</v>
      </c>
      <c r="BE932" s="7">
        <v>240</v>
      </c>
      <c r="BG932" s="7">
        <v>2</v>
      </c>
      <c r="BL932" s="7">
        <v>0</v>
      </c>
    </row>
    <row r="933" spans="1:64" s="7" customFormat="1">
      <c r="A933" s="7">
        <v>1500030</v>
      </c>
      <c r="B933" s="7" t="s">
        <v>3360</v>
      </c>
      <c r="C933" s="7" t="s">
        <v>540</v>
      </c>
      <c r="D933" s="7" t="s">
        <v>550</v>
      </c>
      <c r="E933" s="7">
        <v>1</v>
      </c>
      <c r="F933" s="7" t="s">
        <v>959</v>
      </c>
      <c r="G933" s="7">
        <v>0</v>
      </c>
      <c r="H933" s="7">
        <v>0</v>
      </c>
      <c r="I933" s="7">
        <v>99999</v>
      </c>
      <c r="J933" s="7">
        <v>0</v>
      </c>
      <c r="K933" s="7">
        <v>3</v>
      </c>
      <c r="L933" s="7" t="s">
        <v>1562</v>
      </c>
      <c r="M933" s="7">
        <v>1</v>
      </c>
      <c r="N933" s="7">
        <v>1</v>
      </c>
      <c r="Q933" s="7">
        <v>0</v>
      </c>
      <c r="R933" s="7">
        <v>0</v>
      </c>
      <c r="S933" s="7">
        <v>1</v>
      </c>
      <c r="T933" s="7">
        <v>0</v>
      </c>
      <c r="V933" s="7">
        <v>0</v>
      </c>
      <c r="W933" s="7">
        <v>0</v>
      </c>
      <c r="X933" s="6" t="s">
        <v>3368</v>
      </c>
      <c r="Y933" s="7" t="s">
        <v>3377</v>
      </c>
      <c r="Z933" s="7" t="s">
        <v>3378</v>
      </c>
      <c r="AA933" s="7" t="s">
        <v>527</v>
      </c>
      <c r="AB933" s="7">
        <v>0</v>
      </c>
      <c r="AC933" s="7">
        <v>16</v>
      </c>
      <c r="AD933" s="7">
        <v>0</v>
      </c>
      <c r="AE933" s="7">
        <v>0</v>
      </c>
      <c r="AF933" s="7">
        <v>0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P933" s="7">
        <v>1</v>
      </c>
      <c r="AQ933" s="7">
        <v>1</v>
      </c>
      <c r="AR933" s="7">
        <v>0</v>
      </c>
      <c r="AS933" s="7">
        <v>0</v>
      </c>
      <c r="AT933" s="7">
        <v>1</v>
      </c>
      <c r="BE933" s="7">
        <v>240</v>
      </c>
      <c r="BG933" s="7">
        <v>2</v>
      </c>
      <c r="BL933" s="7">
        <v>0</v>
      </c>
    </row>
    <row r="934" spans="1:64" s="7" customFormat="1">
      <c r="A934" s="7">
        <v>1500031</v>
      </c>
      <c r="B934" s="7" t="s">
        <v>3361</v>
      </c>
      <c r="C934" s="7" t="s">
        <v>540</v>
      </c>
      <c r="D934" s="7" t="s">
        <v>550</v>
      </c>
      <c r="E934" s="7">
        <v>1</v>
      </c>
      <c r="F934" s="7" t="s">
        <v>959</v>
      </c>
      <c r="G934" s="7">
        <v>0</v>
      </c>
      <c r="H934" s="7">
        <v>0</v>
      </c>
      <c r="I934" s="7">
        <v>99999</v>
      </c>
      <c r="J934" s="7">
        <v>0</v>
      </c>
      <c r="K934" s="7">
        <v>3</v>
      </c>
      <c r="L934" s="7" t="s">
        <v>1562</v>
      </c>
      <c r="M934" s="7">
        <v>1</v>
      </c>
      <c r="N934" s="7">
        <v>1</v>
      </c>
      <c r="Q934" s="7">
        <v>0</v>
      </c>
      <c r="R934" s="7">
        <v>0</v>
      </c>
      <c r="S934" s="7">
        <v>1</v>
      </c>
      <c r="T934" s="7">
        <v>0</v>
      </c>
      <c r="V934" s="7">
        <v>0</v>
      </c>
      <c r="W934" s="7">
        <v>0</v>
      </c>
      <c r="X934" s="6" t="s">
        <v>3362</v>
      </c>
      <c r="Y934" s="7" t="s">
        <v>3376</v>
      </c>
      <c r="Z934" s="7" t="s">
        <v>3379</v>
      </c>
      <c r="AA934" s="7" t="s">
        <v>527</v>
      </c>
      <c r="AB934" s="7">
        <v>0</v>
      </c>
      <c r="AC934" s="7">
        <v>16</v>
      </c>
      <c r="AD934" s="7">
        <v>0</v>
      </c>
      <c r="AE934" s="7">
        <v>0</v>
      </c>
      <c r="AF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P934" s="7">
        <v>1</v>
      </c>
      <c r="AQ934" s="7">
        <v>1</v>
      </c>
      <c r="AR934" s="7">
        <v>0</v>
      </c>
      <c r="AS934" s="7">
        <v>0</v>
      </c>
      <c r="AT934" s="7">
        <v>1</v>
      </c>
      <c r="BE934" s="7">
        <v>240</v>
      </c>
      <c r="BG934" s="7">
        <v>2</v>
      </c>
      <c r="BL934" s="7">
        <v>0</v>
      </c>
    </row>
    <row r="935" spans="1:64" s="7" customFormat="1">
      <c r="A935" s="7">
        <v>1500032</v>
      </c>
      <c r="B935" s="7" t="s">
        <v>3363</v>
      </c>
      <c r="C935" s="7" t="s">
        <v>540</v>
      </c>
      <c r="D935" s="7" t="s">
        <v>550</v>
      </c>
      <c r="E935" s="7">
        <v>1</v>
      </c>
      <c r="F935" s="7" t="s">
        <v>959</v>
      </c>
      <c r="G935" s="7">
        <v>0</v>
      </c>
      <c r="H935" s="7">
        <v>0</v>
      </c>
      <c r="I935" s="7">
        <v>99999</v>
      </c>
      <c r="J935" s="7">
        <v>0</v>
      </c>
      <c r="K935" s="7">
        <v>3</v>
      </c>
      <c r="L935" s="7" t="s">
        <v>1562</v>
      </c>
      <c r="M935" s="7">
        <v>1</v>
      </c>
      <c r="N935" s="7">
        <v>1</v>
      </c>
      <c r="Q935" s="7">
        <v>0</v>
      </c>
      <c r="R935" s="7">
        <v>0</v>
      </c>
      <c r="S935" s="7">
        <v>1</v>
      </c>
      <c r="T935" s="7">
        <v>0</v>
      </c>
      <c r="V935" s="7">
        <v>0</v>
      </c>
      <c r="W935" s="7">
        <v>0</v>
      </c>
      <c r="X935" s="6" t="s">
        <v>3369</v>
      </c>
      <c r="Y935" s="7" t="s">
        <v>1678</v>
      </c>
      <c r="Z935" s="7" t="s">
        <v>3380</v>
      </c>
      <c r="AA935" s="7" t="s">
        <v>527</v>
      </c>
      <c r="AB935" s="7">
        <v>0</v>
      </c>
      <c r="AC935" s="7">
        <v>16</v>
      </c>
      <c r="AD935" s="7">
        <v>0</v>
      </c>
      <c r="AE935" s="7">
        <v>0</v>
      </c>
      <c r="AF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P935" s="7">
        <v>1</v>
      </c>
      <c r="AQ935" s="7">
        <v>1</v>
      </c>
      <c r="AR935" s="7">
        <v>0</v>
      </c>
      <c r="AS935" s="7">
        <v>0</v>
      </c>
      <c r="AT935" s="7">
        <v>1</v>
      </c>
      <c r="BE935" s="7">
        <v>240</v>
      </c>
      <c r="BG935" s="7">
        <v>2</v>
      </c>
      <c r="BL935" s="7">
        <v>0</v>
      </c>
    </row>
    <row r="936" spans="1:64" s="7" customFormat="1">
      <c r="A936" s="7">
        <v>1500033</v>
      </c>
      <c r="B936" s="7" t="s">
        <v>3364</v>
      </c>
      <c r="C936" s="7" t="s">
        <v>540</v>
      </c>
      <c r="D936" s="7" t="s">
        <v>550</v>
      </c>
      <c r="E936" s="7">
        <v>1</v>
      </c>
      <c r="F936" s="7" t="s">
        <v>959</v>
      </c>
      <c r="G936" s="7">
        <v>0</v>
      </c>
      <c r="H936" s="7">
        <v>0</v>
      </c>
      <c r="I936" s="7">
        <v>99999</v>
      </c>
      <c r="J936" s="7">
        <v>0</v>
      </c>
      <c r="K936" s="7">
        <v>3</v>
      </c>
      <c r="L936" s="7" t="s">
        <v>1562</v>
      </c>
      <c r="M936" s="7">
        <v>1</v>
      </c>
      <c r="N936" s="7">
        <v>1</v>
      </c>
      <c r="Q936" s="7">
        <v>0</v>
      </c>
      <c r="R936" s="7">
        <v>0</v>
      </c>
      <c r="S936" s="7">
        <v>1</v>
      </c>
      <c r="T936" s="7">
        <v>0</v>
      </c>
      <c r="V936" s="7">
        <v>0</v>
      </c>
      <c r="W936" s="7">
        <v>0</v>
      </c>
      <c r="X936" s="6" t="s">
        <v>3370</v>
      </c>
      <c r="Y936" s="7" t="s">
        <v>1678</v>
      </c>
      <c r="Z936" s="7" t="s">
        <v>3380</v>
      </c>
      <c r="AA936" s="7" t="s">
        <v>527</v>
      </c>
      <c r="AB936" s="7">
        <v>0</v>
      </c>
      <c r="AC936" s="7">
        <v>16</v>
      </c>
      <c r="AD936" s="7">
        <v>0</v>
      </c>
      <c r="AE936" s="7">
        <v>0</v>
      </c>
      <c r="AF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P936" s="7">
        <v>1</v>
      </c>
      <c r="AQ936" s="7">
        <v>1</v>
      </c>
      <c r="AR936" s="7">
        <v>0</v>
      </c>
      <c r="AS936" s="7">
        <v>0</v>
      </c>
      <c r="AT936" s="7">
        <v>1</v>
      </c>
      <c r="BE936" s="7">
        <v>240</v>
      </c>
      <c r="BG936" s="7">
        <v>2</v>
      </c>
      <c r="BL936" s="7">
        <v>0</v>
      </c>
    </row>
    <row r="937" spans="1:64" s="7" customFormat="1">
      <c r="A937" s="7">
        <v>1500034</v>
      </c>
      <c r="B937" s="7" t="s">
        <v>3365</v>
      </c>
      <c r="C937" s="7" t="s">
        <v>540</v>
      </c>
      <c r="D937" s="7" t="s">
        <v>550</v>
      </c>
      <c r="E937" s="7">
        <v>1</v>
      </c>
      <c r="F937" s="7" t="s">
        <v>959</v>
      </c>
      <c r="G937" s="7">
        <v>0</v>
      </c>
      <c r="H937" s="7">
        <v>0</v>
      </c>
      <c r="I937" s="7">
        <v>99999</v>
      </c>
      <c r="J937" s="7">
        <v>0</v>
      </c>
      <c r="K937" s="7">
        <v>3</v>
      </c>
      <c r="L937" s="7" t="s">
        <v>1562</v>
      </c>
      <c r="M937" s="7">
        <v>1</v>
      </c>
      <c r="N937" s="7">
        <v>1</v>
      </c>
      <c r="Q937" s="7">
        <v>0</v>
      </c>
      <c r="R937" s="7">
        <v>0</v>
      </c>
      <c r="S937" s="7">
        <v>1</v>
      </c>
      <c r="T937" s="7">
        <v>0</v>
      </c>
      <c r="V937" s="7">
        <v>0</v>
      </c>
      <c r="W937" s="7">
        <v>0</v>
      </c>
      <c r="X937" s="6" t="s">
        <v>3371</v>
      </c>
      <c r="Y937" s="7" t="s">
        <v>1678</v>
      </c>
      <c r="Z937" s="7" t="s">
        <v>3381</v>
      </c>
      <c r="AA937" s="7" t="s">
        <v>527</v>
      </c>
      <c r="AB937" s="7">
        <v>0</v>
      </c>
      <c r="AC937" s="7">
        <v>16</v>
      </c>
      <c r="AD937" s="7">
        <v>0</v>
      </c>
      <c r="AE937" s="7">
        <v>0</v>
      </c>
      <c r="AF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P937" s="7">
        <v>1</v>
      </c>
      <c r="AQ937" s="7">
        <v>1</v>
      </c>
      <c r="AR937" s="7">
        <v>0</v>
      </c>
      <c r="AS937" s="7">
        <v>0</v>
      </c>
      <c r="AT937" s="7">
        <v>1</v>
      </c>
      <c r="BE937" s="7">
        <v>240</v>
      </c>
      <c r="BG937" s="7">
        <v>2</v>
      </c>
      <c r="BL937" s="7">
        <v>0</v>
      </c>
    </row>
    <row r="938" spans="1:64" s="7" customFormat="1">
      <c r="A938" s="7">
        <v>1500035</v>
      </c>
      <c r="B938" s="7" t="s">
        <v>3366</v>
      </c>
      <c r="C938" s="7" t="s">
        <v>540</v>
      </c>
      <c r="D938" s="7" t="s">
        <v>550</v>
      </c>
      <c r="E938" s="7">
        <v>1</v>
      </c>
      <c r="F938" s="7" t="s">
        <v>959</v>
      </c>
      <c r="G938" s="7">
        <v>0</v>
      </c>
      <c r="H938" s="7">
        <v>0</v>
      </c>
      <c r="I938" s="7">
        <v>99999</v>
      </c>
      <c r="J938" s="7">
        <v>0</v>
      </c>
      <c r="K938" s="7">
        <v>3</v>
      </c>
      <c r="L938" s="7" t="s">
        <v>1562</v>
      </c>
      <c r="M938" s="7">
        <v>1</v>
      </c>
      <c r="N938" s="7">
        <v>1</v>
      </c>
      <c r="Q938" s="7">
        <v>0</v>
      </c>
      <c r="R938" s="7">
        <v>0</v>
      </c>
      <c r="S938" s="7">
        <v>1</v>
      </c>
      <c r="T938" s="7">
        <v>0</v>
      </c>
      <c r="V938" s="7">
        <v>0</v>
      </c>
      <c r="W938" s="7">
        <v>0</v>
      </c>
      <c r="X938" s="6" t="s">
        <v>3372</v>
      </c>
      <c r="Y938" s="7" t="s">
        <v>3374</v>
      </c>
      <c r="Z938" s="7" t="s">
        <v>3382</v>
      </c>
      <c r="AA938" s="7" t="s">
        <v>527</v>
      </c>
      <c r="AB938" s="7">
        <v>0</v>
      </c>
      <c r="AC938" s="7">
        <v>16</v>
      </c>
      <c r="AD938" s="7">
        <v>0</v>
      </c>
      <c r="AE938" s="7">
        <v>0</v>
      </c>
      <c r="AF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P938" s="7">
        <v>1</v>
      </c>
      <c r="AQ938" s="7">
        <v>1</v>
      </c>
      <c r="AR938" s="7">
        <v>0</v>
      </c>
      <c r="AS938" s="7">
        <v>0</v>
      </c>
      <c r="AT938" s="7">
        <v>1</v>
      </c>
      <c r="BE938" s="7">
        <v>240</v>
      </c>
      <c r="BG938" s="7">
        <v>2</v>
      </c>
      <c r="BL938" s="7">
        <v>0</v>
      </c>
    </row>
    <row r="939" spans="1:64" s="7" customFormat="1">
      <c r="A939" s="7">
        <v>1500036</v>
      </c>
      <c r="B939" s="7" t="s">
        <v>3367</v>
      </c>
      <c r="C939" s="7" t="s">
        <v>540</v>
      </c>
      <c r="D939" s="7" t="s">
        <v>550</v>
      </c>
      <c r="E939" s="7">
        <v>1</v>
      </c>
      <c r="F939" s="7" t="s">
        <v>959</v>
      </c>
      <c r="G939" s="7">
        <v>0</v>
      </c>
      <c r="H939" s="7">
        <v>0</v>
      </c>
      <c r="I939" s="7">
        <v>99999</v>
      </c>
      <c r="J939" s="7">
        <v>0</v>
      </c>
      <c r="K939" s="7">
        <v>3</v>
      </c>
      <c r="L939" s="7" t="s">
        <v>1562</v>
      </c>
      <c r="M939" s="7">
        <v>1</v>
      </c>
      <c r="N939" s="7">
        <v>1</v>
      </c>
      <c r="Q939" s="7">
        <v>0</v>
      </c>
      <c r="R939" s="7">
        <v>0</v>
      </c>
      <c r="S939" s="7">
        <v>1</v>
      </c>
      <c r="T939" s="7">
        <v>0</v>
      </c>
      <c r="V939" s="7">
        <v>0</v>
      </c>
      <c r="W939" s="7">
        <v>0</v>
      </c>
      <c r="X939" s="6" t="s">
        <v>3373</v>
      </c>
      <c r="Y939" s="7" t="s">
        <v>3375</v>
      </c>
      <c r="Z939" s="7" t="s">
        <v>3382</v>
      </c>
      <c r="AA939" s="7" t="s">
        <v>527</v>
      </c>
      <c r="AB939" s="7">
        <v>0</v>
      </c>
      <c r="AC939" s="7">
        <v>16</v>
      </c>
      <c r="AD939" s="7">
        <v>0</v>
      </c>
      <c r="AE939" s="7">
        <v>0</v>
      </c>
      <c r="AF939" s="7">
        <v>0</v>
      </c>
      <c r="AI939" s="7">
        <v>0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P939" s="7">
        <v>1</v>
      </c>
      <c r="AQ939" s="7">
        <v>1</v>
      </c>
      <c r="AR939" s="7">
        <v>0</v>
      </c>
      <c r="AS939" s="7">
        <v>0</v>
      </c>
      <c r="AT939" s="7">
        <v>1</v>
      </c>
      <c r="BE939" s="7">
        <v>240</v>
      </c>
      <c r="BG939" s="7">
        <v>2</v>
      </c>
      <c r="BL939" s="7">
        <v>0</v>
      </c>
    </row>
    <row r="940" spans="1:64" s="7" customFormat="1">
      <c r="A940" s="7">
        <v>1500037</v>
      </c>
      <c r="B940" s="7" t="s">
        <v>3388</v>
      </c>
      <c r="C940" s="7" t="s">
        <v>540</v>
      </c>
      <c r="D940" s="7" t="s">
        <v>550</v>
      </c>
      <c r="E940" s="7">
        <v>1</v>
      </c>
      <c r="F940" s="7" t="s">
        <v>959</v>
      </c>
      <c r="G940" s="7">
        <v>0</v>
      </c>
      <c r="H940" s="7">
        <v>0</v>
      </c>
      <c r="I940" s="7">
        <v>99999</v>
      </c>
      <c r="J940" s="7">
        <v>0</v>
      </c>
      <c r="K940" s="7">
        <v>3</v>
      </c>
      <c r="L940" s="7" t="s">
        <v>1562</v>
      </c>
      <c r="M940" s="7">
        <v>1</v>
      </c>
      <c r="N940" s="7">
        <v>1</v>
      </c>
      <c r="Q940" s="7">
        <v>0</v>
      </c>
      <c r="R940" s="7">
        <v>0</v>
      </c>
      <c r="S940" s="7">
        <v>1</v>
      </c>
      <c r="T940" s="7">
        <v>0</v>
      </c>
      <c r="V940" s="7">
        <v>0</v>
      </c>
      <c r="W940" s="7">
        <v>0</v>
      </c>
      <c r="X940" s="34" t="s">
        <v>3390</v>
      </c>
      <c r="Y940" s="7" t="s">
        <v>1678</v>
      </c>
      <c r="Z940" s="7" t="s">
        <v>3389</v>
      </c>
      <c r="AA940" s="7" t="s">
        <v>527</v>
      </c>
      <c r="AB940" s="7">
        <v>0</v>
      </c>
      <c r="AC940" s="7">
        <v>16</v>
      </c>
      <c r="AD940" s="7">
        <v>0</v>
      </c>
      <c r="AE940" s="7">
        <v>0</v>
      </c>
      <c r="AF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P940" s="7">
        <v>1</v>
      </c>
      <c r="AQ940" s="7">
        <v>1</v>
      </c>
      <c r="AR940" s="7">
        <v>0</v>
      </c>
      <c r="AS940" s="7">
        <v>0</v>
      </c>
      <c r="AT940" s="7">
        <v>1</v>
      </c>
      <c r="BE940" s="7">
        <v>240</v>
      </c>
      <c r="BG940" s="7">
        <v>2</v>
      </c>
      <c r="BL940" s="7">
        <v>0</v>
      </c>
    </row>
    <row r="941" spans="1:64" s="7" customFormat="1">
      <c r="A941" s="7">
        <v>1500038</v>
      </c>
      <c r="B941" s="7" t="s">
        <v>3391</v>
      </c>
      <c r="C941" s="7" t="s">
        <v>540</v>
      </c>
      <c r="D941" s="7" t="s">
        <v>550</v>
      </c>
      <c r="E941" s="7">
        <v>1</v>
      </c>
      <c r="F941" s="7" t="s">
        <v>959</v>
      </c>
      <c r="G941" s="7">
        <v>0</v>
      </c>
      <c r="H941" s="7">
        <v>0</v>
      </c>
      <c r="I941" s="7">
        <v>99999</v>
      </c>
      <c r="J941" s="7">
        <v>0</v>
      </c>
      <c r="K941" s="7">
        <v>3</v>
      </c>
      <c r="L941" s="7" t="s">
        <v>1562</v>
      </c>
      <c r="M941" s="7">
        <v>1</v>
      </c>
      <c r="N941" s="7">
        <v>1</v>
      </c>
      <c r="Q941" s="7">
        <v>0</v>
      </c>
      <c r="R941" s="7">
        <v>0</v>
      </c>
      <c r="S941" s="7">
        <v>1</v>
      </c>
      <c r="T941" s="7">
        <v>0</v>
      </c>
      <c r="V941" s="7">
        <v>0</v>
      </c>
      <c r="W941" s="7">
        <v>0</v>
      </c>
      <c r="X941" s="31" t="s">
        <v>3393</v>
      </c>
      <c r="Y941" s="7" t="s">
        <v>1678</v>
      </c>
      <c r="Z941" s="7" t="s">
        <v>3392</v>
      </c>
      <c r="AA941" s="7" t="s">
        <v>527</v>
      </c>
      <c r="AB941" s="7">
        <v>0</v>
      </c>
      <c r="AC941" s="7">
        <v>16</v>
      </c>
      <c r="AD941" s="7">
        <v>0</v>
      </c>
      <c r="AE941" s="7">
        <v>0</v>
      </c>
      <c r="AF941" s="7">
        <v>0</v>
      </c>
      <c r="AI941" s="7">
        <v>0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P941" s="7">
        <v>1</v>
      </c>
      <c r="AQ941" s="7">
        <v>1</v>
      </c>
      <c r="AR941" s="7">
        <v>0</v>
      </c>
      <c r="AS941" s="7">
        <v>0</v>
      </c>
      <c r="AT941" s="7">
        <v>1</v>
      </c>
      <c r="BE941" s="7">
        <v>240</v>
      </c>
      <c r="BG941" s="7">
        <v>2</v>
      </c>
      <c r="BL941" s="7">
        <v>0</v>
      </c>
    </row>
    <row r="942" spans="1:64" s="7" customFormat="1">
      <c r="A942" s="7">
        <v>1500039</v>
      </c>
      <c r="B942" s="7" t="s">
        <v>3409</v>
      </c>
      <c r="C942" s="7" t="s">
        <v>540</v>
      </c>
      <c r="D942" s="7" t="s">
        <v>550</v>
      </c>
      <c r="E942" s="7">
        <v>1</v>
      </c>
      <c r="F942" s="7" t="s">
        <v>959</v>
      </c>
      <c r="G942" s="7">
        <v>0</v>
      </c>
      <c r="H942" s="7">
        <v>0</v>
      </c>
      <c r="I942" s="7">
        <v>99999</v>
      </c>
      <c r="J942" s="7">
        <v>0</v>
      </c>
      <c r="K942" s="7">
        <v>0</v>
      </c>
      <c r="L942" s="7" t="s">
        <v>1562</v>
      </c>
      <c r="M942" s="7">
        <v>1</v>
      </c>
      <c r="N942" s="7">
        <v>1</v>
      </c>
      <c r="Q942" s="7">
        <v>0</v>
      </c>
      <c r="R942" s="7">
        <v>0</v>
      </c>
      <c r="S942" s="7">
        <v>1</v>
      </c>
      <c r="T942" s="7">
        <v>0</v>
      </c>
      <c r="V942" s="7">
        <v>0</v>
      </c>
      <c r="W942" s="7">
        <v>0</v>
      </c>
      <c r="X942" s="31" t="s">
        <v>3412</v>
      </c>
      <c r="Y942" s="7" t="s">
        <v>1678</v>
      </c>
      <c r="Z942" s="7" t="s">
        <v>3420</v>
      </c>
      <c r="AA942" s="7" t="s">
        <v>527</v>
      </c>
      <c r="AB942" s="7">
        <v>0</v>
      </c>
      <c r="AC942" s="7">
        <v>16</v>
      </c>
      <c r="AD942" s="7">
        <v>0</v>
      </c>
      <c r="AE942" s="7">
        <v>0</v>
      </c>
      <c r="AF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P942" s="7">
        <v>1</v>
      </c>
      <c r="AQ942" s="7">
        <v>1</v>
      </c>
      <c r="AR942" s="7">
        <v>0</v>
      </c>
      <c r="AS942" s="7">
        <v>0</v>
      </c>
      <c r="AT942" s="7">
        <v>0</v>
      </c>
      <c r="BE942" s="7">
        <v>240</v>
      </c>
      <c r="BG942" s="7">
        <v>2</v>
      </c>
      <c r="BL942" s="7">
        <v>0</v>
      </c>
    </row>
    <row r="943" spans="1:64" s="7" customFormat="1">
      <c r="A943" s="7">
        <v>1500040</v>
      </c>
      <c r="B943" s="7" t="s">
        <v>3410</v>
      </c>
      <c r="C943" s="7" t="s">
        <v>540</v>
      </c>
      <c r="D943" s="7" t="s">
        <v>550</v>
      </c>
      <c r="E943" s="7">
        <v>1</v>
      </c>
      <c r="F943" s="7" t="s">
        <v>959</v>
      </c>
      <c r="G943" s="7">
        <v>0</v>
      </c>
      <c r="H943" s="7">
        <v>0</v>
      </c>
      <c r="I943" s="7">
        <v>99999</v>
      </c>
      <c r="J943" s="7">
        <v>0</v>
      </c>
      <c r="K943" s="7">
        <v>0</v>
      </c>
      <c r="L943" s="7" t="s">
        <v>1562</v>
      </c>
      <c r="M943" s="7">
        <v>1</v>
      </c>
      <c r="N943" s="7">
        <v>1</v>
      </c>
      <c r="Q943" s="7">
        <v>0</v>
      </c>
      <c r="R943" s="7">
        <v>0</v>
      </c>
      <c r="S943" s="7">
        <v>1</v>
      </c>
      <c r="T943" s="7">
        <v>0</v>
      </c>
      <c r="V943" s="7">
        <v>0</v>
      </c>
      <c r="W943" s="7">
        <v>0</v>
      </c>
      <c r="X943" s="31" t="s">
        <v>3414</v>
      </c>
      <c r="Y943" s="7" t="s">
        <v>1678</v>
      </c>
      <c r="Z943" s="7" t="s">
        <v>3418</v>
      </c>
      <c r="AA943" s="7" t="s">
        <v>527</v>
      </c>
      <c r="AB943" s="7">
        <v>0</v>
      </c>
      <c r="AC943" s="7">
        <v>16</v>
      </c>
      <c r="AD943" s="7">
        <v>0</v>
      </c>
      <c r="AE943" s="7">
        <v>0</v>
      </c>
      <c r="AF943" s="7">
        <v>0</v>
      </c>
      <c r="AI943" s="7">
        <v>0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P943" s="7">
        <v>1</v>
      </c>
      <c r="AQ943" s="7">
        <v>1</v>
      </c>
      <c r="AR943" s="7">
        <v>0</v>
      </c>
      <c r="AS943" s="7">
        <v>0</v>
      </c>
      <c r="AT943" s="7">
        <v>0</v>
      </c>
      <c r="BE943" s="7">
        <v>240</v>
      </c>
      <c r="BG943" s="7">
        <v>2</v>
      </c>
      <c r="BL943" s="7">
        <v>0</v>
      </c>
    </row>
    <row r="944" spans="1:64" s="7" customFormat="1">
      <c r="A944" s="7">
        <v>1500041</v>
      </c>
      <c r="B944" s="7" t="s">
        <v>3411</v>
      </c>
      <c r="C944" s="7" t="s">
        <v>540</v>
      </c>
      <c r="D944" s="7" t="s">
        <v>550</v>
      </c>
      <c r="E944" s="7">
        <v>1</v>
      </c>
      <c r="F944" s="7" t="s">
        <v>959</v>
      </c>
      <c r="G944" s="7">
        <v>0</v>
      </c>
      <c r="H944" s="7">
        <v>0</v>
      </c>
      <c r="I944" s="7">
        <v>99999</v>
      </c>
      <c r="J944" s="7">
        <v>0</v>
      </c>
      <c r="K944" s="7">
        <v>0</v>
      </c>
      <c r="L944" s="7" t="s">
        <v>1562</v>
      </c>
      <c r="M944" s="7">
        <v>1</v>
      </c>
      <c r="N944" s="7">
        <v>1</v>
      </c>
      <c r="Q944" s="7">
        <v>0</v>
      </c>
      <c r="R944" s="7">
        <v>0</v>
      </c>
      <c r="S944" s="7">
        <v>1</v>
      </c>
      <c r="T944" s="7">
        <v>0</v>
      </c>
      <c r="V944" s="7">
        <v>0</v>
      </c>
      <c r="W944" s="7">
        <v>0</v>
      </c>
      <c r="X944" s="31" t="s">
        <v>3413</v>
      </c>
      <c r="Y944" s="7" t="s">
        <v>1678</v>
      </c>
      <c r="Z944" s="7" t="s">
        <v>3419</v>
      </c>
      <c r="AA944" s="7" t="s">
        <v>527</v>
      </c>
      <c r="AB944" s="7">
        <v>0</v>
      </c>
      <c r="AC944" s="7">
        <v>16</v>
      </c>
      <c r="AD944" s="7">
        <v>0</v>
      </c>
      <c r="AE944" s="7">
        <v>0</v>
      </c>
      <c r="AF944" s="7">
        <v>0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P944" s="7">
        <v>1</v>
      </c>
      <c r="AQ944" s="7">
        <v>1</v>
      </c>
      <c r="AR944" s="7">
        <v>0</v>
      </c>
      <c r="AS944" s="7">
        <v>0</v>
      </c>
      <c r="AT944" s="7">
        <v>0</v>
      </c>
      <c r="BE944" s="7">
        <v>240</v>
      </c>
      <c r="BG944" s="7">
        <v>2</v>
      </c>
      <c r="BL944" s="7">
        <v>0</v>
      </c>
    </row>
    <row r="945" spans="1:64" s="7" customFormat="1">
      <c r="A945" s="7">
        <v>1500042</v>
      </c>
      <c r="B945" s="7" t="s">
        <v>3416</v>
      </c>
      <c r="C945" s="7" t="s">
        <v>540</v>
      </c>
      <c r="D945" s="7" t="s">
        <v>550</v>
      </c>
      <c r="E945" s="7">
        <v>1</v>
      </c>
      <c r="F945" s="7" t="s">
        <v>959</v>
      </c>
      <c r="G945" s="7">
        <v>0</v>
      </c>
      <c r="H945" s="7">
        <v>0</v>
      </c>
      <c r="I945" s="7">
        <v>99999</v>
      </c>
      <c r="J945" s="7">
        <v>0</v>
      </c>
      <c r="K945" s="7">
        <v>0</v>
      </c>
      <c r="L945" s="7" t="s">
        <v>1562</v>
      </c>
      <c r="M945" s="7">
        <v>1</v>
      </c>
      <c r="N945" s="7">
        <v>1</v>
      </c>
      <c r="Q945" s="7">
        <v>0</v>
      </c>
      <c r="R945" s="7">
        <v>0</v>
      </c>
      <c r="S945" s="7">
        <v>1</v>
      </c>
      <c r="T945" s="7">
        <v>0</v>
      </c>
      <c r="V945" s="7">
        <v>0</v>
      </c>
      <c r="W945" s="7">
        <v>0</v>
      </c>
      <c r="X945" s="31" t="s">
        <v>3415</v>
      </c>
      <c r="Y945" s="7" t="s">
        <v>1678</v>
      </c>
      <c r="Z945" s="7" t="s">
        <v>3417</v>
      </c>
      <c r="AA945" s="7" t="s">
        <v>527</v>
      </c>
      <c r="AB945" s="7">
        <v>0</v>
      </c>
      <c r="AC945" s="7">
        <v>16</v>
      </c>
      <c r="AD945" s="7">
        <v>0</v>
      </c>
      <c r="AE945" s="7">
        <v>0</v>
      </c>
      <c r="AF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P945" s="7">
        <v>1</v>
      </c>
      <c r="AQ945" s="7">
        <v>1</v>
      </c>
      <c r="AR945" s="7">
        <v>0</v>
      </c>
      <c r="AS945" s="7">
        <v>0</v>
      </c>
      <c r="AT945" s="7">
        <v>0</v>
      </c>
      <c r="BE945" s="7">
        <v>240</v>
      </c>
      <c r="BG945" s="7">
        <v>2</v>
      </c>
      <c r="BL945" s="7">
        <v>0</v>
      </c>
    </row>
    <row r="946" spans="1:64" s="7" customFormat="1">
      <c r="A946" s="7">
        <v>1500043</v>
      </c>
      <c r="B946" s="7" t="s">
        <v>3467</v>
      </c>
      <c r="C946" s="7" t="s">
        <v>540</v>
      </c>
      <c r="D946" s="7" t="s">
        <v>550</v>
      </c>
      <c r="E946" s="7">
        <v>1</v>
      </c>
      <c r="F946" s="7" t="s">
        <v>959</v>
      </c>
      <c r="G946" s="7">
        <v>0</v>
      </c>
      <c r="H946" s="7">
        <v>0</v>
      </c>
      <c r="I946" s="7">
        <v>99999</v>
      </c>
      <c r="J946" s="7">
        <v>0</v>
      </c>
      <c r="K946" s="7">
        <v>3</v>
      </c>
      <c r="L946" s="7" t="s">
        <v>1562</v>
      </c>
      <c r="M946" s="7">
        <v>1</v>
      </c>
      <c r="N946" s="7">
        <v>1</v>
      </c>
      <c r="Q946" s="7">
        <v>0</v>
      </c>
      <c r="R946" s="7">
        <v>0</v>
      </c>
      <c r="S946" s="7">
        <v>1</v>
      </c>
      <c r="T946" s="7">
        <v>0</v>
      </c>
      <c r="V946" s="7">
        <v>0</v>
      </c>
      <c r="W946" s="7">
        <v>0</v>
      </c>
      <c r="X946" s="6" t="s">
        <v>3464</v>
      </c>
      <c r="Y946" s="7" t="s">
        <v>1678</v>
      </c>
      <c r="Z946" s="7" t="s">
        <v>3463</v>
      </c>
      <c r="AA946" s="7" t="s">
        <v>527</v>
      </c>
      <c r="AB946" s="7">
        <v>0</v>
      </c>
      <c r="AC946" s="7">
        <v>16</v>
      </c>
      <c r="AD946" s="7">
        <v>0</v>
      </c>
      <c r="AE946" s="7">
        <v>0</v>
      </c>
      <c r="AF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P946" s="7">
        <v>1</v>
      </c>
      <c r="AQ946" s="7">
        <v>1</v>
      </c>
      <c r="AR946" s="7">
        <v>0</v>
      </c>
      <c r="AS946" s="7">
        <v>0</v>
      </c>
      <c r="AT946" s="7">
        <v>1</v>
      </c>
      <c r="BE946" s="7">
        <v>240</v>
      </c>
      <c r="BG946" s="7">
        <v>2</v>
      </c>
      <c r="BL946" s="7">
        <v>0</v>
      </c>
    </row>
    <row r="947" spans="1:64" s="7" customFormat="1">
      <c r="A947" s="7">
        <v>1500100</v>
      </c>
      <c r="B947" s="7" t="s">
        <v>1710</v>
      </c>
      <c r="C947" s="7" t="s">
        <v>540</v>
      </c>
      <c r="D947" s="7" t="s">
        <v>550</v>
      </c>
      <c r="E947" s="7">
        <v>1</v>
      </c>
      <c r="F947" s="7" t="s">
        <v>959</v>
      </c>
      <c r="G947" s="7">
        <v>0</v>
      </c>
      <c r="H947" s="7">
        <v>0</v>
      </c>
      <c r="I947" s="7">
        <v>99999</v>
      </c>
      <c r="J947" s="7">
        <v>0</v>
      </c>
      <c r="K947" s="7">
        <v>3</v>
      </c>
      <c r="L947" s="7" t="s">
        <v>1562</v>
      </c>
      <c r="M947" s="7">
        <v>1</v>
      </c>
      <c r="N947" s="7">
        <v>1</v>
      </c>
      <c r="Q947" s="7">
        <v>0</v>
      </c>
      <c r="R947" s="7">
        <v>0</v>
      </c>
      <c r="S947" s="7">
        <v>1</v>
      </c>
      <c r="T947" s="7">
        <v>0</v>
      </c>
      <c r="V947" s="7">
        <v>0</v>
      </c>
      <c r="W947" s="7">
        <v>0</v>
      </c>
      <c r="X947" s="6" t="s">
        <v>1942</v>
      </c>
      <c r="Y947" s="7" t="s">
        <v>1678</v>
      </c>
      <c r="Z947" s="7" t="s">
        <v>2904</v>
      </c>
      <c r="AA947" s="7" t="s">
        <v>527</v>
      </c>
      <c r="AB947" s="7">
        <v>0</v>
      </c>
      <c r="AC947" s="7">
        <v>16</v>
      </c>
      <c r="AD947" s="7">
        <v>0</v>
      </c>
      <c r="AE947" s="7">
        <v>0</v>
      </c>
      <c r="AF947" s="7">
        <v>0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1</v>
      </c>
      <c r="BE947" s="7">
        <v>240</v>
      </c>
      <c r="BG947" s="7">
        <v>2</v>
      </c>
      <c r="BL947" s="7">
        <v>0</v>
      </c>
    </row>
    <row r="948" spans="1:64" s="7" customFormat="1">
      <c r="A948" s="7">
        <v>1500101</v>
      </c>
      <c r="B948" s="7" t="s">
        <v>1728</v>
      </c>
      <c r="C948" s="7" t="s">
        <v>540</v>
      </c>
      <c r="D948" s="7" t="s">
        <v>550</v>
      </c>
      <c r="E948" s="7">
        <v>1</v>
      </c>
      <c r="F948" s="7" t="s">
        <v>959</v>
      </c>
      <c r="G948" s="7">
        <v>0</v>
      </c>
      <c r="H948" s="7">
        <v>0</v>
      </c>
      <c r="I948" s="7">
        <v>99999</v>
      </c>
      <c r="J948" s="7">
        <v>0</v>
      </c>
      <c r="K948" s="7">
        <v>3</v>
      </c>
      <c r="L948" s="7" t="s">
        <v>1562</v>
      </c>
      <c r="M948" s="7">
        <v>1</v>
      </c>
      <c r="N948" s="7">
        <v>1</v>
      </c>
      <c r="Q948" s="7">
        <v>0</v>
      </c>
      <c r="R948" s="7">
        <v>0</v>
      </c>
      <c r="S948" s="7">
        <v>1</v>
      </c>
      <c r="T948" s="7">
        <v>0</v>
      </c>
      <c r="V948" s="7">
        <v>0</v>
      </c>
      <c r="W948" s="7">
        <v>0</v>
      </c>
      <c r="X948" s="6" t="s">
        <v>1943</v>
      </c>
      <c r="Y948" s="7" t="s">
        <v>1678</v>
      </c>
      <c r="Z948" s="7" t="s">
        <v>2905</v>
      </c>
      <c r="AA948" s="7" t="s">
        <v>527</v>
      </c>
      <c r="AB948" s="7">
        <v>0</v>
      </c>
      <c r="AC948" s="7">
        <v>16</v>
      </c>
      <c r="AD948" s="7">
        <v>0</v>
      </c>
      <c r="AE948" s="7">
        <v>0</v>
      </c>
      <c r="AF948" s="7">
        <v>0</v>
      </c>
      <c r="AI948" s="7">
        <v>0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P948" s="7">
        <v>0</v>
      </c>
      <c r="AQ948" s="7">
        <v>0</v>
      </c>
      <c r="AR948" s="7">
        <v>0</v>
      </c>
      <c r="AS948" s="7">
        <v>0</v>
      </c>
      <c r="AT948" s="7">
        <v>1</v>
      </c>
      <c r="BE948" s="7">
        <v>240</v>
      </c>
      <c r="BG948" s="7">
        <v>2</v>
      </c>
      <c r="BL948" s="7">
        <v>0</v>
      </c>
    </row>
    <row r="949" spans="1:64" s="7" customFormat="1">
      <c r="A949" s="7">
        <v>1500102</v>
      </c>
      <c r="B949" s="7" t="s">
        <v>1729</v>
      </c>
      <c r="C949" s="7" t="s">
        <v>540</v>
      </c>
      <c r="D949" s="7" t="s">
        <v>550</v>
      </c>
      <c r="E949" s="7">
        <v>1</v>
      </c>
      <c r="F949" s="7" t="s">
        <v>959</v>
      </c>
      <c r="G949" s="7">
        <v>0</v>
      </c>
      <c r="H949" s="7">
        <v>0</v>
      </c>
      <c r="I949" s="7">
        <v>99999</v>
      </c>
      <c r="J949" s="7">
        <v>0</v>
      </c>
      <c r="K949" s="7">
        <v>3</v>
      </c>
      <c r="L949" s="7" t="s">
        <v>1562</v>
      </c>
      <c r="M949" s="7">
        <v>1</v>
      </c>
      <c r="N949" s="7">
        <v>1</v>
      </c>
      <c r="Q949" s="7">
        <v>0</v>
      </c>
      <c r="R949" s="7">
        <v>0</v>
      </c>
      <c r="S949" s="7">
        <v>1</v>
      </c>
      <c r="T949" s="7">
        <v>0</v>
      </c>
      <c r="V949" s="7">
        <v>0</v>
      </c>
      <c r="W949" s="7">
        <v>0</v>
      </c>
      <c r="X949" s="6" t="s">
        <v>1944</v>
      </c>
      <c r="Y949" s="7" t="s">
        <v>1678</v>
      </c>
      <c r="Z949" s="7" t="s">
        <v>2906</v>
      </c>
      <c r="AA949" s="7" t="s">
        <v>527</v>
      </c>
      <c r="AB949" s="7">
        <v>0</v>
      </c>
      <c r="AC949" s="7">
        <v>16</v>
      </c>
      <c r="AD949" s="7">
        <v>0</v>
      </c>
      <c r="AE949" s="7">
        <v>0</v>
      </c>
      <c r="AF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P949" s="7">
        <v>0</v>
      </c>
      <c r="AQ949" s="7">
        <v>0</v>
      </c>
      <c r="AR949" s="7">
        <v>0</v>
      </c>
      <c r="AS949" s="7">
        <v>0</v>
      </c>
      <c r="AT949" s="7">
        <v>1</v>
      </c>
      <c r="BE949" s="7">
        <v>240</v>
      </c>
      <c r="BG949" s="7">
        <v>2</v>
      </c>
      <c r="BL949" s="7">
        <v>0</v>
      </c>
    </row>
    <row r="950" spans="1:64" s="7" customFormat="1">
      <c r="A950" s="7">
        <v>1500103</v>
      </c>
      <c r="B950" s="7" t="s">
        <v>1730</v>
      </c>
      <c r="C950" s="7" t="s">
        <v>540</v>
      </c>
      <c r="D950" s="7" t="s">
        <v>550</v>
      </c>
      <c r="E950" s="7">
        <v>1</v>
      </c>
      <c r="F950" s="7" t="s">
        <v>959</v>
      </c>
      <c r="G950" s="7">
        <v>0</v>
      </c>
      <c r="H950" s="7">
        <v>0</v>
      </c>
      <c r="I950" s="7">
        <v>99999</v>
      </c>
      <c r="J950" s="7">
        <v>0</v>
      </c>
      <c r="K950" s="7">
        <v>3</v>
      </c>
      <c r="L950" s="7" t="s">
        <v>1562</v>
      </c>
      <c r="M950" s="7">
        <v>1</v>
      </c>
      <c r="N950" s="7">
        <v>1</v>
      </c>
      <c r="Q950" s="7">
        <v>0</v>
      </c>
      <c r="R950" s="7">
        <v>0</v>
      </c>
      <c r="S950" s="7">
        <v>1</v>
      </c>
      <c r="T950" s="7">
        <v>0</v>
      </c>
      <c r="V950" s="7">
        <v>0</v>
      </c>
      <c r="W950" s="7">
        <v>0</v>
      </c>
      <c r="X950" s="6" t="s">
        <v>1945</v>
      </c>
      <c r="Y950" s="7" t="s">
        <v>1678</v>
      </c>
      <c r="Z950" s="7" t="s">
        <v>2907</v>
      </c>
      <c r="AA950" s="7" t="s">
        <v>527</v>
      </c>
      <c r="AB950" s="7">
        <v>0</v>
      </c>
      <c r="AC950" s="7">
        <v>16</v>
      </c>
      <c r="AD950" s="7">
        <v>0</v>
      </c>
      <c r="AE950" s="7">
        <v>0</v>
      </c>
      <c r="AF950" s="7">
        <v>0</v>
      </c>
      <c r="AI950" s="7">
        <v>0</v>
      </c>
      <c r="AJ950" s="7">
        <v>0</v>
      </c>
      <c r="AK950" s="7">
        <v>0</v>
      </c>
      <c r="AL950" s="7">
        <v>0</v>
      </c>
      <c r="AM950" s="7">
        <v>0</v>
      </c>
      <c r="AN950" s="7">
        <v>0</v>
      </c>
      <c r="AP950" s="7">
        <v>0</v>
      </c>
      <c r="AQ950" s="7">
        <v>0</v>
      </c>
      <c r="AR950" s="7">
        <v>0</v>
      </c>
      <c r="AS950" s="7">
        <v>0</v>
      </c>
      <c r="AT950" s="7">
        <v>1</v>
      </c>
      <c r="BE950" s="7">
        <v>240</v>
      </c>
      <c r="BG950" s="7">
        <v>2</v>
      </c>
      <c r="BL950" s="7">
        <v>0</v>
      </c>
    </row>
    <row r="951" spans="1:64" s="7" customFormat="1">
      <c r="A951" s="7">
        <v>1500104</v>
      </c>
      <c r="B951" s="7" t="s">
        <v>1731</v>
      </c>
      <c r="C951" s="7" t="s">
        <v>540</v>
      </c>
      <c r="D951" s="7" t="s">
        <v>550</v>
      </c>
      <c r="E951" s="7">
        <v>1</v>
      </c>
      <c r="F951" s="7" t="s">
        <v>959</v>
      </c>
      <c r="G951" s="7">
        <v>0</v>
      </c>
      <c r="H951" s="7">
        <v>0</v>
      </c>
      <c r="I951" s="7">
        <v>99999</v>
      </c>
      <c r="J951" s="7">
        <v>0</v>
      </c>
      <c r="K951" s="7">
        <v>3</v>
      </c>
      <c r="L951" s="7" t="s">
        <v>1562</v>
      </c>
      <c r="M951" s="7">
        <v>1</v>
      </c>
      <c r="N951" s="7">
        <v>1</v>
      </c>
      <c r="Q951" s="7">
        <v>0</v>
      </c>
      <c r="R951" s="7">
        <v>0</v>
      </c>
      <c r="S951" s="7">
        <v>1</v>
      </c>
      <c r="T951" s="7">
        <v>0</v>
      </c>
      <c r="V951" s="7">
        <v>0</v>
      </c>
      <c r="W951" s="7">
        <v>0</v>
      </c>
      <c r="X951" s="6" t="s">
        <v>1946</v>
      </c>
      <c r="Y951" s="7" t="s">
        <v>1678</v>
      </c>
      <c r="Z951" s="7" t="s">
        <v>2908</v>
      </c>
      <c r="AA951" s="7" t="s">
        <v>527</v>
      </c>
      <c r="AB951" s="7">
        <v>0</v>
      </c>
      <c r="AC951" s="7">
        <v>16</v>
      </c>
      <c r="AD951" s="7">
        <v>0</v>
      </c>
      <c r="AE951" s="7">
        <v>0</v>
      </c>
      <c r="AF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P951" s="7">
        <v>0</v>
      </c>
      <c r="AQ951" s="7">
        <v>0</v>
      </c>
      <c r="AR951" s="7">
        <v>0</v>
      </c>
      <c r="AS951" s="7">
        <v>0</v>
      </c>
      <c r="AT951" s="7">
        <v>1</v>
      </c>
      <c r="BE951" s="7">
        <v>240</v>
      </c>
      <c r="BG951" s="7">
        <v>2</v>
      </c>
      <c r="BL951" s="7">
        <v>0</v>
      </c>
    </row>
    <row r="952" spans="1:64" s="7" customFormat="1">
      <c r="A952" s="7">
        <v>1500105</v>
      </c>
      <c r="B952" s="7" t="s">
        <v>1939</v>
      </c>
      <c r="C952" s="7" t="s">
        <v>540</v>
      </c>
      <c r="D952" s="7" t="s">
        <v>550</v>
      </c>
      <c r="E952" s="7">
        <v>1</v>
      </c>
      <c r="F952" s="7" t="s">
        <v>959</v>
      </c>
      <c r="G952" s="7">
        <v>0</v>
      </c>
      <c r="H952" s="7">
        <v>0</v>
      </c>
      <c r="I952" s="7">
        <v>99999</v>
      </c>
      <c r="J952" s="7">
        <v>0</v>
      </c>
      <c r="K952" s="7">
        <v>3</v>
      </c>
      <c r="L952" s="7" t="s">
        <v>1562</v>
      </c>
      <c r="M952" s="7">
        <v>1</v>
      </c>
      <c r="N952" s="7">
        <v>1</v>
      </c>
      <c r="Q952" s="7">
        <v>0</v>
      </c>
      <c r="R952" s="7">
        <v>0</v>
      </c>
      <c r="S952" s="7">
        <v>1</v>
      </c>
      <c r="T952" s="7">
        <v>0</v>
      </c>
      <c r="V952" s="7">
        <v>0</v>
      </c>
      <c r="W952" s="7">
        <v>0</v>
      </c>
      <c r="X952" s="6" t="s">
        <v>1947</v>
      </c>
      <c r="Y952" s="7" t="s">
        <v>1678</v>
      </c>
      <c r="Z952" s="7" t="s">
        <v>2870</v>
      </c>
      <c r="AA952" s="7" t="s">
        <v>527</v>
      </c>
      <c r="AB952" s="7">
        <v>0</v>
      </c>
      <c r="AC952" s="7">
        <v>16</v>
      </c>
      <c r="AD952" s="7">
        <v>0</v>
      </c>
      <c r="AE952" s="7">
        <v>0</v>
      </c>
      <c r="AF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P952" s="7">
        <v>0</v>
      </c>
      <c r="AQ952" s="7">
        <v>0</v>
      </c>
      <c r="AR952" s="7">
        <v>0</v>
      </c>
      <c r="AS952" s="7">
        <v>0</v>
      </c>
      <c r="AT952" s="7">
        <v>1</v>
      </c>
      <c r="BE952" s="7">
        <v>240</v>
      </c>
      <c r="BG952" s="7">
        <v>2</v>
      </c>
      <c r="BL952" s="7">
        <v>0</v>
      </c>
    </row>
    <row r="953" spans="1:64" s="7" customFormat="1">
      <c r="A953" s="7">
        <v>1500106</v>
      </c>
      <c r="B953" s="7" t="s">
        <v>1940</v>
      </c>
      <c r="C953" s="7" t="s">
        <v>540</v>
      </c>
      <c r="D953" s="7" t="s">
        <v>550</v>
      </c>
      <c r="E953" s="7">
        <v>1</v>
      </c>
      <c r="F953" s="7" t="s">
        <v>959</v>
      </c>
      <c r="G953" s="7">
        <v>0</v>
      </c>
      <c r="H953" s="7">
        <v>0</v>
      </c>
      <c r="I953" s="7">
        <v>99999</v>
      </c>
      <c r="J953" s="7">
        <v>0</v>
      </c>
      <c r="K953" s="7">
        <v>3</v>
      </c>
      <c r="L953" s="7" t="s">
        <v>1562</v>
      </c>
      <c r="M953" s="7">
        <v>1</v>
      </c>
      <c r="N953" s="7">
        <v>1</v>
      </c>
      <c r="Q953" s="7">
        <v>0</v>
      </c>
      <c r="R953" s="7">
        <v>0</v>
      </c>
      <c r="S953" s="7">
        <v>1</v>
      </c>
      <c r="T953" s="7">
        <v>0</v>
      </c>
      <c r="V953" s="7">
        <v>0</v>
      </c>
      <c r="W953" s="7">
        <v>0</v>
      </c>
      <c r="X953" s="6" t="s">
        <v>1948</v>
      </c>
      <c r="Y953" s="7" t="s">
        <v>1678</v>
      </c>
      <c r="Z953" s="7" t="s">
        <v>2909</v>
      </c>
      <c r="AA953" s="7" t="s">
        <v>527</v>
      </c>
      <c r="AB953" s="7">
        <v>0</v>
      </c>
      <c r="AC953" s="7">
        <v>16</v>
      </c>
      <c r="AD953" s="7">
        <v>0</v>
      </c>
      <c r="AE953" s="7">
        <v>0</v>
      </c>
      <c r="AF953" s="7">
        <v>0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P953" s="7">
        <v>0</v>
      </c>
      <c r="AQ953" s="7">
        <v>0</v>
      </c>
      <c r="AR953" s="7">
        <v>0</v>
      </c>
      <c r="AS953" s="7">
        <v>0</v>
      </c>
      <c r="AT953" s="7">
        <v>1</v>
      </c>
      <c r="BE953" s="7">
        <v>240</v>
      </c>
      <c r="BG953" s="7">
        <v>2</v>
      </c>
      <c r="BL953" s="7">
        <v>0</v>
      </c>
    </row>
    <row r="954" spans="1:64" s="7" customFormat="1">
      <c r="A954" s="7">
        <v>1500107</v>
      </c>
      <c r="B954" s="7" t="s">
        <v>1941</v>
      </c>
      <c r="C954" s="7" t="s">
        <v>540</v>
      </c>
      <c r="D954" s="7" t="s">
        <v>550</v>
      </c>
      <c r="E954" s="7">
        <v>1</v>
      </c>
      <c r="F954" s="7" t="s">
        <v>959</v>
      </c>
      <c r="G954" s="7">
        <v>0</v>
      </c>
      <c r="H954" s="7">
        <v>0</v>
      </c>
      <c r="I954" s="7">
        <v>99999</v>
      </c>
      <c r="J954" s="7">
        <v>0</v>
      </c>
      <c r="K954" s="7">
        <v>3</v>
      </c>
      <c r="L954" s="7" t="s">
        <v>1562</v>
      </c>
      <c r="M954" s="7">
        <v>1</v>
      </c>
      <c r="N954" s="7">
        <v>1</v>
      </c>
      <c r="Q954" s="7">
        <v>0</v>
      </c>
      <c r="R954" s="7">
        <v>0</v>
      </c>
      <c r="S954" s="7">
        <v>1</v>
      </c>
      <c r="T954" s="7">
        <v>0</v>
      </c>
      <c r="V954" s="7">
        <v>0</v>
      </c>
      <c r="W954" s="7">
        <v>0</v>
      </c>
      <c r="X954" s="6" t="s">
        <v>1949</v>
      </c>
      <c r="Y954" s="7" t="s">
        <v>1678</v>
      </c>
      <c r="Z954" s="7" t="s">
        <v>2910</v>
      </c>
      <c r="AA954" s="7" t="s">
        <v>527</v>
      </c>
      <c r="AB954" s="7">
        <v>0</v>
      </c>
      <c r="AC954" s="7">
        <v>16</v>
      </c>
      <c r="AD954" s="7">
        <v>0</v>
      </c>
      <c r="AE954" s="7">
        <v>0</v>
      </c>
      <c r="AF954" s="7">
        <v>0</v>
      </c>
      <c r="AI954" s="7">
        <v>0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P954" s="7">
        <v>0</v>
      </c>
      <c r="AQ954" s="7">
        <v>0</v>
      </c>
      <c r="AR954" s="7">
        <v>0</v>
      </c>
      <c r="AS954" s="7">
        <v>0</v>
      </c>
      <c r="AT954" s="7">
        <v>1</v>
      </c>
      <c r="BE954" s="7">
        <v>240</v>
      </c>
      <c r="BG954" s="7">
        <v>2</v>
      </c>
      <c r="BL954" s="7">
        <v>0</v>
      </c>
    </row>
    <row r="955" spans="1:64" s="7" customFormat="1">
      <c r="A955" s="7">
        <v>1500201</v>
      </c>
      <c r="B955" s="7" t="s">
        <v>2977</v>
      </c>
      <c r="C955" s="7" t="s">
        <v>540</v>
      </c>
      <c r="D955" s="7" t="s">
        <v>550</v>
      </c>
      <c r="E955" s="7">
        <v>1</v>
      </c>
      <c r="F955" s="7" t="s">
        <v>997</v>
      </c>
      <c r="G955" s="7">
        <v>0</v>
      </c>
      <c r="H955" s="7">
        <v>0</v>
      </c>
      <c r="I955" s="7">
        <v>99999</v>
      </c>
      <c r="J955" s="7">
        <v>0</v>
      </c>
      <c r="K955" s="7">
        <v>3</v>
      </c>
      <c r="L955" s="7" t="s">
        <v>1562</v>
      </c>
      <c r="M955" s="7">
        <v>1</v>
      </c>
      <c r="N955" s="7">
        <v>1</v>
      </c>
      <c r="Q955" s="7">
        <v>0</v>
      </c>
      <c r="R955" s="7">
        <v>0</v>
      </c>
      <c r="S955" s="7">
        <v>1</v>
      </c>
      <c r="T955" s="7">
        <v>0</v>
      </c>
      <c r="V955" s="7">
        <v>0</v>
      </c>
      <c r="W955" s="7">
        <v>0</v>
      </c>
      <c r="X955" s="6" t="s">
        <v>2994</v>
      </c>
      <c r="Y955" s="7" t="s">
        <v>1691</v>
      </c>
      <c r="Z955" s="7" t="s">
        <v>3004</v>
      </c>
      <c r="AA955" s="7" t="s">
        <v>527</v>
      </c>
      <c r="AB955" s="7">
        <v>0</v>
      </c>
      <c r="AC955" s="7">
        <v>16</v>
      </c>
      <c r="AD955" s="7">
        <v>0</v>
      </c>
      <c r="AE955" s="7">
        <v>0</v>
      </c>
      <c r="AF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P955" s="7">
        <v>0</v>
      </c>
      <c r="AQ955" s="7">
        <v>0</v>
      </c>
      <c r="AR955" s="7">
        <v>0</v>
      </c>
      <c r="AS955" s="7">
        <v>0</v>
      </c>
      <c r="AT955" s="7">
        <v>1</v>
      </c>
      <c r="BE955" s="7">
        <v>240</v>
      </c>
      <c r="BG955" s="7">
        <v>2</v>
      </c>
      <c r="BL955" s="7">
        <v>0</v>
      </c>
    </row>
    <row r="956" spans="1:64" s="40" customFormat="1">
      <c r="A956" s="40">
        <v>1500202</v>
      </c>
      <c r="B956" s="40" t="s">
        <v>2978</v>
      </c>
      <c r="C956" s="40" t="s">
        <v>540</v>
      </c>
      <c r="D956" s="40" t="s">
        <v>550</v>
      </c>
      <c r="E956" s="40">
        <v>1</v>
      </c>
      <c r="F956" s="40" t="s">
        <v>997</v>
      </c>
      <c r="G956" s="40">
        <v>0</v>
      </c>
      <c r="H956" s="40">
        <v>0</v>
      </c>
      <c r="I956" s="40">
        <v>99999</v>
      </c>
      <c r="J956" s="40">
        <v>0</v>
      </c>
      <c r="K956" s="40">
        <v>3</v>
      </c>
      <c r="L956" s="40" t="s">
        <v>1562</v>
      </c>
      <c r="M956" s="40">
        <v>1</v>
      </c>
      <c r="N956" s="40">
        <v>1</v>
      </c>
      <c r="Q956" s="40">
        <v>0</v>
      </c>
      <c r="R956" s="40">
        <v>0</v>
      </c>
      <c r="S956" s="40">
        <v>1</v>
      </c>
      <c r="T956" s="40">
        <v>0</v>
      </c>
      <c r="V956" s="40">
        <v>0</v>
      </c>
      <c r="W956" s="40">
        <v>0</v>
      </c>
      <c r="X956" s="42"/>
      <c r="Y956" s="40" t="s">
        <v>1691</v>
      </c>
      <c r="Z956" s="40" t="s">
        <v>2889</v>
      </c>
      <c r="AA956" s="40" t="s">
        <v>527</v>
      </c>
      <c r="AB956" s="40">
        <v>0</v>
      </c>
      <c r="AC956" s="40">
        <v>16</v>
      </c>
      <c r="AD956" s="40">
        <v>0</v>
      </c>
      <c r="AE956" s="40">
        <v>0</v>
      </c>
      <c r="AF956" s="40">
        <v>0</v>
      </c>
      <c r="AI956" s="40">
        <v>0</v>
      </c>
      <c r="AJ956" s="40">
        <v>0</v>
      </c>
      <c r="AK956" s="40">
        <v>0</v>
      </c>
      <c r="AL956" s="40">
        <v>0</v>
      </c>
      <c r="AM956" s="40">
        <v>0</v>
      </c>
      <c r="AN956" s="40">
        <v>0</v>
      </c>
      <c r="AP956" s="40">
        <v>0</v>
      </c>
      <c r="AQ956" s="40">
        <v>0</v>
      </c>
      <c r="AR956" s="40">
        <v>0</v>
      </c>
      <c r="AS956" s="40">
        <v>0</v>
      </c>
      <c r="AT956" s="40">
        <v>1</v>
      </c>
      <c r="BE956" s="40">
        <v>240</v>
      </c>
      <c r="BG956" s="40">
        <v>2</v>
      </c>
      <c r="BL956" s="7">
        <v>0</v>
      </c>
    </row>
    <row r="957" spans="1:64" s="40" customFormat="1">
      <c r="A957" s="40">
        <v>1500203</v>
      </c>
      <c r="B957" s="40" t="s">
        <v>2979</v>
      </c>
      <c r="C957" s="40" t="s">
        <v>540</v>
      </c>
      <c r="D957" s="40" t="s">
        <v>550</v>
      </c>
      <c r="E957" s="40">
        <v>1</v>
      </c>
      <c r="F957" s="40" t="s">
        <v>997</v>
      </c>
      <c r="G957" s="40">
        <v>0</v>
      </c>
      <c r="H957" s="40">
        <v>0</v>
      </c>
      <c r="I957" s="40">
        <v>99999</v>
      </c>
      <c r="J957" s="40">
        <v>0</v>
      </c>
      <c r="K957" s="40">
        <v>3</v>
      </c>
      <c r="L957" s="40" t="s">
        <v>1562</v>
      </c>
      <c r="M957" s="40">
        <v>1</v>
      </c>
      <c r="N957" s="40">
        <v>1</v>
      </c>
      <c r="Q957" s="40">
        <v>0</v>
      </c>
      <c r="R957" s="40">
        <v>0</v>
      </c>
      <c r="S957" s="40">
        <v>1</v>
      </c>
      <c r="T957" s="40">
        <v>0</v>
      </c>
      <c r="V957" s="40">
        <v>0</v>
      </c>
      <c r="W957" s="40">
        <v>0</v>
      </c>
      <c r="X957" s="41"/>
      <c r="Y957" s="40" t="s">
        <v>1691</v>
      </c>
      <c r="Z957" s="40" t="s">
        <v>2889</v>
      </c>
      <c r="AA957" s="40" t="s">
        <v>527</v>
      </c>
      <c r="AB957" s="40">
        <v>0</v>
      </c>
      <c r="AC957" s="40">
        <v>16</v>
      </c>
      <c r="AD957" s="40">
        <v>0</v>
      </c>
      <c r="AE957" s="40">
        <v>0</v>
      </c>
      <c r="AF957" s="40">
        <v>0</v>
      </c>
      <c r="AI957" s="40">
        <v>0</v>
      </c>
      <c r="AJ957" s="40">
        <v>0</v>
      </c>
      <c r="AK957" s="40">
        <v>0</v>
      </c>
      <c r="AL957" s="40">
        <v>0</v>
      </c>
      <c r="AM957" s="40">
        <v>0</v>
      </c>
      <c r="AN957" s="40">
        <v>0</v>
      </c>
      <c r="AP957" s="40">
        <v>0</v>
      </c>
      <c r="AQ957" s="40">
        <v>0</v>
      </c>
      <c r="AR957" s="40">
        <v>0</v>
      </c>
      <c r="AS957" s="40">
        <v>0</v>
      </c>
      <c r="AT957" s="40">
        <v>1</v>
      </c>
      <c r="BE957" s="40">
        <v>240</v>
      </c>
      <c r="BG957" s="40">
        <v>2</v>
      </c>
      <c r="BL957" s="7">
        <v>0</v>
      </c>
    </row>
    <row r="958" spans="1:64" s="7" customFormat="1">
      <c r="A958" s="7">
        <v>1500204</v>
      </c>
      <c r="B958" s="24" t="s">
        <v>3007</v>
      </c>
      <c r="C958" s="7" t="s">
        <v>540</v>
      </c>
      <c r="D958" s="7" t="s">
        <v>550</v>
      </c>
      <c r="E958" s="7">
        <v>1</v>
      </c>
      <c r="F958" s="7" t="s">
        <v>997</v>
      </c>
      <c r="G958" s="7">
        <v>0</v>
      </c>
      <c r="H958" s="7">
        <v>0</v>
      </c>
      <c r="I958" s="7">
        <v>99999</v>
      </c>
      <c r="J958" s="7">
        <v>0</v>
      </c>
      <c r="K958" s="7">
        <v>3</v>
      </c>
      <c r="L958" s="7" t="s">
        <v>1562</v>
      </c>
      <c r="M958" s="7">
        <v>1</v>
      </c>
      <c r="N958" s="7">
        <v>1</v>
      </c>
      <c r="Q958" s="7">
        <v>0</v>
      </c>
      <c r="R958" s="7">
        <v>0</v>
      </c>
      <c r="S958" s="7">
        <v>1</v>
      </c>
      <c r="T958" s="7">
        <v>0</v>
      </c>
      <c r="V958" s="7">
        <v>0</v>
      </c>
      <c r="W958" s="7">
        <v>0</v>
      </c>
      <c r="X958" s="6" t="s">
        <v>2995</v>
      </c>
      <c r="Y958" s="7" t="s">
        <v>1691</v>
      </c>
      <c r="Z958" s="7" t="s">
        <v>3005</v>
      </c>
      <c r="AA958" s="7" t="s">
        <v>527</v>
      </c>
      <c r="AB958" s="7">
        <v>0</v>
      </c>
      <c r="AC958" s="7">
        <v>16</v>
      </c>
      <c r="AD958" s="7">
        <v>0</v>
      </c>
      <c r="AE958" s="7">
        <v>0</v>
      </c>
      <c r="AF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P958" s="7">
        <v>0</v>
      </c>
      <c r="AQ958" s="7">
        <v>0</v>
      </c>
      <c r="AR958" s="7">
        <v>0</v>
      </c>
      <c r="AS958" s="7">
        <v>0</v>
      </c>
      <c r="AT958" s="7">
        <v>1</v>
      </c>
      <c r="BE958" s="7">
        <v>240</v>
      </c>
      <c r="BG958" s="7">
        <v>2</v>
      </c>
      <c r="BL958" s="7">
        <v>0</v>
      </c>
    </row>
    <row r="959" spans="1:64" s="7" customFormat="1">
      <c r="A959" s="7">
        <v>1500205</v>
      </c>
      <c r="B959" s="7" t="s">
        <v>3045</v>
      </c>
      <c r="C959" s="7" t="s">
        <v>540</v>
      </c>
      <c r="D959" s="7" t="s">
        <v>550</v>
      </c>
      <c r="E959" s="7">
        <v>1</v>
      </c>
      <c r="F959" s="7" t="s">
        <v>997</v>
      </c>
      <c r="G959" s="7">
        <v>0</v>
      </c>
      <c r="H959" s="7">
        <v>0</v>
      </c>
      <c r="I959" s="7">
        <v>99999</v>
      </c>
      <c r="J959" s="7">
        <v>0</v>
      </c>
      <c r="K959" s="7">
        <v>3</v>
      </c>
      <c r="L959" s="7" t="s">
        <v>1562</v>
      </c>
      <c r="M959" s="7">
        <v>1</v>
      </c>
      <c r="N959" s="7">
        <v>1</v>
      </c>
      <c r="Q959" s="7">
        <v>0</v>
      </c>
      <c r="R959" s="7">
        <v>0</v>
      </c>
      <c r="S959" s="7">
        <v>1</v>
      </c>
      <c r="T959" s="7">
        <v>0</v>
      </c>
      <c r="V959" s="7">
        <v>0</v>
      </c>
      <c r="W959" s="7">
        <v>0</v>
      </c>
      <c r="X959" s="6" t="s">
        <v>2996</v>
      </c>
      <c r="Y959" s="7" t="s">
        <v>3011</v>
      </c>
      <c r="Z959" s="7" t="s">
        <v>3006</v>
      </c>
      <c r="AA959" s="7" t="s">
        <v>527</v>
      </c>
      <c r="AB959" s="7">
        <v>0</v>
      </c>
      <c r="AC959" s="7">
        <v>16</v>
      </c>
      <c r="AD959" s="7">
        <v>0</v>
      </c>
      <c r="AE959" s="7">
        <v>0</v>
      </c>
      <c r="AF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P959" s="7">
        <v>0</v>
      </c>
      <c r="AQ959" s="7">
        <v>0</v>
      </c>
      <c r="AR959" s="7">
        <v>0</v>
      </c>
      <c r="AS959" s="7">
        <v>0</v>
      </c>
      <c r="AT959" s="7">
        <v>1</v>
      </c>
      <c r="BE959" s="7">
        <v>240</v>
      </c>
      <c r="BG959" s="7">
        <v>2</v>
      </c>
      <c r="BL959" s="7">
        <v>0</v>
      </c>
    </row>
    <row r="960" spans="1:64" s="7" customFormat="1">
      <c r="A960" s="7">
        <v>1500206</v>
      </c>
      <c r="B960" s="24" t="s">
        <v>3008</v>
      </c>
      <c r="C960" s="7" t="s">
        <v>540</v>
      </c>
      <c r="D960" s="7" t="s">
        <v>550</v>
      </c>
      <c r="E960" s="7">
        <v>1</v>
      </c>
      <c r="F960" s="7" t="s">
        <v>997</v>
      </c>
      <c r="G960" s="7">
        <v>0</v>
      </c>
      <c r="H960" s="7">
        <v>0</v>
      </c>
      <c r="I960" s="7">
        <v>99999</v>
      </c>
      <c r="J960" s="7">
        <v>0</v>
      </c>
      <c r="K960" s="7">
        <v>3</v>
      </c>
      <c r="L960" s="7" t="s">
        <v>1562</v>
      </c>
      <c r="M960" s="7">
        <v>1</v>
      </c>
      <c r="N960" s="7">
        <v>1</v>
      </c>
      <c r="Q960" s="7">
        <v>0</v>
      </c>
      <c r="R960" s="7">
        <v>0</v>
      </c>
      <c r="S960" s="7">
        <v>1</v>
      </c>
      <c r="T960" s="7">
        <v>0</v>
      </c>
      <c r="V960" s="7">
        <v>0</v>
      </c>
      <c r="W960" s="7">
        <v>0</v>
      </c>
      <c r="X960" s="6" t="s">
        <v>2997</v>
      </c>
      <c r="Y960" s="7" t="s">
        <v>1691</v>
      </c>
      <c r="Z960" s="7" t="s">
        <v>3010</v>
      </c>
      <c r="AA960" s="7" t="s">
        <v>527</v>
      </c>
      <c r="AB960" s="7">
        <v>0</v>
      </c>
      <c r="AC960" s="7">
        <v>16</v>
      </c>
      <c r="AD960" s="7">
        <v>0</v>
      </c>
      <c r="AE960" s="7">
        <v>0</v>
      </c>
      <c r="AF960" s="7">
        <v>0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P960" s="7">
        <v>0</v>
      </c>
      <c r="AQ960" s="7">
        <v>0</v>
      </c>
      <c r="AR960" s="7">
        <v>0</v>
      </c>
      <c r="AS960" s="7">
        <v>0</v>
      </c>
      <c r="AT960" s="7">
        <v>1</v>
      </c>
      <c r="BE960" s="7">
        <v>240</v>
      </c>
      <c r="BG960" s="7">
        <v>2</v>
      </c>
      <c r="BL960" s="7">
        <v>0</v>
      </c>
    </row>
    <row r="961" spans="1:64" s="7" customFormat="1">
      <c r="A961" s="7">
        <v>1500207</v>
      </c>
      <c r="B961" s="7" t="s">
        <v>3009</v>
      </c>
      <c r="C961" s="7" t="s">
        <v>540</v>
      </c>
      <c r="D961" s="7" t="s">
        <v>550</v>
      </c>
      <c r="E961" s="7">
        <v>1</v>
      </c>
      <c r="F961" s="7" t="s">
        <v>997</v>
      </c>
      <c r="G961" s="7">
        <v>0</v>
      </c>
      <c r="H961" s="7">
        <v>0</v>
      </c>
      <c r="I961" s="7">
        <v>99999</v>
      </c>
      <c r="J961" s="7">
        <v>0</v>
      </c>
      <c r="K961" s="7">
        <v>3</v>
      </c>
      <c r="L961" s="7" t="s">
        <v>1562</v>
      </c>
      <c r="M961" s="7">
        <v>1</v>
      </c>
      <c r="N961" s="7">
        <v>1</v>
      </c>
      <c r="Q961" s="7">
        <v>0</v>
      </c>
      <c r="R961" s="7">
        <v>0</v>
      </c>
      <c r="S961" s="7">
        <v>1</v>
      </c>
      <c r="T961" s="7">
        <v>0</v>
      </c>
      <c r="V961" s="7">
        <v>0</v>
      </c>
      <c r="W961" s="7">
        <v>0</v>
      </c>
      <c r="X961" s="6" t="s">
        <v>2998</v>
      </c>
      <c r="Y961" s="7" t="s">
        <v>1691</v>
      </c>
      <c r="Z961" s="7" t="s">
        <v>3016</v>
      </c>
      <c r="AA961" s="7" t="s">
        <v>527</v>
      </c>
      <c r="AB961" s="7">
        <v>0</v>
      </c>
      <c r="AC961" s="7">
        <v>16</v>
      </c>
      <c r="AD961" s="7">
        <v>0</v>
      </c>
      <c r="AE961" s="7">
        <v>0</v>
      </c>
      <c r="AF961" s="7">
        <v>0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P961" s="7">
        <v>0</v>
      </c>
      <c r="AQ961" s="7">
        <v>0</v>
      </c>
      <c r="AR961" s="7">
        <v>0</v>
      </c>
      <c r="AS961" s="7">
        <v>0</v>
      </c>
      <c r="AT961" s="7">
        <v>1</v>
      </c>
      <c r="BE961" s="7">
        <v>240</v>
      </c>
      <c r="BG961" s="7">
        <v>2</v>
      </c>
      <c r="BL961" s="7">
        <v>0</v>
      </c>
    </row>
    <row r="962" spans="1:64" s="7" customFormat="1">
      <c r="A962" s="7">
        <v>1500208</v>
      </c>
      <c r="B962" s="24" t="s">
        <v>3048</v>
      </c>
      <c r="C962" s="7" t="s">
        <v>540</v>
      </c>
      <c r="D962" s="7" t="s">
        <v>550</v>
      </c>
      <c r="E962" s="7">
        <v>1</v>
      </c>
      <c r="F962" s="7" t="s">
        <v>997</v>
      </c>
      <c r="G962" s="7">
        <v>0</v>
      </c>
      <c r="H962" s="7">
        <v>0</v>
      </c>
      <c r="I962" s="7">
        <v>99999</v>
      </c>
      <c r="J962" s="7">
        <v>0</v>
      </c>
      <c r="K962" s="7">
        <v>3</v>
      </c>
      <c r="L962" s="7" t="s">
        <v>1562</v>
      </c>
      <c r="M962" s="7">
        <v>1</v>
      </c>
      <c r="N962" s="7">
        <v>1</v>
      </c>
      <c r="Q962" s="7">
        <v>0</v>
      </c>
      <c r="R962" s="7">
        <v>0</v>
      </c>
      <c r="S962" s="7">
        <v>1</v>
      </c>
      <c r="T962" s="7">
        <v>0</v>
      </c>
      <c r="V962" s="7">
        <v>0</v>
      </c>
      <c r="W962" s="7">
        <v>0</v>
      </c>
      <c r="X962" s="6" t="s">
        <v>2999</v>
      </c>
      <c r="Y962" s="7" t="s">
        <v>1691</v>
      </c>
      <c r="Z962" s="7" t="s">
        <v>3046</v>
      </c>
      <c r="AA962" s="7" t="s">
        <v>527</v>
      </c>
      <c r="AB962" s="7">
        <v>0</v>
      </c>
      <c r="AC962" s="7">
        <v>16</v>
      </c>
      <c r="AD962" s="7">
        <v>0</v>
      </c>
      <c r="AE962" s="7">
        <v>0</v>
      </c>
      <c r="AF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P962" s="7">
        <v>0</v>
      </c>
      <c r="AQ962" s="7">
        <v>0</v>
      </c>
      <c r="AR962" s="7">
        <v>0</v>
      </c>
      <c r="AS962" s="7">
        <v>0</v>
      </c>
      <c r="AT962" s="7">
        <v>1</v>
      </c>
      <c r="BE962" s="7">
        <v>240</v>
      </c>
      <c r="BG962" s="7">
        <v>2</v>
      </c>
      <c r="BL962" s="7">
        <v>0</v>
      </c>
    </row>
    <row r="963" spans="1:64" s="40" customFormat="1">
      <c r="A963" s="40">
        <v>1500209</v>
      </c>
      <c r="B963" s="40" t="s">
        <v>2980</v>
      </c>
      <c r="C963" s="40" t="s">
        <v>540</v>
      </c>
      <c r="D963" s="40" t="s">
        <v>550</v>
      </c>
      <c r="E963" s="40">
        <v>1</v>
      </c>
      <c r="F963" s="40" t="s">
        <v>997</v>
      </c>
      <c r="G963" s="40">
        <v>0</v>
      </c>
      <c r="H963" s="40">
        <v>0</v>
      </c>
      <c r="I963" s="40">
        <v>99999</v>
      </c>
      <c r="J963" s="40">
        <v>0</v>
      </c>
      <c r="K963" s="40">
        <v>3</v>
      </c>
      <c r="L963" s="40" t="s">
        <v>1562</v>
      </c>
      <c r="M963" s="40">
        <v>1</v>
      </c>
      <c r="N963" s="40">
        <v>1</v>
      </c>
      <c r="Q963" s="40">
        <v>0</v>
      </c>
      <c r="R963" s="40">
        <v>0</v>
      </c>
      <c r="S963" s="40">
        <v>1</v>
      </c>
      <c r="T963" s="40">
        <v>0</v>
      </c>
      <c r="V963" s="40">
        <v>0</v>
      </c>
      <c r="W963" s="40">
        <v>0</v>
      </c>
      <c r="X963" s="41"/>
      <c r="Y963" s="40" t="s">
        <v>1691</v>
      </c>
      <c r="Z963" s="40" t="s">
        <v>2889</v>
      </c>
      <c r="AA963" s="40" t="s">
        <v>527</v>
      </c>
      <c r="AB963" s="40">
        <v>0</v>
      </c>
      <c r="AC963" s="40">
        <v>16</v>
      </c>
      <c r="AD963" s="40">
        <v>0</v>
      </c>
      <c r="AE963" s="40">
        <v>0</v>
      </c>
      <c r="AF963" s="40">
        <v>0</v>
      </c>
      <c r="AI963" s="40">
        <v>0</v>
      </c>
      <c r="AJ963" s="40">
        <v>0</v>
      </c>
      <c r="AK963" s="40">
        <v>0</v>
      </c>
      <c r="AL963" s="40">
        <v>0</v>
      </c>
      <c r="AM963" s="40">
        <v>0</v>
      </c>
      <c r="AN963" s="40">
        <v>0</v>
      </c>
      <c r="AP963" s="40">
        <v>0</v>
      </c>
      <c r="AQ963" s="40">
        <v>0</v>
      </c>
      <c r="AR963" s="40">
        <v>0</v>
      </c>
      <c r="AS963" s="40">
        <v>0</v>
      </c>
      <c r="AT963" s="40">
        <v>1</v>
      </c>
      <c r="BE963" s="40">
        <v>240</v>
      </c>
      <c r="BG963" s="40">
        <v>2</v>
      </c>
      <c r="BL963" s="7">
        <v>0</v>
      </c>
    </row>
    <row r="964" spans="1:64" s="7" customFormat="1">
      <c r="A964" s="7">
        <v>1500210</v>
      </c>
      <c r="B964" s="24" t="s">
        <v>3012</v>
      </c>
      <c r="C964" s="7" t="s">
        <v>540</v>
      </c>
      <c r="D964" s="7" t="s">
        <v>550</v>
      </c>
      <c r="E964" s="7">
        <v>1</v>
      </c>
      <c r="F964" s="7" t="s">
        <v>997</v>
      </c>
      <c r="G964" s="7">
        <v>0</v>
      </c>
      <c r="H964" s="7">
        <v>0</v>
      </c>
      <c r="I964" s="7">
        <v>99999</v>
      </c>
      <c r="J964" s="7">
        <v>0</v>
      </c>
      <c r="K964" s="7">
        <v>3</v>
      </c>
      <c r="L964" s="7" t="s">
        <v>1562</v>
      </c>
      <c r="M964" s="7">
        <v>1</v>
      </c>
      <c r="N964" s="7">
        <v>1</v>
      </c>
      <c r="Q964" s="7">
        <v>0</v>
      </c>
      <c r="R964" s="7">
        <v>0</v>
      </c>
      <c r="S964" s="7">
        <v>1</v>
      </c>
      <c r="T964" s="7">
        <v>0</v>
      </c>
      <c r="V964" s="7">
        <v>0</v>
      </c>
      <c r="W964" s="7">
        <v>0</v>
      </c>
      <c r="X964" s="6" t="s">
        <v>3000</v>
      </c>
      <c r="Y964" s="7" t="s">
        <v>1691</v>
      </c>
      <c r="Z964" s="7" t="s">
        <v>3013</v>
      </c>
      <c r="AA964" s="7" t="s">
        <v>527</v>
      </c>
      <c r="AB964" s="7">
        <v>0</v>
      </c>
      <c r="AC964" s="7">
        <v>16</v>
      </c>
      <c r="AD964" s="7">
        <v>0</v>
      </c>
      <c r="AE964" s="7">
        <v>0</v>
      </c>
      <c r="AF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P964" s="7">
        <v>0</v>
      </c>
      <c r="AQ964" s="7">
        <v>0</v>
      </c>
      <c r="AR964" s="7">
        <v>0</v>
      </c>
      <c r="AS964" s="7">
        <v>0</v>
      </c>
      <c r="AT964" s="7">
        <v>1</v>
      </c>
      <c r="BE964" s="7">
        <v>240</v>
      </c>
      <c r="BG964" s="7">
        <v>2</v>
      </c>
      <c r="BL964" s="7">
        <v>0</v>
      </c>
    </row>
    <row r="965" spans="1:64" s="7" customFormat="1">
      <c r="A965" s="7">
        <v>1500211</v>
      </c>
      <c r="B965" s="24" t="s">
        <v>3255</v>
      </c>
      <c r="C965" s="7" t="s">
        <v>540</v>
      </c>
      <c r="D965" s="7" t="s">
        <v>550</v>
      </c>
      <c r="E965" s="7">
        <v>1</v>
      </c>
      <c r="F965" s="7" t="s">
        <v>997</v>
      </c>
      <c r="G965" s="7">
        <v>0</v>
      </c>
      <c r="H965" s="7">
        <v>0</v>
      </c>
      <c r="I965" s="7">
        <v>99999</v>
      </c>
      <c r="J965" s="7">
        <v>0</v>
      </c>
      <c r="K965" s="7">
        <v>3</v>
      </c>
      <c r="L965" s="7" t="s">
        <v>1562</v>
      </c>
      <c r="M965" s="7">
        <v>1</v>
      </c>
      <c r="N965" s="7">
        <v>1</v>
      </c>
      <c r="Q965" s="7">
        <v>0</v>
      </c>
      <c r="R965" s="7">
        <v>0</v>
      </c>
      <c r="S965" s="7">
        <v>1</v>
      </c>
      <c r="T965" s="7">
        <v>0</v>
      </c>
      <c r="V965" s="7">
        <v>0</v>
      </c>
      <c r="W965" s="7">
        <v>0</v>
      </c>
      <c r="X965" s="6" t="s">
        <v>3001</v>
      </c>
      <c r="Y965" s="7" t="s">
        <v>1691</v>
      </c>
      <c r="Z965" s="7" t="s">
        <v>3014</v>
      </c>
      <c r="AA965" s="7" t="s">
        <v>527</v>
      </c>
      <c r="AB965" s="7">
        <v>0</v>
      </c>
      <c r="AC965" s="7">
        <v>16</v>
      </c>
      <c r="AD965" s="7">
        <v>0</v>
      </c>
      <c r="AE965" s="7">
        <v>0</v>
      </c>
      <c r="AF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P965" s="7">
        <v>0</v>
      </c>
      <c r="AQ965" s="7">
        <v>0</v>
      </c>
      <c r="AR965" s="7">
        <v>0</v>
      </c>
      <c r="AS965" s="7">
        <v>0</v>
      </c>
      <c r="AT965" s="7">
        <v>1</v>
      </c>
      <c r="BE965" s="7">
        <v>240</v>
      </c>
      <c r="BG965" s="7">
        <v>2</v>
      </c>
      <c r="BL965" s="7">
        <v>0</v>
      </c>
    </row>
    <row r="966" spans="1:64" s="40" customFormat="1">
      <c r="A966" s="40">
        <v>1500212</v>
      </c>
      <c r="B966" s="40" t="s">
        <v>2981</v>
      </c>
      <c r="C966" s="40" t="s">
        <v>540</v>
      </c>
      <c r="D966" s="40" t="s">
        <v>550</v>
      </c>
      <c r="E966" s="40">
        <v>1</v>
      </c>
      <c r="F966" s="40" t="s">
        <v>997</v>
      </c>
      <c r="G966" s="40">
        <v>0</v>
      </c>
      <c r="H966" s="40">
        <v>0</v>
      </c>
      <c r="I966" s="40">
        <v>99999</v>
      </c>
      <c r="J966" s="40">
        <v>0</v>
      </c>
      <c r="K966" s="40">
        <v>3</v>
      </c>
      <c r="L966" s="40" t="s">
        <v>1562</v>
      </c>
      <c r="M966" s="40">
        <v>1</v>
      </c>
      <c r="N966" s="40">
        <v>1</v>
      </c>
      <c r="Q966" s="40">
        <v>0</v>
      </c>
      <c r="R966" s="40">
        <v>0</v>
      </c>
      <c r="S966" s="40">
        <v>1</v>
      </c>
      <c r="T966" s="40">
        <v>0</v>
      </c>
      <c r="V966" s="40">
        <v>0</v>
      </c>
      <c r="W966" s="40">
        <v>0</v>
      </c>
      <c r="X966" s="41"/>
      <c r="Y966" s="40" t="s">
        <v>1691</v>
      </c>
      <c r="Z966" s="40" t="s">
        <v>2889</v>
      </c>
      <c r="AA966" s="40" t="s">
        <v>527</v>
      </c>
      <c r="AB966" s="40">
        <v>0</v>
      </c>
      <c r="AC966" s="40">
        <v>16</v>
      </c>
      <c r="AD966" s="40">
        <v>0</v>
      </c>
      <c r="AE966" s="40">
        <v>0</v>
      </c>
      <c r="AF966" s="40">
        <v>0</v>
      </c>
      <c r="AI966" s="40">
        <v>0</v>
      </c>
      <c r="AJ966" s="40">
        <v>0</v>
      </c>
      <c r="AK966" s="40">
        <v>0</v>
      </c>
      <c r="AL966" s="40">
        <v>0</v>
      </c>
      <c r="AM966" s="40">
        <v>0</v>
      </c>
      <c r="AN966" s="40">
        <v>0</v>
      </c>
      <c r="AP966" s="40">
        <v>0</v>
      </c>
      <c r="AQ966" s="40">
        <v>0</v>
      </c>
      <c r="AR966" s="40">
        <v>0</v>
      </c>
      <c r="AS966" s="40">
        <v>0</v>
      </c>
      <c r="AT966" s="40">
        <v>1</v>
      </c>
      <c r="BE966" s="40">
        <v>240</v>
      </c>
      <c r="BG966" s="40">
        <v>2</v>
      </c>
      <c r="BL966" s="7">
        <v>0</v>
      </c>
    </row>
    <row r="967" spans="1:64" s="7" customFormat="1">
      <c r="A967" s="7">
        <v>1500213</v>
      </c>
      <c r="B967" s="7" t="s">
        <v>3049</v>
      </c>
      <c r="C967" s="7" t="s">
        <v>540</v>
      </c>
      <c r="D967" s="7" t="s">
        <v>550</v>
      </c>
      <c r="E967" s="7">
        <v>1</v>
      </c>
      <c r="F967" s="7" t="s">
        <v>997</v>
      </c>
      <c r="G967" s="7">
        <v>0</v>
      </c>
      <c r="H967" s="7">
        <v>0</v>
      </c>
      <c r="I967" s="7">
        <v>99999</v>
      </c>
      <c r="J967" s="7">
        <v>0</v>
      </c>
      <c r="K967" s="7">
        <v>3</v>
      </c>
      <c r="L967" s="7" t="s">
        <v>1562</v>
      </c>
      <c r="M967" s="7">
        <v>1</v>
      </c>
      <c r="N967" s="7">
        <v>1</v>
      </c>
      <c r="Q967" s="7">
        <v>0</v>
      </c>
      <c r="R967" s="7">
        <v>0</v>
      </c>
      <c r="S967" s="7">
        <v>1</v>
      </c>
      <c r="T967" s="7">
        <v>0</v>
      </c>
      <c r="V967" s="7">
        <v>0</v>
      </c>
      <c r="W967" s="7">
        <v>0</v>
      </c>
      <c r="X967" s="6" t="s">
        <v>3002</v>
      </c>
      <c r="Y967" s="7" t="s">
        <v>1691</v>
      </c>
      <c r="Z967" s="7" t="s">
        <v>3015</v>
      </c>
      <c r="AA967" s="7" t="s">
        <v>527</v>
      </c>
      <c r="AB967" s="7">
        <v>0</v>
      </c>
      <c r="AC967" s="7">
        <v>16</v>
      </c>
      <c r="AD967" s="7">
        <v>0</v>
      </c>
      <c r="AE967" s="7">
        <v>0</v>
      </c>
      <c r="AF967" s="7">
        <v>0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P967" s="7">
        <v>0</v>
      </c>
      <c r="AQ967" s="7">
        <v>0</v>
      </c>
      <c r="AR967" s="7">
        <v>0</v>
      </c>
      <c r="AS967" s="7">
        <v>0</v>
      </c>
      <c r="AT967" s="7">
        <v>1</v>
      </c>
      <c r="BE967" s="7">
        <v>240</v>
      </c>
      <c r="BG967" s="7">
        <v>2</v>
      </c>
      <c r="BL967" s="7">
        <v>0</v>
      </c>
    </row>
    <row r="968" spans="1:64" s="40" customFormat="1">
      <c r="A968" s="40">
        <v>1500214</v>
      </c>
      <c r="B968" s="40" t="s">
        <v>2982</v>
      </c>
      <c r="C968" s="40" t="s">
        <v>540</v>
      </c>
      <c r="D968" s="40" t="s">
        <v>550</v>
      </c>
      <c r="E968" s="40">
        <v>1</v>
      </c>
      <c r="F968" s="40" t="s">
        <v>997</v>
      </c>
      <c r="G968" s="40">
        <v>0</v>
      </c>
      <c r="H968" s="40">
        <v>0</v>
      </c>
      <c r="I968" s="40">
        <v>99999</v>
      </c>
      <c r="J968" s="40">
        <v>0</v>
      </c>
      <c r="K968" s="40">
        <v>3</v>
      </c>
      <c r="L968" s="40" t="s">
        <v>1562</v>
      </c>
      <c r="M968" s="40">
        <v>1</v>
      </c>
      <c r="N968" s="40">
        <v>1</v>
      </c>
      <c r="Q968" s="40">
        <v>0</v>
      </c>
      <c r="R968" s="40">
        <v>0</v>
      </c>
      <c r="S968" s="40">
        <v>1</v>
      </c>
      <c r="T968" s="40">
        <v>0</v>
      </c>
      <c r="V968" s="40">
        <v>0</v>
      </c>
      <c r="W968" s="40">
        <v>0</v>
      </c>
      <c r="X968" s="41"/>
      <c r="Y968" s="40" t="s">
        <v>1691</v>
      </c>
      <c r="Z968" s="40" t="s">
        <v>2889</v>
      </c>
      <c r="AA968" s="40" t="s">
        <v>527</v>
      </c>
      <c r="AB968" s="40">
        <v>0</v>
      </c>
      <c r="AC968" s="40">
        <v>16</v>
      </c>
      <c r="AD968" s="40">
        <v>0</v>
      </c>
      <c r="AE968" s="40">
        <v>0</v>
      </c>
      <c r="AF968" s="40">
        <v>0</v>
      </c>
      <c r="AI968" s="40">
        <v>0</v>
      </c>
      <c r="AJ968" s="40">
        <v>0</v>
      </c>
      <c r="AK968" s="40">
        <v>0</v>
      </c>
      <c r="AL968" s="40">
        <v>0</v>
      </c>
      <c r="AM968" s="40">
        <v>0</v>
      </c>
      <c r="AN968" s="40">
        <v>0</v>
      </c>
      <c r="AP968" s="40">
        <v>0</v>
      </c>
      <c r="AQ968" s="40">
        <v>0</v>
      </c>
      <c r="AR968" s="40">
        <v>0</v>
      </c>
      <c r="AS968" s="40">
        <v>0</v>
      </c>
      <c r="AT968" s="40">
        <v>1</v>
      </c>
      <c r="BE968" s="40">
        <v>240</v>
      </c>
      <c r="BG968" s="40">
        <v>2</v>
      </c>
      <c r="BL968" s="7">
        <v>0</v>
      </c>
    </row>
    <row r="969" spans="1:64" s="40" customFormat="1">
      <c r="A969" s="40">
        <v>1500215</v>
      </c>
      <c r="B969" s="40" t="s">
        <v>2983</v>
      </c>
      <c r="C969" s="40" t="s">
        <v>540</v>
      </c>
      <c r="D969" s="40" t="s">
        <v>550</v>
      </c>
      <c r="E969" s="40">
        <v>1</v>
      </c>
      <c r="F969" s="40" t="s">
        <v>997</v>
      </c>
      <c r="G969" s="40">
        <v>0</v>
      </c>
      <c r="H969" s="40">
        <v>0</v>
      </c>
      <c r="I969" s="40">
        <v>99999</v>
      </c>
      <c r="J969" s="40">
        <v>0</v>
      </c>
      <c r="K969" s="40">
        <v>3</v>
      </c>
      <c r="L969" s="40" t="s">
        <v>1562</v>
      </c>
      <c r="M969" s="40">
        <v>1</v>
      </c>
      <c r="N969" s="40">
        <v>1</v>
      </c>
      <c r="Q969" s="40">
        <v>0</v>
      </c>
      <c r="R969" s="40">
        <v>0</v>
      </c>
      <c r="S969" s="40">
        <v>1</v>
      </c>
      <c r="T969" s="40">
        <v>0</v>
      </c>
      <c r="V969" s="40">
        <v>0</v>
      </c>
      <c r="W969" s="40">
        <v>0</v>
      </c>
      <c r="X969" s="41"/>
      <c r="Y969" s="40" t="s">
        <v>1691</v>
      </c>
      <c r="Z969" s="40" t="s">
        <v>2889</v>
      </c>
      <c r="AA969" s="40" t="s">
        <v>527</v>
      </c>
      <c r="AB969" s="40">
        <v>0</v>
      </c>
      <c r="AC969" s="40">
        <v>16</v>
      </c>
      <c r="AD969" s="40">
        <v>0</v>
      </c>
      <c r="AE969" s="40">
        <v>0</v>
      </c>
      <c r="AF969" s="40">
        <v>0</v>
      </c>
      <c r="AI969" s="40">
        <v>0</v>
      </c>
      <c r="AJ969" s="40">
        <v>0</v>
      </c>
      <c r="AK969" s="40">
        <v>0</v>
      </c>
      <c r="AL969" s="40">
        <v>0</v>
      </c>
      <c r="AM969" s="40">
        <v>0</v>
      </c>
      <c r="AN969" s="40">
        <v>0</v>
      </c>
      <c r="AP969" s="40">
        <v>0</v>
      </c>
      <c r="AQ969" s="40">
        <v>0</v>
      </c>
      <c r="AR969" s="40">
        <v>0</v>
      </c>
      <c r="AS969" s="40">
        <v>0</v>
      </c>
      <c r="AT969" s="40">
        <v>1</v>
      </c>
      <c r="BE969" s="40">
        <v>240</v>
      </c>
      <c r="BG969" s="40">
        <v>2</v>
      </c>
      <c r="BL969" s="7">
        <v>0</v>
      </c>
    </row>
    <row r="970" spans="1:64" s="40" customFormat="1">
      <c r="A970" s="40">
        <v>1500216</v>
      </c>
      <c r="B970" s="40" t="s">
        <v>2984</v>
      </c>
      <c r="C970" s="40" t="s">
        <v>540</v>
      </c>
      <c r="D970" s="40" t="s">
        <v>550</v>
      </c>
      <c r="E970" s="40">
        <v>1</v>
      </c>
      <c r="F970" s="40" t="s">
        <v>997</v>
      </c>
      <c r="G970" s="40">
        <v>0</v>
      </c>
      <c r="H970" s="40">
        <v>0</v>
      </c>
      <c r="I970" s="40">
        <v>99999</v>
      </c>
      <c r="J970" s="40">
        <v>0</v>
      </c>
      <c r="K970" s="40">
        <v>3</v>
      </c>
      <c r="L970" s="40" t="s">
        <v>1562</v>
      </c>
      <c r="M970" s="40">
        <v>1</v>
      </c>
      <c r="N970" s="40">
        <v>1</v>
      </c>
      <c r="Q970" s="40">
        <v>0</v>
      </c>
      <c r="R970" s="40">
        <v>0</v>
      </c>
      <c r="S970" s="40">
        <v>1</v>
      </c>
      <c r="T970" s="40">
        <v>0</v>
      </c>
      <c r="V970" s="40">
        <v>0</v>
      </c>
      <c r="W970" s="40">
        <v>0</v>
      </c>
      <c r="X970" s="41"/>
      <c r="Y970" s="40" t="s">
        <v>1691</v>
      </c>
      <c r="Z970" s="40" t="s">
        <v>2889</v>
      </c>
      <c r="AA970" s="40" t="s">
        <v>527</v>
      </c>
      <c r="AB970" s="40">
        <v>0</v>
      </c>
      <c r="AC970" s="40">
        <v>16</v>
      </c>
      <c r="AD970" s="40">
        <v>0</v>
      </c>
      <c r="AE970" s="40">
        <v>0</v>
      </c>
      <c r="AF970" s="40">
        <v>0</v>
      </c>
      <c r="AI970" s="40">
        <v>0</v>
      </c>
      <c r="AJ970" s="40">
        <v>0</v>
      </c>
      <c r="AK970" s="40">
        <v>0</v>
      </c>
      <c r="AL970" s="40">
        <v>0</v>
      </c>
      <c r="AM970" s="40">
        <v>0</v>
      </c>
      <c r="AN970" s="40">
        <v>0</v>
      </c>
      <c r="AP970" s="40">
        <v>0</v>
      </c>
      <c r="AQ970" s="40">
        <v>0</v>
      </c>
      <c r="AR970" s="40">
        <v>0</v>
      </c>
      <c r="AS970" s="40">
        <v>0</v>
      </c>
      <c r="AT970" s="40">
        <v>1</v>
      </c>
      <c r="BE970" s="40">
        <v>240</v>
      </c>
      <c r="BG970" s="40">
        <v>2</v>
      </c>
      <c r="BL970" s="7">
        <v>0</v>
      </c>
    </row>
    <row r="971" spans="1:64" s="40" customFormat="1">
      <c r="A971" s="40">
        <v>1500217</v>
      </c>
      <c r="B971" s="40" t="s">
        <v>2985</v>
      </c>
      <c r="C971" s="40" t="s">
        <v>540</v>
      </c>
      <c r="D971" s="40" t="s">
        <v>550</v>
      </c>
      <c r="E971" s="40">
        <v>1</v>
      </c>
      <c r="F971" s="40" t="s">
        <v>997</v>
      </c>
      <c r="G971" s="40">
        <v>0</v>
      </c>
      <c r="H971" s="40">
        <v>0</v>
      </c>
      <c r="I971" s="40">
        <v>99999</v>
      </c>
      <c r="J971" s="40">
        <v>0</v>
      </c>
      <c r="K971" s="40">
        <v>3</v>
      </c>
      <c r="L971" s="40" t="s">
        <v>1562</v>
      </c>
      <c r="M971" s="40">
        <v>1</v>
      </c>
      <c r="N971" s="40">
        <v>1</v>
      </c>
      <c r="Q971" s="40">
        <v>0</v>
      </c>
      <c r="R971" s="40">
        <v>0</v>
      </c>
      <c r="S971" s="40">
        <v>1</v>
      </c>
      <c r="T971" s="40">
        <v>0</v>
      </c>
      <c r="V971" s="40">
        <v>0</v>
      </c>
      <c r="W971" s="40">
        <v>0</v>
      </c>
      <c r="X971" s="41"/>
      <c r="Y971" s="40" t="s">
        <v>1691</v>
      </c>
      <c r="Z971" s="40" t="s">
        <v>2889</v>
      </c>
      <c r="AA971" s="40" t="s">
        <v>527</v>
      </c>
      <c r="AB971" s="40">
        <v>0</v>
      </c>
      <c r="AC971" s="40">
        <v>16</v>
      </c>
      <c r="AD971" s="40">
        <v>0</v>
      </c>
      <c r="AE971" s="40">
        <v>0</v>
      </c>
      <c r="AF971" s="40">
        <v>0</v>
      </c>
      <c r="AI971" s="40">
        <v>0</v>
      </c>
      <c r="AJ971" s="40">
        <v>0</v>
      </c>
      <c r="AK971" s="40">
        <v>0</v>
      </c>
      <c r="AL971" s="40">
        <v>0</v>
      </c>
      <c r="AM971" s="40">
        <v>0</v>
      </c>
      <c r="AN971" s="40">
        <v>0</v>
      </c>
      <c r="AP971" s="40">
        <v>0</v>
      </c>
      <c r="AQ971" s="40">
        <v>0</v>
      </c>
      <c r="AR971" s="40">
        <v>0</v>
      </c>
      <c r="AS971" s="40">
        <v>0</v>
      </c>
      <c r="AT971" s="40">
        <v>1</v>
      </c>
      <c r="BE971" s="40">
        <v>240</v>
      </c>
      <c r="BG971" s="40">
        <v>2</v>
      </c>
      <c r="BL971" s="7">
        <v>0</v>
      </c>
    </row>
    <row r="972" spans="1:64" s="40" customFormat="1">
      <c r="A972" s="40">
        <v>1500218</v>
      </c>
      <c r="B972" s="40" t="s">
        <v>2986</v>
      </c>
      <c r="C972" s="40" t="s">
        <v>540</v>
      </c>
      <c r="D972" s="40" t="s">
        <v>550</v>
      </c>
      <c r="E972" s="40">
        <v>1</v>
      </c>
      <c r="F972" s="40" t="s">
        <v>997</v>
      </c>
      <c r="G972" s="40">
        <v>0</v>
      </c>
      <c r="H972" s="40">
        <v>0</v>
      </c>
      <c r="I972" s="40">
        <v>99999</v>
      </c>
      <c r="J972" s="40">
        <v>0</v>
      </c>
      <c r="K972" s="40">
        <v>3</v>
      </c>
      <c r="L972" s="40" t="s">
        <v>1562</v>
      </c>
      <c r="M972" s="40">
        <v>1</v>
      </c>
      <c r="N972" s="40">
        <v>1</v>
      </c>
      <c r="Q972" s="40">
        <v>0</v>
      </c>
      <c r="R972" s="40">
        <v>0</v>
      </c>
      <c r="S972" s="40">
        <v>1</v>
      </c>
      <c r="T972" s="40">
        <v>0</v>
      </c>
      <c r="V972" s="40">
        <v>0</v>
      </c>
      <c r="W972" s="40">
        <v>0</v>
      </c>
      <c r="X972" s="41"/>
      <c r="Y972" s="40" t="s">
        <v>1691</v>
      </c>
      <c r="Z972" s="40" t="s">
        <v>2889</v>
      </c>
      <c r="AA972" s="40" t="s">
        <v>527</v>
      </c>
      <c r="AB972" s="40">
        <v>0</v>
      </c>
      <c r="AC972" s="40">
        <v>16</v>
      </c>
      <c r="AD972" s="40">
        <v>0</v>
      </c>
      <c r="AE972" s="40">
        <v>0</v>
      </c>
      <c r="AF972" s="40">
        <v>0</v>
      </c>
      <c r="AI972" s="40">
        <v>0</v>
      </c>
      <c r="AJ972" s="40">
        <v>0</v>
      </c>
      <c r="AK972" s="40">
        <v>0</v>
      </c>
      <c r="AL972" s="40">
        <v>0</v>
      </c>
      <c r="AM972" s="40">
        <v>0</v>
      </c>
      <c r="AN972" s="40">
        <v>0</v>
      </c>
      <c r="AP972" s="40">
        <v>0</v>
      </c>
      <c r="AQ972" s="40">
        <v>0</v>
      </c>
      <c r="AR972" s="40">
        <v>0</v>
      </c>
      <c r="AS972" s="40">
        <v>0</v>
      </c>
      <c r="AT972" s="40">
        <v>1</v>
      </c>
      <c r="BE972" s="40">
        <v>240</v>
      </c>
      <c r="BG972" s="40">
        <v>2</v>
      </c>
      <c r="BL972" s="7">
        <v>0</v>
      </c>
    </row>
    <row r="973" spans="1:64" s="40" customFormat="1">
      <c r="A973" s="40">
        <v>1500219</v>
      </c>
      <c r="B973" s="40" t="s">
        <v>2987</v>
      </c>
      <c r="C973" s="40" t="s">
        <v>540</v>
      </c>
      <c r="D973" s="40" t="s">
        <v>550</v>
      </c>
      <c r="E973" s="40">
        <v>1</v>
      </c>
      <c r="F973" s="40" t="s">
        <v>997</v>
      </c>
      <c r="G973" s="40">
        <v>0</v>
      </c>
      <c r="H973" s="40">
        <v>0</v>
      </c>
      <c r="I973" s="40">
        <v>99999</v>
      </c>
      <c r="J973" s="40">
        <v>0</v>
      </c>
      <c r="K973" s="40">
        <v>3</v>
      </c>
      <c r="L973" s="40" t="s">
        <v>1562</v>
      </c>
      <c r="M973" s="40">
        <v>1</v>
      </c>
      <c r="N973" s="40">
        <v>1</v>
      </c>
      <c r="Q973" s="40">
        <v>0</v>
      </c>
      <c r="R973" s="40">
        <v>0</v>
      </c>
      <c r="S973" s="40">
        <v>1</v>
      </c>
      <c r="T973" s="40">
        <v>0</v>
      </c>
      <c r="V973" s="40">
        <v>0</v>
      </c>
      <c r="W973" s="40">
        <v>0</v>
      </c>
      <c r="X973" s="41"/>
      <c r="Y973" s="40" t="s">
        <v>1691</v>
      </c>
      <c r="Z973" s="40" t="s">
        <v>2889</v>
      </c>
      <c r="AA973" s="40" t="s">
        <v>527</v>
      </c>
      <c r="AB973" s="40">
        <v>0</v>
      </c>
      <c r="AC973" s="40">
        <v>16</v>
      </c>
      <c r="AD973" s="40">
        <v>0</v>
      </c>
      <c r="AE973" s="40">
        <v>0</v>
      </c>
      <c r="AF973" s="40">
        <v>0</v>
      </c>
      <c r="AI973" s="40">
        <v>0</v>
      </c>
      <c r="AJ973" s="40">
        <v>0</v>
      </c>
      <c r="AK973" s="40">
        <v>0</v>
      </c>
      <c r="AL973" s="40">
        <v>0</v>
      </c>
      <c r="AM973" s="40">
        <v>0</v>
      </c>
      <c r="AN973" s="40">
        <v>0</v>
      </c>
      <c r="AP973" s="40">
        <v>0</v>
      </c>
      <c r="AQ973" s="40">
        <v>0</v>
      </c>
      <c r="AR973" s="40">
        <v>0</v>
      </c>
      <c r="AS973" s="40">
        <v>0</v>
      </c>
      <c r="AT973" s="40">
        <v>1</v>
      </c>
      <c r="BE973" s="40">
        <v>240</v>
      </c>
      <c r="BG973" s="40">
        <v>2</v>
      </c>
      <c r="BL973" s="7">
        <v>0</v>
      </c>
    </row>
    <row r="974" spans="1:64" s="40" customFormat="1">
      <c r="A974" s="40">
        <v>1500220</v>
      </c>
      <c r="B974" s="40" t="s">
        <v>2988</v>
      </c>
      <c r="C974" s="40" t="s">
        <v>540</v>
      </c>
      <c r="D974" s="40" t="s">
        <v>550</v>
      </c>
      <c r="E974" s="40">
        <v>1</v>
      </c>
      <c r="F974" s="40" t="s">
        <v>997</v>
      </c>
      <c r="G974" s="40">
        <v>0</v>
      </c>
      <c r="H974" s="40">
        <v>0</v>
      </c>
      <c r="I974" s="40">
        <v>99999</v>
      </c>
      <c r="J974" s="40">
        <v>0</v>
      </c>
      <c r="K974" s="40">
        <v>3</v>
      </c>
      <c r="L974" s="40" t="s">
        <v>1562</v>
      </c>
      <c r="M974" s="40">
        <v>1</v>
      </c>
      <c r="N974" s="40">
        <v>1</v>
      </c>
      <c r="Q974" s="40">
        <v>0</v>
      </c>
      <c r="R974" s="40">
        <v>0</v>
      </c>
      <c r="S974" s="40">
        <v>1</v>
      </c>
      <c r="T974" s="40">
        <v>0</v>
      </c>
      <c r="V974" s="40">
        <v>0</v>
      </c>
      <c r="W974" s="40">
        <v>0</v>
      </c>
      <c r="X974" s="41"/>
      <c r="Y974" s="40" t="s">
        <v>1691</v>
      </c>
      <c r="Z974" s="40" t="s">
        <v>2889</v>
      </c>
      <c r="AA974" s="40" t="s">
        <v>527</v>
      </c>
      <c r="AB974" s="40">
        <v>0</v>
      </c>
      <c r="AC974" s="40">
        <v>16</v>
      </c>
      <c r="AD974" s="40">
        <v>0</v>
      </c>
      <c r="AE974" s="40">
        <v>0</v>
      </c>
      <c r="AF974" s="40">
        <v>0</v>
      </c>
      <c r="AI974" s="40">
        <v>0</v>
      </c>
      <c r="AJ974" s="40">
        <v>0</v>
      </c>
      <c r="AK974" s="40">
        <v>0</v>
      </c>
      <c r="AL974" s="40">
        <v>0</v>
      </c>
      <c r="AM974" s="40">
        <v>0</v>
      </c>
      <c r="AN974" s="40">
        <v>0</v>
      </c>
      <c r="AP974" s="40">
        <v>0</v>
      </c>
      <c r="AQ974" s="40">
        <v>0</v>
      </c>
      <c r="AR974" s="40">
        <v>0</v>
      </c>
      <c r="AS974" s="40">
        <v>0</v>
      </c>
      <c r="AT974" s="40">
        <v>1</v>
      </c>
      <c r="BE974" s="40">
        <v>240</v>
      </c>
      <c r="BG974" s="40">
        <v>2</v>
      </c>
      <c r="BL974" s="7">
        <v>0</v>
      </c>
    </row>
    <row r="975" spans="1:64" s="40" customFormat="1">
      <c r="A975" s="40">
        <v>1500221</v>
      </c>
      <c r="B975" s="40" t="s">
        <v>2989</v>
      </c>
      <c r="C975" s="40" t="s">
        <v>540</v>
      </c>
      <c r="D975" s="40" t="s">
        <v>550</v>
      </c>
      <c r="E975" s="40">
        <v>1</v>
      </c>
      <c r="F975" s="40" t="s">
        <v>997</v>
      </c>
      <c r="G975" s="40">
        <v>0</v>
      </c>
      <c r="H975" s="40">
        <v>0</v>
      </c>
      <c r="I975" s="40">
        <v>99999</v>
      </c>
      <c r="J975" s="40">
        <v>0</v>
      </c>
      <c r="K975" s="40">
        <v>3</v>
      </c>
      <c r="L975" s="40" t="s">
        <v>1562</v>
      </c>
      <c r="M975" s="40">
        <v>1</v>
      </c>
      <c r="N975" s="40">
        <v>1</v>
      </c>
      <c r="Q975" s="40">
        <v>0</v>
      </c>
      <c r="R975" s="40">
        <v>0</v>
      </c>
      <c r="S975" s="40">
        <v>1</v>
      </c>
      <c r="T975" s="40">
        <v>0</v>
      </c>
      <c r="V975" s="40">
        <v>0</v>
      </c>
      <c r="W975" s="40">
        <v>0</v>
      </c>
      <c r="X975" s="41"/>
      <c r="Y975" s="40" t="s">
        <v>1691</v>
      </c>
      <c r="Z975" s="40" t="s">
        <v>2889</v>
      </c>
      <c r="AA975" s="40" t="s">
        <v>527</v>
      </c>
      <c r="AB975" s="40">
        <v>0</v>
      </c>
      <c r="AC975" s="40">
        <v>16</v>
      </c>
      <c r="AD975" s="40">
        <v>0</v>
      </c>
      <c r="AE975" s="40">
        <v>0</v>
      </c>
      <c r="AF975" s="40">
        <v>0</v>
      </c>
      <c r="AI975" s="40">
        <v>0</v>
      </c>
      <c r="AJ975" s="40">
        <v>0</v>
      </c>
      <c r="AK975" s="40">
        <v>0</v>
      </c>
      <c r="AL975" s="40">
        <v>0</v>
      </c>
      <c r="AM975" s="40">
        <v>0</v>
      </c>
      <c r="AN975" s="40">
        <v>0</v>
      </c>
      <c r="AP975" s="40">
        <v>0</v>
      </c>
      <c r="AQ975" s="40">
        <v>0</v>
      </c>
      <c r="AR975" s="40">
        <v>0</v>
      </c>
      <c r="AS975" s="40">
        <v>0</v>
      </c>
      <c r="AT975" s="40">
        <v>1</v>
      </c>
      <c r="BE975" s="40">
        <v>240</v>
      </c>
      <c r="BG975" s="40">
        <v>2</v>
      </c>
      <c r="BL975" s="7">
        <v>0</v>
      </c>
    </row>
    <row r="976" spans="1:64" s="24" customFormat="1">
      <c r="A976" s="24">
        <v>1500222</v>
      </c>
      <c r="B976" s="24" t="s">
        <v>3039</v>
      </c>
      <c r="C976" s="24" t="s">
        <v>540</v>
      </c>
      <c r="D976" s="24" t="s">
        <v>550</v>
      </c>
      <c r="E976" s="24">
        <v>1</v>
      </c>
      <c r="F976" s="24" t="s">
        <v>997</v>
      </c>
      <c r="G976" s="24">
        <v>0</v>
      </c>
      <c r="H976" s="24">
        <v>0</v>
      </c>
      <c r="I976" s="24">
        <v>99999</v>
      </c>
      <c r="J976" s="24">
        <v>0</v>
      </c>
      <c r="K976" s="24">
        <v>3</v>
      </c>
      <c r="L976" s="24" t="s">
        <v>1562</v>
      </c>
      <c r="M976" s="24">
        <v>1</v>
      </c>
      <c r="N976" s="24">
        <v>1</v>
      </c>
      <c r="Q976" s="24">
        <v>0</v>
      </c>
      <c r="R976" s="24">
        <v>0</v>
      </c>
      <c r="S976" s="24">
        <v>1</v>
      </c>
      <c r="T976" s="24">
        <v>0</v>
      </c>
      <c r="V976" s="24">
        <v>0</v>
      </c>
      <c r="W976" s="24">
        <v>0</v>
      </c>
      <c r="X976" s="6" t="s">
        <v>3040</v>
      </c>
      <c r="Y976" s="24" t="s">
        <v>1691</v>
      </c>
      <c r="Z976" s="24" t="s">
        <v>3041</v>
      </c>
      <c r="AA976" s="24" t="s">
        <v>527</v>
      </c>
      <c r="AB976" s="24">
        <v>0</v>
      </c>
      <c r="AC976" s="24">
        <v>16</v>
      </c>
      <c r="AD976" s="24">
        <v>0</v>
      </c>
      <c r="AE976" s="24">
        <v>0</v>
      </c>
      <c r="AF976" s="24">
        <v>0</v>
      </c>
      <c r="AI976" s="24">
        <v>0</v>
      </c>
      <c r="AJ976" s="24">
        <v>0</v>
      </c>
      <c r="AK976" s="24">
        <v>0</v>
      </c>
      <c r="AL976" s="24">
        <v>0</v>
      </c>
      <c r="AM976" s="24">
        <v>0</v>
      </c>
      <c r="AN976" s="24">
        <v>0</v>
      </c>
      <c r="AP976" s="24">
        <v>0</v>
      </c>
      <c r="AQ976" s="24">
        <v>0</v>
      </c>
      <c r="AR976" s="24">
        <v>0</v>
      </c>
      <c r="AS976" s="24">
        <v>0</v>
      </c>
      <c r="AT976" s="24">
        <v>1</v>
      </c>
      <c r="BE976" s="24">
        <v>240</v>
      </c>
      <c r="BG976" s="24">
        <v>2</v>
      </c>
      <c r="BL976" s="7">
        <v>0</v>
      </c>
    </row>
    <row r="977" spans="1:64" s="40" customFormat="1">
      <c r="A977" s="40">
        <v>1500223</v>
      </c>
      <c r="B977" s="40" t="s">
        <v>2990</v>
      </c>
      <c r="C977" s="40" t="s">
        <v>540</v>
      </c>
      <c r="D977" s="40" t="s">
        <v>550</v>
      </c>
      <c r="E977" s="40">
        <v>1</v>
      </c>
      <c r="F977" s="40" t="s">
        <v>997</v>
      </c>
      <c r="G977" s="40">
        <v>0</v>
      </c>
      <c r="H977" s="40">
        <v>0</v>
      </c>
      <c r="I977" s="40">
        <v>99999</v>
      </c>
      <c r="J977" s="40">
        <v>0</v>
      </c>
      <c r="K977" s="40">
        <v>3</v>
      </c>
      <c r="L977" s="40" t="s">
        <v>1562</v>
      </c>
      <c r="M977" s="40">
        <v>1</v>
      </c>
      <c r="N977" s="40">
        <v>1</v>
      </c>
      <c r="Q977" s="40">
        <v>0</v>
      </c>
      <c r="R977" s="40">
        <v>0</v>
      </c>
      <c r="S977" s="40">
        <v>1</v>
      </c>
      <c r="T977" s="40">
        <v>0</v>
      </c>
      <c r="V977" s="40">
        <v>0</v>
      </c>
      <c r="W977" s="40">
        <v>0</v>
      </c>
      <c r="X977" s="41"/>
      <c r="Y977" s="40" t="s">
        <v>1691</v>
      </c>
      <c r="Z977" s="40" t="s">
        <v>2889</v>
      </c>
      <c r="AA977" s="40" t="s">
        <v>527</v>
      </c>
      <c r="AB977" s="40">
        <v>0</v>
      </c>
      <c r="AC977" s="40">
        <v>16</v>
      </c>
      <c r="AD977" s="40">
        <v>0</v>
      </c>
      <c r="AE977" s="40">
        <v>0</v>
      </c>
      <c r="AF977" s="40">
        <v>0</v>
      </c>
      <c r="AI977" s="40">
        <v>0</v>
      </c>
      <c r="AJ977" s="40">
        <v>0</v>
      </c>
      <c r="AK977" s="40">
        <v>0</v>
      </c>
      <c r="AL977" s="40">
        <v>0</v>
      </c>
      <c r="AM977" s="40">
        <v>0</v>
      </c>
      <c r="AN977" s="40">
        <v>0</v>
      </c>
      <c r="AP977" s="40">
        <v>0</v>
      </c>
      <c r="AQ977" s="40">
        <v>0</v>
      </c>
      <c r="AR977" s="40">
        <v>0</v>
      </c>
      <c r="AS977" s="40">
        <v>0</v>
      </c>
      <c r="AT977" s="40">
        <v>1</v>
      </c>
      <c r="BE977" s="40">
        <v>240</v>
      </c>
      <c r="BG977" s="40">
        <v>2</v>
      </c>
      <c r="BL977" s="7">
        <v>0</v>
      </c>
    </row>
    <row r="978" spans="1:64" s="7" customFormat="1">
      <c r="A978" s="7">
        <v>1500224</v>
      </c>
      <c r="B978" s="24" t="s">
        <v>3018</v>
      </c>
      <c r="C978" s="7" t="s">
        <v>540</v>
      </c>
      <c r="D978" s="7" t="s">
        <v>550</v>
      </c>
      <c r="E978" s="7">
        <v>1</v>
      </c>
      <c r="F978" s="7" t="s">
        <v>997</v>
      </c>
      <c r="G978" s="7">
        <v>0</v>
      </c>
      <c r="H978" s="7">
        <v>0</v>
      </c>
      <c r="I978" s="7">
        <v>99999</v>
      </c>
      <c r="J978" s="7">
        <v>0</v>
      </c>
      <c r="K978" s="7">
        <v>3</v>
      </c>
      <c r="L978" s="7" t="s">
        <v>1562</v>
      </c>
      <c r="M978" s="7">
        <v>1</v>
      </c>
      <c r="N978" s="7">
        <v>1</v>
      </c>
      <c r="Q978" s="7">
        <v>0</v>
      </c>
      <c r="R978" s="7">
        <v>0</v>
      </c>
      <c r="S978" s="7">
        <v>1</v>
      </c>
      <c r="T978" s="7">
        <v>0</v>
      </c>
      <c r="V978" s="7">
        <v>0</v>
      </c>
      <c r="W978" s="7">
        <v>0</v>
      </c>
      <c r="X978" s="6" t="s">
        <v>3003</v>
      </c>
      <c r="Y978" s="7" t="s">
        <v>1691</v>
      </c>
      <c r="Z978" s="7" t="s">
        <v>3017</v>
      </c>
      <c r="AA978" s="7" t="s">
        <v>527</v>
      </c>
      <c r="AB978" s="7">
        <v>0</v>
      </c>
      <c r="AC978" s="7">
        <v>16</v>
      </c>
      <c r="AD978" s="7">
        <v>0</v>
      </c>
      <c r="AE978" s="7">
        <v>0</v>
      </c>
      <c r="AF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P978" s="7">
        <v>0</v>
      </c>
      <c r="AQ978" s="7">
        <v>0</v>
      </c>
      <c r="AR978" s="7">
        <v>0</v>
      </c>
      <c r="AS978" s="7">
        <v>0</v>
      </c>
      <c r="AT978" s="7">
        <v>1</v>
      </c>
      <c r="BE978" s="7">
        <v>240</v>
      </c>
      <c r="BG978" s="7">
        <v>2</v>
      </c>
      <c r="BL978" s="7">
        <v>0</v>
      </c>
    </row>
    <row r="979" spans="1:64" s="40" customFormat="1">
      <c r="A979" s="40">
        <v>1500225</v>
      </c>
      <c r="B979" s="40" t="s">
        <v>2991</v>
      </c>
      <c r="C979" s="40" t="s">
        <v>540</v>
      </c>
      <c r="D979" s="40" t="s">
        <v>550</v>
      </c>
      <c r="E979" s="40">
        <v>1</v>
      </c>
      <c r="F979" s="40" t="s">
        <v>997</v>
      </c>
      <c r="G979" s="40">
        <v>0</v>
      </c>
      <c r="H979" s="40">
        <v>0</v>
      </c>
      <c r="I979" s="40">
        <v>99999</v>
      </c>
      <c r="J979" s="40">
        <v>0</v>
      </c>
      <c r="K979" s="40">
        <v>3</v>
      </c>
      <c r="L979" s="40" t="s">
        <v>1562</v>
      </c>
      <c r="M979" s="40">
        <v>1</v>
      </c>
      <c r="N979" s="40">
        <v>1</v>
      </c>
      <c r="Q979" s="40">
        <v>0</v>
      </c>
      <c r="R979" s="40">
        <v>0</v>
      </c>
      <c r="S979" s="40">
        <v>1</v>
      </c>
      <c r="T979" s="40">
        <v>0</v>
      </c>
      <c r="V979" s="40">
        <v>0</v>
      </c>
      <c r="W979" s="40">
        <v>0</v>
      </c>
      <c r="X979" s="41"/>
      <c r="Y979" s="40" t="s">
        <v>1691</v>
      </c>
      <c r="Z979" s="40" t="s">
        <v>2889</v>
      </c>
      <c r="AA979" s="40" t="s">
        <v>527</v>
      </c>
      <c r="AB979" s="40">
        <v>0</v>
      </c>
      <c r="AC979" s="40">
        <v>16</v>
      </c>
      <c r="AD979" s="40">
        <v>0</v>
      </c>
      <c r="AE979" s="40">
        <v>0</v>
      </c>
      <c r="AF979" s="40">
        <v>0</v>
      </c>
      <c r="AI979" s="40">
        <v>0</v>
      </c>
      <c r="AJ979" s="40">
        <v>0</v>
      </c>
      <c r="AK979" s="40">
        <v>0</v>
      </c>
      <c r="AL979" s="40">
        <v>0</v>
      </c>
      <c r="AM979" s="40">
        <v>0</v>
      </c>
      <c r="AN979" s="40">
        <v>0</v>
      </c>
      <c r="AP979" s="40">
        <v>0</v>
      </c>
      <c r="AQ979" s="40">
        <v>0</v>
      </c>
      <c r="AR979" s="40">
        <v>0</v>
      </c>
      <c r="AS979" s="40">
        <v>0</v>
      </c>
      <c r="AT979" s="40">
        <v>1</v>
      </c>
      <c r="BE979" s="40">
        <v>240</v>
      </c>
      <c r="BG979" s="40">
        <v>2</v>
      </c>
      <c r="BL979" s="7">
        <v>0</v>
      </c>
    </row>
    <row r="980" spans="1:64" s="40" customFormat="1">
      <c r="A980" s="40">
        <v>1500226</v>
      </c>
      <c r="B980" s="40" t="s">
        <v>2992</v>
      </c>
      <c r="C980" s="40" t="s">
        <v>540</v>
      </c>
      <c r="D980" s="40" t="s">
        <v>550</v>
      </c>
      <c r="E980" s="40">
        <v>1</v>
      </c>
      <c r="F980" s="40" t="s">
        <v>997</v>
      </c>
      <c r="G980" s="40">
        <v>0</v>
      </c>
      <c r="H980" s="40">
        <v>0</v>
      </c>
      <c r="I980" s="40">
        <v>99999</v>
      </c>
      <c r="J980" s="40">
        <v>0</v>
      </c>
      <c r="K980" s="40">
        <v>3</v>
      </c>
      <c r="L980" s="40" t="s">
        <v>1562</v>
      </c>
      <c r="M980" s="40">
        <v>1</v>
      </c>
      <c r="N980" s="40">
        <v>1</v>
      </c>
      <c r="Q980" s="40">
        <v>0</v>
      </c>
      <c r="R980" s="40">
        <v>0</v>
      </c>
      <c r="S980" s="40">
        <v>1</v>
      </c>
      <c r="T980" s="40">
        <v>0</v>
      </c>
      <c r="V980" s="40">
        <v>0</v>
      </c>
      <c r="W980" s="40">
        <v>0</v>
      </c>
      <c r="X980" s="41"/>
      <c r="Y980" s="40" t="s">
        <v>1691</v>
      </c>
      <c r="Z980" s="40" t="s">
        <v>2889</v>
      </c>
      <c r="AA980" s="40" t="s">
        <v>527</v>
      </c>
      <c r="AB980" s="40">
        <v>0</v>
      </c>
      <c r="AC980" s="40">
        <v>16</v>
      </c>
      <c r="AD980" s="40">
        <v>0</v>
      </c>
      <c r="AE980" s="40">
        <v>0</v>
      </c>
      <c r="AF980" s="40">
        <v>0</v>
      </c>
      <c r="AI980" s="40">
        <v>0</v>
      </c>
      <c r="AJ980" s="40">
        <v>0</v>
      </c>
      <c r="AK980" s="40">
        <v>0</v>
      </c>
      <c r="AL980" s="40">
        <v>0</v>
      </c>
      <c r="AM980" s="40">
        <v>0</v>
      </c>
      <c r="AN980" s="40">
        <v>0</v>
      </c>
      <c r="AP980" s="40">
        <v>0</v>
      </c>
      <c r="AQ980" s="40">
        <v>0</v>
      </c>
      <c r="AR980" s="40">
        <v>0</v>
      </c>
      <c r="AS980" s="40">
        <v>0</v>
      </c>
      <c r="AT980" s="40">
        <v>1</v>
      </c>
      <c r="BE980" s="40">
        <v>240</v>
      </c>
      <c r="BG980" s="40">
        <v>2</v>
      </c>
      <c r="BL980" s="7">
        <v>0</v>
      </c>
    </row>
    <row r="981" spans="1:64" s="40" customFormat="1">
      <c r="A981" s="40">
        <v>1500227</v>
      </c>
      <c r="B981" s="40" t="s">
        <v>2993</v>
      </c>
      <c r="C981" s="40" t="s">
        <v>540</v>
      </c>
      <c r="D981" s="40" t="s">
        <v>550</v>
      </c>
      <c r="E981" s="40">
        <v>1</v>
      </c>
      <c r="F981" s="40" t="s">
        <v>997</v>
      </c>
      <c r="G981" s="40">
        <v>0</v>
      </c>
      <c r="H981" s="40">
        <v>0</v>
      </c>
      <c r="I981" s="40">
        <v>99999</v>
      </c>
      <c r="J981" s="40">
        <v>0</v>
      </c>
      <c r="K981" s="40">
        <v>3</v>
      </c>
      <c r="L981" s="40" t="s">
        <v>1562</v>
      </c>
      <c r="M981" s="40">
        <v>1</v>
      </c>
      <c r="N981" s="40">
        <v>1</v>
      </c>
      <c r="Q981" s="40">
        <v>0</v>
      </c>
      <c r="R981" s="40">
        <v>0</v>
      </c>
      <c r="S981" s="40">
        <v>1</v>
      </c>
      <c r="T981" s="40">
        <v>0</v>
      </c>
      <c r="V981" s="40">
        <v>0</v>
      </c>
      <c r="W981" s="40">
        <v>0</v>
      </c>
      <c r="X981" s="41"/>
      <c r="Y981" s="40" t="s">
        <v>1691</v>
      </c>
      <c r="Z981" s="40" t="s">
        <v>2889</v>
      </c>
      <c r="AA981" s="40" t="s">
        <v>527</v>
      </c>
      <c r="AB981" s="40">
        <v>0</v>
      </c>
      <c r="AC981" s="40">
        <v>16</v>
      </c>
      <c r="AD981" s="40">
        <v>0</v>
      </c>
      <c r="AE981" s="40">
        <v>0</v>
      </c>
      <c r="AF981" s="40">
        <v>0</v>
      </c>
      <c r="AI981" s="40">
        <v>0</v>
      </c>
      <c r="AJ981" s="40">
        <v>0</v>
      </c>
      <c r="AK981" s="40">
        <v>0</v>
      </c>
      <c r="AL981" s="40">
        <v>0</v>
      </c>
      <c r="AM981" s="40">
        <v>0</v>
      </c>
      <c r="AN981" s="40">
        <v>0</v>
      </c>
      <c r="AP981" s="40">
        <v>0</v>
      </c>
      <c r="AQ981" s="40">
        <v>0</v>
      </c>
      <c r="AR981" s="40">
        <v>0</v>
      </c>
      <c r="AS981" s="40">
        <v>0</v>
      </c>
      <c r="AT981" s="40">
        <v>1</v>
      </c>
      <c r="BE981" s="40">
        <v>240</v>
      </c>
      <c r="BG981" s="40">
        <v>2</v>
      </c>
      <c r="BL981" s="7">
        <v>0</v>
      </c>
    </row>
    <row r="982" spans="1:64" s="40" customFormat="1">
      <c r="A982" s="40">
        <v>1500228</v>
      </c>
      <c r="B982" s="40" t="s">
        <v>3019</v>
      </c>
      <c r="C982" s="40" t="s">
        <v>540</v>
      </c>
      <c r="D982" s="40" t="s">
        <v>550</v>
      </c>
      <c r="E982" s="40">
        <v>1</v>
      </c>
      <c r="F982" s="40" t="s">
        <v>997</v>
      </c>
      <c r="G982" s="40">
        <v>0</v>
      </c>
      <c r="H982" s="40">
        <v>0</v>
      </c>
      <c r="I982" s="40">
        <v>99999</v>
      </c>
      <c r="J982" s="40">
        <v>0</v>
      </c>
      <c r="K982" s="40">
        <v>3</v>
      </c>
      <c r="L982" s="40" t="s">
        <v>1562</v>
      </c>
      <c r="M982" s="40">
        <v>1</v>
      </c>
      <c r="N982" s="40">
        <v>1</v>
      </c>
      <c r="Q982" s="40">
        <v>0</v>
      </c>
      <c r="R982" s="40">
        <v>0</v>
      </c>
      <c r="S982" s="40">
        <v>1</v>
      </c>
      <c r="T982" s="40">
        <v>0</v>
      </c>
      <c r="V982" s="40">
        <v>0</v>
      </c>
      <c r="W982" s="40">
        <v>0</v>
      </c>
      <c r="X982" s="41"/>
      <c r="Y982" s="40" t="s">
        <v>1691</v>
      </c>
      <c r="Z982" s="40" t="s">
        <v>2889</v>
      </c>
      <c r="AA982" s="40" t="s">
        <v>527</v>
      </c>
      <c r="AB982" s="40">
        <v>0</v>
      </c>
      <c r="AC982" s="40">
        <v>16</v>
      </c>
      <c r="AD982" s="40">
        <v>0</v>
      </c>
      <c r="AE982" s="40">
        <v>0</v>
      </c>
      <c r="AF982" s="40">
        <v>0</v>
      </c>
      <c r="AI982" s="40">
        <v>0</v>
      </c>
      <c r="AJ982" s="40">
        <v>0</v>
      </c>
      <c r="AK982" s="40">
        <v>0</v>
      </c>
      <c r="AL982" s="40">
        <v>0</v>
      </c>
      <c r="AM982" s="40">
        <v>0</v>
      </c>
      <c r="AN982" s="40">
        <v>0</v>
      </c>
      <c r="AP982" s="40">
        <v>0</v>
      </c>
      <c r="AQ982" s="40">
        <v>0</v>
      </c>
      <c r="AR982" s="40">
        <v>0</v>
      </c>
      <c r="AS982" s="40">
        <v>0</v>
      </c>
      <c r="AT982" s="40">
        <v>1</v>
      </c>
      <c r="BE982" s="40">
        <v>240</v>
      </c>
      <c r="BG982" s="40">
        <v>2</v>
      </c>
      <c r="BL982" s="7">
        <v>0</v>
      </c>
    </row>
    <row r="983" spans="1:64" s="7" customFormat="1">
      <c r="A983" s="7">
        <v>1500250</v>
      </c>
      <c r="B983" s="7" t="s">
        <v>3050</v>
      </c>
      <c r="C983" s="7" t="s">
        <v>540</v>
      </c>
      <c r="D983" s="7" t="s">
        <v>550</v>
      </c>
      <c r="E983" s="7">
        <v>1</v>
      </c>
      <c r="F983" s="7" t="s">
        <v>959</v>
      </c>
      <c r="G983" s="7">
        <v>0</v>
      </c>
      <c r="H983" s="7">
        <v>0</v>
      </c>
      <c r="I983" s="7">
        <v>99999</v>
      </c>
      <c r="J983" s="7">
        <v>0</v>
      </c>
      <c r="K983" s="7">
        <v>3</v>
      </c>
      <c r="L983" s="7" t="s">
        <v>1562</v>
      </c>
      <c r="M983" s="7">
        <v>1</v>
      </c>
      <c r="N983" s="7">
        <v>1</v>
      </c>
      <c r="Q983" s="7">
        <v>0</v>
      </c>
      <c r="R983" s="7">
        <v>0</v>
      </c>
      <c r="S983" s="7">
        <v>1</v>
      </c>
      <c r="T983" s="7">
        <v>0</v>
      </c>
      <c r="V983" s="7">
        <v>0</v>
      </c>
      <c r="W983" s="7">
        <v>0</v>
      </c>
      <c r="X983" s="6" t="s">
        <v>3044</v>
      </c>
      <c r="Y983" s="7" t="s">
        <v>3338</v>
      </c>
      <c r="Z983" s="7" t="s">
        <v>3337</v>
      </c>
      <c r="AA983" s="7" t="s">
        <v>527</v>
      </c>
      <c r="AB983" s="7">
        <v>0</v>
      </c>
      <c r="AC983" s="7">
        <v>16</v>
      </c>
      <c r="AD983" s="7">
        <v>0</v>
      </c>
      <c r="AE983" s="7">
        <v>0</v>
      </c>
      <c r="AF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P983" s="7">
        <v>0</v>
      </c>
      <c r="AQ983" s="7">
        <v>0</v>
      </c>
      <c r="AR983" s="7">
        <v>0</v>
      </c>
      <c r="AS983" s="7">
        <v>0</v>
      </c>
      <c r="AT983" s="7">
        <v>1</v>
      </c>
      <c r="BE983" s="7">
        <v>240</v>
      </c>
      <c r="BG983" s="7">
        <v>2</v>
      </c>
      <c r="BL983" s="7">
        <v>0</v>
      </c>
    </row>
    <row r="984" spans="1:64" s="7" customFormat="1">
      <c r="A984" s="7">
        <v>1500301</v>
      </c>
      <c r="B984" s="7" t="s">
        <v>3354</v>
      </c>
      <c r="C984" s="7" t="s">
        <v>540</v>
      </c>
      <c r="D984" s="7" t="s">
        <v>550</v>
      </c>
      <c r="E984" s="7">
        <v>1</v>
      </c>
      <c r="F984" s="7" t="s">
        <v>997</v>
      </c>
      <c r="G984" s="7">
        <v>0</v>
      </c>
      <c r="H984" s="7">
        <v>0</v>
      </c>
      <c r="I984" s="7">
        <v>99999</v>
      </c>
      <c r="J984" s="7">
        <v>0</v>
      </c>
      <c r="K984" s="7">
        <v>3</v>
      </c>
      <c r="L984" s="7" t="s">
        <v>1562</v>
      </c>
      <c r="M984" s="7">
        <v>1</v>
      </c>
      <c r="N984" s="7">
        <v>1</v>
      </c>
      <c r="Q984" s="7">
        <v>0</v>
      </c>
      <c r="R984" s="7">
        <v>0</v>
      </c>
      <c r="S984" s="7">
        <v>1</v>
      </c>
      <c r="T984" s="7">
        <v>0</v>
      </c>
      <c r="V984" s="7">
        <v>0</v>
      </c>
      <c r="W984" s="7">
        <v>0</v>
      </c>
      <c r="X984" s="6" t="s">
        <v>3331</v>
      </c>
      <c r="Y984" s="7" t="s">
        <v>3339</v>
      </c>
      <c r="Z984" s="7" t="s">
        <v>3343</v>
      </c>
      <c r="AA984" s="7" t="s">
        <v>527</v>
      </c>
      <c r="AB984" s="7">
        <v>0</v>
      </c>
      <c r="AC984" s="7">
        <v>16</v>
      </c>
      <c r="AD984" s="7">
        <v>0</v>
      </c>
      <c r="AE984" s="7">
        <v>0</v>
      </c>
      <c r="AF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P984" s="7">
        <v>1</v>
      </c>
      <c r="AQ984" s="7">
        <v>1</v>
      </c>
      <c r="AR984" s="7">
        <v>0</v>
      </c>
      <c r="AS984" s="7">
        <v>0</v>
      </c>
      <c r="AT984" s="7">
        <v>1</v>
      </c>
      <c r="BE984" s="7">
        <v>240</v>
      </c>
      <c r="BG984" s="7">
        <v>2</v>
      </c>
      <c r="BL984" s="7">
        <v>0</v>
      </c>
    </row>
    <row r="985" spans="1:64" s="7" customFormat="1">
      <c r="A985" s="7">
        <v>1500302</v>
      </c>
      <c r="B985" s="7" t="s">
        <v>3355</v>
      </c>
      <c r="C985" s="7" t="s">
        <v>540</v>
      </c>
      <c r="D985" s="7" t="s">
        <v>550</v>
      </c>
      <c r="E985" s="7">
        <v>1</v>
      </c>
      <c r="F985" s="7" t="s">
        <v>997</v>
      </c>
      <c r="G985" s="7">
        <v>0</v>
      </c>
      <c r="H985" s="7">
        <v>0</v>
      </c>
      <c r="I985" s="7">
        <v>99999</v>
      </c>
      <c r="J985" s="7">
        <v>0</v>
      </c>
      <c r="K985" s="7">
        <v>3</v>
      </c>
      <c r="L985" s="7" t="s">
        <v>1562</v>
      </c>
      <c r="M985" s="7">
        <v>1</v>
      </c>
      <c r="N985" s="7">
        <v>1</v>
      </c>
      <c r="Q985" s="7">
        <v>0</v>
      </c>
      <c r="R985" s="7">
        <v>0</v>
      </c>
      <c r="S985" s="7">
        <v>1</v>
      </c>
      <c r="T985" s="7">
        <v>0</v>
      </c>
      <c r="V985" s="7">
        <v>0</v>
      </c>
      <c r="W985" s="7">
        <v>0</v>
      </c>
      <c r="X985" s="6" t="s">
        <v>3332</v>
      </c>
      <c r="Y985" s="7" t="s">
        <v>3339</v>
      </c>
      <c r="Z985" s="7" t="s">
        <v>3343</v>
      </c>
      <c r="AA985" s="7" t="s">
        <v>527</v>
      </c>
      <c r="AB985" s="7">
        <v>0</v>
      </c>
      <c r="AC985" s="7">
        <v>16</v>
      </c>
      <c r="AD985" s="7">
        <v>0</v>
      </c>
      <c r="AE985" s="7">
        <v>0</v>
      </c>
      <c r="AF985" s="7">
        <v>0</v>
      </c>
      <c r="AI985" s="7">
        <v>0</v>
      </c>
      <c r="AJ985" s="7">
        <v>0</v>
      </c>
      <c r="AK985" s="7">
        <v>0</v>
      </c>
      <c r="AL985" s="7">
        <v>0</v>
      </c>
      <c r="AM985" s="7">
        <v>0</v>
      </c>
      <c r="AN985" s="7">
        <v>0</v>
      </c>
      <c r="AP985" s="7">
        <v>1</v>
      </c>
      <c r="AQ985" s="7">
        <v>1</v>
      </c>
      <c r="AR985" s="7">
        <v>0</v>
      </c>
      <c r="AS985" s="7">
        <v>0</v>
      </c>
      <c r="AT985" s="7">
        <v>1</v>
      </c>
      <c r="BE985" s="7">
        <v>240</v>
      </c>
      <c r="BG985" s="7">
        <v>2</v>
      </c>
      <c r="BL985" s="7">
        <v>0</v>
      </c>
    </row>
    <row r="986" spans="1:64" s="7" customFormat="1">
      <c r="A986" s="7">
        <v>1500303</v>
      </c>
      <c r="B986" s="7" t="s">
        <v>3356</v>
      </c>
      <c r="C986" s="7" t="s">
        <v>540</v>
      </c>
      <c r="D986" s="7" t="s">
        <v>550</v>
      </c>
      <c r="E986" s="7">
        <v>1</v>
      </c>
      <c r="F986" s="7" t="s">
        <v>997</v>
      </c>
      <c r="G986" s="7">
        <v>0</v>
      </c>
      <c r="H986" s="7">
        <v>0</v>
      </c>
      <c r="I986" s="7">
        <v>99999</v>
      </c>
      <c r="J986" s="7">
        <v>0</v>
      </c>
      <c r="K986" s="7">
        <v>3</v>
      </c>
      <c r="L986" s="7" t="s">
        <v>1562</v>
      </c>
      <c r="M986" s="7">
        <v>1</v>
      </c>
      <c r="N986" s="7">
        <v>1</v>
      </c>
      <c r="Q986" s="7">
        <v>0</v>
      </c>
      <c r="R986" s="7">
        <v>0</v>
      </c>
      <c r="S986" s="7">
        <v>1</v>
      </c>
      <c r="T986" s="7">
        <v>0</v>
      </c>
      <c r="V986" s="7">
        <v>0</v>
      </c>
      <c r="W986" s="7">
        <v>0</v>
      </c>
      <c r="X986" s="6" t="s">
        <v>3333</v>
      </c>
      <c r="Y986" s="7" t="s">
        <v>3340</v>
      </c>
      <c r="Z986" s="7" t="s">
        <v>3442</v>
      </c>
      <c r="AA986" s="7" t="s">
        <v>527</v>
      </c>
      <c r="AB986" s="7">
        <v>0</v>
      </c>
      <c r="AC986" s="7">
        <v>16</v>
      </c>
      <c r="AD986" s="7">
        <v>0</v>
      </c>
      <c r="AE986" s="7">
        <v>0</v>
      </c>
      <c r="AF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P986" s="7">
        <v>1</v>
      </c>
      <c r="AQ986" s="7">
        <v>1</v>
      </c>
      <c r="AR986" s="7">
        <v>0</v>
      </c>
      <c r="AS986" s="7">
        <v>0</v>
      </c>
      <c r="AT986" s="7">
        <v>1</v>
      </c>
      <c r="BE986" s="7">
        <v>240</v>
      </c>
      <c r="BG986" s="7">
        <v>2</v>
      </c>
      <c r="BL986" s="7">
        <v>0</v>
      </c>
    </row>
    <row r="987" spans="1:64" s="7" customFormat="1">
      <c r="A987" s="7">
        <v>1500304</v>
      </c>
      <c r="B987" s="7" t="s">
        <v>3357</v>
      </c>
      <c r="C987" s="7" t="s">
        <v>540</v>
      </c>
      <c r="D987" s="7" t="s">
        <v>550</v>
      </c>
      <c r="E987" s="7">
        <v>1</v>
      </c>
      <c r="F987" s="7" t="s">
        <v>997</v>
      </c>
      <c r="G987" s="7">
        <v>0</v>
      </c>
      <c r="H987" s="7">
        <v>0</v>
      </c>
      <c r="I987" s="7">
        <v>99999</v>
      </c>
      <c r="J987" s="7">
        <v>0</v>
      </c>
      <c r="K987" s="7">
        <v>3</v>
      </c>
      <c r="L987" s="7" t="s">
        <v>1562</v>
      </c>
      <c r="M987" s="7">
        <v>1</v>
      </c>
      <c r="N987" s="7">
        <v>1</v>
      </c>
      <c r="Q987" s="7">
        <v>0</v>
      </c>
      <c r="R987" s="7">
        <v>0</v>
      </c>
      <c r="S987" s="7">
        <v>1</v>
      </c>
      <c r="T987" s="7">
        <v>0</v>
      </c>
      <c r="V987" s="7">
        <v>0</v>
      </c>
      <c r="W987" s="7">
        <v>0</v>
      </c>
      <c r="X987" s="6" t="s">
        <v>3334</v>
      </c>
      <c r="Y987" s="7" t="s">
        <v>3341</v>
      </c>
      <c r="Z987" s="7" t="s">
        <v>3442</v>
      </c>
      <c r="AA987" s="7" t="s">
        <v>527</v>
      </c>
      <c r="AB987" s="7">
        <v>0</v>
      </c>
      <c r="AC987" s="7">
        <v>16</v>
      </c>
      <c r="AD987" s="7">
        <v>0</v>
      </c>
      <c r="AE987" s="7">
        <v>0</v>
      </c>
      <c r="AF987" s="7">
        <v>0</v>
      </c>
      <c r="AI987" s="7">
        <v>0</v>
      </c>
      <c r="AJ987" s="7">
        <v>0</v>
      </c>
      <c r="AK987" s="7">
        <v>0</v>
      </c>
      <c r="AL987" s="7">
        <v>0</v>
      </c>
      <c r="AM987" s="7">
        <v>0</v>
      </c>
      <c r="AN987" s="7">
        <v>0</v>
      </c>
      <c r="AP987" s="7">
        <v>1</v>
      </c>
      <c r="AQ987" s="7">
        <v>1</v>
      </c>
      <c r="AR987" s="7">
        <v>0</v>
      </c>
      <c r="AS987" s="7">
        <v>0</v>
      </c>
      <c r="AT987" s="7">
        <v>1</v>
      </c>
      <c r="BE987" s="7">
        <v>240</v>
      </c>
      <c r="BG987" s="7">
        <v>2</v>
      </c>
      <c r="BL987" s="7">
        <v>0</v>
      </c>
    </row>
    <row r="988" spans="1:64" s="7" customFormat="1">
      <c r="A988" s="7">
        <v>1500305</v>
      </c>
      <c r="B988" s="7" t="s">
        <v>3358</v>
      </c>
      <c r="C988" s="7" t="s">
        <v>540</v>
      </c>
      <c r="D988" s="7" t="s">
        <v>550</v>
      </c>
      <c r="E988" s="7">
        <v>1</v>
      </c>
      <c r="F988" s="7" t="s">
        <v>997</v>
      </c>
      <c r="G988" s="7">
        <v>0</v>
      </c>
      <c r="H988" s="7">
        <v>0</v>
      </c>
      <c r="I988" s="7">
        <v>99999</v>
      </c>
      <c r="J988" s="7">
        <v>0</v>
      </c>
      <c r="K988" s="7">
        <v>3</v>
      </c>
      <c r="L988" s="7" t="s">
        <v>1562</v>
      </c>
      <c r="M988" s="7">
        <v>1</v>
      </c>
      <c r="N988" s="7">
        <v>1</v>
      </c>
      <c r="Q988" s="7">
        <v>0</v>
      </c>
      <c r="R988" s="7">
        <v>0</v>
      </c>
      <c r="S988" s="7">
        <v>1</v>
      </c>
      <c r="T988" s="7">
        <v>0</v>
      </c>
      <c r="V988" s="7">
        <v>0</v>
      </c>
      <c r="W988" s="7">
        <v>0</v>
      </c>
      <c r="X988" s="6" t="s">
        <v>3335</v>
      </c>
      <c r="Y988" s="7" t="s">
        <v>3342</v>
      </c>
      <c r="Z988" s="7" t="s">
        <v>3443</v>
      </c>
      <c r="AA988" s="7" t="s">
        <v>527</v>
      </c>
      <c r="AB988" s="7">
        <v>0</v>
      </c>
      <c r="AC988" s="7">
        <v>16</v>
      </c>
      <c r="AD988" s="7">
        <v>0</v>
      </c>
      <c r="AE988" s="7">
        <v>0</v>
      </c>
      <c r="AF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P988" s="7">
        <v>1</v>
      </c>
      <c r="AQ988" s="7">
        <v>1</v>
      </c>
      <c r="AR988" s="7">
        <v>0</v>
      </c>
      <c r="AS988" s="7">
        <v>0</v>
      </c>
      <c r="AT988" s="7">
        <v>1</v>
      </c>
      <c r="BE988" s="7">
        <v>240</v>
      </c>
      <c r="BG988" s="7">
        <v>2</v>
      </c>
      <c r="BL988" s="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0"/>
  <sheetViews>
    <sheetView workbookViewId="0">
      <selection activeCell="F16" sqref="F16"/>
    </sheetView>
  </sheetViews>
  <sheetFormatPr defaultRowHeight="13.5"/>
  <sheetData>
    <row r="1" spans="1:3">
      <c r="A1" t="s">
        <v>46</v>
      </c>
      <c r="C1" t="s">
        <v>54</v>
      </c>
    </row>
    <row r="2" spans="1:3">
      <c r="A2" t="s">
        <v>47</v>
      </c>
      <c r="C2" t="s">
        <v>51</v>
      </c>
    </row>
    <row r="3" spans="1:3">
      <c r="A3" t="s">
        <v>48</v>
      </c>
      <c r="C3" t="s">
        <v>52</v>
      </c>
    </row>
    <row r="4" spans="1:3">
      <c r="A4" t="s">
        <v>49</v>
      </c>
      <c r="C4" t="s">
        <v>53</v>
      </c>
    </row>
    <row r="5" spans="1:3">
      <c r="A5" t="s">
        <v>50</v>
      </c>
      <c r="C5" t="s">
        <v>55</v>
      </c>
    </row>
    <row r="6" spans="1:3">
      <c r="A6" t="s">
        <v>50</v>
      </c>
      <c r="C6" t="s">
        <v>55</v>
      </c>
    </row>
    <row r="7" spans="1:3">
      <c r="A7" t="s">
        <v>50</v>
      </c>
      <c r="C7" t="s">
        <v>55</v>
      </c>
    </row>
    <row r="8" spans="1:3">
      <c r="A8" t="s">
        <v>50</v>
      </c>
      <c r="C8" t="s">
        <v>55</v>
      </c>
    </row>
    <row r="9" spans="1:3">
      <c r="A9" t="s">
        <v>50</v>
      </c>
      <c r="C9" t="s">
        <v>55</v>
      </c>
    </row>
    <row r="10" spans="1:3">
      <c r="A10" t="s">
        <v>50</v>
      </c>
      <c r="C10" t="s">
        <v>55</v>
      </c>
    </row>
    <row r="11" spans="1:3">
      <c r="A11" t="s">
        <v>46</v>
      </c>
      <c r="C11" t="s">
        <v>54</v>
      </c>
    </row>
    <row r="12" spans="1:3">
      <c r="A12" t="s">
        <v>47</v>
      </c>
      <c r="C12" t="s">
        <v>51</v>
      </c>
    </row>
    <row r="13" spans="1:3">
      <c r="A13" t="s">
        <v>48</v>
      </c>
      <c r="C13" t="s">
        <v>52</v>
      </c>
    </row>
    <row r="14" spans="1:3">
      <c r="A14" t="s">
        <v>49</v>
      </c>
      <c r="C14" t="s">
        <v>53</v>
      </c>
    </row>
    <row r="15" spans="1:3">
      <c r="A15" t="s">
        <v>50</v>
      </c>
      <c r="C15" t="s">
        <v>55</v>
      </c>
    </row>
    <row r="16" spans="1:3">
      <c r="A16" t="s">
        <v>50</v>
      </c>
      <c r="C16" t="s">
        <v>55</v>
      </c>
    </row>
    <row r="17" spans="1:3">
      <c r="A17" t="s">
        <v>50</v>
      </c>
      <c r="C17" t="s">
        <v>55</v>
      </c>
    </row>
    <row r="18" spans="1:3">
      <c r="A18" t="s">
        <v>50</v>
      </c>
      <c r="C18" t="s">
        <v>55</v>
      </c>
    </row>
    <row r="19" spans="1:3">
      <c r="A19" t="s">
        <v>50</v>
      </c>
      <c r="C19" t="s">
        <v>55</v>
      </c>
    </row>
    <row r="20" spans="1:3">
      <c r="A20" t="s">
        <v>50</v>
      </c>
      <c r="C20" t="s">
        <v>55</v>
      </c>
    </row>
    <row r="21" spans="1:3">
      <c r="A21" t="s">
        <v>46</v>
      </c>
      <c r="C21" t="s">
        <v>54</v>
      </c>
    </row>
    <row r="22" spans="1:3">
      <c r="A22" t="s">
        <v>47</v>
      </c>
      <c r="C22" t="s">
        <v>51</v>
      </c>
    </row>
    <row r="23" spans="1:3">
      <c r="A23" t="s">
        <v>48</v>
      </c>
      <c r="C23" t="s">
        <v>52</v>
      </c>
    </row>
    <row r="24" spans="1:3">
      <c r="A24" t="s">
        <v>49</v>
      </c>
      <c r="C24" t="s">
        <v>53</v>
      </c>
    </row>
    <row r="25" spans="1:3">
      <c r="A25" t="s">
        <v>50</v>
      </c>
      <c r="C25" t="s">
        <v>55</v>
      </c>
    </row>
    <row r="26" spans="1:3">
      <c r="A26" t="s">
        <v>50</v>
      </c>
      <c r="C26" t="s">
        <v>55</v>
      </c>
    </row>
    <row r="27" spans="1:3">
      <c r="A27" t="s">
        <v>50</v>
      </c>
      <c r="C27" t="s">
        <v>55</v>
      </c>
    </row>
    <row r="28" spans="1:3">
      <c r="A28" t="s">
        <v>50</v>
      </c>
      <c r="C28" t="s">
        <v>55</v>
      </c>
    </row>
    <row r="29" spans="1:3">
      <c r="A29" t="s">
        <v>50</v>
      </c>
      <c r="C29" t="s">
        <v>55</v>
      </c>
    </row>
    <row r="30" spans="1:3">
      <c r="A30" t="s">
        <v>50</v>
      </c>
      <c r="C30" t="s">
        <v>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182"/>
  <sheetViews>
    <sheetView topLeftCell="Q1" workbookViewId="0">
      <selection activeCell="Z18" sqref="Z18"/>
    </sheetView>
  </sheetViews>
  <sheetFormatPr defaultRowHeight="13.5"/>
  <cols>
    <col min="26" max="26" width="12.375" customWidth="1"/>
    <col min="28" max="28" width="29.75" style="6" customWidth="1"/>
  </cols>
  <sheetData>
    <row r="1" spans="1:4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240</v>
      </c>
      <c r="O1" t="s">
        <v>241</v>
      </c>
      <c r="P1" t="s">
        <v>239</v>
      </c>
      <c r="Q1" t="s">
        <v>13</v>
      </c>
      <c r="R1" t="s">
        <v>14</v>
      </c>
      <c r="S1" t="s">
        <v>15</v>
      </c>
      <c r="T1" t="s">
        <v>16</v>
      </c>
      <c r="U1" s="3" t="s">
        <v>242</v>
      </c>
      <c r="V1" t="s">
        <v>17</v>
      </c>
      <c r="W1" t="s">
        <v>18</v>
      </c>
      <c r="X1" t="s">
        <v>19</v>
      </c>
      <c r="Y1" t="s">
        <v>20</v>
      </c>
      <c r="AA1" s="3" t="s">
        <v>21</v>
      </c>
      <c r="AB1" s="4"/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39</v>
      </c>
      <c r="AP1" t="s">
        <v>40</v>
      </c>
    </row>
    <row r="2" spans="1:42">
      <c r="A2" s="3" t="s">
        <v>34</v>
      </c>
      <c r="C2" t="s">
        <v>34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s="3" t="s">
        <v>34</v>
      </c>
      <c r="V2" t="s">
        <v>34</v>
      </c>
      <c r="W2" t="s">
        <v>34</v>
      </c>
      <c r="AA2" s="3"/>
      <c r="AB2" s="4"/>
      <c r="AH2" t="s">
        <v>34</v>
      </c>
      <c r="AI2" t="s">
        <v>34</v>
      </c>
      <c r="AL2" t="s">
        <v>34</v>
      </c>
      <c r="AM2" t="s">
        <v>34</v>
      </c>
      <c r="AN2" t="s">
        <v>34</v>
      </c>
      <c r="AO2">
        <v>0</v>
      </c>
      <c r="AP2">
        <v>0</v>
      </c>
    </row>
    <row r="3" spans="1:42">
      <c r="A3" s="2">
        <v>10100</v>
      </c>
      <c r="B3" s="1" t="s">
        <v>68</v>
      </c>
      <c r="C3" s="1" t="s">
        <v>37</v>
      </c>
      <c r="D3" s="1" t="s">
        <v>38</v>
      </c>
      <c r="E3" s="1">
        <v>1</v>
      </c>
      <c r="F3" s="1">
        <v>15</v>
      </c>
      <c r="G3" s="1">
        <v>0</v>
      </c>
      <c r="H3" s="1">
        <v>0</v>
      </c>
      <c r="I3" s="1">
        <v>99999</v>
      </c>
      <c r="J3" s="1">
        <v>0</v>
      </c>
      <c r="K3" s="1">
        <v>0</v>
      </c>
      <c r="L3" s="1">
        <v>2</v>
      </c>
      <c r="M3" s="1">
        <v>99</v>
      </c>
      <c r="N3" s="1"/>
      <c r="O3" s="1">
        <v>0</v>
      </c>
      <c r="P3" s="1">
        <v>0</v>
      </c>
      <c r="Q3" s="1"/>
      <c r="R3" s="1" t="s">
        <v>35</v>
      </c>
      <c r="S3" s="1">
        <v>100</v>
      </c>
      <c r="T3" s="1">
        <v>0</v>
      </c>
      <c r="U3" s="2">
        <v>1</v>
      </c>
      <c r="V3" s="1">
        <v>1</v>
      </c>
      <c r="W3" s="1">
        <v>1</v>
      </c>
      <c r="X3" s="1"/>
      <c r="Y3" t="s">
        <v>41</v>
      </c>
      <c r="Z3" s="1" t="s">
        <v>1342</v>
      </c>
      <c r="AA3" s="2" t="s">
        <v>351</v>
      </c>
      <c r="AB3" s="5" t="str">
        <f>LEFT(AA3,52)&amp;Z3&amp;RIGHT(AA3,157)</f>
        <v>&lt;br&gt;&lt;font color='#43FF98'&gt;                          最小攻击+1&lt;br&gt;&lt;br&gt;&lt;font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3" s="1">
        <v>20</v>
      </c>
      <c r="AD3" s="1" t="s">
        <v>36</v>
      </c>
      <c r="AE3" s="1">
        <v>0</v>
      </c>
      <c r="AF3">
        <v>15</v>
      </c>
      <c r="AG3" s="1">
        <v>0</v>
      </c>
      <c r="AH3" s="1">
        <v>0</v>
      </c>
      <c r="AI3" s="1">
        <v>1</v>
      </c>
      <c r="AJ3" s="1"/>
      <c r="AK3" s="1"/>
      <c r="AL3" s="1">
        <v>0</v>
      </c>
      <c r="AM3" s="1">
        <v>0</v>
      </c>
      <c r="AN3" s="1">
        <v>0</v>
      </c>
      <c r="AO3" s="1"/>
    </row>
    <row r="4" spans="1:42">
      <c r="A4" s="2">
        <v>10101</v>
      </c>
      <c r="B4" s="1" t="s">
        <v>59</v>
      </c>
      <c r="C4" s="1" t="s">
        <v>37</v>
      </c>
      <c r="D4" s="1" t="s">
        <v>38</v>
      </c>
      <c r="E4" s="1">
        <v>1</v>
      </c>
      <c r="F4" s="1">
        <v>15</v>
      </c>
      <c r="G4" s="1">
        <v>0</v>
      </c>
      <c r="H4" s="1">
        <v>0</v>
      </c>
      <c r="I4" s="1">
        <v>99999</v>
      </c>
      <c r="J4" s="1">
        <v>1</v>
      </c>
      <c r="K4" s="1">
        <v>0</v>
      </c>
      <c r="L4" s="1">
        <v>2</v>
      </c>
      <c r="M4" s="1">
        <v>99</v>
      </c>
      <c r="N4" s="1"/>
      <c r="O4" s="1">
        <v>0</v>
      </c>
      <c r="P4" s="1">
        <v>0</v>
      </c>
      <c r="Q4" s="1"/>
      <c r="R4" s="1" t="s">
        <v>35</v>
      </c>
      <c r="S4" s="1">
        <v>200</v>
      </c>
      <c r="T4" s="1">
        <v>0</v>
      </c>
      <c r="U4" s="2">
        <v>1</v>
      </c>
      <c r="V4" s="1">
        <v>1</v>
      </c>
      <c r="W4" s="1">
        <v>1</v>
      </c>
      <c r="X4" s="1"/>
      <c r="Y4" t="s">
        <v>42</v>
      </c>
      <c r="Z4" s="1" t="s">
        <v>1343</v>
      </c>
      <c r="AA4" s="2" t="s">
        <v>243</v>
      </c>
      <c r="AB4" s="5" t="str">
        <f t="shared" ref="AB4:AB67" si="0">LEFT(AA4,52)&amp;Z4&amp;RIGHT(AA4,157)</f>
        <v>&lt;br&gt;&lt;font color='#43FF98'&gt;                          最小攻击+2&lt;br&gt;&lt;br&gt;&lt;font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4" s="1">
        <v>20</v>
      </c>
      <c r="AD4" s="1" t="s">
        <v>36</v>
      </c>
      <c r="AE4" s="1">
        <v>0</v>
      </c>
      <c r="AF4">
        <v>15</v>
      </c>
      <c r="AG4" s="1">
        <v>0</v>
      </c>
      <c r="AH4" s="1">
        <v>0</v>
      </c>
      <c r="AI4" s="1">
        <v>1</v>
      </c>
      <c r="AJ4" s="1"/>
      <c r="AK4" s="1"/>
      <c r="AL4" s="1">
        <v>0</v>
      </c>
      <c r="AM4" s="1">
        <v>0</v>
      </c>
      <c r="AN4" s="1">
        <v>0</v>
      </c>
      <c r="AO4" s="1"/>
    </row>
    <row r="5" spans="1:42">
      <c r="A5" s="2">
        <v>10102</v>
      </c>
      <c r="B5" s="1" t="s">
        <v>60</v>
      </c>
      <c r="C5" s="1" t="s">
        <v>37</v>
      </c>
      <c r="D5" s="1" t="s">
        <v>38</v>
      </c>
      <c r="E5" s="1">
        <v>1</v>
      </c>
      <c r="F5" s="1">
        <v>15</v>
      </c>
      <c r="G5" s="1">
        <v>0</v>
      </c>
      <c r="H5" s="1">
        <v>0</v>
      </c>
      <c r="I5" s="1">
        <v>99999</v>
      </c>
      <c r="J5" s="1">
        <v>1</v>
      </c>
      <c r="K5" s="1">
        <v>0</v>
      </c>
      <c r="L5" s="1">
        <v>2</v>
      </c>
      <c r="M5" s="1">
        <v>99</v>
      </c>
      <c r="N5" s="1"/>
      <c r="O5" s="1">
        <v>0</v>
      </c>
      <c r="P5" s="1">
        <v>0</v>
      </c>
      <c r="Q5" s="1"/>
      <c r="R5" s="1" t="s">
        <v>35</v>
      </c>
      <c r="S5" s="1">
        <v>400</v>
      </c>
      <c r="T5" s="1">
        <v>0</v>
      </c>
      <c r="U5" s="2">
        <v>1</v>
      </c>
      <c r="V5" s="1">
        <v>1</v>
      </c>
      <c r="W5" s="1">
        <v>1</v>
      </c>
      <c r="X5" s="1"/>
      <c r="Y5" t="s">
        <v>43</v>
      </c>
      <c r="Z5" s="1" t="s">
        <v>1344</v>
      </c>
      <c r="AA5" s="2" t="s">
        <v>244</v>
      </c>
      <c r="AB5" s="5" t="str">
        <f t="shared" si="0"/>
        <v>&lt;br&gt;&lt;font color='#43FF98'&gt;                          最小攻击+3&lt;br&gt;&lt;br&gt;&lt;font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5" s="1">
        <v>20</v>
      </c>
      <c r="AD5" s="1" t="s">
        <v>36</v>
      </c>
      <c r="AE5" s="1">
        <v>0</v>
      </c>
      <c r="AF5">
        <v>15</v>
      </c>
      <c r="AG5" s="1">
        <v>0</v>
      </c>
      <c r="AH5" s="1">
        <v>0</v>
      </c>
      <c r="AI5" s="1">
        <v>1</v>
      </c>
      <c r="AJ5" s="1"/>
      <c r="AK5" s="1"/>
      <c r="AL5" s="1">
        <v>0</v>
      </c>
      <c r="AM5" s="1">
        <v>0</v>
      </c>
      <c r="AN5" s="1">
        <v>0</v>
      </c>
      <c r="AO5" s="1"/>
    </row>
    <row r="6" spans="1:42">
      <c r="A6" s="2">
        <v>10103</v>
      </c>
      <c r="B6" s="1" t="s">
        <v>61</v>
      </c>
      <c r="C6" s="1" t="s">
        <v>37</v>
      </c>
      <c r="D6" s="1" t="s">
        <v>38</v>
      </c>
      <c r="E6" s="1">
        <v>1</v>
      </c>
      <c r="F6" s="1">
        <v>15</v>
      </c>
      <c r="G6" s="1">
        <v>0</v>
      </c>
      <c r="H6" s="1">
        <v>0</v>
      </c>
      <c r="I6" s="1">
        <v>99999</v>
      </c>
      <c r="J6" s="1">
        <v>1</v>
      </c>
      <c r="K6" s="1">
        <v>0</v>
      </c>
      <c r="L6" s="1">
        <v>2</v>
      </c>
      <c r="M6" s="1">
        <v>99</v>
      </c>
      <c r="N6" s="1"/>
      <c r="O6" s="1">
        <v>0</v>
      </c>
      <c r="P6" s="1">
        <v>0</v>
      </c>
      <c r="Q6" s="1"/>
      <c r="R6" s="1" t="s">
        <v>35</v>
      </c>
      <c r="S6" s="1">
        <v>800</v>
      </c>
      <c r="T6" s="1">
        <v>0</v>
      </c>
      <c r="U6" s="2">
        <v>1</v>
      </c>
      <c r="V6" s="1">
        <v>1</v>
      </c>
      <c r="W6" s="1">
        <v>1</v>
      </c>
      <c r="X6" s="1"/>
      <c r="Y6" t="s">
        <v>44</v>
      </c>
      <c r="Z6" s="1" t="s">
        <v>1345</v>
      </c>
      <c r="AA6" s="2" t="s">
        <v>245</v>
      </c>
      <c r="AB6" s="5" t="str">
        <f t="shared" si="0"/>
        <v>&lt;br&gt;&lt;font color='#43FF98'&gt;                          最小攻击+5&lt;br&gt;&lt;br&gt;&lt;font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6" s="1">
        <v>20</v>
      </c>
      <c r="AD6" s="1" t="s">
        <v>36</v>
      </c>
      <c r="AE6" s="1">
        <v>0</v>
      </c>
      <c r="AF6">
        <v>15</v>
      </c>
      <c r="AG6" s="1">
        <v>0</v>
      </c>
      <c r="AH6" s="1">
        <v>0</v>
      </c>
      <c r="AI6" s="1">
        <v>1</v>
      </c>
      <c r="AJ6" s="1"/>
      <c r="AK6" s="1"/>
      <c r="AL6" s="1">
        <v>0</v>
      </c>
      <c r="AM6" s="1">
        <v>0</v>
      </c>
      <c r="AN6" s="1">
        <v>0</v>
      </c>
      <c r="AO6" s="1">
        <v>1</v>
      </c>
    </row>
    <row r="7" spans="1:42">
      <c r="A7" s="2">
        <v>10104</v>
      </c>
      <c r="B7" s="1" t="s">
        <v>62</v>
      </c>
      <c r="C7" s="1" t="s">
        <v>37</v>
      </c>
      <c r="D7" s="1" t="s">
        <v>38</v>
      </c>
      <c r="E7" s="1">
        <v>1</v>
      </c>
      <c r="F7" s="1">
        <v>15</v>
      </c>
      <c r="G7" s="1">
        <v>0</v>
      </c>
      <c r="H7" s="1">
        <v>0</v>
      </c>
      <c r="I7" s="1">
        <v>99999</v>
      </c>
      <c r="J7" s="1">
        <v>2</v>
      </c>
      <c r="K7" s="1">
        <v>0</v>
      </c>
      <c r="L7" s="1">
        <v>2</v>
      </c>
      <c r="M7" s="1">
        <v>99</v>
      </c>
      <c r="N7" s="1"/>
      <c r="O7" s="1">
        <v>0</v>
      </c>
      <c r="P7" s="1">
        <v>0</v>
      </c>
      <c r="Q7" s="1"/>
      <c r="R7" s="1" t="s">
        <v>35</v>
      </c>
      <c r="S7" s="1">
        <v>1600</v>
      </c>
      <c r="T7" s="1">
        <v>0</v>
      </c>
      <c r="U7" s="2">
        <v>1</v>
      </c>
      <c r="V7" s="1">
        <v>1</v>
      </c>
      <c r="W7" s="1">
        <v>1</v>
      </c>
      <c r="X7" s="1"/>
      <c r="Y7" t="s">
        <v>45</v>
      </c>
      <c r="Z7" s="1" t="s">
        <v>1346</v>
      </c>
      <c r="AA7" s="2" t="s">
        <v>246</v>
      </c>
      <c r="AB7" s="5" t="str">
        <f t="shared" si="0"/>
        <v>&lt;br&gt;&lt;font color='#43FF98'&gt;                          最小攻击+7&lt;br&gt;&lt;br&gt;&lt;font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7" s="1">
        <v>20</v>
      </c>
      <c r="AD7" s="1" t="s">
        <v>36</v>
      </c>
      <c r="AE7" s="1">
        <v>0</v>
      </c>
      <c r="AF7">
        <v>15</v>
      </c>
      <c r="AG7" s="1">
        <v>0</v>
      </c>
      <c r="AH7" s="1">
        <v>0</v>
      </c>
      <c r="AI7" s="1">
        <v>1</v>
      </c>
      <c r="AJ7" s="1"/>
      <c r="AK7" s="1"/>
      <c r="AL7" s="1">
        <v>0</v>
      </c>
      <c r="AM7" s="1">
        <v>0</v>
      </c>
      <c r="AN7" s="1">
        <v>0</v>
      </c>
      <c r="AO7" s="1">
        <v>1</v>
      </c>
    </row>
    <row r="8" spans="1:42">
      <c r="A8" s="2">
        <v>10105</v>
      </c>
      <c r="B8" s="1" t="s">
        <v>63</v>
      </c>
      <c r="C8" s="1" t="s">
        <v>37</v>
      </c>
      <c r="D8" s="1" t="s">
        <v>38</v>
      </c>
      <c r="E8" s="1">
        <v>1</v>
      </c>
      <c r="F8" s="1">
        <v>15</v>
      </c>
      <c r="G8" s="1">
        <v>0</v>
      </c>
      <c r="H8" s="1">
        <v>0</v>
      </c>
      <c r="I8" s="1">
        <v>99999</v>
      </c>
      <c r="J8" s="1">
        <v>2</v>
      </c>
      <c r="K8" s="1">
        <v>0</v>
      </c>
      <c r="L8" s="1">
        <v>2</v>
      </c>
      <c r="M8" s="1">
        <v>99</v>
      </c>
      <c r="N8" s="1"/>
      <c r="O8" s="1">
        <v>0</v>
      </c>
      <c r="P8" s="1">
        <v>0</v>
      </c>
      <c r="Q8" s="1"/>
      <c r="R8" s="1" t="s">
        <v>35</v>
      </c>
      <c r="S8" s="1">
        <v>100</v>
      </c>
      <c r="T8" s="1">
        <v>0</v>
      </c>
      <c r="U8" s="2">
        <v>1</v>
      </c>
      <c r="V8" s="1">
        <v>1</v>
      </c>
      <c r="W8" s="1">
        <v>1</v>
      </c>
      <c r="X8" s="1"/>
      <c r="Y8" t="s">
        <v>45</v>
      </c>
      <c r="Z8" s="1" t="s">
        <v>1347</v>
      </c>
      <c r="AA8" s="2" t="s">
        <v>247</v>
      </c>
      <c r="AB8" s="5" t="str">
        <f t="shared" si="0"/>
        <v>&lt;br&gt;&lt;font color='#43FF98'&gt;                          最小攻击+10&lt;br&gt;&lt;br&gt;&lt;font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8" s="1">
        <v>20</v>
      </c>
      <c r="AD8" s="1" t="s">
        <v>36</v>
      </c>
      <c r="AE8" s="1">
        <v>0</v>
      </c>
      <c r="AF8">
        <v>15</v>
      </c>
      <c r="AG8" s="1">
        <v>0</v>
      </c>
      <c r="AH8" s="1">
        <v>0</v>
      </c>
      <c r="AI8" s="1">
        <v>1</v>
      </c>
      <c r="AJ8" s="1"/>
      <c r="AK8" s="1"/>
      <c r="AL8" s="1">
        <v>0</v>
      </c>
      <c r="AM8" s="1">
        <v>0</v>
      </c>
      <c r="AN8" s="1">
        <v>0</v>
      </c>
      <c r="AO8" s="1">
        <v>1</v>
      </c>
    </row>
    <row r="9" spans="1:42">
      <c r="A9" s="2">
        <v>10106</v>
      </c>
      <c r="B9" s="1" t="s">
        <v>64</v>
      </c>
      <c r="C9" s="1" t="s">
        <v>37</v>
      </c>
      <c r="D9" s="1" t="s">
        <v>38</v>
      </c>
      <c r="E9" s="1">
        <v>1</v>
      </c>
      <c r="F9" s="1">
        <v>15</v>
      </c>
      <c r="G9" s="1">
        <v>0</v>
      </c>
      <c r="H9" s="1">
        <v>0</v>
      </c>
      <c r="I9" s="1">
        <v>99999</v>
      </c>
      <c r="J9" s="1">
        <v>2</v>
      </c>
      <c r="K9" s="1">
        <v>0</v>
      </c>
      <c r="L9" s="1">
        <v>2</v>
      </c>
      <c r="M9" s="1">
        <v>99</v>
      </c>
      <c r="N9" s="1"/>
      <c r="O9" s="1">
        <v>0</v>
      </c>
      <c r="P9" s="1">
        <v>0</v>
      </c>
      <c r="Q9" s="1"/>
      <c r="R9" s="1" t="s">
        <v>35</v>
      </c>
      <c r="S9" s="1">
        <v>200</v>
      </c>
      <c r="T9" s="1">
        <v>0</v>
      </c>
      <c r="U9" s="2">
        <v>1</v>
      </c>
      <c r="V9" s="1">
        <v>1</v>
      </c>
      <c r="W9" s="1">
        <v>1</v>
      </c>
      <c r="X9" s="1"/>
      <c r="Y9" t="s">
        <v>45</v>
      </c>
      <c r="Z9" s="1" t="s">
        <v>1348</v>
      </c>
      <c r="AA9" s="2" t="s">
        <v>248</v>
      </c>
      <c r="AB9" s="5" t="str">
        <f t="shared" si="0"/>
        <v>&lt;br&gt;&lt;font color='#43FF98'&gt;                          最小攻击+13&lt;br&gt;&lt;br&gt;&lt;font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9" s="1">
        <v>20</v>
      </c>
      <c r="AD9" s="1" t="s">
        <v>36</v>
      </c>
      <c r="AE9" s="1">
        <v>0</v>
      </c>
      <c r="AF9">
        <v>15</v>
      </c>
      <c r="AG9" s="1">
        <v>0</v>
      </c>
      <c r="AH9" s="1">
        <v>0</v>
      </c>
      <c r="AI9" s="1">
        <v>1</v>
      </c>
      <c r="AJ9" s="1"/>
      <c r="AK9" s="1"/>
      <c r="AL9" s="1">
        <v>0</v>
      </c>
      <c r="AM9" s="1">
        <v>0</v>
      </c>
      <c r="AN9" s="1">
        <v>0</v>
      </c>
      <c r="AO9" s="1">
        <v>1</v>
      </c>
    </row>
    <row r="10" spans="1:42">
      <c r="A10" s="2">
        <v>10107</v>
      </c>
      <c r="B10" s="1" t="s">
        <v>65</v>
      </c>
      <c r="C10" s="1" t="s">
        <v>37</v>
      </c>
      <c r="D10" s="1" t="s">
        <v>38</v>
      </c>
      <c r="E10" s="1">
        <v>1</v>
      </c>
      <c r="F10" s="1">
        <v>15</v>
      </c>
      <c r="G10" s="1">
        <v>0</v>
      </c>
      <c r="H10" s="1">
        <v>0</v>
      </c>
      <c r="I10" s="1">
        <v>99999</v>
      </c>
      <c r="J10" s="1">
        <v>3</v>
      </c>
      <c r="K10" s="1">
        <v>0</v>
      </c>
      <c r="L10" s="1">
        <v>2</v>
      </c>
      <c r="M10" s="1">
        <v>99</v>
      </c>
      <c r="N10" s="1"/>
      <c r="O10" s="1">
        <v>0</v>
      </c>
      <c r="P10" s="1">
        <v>0</v>
      </c>
      <c r="Q10" s="1"/>
      <c r="R10" s="1" t="s">
        <v>35</v>
      </c>
      <c r="S10" s="1">
        <v>400</v>
      </c>
      <c r="T10" s="1">
        <v>0</v>
      </c>
      <c r="U10" s="2">
        <v>1</v>
      </c>
      <c r="V10" s="1">
        <v>1</v>
      </c>
      <c r="W10" s="1">
        <v>1</v>
      </c>
      <c r="X10" s="1"/>
      <c r="Y10" t="s">
        <v>45</v>
      </c>
      <c r="Z10" s="1" t="s">
        <v>1349</v>
      </c>
      <c r="AA10" s="2" t="s">
        <v>249</v>
      </c>
      <c r="AB10" s="5" t="str">
        <f t="shared" si="0"/>
        <v>&lt;br&gt;&lt;font color='#43FF98'&gt;                          最小攻击+17&lt;br&gt;&lt;br&gt;&lt;font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10" s="1">
        <v>20</v>
      </c>
      <c r="AD10" s="1" t="s">
        <v>36</v>
      </c>
      <c r="AE10" s="1">
        <v>0</v>
      </c>
      <c r="AF10">
        <v>15</v>
      </c>
      <c r="AG10" s="1">
        <v>0</v>
      </c>
      <c r="AH10" s="1">
        <v>0</v>
      </c>
      <c r="AI10" s="1">
        <v>1</v>
      </c>
      <c r="AJ10" s="1"/>
      <c r="AK10" s="1"/>
      <c r="AL10" s="1">
        <v>0</v>
      </c>
      <c r="AM10" s="1">
        <v>0</v>
      </c>
      <c r="AN10" s="1">
        <v>0</v>
      </c>
      <c r="AO10" s="1">
        <v>1</v>
      </c>
    </row>
    <row r="11" spans="1:42">
      <c r="A11" s="2">
        <v>10108</v>
      </c>
      <c r="B11" s="1" t="s">
        <v>66</v>
      </c>
      <c r="C11" s="1" t="s">
        <v>37</v>
      </c>
      <c r="D11" s="1" t="s">
        <v>38</v>
      </c>
      <c r="E11" s="1">
        <v>1</v>
      </c>
      <c r="F11" s="1">
        <v>15</v>
      </c>
      <c r="G11" s="1">
        <v>0</v>
      </c>
      <c r="H11" s="1">
        <v>0</v>
      </c>
      <c r="I11" s="1">
        <v>99999</v>
      </c>
      <c r="J11" s="1">
        <v>3</v>
      </c>
      <c r="K11" s="1">
        <v>0</v>
      </c>
      <c r="L11" s="1">
        <v>2</v>
      </c>
      <c r="M11" s="1">
        <v>99</v>
      </c>
      <c r="N11" s="1"/>
      <c r="O11" s="1">
        <v>0</v>
      </c>
      <c r="P11" s="1">
        <v>0</v>
      </c>
      <c r="Q11" s="1"/>
      <c r="R11" s="1" t="s">
        <v>35</v>
      </c>
      <c r="S11" s="1">
        <v>800</v>
      </c>
      <c r="T11" s="1">
        <v>0</v>
      </c>
      <c r="U11" s="2">
        <v>1</v>
      </c>
      <c r="V11" s="1">
        <v>1</v>
      </c>
      <c r="W11" s="1">
        <v>1</v>
      </c>
      <c r="X11" s="1"/>
      <c r="Y11" t="s">
        <v>45</v>
      </c>
      <c r="Z11" s="1" t="s">
        <v>1350</v>
      </c>
      <c r="AA11" s="2" t="s">
        <v>250</v>
      </c>
      <c r="AB11" s="5" t="str">
        <f t="shared" si="0"/>
        <v>&lt;br&gt;&lt;font color='#43FF98'&gt;                          最小攻击+22&lt;br&gt;&lt;br&gt;&lt;font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11" s="1">
        <v>20</v>
      </c>
      <c r="AD11" s="1" t="s">
        <v>36</v>
      </c>
      <c r="AE11" s="1">
        <v>0</v>
      </c>
      <c r="AF11">
        <v>15</v>
      </c>
      <c r="AG11" s="1">
        <v>0</v>
      </c>
      <c r="AH11" s="1">
        <v>0</v>
      </c>
      <c r="AI11" s="1">
        <v>1</v>
      </c>
      <c r="AJ11" s="1"/>
      <c r="AK11" s="1"/>
      <c r="AL11" s="1">
        <v>0</v>
      </c>
      <c r="AM11" s="1">
        <v>0</v>
      </c>
      <c r="AN11" s="1">
        <v>0</v>
      </c>
      <c r="AO11" s="1">
        <v>1</v>
      </c>
    </row>
    <row r="12" spans="1:42">
      <c r="A12" s="2">
        <v>10109</v>
      </c>
      <c r="B12" s="1" t="s">
        <v>67</v>
      </c>
      <c r="C12" s="1" t="s">
        <v>37</v>
      </c>
      <c r="D12" s="1" t="s">
        <v>38</v>
      </c>
      <c r="E12" s="1">
        <v>1</v>
      </c>
      <c r="F12" s="1">
        <v>15</v>
      </c>
      <c r="G12" s="1">
        <v>0</v>
      </c>
      <c r="H12" s="1">
        <v>0</v>
      </c>
      <c r="I12" s="1">
        <v>99999</v>
      </c>
      <c r="J12" s="1">
        <v>3</v>
      </c>
      <c r="K12" s="1">
        <v>0</v>
      </c>
      <c r="L12" s="1">
        <v>2</v>
      </c>
      <c r="M12" s="1">
        <v>99</v>
      </c>
      <c r="N12" s="1"/>
      <c r="O12" s="1">
        <v>0</v>
      </c>
      <c r="P12" s="1">
        <v>0</v>
      </c>
      <c r="Q12" s="1"/>
      <c r="R12" s="1" t="s">
        <v>35</v>
      </c>
      <c r="S12" s="1">
        <v>1600</v>
      </c>
      <c r="T12" s="1">
        <v>0</v>
      </c>
      <c r="U12" s="2">
        <v>1</v>
      </c>
      <c r="V12" s="1">
        <v>1</v>
      </c>
      <c r="W12" s="1">
        <v>1</v>
      </c>
      <c r="X12" s="1"/>
      <c r="Y12" t="s">
        <v>45</v>
      </c>
      <c r="Z12" s="1" t="s">
        <v>1351</v>
      </c>
      <c r="AA12" s="2" t="s">
        <v>251</v>
      </c>
      <c r="AB12" s="5" t="str">
        <f t="shared" si="0"/>
        <v>&lt;br&gt;&lt;font color='#43FF98'&gt;                          最小攻击+28&lt;br&gt;&lt;br&gt;&lt;font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12" s="1">
        <v>20</v>
      </c>
      <c r="AD12" s="1" t="s">
        <v>36</v>
      </c>
      <c r="AE12" s="1">
        <v>0</v>
      </c>
      <c r="AF12">
        <v>15</v>
      </c>
      <c r="AG12" s="1">
        <v>0</v>
      </c>
      <c r="AH12" s="1">
        <v>0</v>
      </c>
      <c r="AI12" s="1">
        <v>1</v>
      </c>
      <c r="AJ12" s="1"/>
      <c r="AK12" s="1"/>
      <c r="AL12" s="1">
        <v>0</v>
      </c>
      <c r="AM12" s="1">
        <v>0</v>
      </c>
      <c r="AN12" s="1">
        <v>0</v>
      </c>
      <c r="AO12" s="1">
        <v>1</v>
      </c>
    </row>
    <row r="13" spans="1:42">
      <c r="A13" s="2">
        <v>10110</v>
      </c>
      <c r="B13" s="1" t="s">
        <v>69</v>
      </c>
      <c r="C13" s="1" t="s">
        <v>37</v>
      </c>
      <c r="D13" s="1" t="s">
        <v>38</v>
      </c>
      <c r="E13" s="1">
        <v>1</v>
      </c>
      <c r="F13" s="1">
        <v>15</v>
      </c>
      <c r="G13" s="1">
        <v>0</v>
      </c>
      <c r="H13" s="1">
        <v>0</v>
      </c>
      <c r="I13" s="1">
        <v>99999</v>
      </c>
      <c r="J13" s="1">
        <v>0</v>
      </c>
      <c r="K13" s="1">
        <v>0</v>
      </c>
      <c r="L13" s="1">
        <v>2</v>
      </c>
      <c r="M13" s="1">
        <v>99</v>
      </c>
      <c r="N13" s="1"/>
      <c r="O13" s="1">
        <v>0</v>
      </c>
      <c r="P13" s="1">
        <v>0</v>
      </c>
      <c r="Q13" s="1"/>
      <c r="R13" s="1" t="s">
        <v>35</v>
      </c>
      <c r="S13" s="1">
        <v>100</v>
      </c>
      <c r="T13" s="1">
        <v>0</v>
      </c>
      <c r="U13" s="2">
        <v>1</v>
      </c>
      <c r="V13" s="1">
        <v>1</v>
      </c>
      <c r="W13" s="1">
        <v>1</v>
      </c>
      <c r="X13" s="1"/>
      <c r="Y13" t="s">
        <v>41</v>
      </c>
      <c r="Z13" s="1" t="e">
        <v>#N/A</v>
      </c>
      <c r="AA13" s="2" t="s">
        <v>252</v>
      </c>
      <c r="AB13" s="5" t="e">
        <f t="shared" si="0"/>
        <v>#N/A</v>
      </c>
      <c r="AC13" s="1">
        <v>20</v>
      </c>
      <c r="AD13" s="1" t="s">
        <v>36</v>
      </c>
      <c r="AE13" s="1">
        <v>0</v>
      </c>
      <c r="AF13">
        <v>15</v>
      </c>
      <c r="AG13" s="1">
        <v>0</v>
      </c>
      <c r="AH13" s="1">
        <v>0</v>
      </c>
      <c r="AI13" s="1">
        <v>1</v>
      </c>
      <c r="AJ13" s="1"/>
      <c r="AK13" s="1"/>
      <c r="AL13" s="1">
        <v>0</v>
      </c>
      <c r="AM13" s="1">
        <v>0</v>
      </c>
      <c r="AN13" s="1">
        <v>0</v>
      </c>
      <c r="AO13" s="1"/>
    </row>
    <row r="14" spans="1:42">
      <c r="A14" s="2">
        <v>10111</v>
      </c>
      <c r="B14" s="1" t="s">
        <v>70</v>
      </c>
      <c r="C14" s="1" t="s">
        <v>37</v>
      </c>
      <c r="D14" s="1" t="s">
        <v>38</v>
      </c>
      <c r="E14" s="1">
        <v>1</v>
      </c>
      <c r="F14" s="1">
        <v>15</v>
      </c>
      <c r="G14" s="1">
        <v>0</v>
      </c>
      <c r="H14" s="1">
        <v>0</v>
      </c>
      <c r="I14" s="1">
        <v>99999</v>
      </c>
      <c r="J14" s="1">
        <v>1</v>
      </c>
      <c r="K14" s="1">
        <v>0</v>
      </c>
      <c r="L14" s="1">
        <v>2</v>
      </c>
      <c r="M14" s="1">
        <v>99</v>
      </c>
      <c r="N14" s="1"/>
      <c r="O14" s="1">
        <v>0</v>
      </c>
      <c r="P14" s="1">
        <v>0</v>
      </c>
      <c r="Q14" s="1"/>
      <c r="R14" s="1" t="s">
        <v>35</v>
      </c>
      <c r="S14" s="1">
        <v>200</v>
      </c>
      <c r="T14" s="1">
        <v>0</v>
      </c>
      <c r="U14" s="2">
        <v>1</v>
      </c>
      <c r="V14" s="1">
        <v>1</v>
      </c>
      <c r="W14" s="1">
        <v>1</v>
      </c>
      <c r="X14" s="1"/>
      <c r="Y14" t="s">
        <v>42</v>
      </c>
      <c r="Z14" s="1" t="e">
        <v>#N/A</v>
      </c>
      <c r="AA14" s="2" t="s">
        <v>253</v>
      </c>
      <c r="AB14" s="5" t="e">
        <f t="shared" si="0"/>
        <v>#N/A</v>
      </c>
      <c r="AC14" s="1">
        <v>20</v>
      </c>
      <c r="AD14" s="1" t="s">
        <v>36</v>
      </c>
      <c r="AE14" s="1">
        <v>0</v>
      </c>
      <c r="AF14">
        <v>15</v>
      </c>
      <c r="AG14" s="1">
        <v>0</v>
      </c>
      <c r="AH14" s="1">
        <v>0</v>
      </c>
      <c r="AI14" s="1">
        <v>1</v>
      </c>
      <c r="AJ14" s="1"/>
      <c r="AK14" s="1"/>
      <c r="AL14" s="1">
        <v>0</v>
      </c>
      <c r="AM14" s="1">
        <v>0</v>
      </c>
      <c r="AN14" s="1">
        <v>0</v>
      </c>
      <c r="AO14" s="1"/>
    </row>
    <row r="15" spans="1:42">
      <c r="A15" s="2">
        <v>10112</v>
      </c>
      <c r="B15" s="1" t="s">
        <v>71</v>
      </c>
      <c r="C15" s="1" t="s">
        <v>37</v>
      </c>
      <c r="D15" s="1" t="s">
        <v>38</v>
      </c>
      <c r="E15" s="1">
        <v>1</v>
      </c>
      <c r="F15" s="1">
        <v>15</v>
      </c>
      <c r="G15" s="1">
        <v>0</v>
      </c>
      <c r="H15" s="1">
        <v>0</v>
      </c>
      <c r="I15" s="1">
        <v>99999</v>
      </c>
      <c r="J15" s="1">
        <v>1</v>
      </c>
      <c r="K15" s="1">
        <v>0</v>
      </c>
      <c r="L15" s="1">
        <v>2</v>
      </c>
      <c r="M15" s="1">
        <v>99</v>
      </c>
      <c r="N15" s="1"/>
      <c r="O15" s="1">
        <v>0</v>
      </c>
      <c r="P15" s="1">
        <v>0</v>
      </c>
      <c r="Q15" s="1"/>
      <c r="R15" s="1" t="s">
        <v>35</v>
      </c>
      <c r="S15" s="1">
        <v>400</v>
      </c>
      <c r="T15" s="1">
        <v>0</v>
      </c>
      <c r="U15" s="2">
        <v>1</v>
      </c>
      <c r="V15" s="1">
        <v>1</v>
      </c>
      <c r="W15" s="1">
        <v>1</v>
      </c>
      <c r="X15" s="1"/>
      <c r="Y15" t="s">
        <v>43</v>
      </c>
      <c r="Z15" s="1" t="e">
        <v>#N/A</v>
      </c>
      <c r="AA15" s="2" t="s">
        <v>254</v>
      </c>
      <c r="AB15" s="5" t="e">
        <f t="shared" si="0"/>
        <v>#N/A</v>
      </c>
      <c r="AC15" s="1">
        <v>20</v>
      </c>
      <c r="AD15" s="1" t="s">
        <v>36</v>
      </c>
      <c r="AE15" s="1">
        <v>0</v>
      </c>
      <c r="AF15">
        <v>15</v>
      </c>
      <c r="AG15" s="1">
        <v>0</v>
      </c>
      <c r="AH15" s="1">
        <v>0</v>
      </c>
      <c r="AI15" s="1">
        <v>1</v>
      </c>
      <c r="AJ15" s="1"/>
      <c r="AK15" s="1"/>
      <c r="AL15" s="1">
        <v>0</v>
      </c>
      <c r="AM15" s="1">
        <v>0</v>
      </c>
      <c r="AN15" s="1">
        <v>0</v>
      </c>
      <c r="AO15" s="1"/>
    </row>
    <row r="16" spans="1:42">
      <c r="A16" s="2">
        <v>10113</v>
      </c>
      <c r="B16" s="1" t="s">
        <v>72</v>
      </c>
      <c r="C16" s="1" t="s">
        <v>37</v>
      </c>
      <c r="D16" s="1" t="s">
        <v>38</v>
      </c>
      <c r="E16" s="1">
        <v>1</v>
      </c>
      <c r="F16" s="1">
        <v>15</v>
      </c>
      <c r="G16" s="1">
        <v>0</v>
      </c>
      <c r="H16" s="1">
        <v>0</v>
      </c>
      <c r="I16" s="1">
        <v>99999</v>
      </c>
      <c r="J16" s="1">
        <v>1</v>
      </c>
      <c r="K16" s="1">
        <v>0</v>
      </c>
      <c r="L16" s="1">
        <v>2</v>
      </c>
      <c r="M16" s="1">
        <v>99</v>
      </c>
      <c r="N16" s="1"/>
      <c r="O16" s="1">
        <v>0</v>
      </c>
      <c r="P16" s="1">
        <v>0</v>
      </c>
      <c r="Q16" s="1"/>
      <c r="R16" s="1" t="s">
        <v>35</v>
      </c>
      <c r="S16" s="1">
        <v>800</v>
      </c>
      <c r="T16" s="1">
        <v>0</v>
      </c>
      <c r="U16" s="2">
        <v>1</v>
      </c>
      <c r="V16" s="1">
        <v>1</v>
      </c>
      <c r="W16" s="1">
        <v>1</v>
      </c>
      <c r="X16" s="1"/>
      <c r="Y16" t="s">
        <v>44</v>
      </c>
      <c r="Z16" s="1" t="e">
        <v>#N/A</v>
      </c>
      <c r="AA16" s="2" t="s">
        <v>255</v>
      </c>
      <c r="AB16" s="5" t="e">
        <f t="shared" si="0"/>
        <v>#N/A</v>
      </c>
      <c r="AC16" s="1">
        <v>20</v>
      </c>
      <c r="AD16" s="1" t="s">
        <v>36</v>
      </c>
      <c r="AE16" s="1">
        <v>0</v>
      </c>
      <c r="AF16">
        <v>15</v>
      </c>
      <c r="AG16" s="1">
        <v>0</v>
      </c>
      <c r="AH16" s="1">
        <v>0</v>
      </c>
      <c r="AI16" s="1">
        <v>1</v>
      </c>
      <c r="AJ16" s="1"/>
      <c r="AK16" s="1"/>
      <c r="AL16" s="1">
        <v>0</v>
      </c>
      <c r="AM16" s="1">
        <v>0</v>
      </c>
      <c r="AN16" s="1">
        <v>0</v>
      </c>
      <c r="AO16" s="1">
        <v>1</v>
      </c>
    </row>
    <row r="17" spans="1:41">
      <c r="A17" s="2">
        <v>10114</v>
      </c>
      <c r="B17" s="1" t="s">
        <v>73</v>
      </c>
      <c r="C17" s="1" t="s">
        <v>37</v>
      </c>
      <c r="D17" s="1" t="s">
        <v>38</v>
      </c>
      <c r="E17" s="1">
        <v>1</v>
      </c>
      <c r="F17" s="1">
        <v>15</v>
      </c>
      <c r="G17" s="1">
        <v>0</v>
      </c>
      <c r="H17" s="1">
        <v>0</v>
      </c>
      <c r="I17" s="1">
        <v>99999</v>
      </c>
      <c r="J17" s="1">
        <v>2</v>
      </c>
      <c r="K17" s="1">
        <v>0</v>
      </c>
      <c r="L17" s="1">
        <v>2</v>
      </c>
      <c r="M17" s="1">
        <v>99</v>
      </c>
      <c r="N17" s="1"/>
      <c r="O17" s="1">
        <v>0</v>
      </c>
      <c r="P17" s="1">
        <v>0</v>
      </c>
      <c r="Q17" s="1"/>
      <c r="R17" s="1" t="s">
        <v>35</v>
      </c>
      <c r="S17" s="1">
        <v>1600</v>
      </c>
      <c r="T17" s="1">
        <v>0</v>
      </c>
      <c r="U17" s="2">
        <v>1</v>
      </c>
      <c r="V17" s="1">
        <v>1</v>
      </c>
      <c r="W17" s="1">
        <v>1</v>
      </c>
      <c r="X17" s="1"/>
      <c r="Y17" t="s">
        <v>45</v>
      </c>
      <c r="Z17" s="1" t="e">
        <v>#N/A</v>
      </c>
      <c r="AA17" s="2" t="s">
        <v>256</v>
      </c>
      <c r="AB17" s="5" t="e">
        <f t="shared" si="0"/>
        <v>#N/A</v>
      </c>
      <c r="AC17" s="1">
        <v>20</v>
      </c>
      <c r="AD17" s="1" t="s">
        <v>36</v>
      </c>
      <c r="AE17" s="1">
        <v>0</v>
      </c>
      <c r="AF17">
        <v>15</v>
      </c>
      <c r="AG17" s="1">
        <v>0</v>
      </c>
      <c r="AH17" s="1">
        <v>0</v>
      </c>
      <c r="AI17" s="1">
        <v>1</v>
      </c>
      <c r="AJ17" s="1"/>
      <c r="AK17" s="1"/>
      <c r="AL17" s="1">
        <v>0</v>
      </c>
      <c r="AM17" s="1">
        <v>0</v>
      </c>
      <c r="AN17" s="1">
        <v>0</v>
      </c>
      <c r="AO17" s="1">
        <v>1</v>
      </c>
    </row>
    <row r="18" spans="1:41">
      <c r="A18" s="2">
        <v>10115</v>
      </c>
      <c r="B18" s="1" t="s">
        <v>74</v>
      </c>
      <c r="C18" s="1" t="s">
        <v>37</v>
      </c>
      <c r="D18" s="1" t="s">
        <v>38</v>
      </c>
      <c r="E18" s="1">
        <v>1</v>
      </c>
      <c r="F18" s="1">
        <v>15</v>
      </c>
      <c r="G18" s="1">
        <v>0</v>
      </c>
      <c r="H18" s="1">
        <v>0</v>
      </c>
      <c r="I18" s="1">
        <v>99999</v>
      </c>
      <c r="J18" s="1">
        <v>2</v>
      </c>
      <c r="K18" s="1">
        <v>0</v>
      </c>
      <c r="L18" s="1">
        <v>2</v>
      </c>
      <c r="M18" s="1">
        <v>99</v>
      </c>
      <c r="N18" s="1"/>
      <c r="O18" s="1">
        <v>0</v>
      </c>
      <c r="P18" s="1">
        <v>0</v>
      </c>
      <c r="Q18" s="1"/>
      <c r="R18" s="1" t="s">
        <v>35</v>
      </c>
      <c r="S18" s="1">
        <v>100</v>
      </c>
      <c r="T18" s="1">
        <v>0</v>
      </c>
      <c r="U18" s="2">
        <v>1</v>
      </c>
      <c r="V18" s="1">
        <v>1</v>
      </c>
      <c r="W18" s="1">
        <v>1</v>
      </c>
      <c r="X18" s="1"/>
      <c r="Y18" t="s">
        <v>45</v>
      </c>
      <c r="Z18" s="1" t="e">
        <v>#N/A</v>
      </c>
      <c r="AA18" s="2" t="s">
        <v>257</v>
      </c>
      <c r="AB18" s="5" t="e">
        <f t="shared" si="0"/>
        <v>#N/A</v>
      </c>
      <c r="AC18" s="1">
        <v>20</v>
      </c>
      <c r="AD18" s="1" t="s">
        <v>36</v>
      </c>
      <c r="AE18" s="1">
        <v>0</v>
      </c>
      <c r="AF18">
        <v>15</v>
      </c>
      <c r="AG18" s="1">
        <v>0</v>
      </c>
      <c r="AH18" s="1">
        <v>0</v>
      </c>
      <c r="AI18" s="1">
        <v>1</v>
      </c>
      <c r="AJ18" s="1"/>
      <c r="AK18" s="1"/>
      <c r="AL18" s="1">
        <v>0</v>
      </c>
      <c r="AM18" s="1">
        <v>0</v>
      </c>
      <c r="AN18" s="1">
        <v>0</v>
      </c>
      <c r="AO18" s="1">
        <v>1</v>
      </c>
    </row>
    <row r="19" spans="1:41">
      <c r="A19" s="2">
        <v>10116</v>
      </c>
      <c r="B19" s="1" t="s">
        <v>75</v>
      </c>
      <c r="C19" s="1" t="s">
        <v>37</v>
      </c>
      <c r="D19" s="1" t="s">
        <v>38</v>
      </c>
      <c r="E19" s="1">
        <v>1</v>
      </c>
      <c r="F19" s="1">
        <v>15</v>
      </c>
      <c r="G19" s="1">
        <v>0</v>
      </c>
      <c r="H19" s="1">
        <v>0</v>
      </c>
      <c r="I19" s="1">
        <v>99999</v>
      </c>
      <c r="J19" s="1">
        <v>2</v>
      </c>
      <c r="K19" s="1">
        <v>0</v>
      </c>
      <c r="L19" s="1">
        <v>2</v>
      </c>
      <c r="M19" s="1">
        <v>99</v>
      </c>
      <c r="N19" s="1"/>
      <c r="O19" s="1">
        <v>0</v>
      </c>
      <c r="P19" s="1">
        <v>0</v>
      </c>
      <c r="Q19" s="1"/>
      <c r="R19" s="1" t="s">
        <v>35</v>
      </c>
      <c r="S19" s="1">
        <v>200</v>
      </c>
      <c r="T19" s="1">
        <v>0</v>
      </c>
      <c r="U19" s="2">
        <v>1</v>
      </c>
      <c r="V19" s="1">
        <v>1</v>
      </c>
      <c r="W19" s="1">
        <v>1</v>
      </c>
      <c r="X19" s="1"/>
      <c r="Y19" t="s">
        <v>45</v>
      </c>
      <c r="Z19" s="1" t="e">
        <v>#N/A</v>
      </c>
      <c r="AA19" s="2" t="s">
        <v>258</v>
      </c>
      <c r="AB19" s="5" t="e">
        <f t="shared" si="0"/>
        <v>#N/A</v>
      </c>
      <c r="AC19" s="1">
        <v>20</v>
      </c>
      <c r="AD19" s="1" t="s">
        <v>36</v>
      </c>
      <c r="AE19" s="1">
        <v>0</v>
      </c>
      <c r="AF19">
        <v>15</v>
      </c>
      <c r="AG19" s="1">
        <v>0</v>
      </c>
      <c r="AH19" s="1">
        <v>0</v>
      </c>
      <c r="AI19" s="1">
        <v>1</v>
      </c>
      <c r="AJ19" s="1"/>
      <c r="AK19" s="1"/>
      <c r="AL19" s="1">
        <v>0</v>
      </c>
      <c r="AM19" s="1">
        <v>0</v>
      </c>
      <c r="AN19" s="1">
        <v>0</v>
      </c>
      <c r="AO19" s="1">
        <v>1</v>
      </c>
    </row>
    <row r="20" spans="1:41">
      <c r="A20" s="2">
        <v>10117</v>
      </c>
      <c r="B20" s="1" t="s">
        <v>76</v>
      </c>
      <c r="C20" s="1" t="s">
        <v>37</v>
      </c>
      <c r="D20" s="1" t="s">
        <v>38</v>
      </c>
      <c r="E20" s="1">
        <v>1</v>
      </c>
      <c r="F20" s="1">
        <v>15</v>
      </c>
      <c r="G20" s="1">
        <v>0</v>
      </c>
      <c r="H20" s="1">
        <v>0</v>
      </c>
      <c r="I20" s="1">
        <v>99999</v>
      </c>
      <c r="J20" s="1">
        <v>3</v>
      </c>
      <c r="K20" s="1">
        <v>0</v>
      </c>
      <c r="L20" s="1">
        <v>2</v>
      </c>
      <c r="M20" s="1">
        <v>99</v>
      </c>
      <c r="N20" s="1"/>
      <c r="O20" s="1">
        <v>0</v>
      </c>
      <c r="P20" s="1">
        <v>0</v>
      </c>
      <c r="Q20" s="1"/>
      <c r="R20" s="1" t="s">
        <v>35</v>
      </c>
      <c r="S20" s="1">
        <v>400</v>
      </c>
      <c r="T20" s="1">
        <v>0</v>
      </c>
      <c r="U20" s="2">
        <v>1</v>
      </c>
      <c r="V20" s="1">
        <v>1</v>
      </c>
      <c r="W20" s="1">
        <v>1</v>
      </c>
      <c r="X20" s="1"/>
      <c r="Y20" t="s">
        <v>45</v>
      </c>
      <c r="Z20" s="1" t="e">
        <v>#N/A</v>
      </c>
      <c r="AA20" s="2" t="s">
        <v>259</v>
      </c>
      <c r="AB20" s="5" t="e">
        <f t="shared" si="0"/>
        <v>#N/A</v>
      </c>
      <c r="AC20" s="1">
        <v>20</v>
      </c>
      <c r="AD20" s="1" t="s">
        <v>36</v>
      </c>
      <c r="AE20" s="1">
        <v>0</v>
      </c>
      <c r="AF20">
        <v>15</v>
      </c>
      <c r="AG20" s="1">
        <v>0</v>
      </c>
      <c r="AH20" s="1">
        <v>0</v>
      </c>
      <c r="AI20" s="1">
        <v>1</v>
      </c>
      <c r="AJ20" s="1"/>
      <c r="AK20" s="1"/>
      <c r="AL20" s="1">
        <v>0</v>
      </c>
      <c r="AM20" s="1">
        <v>0</v>
      </c>
      <c r="AN20" s="1">
        <v>0</v>
      </c>
      <c r="AO20" s="1">
        <v>1</v>
      </c>
    </row>
    <row r="21" spans="1:41">
      <c r="A21" s="2">
        <v>10118</v>
      </c>
      <c r="B21" s="1" t="s">
        <v>77</v>
      </c>
      <c r="C21" s="1" t="s">
        <v>37</v>
      </c>
      <c r="D21" s="1" t="s">
        <v>38</v>
      </c>
      <c r="E21" s="1">
        <v>1</v>
      </c>
      <c r="F21" s="1">
        <v>15</v>
      </c>
      <c r="G21" s="1">
        <v>0</v>
      </c>
      <c r="H21" s="1">
        <v>0</v>
      </c>
      <c r="I21" s="1">
        <v>99999</v>
      </c>
      <c r="J21" s="1">
        <v>3</v>
      </c>
      <c r="K21" s="1">
        <v>0</v>
      </c>
      <c r="L21" s="1">
        <v>2</v>
      </c>
      <c r="M21" s="1">
        <v>99</v>
      </c>
      <c r="N21" s="1"/>
      <c r="O21" s="1">
        <v>0</v>
      </c>
      <c r="P21" s="1">
        <v>0</v>
      </c>
      <c r="Q21" s="1"/>
      <c r="R21" s="1" t="s">
        <v>35</v>
      </c>
      <c r="S21" s="1">
        <v>800</v>
      </c>
      <c r="T21" s="1">
        <v>0</v>
      </c>
      <c r="U21" s="2">
        <v>1</v>
      </c>
      <c r="V21" s="1">
        <v>1</v>
      </c>
      <c r="W21" s="1">
        <v>1</v>
      </c>
      <c r="X21" s="1"/>
      <c r="Y21" t="s">
        <v>45</v>
      </c>
      <c r="Z21" s="1" t="e">
        <v>#N/A</v>
      </c>
      <c r="AA21" s="2" t="s">
        <v>260</v>
      </c>
      <c r="AB21" s="5" t="e">
        <f t="shared" si="0"/>
        <v>#N/A</v>
      </c>
      <c r="AC21" s="1">
        <v>20</v>
      </c>
      <c r="AD21" s="1" t="s">
        <v>36</v>
      </c>
      <c r="AE21" s="1">
        <v>0</v>
      </c>
      <c r="AF21">
        <v>15</v>
      </c>
      <c r="AG21" s="1">
        <v>0</v>
      </c>
      <c r="AH21" s="1">
        <v>0</v>
      </c>
      <c r="AI21" s="1">
        <v>1</v>
      </c>
      <c r="AJ21" s="1"/>
      <c r="AK21" s="1"/>
      <c r="AL21" s="1">
        <v>0</v>
      </c>
      <c r="AM21" s="1">
        <v>0</v>
      </c>
      <c r="AN21" s="1">
        <v>0</v>
      </c>
      <c r="AO21" s="1">
        <v>1</v>
      </c>
    </row>
    <row r="22" spans="1:41">
      <c r="A22" s="2">
        <v>10119</v>
      </c>
      <c r="B22" s="1" t="s">
        <v>78</v>
      </c>
      <c r="C22" s="1" t="s">
        <v>37</v>
      </c>
      <c r="D22" s="1" t="s">
        <v>38</v>
      </c>
      <c r="E22" s="1">
        <v>1</v>
      </c>
      <c r="F22" s="1">
        <v>15</v>
      </c>
      <c r="G22" s="1">
        <v>0</v>
      </c>
      <c r="H22" s="1">
        <v>0</v>
      </c>
      <c r="I22" s="1">
        <v>99999</v>
      </c>
      <c r="J22" s="1">
        <v>3</v>
      </c>
      <c r="K22" s="1">
        <v>0</v>
      </c>
      <c r="L22" s="1">
        <v>2</v>
      </c>
      <c r="M22" s="1">
        <v>99</v>
      </c>
      <c r="N22" s="1"/>
      <c r="O22" s="1">
        <v>0</v>
      </c>
      <c r="P22" s="1">
        <v>0</v>
      </c>
      <c r="Q22" s="1"/>
      <c r="R22" s="1" t="s">
        <v>35</v>
      </c>
      <c r="S22" s="1">
        <v>1600</v>
      </c>
      <c r="T22" s="1">
        <v>0</v>
      </c>
      <c r="U22" s="2">
        <v>1</v>
      </c>
      <c r="V22" s="1">
        <v>1</v>
      </c>
      <c r="W22" s="1">
        <v>1</v>
      </c>
      <c r="X22" s="1"/>
      <c r="Y22" t="s">
        <v>45</v>
      </c>
      <c r="Z22" s="1" t="e">
        <v>#N/A</v>
      </c>
      <c r="AA22" s="2" t="s">
        <v>261</v>
      </c>
      <c r="AB22" s="5" t="e">
        <f t="shared" si="0"/>
        <v>#N/A</v>
      </c>
      <c r="AC22" s="1">
        <v>20</v>
      </c>
      <c r="AD22" s="1" t="s">
        <v>36</v>
      </c>
      <c r="AE22" s="1">
        <v>0</v>
      </c>
      <c r="AF22">
        <v>15</v>
      </c>
      <c r="AG22" s="1">
        <v>0</v>
      </c>
      <c r="AH22" s="1">
        <v>0</v>
      </c>
      <c r="AI22" s="1">
        <v>1</v>
      </c>
      <c r="AJ22" s="1"/>
      <c r="AK22" s="1"/>
      <c r="AL22" s="1">
        <v>0</v>
      </c>
      <c r="AM22" s="1">
        <v>0</v>
      </c>
      <c r="AN22" s="1">
        <v>0</v>
      </c>
      <c r="AO22" s="1">
        <v>1</v>
      </c>
    </row>
    <row r="23" spans="1:41">
      <c r="A23" s="2">
        <v>10120</v>
      </c>
      <c r="B23" s="1" t="s">
        <v>79</v>
      </c>
      <c r="C23" s="1" t="s">
        <v>37</v>
      </c>
      <c r="D23" s="1" t="s">
        <v>38</v>
      </c>
      <c r="E23" s="1">
        <v>1</v>
      </c>
      <c r="F23" s="1">
        <v>15</v>
      </c>
      <c r="G23" s="1">
        <v>0</v>
      </c>
      <c r="H23" s="1">
        <v>0</v>
      </c>
      <c r="I23" s="1">
        <v>99999</v>
      </c>
      <c r="J23" s="1">
        <v>0</v>
      </c>
      <c r="K23" s="1">
        <v>0</v>
      </c>
      <c r="L23" s="1">
        <v>2</v>
      </c>
      <c r="M23" s="1">
        <v>99</v>
      </c>
      <c r="N23" s="1"/>
      <c r="O23" s="1">
        <v>0</v>
      </c>
      <c r="P23" s="1">
        <v>0</v>
      </c>
      <c r="Q23" s="1"/>
      <c r="R23" s="1" t="s">
        <v>35</v>
      </c>
      <c r="S23" s="1">
        <v>100</v>
      </c>
      <c r="T23" s="1">
        <v>0</v>
      </c>
      <c r="U23" s="2">
        <v>1</v>
      </c>
      <c r="V23" s="1">
        <v>1</v>
      </c>
      <c r="W23" s="1">
        <v>1</v>
      </c>
      <c r="X23" s="1"/>
      <c r="Y23" t="s">
        <v>41</v>
      </c>
      <c r="Z23" s="1" t="s">
        <v>1352</v>
      </c>
      <c r="AA23" s="2" t="s">
        <v>350</v>
      </c>
      <c r="AB23" s="5" t="str">
        <f t="shared" si="0"/>
        <v>&lt;br&gt;&lt;font color='#43FF98'&gt;                          最大道术+1&lt;br&gt;&lt;br&gt;&lt;font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23" s="1">
        <v>20</v>
      </c>
      <c r="AD23" s="1" t="s">
        <v>36</v>
      </c>
      <c r="AE23" s="1">
        <v>0</v>
      </c>
      <c r="AF23">
        <v>15</v>
      </c>
      <c r="AG23" s="1">
        <v>0</v>
      </c>
      <c r="AH23" s="1">
        <v>0</v>
      </c>
      <c r="AI23" s="1">
        <v>1</v>
      </c>
      <c r="AJ23" s="1"/>
      <c r="AK23" s="1"/>
      <c r="AL23" s="1">
        <v>0</v>
      </c>
      <c r="AM23" s="1">
        <v>0</v>
      </c>
      <c r="AN23" s="1">
        <v>0</v>
      </c>
      <c r="AO23" s="1"/>
    </row>
    <row r="24" spans="1:41">
      <c r="A24" s="2">
        <v>10121</v>
      </c>
      <c r="B24" s="1" t="s">
        <v>80</v>
      </c>
      <c r="C24" s="1" t="s">
        <v>37</v>
      </c>
      <c r="D24" s="1" t="s">
        <v>38</v>
      </c>
      <c r="E24" s="1">
        <v>1</v>
      </c>
      <c r="F24" s="1">
        <v>15</v>
      </c>
      <c r="G24" s="1">
        <v>0</v>
      </c>
      <c r="H24" s="1">
        <v>0</v>
      </c>
      <c r="I24" s="1">
        <v>99999</v>
      </c>
      <c r="J24" s="1">
        <v>1</v>
      </c>
      <c r="K24" s="1">
        <v>0</v>
      </c>
      <c r="L24" s="1">
        <v>2</v>
      </c>
      <c r="M24" s="1">
        <v>99</v>
      </c>
      <c r="N24" s="1"/>
      <c r="O24" s="1">
        <v>0</v>
      </c>
      <c r="P24" s="1">
        <v>0</v>
      </c>
      <c r="Q24" s="1"/>
      <c r="R24" s="1" t="s">
        <v>35</v>
      </c>
      <c r="S24" s="1">
        <v>200</v>
      </c>
      <c r="T24" s="1">
        <v>0</v>
      </c>
      <c r="U24" s="2">
        <v>1</v>
      </c>
      <c r="V24" s="1">
        <v>1</v>
      </c>
      <c r="W24" s="1">
        <v>1</v>
      </c>
      <c r="X24" s="1"/>
      <c r="Y24" t="s">
        <v>42</v>
      </c>
      <c r="Z24" s="1" t="s">
        <v>1353</v>
      </c>
      <c r="AA24" s="2" t="s">
        <v>262</v>
      </c>
      <c r="AB24" s="5" t="str">
        <f t="shared" si="0"/>
        <v>&lt;br&gt;&lt;font color='#43FF98'&gt;                          最大道术+2&lt;br&gt;&lt;br&gt;&lt;font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24" s="1">
        <v>20</v>
      </c>
      <c r="AD24" s="1" t="s">
        <v>36</v>
      </c>
      <c r="AE24" s="1">
        <v>0</v>
      </c>
      <c r="AF24">
        <v>15</v>
      </c>
      <c r="AG24" s="1">
        <v>0</v>
      </c>
      <c r="AH24" s="1">
        <v>0</v>
      </c>
      <c r="AI24" s="1">
        <v>1</v>
      </c>
      <c r="AJ24" s="1"/>
      <c r="AK24" s="1"/>
      <c r="AL24" s="1">
        <v>0</v>
      </c>
      <c r="AM24" s="1">
        <v>0</v>
      </c>
      <c r="AN24" s="1">
        <v>0</v>
      </c>
      <c r="AO24" s="1"/>
    </row>
    <row r="25" spans="1:41">
      <c r="A25" s="2">
        <v>10122</v>
      </c>
      <c r="B25" s="1" t="s">
        <v>81</v>
      </c>
      <c r="C25" s="1" t="s">
        <v>37</v>
      </c>
      <c r="D25" s="1" t="s">
        <v>38</v>
      </c>
      <c r="E25" s="1">
        <v>1</v>
      </c>
      <c r="F25" s="1">
        <v>15</v>
      </c>
      <c r="G25" s="1">
        <v>0</v>
      </c>
      <c r="H25" s="1">
        <v>0</v>
      </c>
      <c r="I25" s="1">
        <v>99999</v>
      </c>
      <c r="J25" s="1">
        <v>1</v>
      </c>
      <c r="K25" s="1">
        <v>0</v>
      </c>
      <c r="L25" s="1">
        <v>2</v>
      </c>
      <c r="M25" s="1">
        <v>99</v>
      </c>
      <c r="N25" s="1"/>
      <c r="O25" s="1">
        <v>0</v>
      </c>
      <c r="P25" s="1">
        <v>0</v>
      </c>
      <c r="Q25" s="1"/>
      <c r="R25" s="1" t="s">
        <v>35</v>
      </c>
      <c r="S25" s="1">
        <v>400</v>
      </c>
      <c r="T25" s="1">
        <v>0</v>
      </c>
      <c r="U25" s="2">
        <v>1</v>
      </c>
      <c r="V25" s="1">
        <v>1</v>
      </c>
      <c r="W25" s="1">
        <v>1</v>
      </c>
      <c r="X25" s="1"/>
      <c r="Y25" t="s">
        <v>43</v>
      </c>
      <c r="Z25" s="1" t="s">
        <v>1354</v>
      </c>
      <c r="AA25" s="2" t="s">
        <v>352</v>
      </c>
      <c r="AB25" s="5" t="str">
        <f t="shared" si="0"/>
        <v>&lt;br&gt;&lt;font color='#43FF98'&gt;                          最大道术+3&lt;br&gt;&lt;br&gt;&lt;font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25" s="1">
        <v>20</v>
      </c>
      <c r="AD25" s="1" t="s">
        <v>36</v>
      </c>
      <c r="AE25" s="1">
        <v>0</v>
      </c>
      <c r="AF25">
        <v>15</v>
      </c>
      <c r="AG25" s="1">
        <v>0</v>
      </c>
      <c r="AH25" s="1">
        <v>0</v>
      </c>
      <c r="AI25" s="1">
        <v>1</v>
      </c>
      <c r="AJ25" s="1"/>
      <c r="AK25" s="1"/>
      <c r="AL25" s="1">
        <v>0</v>
      </c>
      <c r="AM25" s="1">
        <v>0</v>
      </c>
      <c r="AN25" s="1">
        <v>0</v>
      </c>
      <c r="AO25" s="1"/>
    </row>
    <row r="26" spans="1:41">
      <c r="A26" s="2">
        <v>10123</v>
      </c>
      <c r="B26" s="1" t="s">
        <v>82</v>
      </c>
      <c r="C26" s="1" t="s">
        <v>37</v>
      </c>
      <c r="D26" s="1" t="s">
        <v>38</v>
      </c>
      <c r="E26" s="1">
        <v>1</v>
      </c>
      <c r="F26" s="1">
        <v>15</v>
      </c>
      <c r="G26" s="1">
        <v>0</v>
      </c>
      <c r="H26" s="1">
        <v>0</v>
      </c>
      <c r="I26" s="1">
        <v>99999</v>
      </c>
      <c r="J26" s="1">
        <v>1</v>
      </c>
      <c r="K26" s="1">
        <v>0</v>
      </c>
      <c r="L26" s="1">
        <v>2</v>
      </c>
      <c r="M26" s="1">
        <v>99</v>
      </c>
      <c r="N26" s="1"/>
      <c r="O26" s="1">
        <v>0</v>
      </c>
      <c r="P26" s="1">
        <v>0</v>
      </c>
      <c r="Q26" s="1"/>
      <c r="R26" s="1" t="s">
        <v>35</v>
      </c>
      <c r="S26" s="1">
        <v>800</v>
      </c>
      <c r="T26" s="1">
        <v>0</v>
      </c>
      <c r="U26" s="2">
        <v>1</v>
      </c>
      <c r="V26" s="1">
        <v>1</v>
      </c>
      <c r="W26" s="1">
        <v>1</v>
      </c>
      <c r="X26" s="1"/>
      <c r="Y26" t="s">
        <v>44</v>
      </c>
      <c r="Z26" s="1" t="s">
        <v>1355</v>
      </c>
      <c r="AA26" s="2" t="s">
        <v>263</v>
      </c>
      <c r="AB26" s="5" t="str">
        <f t="shared" si="0"/>
        <v>&lt;br&gt;&lt;font color='#43FF98'&gt;                          最大道术+5&lt;br&gt;&lt;br&gt;&lt;font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26" s="1">
        <v>20</v>
      </c>
      <c r="AD26" s="1" t="s">
        <v>36</v>
      </c>
      <c r="AE26" s="1">
        <v>0</v>
      </c>
      <c r="AF26">
        <v>15</v>
      </c>
      <c r="AG26" s="1">
        <v>0</v>
      </c>
      <c r="AH26" s="1">
        <v>0</v>
      </c>
      <c r="AI26" s="1">
        <v>1</v>
      </c>
      <c r="AJ26" s="1"/>
      <c r="AK26" s="1"/>
      <c r="AL26" s="1">
        <v>0</v>
      </c>
      <c r="AM26" s="1">
        <v>0</v>
      </c>
      <c r="AN26" s="1">
        <v>0</v>
      </c>
      <c r="AO26" s="1">
        <v>1</v>
      </c>
    </row>
    <row r="27" spans="1:41">
      <c r="A27" s="2">
        <v>10124</v>
      </c>
      <c r="B27" s="1" t="s">
        <v>83</v>
      </c>
      <c r="C27" s="1" t="s">
        <v>37</v>
      </c>
      <c r="D27" s="1" t="s">
        <v>38</v>
      </c>
      <c r="E27" s="1">
        <v>1</v>
      </c>
      <c r="F27" s="1">
        <v>15</v>
      </c>
      <c r="G27" s="1">
        <v>0</v>
      </c>
      <c r="H27" s="1">
        <v>0</v>
      </c>
      <c r="I27" s="1">
        <v>99999</v>
      </c>
      <c r="J27" s="1">
        <v>2</v>
      </c>
      <c r="K27" s="1">
        <v>0</v>
      </c>
      <c r="L27" s="1">
        <v>2</v>
      </c>
      <c r="M27" s="1">
        <v>99</v>
      </c>
      <c r="N27" s="1"/>
      <c r="O27" s="1">
        <v>0</v>
      </c>
      <c r="P27" s="1">
        <v>0</v>
      </c>
      <c r="Q27" s="1"/>
      <c r="R27" s="1" t="s">
        <v>35</v>
      </c>
      <c r="S27" s="1">
        <v>1600</v>
      </c>
      <c r="T27" s="1">
        <v>0</v>
      </c>
      <c r="U27" s="2">
        <v>1</v>
      </c>
      <c r="V27" s="1">
        <v>1</v>
      </c>
      <c r="W27" s="1">
        <v>1</v>
      </c>
      <c r="X27" s="1"/>
      <c r="Y27" t="s">
        <v>45</v>
      </c>
      <c r="Z27" s="1" t="s">
        <v>1356</v>
      </c>
      <c r="AA27" s="2" t="s">
        <v>353</v>
      </c>
      <c r="AB27" s="5" t="str">
        <f t="shared" si="0"/>
        <v>&lt;br&gt;&lt;font color='#43FF98'&gt;                          最大道术+7&lt;br&gt;&lt;br&gt;&lt;font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27" s="1">
        <v>20</v>
      </c>
      <c r="AD27" s="1" t="s">
        <v>36</v>
      </c>
      <c r="AE27" s="1">
        <v>0</v>
      </c>
      <c r="AF27">
        <v>15</v>
      </c>
      <c r="AG27" s="1">
        <v>0</v>
      </c>
      <c r="AH27" s="1">
        <v>0</v>
      </c>
      <c r="AI27" s="1">
        <v>1</v>
      </c>
      <c r="AJ27" s="1"/>
      <c r="AK27" s="1"/>
      <c r="AL27" s="1">
        <v>0</v>
      </c>
      <c r="AM27" s="1">
        <v>0</v>
      </c>
      <c r="AN27" s="1">
        <v>0</v>
      </c>
      <c r="AO27" s="1">
        <v>1</v>
      </c>
    </row>
    <row r="28" spans="1:41">
      <c r="A28" s="2">
        <v>10125</v>
      </c>
      <c r="B28" s="1" t="s">
        <v>84</v>
      </c>
      <c r="C28" s="1" t="s">
        <v>37</v>
      </c>
      <c r="D28" s="1" t="s">
        <v>38</v>
      </c>
      <c r="E28" s="1">
        <v>1</v>
      </c>
      <c r="F28" s="1">
        <v>15</v>
      </c>
      <c r="G28" s="1">
        <v>0</v>
      </c>
      <c r="H28" s="1">
        <v>0</v>
      </c>
      <c r="I28" s="1">
        <v>99999</v>
      </c>
      <c r="J28" s="1">
        <v>2</v>
      </c>
      <c r="K28" s="1">
        <v>0</v>
      </c>
      <c r="L28" s="1">
        <v>2</v>
      </c>
      <c r="M28" s="1">
        <v>99</v>
      </c>
      <c r="N28" s="1"/>
      <c r="O28" s="1">
        <v>0</v>
      </c>
      <c r="P28" s="1">
        <v>0</v>
      </c>
      <c r="Q28" s="1"/>
      <c r="R28" s="1" t="s">
        <v>35</v>
      </c>
      <c r="S28" s="1">
        <v>100</v>
      </c>
      <c r="T28" s="1">
        <v>0</v>
      </c>
      <c r="U28" s="2">
        <v>1</v>
      </c>
      <c r="V28" s="1">
        <v>1</v>
      </c>
      <c r="W28" s="1">
        <v>1</v>
      </c>
      <c r="X28" s="1"/>
      <c r="Y28" t="s">
        <v>45</v>
      </c>
      <c r="Z28" s="1" t="s">
        <v>1357</v>
      </c>
      <c r="AA28" s="2" t="s">
        <v>264</v>
      </c>
      <c r="AB28" s="5" t="str">
        <f t="shared" si="0"/>
        <v>&lt;br&gt;&lt;font color='#43FF98'&gt;                          最大道术+10&lt;br&gt;&lt;br&gt;&lt;font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28" s="1">
        <v>20</v>
      </c>
      <c r="AD28" s="1" t="s">
        <v>36</v>
      </c>
      <c r="AE28" s="1">
        <v>0</v>
      </c>
      <c r="AF28">
        <v>15</v>
      </c>
      <c r="AG28" s="1">
        <v>0</v>
      </c>
      <c r="AH28" s="1">
        <v>0</v>
      </c>
      <c r="AI28" s="1">
        <v>1</v>
      </c>
      <c r="AJ28" s="1"/>
      <c r="AK28" s="1"/>
      <c r="AL28" s="1">
        <v>0</v>
      </c>
      <c r="AM28" s="1">
        <v>0</v>
      </c>
      <c r="AN28" s="1">
        <v>0</v>
      </c>
      <c r="AO28" s="1">
        <v>1</v>
      </c>
    </row>
    <row r="29" spans="1:41">
      <c r="A29" s="2">
        <v>10126</v>
      </c>
      <c r="B29" s="1" t="s">
        <v>85</v>
      </c>
      <c r="C29" s="1" t="s">
        <v>37</v>
      </c>
      <c r="D29" s="1" t="s">
        <v>38</v>
      </c>
      <c r="E29" s="1">
        <v>1</v>
      </c>
      <c r="F29" s="1">
        <v>15</v>
      </c>
      <c r="G29" s="1">
        <v>0</v>
      </c>
      <c r="H29" s="1">
        <v>0</v>
      </c>
      <c r="I29" s="1">
        <v>99999</v>
      </c>
      <c r="J29" s="1">
        <v>2</v>
      </c>
      <c r="K29" s="1">
        <v>0</v>
      </c>
      <c r="L29" s="1">
        <v>2</v>
      </c>
      <c r="M29" s="1">
        <v>99</v>
      </c>
      <c r="N29" s="1"/>
      <c r="O29" s="1">
        <v>0</v>
      </c>
      <c r="P29" s="1">
        <v>0</v>
      </c>
      <c r="Q29" s="1"/>
      <c r="R29" s="1" t="s">
        <v>35</v>
      </c>
      <c r="S29" s="1">
        <v>200</v>
      </c>
      <c r="T29" s="1">
        <v>0</v>
      </c>
      <c r="U29" s="2">
        <v>1</v>
      </c>
      <c r="V29" s="1">
        <v>1</v>
      </c>
      <c r="W29" s="1">
        <v>1</v>
      </c>
      <c r="X29" s="1"/>
      <c r="Y29" t="s">
        <v>45</v>
      </c>
      <c r="Z29" s="1" t="s">
        <v>1358</v>
      </c>
      <c r="AA29" s="2" t="s">
        <v>354</v>
      </c>
      <c r="AB29" s="5" t="str">
        <f t="shared" si="0"/>
        <v>&lt;br&gt;&lt;font color='#43FF98'&gt;                          最大道术+13&lt;br&gt;&lt;br&gt;&lt;font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29" s="1">
        <v>20</v>
      </c>
      <c r="AD29" s="1" t="s">
        <v>36</v>
      </c>
      <c r="AE29" s="1">
        <v>0</v>
      </c>
      <c r="AF29">
        <v>15</v>
      </c>
      <c r="AG29" s="1">
        <v>0</v>
      </c>
      <c r="AH29" s="1">
        <v>0</v>
      </c>
      <c r="AI29" s="1">
        <v>1</v>
      </c>
      <c r="AJ29" s="1"/>
      <c r="AK29" s="1"/>
      <c r="AL29" s="1">
        <v>0</v>
      </c>
      <c r="AM29" s="1">
        <v>0</v>
      </c>
      <c r="AN29" s="1">
        <v>0</v>
      </c>
      <c r="AO29" s="1">
        <v>1</v>
      </c>
    </row>
    <row r="30" spans="1:41">
      <c r="A30" s="2">
        <v>10127</v>
      </c>
      <c r="B30" s="1" t="s">
        <v>86</v>
      </c>
      <c r="C30" s="1" t="s">
        <v>37</v>
      </c>
      <c r="D30" s="1" t="s">
        <v>38</v>
      </c>
      <c r="E30" s="1">
        <v>1</v>
      </c>
      <c r="F30" s="1">
        <v>15</v>
      </c>
      <c r="G30" s="1">
        <v>0</v>
      </c>
      <c r="H30" s="1">
        <v>0</v>
      </c>
      <c r="I30" s="1">
        <v>99999</v>
      </c>
      <c r="J30" s="1">
        <v>3</v>
      </c>
      <c r="K30" s="1">
        <v>0</v>
      </c>
      <c r="L30" s="1">
        <v>2</v>
      </c>
      <c r="M30" s="1">
        <v>99</v>
      </c>
      <c r="N30" s="1"/>
      <c r="O30" s="1">
        <v>0</v>
      </c>
      <c r="P30" s="1">
        <v>0</v>
      </c>
      <c r="Q30" s="1"/>
      <c r="R30" s="1" t="s">
        <v>35</v>
      </c>
      <c r="S30" s="1">
        <v>400</v>
      </c>
      <c r="T30" s="1">
        <v>0</v>
      </c>
      <c r="U30" s="2">
        <v>1</v>
      </c>
      <c r="V30" s="1">
        <v>1</v>
      </c>
      <c r="W30" s="1">
        <v>1</v>
      </c>
      <c r="X30" s="1"/>
      <c r="Y30" t="s">
        <v>45</v>
      </c>
      <c r="Z30" s="1" t="s">
        <v>1359</v>
      </c>
      <c r="AA30" s="2" t="s">
        <v>265</v>
      </c>
      <c r="AB30" s="5" t="str">
        <f t="shared" si="0"/>
        <v>&lt;br&gt;&lt;font color='#43FF98'&gt;                          最大道术+17&lt;br&gt;&lt;br&gt;&lt;font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30" s="1">
        <v>20</v>
      </c>
      <c r="AD30" s="1" t="s">
        <v>36</v>
      </c>
      <c r="AE30" s="1">
        <v>0</v>
      </c>
      <c r="AF30">
        <v>15</v>
      </c>
      <c r="AG30" s="1">
        <v>0</v>
      </c>
      <c r="AH30" s="1">
        <v>0</v>
      </c>
      <c r="AI30" s="1">
        <v>1</v>
      </c>
      <c r="AJ30" s="1"/>
      <c r="AK30" s="1"/>
      <c r="AL30" s="1">
        <v>0</v>
      </c>
      <c r="AM30" s="1">
        <v>0</v>
      </c>
      <c r="AN30" s="1">
        <v>0</v>
      </c>
      <c r="AO30" s="1">
        <v>1</v>
      </c>
    </row>
    <row r="31" spans="1:41">
      <c r="A31" s="2">
        <v>10128</v>
      </c>
      <c r="B31" s="1" t="s">
        <v>87</v>
      </c>
      <c r="C31" s="1" t="s">
        <v>37</v>
      </c>
      <c r="D31" s="1" t="s">
        <v>38</v>
      </c>
      <c r="E31" s="1">
        <v>1</v>
      </c>
      <c r="F31" s="1">
        <v>15</v>
      </c>
      <c r="G31" s="1">
        <v>0</v>
      </c>
      <c r="H31" s="1">
        <v>0</v>
      </c>
      <c r="I31" s="1">
        <v>99999</v>
      </c>
      <c r="J31" s="1">
        <v>3</v>
      </c>
      <c r="K31" s="1">
        <v>0</v>
      </c>
      <c r="L31" s="1">
        <v>2</v>
      </c>
      <c r="M31" s="1">
        <v>99</v>
      </c>
      <c r="N31" s="1"/>
      <c r="O31" s="1">
        <v>0</v>
      </c>
      <c r="P31" s="1">
        <v>0</v>
      </c>
      <c r="Q31" s="1"/>
      <c r="R31" s="1" t="s">
        <v>35</v>
      </c>
      <c r="S31" s="1">
        <v>800</v>
      </c>
      <c r="T31" s="1">
        <v>0</v>
      </c>
      <c r="U31" s="2">
        <v>1</v>
      </c>
      <c r="V31" s="1">
        <v>1</v>
      </c>
      <c r="W31" s="1">
        <v>1</v>
      </c>
      <c r="X31" s="1"/>
      <c r="Y31" t="s">
        <v>45</v>
      </c>
      <c r="Z31" s="1" t="s">
        <v>1360</v>
      </c>
      <c r="AA31" s="2" t="s">
        <v>355</v>
      </c>
      <c r="AB31" s="5" t="str">
        <f t="shared" si="0"/>
        <v>&lt;br&gt;&lt;font color='#43FF98'&gt;                          最大道术+22&lt;br&gt;&lt;br&gt;&lt;font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31" s="1">
        <v>20</v>
      </c>
      <c r="AD31" s="1" t="s">
        <v>36</v>
      </c>
      <c r="AE31" s="1">
        <v>0</v>
      </c>
      <c r="AF31">
        <v>15</v>
      </c>
      <c r="AG31" s="1">
        <v>0</v>
      </c>
      <c r="AH31" s="1">
        <v>0</v>
      </c>
      <c r="AI31" s="1">
        <v>1</v>
      </c>
      <c r="AJ31" s="1"/>
      <c r="AK31" s="1"/>
      <c r="AL31" s="1">
        <v>0</v>
      </c>
      <c r="AM31" s="1">
        <v>0</v>
      </c>
      <c r="AN31" s="1">
        <v>0</v>
      </c>
      <c r="AO31" s="1">
        <v>1</v>
      </c>
    </row>
    <row r="32" spans="1:41">
      <c r="A32" s="2">
        <v>10129</v>
      </c>
      <c r="B32" s="1" t="s">
        <v>88</v>
      </c>
      <c r="C32" s="1" t="s">
        <v>37</v>
      </c>
      <c r="D32" s="1" t="s">
        <v>38</v>
      </c>
      <c r="E32" s="1">
        <v>1</v>
      </c>
      <c r="F32" s="1">
        <v>15</v>
      </c>
      <c r="G32" s="1">
        <v>0</v>
      </c>
      <c r="H32" s="1">
        <v>0</v>
      </c>
      <c r="I32" s="1">
        <v>99999</v>
      </c>
      <c r="J32" s="1">
        <v>3</v>
      </c>
      <c r="K32" s="1">
        <v>0</v>
      </c>
      <c r="L32" s="1">
        <v>2</v>
      </c>
      <c r="M32" s="1">
        <v>99</v>
      </c>
      <c r="N32" s="1"/>
      <c r="O32" s="1">
        <v>0</v>
      </c>
      <c r="P32" s="1">
        <v>0</v>
      </c>
      <c r="Q32" s="1"/>
      <c r="R32" s="1" t="s">
        <v>35</v>
      </c>
      <c r="S32" s="1">
        <v>1600</v>
      </c>
      <c r="T32" s="1">
        <v>0</v>
      </c>
      <c r="U32" s="2">
        <v>1</v>
      </c>
      <c r="V32" s="1">
        <v>1</v>
      </c>
      <c r="W32" s="1">
        <v>1</v>
      </c>
      <c r="X32" s="1"/>
      <c r="Y32" t="s">
        <v>45</v>
      </c>
      <c r="Z32" s="1" t="s">
        <v>1361</v>
      </c>
      <c r="AA32" s="2" t="s">
        <v>266</v>
      </c>
      <c r="AB32" s="5" t="str">
        <f t="shared" si="0"/>
        <v>&lt;br&gt;&lt;font color='#43FF98'&gt;                          最大道术+28&lt;br&gt;&lt;br&gt;&lt;font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32" s="1">
        <v>20</v>
      </c>
      <c r="AD32" s="1" t="s">
        <v>36</v>
      </c>
      <c r="AE32" s="1">
        <v>0</v>
      </c>
      <c r="AF32">
        <v>15</v>
      </c>
      <c r="AG32" s="1">
        <v>0</v>
      </c>
      <c r="AH32" s="1">
        <v>0</v>
      </c>
      <c r="AI32" s="1">
        <v>1</v>
      </c>
      <c r="AJ32" s="1"/>
      <c r="AK32" s="1"/>
      <c r="AL32" s="1">
        <v>0</v>
      </c>
      <c r="AM32" s="1">
        <v>0</v>
      </c>
      <c r="AN32" s="1">
        <v>0</v>
      </c>
      <c r="AO32" s="1">
        <v>1</v>
      </c>
    </row>
    <row r="33" spans="1:41">
      <c r="A33" s="2">
        <v>10200</v>
      </c>
      <c r="B33" s="1" t="s">
        <v>89</v>
      </c>
      <c r="C33" s="1" t="s">
        <v>37</v>
      </c>
      <c r="D33" s="1" t="s">
        <v>38</v>
      </c>
      <c r="E33" s="1">
        <v>1</v>
      </c>
      <c r="F33" s="1">
        <v>15</v>
      </c>
      <c r="G33" s="1">
        <v>0</v>
      </c>
      <c r="H33" s="1">
        <v>0</v>
      </c>
      <c r="I33" s="1">
        <v>99999</v>
      </c>
      <c r="J33" s="1">
        <v>0</v>
      </c>
      <c r="K33" s="1">
        <v>0</v>
      </c>
      <c r="L33" s="1">
        <v>2</v>
      </c>
      <c r="M33" s="1">
        <v>99</v>
      </c>
      <c r="N33" s="1"/>
      <c r="O33" s="1">
        <v>0</v>
      </c>
      <c r="P33" s="1">
        <v>0</v>
      </c>
      <c r="Q33" s="1"/>
      <c r="R33" s="1" t="s">
        <v>35</v>
      </c>
      <c r="S33" s="1">
        <v>100</v>
      </c>
      <c r="T33" s="1">
        <v>0</v>
      </c>
      <c r="U33" s="2">
        <v>1</v>
      </c>
      <c r="V33" s="1">
        <v>1</v>
      </c>
      <c r="W33" s="1">
        <v>1</v>
      </c>
      <c r="X33" s="1"/>
      <c r="Y33" t="s">
        <v>54</v>
      </c>
      <c r="Z33" s="1" t="s">
        <v>1362</v>
      </c>
      <c r="AA33" s="2" t="s">
        <v>267</v>
      </c>
      <c r="AB33" s="5" t="str">
        <f t="shared" si="0"/>
        <v>&lt;br&gt;&lt;font color='#43FF98'&gt;                          最大攻击+1&lt;br&gt;&lt;br&gt;&lt;font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33" s="1">
        <v>20</v>
      </c>
      <c r="AD33" s="1" t="s">
        <v>36</v>
      </c>
      <c r="AE33" s="1">
        <v>0</v>
      </c>
      <c r="AF33">
        <v>15</v>
      </c>
      <c r="AG33" s="1">
        <v>0</v>
      </c>
      <c r="AH33" s="1">
        <v>0</v>
      </c>
      <c r="AI33" s="1">
        <v>1</v>
      </c>
      <c r="AJ33" s="1"/>
      <c r="AK33" s="1"/>
      <c r="AL33" s="1">
        <v>0</v>
      </c>
      <c r="AM33" s="1">
        <v>0</v>
      </c>
      <c r="AN33" s="1">
        <v>0</v>
      </c>
      <c r="AO33" s="1"/>
    </row>
    <row r="34" spans="1:41">
      <c r="A34" s="2">
        <v>10201</v>
      </c>
      <c r="B34" s="1" t="s">
        <v>90</v>
      </c>
      <c r="C34" s="1" t="s">
        <v>37</v>
      </c>
      <c r="D34" s="1" t="s">
        <v>38</v>
      </c>
      <c r="E34" s="1">
        <v>1</v>
      </c>
      <c r="F34" s="1">
        <v>15</v>
      </c>
      <c r="G34" s="1">
        <v>0</v>
      </c>
      <c r="H34" s="1">
        <v>0</v>
      </c>
      <c r="I34" s="1">
        <v>99999</v>
      </c>
      <c r="J34" s="1">
        <v>1</v>
      </c>
      <c r="K34" s="1">
        <v>0</v>
      </c>
      <c r="L34" s="1">
        <v>2</v>
      </c>
      <c r="M34" s="1">
        <v>99</v>
      </c>
      <c r="N34" s="1"/>
      <c r="O34" s="1">
        <v>0</v>
      </c>
      <c r="P34" s="1">
        <v>0</v>
      </c>
      <c r="Q34" s="1"/>
      <c r="R34" s="1" t="s">
        <v>35</v>
      </c>
      <c r="S34" s="1">
        <v>200</v>
      </c>
      <c r="T34" s="1">
        <v>0</v>
      </c>
      <c r="U34" s="2">
        <v>1</v>
      </c>
      <c r="V34" s="1">
        <v>1</v>
      </c>
      <c r="W34" s="1">
        <v>1</v>
      </c>
      <c r="X34" s="1"/>
      <c r="Y34" t="s">
        <v>51</v>
      </c>
      <c r="Z34" s="1" t="s">
        <v>1363</v>
      </c>
      <c r="AA34" s="2" t="s">
        <v>268</v>
      </c>
      <c r="AB34" s="5" t="str">
        <f t="shared" si="0"/>
        <v>&lt;br&gt;&lt;font color='#43FF98'&gt;                          最大攻击+2&lt;br&gt;&lt;br&gt;&lt;font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34" s="1">
        <v>20</v>
      </c>
      <c r="AD34" s="1" t="s">
        <v>36</v>
      </c>
      <c r="AE34" s="1">
        <v>0</v>
      </c>
      <c r="AF34">
        <v>15</v>
      </c>
      <c r="AG34" s="1">
        <v>0</v>
      </c>
      <c r="AH34" s="1">
        <v>0</v>
      </c>
      <c r="AI34" s="1">
        <v>1</v>
      </c>
      <c r="AJ34" s="1"/>
      <c r="AK34" s="1"/>
      <c r="AL34" s="1">
        <v>0</v>
      </c>
      <c r="AM34" s="1">
        <v>0</v>
      </c>
      <c r="AN34" s="1">
        <v>0</v>
      </c>
      <c r="AO34" s="1"/>
    </row>
    <row r="35" spans="1:41">
      <c r="A35" s="2">
        <v>10202</v>
      </c>
      <c r="B35" s="1" t="s">
        <v>91</v>
      </c>
      <c r="C35" s="1" t="s">
        <v>37</v>
      </c>
      <c r="D35" s="1" t="s">
        <v>38</v>
      </c>
      <c r="E35" s="1">
        <v>1</v>
      </c>
      <c r="F35" s="1">
        <v>15</v>
      </c>
      <c r="G35" s="1">
        <v>0</v>
      </c>
      <c r="H35" s="1">
        <v>0</v>
      </c>
      <c r="I35" s="1">
        <v>99999</v>
      </c>
      <c r="J35" s="1">
        <v>1</v>
      </c>
      <c r="K35" s="1">
        <v>0</v>
      </c>
      <c r="L35" s="1">
        <v>2</v>
      </c>
      <c r="M35" s="1">
        <v>99</v>
      </c>
      <c r="N35" s="1"/>
      <c r="O35" s="1">
        <v>0</v>
      </c>
      <c r="P35" s="1">
        <v>0</v>
      </c>
      <c r="Q35" s="1"/>
      <c r="R35" s="1" t="s">
        <v>35</v>
      </c>
      <c r="S35" s="1">
        <v>400</v>
      </c>
      <c r="T35" s="1">
        <v>0</v>
      </c>
      <c r="U35" s="2">
        <v>1</v>
      </c>
      <c r="V35" s="1">
        <v>1</v>
      </c>
      <c r="W35" s="1">
        <v>1</v>
      </c>
      <c r="X35" s="1"/>
      <c r="Y35" t="s">
        <v>52</v>
      </c>
      <c r="Z35" s="1" t="s">
        <v>1364</v>
      </c>
      <c r="AA35" s="2" t="s">
        <v>269</v>
      </c>
      <c r="AB35" s="5" t="str">
        <f t="shared" si="0"/>
        <v>&lt;br&gt;&lt;font color='#43FF98'&gt;                          最大攻击+3&lt;br&gt;&lt;br&gt;&lt;font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35" s="1">
        <v>20</v>
      </c>
      <c r="AD35" s="1" t="s">
        <v>36</v>
      </c>
      <c r="AE35" s="1">
        <v>0</v>
      </c>
      <c r="AF35">
        <v>15</v>
      </c>
      <c r="AG35" s="1">
        <v>0</v>
      </c>
      <c r="AH35" s="1">
        <v>0</v>
      </c>
      <c r="AI35" s="1">
        <v>1</v>
      </c>
      <c r="AJ35" s="1"/>
      <c r="AK35" s="1"/>
      <c r="AL35" s="1">
        <v>0</v>
      </c>
      <c r="AM35" s="1">
        <v>0</v>
      </c>
      <c r="AN35" s="1">
        <v>0</v>
      </c>
    </row>
    <row r="36" spans="1:41">
      <c r="A36" s="2">
        <v>10203</v>
      </c>
      <c r="B36" s="1" t="s">
        <v>92</v>
      </c>
      <c r="C36" s="1" t="s">
        <v>37</v>
      </c>
      <c r="D36" s="1" t="s">
        <v>38</v>
      </c>
      <c r="E36" s="1">
        <v>1</v>
      </c>
      <c r="F36" s="1">
        <v>15</v>
      </c>
      <c r="G36" s="1">
        <v>0</v>
      </c>
      <c r="H36" s="1">
        <v>0</v>
      </c>
      <c r="I36" s="1">
        <v>99999</v>
      </c>
      <c r="J36" s="1">
        <v>1</v>
      </c>
      <c r="K36" s="1">
        <v>0</v>
      </c>
      <c r="L36" s="1">
        <v>2</v>
      </c>
      <c r="M36" s="1">
        <v>99</v>
      </c>
      <c r="N36" s="1"/>
      <c r="O36" s="1">
        <v>0</v>
      </c>
      <c r="P36" s="1">
        <v>0</v>
      </c>
      <c r="Q36" s="1"/>
      <c r="R36" s="1" t="s">
        <v>35</v>
      </c>
      <c r="S36" s="1">
        <v>800</v>
      </c>
      <c r="T36" s="1">
        <v>0</v>
      </c>
      <c r="U36" s="2">
        <v>1</v>
      </c>
      <c r="V36" s="1">
        <v>1</v>
      </c>
      <c r="W36" s="1">
        <v>1</v>
      </c>
      <c r="X36" s="1"/>
      <c r="Y36" t="s">
        <v>53</v>
      </c>
      <c r="Z36" s="1" t="s">
        <v>1365</v>
      </c>
      <c r="AA36" s="2" t="s">
        <v>270</v>
      </c>
      <c r="AB36" s="5" t="str">
        <f t="shared" si="0"/>
        <v>&lt;br&gt;&lt;font color='#43FF98'&gt;                          最大攻击+5&lt;br&gt;&lt;br&gt;&lt;font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36" s="1">
        <v>20</v>
      </c>
      <c r="AD36" s="1" t="s">
        <v>36</v>
      </c>
      <c r="AE36" s="1">
        <v>0</v>
      </c>
      <c r="AF36">
        <v>15</v>
      </c>
      <c r="AG36" s="1">
        <v>0</v>
      </c>
      <c r="AH36" s="1">
        <v>0</v>
      </c>
      <c r="AI36" s="1">
        <v>1</v>
      </c>
      <c r="AJ36" s="1"/>
      <c r="AK36" s="1"/>
      <c r="AL36" s="1">
        <v>0</v>
      </c>
      <c r="AM36" s="1">
        <v>0</v>
      </c>
      <c r="AN36" s="1">
        <v>0</v>
      </c>
      <c r="AO36" s="1">
        <v>1</v>
      </c>
    </row>
    <row r="37" spans="1:41">
      <c r="A37" s="2">
        <v>10204</v>
      </c>
      <c r="B37" s="1" t="s">
        <v>93</v>
      </c>
      <c r="C37" s="1" t="s">
        <v>37</v>
      </c>
      <c r="D37" s="1" t="s">
        <v>38</v>
      </c>
      <c r="E37" s="1">
        <v>1</v>
      </c>
      <c r="F37" s="1">
        <v>15</v>
      </c>
      <c r="G37" s="1">
        <v>0</v>
      </c>
      <c r="H37" s="1">
        <v>0</v>
      </c>
      <c r="I37" s="1">
        <v>99999</v>
      </c>
      <c r="J37" s="1">
        <v>2</v>
      </c>
      <c r="K37" s="1">
        <v>0</v>
      </c>
      <c r="L37" s="1">
        <v>2</v>
      </c>
      <c r="M37" s="1">
        <v>99</v>
      </c>
      <c r="N37" s="1"/>
      <c r="O37" s="1">
        <v>0</v>
      </c>
      <c r="P37" s="1">
        <v>0</v>
      </c>
      <c r="Q37" s="1"/>
      <c r="R37" s="1" t="s">
        <v>35</v>
      </c>
      <c r="S37" s="1">
        <v>1600</v>
      </c>
      <c r="T37" s="1">
        <v>0</v>
      </c>
      <c r="U37" s="2">
        <v>1</v>
      </c>
      <c r="V37" s="1">
        <v>1</v>
      </c>
      <c r="W37" s="1">
        <v>1</v>
      </c>
      <c r="X37" s="1"/>
      <c r="Y37" t="s">
        <v>55</v>
      </c>
      <c r="Z37" s="1" t="s">
        <v>1366</v>
      </c>
      <c r="AA37" s="2" t="s">
        <v>271</v>
      </c>
      <c r="AB37" s="5" t="str">
        <f t="shared" si="0"/>
        <v>&lt;br&gt;&lt;font color='#43FF98'&gt;                          最大攻击+7&lt;br&gt;&lt;br&gt;&lt;font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37" s="1">
        <v>20</v>
      </c>
      <c r="AD37" s="1" t="s">
        <v>36</v>
      </c>
      <c r="AE37" s="1">
        <v>0</v>
      </c>
      <c r="AF37">
        <v>15</v>
      </c>
      <c r="AG37" s="1">
        <v>0</v>
      </c>
      <c r="AH37" s="1">
        <v>0</v>
      </c>
      <c r="AI37" s="1">
        <v>1</v>
      </c>
      <c r="AJ37" s="1"/>
      <c r="AK37" s="1"/>
      <c r="AL37" s="1">
        <v>0</v>
      </c>
      <c r="AM37" s="1">
        <v>0</v>
      </c>
      <c r="AN37" s="1">
        <v>0</v>
      </c>
      <c r="AO37" s="1">
        <v>1</v>
      </c>
    </row>
    <row r="38" spans="1:41">
      <c r="A38" s="2">
        <v>10205</v>
      </c>
      <c r="B38" s="1" t="s">
        <v>94</v>
      </c>
      <c r="C38" s="1" t="s">
        <v>37</v>
      </c>
      <c r="D38" s="1" t="s">
        <v>38</v>
      </c>
      <c r="E38" s="1">
        <v>1</v>
      </c>
      <c r="F38" s="1">
        <v>15</v>
      </c>
      <c r="G38" s="1">
        <v>0</v>
      </c>
      <c r="H38" s="1">
        <v>0</v>
      </c>
      <c r="I38" s="1">
        <v>99999</v>
      </c>
      <c r="J38" s="1">
        <v>2</v>
      </c>
      <c r="K38" s="1">
        <v>0</v>
      </c>
      <c r="L38" s="1">
        <v>2</v>
      </c>
      <c r="M38" s="1">
        <v>99</v>
      </c>
      <c r="N38" s="1"/>
      <c r="O38" s="1">
        <v>0</v>
      </c>
      <c r="P38" s="1">
        <v>0</v>
      </c>
      <c r="Q38" s="1"/>
      <c r="R38" s="1" t="s">
        <v>35</v>
      </c>
      <c r="S38" s="1">
        <v>100</v>
      </c>
      <c r="T38" s="1">
        <v>0</v>
      </c>
      <c r="U38" s="2">
        <v>1</v>
      </c>
      <c r="V38" s="1">
        <v>1</v>
      </c>
      <c r="W38" s="1">
        <v>1</v>
      </c>
      <c r="X38" s="1"/>
      <c r="Y38" t="s">
        <v>55</v>
      </c>
      <c r="Z38" s="1" t="s">
        <v>1367</v>
      </c>
      <c r="AA38" s="2" t="s">
        <v>272</v>
      </c>
      <c r="AB38" s="5" t="str">
        <f t="shared" si="0"/>
        <v>&lt;br&gt;&lt;font color='#43FF98'&gt;                          最大攻击+10&lt;br&gt;&lt;br&gt;&lt;font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38" s="1">
        <v>20</v>
      </c>
      <c r="AD38" s="1" t="s">
        <v>36</v>
      </c>
      <c r="AE38" s="1">
        <v>0</v>
      </c>
      <c r="AF38">
        <v>15</v>
      </c>
      <c r="AG38" s="1">
        <v>0</v>
      </c>
      <c r="AH38" s="1">
        <v>0</v>
      </c>
      <c r="AI38" s="1">
        <v>1</v>
      </c>
      <c r="AJ38" s="1"/>
      <c r="AK38" s="1"/>
      <c r="AL38" s="1">
        <v>0</v>
      </c>
      <c r="AM38" s="1">
        <v>0</v>
      </c>
      <c r="AN38" s="1">
        <v>0</v>
      </c>
      <c r="AO38" s="1">
        <v>1</v>
      </c>
    </row>
    <row r="39" spans="1:41">
      <c r="A39" s="2">
        <v>10206</v>
      </c>
      <c r="B39" s="1" t="s">
        <v>95</v>
      </c>
      <c r="C39" s="1" t="s">
        <v>37</v>
      </c>
      <c r="D39" s="1" t="s">
        <v>38</v>
      </c>
      <c r="E39" s="1">
        <v>1</v>
      </c>
      <c r="F39" s="1">
        <v>15</v>
      </c>
      <c r="G39" s="1">
        <v>0</v>
      </c>
      <c r="H39" s="1">
        <v>0</v>
      </c>
      <c r="I39" s="1">
        <v>99999</v>
      </c>
      <c r="J39" s="1">
        <v>2</v>
      </c>
      <c r="K39" s="1">
        <v>0</v>
      </c>
      <c r="L39" s="1">
        <v>2</v>
      </c>
      <c r="M39" s="1">
        <v>99</v>
      </c>
      <c r="N39" s="1"/>
      <c r="O39" s="1">
        <v>0</v>
      </c>
      <c r="P39" s="1">
        <v>0</v>
      </c>
      <c r="Q39" s="1"/>
      <c r="R39" s="1" t="s">
        <v>35</v>
      </c>
      <c r="S39" s="1">
        <v>200</v>
      </c>
      <c r="T39" s="1">
        <v>0</v>
      </c>
      <c r="U39" s="2">
        <v>1</v>
      </c>
      <c r="V39" s="1">
        <v>1</v>
      </c>
      <c r="W39" s="1">
        <v>1</v>
      </c>
      <c r="X39" s="1"/>
      <c r="Y39" t="s">
        <v>55</v>
      </c>
      <c r="Z39" s="1" t="s">
        <v>1368</v>
      </c>
      <c r="AA39" s="2" t="s">
        <v>273</v>
      </c>
      <c r="AB39" s="5" t="str">
        <f t="shared" si="0"/>
        <v>&lt;br&gt;&lt;font color='#43FF98'&gt;                          最大攻击+13&lt;br&gt;&lt;br&gt;&lt;font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39" s="1">
        <v>20</v>
      </c>
      <c r="AD39" s="1" t="s">
        <v>36</v>
      </c>
      <c r="AE39" s="1">
        <v>0</v>
      </c>
      <c r="AF39">
        <v>15</v>
      </c>
      <c r="AG39" s="1">
        <v>0</v>
      </c>
      <c r="AH39" s="1">
        <v>0</v>
      </c>
      <c r="AI39" s="1">
        <v>1</v>
      </c>
      <c r="AJ39" s="1"/>
      <c r="AK39" s="1"/>
      <c r="AL39" s="1">
        <v>0</v>
      </c>
      <c r="AM39" s="1">
        <v>0</v>
      </c>
      <c r="AN39" s="1">
        <v>0</v>
      </c>
      <c r="AO39" s="1">
        <v>1</v>
      </c>
    </row>
    <row r="40" spans="1:41">
      <c r="A40" s="2">
        <v>10207</v>
      </c>
      <c r="B40" s="1" t="s">
        <v>96</v>
      </c>
      <c r="C40" s="1" t="s">
        <v>37</v>
      </c>
      <c r="D40" s="1" t="s">
        <v>38</v>
      </c>
      <c r="E40" s="1">
        <v>1</v>
      </c>
      <c r="F40" s="1">
        <v>15</v>
      </c>
      <c r="G40" s="1">
        <v>0</v>
      </c>
      <c r="H40" s="1">
        <v>0</v>
      </c>
      <c r="I40" s="1">
        <v>99999</v>
      </c>
      <c r="J40" s="1">
        <v>3</v>
      </c>
      <c r="K40" s="1">
        <v>0</v>
      </c>
      <c r="L40" s="1">
        <v>2</v>
      </c>
      <c r="M40" s="1">
        <v>99</v>
      </c>
      <c r="N40" s="1"/>
      <c r="O40" s="1">
        <v>0</v>
      </c>
      <c r="P40" s="1">
        <v>0</v>
      </c>
      <c r="Q40" s="1"/>
      <c r="R40" s="1" t="s">
        <v>35</v>
      </c>
      <c r="S40" s="1">
        <v>400</v>
      </c>
      <c r="T40" s="1">
        <v>0</v>
      </c>
      <c r="U40" s="2">
        <v>1</v>
      </c>
      <c r="V40" s="1">
        <v>1</v>
      </c>
      <c r="W40" s="1">
        <v>1</v>
      </c>
      <c r="X40" s="1"/>
      <c r="Y40" t="s">
        <v>55</v>
      </c>
      <c r="Z40" s="1" t="s">
        <v>1369</v>
      </c>
      <c r="AA40" s="2" t="s">
        <v>274</v>
      </c>
      <c r="AB40" s="5" t="str">
        <f t="shared" si="0"/>
        <v>&lt;br&gt;&lt;font color='#43FF98'&gt;                          最大攻击+17&lt;br&gt;&lt;br&gt;&lt;font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40" s="1">
        <v>20</v>
      </c>
      <c r="AD40" s="1" t="s">
        <v>36</v>
      </c>
      <c r="AE40" s="1">
        <v>0</v>
      </c>
      <c r="AF40">
        <v>15</v>
      </c>
      <c r="AG40" s="1">
        <v>0</v>
      </c>
      <c r="AH40" s="1">
        <v>0</v>
      </c>
      <c r="AI40" s="1">
        <v>1</v>
      </c>
      <c r="AJ40" s="1"/>
      <c r="AK40" s="1"/>
      <c r="AL40" s="1">
        <v>0</v>
      </c>
      <c r="AM40" s="1">
        <v>0</v>
      </c>
      <c r="AN40" s="1">
        <v>0</v>
      </c>
      <c r="AO40" s="1">
        <v>1</v>
      </c>
    </row>
    <row r="41" spans="1:41">
      <c r="A41" s="2">
        <v>10208</v>
      </c>
      <c r="B41" s="1" t="s">
        <v>97</v>
      </c>
      <c r="C41" s="1" t="s">
        <v>37</v>
      </c>
      <c r="D41" s="1" t="s">
        <v>38</v>
      </c>
      <c r="E41" s="1">
        <v>1</v>
      </c>
      <c r="F41" s="1">
        <v>15</v>
      </c>
      <c r="G41" s="1">
        <v>0</v>
      </c>
      <c r="H41" s="1">
        <v>0</v>
      </c>
      <c r="I41" s="1">
        <v>99999</v>
      </c>
      <c r="J41" s="1">
        <v>3</v>
      </c>
      <c r="K41" s="1">
        <v>0</v>
      </c>
      <c r="L41" s="1">
        <v>2</v>
      </c>
      <c r="M41" s="1">
        <v>99</v>
      </c>
      <c r="N41" s="1"/>
      <c r="O41" s="1">
        <v>0</v>
      </c>
      <c r="P41" s="1">
        <v>0</v>
      </c>
      <c r="Q41" s="1"/>
      <c r="R41" s="1" t="s">
        <v>35</v>
      </c>
      <c r="S41" s="1">
        <v>800</v>
      </c>
      <c r="T41" s="1">
        <v>0</v>
      </c>
      <c r="U41" s="2">
        <v>1</v>
      </c>
      <c r="V41" s="1">
        <v>1</v>
      </c>
      <c r="W41" s="1">
        <v>1</v>
      </c>
      <c r="X41" s="1"/>
      <c r="Y41" t="s">
        <v>55</v>
      </c>
      <c r="Z41" s="1" t="s">
        <v>1370</v>
      </c>
      <c r="AA41" s="2" t="s">
        <v>275</v>
      </c>
      <c r="AB41" s="5" t="str">
        <f t="shared" si="0"/>
        <v>&lt;br&gt;&lt;font color='#43FF98'&gt;                          最大攻击+22&lt;br&gt;&lt;br&gt;&lt;font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41" s="1">
        <v>20</v>
      </c>
      <c r="AD41" s="1" t="s">
        <v>36</v>
      </c>
      <c r="AE41" s="1">
        <v>0</v>
      </c>
      <c r="AF41">
        <v>15</v>
      </c>
      <c r="AG41" s="1">
        <v>0</v>
      </c>
      <c r="AH41" s="1">
        <v>0</v>
      </c>
      <c r="AI41" s="1">
        <v>1</v>
      </c>
      <c r="AJ41" s="1"/>
      <c r="AK41" s="1"/>
      <c r="AL41" s="1">
        <v>0</v>
      </c>
      <c r="AM41" s="1">
        <v>0</v>
      </c>
      <c r="AN41" s="1">
        <v>0</v>
      </c>
      <c r="AO41" s="1">
        <v>1</v>
      </c>
    </row>
    <row r="42" spans="1:41">
      <c r="A42" s="2">
        <v>10209</v>
      </c>
      <c r="B42" s="1" t="s">
        <v>98</v>
      </c>
      <c r="C42" s="1" t="s">
        <v>37</v>
      </c>
      <c r="D42" s="1" t="s">
        <v>38</v>
      </c>
      <c r="E42" s="1">
        <v>1</v>
      </c>
      <c r="F42" s="1">
        <v>15</v>
      </c>
      <c r="G42" s="1">
        <v>0</v>
      </c>
      <c r="H42" s="1">
        <v>0</v>
      </c>
      <c r="I42" s="1">
        <v>99999</v>
      </c>
      <c r="J42" s="1">
        <v>3</v>
      </c>
      <c r="K42" s="1">
        <v>0</v>
      </c>
      <c r="L42" s="1">
        <v>2</v>
      </c>
      <c r="M42" s="1">
        <v>99</v>
      </c>
      <c r="N42" s="1"/>
      <c r="O42" s="1">
        <v>0</v>
      </c>
      <c r="P42" s="1">
        <v>0</v>
      </c>
      <c r="Q42" s="1"/>
      <c r="R42" s="1" t="s">
        <v>35</v>
      </c>
      <c r="S42" s="1">
        <v>1600</v>
      </c>
      <c r="T42" s="1">
        <v>0</v>
      </c>
      <c r="U42" s="2">
        <v>1</v>
      </c>
      <c r="V42" s="1">
        <v>1</v>
      </c>
      <c r="W42" s="1">
        <v>1</v>
      </c>
      <c r="X42" s="1"/>
      <c r="Y42" t="s">
        <v>55</v>
      </c>
      <c r="Z42" s="1" t="s">
        <v>1371</v>
      </c>
      <c r="AA42" s="2" t="s">
        <v>276</v>
      </c>
      <c r="AB42" s="5" t="str">
        <f t="shared" si="0"/>
        <v>&lt;br&gt;&lt;font color='#43FF98'&gt;                          最大攻击+28&lt;br&gt;&lt;br&gt;&lt;font color='#F2F2F2'&gt;封印强大灵魂能量的红色灵石，可镶入装备的红色插槽中提升装备属性&lt;br&gt;&lt;font color='#B2B2B2'&gt;            [按下&lt;font color='#FFa500'&gt;I&lt;font color='#B2B2B2'&gt;键打开灵魂镶嵌界面]</v>
      </c>
      <c r="AC42" s="1">
        <v>20</v>
      </c>
      <c r="AD42" s="1" t="s">
        <v>36</v>
      </c>
      <c r="AE42" s="1">
        <v>0</v>
      </c>
      <c r="AF42">
        <v>15</v>
      </c>
      <c r="AG42" s="1">
        <v>0</v>
      </c>
      <c r="AH42" s="1">
        <v>0</v>
      </c>
      <c r="AI42" s="1">
        <v>1</v>
      </c>
      <c r="AJ42" s="1"/>
      <c r="AK42" s="1"/>
      <c r="AL42" s="1">
        <v>0</v>
      </c>
      <c r="AM42" s="1">
        <v>0</v>
      </c>
      <c r="AN42" s="1">
        <v>0</v>
      </c>
      <c r="AO42" s="1">
        <v>1</v>
      </c>
    </row>
    <row r="43" spans="1:41">
      <c r="A43" s="2">
        <v>10210</v>
      </c>
      <c r="B43" s="1" t="s">
        <v>99</v>
      </c>
      <c r="C43" s="1" t="s">
        <v>37</v>
      </c>
      <c r="D43" s="1" t="s">
        <v>38</v>
      </c>
      <c r="E43" s="1">
        <v>1</v>
      </c>
      <c r="F43" s="1">
        <v>15</v>
      </c>
      <c r="G43" s="1">
        <v>0</v>
      </c>
      <c r="H43" s="1">
        <v>0</v>
      </c>
      <c r="I43" s="1">
        <v>99999</v>
      </c>
      <c r="J43" s="1">
        <v>0</v>
      </c>
      <c r="K43" s="1">
        <v>0</v>
      </c>
      <c r="L43" s="1">
        <v>2</v>
      </c>
      <c r="M43" s="1">
        <v>99</v>
      </c>
      <c r="N43" s="1"/>
      <c r="O43" s="1">
        <v>0</v>
      </c>
      <c r="P43" s="1">
        <v>0</v>
      </c>
      <c r="Q43" s="1"/>
      <c r="R43" s="1" t="s">
        <v>35</v>
      </c>
      <c r="S43" s="1">
        <v>100</v>
      </c>
      <c r="T43" s="1">
        <v>0</v>
      </c>
      <c r="U43" s="2">
        <v>1</v>
      </c>
      <c r="V43" s="1">
        <v>1</v>
      </c>
      <c r="W43" s="1">
        <v>1</v>
      </c>
      <c r="X43" s="1"/>
      <c r="Y43" t="s">
        <v>54</v>
      </c>
      <c r="Z43" s="1" t="s">
        <v>1372</v>
      </c>
      <c r="AA43" s="2" t="s">
        <v>277</v>
      </c>
      <c r="AB43" s="5" t="str">
        <f t="shared" si="0"/>
        <v>&lt;br&gt;&lt;font color='#43FF98'&gt;                          最小魔防+1&lt;br&gt;&lt;br&gt;&lt;font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43" s="1">
        <v>20</v>
      </c>
      <c r="AD43" s="1" t="s">
        <v>36</v>
      </c>
      <c r="AE43" s="1">
        <v>0</v>
      </c>
      <c r="AF43">
        <v>15</v>
      </c>
      <c r="AG43" s="1">
        <v>0</v>
      </c>
      <c r="AH43" s="1">
        <v>0</v>
      </c>
      <c r="AI43" s="1">
        <v>1</v>
      </c>
      <c r="AJ43" s="1"/>
      <c r="AK43" s="1"/>
      <c r="AL43" s="1">
        <v>0</v>
      </c>
      <c r="AM43" s="1">
        <v>0</v>
      </c>
      <c r="AN43" s="1">
        <v>0</v>
      </c>
    </row>
    <row r="44" spans="1:41">
      <c r="A44" s="2">
        <v>10211</v>
      </c>
      <c r="B44" s="1" t="s">
        <v>100</v>
      </c>
      <c r="C44" s="1" t="s">
        <v>37</v>
      </c>
      <c r="D44" s="1" t="s">
        <v>38</v>
      </c>
      <c r="E44" s="1">
        <v>1</v>
      </c>
      <c r="F44" s="1">
        <v>15</v>
      </c>
      <c r="G44" s="1">
        <v>0</v>
      </c>
      <c r="H44" s="1">
        <v>0</v>
      </c>
      <c r="I44" s="1">
        <v>99999</v>
      </c>
      <c r="J44" s="1">
        <v>1</v>
      </c>
      <c r="K44" s="1">
        <v>0</v>
      </c>
      <c r="L44" s="1">
        <v>2</v>
      </c>
      <c r="M44" s="1">
        <v>99</v>
      </c>
      <c r="N44" s="1"/>
      <c r="O44" s="1">
        <v>0</v>
      </c>
      <c r="P44" s="1">
        <v>0</v>
      </c>
      <c r="Q44" s="1"/>
      <c r="R44" s="1" t="s">
        <v>35</v>
      </c>
      <c r="S44" s="1">
        <v>200</v>
      </c>
      <c r="T44" s="1">
        <v>0</v>
      </c>
      <c r="U44" s="2">
        <v>1</v>
      </c>
      <c r="V44" s="1">
        <v>1</v>
      </c>
      <c r="W44" s="1">
        <v>1</v>
      </c>
      <c r="X44" s="1"/>
      <c r="Y44" t="s">
        <v>51</v>
      </c>
      <c r="Z44" s="1" t="s">
        <v>1373</v>
      </c>
      <c r="AA44" s="2" t="s">
        <v>278</v>
      </c>
      <c r="AB44" s="5" t="str">
        <f t="shared" si="0"/>
        <v>&lt;br&gt;&lt;font color='#43FF98'&gt;                          最小魔防+2&lt;br&gt;&lt;br&gt;&lt;font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44" s="1">
        <v>20</v>
      </c>
      <c r="AD44" s="1" t="s">
        <v>36</v>
      </c>
      <c r="AE44" s="1">
        <v>0</v>
      </c>
      <c r="AF44">
        <v>15</v>
      </c>
      <c r="AG44" s="1">
        <v>0</v>
      </c>
      <c r="AH44" s="1">
        <v>0</v>
      </c>
      <c r="AI44" s="1">
        <v>1</v>
      </c>
      <c r="AJ44" s="1"/>
      <c r="AK44" s="1"/>
      <c r="AL44" s="1">
        <v>0</v>
      </c>
      <c r="AM44" s="1">
        <v>0</v>
      </c>
      <c r="AN44" s="1">
        <v>0</v>
      </c>
    </row>
    <row r="45" spans="1:41">
      <c r="A45" s="2">
        <v>10212</v>
      </c>
      <c r="B45" s="1" t="s">
        <v>101</v>
      </c>
      <c r="C45" s="1" t="s">
        <v>37</v>
      </c>
      <c r="D45" s="1" t="s">
        <v>38</v>
      </c>
      <c r="E45" s="1">
        <v>1</v>
      </c>
      <c r="F45" s="1">
        <v>15</v>
      </c>
      <c r="G45" s="1">
        <v>0</v>
      </c>
      <c r="H45" s="1">
        <v>0</v>
      </c>
      <c r="I45" s="1">
        <v>99999</v>
      </c>
      <c r="J45" s="1">
        <v>1</v>
      </c>
      <c r="K45" s="1">
        <v>0</v>
      </c>
      <c r="L45" s="1">
        <v>2</v>
      </c>
      <c r="M45" s="1">
        <v>99</v>
      </c>
      <c r="N45" s="1"/>
      <c r="O45" s="1">
        <v>0</v>
      </c>
      <c r="P45" s="1">
        <v>0</v>
      </c>
      <c r="Q45" s="1"/>
      <c r="R45" s="1" t="s">
        <v>35</v>
      </c>
      <c r="S45" s="1">
        <v>400</v>
      </c>
      <c r="T45" s="1">
        <v>0</v>
      </c>
      <c r="U45" s="2">
        <v>1</v>
      </c>
      <c r="V45" s="1">
        <v>1</v>
      </c>
      <c r="W45" s="1">
        <v>1</v>
      </c>
      <c r="X45" s="1"/>
      <c r="Y45" t="s">
        <v>52</v>
      </c>
      <c r="Z45" s="1" t="s">
        <v>1374</v>
      </c>
      <c r="AA45" s="2" t="s">
        <v>279</v>
      </c>
      <c r="AB45" s="5" t="str">
        <f t="shared" si="0"/>
        <v>&lt;br&gt;&lt;font color='#43FF98'&gt;                          最小魔防+3&lt;br&gt;&lt;br&gt;&lt;font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45" s="1">
        <v>20</v>
      </c>
      <c r="AD45" s="1" t="s">
        <v>36</v>
      </c>
      <c r="AE45" s="1">
        <v>0</v>
      </c>
      <c r="AF45">
        <v>15</v>
      </c>
      <c r="AG45" s="1">
        <v>0</v>
      </c>
      <c r="AH45" s="1">
        <v>0</v>
      </c>
      <c r="AI45" s="1">
        <v>1</v>
      </c>
      <c r="AJ45" s="1"/>
      <c r="AK45" s="1"/>
      <c r="AL45" s="1">
        <v>0</v>
      </c>
      <c r="AM45" s="1">
        <v>0</v>
      </c>
      <c r="AN45" s="1">
        <v>0</v>
      </c>
    </row>
    <row r="46" spans="1:41">
      <c r="A46" s="2">
        <v>10213</v>
      </c>
      <c r="B46" s="1" t="s">
        <v>102</v>
      </c>
      <c r="C46" s="1" t="s">
        <v>37</v>
      </c>
      <c r="D46" s="1" t="s">
        <v>38</v>
      </c>
      <c r="E46" s="1">
        <v>1</v>
      </c>
      <c r="F46" s="1">
        <v>15</v>
      </c>
      <c r="G46" s="1">
        <v>0</v>
      </c>
      <c r="H46" s="1">
        <v>0</v>
      </c>
      <c r="I46" s="1">
        <v>99999</v>
      </c>
      <c r="J46" s="1">
        <v>1</v>
      </c>
      <c r="K46" s="1">
        <v>0</v>
      </c>
      <c r="L46" s="1">
        <v>2</v>
      </c>
      <c r="M46" s="1">
        <v>99</v>
      </c>
      <c r="N46" s="1"/>
      <c r="O46" s="1">
        <v>0</v>
      </c>
      <c r="P46" s="1">
        <v>0</v>
      </c>
      <c r="Q46" s="1"/>
      <c r="R46" s="1" t="s">
        <v>35</v>
      </c>
      <c r="S46" s="1">
        <v>800</v>
      </c>
      <c r="T46" s="1">
        <v>0</v>
      </c>
      <c r="U46" s="2">
        <v>1</v>
      </c>
      <c r="V46" s="1">
        <v>1</v>
      </c>
      <c r="W46" s="1">
        <v>1</v>
      </c>
      <c r="X46" s="1"/>
      <c r="Y46" t="s">
        <v>53</v>
      </c>
      <c r="Z46" s="1" t="s">
        <v>1375</v>
      </c>
      <c r="AA46" s="2" t="s">
        <v>280</v>
      </c>
      <c r="AB46" s="5" t="str">
        <f t="shared" si="0"/>
        <v>&lt;br&gt;&lt;font color='#43FF98'&gt;                          最小魔防+5&lt;br&gt;&lt;br&gt;&lt;font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46" s="1">
        <v>20</v>
      </c>
      <c r="AD46" s="1" t="s">
        <v>36</v>
      </c>
      <c r="AE46" s="1">
        <v>0</v>
      </c>
      <c r="AF46">
        <v>15</v>
      </c>
      <c r="AG46" s="1">
        <v>0</v>
      </c>
      <c r="AH46" s="1">
        <v>0</v>
      </c>
      <c r="AI46" s="1">
        <v>1</v>
      </c>
      <c r="AJ46" s="1"/>
      <c r="AK46" s="1"/>
      <c r="AL46" s="1">
        <v>0</v>
      </c>
      <c r="AM46" s="1">
        <v>0</v>
      </c>
      <c r="AN46" s="1">
        <v>0</v>
      </c>
      <c r="AO46" s="1">
        <v>1</v>
      </c>
    </row>
    <row r="47" spans="1:41">
      <c r="A47" s="2">
        <v>10214</v>
      </c>
      <c r="B47" s="1" t="s">
        <v>103</v>
      </c>
      <c r="C47" s="1" t="s">
        <v>37</v>
      </c>
      <c r="D47" s="1" t="s">
        <v>38</v>
      </c>
      <c r="E47" s="1">
        <v>1</v>
      </c>
      <c r="F47" s="1">
        <v>15</v>
      </c>
      <c r="G47" s="1">
        <v>0</v>
      </c>
      <c r="H47" s="1">
        <v>0</v>
      </c>
      <c r="I47" s="1">
        <v>99999</v>
      </c>
      <c r="J47" s="1">
        <v>2</v>
      </c>
      <c r="K47" s="1">
        <v>0</v>
      </c>
      <c r="L47" s="1">
        <v>2</v>
      </c>
      <c r="M47" s="1">
        <v>99</v>
      </c>
      <c r="N47" s="1"/>
      <c r="O47" s="1">
        <v>0</v>
      </c>
      <c r="P47" s="1">
        <v>0</v>
      </c>
      <c r="Q47" s="1"/>
      <c r="R47" s="1" t="s">
        <v>35</v>
      </c>
      <c r="S47" s="1">
        <v>1600</v>
      </c>
      <c r="T47" s="1">
        <v>0</v>
      </c>
      <c r="U47" s="2">
        <v>1</v>
      </c>
      <c r="V47" s="1">
        <v>1</v>
      </c>
      <c r="W47" s="1">
        <v>1</v>
      </c>
      <c r="X47" s="1"/>
      <c r="Y47" t="s">
        <v>55</v>
      </c>
      <c r="Z47" s="1" t="s">
        <v>1376</v>
      </c>
      <c r="AA47" s="2" t="s">
        <v>281</v>
      </c>
      <c r="AB47" s="5" t="str">
        <f t="shared" si="0"/>
        <v>&lt;br&gt;&lt;font color='#43FF98'&gt;                          最小魔防+7&lt;br&gt;&lt;br&gt;&lt;font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47" s="1">
        <v>20</v>
      </c>
      <c r="AD47" s="1" t="s">
        <v>36</v>
      </c>
      <c r="AE47" s="1">
        <v>0</v>
      </c>
      <c r="AF47">
        <v>15</v>
      </c>
      <c r="AG47" s="1">
        <v>0</v>
      </c>
      <c r="AH47" s="1">
        <v>0</v>
      </c>
      <c r="AI47" s="1">
        <v>1</v>
      </c>
      <c r="AJ47" s="1"/>
      <c r="AK47" s="1"/>
      <c r="AL47" s="1">
        <v>0</v>
      </c>
      <c r="AM47" s="1">
        <v>0</v>
      </c>
      <c r="AN47" s="1">
        <v>0</v>
      </c>
      <c r="AO47" s="1">
        <v>1</v>
      </c>
    </row>
    <row r="48" spans="1:41">
      <c r="A48" s="2">
        <v>10215</v>
      </c>
      <c r="B48" s="1" t="s">
        <v>104</v>
      </c>
      <c r="C48" s="1" t="s">
        <v>37</v>
      </c>
      <c r="D48" s="1" t="s">
        <v>38</v>
      </c>
      <c r="E48" s="1">
        <v>1</v>
      </c>
      <c r="F48" s="1">
        <v>15</v>
      </c>
      <c r="G48" s="1">
        <v>0</v>
      </c>
      <c r="H48" s="1">
        <v>0</v>
      </c>
      <c r="I48" s="1">
        <v>99999</v>
      </c>
      <c r="J48" s="1">
        <v>2</v>
      </c>
      <c r="K48" s="1">
        <v>0</v>
      </c>
      <c r="L48" s="1">
        <v>2</v>
      </c>
      <c r="M48" s="1">
        <v>99</v>
      </c>
      <c r="N48" s="1"/>
      <c r="O48" s="1">
        <v>0</v>
      </c>
      <c r="P48" s="1">
        <v>0</v>
      </c>
      <c r="Q48" s="1"/>
      <c r="R48" s="1" t="s">
        <v>35</v>
      </c>
      <c r="S48" s="1">
        <v>100</v>
      </c>
      <c r="T48" s="1">
        <v>0</v>
      </c>
      <c r="U48" s="2">
        <v>1</v>
      </c>
      <c r="V48" s="1">
        <v>1</v>
      </c>
      <c r="W48" s="1">
        <v>1</v>
      </c>
      <c r="X48" s="1"/>
      <c r="Y48" t="s">
        <v>55</v>
      </c>
      <c r="Z48" s="1" t="s">
        <v>1377</v>
      </c>
      <c r="AA48" s="2" t="s">
        <v>282</v>
      </c>
      <c r="AB48" s="5" t="str">
        <f t="shared" si="0"/>
        <v>&lt;br&gt;&lt;font color='#43FF98'&gt;                          最小魔防+10&lt;br&gt;&lt;br&gt;&lt;font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48" s="1">
        <v>20</v>
      </c>
      <c r="AD48" s="1" t="s">
        <v>36</v>
      </c>
      <c r="AE48" s="1">
        <v>0</v>
      </c>
      <c r="AF48">
        <v>15</v>
      </c>
      <c r="AG48" s="1">
        <v>0</v>
      </c>
      <c r="AH48" s="1">
        <v>0</v>
      </c>
      <c r="AI48" s="1">
        <v>1</v>
      </c>
      <c r="AJ48" s="1"/>
      <c r="AK48" s="1"/>
      <c r="AL48" s="1">
        <v>0</v>
      </c>
      <c r="AM48" s="1">
        <v>0</v>
      </c>
      <c r="AN48" s="1">
        <v>0</v>
      </c>
      <c r="AO48" s="1">
        <v>1</v>
      </c>
    </row>
    <row r="49" spans="1:41">
      <c r="A49" s="2">
        <v>10216</v>
      </c>
      <c r="B49" s="1" t="s">
        <v>105</v>
      </c>
      <c r="C49" s="1" t="s">
        <v>37</v>
      </c>
      <c r="D49" s="1" t="s">
        <v>38</v>
      </c>
      <c r="E49" s="1">
        <v>1</v>
      </c>
      <c r="F49" s="1">
        <v>15</v>
      </c>
      <c r="G49" s="1">
        <v>0</v>
      </c>
      <c r="H49" s="1">
        <v>0</v>
      </c>
      <c r="I49" s="1">
        <v>99999</v>
      </c>
      <c r="J49" s="1">
        <v>2</v>
      </c>
      <c r="K49" s="1">
        <v>0</v>
      </c>
      <c r="L49" s="1">
        <v>2</v>
      </c>
      <c r="M49" s="1">
        <v>99</v>
      </c>
      <c r="N49" s="1"/>
      <c r="O49" s="1">
        <v>0</v>
      </c>
      <c r="P49" s="1">
        <v>0</v>
      </c>
      <c r="Q49" s="1"/>
      <c r="R49" s="1" t="s">
        <v>35</v>
      </c>
      <c r="S49" s="1">
        <v>200</v>
      </c>
      <c r="T49" s="1">
        <v>0</v>
      </c>
      <c r="U49" s="2">
        <v>1</v>
      </c>
      <c r="V49" s="1">
        <v>1</v>
      </c>
      <c r="W49" s="1">
        <v>1</v>
      </c>
      <c r="X49" s="1"/>
      <c r="Y49" t="s">
        <v>55</v>
      </c>
      <c r="Z49" s="1" t="s">
        <v>1378</v>
      </c>
      <c r="AA49" s="2" t="s">
        <v>283</v>
      </c>
      <c r="AB49" s="5" t="str">
        <f t="shared" si="0"/>
        <v>&lt;br&gt;&lt;font color='#43FF98'&gt;                          最小魔防+13&lt;br&gt;&lt;br&gt;&lt;font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49" s="1">
        <v>20</v>
      </c>
      <c r="AD49" s="1" t="s">
        <v>36</v>
      </c>
      <c r="AE49" s="1">
        <v>0</v>
      </c>
      <c r="AF49">
        <v>15</v>
      </c>
      <c r="AG49" s="1">
        <v>0</v>
      </c>
      <c r="AH49" s="1">
        <v>0</v>
      </c>
      <c r="AI49" s="1">
        <v>1</v>
      </c>
      <c r="AJ49" s="1"/>
      <c r="AK49" s="1"/>
      <c r="AL49" s="1">
        <v>0</v>
      </c>
      <c r="AM49" s="1">
        <v>0</v>
      </c>
      <c r="AN49" s="1">
        <v>0</v>
      </c>
      <c r="AO49" s="1">
        <v>1</v>
      </c>
    </row>
    <row r="50" spans="1:41">
      <c r="A50" s="2">
        <v>10217</v>
      </c>
      <c r="B50" s="1" t="s">
        <v>106</v>
      </c>
      <c r="C50" s="1" t="s">
        <v>37</v>
      </c>
      <c r="D50" s="1" t="s">
        <v>38</v>
      </c>
      <c r="E50" s="1">
        <v>1</v>
      </c>
      <c r="F50" s="1">
        <v>15</v>
      </c>
      <c r="G50" s="1">
        <v>0</v>
      </c>
      <c r="H50" s="1">
        <v>0</v>
      </c>
      <c r="I50" s="1">
        <v>99999</v>
      </c>
      <c r="J50" s="1">
        <v>3</v>
      </c>
      <c r="K50" s="1">
        <v>0</v>
      </c>
      <c r="L50" s="1">
        <v>2</v>
      </c>
      <c r="M50" s="1">
        <v>99</v>
      </c>
      <c r="N50" s="1"/>
      <c r="O50" s="1">
        <v>0</v>
      </c>
      <c r="P50" s="1">
        <v>0</v>
      </c>
      <c r="Q50" s="1"/>
      <c r="R50" s="1" t="s">
        <v>35</v>
      </c>
      <c r="S50" s="1">
        <v>400</v>
      </c>
      <c r="T50" s="1">
        <v>0</v>
      </c>
      <c r="U50" s="2">
        <v>1</v>
      </c>
      <c r="V50" s="1">
        <v>1</v>
      </c>
      <c r="W50" s="1">
        <v>1</v>
      </c>
      <c r="X50" s="1"/>
      <c r="Y50" t="s">
        <v>55</v>
      </c>
      <c r="Z50" s="1" t="s">
        <v>1379</v>
      </c>
      <c r="AA50" s="2" t="s">
        <v>284</v>
      </c>
      <c r="AB50" s="5" t="str">
        <f t="shared" si="0"/>
        <v>&lt;br&gt;&lt;font color='#43FF98'&gt;                          最小魔防+17&lt;br&gt;&lt;br&gt;&lt;font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50" s="1">
        <v>20</v>
      </c>
      <c r="AD50" s="1" t="s">
        <v>36</v>
      </c>
      <c r="AE50" s="1">
        <v>0</v>
      </c>
      <c r="AF50">
        <v>15</v>
      </c>
      <c r="AG50" s="1">
        <v>0</v>
      </c>
      <c r="AH50" s="1">
        <v>0</v>
      </c>
      <c r="AI50" s="1">
        <v>1</v>
      </c>
      <c r="AJ50" s="1"/>
      <c r="AK50" s="1"/>
      <c r="AL50" s="1">
        <v>0</v>
      </c>
      <c r="AM50" s="1">
        <v>0</v>
      </c>
      <c r="AN50" s="1">
        <v>0</v>
      </c>
      <c r="AO50" s="1">
        <v>1</v>
      </c>
    </row>
    <row r="51" spans="1:41">
      <c r="A51" s="2">
        <v>10218</v>
      </c>
      <c r="B51" s="1" t="s">
        <v>107</v>
      </c>
      <c r="C51" s="1" t="s">
        <v>37</v>
      </c>
      <c r="D51" s="1" t="s">
        <v>38</v>
      </c>
      <c r="E51" s="1">
        <v>1</v>
      </c>
      <c r="F51" s="1">
        <v>15</v>
      </c>
      <c r="G51" s="1">
        <v>0</v>
      </c>
      <c r="H51" s="1">
        <v>0</v>
      </c>
      <c r="I51" s="1">
        <v>99999</v>
      </c>
      <c r="J51" s="1">
        <v>3</v>
      </c>
      <c r="K51" s="1">
        <v>0</v>
      </c>
      <c r="L51" s="1">
        <v>2</v>
      </c>
      <c r="M51" s="1">
        <v>99</v>
      </c>
      <c r="N51" s="1"/>
      <c r="O51" s="1">
        <v>0</v>
      </c>
      <c r="P51" s="1">
        <v>0</v>
      </c>
      <c r="Q51" s="1"/>
      <c r="R51" s="1" t="s">
        <v>35</v>
      </c>
      <c r="S51" s="1">
        <v>800</v>
      </c>
      <c r="T51" s="1">
        <v>0</v>
      </c>
      <c r="U51" s="2">
        <v>1</v>
      </c>
      <c r="V51" s="1">
        <v>1</v>
      </c>
      <c r="W51" s="1">
        <v>1</v>
      </c>
      <c r="X51" s="1"/>
      <c r="Y51" t="s">
        <v>55</v>
      </c>
      <c r="Z51" s="1" t="s">
        <v>1380</v>
      </c>
      <c r="AA51" s="2" t="s">
        <v>285</v>
      </c>
      <c r="AB51" s="5" t="str">
        <f t="shared" si="0"/>
        <v>&lt;br&gt;&lt;font color='#43FF98'&gt;                          最小魔防+22&lt;br&gt;&lt;br&gt;&lt;font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51" s="1">
        <v>20</v>
      </c>
      <c r="AD51" s="1" t="s">
        <v>36</v>
      </c>
      <c r="AE51" s="1">
        <v>0</v>
      </c>
      <c r="AF51">
        <v>15</v>
      </c>
      <c r="AG51" s="1">
        <v>0</v>
      </c>
      <c r="AH51" s="1">
        <v>0</v>
      </c>
      <c r="AI51" s="1">
        <v>1</v>
      </c>
      <c r="AJ51" s="1"/>
      <c r="AK51" s="1"/>
      <c r="AL51" s="1">
        <v>0</v>
      </c>
      <c r="AM51" s="1">
        <v>0</v>
      </c>
      <c r="AN51" s="1">
        <v>0</v>
      </c>
      <c r="AO51" s="1">
        <v>1</v>
      </c>
    </row>
    <row r="52" spans="1:41">
      <c r="A52" s="2">
        <v>10219</v>
      </c>
      <c r="B52" s="1" t="s">
        <v>108</v>
      </c>
      <c r="C52" s="1" t="s">
        <v>37</v>
      </c>
      <c r="D52" s="1" t="s">
        <v>38</v>
      </c>
      <c r="E52" s="1">
        <v>1</v>
      </c>
      <c r="F52" s="1">
        <v>15</v>
      </c>
      <c r="G52" s="1">
        <v>0</v>
      </c>
      <c r="H52" s="1">
        <v>0</v>
      </c>
      <c r="I52" s="1">
        <v>99999</v>
      </c>
      <c r="J52" s="1">
        <v>3</v>
      </c>
      <c r="K52" s="1">
        <v>0</v>
      </c>
      <c r="L52" s="1">
        <v>2</v>
      </c>
      <c r="M52" s="1">
        <v>99</v>
      </c>
      <c r="N52" s="1"/>
      <c r="O52" s="1">
        <v>0</v>
      </c>
      <c r="P52" s="1">
        <v>0</v>
      </c>
      <c r="Q52" s="1"/>
      <c r="R52" s="1" t="s">
        <v>35</v>
      </c>
      <c r="S52" s="1">
        <v>1600</v>
      </c>
      <c r="T52" s="1">
        <v>0</v>
      </c>
      <c r="U52" s="2">
        <v>1</v>
      </c>
      <c r="V52" s="1">
        <v>1</v>
      </c>
      <c r="W52" s="1">
        <v>1</v>
      </c>
      <c r="X52" s="1"/>
      <c r="Y52" t="s">
        <v>55</v>
      </c>
      <c r="Z52" s="1" t="s">
        <v>1381</v>
      </c>
      <c r="AA52" s="2" t="s">
        <v>286</v>
      </c>
      <c r="AB52" s="5" t="str">
        <f t="shared" si="0"/>
        <v>&lt;br&gt;&lt;font color='#43FF98'&gt;                          最小魔防+28&lt;br&gt;&lt;br&gt;&lt;font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52" s="1">
        <v>20</v>
      </c>
      <c r="AD52" s="1" t="s">
        <v>36</v>
      </c>
      <c r="AE52" s="1">
        <v>0</v>
      </c>
      <c r="AF52">
        <v>15</v>
      </c>
      <c r="AG52" s="1">
        <v>0</v>
      </c>
      <c r="AH52" s="1">
        <v>0</v>
      </c>
      <c r="AI52" s="1">
        <v>1</v>
      </c>
      <c r="AJ52" s="1"/>
      <c r="AK52" s="1"/>
      <c r="AL52" s="1">
        <v>0</v>
      </c>
      <c r="AM52" s="1">
        <v>0</v>
      </c>
      <c r="AN52" s="1">
        <v>0</v>
      </c>
      <c r="AO52" s="1">
        <v>1</v>
      </c>
    </row>
    <row r="53" spans="1:41">
      <c r="A53" s="2">
        <v>10220</v>
      </c>
      <c r="B53" s="1" t="s">
        <v>109</v>
      </c>
      <c r="C53" s="1" t="s">
        <v>37</v>
      </c>
      <c r="D53" s="1" t="s">
        <v>38</v>
      </c>
      <c r="E53" s="1">
        <v>1</v>
      </c>
      <c r="F53" s="1">
        <v>15</v>
      </c>
      <c r="G53" s="1">
        <v>0</v>
      </c>
      <c r="H53" s="1">
        <v>0</v>
      </c>
      <c r="I53" s="1">
        <v>99999</v>
      </c>
      <c r="J53" s="1">
        <v>0</v>
      </c>
      <c r="K53" s="1">
        <v>0</v>
      </c>
      <c r="L53" s="1">
        <v>2</v>
      </c>
      <c r="M53" s="1">
        <v>99</v>
      </c>
      <c r="N53" s="1"/>
      <c r="O53" s="1">
        <v>0</v>
      </c>
      <c r="P53" s="1">
        <v>0</v>
      </c>
      <c r="Q53" s="1"/>
      <c r="R53" s="1" t="s">
        <v>35</v>
      </c>
      <c r="S53" s="1">
        <v>100</v>
      </c>
      <c r="T53" s="1">
        <v>0</v>
      </c>
      <c r="U53" s="2">
        <v>1</v>
      </c>
      <c r="V53" s="1">
        <v>1</v>
      </c>
      <c r="W53" s="1">
        <v>1</v>
      </c>
      <c r="X53" s="1"/>
      <c r="Y53" t="s">
        <v>54</v>
      </c>
      <c r="Z53" s="1" t="s">
        <v>1382</v>
      </c>
      <c r="AA53" s="2" t="s">
        <v>356</v>
      </c>
      <c r="AB53" s="5" t="str">
        <f t="shared" si="0"/>
        <v>&lt;br&gt;&lt;font color='#43FF98'&gt;                          最小防御+1&lt;br&gt;&lt;br&gt;&lt;font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53" s="1">
        <v>20</v>
      </c>
      <c r="AD53" s="1" t="s">
        <v>36</v>
      </c>
      <c r="AE53" s="1">
        <v>0</v>
      </c>
      <c r="AF53">
        <v>15</v>
      </c>
      <c r="AG53" s="1">
        <v>0</v>
      </c>
      <c r="AH53" s="1">
        <v>0</v>
      </c>
      <c r="AI53" s="1">
        <v>1</v>
      </c>
      <c r="AJ53" s="1"/>
      <c r="AK53" s="1"/>
      <c r="AL53" s="1">
        <v>0</v>
      </c>
      <c r="AM53" s="1">
        <v>0</v>
      </c>
      <c r="AN53" s="1">
        <v>0</v>
      </c>
    </row>
    <row r="54" spans="1:41">
      <c r="A54" s="2">
        <v>10221</v>
      </c>
      <c r="B54" s="1" t="s">
        <v>110</v>
      </c>
      <c r="C54" s="1" t="s">
        <v>37</v>
      </c>
      <c r="D54" s="1" t="s">
        <v>38</v>
      </c>
      <c r="E54" s="1">
        <v>1</v>
      </c>
      <c r="F54" s="1">
        <v>15</v>
      </c>
      <c r="G54" s="1">
        <v>0</v>
      </c>
      <c r="H54" s="1">
        <v>0</v>
      </c>
      <c r="I54" s="1">
        <v>99999</v>
      </c>
      <c r="J54" s="1">
        <v>1</v>
      </c>
      <c r="K54" s="1">
        <v>0</v>
      </c>
      <c r="L54" s="1">
        <v>2</v>
      </c>
      <c r="M54" s="1">
        <v>99</v>
      </c>
      <c r="N54" s="1"/>
      <c r="O54" s="1">
        <v>0</v>
      </c>
      <c r="P54" s="1">
        <v>0</v>
      </c>
      <c r="Q54" s="1"/>
      <c r="R54" s="1" t="s">
        <v>35</v>
      </c>
      <c r="S54" s="1">
        <v>200</v>
      </c>
      <c r="T54" s="1">
        <v>0</v>
      </c>
      <c r="U54" s="2">
        <v>1</v>
      </c>
      <c r="V54" s="1">
        <v>1</v>
      </c>
      <c r="W54" s="1">
        <v>1</v>
      </c>
      <c r="X54" s="1"/>
      <c r="Y54" t="s">
        <v>51</v>
      </c>
      <c r="Z54" s="1" t="s">
        <v>1383</v>
      </c>
      <c r="AA54" s="2" t="s">
        <v>287</v>
      </c>
      <c r="AB54" s="5" t="str">
        <f t="shared" si="0"/>
        <v>&lt;br&gt;&lt;font color='#43FF98'&gt;                          最小防御+2&lt;br&gt;&lt;br&gt;&lt;font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54" s="1">
        <v>20</v>
      </c>
      <c r="AD54" s="1" t="s">
        <v>36</v>
      </c>
      <c r="AE54" s="1">
        <v>0</v>
      </c>
      <c r="AF54">
        <v>15</v>
      </c>
      <c r="AG54" s="1">
        <v>0</v>
      </c>
      <c r="AH54" s="1">
        <v>0</v>
      </c>
      <c r="AI54" s="1">
        <v>1</v>
      </c>
      <c r="AJ54" s="1"/>
      <c r="AK54" s="1"/>
      <c r="AL54" s="1">
        <v>0</v>
      </c>
      <c r="AM54" s="1">
        <v>0</v>
      </c>
      <c r="AN54" s="1">
        <v>0</v>
      </c>
    </row>
    <row r="55" spans="1:41">
      <c r="A55" s="2">
        <v>10222</v>
      </c>
      <c r="B55" s="1" t="s">
        <v>111</v>
      </c>
      <c r="C55" s="1" t="s">
        <v>37</v>
      </c>
      <c r="D55" s="1" t="s">
        <v>38</v>
      </c>
      <c r="E55" s="1">
        <v>1</v>
      </c>
      <c r="F55" s="1">
        <v>15</v>
      </c>
      <c r="G55" s="1">
        <v>0</v>
      </c>
      <c r="H55" s="1">
        <v>0</v>
      </c>
      <c r="I55" s="1">
        <v>99999</v>
      </c>
      <c r="J55" s="1">
        <v>1</v>
      </c>
      <c r="K55" s="1">
        <v>0</v>
      </c>
      <c r="L55" s="1">
        <v>2</v>
      </c>
      <c r="M55" s="1">
        <v>99</v>
      </c>
      <c r="N55" s="1"/>
      <c r="O55" s="1">
        <v>0</v>
      </c>
      <c r="P55" s="1">
        <v>0</v>
      </c>
      <c r="Q55" s="1"/>
      <c r="R55" s="1" t="s">
        <v>35</v>
      </c>
      <c r="S55" s="1">
        <v>400</v>
      </c>
      <c r="T55" s="1">
        <v>0</v>
      </c>
      <c r="U55" s="2">
        <v>1</v>
      </c>
      <c r="V55" s="1">
        <v>1</v>
      </c>
      <c r="W55" s="1">
        <v>1</v>
      </c>
      <c r="X55" s="1"/>
      <c r="Y55" t="s">
        <v>52</v>
      </c>
      <c r="Z55" s="1" t="s">
        <v>1384</v>
      </c>
      <c r="AA55" s="2" t="s">
        <v>357</v>
      </c>
      <c r="AB55" s="5" t="str">
        <f t="shared" si="0"/>
        <v>&lt;br&gt;&lt;font color='#43FF98'&gt;                          最小防御+3&lt;br&gt;&lt;br&gt;&lt;font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55" s="1">
        <v>20</v>
      </c>
      <c r="AD55" s="1" t="s">
        <v>36</v>
      </c>
      <c r="AE55" s="1">
        <v>0</v>
      </c>
      <c r="AF55">
        <v>15</v>
      </c>
      <c r="AG55" s="1">
        <v>0</v>
      </c>
      <c r="AH55" s="1">
        <v>0</v>
      </c>
      <c r="AI55" s="1">
        <v>1</v>
      </c>
      <c r="AJ55" s="1"/>
      <c r="AK55" s="1"/>
      <c r="AL55" s="1">
        <v>0</v>
      </c>
      <c r="AM55" s="1">
        <v>0</v>
      </c>
      <c r="AN55" s="1">
        <v>0</v>
      </c>
    </row>
    <row r="56" spans="1:41">
      <c r="A56" s="2">
        <v>10223</v>
      </c>
      <c r="B56" s="1" t="s">
        <v>112</v>
      </c>
      <c r="C56" s="1" t="s">
        <v>37</v>
      </c>
      <c r="D56" s="1" t="s">
        <v>38</v>
      </c>
      <c r="E56" s="1">
        <v>1</v>
      </c>
      <c r="F56" s="1">
        <v>15</v>
      </c>
      <c r="G56" s="1">
        <v>0</v>
      </c>
      <c r="H56" s="1">
        <v>0</v>
      </c>
      <c r="I56" s="1">
        <v>99999</v>
      </c>
      <c r="J56" s="1">
        <v>1</v>
      </c>
      <c r="K56" s="1">
        <v>0</v>
      </c>
      <c r="L56" s="1">
        <v>2</v>
      </c>
      <c r="M56" s="1">
        <v>99</v>
      </c>
      <c r="N56" s="1"/>
      <c r="O56" s="1">
        <v>0</v>
      </c>
      <c r="P56" s="1">
        <v>0</v>
      </c>
      <c r="Q56" s="1"/>
      <c r="R56" s="1" t="s">
        <v>35</v>
      </c>
      <c r="S56" s="1">
        <v>800</v>
      </c>
      <c r="T56" s="1">
        <v>0</v>
      </c>
      <c r="U56" s="2">
        <v>1</v>
      </c>
      <c r="V56" s="1">
        <v>1</v>
      </c>
      <c r="W56" s="1">
        <v>1</v>
      </c>
      <c r="X56" s="1"/>
      <c r="Y56" t="s">
        <v>53</v>
      </c>
      <c r="Z56" s="1" t="s">
        <v>1385</v>
      </c>
      <c r="AA56" s="2" t="s">
        <v>288</v>
      </c>
      <c r="AB56" s="5" t="str">
        <f t="shared" si="0"/>
        <v>&lt;br&gt;&lt;font color='#43FF98'&gt;                          最小防御+5&lt;br&gt;&lt;br&gt;&lt;font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56" s="1">
        <v>20</v>
      </c>
      <c r="AD56" s="1" t="s">
        <v>36</v>
      </c>
      <c r="AE56" s="1">
        <v>0</v>
      </c>
      <c r="AF56">
        <v>15</v>
      </c>
      <c r="AG56" s="1">
        <v>0</v>
      </c>
      <c r="AH56" s="1">
        <v>0</v>
      </c>
      <c r="AI56" s="1">
        <v>1</v>
      </c>
      <c r="AJ56" s="1"/>
      <c r="AK56" s="1"/>
      <c r="AL56" s="1">
        <v>0</v>
      </c>
      <c r="AM56" s="1">
        <v>0</v>
      </c>
      <c r="AN56" s="1">
        <v>0</v>
      </c>
      <c r="AO56" s="1">
        <v>1</v>
      </c>
    </row>
    <row r="57" spans="1:41">
      <c r="A57" s="2">
        <v>10224</v>
      </c>
      <c r="B57" s="1" t="s">
        <v>113</v>
      </c>
      <c r="C57" s="1" t="s">
        <v>37</v>
      </c>
      <c r="D57" s="1" t="s">
        <v>38</v>
      </c>
      <c r="E57" s="1">
        <v>1</v>
      </c>
      <c r="F57" s="1">
        <v>15</v>
      </c>
      <c r="G57" s="1">
        <v>0</v>
      </c>
      <c r="H57" s="1">
        <v>0</v>
      </c>
      <c r="I57" s="1">
        <v>99999</v>
      </c>
      <c r="J57" s="1">
        <v>2</v>
      </c>
      <c r="K57" s="1">
        <v>0</v>
      </c>
      <c r="L57" s="1">
        <v>2</v>
      </c>
      <c r="M57" s="1">
        <v>99</v>
      </c>
      <c r="N57" s="1"/>
      <c r="O57" s="1">
        <v>0</v>
      </c>
      <c r="P57" s="1">
        <v>0</v>
      </c>
      <c r="Q57" s="1"/>
      <c r="R57" s="1" t="s">
        <v>35</v>
      </c>
      <c r="S57" s="1">
        <v>1600</v>
      </c>
      <c r="T57" s="1">
        <v>0</v>
      </c>
      <c r="U57" s="2">
        <v>1</v>
      </c>
      <c r="V57" s="1">
        <v>1</v>
      </c>
      <c r="W57" s="1">
        <v>1</v>
      </c>
      <c r="X57" s="1"/>
      <c r="Y57" t="s">
        <v>55</v>
      </c>
      <c r="Z57" s="1" t="s">
        <v>1386</v>
      </c>
      <c r="AA57" s="2" t="s">
        <v>358</v>
      </c>
      <c r="AB57" s="5" t="str">
        <f t="shared" si="0"/>
        <v>&lt;br&gt;&lt;font color='#43FF98'&gt;                          最小防御+7&lt;br&gt;&lt;br&gt;&lt;font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57" s="1">
        <v>20</v>
      </c>
      <c r="AD57" s="1" t="s">
        <v>36</v>
      </c>
      <c r="AE57" s="1">
        <v>0</v>
      </c>
      <c r="AF57">
        <v>15</v>
      </c>
      <c r="AG57" s="1">
        <v>0</v>
      </c>
      <c r="AH57" s="1">
        <v>0</v>
      </c>
      <c r="AI57" s="1">
        <v>1</v>
      </c>
      <c r="AJ57" s="1"/>
      <c r="AK57" s="1"/>
      <c r="AL57" s="1">
        <v>0</v>
      </c>
      <c r="AM57" s="1">
        <v>0</v>
      </c>
      <c r="AN57" s="1">
        <v>0</v>
      </c>
      <c r="AO57" s="1">
        <v>1</v>
      </c>
    </row>
    <row r="58" spans="1:41">
      <c r="A58" s="2">
        <v>10225</v>
      </c>
      <c r="B58" s="1" t="s">
        <v>114</v>
      </c>
      <c r="C58" s="1" t="s">
        <v>37</v>
      </c>
      <c r="D58" s="1" t="s">
        <v>38</v>
      </c>
      <c r="E58" s="1">
        <v>1</v>
      </c>
      <c r="F58" s="1">
        <v>15</v>
      </c>
      <c r="G58" s="1">
        <v>0</v>
      </c>
      <c r="H58" s="1">
        <v>0</v>
      </c>
      <c r="I58" s="1">
        <v>99999</v>
      </c>
      <c r="J58" s="1">
        <v>2</v>
      </c>
      <c r="K58" s="1">
        <v>0</v>
      </c>
      <c r="L58" s="1">
        <v>2</v>
      </c>
      <c r="M58" s="1">
        <v>99</v>
      </c>
      <c r="N58" s="1"/>
      <c r="O58" s="1">
        <v>0</v>
      </c>
      <c r="P58" s="1">
        <v>0</v>
      </c>
      <c r="Q58" s="1"/>
      <c r="R58" s="1" t="s">
        <v>35</v>
      </c>
      <c r="S58" s="1">
        <v>100</v>
      </c>
      <c r="T58" s="1">
        <v>0</v>
      </c>
      <c r="U58" s="2">
        <v>1</v>
      </c>
      <c r="V58" s="1">
        <v>1</v>
      </c>
      <c r="W58" s="1">
        <v>1</v>
      </c>
      <c r="X58" s="1"/>
      <c r="Y58" t="s">
        <v>55</v>
      </c>
      <c r="Z58" s="1" t="s">
        <v>1387</v>
      </c>
      <c r="AA58" s="2" t="s">
        <v>289</v>
      </c>
      <c r="AB58" s="5" t="str">
        <f t="shared" si="0"/>
        <v>&lt;br&gt;&lt;font color='#43FF98'&gt;                          最小防御+10&lt;br&gt;&lt;br&gt;&lt;font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58" s="1">
        <v>20</v>
      </c>
      <c r="AD58" s="1" t="s">
        <v>36</v>
      </c>
      <c r="AE58" s="1">
        <v>0</v>
      </c>
      <c r="AF58">
        <v>15</v>
      </c>
      <c r="AG58" s="1">
        <v>0</v>
      </c>
      <c r="AH58" s="1">
        <v>0</v>
      </c>
      <c r="AI58" s="1">
        <v>1</v>
      </c>
      <c r="AJ58" s="1"/>
      <c r="AK58" s="1"/>
      <c r="AL58" s="1">
        <v>0</v>
      </c>
      <c r="AM58" s="1">
        <v>0</v>
      </c>
      <c r="AN58" s="1">
        <v>0</v>
      </c>
      <c r="AO58" s="1">
        <v>1</v>
      </c>
    </row>
    <row r="59" spans="1:41">
      <c r="A59" s="2">
        <v>10226</v>
      </c>
      <c r="B59" s="1" t="s">
        <v>115</v>
      </c>
      <c r="C59" s="1" t="s">
        <v>37</v>
      </c>
      <c r="D59" s="1" t="s">
        <v>38</v>
      </c>
      <c r="E59" s="1">
        <v>1</v>
      </c>
      <c r="F59" s="1">
        <v>15</v>
      </c>
      <c r="G59" s="1">
        <v>0</v>
      </c>
      <c r="H59" s="1">
        <v>0</v>
      </c>
      <c r="I59" s="1">
        <v>99999</v>
      </c>
      <c r="J59" s="1">
        <v>2</v>
      </c>
      <c r="K59" s="1">
        <v>0</v>
      </c>
      <c r="L59" s="1">
        <v>2</v>
      </c>
      <c r="M59" s="1">
        <v>99</v>
      </c>
      <c r="N59" s="1"/>
      <c r="O59" s="1">
        <v>0</v>
      </c>
      <c r="P59" s="1">
        <v>0</v>
      </c>
      <c r="Q59" s="1"/>
      <c r="R59" s="1" t="s">
        <v>35</v>
      </c>
      <c r="S59" s="1">
        <v>200</v>
      </c>
      <c r="T59" s="1">
        <v>0</v>
      </c>
      <c r="U59" s="2">
        <v>1</v>
      </c>
      <c r="V59" s="1">
        <v>1</v>
      </c>
      <c r="W59" s="1">
        <v>1</v>
      </c>
      <c r="X59" s="1"/>
      <c r="Y59" t="s">
        <v>55</v>
      </c>
      <c r="Z59" s="1" t="s">
        <v>1388</v>
      </c>
      <c r="AA59" s="2" t="s">
        <v>359</v>
      </c>
      <c r="AB59" s="5" t="str">
        <f t="shared" si="0"/>
        <v>&lt;br&gt;&lt;font color='#43FF98'&gt;                          最小防御+13&lt;br&gt;&lt;br&gt;&lt;font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59" s="1">
        <v>20</v>
      </c>
      <c r="AD59" s="1" t="s">
        <v>36</v>
      </c>
      <c r="AE59" s="1">
        <v>0</v>
      </c>
      <c r="AF59">
        <v>15</v>
      </c>
      <c r="AG59" s="1">
        <v>0</v>
      </c>
      <c r="AH59" s="1">
        <v>0</v>
      </c>
      <c r="AI59" s="1">
        <v>1</v>
      </c>
      <c r="AJ59" s="1"/>
      <c r="AK59" s="1"/>
      <c r="AL59" s="1">
        <v>0</v>
      </c>
      <c r="AM59" s="1">
        <v>0</v>
      </c>
      <c r="AN59" s="1">
        <v>0</v>
      </c>
      <c r="AO59" s="1">
        <v>1</v>
      </c>
    </row>
    <row r="60" spans="1:41">
      <c r="A60" s="2">
        <v>10227</v>
      </c>
      <c r="B60" s="1" t="s">
        <v>116</v>
      </c>
      <c r="C60" s="1" t="s">
        <v>37</v>
      </c>
      <c r="D60" s="1" t="s">
        <v>38</v>
      </c>
      <c r="E60" s="1">
        <v>1</v>
      </c>
      <c r="F60" s="1">
        <v>15</v>
      </c>
      <c r="G60" s="1">
        <v>0</v>
      </c>
      <c r="H60" s="1">
        <v>0</v>
      </c>
      <c r="I60" s="1">
        <v>99999</v>
      </c>
      <c r="J60" s="1">
        <v>3</v>
      </c>
      <c r="K60" s="1">
        <v>0</v>
      </c>
      <c r="L60" s="1">
        <v>2</v>
      </c>
      <c r="M60" s="1">
        <v>99</v>
      </c>
      <c r="N60" s="1"/>
      <c r="O60" s="1">
        <v>0</v>
      </c>
      <c r="P60" s="1">
        <v>0</v>
      </c>
      <c r="Q60" s="1"/>
      <c r="R60" s="1" t="s">
        <v>35</v>
      </c>
      <c r="S60" s="1">
        <v>400</v>
      </c>
      <c r="T60" s="1">
        <v>0</v>
      </c>
      <c r="U60" s="2">
        <v>1</v>
      </c>
      <c r="V60" s="1">
        <v>1</v>
      </c>
      <c r="W60" s="1">
        <v>1</v>
      </c>
      <c r="X60" s="1"/>
      <c r="Y60" t="s">
        <v>55</v>
      </c>
      <c r="Z60" s="1" t="s">
        <v>1389</v>
      </c>
      <c r="AA60" s="2" t="s">
        <v>290</v>
      </c>
      <c r="AB60" s="5" t="str">
        <f t="shared" si="0"/>
        <v>&lt;br&gt;&lt;font color='#43FF98'&gt;                          最小防御+17&lt;br&gt;&lt;br&gt;&lt;font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60" s="1">
        <v>20</v>
      </c>
      <c r="AD60" s="1" t="s">
        <v>36</v>
      </c>
      <c r="AE60" s="1">
        <v>0</v>
      </c>
      <c r="AF60">
        <v>15</v>
      </c>
      <c r="AG60" s="1">
        <v>0</v>
      </c>
      <c r="AH60" s="1">
        <v>0</v>
      </c>
      <c r="AI60" s="1">
        <v>1</v>
      </c>
      <c r="AJ60" s="1"/>
      <c r="AK60" s="1"/>
      <c r="AL60" s="1">
        <v>0</v>
      </c>
      <c r="AM60" s="1">
        <v>0</v>
      </c>
      <c r="AN60" s="1">
        <v>0</v>
      </c>
      <c r="AO60" s="1">
        <v>1</v>
      </c>
    </row>
    <row r="61" spans="1:41">
      <c r="A61" s="2">
        <v>10228</v>
      </c>
      <c r="B61" s="1" t="s">
        <v>117</v>
      </c>
      <c r="C61" s="1" t="s">
        <v>37</v>
      </c>
      <c r="D61" s="1" t="s">
        <v>38</v>
      </c>
      <c r="E61" s="1">
        <v>1</v>
      </c>
      <c r="F61" s="1">
        <v>15</v>
      </c>
      <c r="G61" s="1">
        <v>0</v>
      </c>
      <c r="H61" s="1">
        <v>0</v>
      </c>
      <c r="I61" s="1">
        <v>99999</v>
      </c>
      <c r="J61" s="1">
        <v>3</v>
      </c>
      <c r="K61" s="1">
        <v>0</v>
      </c>
      <c r="L61" s="1">
        <v>2</v>
      </c>
      <c r="M61" s="1">
        <v>99</v>
      </c>
      <c r="N61" s="1"/>
      <c r="O61" s="1">
        <v>0</v>
      </c>
      <c r="P61" s="1">
        <v>0</v>
      </c>
      <c r="Q61" s="1"/>
      <c r="R61" s="1" t="s">
        <v>35</v>
      </c>
      <c r="S61" s="1">
        <v>800</v>
      </c>
      <c r="T61" s="1">
        <v>0</v>
      </c>
      <c r="U61" s="2">
        <v>1</v>
      </c>
      <c r="V61" s="1">
        <v>1</v>
      </c>
      <c r="W61" s="1">
        <v>1</v>
      </c>
      <c r="X61" s="1"/>
      <c r="Y61" t="s">
        <v>55</v>
      </c>
      <c r="Z61" s="1" t="s">
        <v>1390</v>
      </c>
      <c r="AA61" s="2" t="s">
        <v>360</v>
      </c>
      <c r="AB61" s="5" t="str">
        <f t="shared" si="0"/>
        <v>&lt;br&gt;&lt;font color='#43FF98'&gt;                          最小防御+22&lt;br&gt;&lt;br&gt;&lt;font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61" s="1">
        <v>20</v>
      </c>
      <c r="AD61" s="1" t="s">
        <v>36</v>
      </c>
      <c r="AE61" s="1">
        <v>0</v>
      </c>
      <c r="AF61">
        <v>15</v>
      </c>
      <c r="AG61" s="1">
        <v>0</v>
      </c>
      <c r="AH61" s="1">
        <v>0</v>
      </c>
      <c r="AI61" s="1">
        <v>1</v>
      </c>
      <c r="AJ61" s="1"/>
      <c r="AK61" s="1"/>
      <c r="AL61" s="1">
        <v>0</v>
      </c>
      <c r="AM61" s="1">
        <v>0</v>
      </c>
      <c r="AN61" s="1">
        <v>0</v>
      </c>
      <c r="AO61" s="1">
        <v>1</v>
      </c>
    </row>
    <row r="62" spans="1:41">
      <c r="A62" s="2">
        <v>10229</v>
      </c>
      <c r="B62" s="1" t="s">
        <v>118</v>
      </c>
      <c r="C62" s="1" t="s">
        <v>37</v>
      </c>
      <c r="D62" s="1" t="s">
        <v>38</v>
      </c>
      <c r="E62" s="1">
        <v>1</v>
      </c>
      <c r="F62" s="1">
        <v>15</v>
      </c>
      <c r="G62" s="1">
        <v>0</v>
      </c>
      <c r="H62" s="1">
        <v>0</v>
      </c>
      <c r="I62" s="1">
        <v>99999</v>
      </c>
      <c r="J62" s="1">
        <v>3</v>
      </c>
      <c r="K62" s="1">
        <v>0</v>
      </c>
      <c r="L62" s="1">
        <v>2</v>
      </c>
      <c r="M62" s="1">
        <v>99</v>
      </c>
      <c r="N62" s="1"/>
      <c r="O62" s="1">
        <v>0</v>
      </c>
      <c r="P62" s="1">
        <v>0</v>
      </c>
      <c r="Q62" s="1"/>
      <c r="R62" s="1" t="s">
        <v>35</v>
      </c>
      <c r="S62" s="1">
        <v>1600</v>
      </c>
      <c r="T62" s="1">
        <v>0</v>
      </c>
      <c r="U62" s="2">
        <v>1</v>
      </c>
      <c r="V62" s="1">
        <v>1</v>
      </c>
      <c r="W62" s="1">
        <v>1</v>
      </c>
      <c r="X62" s="1"/>
      <c r="Y62" t="s">
        <v>55</v>
      </c>
      <c r="Z62" s="1" t="s">
        <v>1391</v>
      </c>
      <c r="AA62" s="2" t="s">
        <v>291</v>
      </c>
      <c r="AB62" s="5" t="str">
        <f t="shared" si="0"/>
        <v>&lt;br&gt;&lt;font color='#43FF98'&gt;                          最小防御+28&lt;br&gt;&lt;br&gt;&lt;font color='#F2F2F2'&gt;封印强大灵魂能量的黄色灵石，可镶入装备的黄色插槽中提升装备属性&lt;br&gt;&lt;font color='#B2B2B2'&gt;            [按下&lt;font color='#FFa500'&gt;I&lt;font color='#B2B2B2'&gt;键打开灵魂镶嵌界面]</v>
      </c>
      <c r="AC62" s="1">
        <v>20</v>
      </c>
      <c r="AD62" s="1" t="s">
        <v>36</v>
      </c>
      <c r="AE62" s="1">
        <v>0</v>
      </c>
      <c r="AF62">
        <v>15</v>
      </c>
      <c r="AG62" s="1">
        <v>0</v>
      </c>
      <c r="AH62" s="1">
        <v>0</v>
      </c>
      <c r="AI62" s="1">
        <v>1</v>
      </c>
      <c r="AJ62" s="1"/>
      <c r="AK62" s="1"/>
      <c r="AL62" s="1">
        <v>0</v>
      </c>
      <c r="AM62" s="1">
        <v>0</v>
      </c>
      <c r="AN62" s="1">
        <v>0</v>
      </c>
      <c r="AO62" s="1">
        <v>1</v>
      </c>
    </row>
    <row r="63" spans="1:41">
      <c r="A63" s="2">
        <v>10300</v>
      </c>
      <c r="B63" s="1" t="s">
        <v>119</v>
      </c>
      <c r="C63" s="1" t="s">
        <v>37</v>
      </c>
      <c r="D63" s="1" t="s">
        <v>38</v>
      </c>
      <c r="E63" s="1">
        <v>1</v>
      </c>
      <c r="F63" s="1">
        <v>15</v>
      </c>
      <c r="G63" s="1">
        <v>0</v>
      </c>
      <c r="H63" s="1">
        <v>0</v>
      </c>
      <c r="I63" s="1">
        <v>99999</v>
      </c>
      <c r="J63" s="1">
        <v>0</v>
      </c>
      <c r="K63" s="1">
        <v>0</v>
      </c>
      <c r="L63" s="1">
        <v>2</v>
      </c>
      <c r="M63" s="1">
        <v>99</v>
      </c>
      <c r="N63" s="1"/>
      <c r="O63" s="1">
        <v>0</v>
      </c>
      <c r="P63" s="1">
        <v>0</v>
      </c>
      <c r="Q63" s="1"/>
      <c r="R63" s="1" t="s">
        <v>35</v>
      </c>
      <c r="S63" s="1">
        <v>100</v>
      </c>
      <c r="T63" s="1">
        <v>0</v>
      </c>
      <c r="U63" s="2">
        <v>1</v>
      </c>
      <c r="V63" s="1">
        <v>1</v>
      </c>
      <c r="W63" s="1">
        <v>1</v>
      </c>
      <c r="X63" s="1"/>
      <c r="Y63" t="s">
        <v>46</v>
      </c>
      <c r="Z63" s="1" t="s">
        <v>1392</v>
      </c>
      <c r="AA63" s="2" t="s">
        <v>292</v>
      </c>
      <c r="AB63" s="5" t="str">
        <f t="shared" si="0"/>
        <v>&lt;br&gt;&lt;font color='#43FF98'&gt;                          最大魔法+1&lt;br&gt;&lt;br&gt;&lt;font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63" s="1">
        <v>20</v>
      </c>
      <c r="AD63" s="1" t="s">
        <v>36</v>
      </c>
      <c r="AE63" s="1">
        <v>0</v>
      </c>
      <c r="AF63">
        <v>15</v>
      </c>
      <c r="AG63" s="1">
        <v>0</v>
      </c>
      <c r="AH63" s="1">
        <v>0</v>
      </c>
      <c r="AI63" s="1">
        <v>1</v>
      </c>
      <c r="AJ63" s="1"/>
      <c r="AK63" s="1"/>
      <c r="AL63" s="1">
        <v>0</v>
      </c>
      <c r="AM63" s="1">
        <v>0</v>
      </c>
      <c r="AN63" s="1">
        <v>0</v>
      </c>
    </row>
    <row r="64" spans="1:41">
      <c r="A64" s="2">
        <v>10301</v>
      </c>
      <c r="B64" s="1" t="s">
        <v>120</v>
      </c>
      <c r="C64" s="1" t="s">
        <v>37</v>
      </c>
      <c r="D64" s="1" t="s">
        <v>38</v>
      </c>
      <c r="E64" s="1">
        <v>1</v>
      </c>
      <c r="F64" s="1">
        <v>15</v>
      </c>
      <c r="G64" s="1">
        <v>0</v>
      </c>
      <c r="H64" s="1">
        <v>0</v>
      </c>
      <c r="I64" s="1">
        <v>99999</v>
      </c>
      <c r="J64" s="1">
        <v>1</v>
      </c>
      <c r="K64" s="1">
        <v>0</v>
      </c>
      <c r="L64" s="1">
        <v>2</v>
      </c>
      <c r="M64" s="1">
        <v>99</v>
      </c>
      <c r="N64" s="1"/>
      <c r="O64" s="1">
        <v>0</v>
      </c>
      <c r="P64" s="1">
        <v>0</v>
      </c>
      <c r="Q64" s="1"/>
      <c r="R64" s="1" t="s">
        <v>35</v>
      </c>
      <c r="S64" s="1">
        <v>200</v>
      </c>
      <c r="T64" s="1">
        <v>0</v>
      </c>
      <c r="U64" s="2">
        <v>1</v>
      </c>
      <c r="V64" s="1">
        <v>1</v>
      </c>
      <c r="W64" s="1">
        <v>1</v>
      </c>
      <c r="X64" s="1"/>
      <c r="Y64" t="s">
        <v>47</v>
      </c>
      <c r="Z64" s="1" t="s">
        <v>1393</v>
      </c>
      <c r="AA64" s="2" t="s">
        <v>293</v>
      </c>
      <c r="AB64" s="5" t="str">
        <f t="shared" si="0"/>
        <v>&lt;br&gt;&lt;font color='#43FF98'&gt;                          最大魔法+2&lt;br&gt;&lt;br&gt;&lt;font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64" s="1">
        <v>20</v>
      </c>
      <c r="AD64" s="1" t="s">
        <v>36</v>
      </c>
      <c r="AE64" s="1">
        <v>0</v>
      </c>
      <c r="AF64">
        <v>15</v>
      </c>
      <c r="AG64" s="1">
        <v>0</v>
      </c>
      <c r="AH64" s="1">
        <v>0</v>
      </c>
      <c r="AI64" s="1">
        <v>1</v>
      </c>
      <c r="AJ64" s="1"/>
      <c r="AK64" s="1"/>
      <c r="AL64" s="1">
        <v>0</v>
      </c>
      <c r="AM64" s="1">
        <v>0</v>
      </c>
      <c r="AN64" s="1">
        <v>0</v>
      </c>
    </row>
    <row r="65" spans="1:41">
      <c r="A65" s="2">
        <v>10302</v>
      </c>
      <c r="B65" s="1" t="s">
        <v>121</v>
      </c>
      <c r="C65" s="1" t="s">
        <v>37</v>
      </c>
      <c r="D65" s="1" t="s">
        <v>38</v>
      </c>
      <c r="E65" s="1">
        <v>1</v>
      </c>
      <c r="F65" s="1">
        <v>15</v>
      </c>
      <c r="G65" s="1">
        <v>0</v>
      </c>
      <c r="H65" s="1">
        <v>0</v>
      </c>
      <c r="I65" s="1">
        <v>99999</v>
      </c>
      <c r="J65" s="1">
        <v>1</v>
      </c>
      <c r="K65" s="1">
        <v>0</v>
      </c>
      <c r="L65" s="1">
        <v>2</v>
      </c>
      <c r="M65" s="1">
        <v>99</v>
      </c>
      <c r="N65" s="1"/>
      <c r="O65" s="1">
        <v>0</v>
      </c>
      <c r="P65" s="1">
        <v>0</v>
      </c>
      <c r="Q65" s="1"/>
      <c r="R65" s="1" t="s">
        <v>35</v>
      </c>
      <c r="S65" s="1">
        <v>400</v>
      </c>
      <c r="T65" s="1">
        <v>0</v>
      </c>
      <c r="U65" s="2">
        <v>1</v>
      </c>
      <c r="V65" s="1">
        <v>1</v>
      </c>
      <c r="W65" s="1">
        <v>1</v>
      </c>
      <c r="X65" s="1"/>
      <c r="Y65" t="s">
        <v>48</v>
      </c>
      <c r="Z65" s="1" t="s">
        <v>1394</v>
      </c>
      <c r="AA65" s="2" t="s">
        <v>294</v>
      </c>
      <c r="AB65" s="5" t="str">
        <f t="shared" si="0"/>
        <v>&lt;br&gt;&lt;font color='#43FF98'&gt;                          最大魔法+3&lt;br&gt;&lt;br&gt;&lt;font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65" s="1">
        <v>20</v>
      </c>
      <c r="AD65" s="1" t="s">
        <v>36</v>
      </c>
      <c r="AE65" s="1">
        <v>0</v>
      </c>
      <c r="AF65">
        <v>15</v>
      </c>
      <c r="AG65" s="1">
        <v>0</v>
      </c>
      <c r="AH65" s="1">
        <v>0</v>
      </c>
      <c r="AI65" s="1">
        <v>1</v>
      </c>
      <c r="AJ65" s="1"/>
      <c r="AK65" s="1"/>
      <c r="AL65" s="1">
        <v>0</v>
      </c>
      <c r="AM65" s="1">
        <v>0</v>
      </c>
      <c r="AN65" s="1">
        <v>0</v>
      </c>
    </row>
    <row r="66" spans="1:41">
      <c r="A66" s="2">
        <v>10303</v>
      </c>
      <c r="B66" s="1" t="s">
        <v>122</v>
      </c>
      <c r="C66" s="1" t="s">
        <v>37</v>
      </c>
      <c r="D66" s="1" t="s">
        <v>38</v>
      </c>
      <c r="E66" s="1">
        <v>1</v>
      </c>
      <c r="F66" s="1">
        <v>15</v>
      </c>
      <c r="G66" s="1">
        <v>0</v>
      </c>
      <c r="H66" s="1">
        <v>0</v>
      </c>
      <c r="I66" s="1">
        <v>99999</v>
      </c>
      <c r="J66" s="1">
        <v>1</v>
      </c>
      <c r="K66" s="1">
        <v>0</v>
      </c>
      <c r="L66" s="1">
        <v>2</v>
      </c>
      <c r="M66" s="1">
        <v>99</v>
      </c>
      <c r="N66" s="1"/>
      <c r="O66" s="1">
        <v>0</v>
      </c>
      <c r="P66" s="1">
        <v>0</v>
      </c>
      <c r="Q66" s="1"/>
      <c r="R66" s="1" t="s">
        <v>35</v>
      </c>
      <c r="S66" s="1">
        <v>800</v>
      </c>
      <c r="T66" s="1">
        <v>0</v>
      </c>
      <c r="U66" s="2">
        <v>1</v>
      </c>
      <c r="V66" s="1">
        <v>1</v>
      </c>
      <c r="W66" s="1">
        <v>1</v>
      </c>
      <c r="X66" s="1"/>
      <c r="Y66" t="s">
        <v>49</v>
      </c>
      <c r="Z66" s="1" t="s">
        <v>1395</v>
      </c>
      <c r="AA66" s="2" t="s">
        <v>295</v>
      </c>
      <c r="AB66" s="5" t="str">
        <f t="shared" si="0"/>
        <v>&lt;br&gt;&lt;font color='#43FF98'&gt;                          最大魔法+5&lt;br&gt;&lt;br&gt;&lt;font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66" s="1">
        <v>20</v>
      </c>
      <c r="AD66" s="1" t="s">
        <v>36</v>
      </c>
      <c r="AE66" s="1">
        <v>0</v>
      </c>
      <c r="AF66">
        <v>15</v>
      </c>
      <c r="AG66" s="1">
        <v>0</v>
      </c>
      <c r="AH66" s="1">
        <v>0</v>
      </c>
      <c r="AI66" s="1">
        <v>1</v>
      </c>
      <c r="AJ66" s="1"/>
      <c r="AK66" s="1"/>
      <c r="AL66" s="1">
        <v>0</v>
      </c>
      <c r="AM66" s="1">
        <v>0</v>
      </c>
      <c r="AN66" s="1">
        <v>0</v>
      </c>
      <c r="AO66" s="1">
        <v>1</v>
      </c>
    </row>
    <row r="67" spans="1:41">
      <c r="A67" s="2">
        <v>10304</v>
      </c>
      <c r="B67" s="1" t="s">
        <v>123</v>
      </c>
      <c r="C67" s="1" t="s">
        <v>37</v>
      </c>
      <c r="D67" s="1" t="s">
        <v>38</v>
      </c>
      <c r="E67" s="1">
        <v>1</v>
      </c>
      <c r="F67" s="1">
        <v>15</v>
      </c>
      <c r="G67" s="1">
        <v>0</v>
      </c>
      <c r="H67" s="1">
        <v>0</v>
      </c>
      <c r="I67" s="1">
        <v>99999</v>
      </c>
      <c r="J67" s="1">
        <v>2</v>
      </c>
      <c r="K67" s="1">
        <v>0</v>
      </c>
      <c r="L67" s="1">
        <v>2</v>
      </c>
      <c r="M67" s="1">
        <v>99</v>
      </c>
      <c r="N67" s="1"/>
      <c r="O67" s="1">
        <v>0</v>
      </c>
      <c r="P67" s="1">
        <v>0</v>
      </c>
      <c r="Q67" s="1"/>
      <c r="R67" s="1" t="s">
        <v>35</v>
      </c>
      <c r="S67" s="1">
        <v>1600</v>
      </c>
      <c r="T67" s="1">
        <v>0</v>
      </c>
      <c r="U67" s="2">
        <v>1</v>
      </c>
      <c r="V67" s="1">
        <v>1</v>
      </c>
      <c r="W67" s="1">
        <v>1</v>
      </c>
      <c r="X67" s="1"/>
      <c r="Y67" t="s">
        <v>50</v>
      </c>
      <c r="Z67" s="1" t="s">
        <v>1396</v>
      </c>
      <c r="AA67" s="2" t="s">
        <v>296</v>
      </c>
      <c r="AB67" s="5" t="str">
        <f t="shared" si="0"/>
        <v>&lt;br&gt;&lt;font color='#43FF98'&gt;                          最大魔法+7&lt;br&gt;&lt;br&gt;&lt;font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67" s="1">
        <v>20</v>
      </c>
      <c r="AD67" s="1" t="s">
        <v>36</v>
      </c>
      <c r="AE67" s="1">
        <v>0</v>
      </c>
      <c r="AF67">
        <v>15</v>
      </c>
      <c r="AG67" s="1">
        <v>0</v>
      </c>
      <c r="AH67" s="1">
        <v>0</v>
      </c>
      <c r="AI67" s="1">
        <v>1</v>
      </c>
      <c r="AJ67" s="1"/>
      <c r="AK67" s="1"/>
      <c r="AL67" s="1">
        <v>0</v>
      </c>
      <c r="AM67" s="1">
        <v>0</v>
      </c>
      <c r="AN67" s="1">
        <v>0</v>
      </c>
      <c r="AO67" s="1">
        <v>1</v>
      </c>
    </row>
    <row r="68" spans="1:41">
      <c r="A68" s="2">
        <v>10305</v>
      </c>
      <c r="B68" s="1" t="s">
        <v>124</v>
      </c>
      <c r="C68" s="1" t="s">
        <v>37</v>
      </c>
      <c r="D68" s="1" t="s">
        <v>38</v>
      </c>
      <c r="E68" s="1">
        <v>1</v>
      </c>
      <c r="F68" s="1">
        <v>15</v>
      </c>
      <c r="G68" s="1">
        <v>0</v>
      </c>
      <c r="H68" s="1">
        <v>0</v>
      </c>
      <c r="I68" s="1">
        <v>99999</v>
      </c>
      <c r="J68" s="1">
        <v>2</v>
      </c>
      <c r="K68" s="1">
        <v>0</v>
      </c>
      <c r="L68" s="1">
        <v>2</v>
      </c>
      <c r="M68" s="1">
        <v>99</v>
      </c>
      <c r="N68" s="1"/>
      <c r="O68" s="1">
        <v>0</v>
      </c>
      <c r="P68" s="1">
        <v>0</v>
      </c>
      <c r="Q68" s="1"/>
      <c r="R68" s="1" t="s">
        <v>35</v>
      </c>
      <c r="S68" s="1">
        <v>100</v>
      </c>
      <c r="T68" s="1">
        <v>0</v>
      </c>
      <c r="U68" s="2">
        <v>1</v>
      </c>
      <c r="V68" s="1">
        <v>1</v>
      </c>
      <c r="W68" s="1">
        <v>1</v>
      </c>
      <c r="X68" s="1"/>
      <c r="Y68" t="s">
        <v>50</v>
      </c>
      <c r="Z68" s="1" t="s">
        <v>1397</v>
      </c>
      <c r="AA68" s="2" t="s">
        <v>297</v>
      </c>
      <c r="AB68" s="5" t="str">
        <f t="shared" ref="AB68:AB131" si="1">LEFT(AA68,52)&amp;Z68&amp;RIGHT(AA68,157)</f>
        <v>&lt;br&gt;&lt;font color='#43FF98'&gt;                          最大魔法+10&lt;br&gt;&lt;br&gt;&lt;font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68" s="1">
        <v>20</v>
      </c>
      <c r="AD68" s="1" t="s">
        <v>36</v>
      </c>
      <c r="AE68" s="1">
        <v>0</v>
      </c>
      <c r="AF68">
        <v>15</v>
      </c>
      <c r="AG68" s="1">
        <v>0</v>
      </c>
      <c r="AH68" s="1">
        <v>0</v>
      </c>
      <c r="AI68" s="1">
        <v>1</v>
      </c>
      <c r="AJ68" s="1"/>
      <c r="AK68" s="1"/>
      <c r="AL68" s="1">
        <v>0</v>
      </c>
      <c r="AM68" s="1">
        <v>0</v>
      </c>
      <c r="AN68" s="1">
        <v>0</v>
      </c>
      <c r="AO68" s="1">
        <v>1</v>
      </c>
    </row>
    <row r="69" spans="1:41">
      <c r="A69" s="2">
        <v>10306</v>
      </c>
      <c r="B69" s="1" t="s">
        <v>125</v>
      </c>
      <c r="C69" s="1" t="s">
        <v>37</v>
      </c>
      <c r="D69" s="1" t="s">
        <v>38</v>
      </c>
      <c r="E69" s="1">
        <v>1</v>
      </c>
      <c r="F69" s="1">
        <v>15</v>
      </c>
      <c r="G69" s="1">
        <v>0</v>
      </c>
      <c r="H69" s="1">
        <v>0</v>
      </c>
      <c r="I69" s="1">
        <v>99999</v>
      </c>
      <c r="J69" s="1">
        <v>2</v>
      </c>
      <c r="K69" s="1">
        <v>0</v>
      </c>
      <c r="L69" s="1">
        <v>2</v>
      </c>
      <c r="M69" s="1">
        <v>99</v>
      </c>
      <c r="N69" s="1"/>
      <c r="O69" s="1">
        <v>0</v>
      </c>
      <c r="P69" s="1">
        <v>0</v>
      </c>
      <c r="Q69" s="1"/>
      <c r="R69" s="1" t="s">
        <v>35</v>
      </c>
      <c r="S69" s="1">
        <v>200</v>
      </c>
      <c r="T69" s="1">
        <v>0</v>
      </c>
      <c r="U69" s="2">
        <v>1</v>
      </c>
      <c r="V69" s="1">
        <v>1</v>
      </c>
      <c r="W69" s="1">
        <v>1</v>
      </c>
      <c r="X69" s="1"/>
      <c r="Y69" t="s">
        <v>50</v>
      </c>
      <c r="Z69" s="1" t="s">
        <v>1398</v>
      </c>
      <c r="AA69" s="2" t="s">
        <v>298</v>
      </c>
      <c r="AB69" s="5" t="str">
        <f t="shared" si="1"/>
        <v>&lt;br&gt;&lt;font color='#43FF98'&gt;                          最大魔法+13&lt;br&gt;&lt;br&gt;&lt;font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69" s="1">
        <v>20</v>
      </c>
      <c r="AD69" s="1" t="s">
        <v>36</v>
      </c>
      <c r="AE69" s="1">
        <v>0</v>
      </c>
      <c r="AF69">
        <v>15</v>
      </c>
      <c r="AG69" s="1">
        <v>0</v>
      </c>
      <c r="AH69" s="1">
        <v>0</v>
      </c>
      <c r="AI69" s="1">
        <v>1</v>
      </c>
      <c r="AJ69" s="1"/>
      <c r="AK69" s="1"/>
      <c r="AL69" s="1">
        <v>0</v>
      </c>
      <c r="AM69" s="1">
        <v>0</v>
      </c>
      <c r="AN69" s="1">
        <v>0</v>
      </c>
      <c r="AO69" s="1">
        <v>1</v>
      </c>
    </row>
    <row r="70" spans="1:41">
      <c r="A70" s="2">
        <v>10307</v>
      </c>
      <c r="B70" s="1" t="s">
        <v>126</v>
      </c>
      <c r="C70" s="1" t="s">
        <v>37</v>
      </c>
      <c r="D70" s="1" t="s">
        <v>38</v>
      </c>
      <c r="E70" s="1">
        <v>1</v>
      </c>
      <c r="F70" s="1">
        <v>15</v>
      </c>
      <c r="G70" s="1">
        <v>0</v>
      </c>
      <c r="H70" s="1">
        <v>0</v>
      </c>
      <c r="I70" s="1">
        <v>99999</v>
      </c>
      <c r="J70" s="1">
        <v>3</v>
      </c>
      <c r="K70" s="1">
        <v>0</v>
      </c>
      <c r="L70" s="1">
        <v>2</v>
      </c>
      <c r="M70" s="1">
        <v>99</v>
      </c>
      <c r="N70" s="1"/>
      <c r="O70" s="1">
        <v>0</v>
      </c>
      <c r="P70" s="1">
        <v>0</v>
      </c>
      <c r="Q70" s="1"/>
      <c r="R70" s="1" t="s">
        <v>35</v>
      </c>
      <c r="S70" s="1">
        <v>400</v>
      </c>
      <c r="T70" s="1">
        <v>0</v>
      </c>
      <c r="U70" s="2">
        <v>1</v>
      </c>
      <c r="V70" s="1">
        <v>1</v>
      </c>
      <c r="W70" s="1">
        <v>1</v>
      </c>
      <c r="X70" s="1"/>
      <c r="Y70" t="s">
        <v>50</v>
      </c>
      <c r="Z70" s="1" t="s">
        <v>1399</v>
      </c>
      <c r="AA70" s="2" t="s">
        <v>299</v>
      </c>
      <c r="AB70" s="5" t="str">
        <f t="shared" si="1"/>
        <v>&lt;br&gt;&lt;font color='#43FF98'&gt;                          最大魔法+17&lt;br&gt;&lt;br&gt;&lt;font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70" s="1">
        <v>20</v>
      </c>
      <c r="AD70" s="1" t="s">
        <v>36</v>
      </c>
      <c r="AE70" s="1">
        <v>0</v>
      </c>
      <c r="AF70">
        <v>15</v>
      </c>
      <c r="AG70" s="1">
        <v>0</v>
      </c>
      <c r="AH70" s="1">
        <v>0</v>
      </c>
      <c r="AI70" s="1">
        <v>1</v>
      </c>
      <c r="AJ70" s="1"/>
      <c r="AK70" s="1"/>
      <c r="AL70" s="1">
        <v>0</v>
      </c>
      <c r="AM70" s="1">
        <v>0</v>
      </c>
      <c r="AN70" s="1">
        <v>0</v>
      </c>
      <c r="AO70" s="1">
        <v>1</v>
      </c>
    </row>
    <row r="71" spans="1:41">
      <c r="A71" s="2">
        <v>10308</v>
      </c>
      <c r="B71" s="1" t="s">
        <v>127</v>
      </c>
      <c r="C71" s="1" t="s">
        <v>37</v>
      </c>
      <c r="D71" s="1" t="s">
        <v>38</v>
      </c>
      <c r="E71" s="1">
        <v>1</v>
      </c>
      <c r="F71" s="1">
        <v>15</v>
      </c>
      <c r="G71" s="1">
        <v>0</v>
      </c>
      <c r="H71" s="1">
        <v>0</v>
      </c>
      <c r="I71" s="1">
        <v>99999</v>
      </c>
      <c r="J71" s="1">
        <v>3</v>
      </c>
      <c r="K71" s="1">
        <v>0</v>
      </c>
      <c r="L71" s="1">
        <v>2</v>
      </c>
      <c r="M71" s="1">
        <v>99</v>
      </c>
      <c r="N71" s="1"/>
      <c r="O71" s="1">
        <v>0</v>
      </c>
      <c r="P71" s="1">
        <v>0</v>
      </c>
      <c r="Q71" s="1"/>
      <c r="R71" s="1" t="s">
        <v>35</v>
      </c>
      <c r="S71" s="1">
        <v>800</v>
      </c>
      <c r="T71" s="1">
        <v>0</v>
      </c>
      <c r="U71" s="2">
        <v>1</v>
      </c>
      <c r="V71" s="1">
        <v>1</v>
      </c>
      <c r="W71" s="1">
        <v>1</v>
      </c>
      <c r="X71" s="1"/>
      <c r="Y71" t="s">
        <v>50</v>
      </c>
      <c r="Z71" s="1" t="s">
        <v>1400</v>
      </c>
      <c r="AA71" s="2" t="s">
        <v>300</v>
      </c>
      <c r="AB71" s="5" t="str">
        <f t="shared" si="1"/>
        <v>&lt;br&gt;&lt;font color='#43FF98'&gt;                          最大魔法+22&lt;br&gt;&lt;br&gt;&lt;font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71" s="1">
        <v>20</v>
      </c>
      <c r="AD71" s="1" t="s">
        <v>36</v>
      </c>
      <c r="AE71" s="1">
        <v>0</v>
      </c>
      <c r="AF71">
        <v>15</v>
      </c>
      <c r="AG71" s="1">
        <v>0</v>
      </c>
      <c r="AH71" s="1">
        <v>0</v>
      </c>
      <c r="AI71" s="1">
        <v>1</v>
      </c>
      <c r="AJ71" s="1"/>
      <c r="AK71" s="1"/>
      <c r="AL71" s="1">
        <v>0</v>
      </c>
      <c r="AM71" s="1">
        <v>0</v>
      </c>
      <c r="AN71" s="1">
        <v>0</v>
      </c>
      <c r="AO71" s="1">
        <v>1</v>
      </c>
    </row>
    <row r="72" spans="1:41">
      <c r="A72" s="2">
        <v>10309</v>
      </c>
      <c r="B72" s="1" t="s">
        <v>128</v>
      </c>
      <c r="C72" s="1" t="s">
        <v>37</v>
      </c>
      <c r="D72" s="1" t="s">
        <v>38</v>
      </c>
      <c r="E72" s="1">
        <v>1</v>
      </c>
      <c r="F72" s="1">
        <v>15</v>
      </c>
      <c r="G72" s="1">
        <v>0</v>
      </c>
      <c r="H72" s="1">
        <v>0</v>
      </c>
      <c r="I72" s="1">
        <v>99999</v>
      </c>
      <c r="J72" s="1">
        <v>3</v>
      </c>
      <c r="K72" s="1">
        <v>0</v>
      </c>
      <c r="L72" s="1">
        <v>2</v>
      </c>
      <c r="M72" s="1">
        <v>99</v>
      </c>
      <c r="N72" s="1"/>
      <c r="O72" s="1">
        <v>0</v>
      </c>
      <c r="P72" s="1">
        <v>0</v>
      </c>
      <c r="Q72" s="1"/>
      <c r="R72" s="1" t="s">
        <v>35</v>
      </c>
      <c r="S72" s="1">
        <v>1600</v>
      </c>
      <c r="T72" s="1">
        <v>0</v>
      </c>
      <c r="U72" s="2">
        <v>1</v>
      </c>
      <c r="V72" s="1">
        <v>1</v>
      </c>
      <c r="W72" s="1">
        <v>1</v>
      </c>
      <c r="X72" s="1"/>
      <c r="Y72" t="s">
        <v>50</v>
      </c>
      <c r="Z72" s="1" t="s">
        <v>1401</v>
      </c>
      <c r="AA72" s="2" t="s">
        <v>301</v>
      </c>
      <c r="AB72" s="5" t="str">
        <f t="shared" si="1"/>
        <v>&lt;br&gt;&lt;font color='#43FF98'&gt;                          最大魔法+28&lt;br&gt;&lt;br&gt;&lt;font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72" s="1">
        <v>20</v>
      </c>
      <c r="AD72" s="1" t="s">
        <v>36</v>
      </c>
      <c r="AE72" s="1">
        <v>0</v>
      </c>
      <c r="AF72">
        <v>15</v>
      </c>
      <c r="AG72" s="1">
        <v>0</v>
      </c>
      <c r="AH72" s="1">
        <v>0</v>
      </c>
      <c r="AI72" s="1">
        <v>1</v>
      </c>
      <c r="AJ72" s="1"/>
      <c r="AK72" s="1"/>
      <c r="AL72" s="1">
        <v>0</v>
      </c>
      <c r="AM72" s="1">
        <v>0</v>
      </c>
      <c r="AN72" s="1">
        <v>0</v>
      </c>
      <c r="AO72" s="1">
        <v>1</v>
      </c>
    </row>
    <row r="73" spans="1:41">
      <c r="A73" s="2">
        <v>10310</v>
      </c>
      <c r="B73" s="1" t="s">
        <v>129</v>
      </c>
      <c r="C73" s="1" t="s">
        <v>37</v>
      </c>
      <c r="D73" s="1" t="s">
        <v>38</v>
      </c>
      <c r="E73" s="1">
        <v>1</v>
      </c>
      <c r="F73" s="1">
        <v>15</v>
      </c>
      <c r="G73" s="1">
        <v>0</v>
      </c>
      <c r="H73" s="1">
        <v>0</v>
      </c>
      <c r="I73" s="1">
        <v>99999</v>
      </c>
      <c r="J73" s="1">
        <v>0</v>
      </c>
      <c r="K73" s="1">
        <v>0</v>
      </c>
      <c r="L73" s="1">
        <v>2</v>
      </c>
      <c r="M73" s="1">
        <v>99</v>
      </c>
      <c r="N73" s="1"/>
      <c r="O73" s="1">
        <v>0</v>
      </c>
      <c r="P73" s="1">
        <v>0</v>
      </c>
      <c r="Q73" s="1"/>
      <c r="R73" s="1" t="s">
        <v>35</v>
      </c>
      <c r="S73" s="1">
        <v>100</v>
      </c>
      <c r="T73" s="1">
        <v>0</v>
      </c>
      <c r="U73" s="2">
        <v>1</v>
      </c>
      <c r="V73" s="1">
        <v>1</v>
      </c>
      <c r="W73" s="1">
        <v>1</v>
      </c>
      <c r="X73" s="1"/>
      <c r="Y73" t="s">
        <v>46</v>
      </c>
      <c r="Z73" s="1" t="s">
        <v>1402</v>
      </c>
      <c r="AA73" s="2" t="s">
        <v>302</v>
      </c>
      <c r="AB73" s="5" t="str">
        <f t="shared" si="1"/>
        <v>&lt;br&gt;&lt;font color='#43FF98'&gt;                          最大魔防+1&lt;br&gt;&lt;br&gt;&lt;font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73" s="1">
        <v>20</v>
      </c>
      <c r="AD73" s="1" t="s">
        <v>36</v>
      </c>
      <c r="AE73" s="1">
        <v>0</v>
      </c>
      <c r="AF73">
        <v>15</v>
      </c>
      <c r="AG73" s="1">
        <v>0</v>
      </c>
      <c r="AH73" s="1">
        <v>0</v>
      </c>
      <c r="AI73" s="1">
        <v>1</v>
      </c>
      <c r="AJ73" s="1"/>
      <c r="AK73" s="1"/>
      <c r="AL73" s="1">
        <v>0</v>
      </c>
      <c r="AM73" s="1">
        <v>0</v>
      </c>
      <c r="AN73" s="1">
        <v>0</v>
      </c>
    </row>
    <row r="74" spans="1:41">
      <c r="A74" s="2">
        <v>10311</v>
      </c>
      <c r="B74" s="1" t="s">
        <v>130</v>
      </c>
      <c r="C74" s="1" t="s">
        <v>37</v>
      </c>
      <c r="D74" s="1" t="s">
        <v>38</v>
      </c>
      <c r="E74" s="1">
        <v>1</v>
      </c>
      <c r="F74" s="1">
        <v>15</v>
      </c>
      <c r="G74" s="1">
        <v>0</v>
      </c>
      <c r="H74" s="1">
        <v>0</v>
      </c>
      <c r="I74" s="1">
        <v>99999</v>
      </c>
      <c r="J74" s="1">
        <v>1</v>
      </c>
      <c r="K74" s="1">
        <v>0</v>
      </c>
      <c r="L74" s="1">
        <v>2</v>
      </c>
      <c r="M74" s="1">
        <v>99</v>
      </c>
      <c r="N74" s="1"/>
      <c r="O74" s="1">
        <v>0</v>
      </c>
      <c r="P74" s="1">
        <v>0</v>
      </c>
      <c r="Q74" s="1"/>
      <c r="R74" s="1" t="s">
        <v>35</v>
      </c>
      <c r="S74" s="1">
        <v>200</v>
      </c>
      <c r="T74" s="1">
        <v>0</v>
      </c>
      <c r="U74" s="2">
        <v>1</v>
      </c>
      <c r="V74" s="1">
        <v>1</v>
      </c>
      <c r="W74" s="1">
        <v>1</v>
      </c>
      <c r="X74" s="1"/>
      <c r="Y74" t="s">
        <v>47</v>
      </c>
      <c r="Z74" s="1" t="s">
        <v>1403</v>
      </c>
      <c r="AA74" s="2" t="s">
        <v>303</v>
      </c>
      <c r="AB74" s="5" t="str">
        <f t="shared" si="1"/>
        <v>&lt;br&gt;&lt;font color='#43FF98'&gt;                          最大魔防+2&lt;br&gt;&lt;br&gt;&lt;font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74" s="1">
        <v>20</v>
      </c>
      <c r="AD74" s="1" t="s">
        <v>36</v>
      </c>
      <c r="AE74" s="1">
        <v>0</v>
      </c>
      <c r="AF74">
        <v>15</v>
      </c>
      <c r="AG74" s="1">
        <v>0</v>
      </c>
      <c r="AH74" s="1">
        <v>0</v>
      </c>
      <c r="AI74" s="1">
        <v>1</v>
      </c>
      <c r="AJ74" s="1"/>
      <c r="AK74" s="1"/>
      <c r="AL74" s="1">
        <v>0</v>
      </c>
      <c r="AM74" s="1">
        <v>0</v>
      </c>
      <c r="AN74" s="1">
        <v>0</v>
      </c>
    </row>
    <row r="75" spans="1:41">
      <c r="A75" s="2">
        <v>10312</v>
      </c>
      <c r="B75" s="1" t="s">
        <v>131</v>
      </c>
      <c r="C75" s="1" t="s">
        <v>37</v>
      </c>
      <c r="D75" s="1" t="s">
        <v>38</v>
      </c>
      <c r="E75" s="1">
        <v>1</v>
      </c>
      <c r="F75" s="1">
        <v>15</v>
      </c>
      <c r="G75" s="1">
        <v>0</v>
      </c>
      <c r="H75" s="1">
        <v>0</v>
      </c>
      <c r="I75" s="1">
        <v>99999</v>
      </c>
      <c r="J75" s="1">
        <v>1</v>
      </c>
      <c r="K75" s="1">
        <v>0</v>
      </c>
      <c r="L75" s="1">
        <v>2</v>
      </c>
      <c r="M75" s="1">
        <v>99</v>
      </c>
      <c r="N75" s="1"/>
      <c r="O75" s="1">
        <v>0</v>
      </c>
      <c r="P75" s="1">
        <v>0</v>
      </c>
      <c r="Q75" s="1"/>
      <c r="R75" s="1" t="s">
        <v>35</v>
      </c>
      <c r="S75" s="1">
        <v>400</v>
      </c>
      <c r="T75" s="1">
        <v>0</v>
      </c>
      <c r="U75" s="2">
        <v>1</v>
      </c>
      <c r="V75" s="1">
        <v>1</v>
      </c>
      <c r="W75" s="1">
        <v>1</v>
      </c>
      <c r="X75" s="1"/>
      <c r="Y75" t="s">
        <v>48</v>
      </c>
      <c r="Z75" s="1" t="s">
        <v>1404</v>
      </c>
      <c r="AA75" s="2" t="s">
        <v>304</v>
      </c>
      <c r="AB75" s="5" t="str">
        <f t="shared" si="1"/>
        <v>&lt;br&gt;&lt;font color='#43FF98'&gt;                          最大魔防+3&lt;br&gt;&lt;br&gt;&lt;font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75" s="1">
        <v>20</v>
      </c>
      <c r="AD75" s="1" t="s">
        <v>36</v>
      </c>
      <c r="AE75" s="1">
        <v>0</v>
      </c>
      <c r="AF75">
        <v>15</v>
      </c>
      <c r="AG75" s="1">
        <v>0</v>
      </c>
      <c r="AH75" s="1">
        <v>0</v>
      </c>
      <c r="AI75" s="1">
        <v>1</v>
      </c>
      <c r="AJ75" s="1"/>
      <c r="AK75" s="1"/>
      <c r="AL75" s="1">
        <v>0</v>
      </c>
      <c r="AM75" s="1">
        <v>0</v>
      </c>
      <c r="AN75" s="1">
        <v>0</v>
      </c>
    </row>
    <row r="76" spans="1:41">
      <c r="A76" s="2">
        <v>10313</v>
      </c>
      <c r="B76" s="1" t="s">
        <v>132</v>
      </c>
      <c r="C76" s="1" t="s">
        <v>37</v>
      </c>
      <c r="D76" s="1" t="s">
        <v>38</v>
      </c>
      <c r="E76" s="1">
        <v>1</v>
      </c>
      <c r="F76" s="1">
        <v>15</v>
      </c>
      <c r="G76" s="1">
        <v>0</v>
      </c>
      <c r="H76" s="1">
        <v>0</v>
      </c>
      <c r="I76" s="1">
        <v>99999</v>
      </c>
      <c r="J76" s="1">
        <v>1</v>
      </c>
      <c r="K76" s="1">
        <v>0</v>
      </c>
      <c r="L76" s="1">
        <v>2</v>
      </c>
      <c r="M76" s="1">
        <v>99</v>
      </c>
      <c r="N76" s="1"/>
      <c r="O76" s="1">
        <v>0</v>
      </c>
      <c r="P76" s="1">
        <v>0</v>
      </c>
      <c r="Q76" s="1"/>
      <c r="R76" s="1" t="s">
        <v>35</v>
      </c>
      <c r="S76" s="1">
        <v>800</v>
      </c>
      <c r="T76" s="1">
        <v>0</v>
      </c>
      <c r="U76" s="2">
        <v>1</v>
      </c>
      <c r="V76" s="1">
        <v>1</v>
      </c>
      <c r="W76" s="1">
        <v>1</v>
      </c>
      <c r="X76" s="1"/>
      <c r="Y76" t="s">
        <v>49</v>
      </c>
      <c r="Z76" s="1" t="s">
        <v>1405</v>
      </c>
      <c r="AA76" s="2" t="s">
        <v>305</v>
      </c>
      <c r="AB76" s="5" t="str">
        <f t="shared" si="1"/>
        <v>&lt;br&gt;&lt;font color='#43FF98'&gt;                          最大魔防+5&lt;br&gt;&lt;br&gt;&lt;font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76" s="1">
        <v>20</v>
      </c>
      <c r="AD76" s="1" t="s">
        <v>36</v>
      </c>
      <c r="AE76" s="1">
        <v>0</v>
      </c>
      <c r="AF76">
        <v>15</v>
      </c>
      <c r="AG76" s="1">
        <v>0</v>
      </c>
      <c r="AH76" s="1">
        <v>0</v>
      </c>
      <c r="AI76" s="1">
        <v>1</v>
      </c>
      <c r="AJ76" s="1"/>
      <c r="AK76" s="1"/>
      <c r="AL76" s="1">
        <v>0</v>
      </c>
      <c r="AM76" s="1">
        <v>0</v>
      </c>
      <c r="AN76" s="1">
        <v>0</v>
      </c>
      <c r="AO76" s="1">
        <v>1</v>
      </c>
    </row>
    <row r="77" spans="1:41">
      <c r="A77" s="2">
        <v>10314</v>
      </c>
      <c r="B77" s="1" t="s">
        <v>133</v>
      </c>
      <c r="C77" s="1" t="s">
        <v>37</v>
      </c>
      <c r="D77" s="1" t="s">
        <v>38</v>
      </c>
      <c r="E77" s="1">
        <v>1</v>
      </c>
      <c r="F77" s="1">
        <v>15</v>
      </c>
      <c r="G77" s="1">
        <v>0</v>
      </c>
      <c r="H77" s="1">
        <v>0</v>
      </c>
      <c r="I77" s="1">
        <v>99999</v>
      </c>
      <c r="J77" s="1">
        <v>2</v>
      </c>
      <c r="K77" s="1">
        <v>0</v>
      </c>
      <c r="L77" s="1">
        <v>2</v>
      </c>
      <c r="M77" s="1">
        <v>99</v>
      </c>
      <c r="N77" s="1"/>
      <c r="O77" s="1">
        <v>0</v>
      </c>
      <c r="P77" s="1">
        <v>0</v>
      </c>
      <c r="Q77" s="1"/>
      <c r="R77" s="1" t="s">
        <v>35</v>
      </c>
      <c r="S77" s="1">
        <v>1600</v>
      </c>
      <c r="T77" s="1">
        <v>0</v>
      </c>
      <c r="U77" s="2">
        <v>1</v>
      </c>
      <c r="V77" s="1">
        <v>1</v>
      </c>
      <c r="W77" s="1">
        <v>1</v>
      </c>
      <c r="X77" s="1"/>
      <c r="Y77" t="s">
        <v>50</v>
      </c>
      <c r="Z77" s="1" t="s">
        <v>1406</v>
      </c>
      <c r="AA77" s="2" t="s">
        <v>306</v>
      </c>
      <c r="AB77" s="5" t="str">
        <f t="shared" si="1"/>
        <v>&lt;br&gt;&lt;font color='#43FF98'&gt;                          最大魔防+7&lt;br&gt;&lt;br&gt;&lt;font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77" s="1">
        <v>20</v>
      </c>
      <c r="AD77" s="1" t="s">
        <v>36</v>
      </c>
      <c r="AE77" s="1">
        <v>0</v>
      </c>
      <c r="AF77">
        <v>15</v>
      </c>
      <c r="AG77" s="1">
        <v>0</v>
      </c>
      <c r="AH77" s="1">
        <v>0</v>
      </c>
      <c r="AI77" s="1">
        <v>1</v>
      </c>
      <c r="AJ77" s="1"/>
      <c r="AK77" s="1"/>
      <c r="AL77" s="1">
        <v>0</v>
      </c>
      <c r="AM77" s="1">
        <v>0</v>
      </c>
      <c r="AN77" s="1">
        <v>0</v>
      </c>
      <c r="AO77" s="1">
        <v>1</v>
      </c>
    </row>
    <row r="78" spans="1:41">
      <c r="A78" s="2">
        <v>10315</v>
      </c>
      <c r="B78" s="1" t="s">
        <v>134</v>
      </c>
      <c r="C78" s="1" t="s">
        <v>37</v>
      </c>
      <c r="D78" s="1" t="s">
        <v>38</v>
      </c>
      <c r="E78" s="1">
        <v>1</v>
      </c>
      <c r="F78" s="1">
        <v>15</v>
      </c>
      <c r="G78" s="1">
        <v>0</v>
      </c>
      <c r="H78" s="1">
        <v>0</v>
      </c>
      <c r="I78" s="1">
        <v>99999</v>
      </c>
      <c r="J78" s="1">
        <v>2</v>
      </c>
      <c r="K78" s="1">
        <v>0</v>
      </c>
      <c r="L78" s="1">
        <v>2</v>
      </c>
      <c r="M78" s="1">
        <v>99</v>
      </c>
      <c r="N78" s="1"/>
      <c r="O78" s="1">
        <v>0</v>
      </c>
      <c r="P78" s="1">
        <v>0</v>
      </c>
      <c r="Q78" s="1"/>
      <c r="R78" s="1" t="s">
        <v>35</v>
      </c>
      <c r="S78" s="1">
        <v>100</v>
      </c>
      <c r="T78" s="1">
        <v>0</v>
      </c>
      <c r="U78" s="2">
        <v>1</v>
      </c>
      <c r="V78" s="1">
        <v>1</v>
      </c>
      <c r="W78" s="1">
        <v>1</v>
      </c>
      <c r="X78" s="1"/>
      <c r="Y78" t="s">
        <v>50</v>
      </c>
      <c r="Z78" s="1" t="s">
        <v>1407</v>
      </c>
      <c r="AA78" s="2" t="s">
        <v>307</v>
      </c>
      <c r="AB78" s="5" t="str">
        <f t="shared" si="1"/>
        <v>&lt;br&gt;&lt;font color='#43FF98'&gt;                          最大魔防+10&lt;br&gt;&lt;br&gt;&lt;font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78" s="1">
        <v>20</v>
      </c>
      <c r="AD78" s="1" t="s">
        <v>36</v>
      </c>
      <c r="AE78" s="1">
        <v>0</v>
      </c>
      <c r="AF78">
        <v>15</v>
      </c>
      <c r="AG78" s="1">
        <v>0</v>
      </c>
      <c r="AH78" s="1">
        <v>0</v>
      </c>
      <c r="AI78" s="1">
        <v>1</v>
      </c>
      <c r="AJ78" s="1"/>
      <c r="AK78" s="1"/>
      <c r="AL78" s="1">
        <v>0</v>
      </c>
      <c r="AM78" s="1">
        <v>0</v>
      </c>
      <c r="AN78" s="1">
        <v>0</v>
      </c>
      <c r="AO78" s="1">
        <v>1</v>
      </c>
    </row>
    <row r="79" spans="1:41">
      <c r="A79" s="2">
        <v>10316</v>
      </c>
      <c r="B79" s="1" t="s">
        <v>135</v>
      </c>
      <c r="C79" s="1" t="s">
        <v>37</v>
      </c>
      <c r="D79" s="1" t="s">
        <v>38</v>
      </c>
      <c r="E79" s="1">
        <v>1</v>
      </c>
      <c r="F79" s="1">
        <v>15</v>
      </c>
      <c r="G79" s="1">
        <v>0</v>
      </c>
      <c r="H79" s="1">
        <v>0</v>
      </c>
      <c r="I79" s="1">
        <v>99999</v>
      </c>
      <c r="J79" s="1">
        <v>2</v>
      </c>
      <c r="K79" s="1">
        <v>0</v>
      </c>
      <c r="L79" s="1">
        <v>2</v>
      </c>
      <c r="M79" s="1">
        <v>99</v>
      </c>
      <c r="N79" s="1"/>
      <c r="O79" s="1">
        <v>0</v>
      </c>
      <c r="P79" s="1">
        <v>0</v>
      </c>
      <c r="Q79" s="1"/>
      <c r="R79" s="1" t="s">
        <v>35</v>
      </c>
      <c r="S79" s="1">
        <v>200</v>
      </c>
      <c r="T79" s="1">
        <v>0</v>
      </c>
      <c r="U79" s="2">
        <v>1</v>
      </c>
      <c r="V79" s="1">
        <v>1</v>
      </c>
      <c r="W79" s="1">
        <v>1</v>
      </c>
      <c r="X79" s="1"/>
      <c r="Y79" t="s">
        <v>50</v>
      </c>
      <c r="Z79" s="1" t="s">
        <v>1408</v>
      </c>
      <c r="AA79" s="2" t="s">
        <v>308</v>
      </c>
      <c r="AB79" s="5" t="str">
        <f t="shared" si="1"/>
        <v>&lt;br&gt;&lt;font color='#43FF98'&gt;                          最大魔防+13&lt;br&gt;&lt;br&gt;&lt;font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79" s="1">
        <v>20</v>
      </c>
      <c r="AD79" s="1" t="s">
        <v>36</v>
      </c>
      <c r="AE79" s="1">
        <v>0</v>
      </c>
      <c r="AF79">
        <v>15</v>
      </c>
      <c r="AG79" s="1">
        <v>0</v>
      </c>
      <c r="AH79" s="1">
        <v>0</v>
      </c>
      <c r="AI79" s="1">
        <v>1</v>
      </c>
      <c r="AJ79" s="1"/>
      <c r="AK79" s="1"/>
      <c r="AL79" s="1">
        <v>0</v>
      </c>
      <c r="AM79" s="1">
        <v>0</v>
      </c>
      <c r="AN79" s="1">
        <v>0</v>
      </c>
      <c r="AO79" s="1">
        <v>1</v>
      </c>
    </row>
    <row r="80" spans="1:41">
      <c r="A80" s="2">
        <v>10317</v>
      </c>
      <c r="B80" s="1" t="s">
        <v>136</v>
      </c>
      <c r="C80" s="1" t="s">
        <v>37</v>
      </c>
      <c r="D80" s="1" t="s">
        <v>38</v>
      </c>
      <c r="E80" s="1">
        <v>1</v>
      </c>
      <c r="F80" s="1">
        <v>15</v>
      </c>
      <c r="G80" s="1">
        <v>0</v>
      </c>
      <c r="H80" s="1">
        <v>0</v>
      </c>
      <c r="I80" s="1">
        <v>99999</v>
      </c>
      <c r="J80" s="1">
        <v>3</v>
      </c>
      <c r="K80" s="1">
        <v>0</v>
      </c>
      <c r="L80" s="1">
        <v>2</v>
      </c>
      <c r="M80" s="1">
        <v>99</v>
      </c>
      <c r="N80" s="1"/>
      <c r="O80" s="1">
        <v>0</v>
      </c>
      <c r="P80" s="1">
        <v>0</v>
      </c>
      <c r="Q80" s="1"/>
      <c r="R80" s="1" t="s">
        <v>35</v>
      </c>
      <c r="S80" s="1">
        <v>400</v>
      </c>
      <c r="T80" s="1">
        <v>0</v>
      </c>
      <c r="U80" s="2">
        <v>1</v>
      </c>
      <c r="V80" s="1">
        <v>1</v>
      </c>
      <c r="W80" s="1">
        <v>1</v>
      </c>
      <c r="X80" s="1"/>
      <c r="Y80" t="s">
        <v>50</v>
      </c>
      <c r="Z80" s="1" t="s">
        <v>1409</v>
      </c>
      <c r="AA80" s="2" t="s">
        <v>309</v>
      </c>
      <c r="AB80" s="5" t="str">
        <f t="shared" si="1"/>
        <v>&lt;br&gt;&lt;font color='#43FF98'&gt;                          最大魔防+17&lt;br&gt;&lt;br&gt;&lt;font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80" s="1">
        <v>20</v>
      </c>
      <c r="AD80" s="1" t="s">
        <v>36</v>
      </c>
      <c r="AE80" s="1">
        <v>0</v>
      </c>
      <c r="AF80">
        <v>15</v>
      </c>
      <c r="AG80" s="1">
        <v>0</v>
      </c>
      <c r="AH80" s="1">
        <v>0</v>
      </c>
      <c r="AI80" s="1">
        <v>1</v>
      </c>
      <c r="AJ80" s="1"/>
      <c r="AK80" s="1"/>
      <c r="AL80" s="1">
        <v>0</v>
      </c>
      <c r="AM80" s="1">
        <v>0</v>
      </c>
      <c r="AN80" s="1">
        <v>0</v>
      </c>
      <c r="AO80" s="1">
        <v>1</v>
      </c>
    </row>
    <row r="81" spans="1:41">
      <c r="A81" s="2">
        <v>10318</v>
      </c>
      <c r="B81" s="1" t="s">
        <v>137</v>
      </c>
      <c r="C81" s="1" t="s">
        <v>37</v>
      </c>
      <c r="D81" s="1" t="s">
        <v>38</v>
      </c>
      <c r="E81" s="1">
        <v>1</v>
      </c>
      <c r="F81" s="1">
        <v>15</v>
      </c>
      <c r="G81" s="1">
        <v>0</v>
      </c>
      <c r="H81" s="1">
        <v>0</v>
      </c>
      <c r="I81" s="1">
        <v>99999</v>
      </c>
      <c r="J81" s="1">
        <v>3</v>
      </c>
      <c r="K81" s="1">
        <v>0</v>
      </c>
      <c r="L81" s="1">
        <v>2</v>
      </c>
      <c r="M81" s="1">
        <v>99</v>
      </c>
      <c r="N81" s="1"/>
      <c r="O81" s="1">
        <v>0</v>
      </c>
      <c r="P81" s="1">
        <v>0</v>
      </c>
      <c r="Q81" s="1"/>
      <c r="R81" s="1" t="s">
        <v>35</v>
      </c>
      <c r="S81" s="1">
        <v>800</v>
      </c>
      <c r="T81" s="1">
        <v>0</v>
      </c>
      <c r="U81" s="2">
        <v>1</v>
      </c>
      <c r="V81" s="1">
        <v>1</v>
      </c>
      <c r="W81" s="1">
        <v>1</v>
      </c>
      <c r="X81" s="1"/>
      <c r="Y81" t="s">
        <v>50</v>
      </c>
      <c r="Z81" s="1" t="s">
        <v>1410</v>
      </c>
      <c r="AA81" s="2" t="s">
        <v>310</v>
      </c>
      <c r="AB81" s="5" t="str">
        <f t="shared" si="1"/>
        <v>&lt;br&gt;&lt;font color='#43FF98'&gt;                          最大魔防+22&lt;br&gt;&lt;br&gt;&lt;font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81" s="1">
        <v>20</v>
      </c>
      <c r="AD81" s="1" t="s">
        <v>36</v>
      </c>
      <c r="AE81" s="1">
        <v>0</v>
      </c>
      <c r="AF81">
        <v>15</v>
      </c>
      <c r="AG81" s="1">
        <v>0</v>
      </c>
      <c r="AH81" s="1">
        <v>0</v>
      </c>
      <c r="AI81" s="1">
        <v>1</v>
      </c>
      <c r="AJ81" s="1"/>
      <c r="AK81" s="1"/>
      <c r="AL81" s="1">
        <v>0</v>
      </c>
      <c r="AM81" s="1">
        <v>0</v>
      </c>
      <c r="AN81" s="1">
        <v>0</v>
      </c>
      <c r="AO81" s="1">
        <v>1</v>
      </c>
    </row>
    <row r="82" spans="1:41">
      <c r="A82" s="2">
        <v>10319</v>
      </c>
      <c r="B82" s="1" t="s">
        <v>138</v>
      </c>
      <c r="C82" s="1" t="s">
        <v>37</v>
      </c>
      <c r="D82" s="1" t="s">
        <v>38</v>
      </c>
      <c r="E82" s="1">
        <v>1</v>
      </c>
      <c r="F82" s="1">
        <v>15</v>
      </c>
      <c r="G82" s="1">
        <v>0</v>
      </c>
      <c r="H82" s="1">
        <v>0</v>
      </c>
      <c r="I82" s="1">
        <v>99999</v>
      </c>
      <c r="J82" s="1">
        <v>3</v>
      </c>
      <c r="K82" s="1">
        <v>0</v>
      </c>
      <c r="L82" s="1">
        <v>2</v>
      </c>
      <c r="M82" s="1">
        <v>99</v>
      </c>
      <c r="N82" s="1"/>
      <c r="O82" s="1">
        <v>0</v>
      </c>
      <c r="P82" s="1">
        <v>0</v>
      </c>
      <c r="Q82" s="1"/>
      <c r="R82" s="1" t="s">
        <v>35</v>
      </c>
      <c r="S82" s="1">
        <v>1600</v>
      </c>
      <c r="T82" s="1">
        <v>0</v>
      </c>
      <c r="U82" s="2">
        <v>1</v>
      </c>
      <c r="V82" s="1">
        <v>1</v>
      </c>
      <c r="W82" s="1">
        <v>1</v>
      </c>
      <c r="X82" s="1"/>
      <c r="Y82" t="s">
        <v>50</v>
      </c>
      <c r="Z82" s="1" t="s">
        <v>1411</v>
      </c>
      <c r="AA82" s="2" t="s">
        <v>311</v>
      </c>
      <c r="AB82" s="5" t="str">
        <f t="shared" si="1"/>
        <v>&lt;br&gt;&lt;font color='#43FF98'&gt;                          最大魔防+28&lt;br&gt;&lt;br&gt;&lt;font color='#F2F2F2'&gt;封印强大灵魂能量的蓝色灵石，可镶入装备的蓝色插槽中提升装备属性&lt;br&gt;&lt;font color='#B2B2B2'&gt;            [按下&lt;font color='#FFa500'&gt;I&lt;font color='#B2B2B2'&gt;键打开灵魂镶嵌界面]</v>
      </c>
      <c r="AC82" s="1">
        <v>20</v>
      </c>
      <c r="AD82" s="1" t="s">
        <v>36</v>
      </c>
      <c r="AE82" s="1">
        <v>0</v>
      </c>
      <c r="AF82">
        <v>15</v>
      </c>
      <c r="AG82" s="1">
        <v>0</v>
      </c>
      <c r="AH82" s="1">
        <v>0</v>
      </c>
      <c r="AI82" s="1">
        <v>1</v>
      </c>
      <c r="AJ82" s="1"/>
      <c r="AK82" s="1"/>
      <c r="AL82" s="1">
        <v>0</v>
      </c>
      <c r="AM82" s="1">
        <v>0</v>
      </c>
      <c r="AN82" s="1">
        <v>0</v>
      </c>
      <c r="AO82" s="1">
        <v>1</v>
      </c>
    </row>
    <row r="83" spans="1:41">
      <c r="A83" s="2">
        <v>10320</v>
      </c>
      <c r="B83" s="1" t="s">
        <v>139</v>
      </c>
      <c r="C83" s="1" t="s">
        <v>37</v>
      </c>
      <c r="D83" s="1" t="s">
        <v>38</v>
      </c>
      <c r="E83" s="1">
        <v>1</v>
      </c>
      <c r="F83" s="1">
        <v>15</v>
      </c>
      <c r="G83" s="1">
        <v>0</v>
      </c>
      <c r="H83" s="1">
        <v>0</v>
      </c>
      <c r="I83" s="1">
        <v>99999</v>
      </c>
      <c r="J83" s="1">
        <v>0</v>
      </c>
      <c r="K83" s="1">
        <v>0</v>
      </c>
      <c r="L83" s="1">
        <v>2</v>
      </c>
      <c r="M83" s="1">
        <v>99</v>
      </c>
      <c r="N83" s="1"/>
      <c r="O83" s="1">
        <v>0</v>
      </c>
      <c r="P83" s="1">
        <v>0</v>
      </c>
      <c r="Q83" s="1"/>
      <c r="R83" s="1" t="s">
        <v>35</v>
      </c>
      <c r="S83" s="1">
        <v>100</v>
      </c>
      <c r="T83" s="1">
        <v>0</v>
      </c>
      <c r="U83" s="2">
        <v>1</v>
      </c>
      <c r="V83" s="1">
        <v>1</v>
      </c>
      <c r="W83" s="1">
        <v>1</v>
      </c>
      <c r="X83" s="1"/>
      <c r="Y83" t="s">
        <v>46</v>
      </c>
      <c r="Z83" s="1" t="e">
        <v>#N/A</v>
      </c>
      <c r="AA83" s="2" t="s">
        <v>361</v>
      </c>
      <c r="AB83" s="5" t="e">
        <f t="shared" si="1"/>
        <v>#N/A</v>
      </c>
      <c r="AC83" s="1">
        <v>20</v>
      </c>
      <c r="AD83" s="1" t="s">
        <v>36</v>
      </c>
      <c r="AE83" s="1">
        <v>0</v>
      </c>
      <c r="AF83">
        <v>15</v>
      </c>
      <c r="AG83" s="1">
        <v>0</v>
      </c>
      <c r="AH83" s="1">
        <v>0</v>
      </c>
      <c r="AI83" s="1">
        <v>1</v>
      </c>
      <c r="AJ83" s="1"/>
      <c r="AK83" s="1"/>
      <c r="AL83" s="1">
        <v>0</v>
      </c>
      <c r="AM83" s="1">
        <v>0</v>
      </c>
      <c r="AN83" s="1">
        <v>0</v>
      </c>
    </row>
    <row r="84" spans="1:41">
      <c r="A84" s="2">
        <v>10321</v>
      </c>
      <c r="B84" s="1" t="s">
        <v>140</v>
      </c>
      <c r="C84" s="1" t="s">
        <v>37</v>
      </c>
      <c r="D84" s="1" t="s">
        <v>38</v>
      </c>
      <c r="E84" s="1">
        <v>1</v>
      </c>
      <c r="F84" s="1">
        <v>15</v>
      </c>
      <c r="G84" s="1">
        <v>0</v>
      </c>
      <c r="H84" s="1">
        <v>0</v>
      </c>
      <c r="I84" s="1">
        <v>99999</v>
      </c>
      <c r="J84" s="1">
        <v>1</v>
      </c>
      <c r="K84" s="1">
        <v>0</v>
      </c>
      <c r="L84" s="1">
        <v>2</v>
      </c>
      <c r="M84" s="1">
        <v>99</v>
      </c>
      <c r="N84" s="1"/>
      <c r="O84" s="1">
        <v>0</v>
      </c>
      <c r="P84" s="1">
        <v>0</v>
      </c>
      <c r="Q84" s="1"/>
      <c r="R84" s="1" t="s">
        <v>35</v>
      </c>
      <c r="S84" s="1">
        <v>200</v>
      </c>
      <c r="T84" s="1">
        <v>0</v>
      </c>
      <c r="U84" s="2">
        <v>1</v>
      </c>
      <c r="V84" s="1">
        <v>1</v>
      </c>
      <c r="W84" s="1">
        <v>1</v>
      </c>
      <c r="X84" s="1"/>
      <c r="Y84" t="s">
        <v>47</v>
      </c>
      <c r="Z84" s="1" t="e">
        <v>#N/A</v>
      </c>
      <c r="AA84" s="2" t="s">
        <v>312</v>
      </c>
      <c r="AB84" s="5" t="e">
        <f t="shared" si="1"/>
        <v>#N/A</v>
      </c>
      <c r="AC84" s="1">
        <v>20</v>
      </c>
      <c r="AD84" s="1" t="s">
        <v>36</v>
      </c>
      <c r="AE84" s="1">
        <v>0</v>
      </c>
      <c r="AF84">
        <v>15</v>
      </c>
      <c r="AG84" s="1">
        <v>0</v>
      </c>
      <c r="AH84" s="1">
        <v>0</v>
      </c>
      <c r="AI84" s="1">
        <v>1</v>
      </c>
      <c r="AJ84" s="1"/>
      <c r="AK84" s="1"/>
      <c r="AL84" s="1">
        <v>0</v>
      </c>
      <c r="AM84" s="1">
        <v>0</v>
      </c>
      <c r="AN84" s="1">
        <v>0</v>
      </c>
    </row>
    <row r="85" spans="1:41">
      <c r="A85" s="2">
        <v>10322</v>
      </c>
      <c r="B85" s="1" t="s">
        <v>141</v>
      </c>
      <c r="C85" s="1" t="s">
        <v>37</v>
      </c>
      <c r="D85" s="1" t="s">
        <v>38</v>
      </c>
      <c r="E85" s="1">
        <v>1</v>
      </c>
      <c r="F85" s="1">
        <v>15</v>
      </c>
      <c r="G85" s="1">
        <v>0</v>
      </c>
      <c r="H85" s="1">
        <v>0</v>
      </c>
      <c r="I85" s="1">
        <v>99999</v>
      </c>
      <c r="J85" s="1">
        <v>1</v>
      </c>
      <c r="K85" s="1">
        <v>0</v>
      </c>
      <c r="L85" s="1">
        <v>2</v>
      </c>
      <c r="M85" s="1">
        <v>99</v>
      </c>
      <c r="N85" s="1"/>
      <c r="O85" s="1">
        <v>0</v>
      </c>
      <c r="P85" s="1">
        <v>0</v>
      </c>
      <c r="Q85" s="1"/>
      <c r="R85" s="1" t="s">
        <v>35</v>
      </c>
      <c r="S85" s="1">
        <v>400</v>
      </c>
      <c r="T85" s="1">
        <v>0</v>
      </c>
      <c r="U85" s="2">
        <v>1</v>
      </c>
      <c r="V85" s="1">
        <v>1</v>
      </c>
      <c r="W85" s="1">
        <v>1</v>
      </c>
      <c r="X85" s="1"/>
      <c r="Y85" t="s">
        <v>48</v>
      </c>
      <c r="Z85" s="1" t="e">
        <v>#N/A</v>
      </c>
      <c r="AA85" s="2" t="s">
        <v>362</v>
      </c>
      <c r="AB85" s="5" t="e">
        <f t="shared" si="1"/>
        <v>#N/A</v>
      </c>
      <c r="AC85" s="1">
        <v>20</v>
      </c>
      <c r="AD85" s="1" t="s">
        <v>36</v>
      </c>
      <c r="AE85" s="1">
        <v>0</v>
      </c>
      <c r="AF85">
        <v>15</v>
      </c>
      <c r="AG85" s="1">
        <v>0</v>
      </c>
      <c r="AH85" s="1">
        <v>0</v>
      </c>
      <c r="AI85" s="1">
        <v>1</v>
      </c>
      <c r="AJ85" s="1"/>
      <c r="AK85" s="1"/>
      <c r="AL85" s="1">
        <v>0</v>
      </c>
      <c r="AM85" s="1">
        <v>0</v>
      </c>
      <c r="AN85" s="1">
        <v>0</v>
      </c>
    </row>
    <row r="86" spans="1:41">
      <c r="A86" s="2">
        <v>10323</v>
      </c>
      <c r="B86" s="1" t="s">
        <v>142</v>
      </c>
      <c r="C86" s="1" t="s">
        <v>37</v>
      </c>
      <c r="D86" s="1" t="s">
        <v>38</v>
      </c>
      <c r="E86" s="1">
        <v>1</v>
      </c>
      <c r="F86" s="1">
        <v>15</v>
      </c>
      <c r="G86" s="1">
        <v>0</v>
      </c>
      <c r="H86" s="1">
        <v>0</v>
      </c>
      <c r="I86" s="1">
        <v>99999</v>
      </c>
      <c r="J86" s="1">
        <v>1</v>
      </c>
      <c r="K86" s="1">
        <v>0</v>
      </c>
      <c r="L86" s="1">
        <v>2</v>
      </c>
      <c r="M86" s="1">
        <v>99</v>
      </c>
      <c r="N86" s="1"/>
      <c r="O86" s="1">
        <v>0</v>
      </c>
      <c r="P86" s="1">
        <v>0</v>
      </c>
      <c r="Q86" s="1"/>
      <c r="R86" s="1" t="s">
        <v>35</v>
      </c>
      <c r="S86" s="1">
        <v>800</v>
      </c>
      <c r="T86" s="1">
        <v>0</v>
      </c>
      <c r="U86" s="2">
        <v>1</v>
      </c>
      <c r="V86" s="1">
        <v>1</v>
      </c>
      <c r="W86" s="1">
        <v>1</v>
      </c>
      <c r="X86" s="1"/>
      <c r="Y86" t="s">
        <v>49</v>
      </c>
      <c r="Z86" s="1" t="e">
        <v>#N/A</v>
      </c>
      <c r="AA86" s="2" t="s">
        <v>313</v>
      </c>
      <c r="AB86" s="5" t="e">
        <f t="shared" si="1"/>
        <v>#N/A</v>
      </c>
      <c r="AC86" s="1">
        <v>20</v>
      </c>
      <c r="AD86" s="1" t="s">
        <v>36</v>
      </c>
      <c r="AE86" s="1">
        <v>0</v>
      </c>
      <c r="AF86">
        <v>15</v>
      </c>
      <c r="AG86" s="1">
        <v>0</v>
      </c>
      <c r="AH86" s="1">
        <v>0</v>
      </c>
      <c r="AI86" s="1">
        <v>1</v>
      </c>
      <c r="AJ86" s="1"/>
      <c r="AK86" s="1"/>
      <c r="AL86" s="1">
        <v>0</v>
      </c>
      <c r="AM86" s="1">
        <v>0</v>
      </c>
      <c r="AN86" s="1">
        <v>0</v>
      </c>
      <c r="AO86" s="1">
        <v>1</v>
      </c>
    </row>
    <row r="87" spans="1:41">
      <c r="A87" s="2">
        <v>10324</v>
      </c>
      <c r="B87" s="1" t="s">
        <v>143</v>
      </c>
      <c r="C87" s="1" t="s">
        <v>37</v>
      </c>
      <c r="D87" s="1" t="s">
        <v>38</v>
      </c>
      <c r="E87" s="1">
        <v>1</v>
      </c>
      <c r="F87" s="1">
        <v>15</v>
      </c>
      <c r="G87" s="1">
        <v>0</v>
      </c>
      <c r="H87" s="1">
        <v>0</v>
      </c>
      <c r="I87" s="1">
        <v>99999</v>
      </c>
      <c r="J87" s="1">
        <v>2</v>
      </c>
      <c r="K87" s="1">
        <v>0</v>
      </c>
      <c r="L87" s="1">
        <v>2</v>
      </c>
      <c r="M87" s="1">
        <v>99</v>
      </c>
      <c r="N87" s="1"/>
      <c r="O87" s="1">
        <v>0</v>
      </c>
      <c r="P87" s="1">
        <v>0</v>
      </c>
      <c r="Q87" s="1"/>
      <c r="R87" s="1" t="s">
        <v>35</v>
      </c>
      <c r="S87" s="1">
        <v>1600</v>
      </c>
      <c r="T87" s="1">
        <v>0</v>
      </c>
      <c r="U87" s="2">
        <v>1</v>
      </c>
      <c r="V87" s="1">
        <v>1</v>
      </c>
      <c r="W87" s="1">
        <v>1</v>
      </c>
      <c r="X87" s="1"/>
      <c r="Y87" t="s">
        <v>50</v>
      </c>
      <c r="Z87" s="1" t="e">
        <v>#N/A</v>
      </c>
      <c r="AA87" s="2" t="s">
        <v>363</v>
      </c>
      <c r="AB87" s="5" t="e">
        <f t="shared" si="1"/>
        <v>#N/A</v>
      </c>
      <c r="AC87" s="1">
        <v>20</v>
      </c>
      <c r="AD87" s="1" t="s">
        <v>36</v>
      </c>
      <c r="AE87" s="1">
        <v>0</v>
      </c>
      <c r="AF87">
        <v>15</v>
      </c>
      <c r="AG87" s="1">
        <v>0</v>
      </c>
      <c r="AH87" s="1">
        <v>0</v>
      </c>
      <c r="AI87" s="1">
        <v>1</v>
      </c>
      <c r="AJ87" s="1"/>
      <c r="AK87" s="1"/>
      <c r="AL87" s="1">
        <v>0</v>
      </c>
      <c r="AM87" s="1">
        <v>0</v>
      </c>
      <c r="AN87" s="1">
        <v>0</v>
      </c>
      <c r="AO87" s="1">
        <v>1</v>
      </c>
    </row>
    <row r="88" spans="1:41">
      <c r="A88" s="2">
        <v>10325</v>
      </c>
      <c r="B88" s="1" t="s">
        <v>144</v>
      </c>
      <c r="C88" s="1" t="s">
        <v>37</v>
      </c>
      <c r="D88" s="1" t="s">
        <v>38</v>
      </c>
      <c r="E88" s="1">
        <v>1</v>
      </c>
      <c r="F88" s="1">
        <v>15</v>
      </c>
      <c r="G88" s="1">
        <v>0</v>
      </c>
      <c r="H88" s="1">
        <v>0</v>
      </c>
      <c r="I88" s="1">
        <v>99999</v>
      </c>
      <c r="J88" s="1">
        <v>2</v>
      </c>
      <c r="K88" s="1">
        <v>0</v>
      </c>
      <c r="L88" s="1">
        <v>2</v>
      </c>
      <c r="M88" s="1">
        <v>99</v>
      </c>
      <c r="N88" s="1"/>
      <c r="O88" s="1">
        <v>0</v>
      </c>
      <c r="P88" s="1">
        <v>0</v>
      </c>
      <c r="Q88" s="1"/>
      <c r="R88" s="1" t="s">
        <v>35</v>
      </c>
      <c r="S88" s="1">
        <v>100</v>
      </c>
      <c r="T88" s="1">
        <v>0</v>
      </c>
      <c r="U88" s="2">
        <v>1</v>
      </c>
      <c r="V88" s="1">
        <v>1</v>
      </c>
      <c r="W88" s="1">
        <v>1</v>
      </c>
      <c r="X88" s="1"/>
      <c r="Y88" t="s">
        <v>50</v>
      </c>
      <c r="Z88" s="1" t="e">
        <v>#N/A</v>
      </c>
      <c r="AA88" s="2" t="s">
        <v>314</v>
      </c>
      <c r="AB88" s="5" t="e">
        <f t="shared" si="1"/>
        <v>#N/A</v>
      </c>
      <c r="AC88" s="1">
        <v>20</v>
      </c>
      <c r="AD88" s="1" t="s">
        <v>36</v>
      </c>
      <c r="AE88" s="1">
        <v>0</v>
      </c>
      <c r="AF88">
        <v>15</v>
      </c>
      <c r="AG88" s="1">
        <v>0</v>
      </c>
      <c r="AH88" s="1">
        <v>0</v>
      </c>
      <c r="AI88" s="1">
        <v>1</v>
      </c>
      <c r="AJ88" s="1"/>
      <c r="AK88" s="1"/>
      <c r="AL88" s="1">
        <v>0</v>
      </c>
      <c r="AM88" s="1">
        <v>0</v>
      </c>
      <c r="AN88" s="1">
        <v>0</v>
      </c>
      <c r="AO88" s="1">
        <v>1</v>
      </c>
    </row>
    <row r="89" spans="1:41">
      <c r="A89" s="2">
        <v>10326</v>
      </c>
      <c r="B89" s="1" t="s">
        <v>145</v>
      </c>
      <c r="C89" s="1" t="s">
        <v>37</v>
      </c>
      <c r="D89" s="1" t="s">
        <v>38</v>
      </c>
      <c r="E89" s="1">
        <v>1</v>
      </c>
      <c r="F89" s="1">
        <v>15</v>
      </c>
      <c r="G89" s="1">
        <v>0</v>
      </c>
      <c r="H89" s="1">
        <v>0</v>
      </c>
      <c r="I89" s="1">
        <v>99999</v>
      </c>
      <c r="J89" s="1">
        <v>2</v>
      </c>
      <c r="K89" s="1">
        <v>0</v>
      </c>
      <c r="L89" s="1">
        <v>2</v>
      </c>
      <c r="M89" s="1">
        <v>99</v>
      </c>
      <c r="N89" s="1"/>
      <c r="O89" s="1">
        <v>0</v>
      </c>
      <c r="P89" s="1">
        <v>0</v>
      </c>
      <c r="Q89" s="1"/>
      <c r="R89" s="1" t="s">
        <v>35</v>
      </c>
      <c r="S89" s="1">
        <v>200</v>
      </c>
      <c r="T89" s="1">
        <v>0</v>
      </c>
      <c r="U89" s="2">
        <v>1</v>
      </c>
      <c r="V89" s="1">
        <v>1</v>
      </c>
      <c r="W89" s="1">
        <v>1</v>
      </c>
      <c r="X89" s="1"/>
      <c r="Y89" t="s">
        <v>50</v>
      </c>
      <c r="Z89" s="1" t="e">
        <v>#N/A</v>
      </c>
      <c r="AA89" s="2" t="s">
        <v>364</v>
      </c>
      <c r="AB89" s="5" t="e">
        <f t="shared" si="1"/>
        <v>#N/A</v>
      </c>
      <c r="AC89" s="1">
        <v>20</v>
      </c>
      <c r="AD89" s="1" t="s">
        <v>36</v>
      </c>
      <c r="AE89" s="1">
        <v>0</v>
      </c>
      <c r="AF89">
        <v>15</v>
      </c>
      <c r="AG89" s="1">
        <v>0</v>
      </c>
      <c r="AH89" s="1">
        <v>0</v>
      </c>
      <c r="AI89" s="1">
        <v>1</v>
      </c>
      <c r="AJ89" s="1"/>
      <c r="AK89" s="1"/>
      <c r="AL89" s="1">
        <v>0</v>
      </c>
      <c r="AM89" s="1">
        <v>0</v>
      </c>
      <c r="AN89" s="1">
        <v>0</v>
      </c>
      <c r="AO89" s="1">
        <v>1</v>
      </c>
    </row>
    <row r="90" spans="1:41">
      <c r="A90" s="2">
        <v>10327</v>
      </c>
      <c r="B90" s="1" t="s">
        <v>146</v>
      </c>
      <c r="C90" s="1" t="s">
        <v>37</v>
      </c>
      <c r="D90" s="1" t="s">
        <v>38</v>
      </c>
      <c r="E90" s="1">
        <v>1</v>
      </c>
      <c r="F90" s="1">
        <v>15</v>
      </c>
      <c r="G90" s="1">
        <v>0</v>
      </c>
      <c r="H90" s="1">
        <v>0</v>
      </c>
      <c r="I90" s="1">
        <v>99999</v>
      </c>
      <c r="J90" s="1">
        <v>3</v>
      </c>
      <c r="K90" s="1">
        <v>0</v>
      </c>
      <c r="L90" s="1">
        <v>2</v>
      </c>
      <c r="M90" s="1">
        <v>99</v>
      </c>
      <c r="N90" s="1"/>
      <c r="O90" s="1">
        <v>0</v>
      </c>
      <c r="P90" s="1">
        <v>0</v>
      </c>
      <c r="Q90" s="1"/>
      <c r="R90" s="1" t="s">
        <v>35</v>
      </c>
      <c r="S90" s="1">
        <v>400</v>
      </c>
      <c r="T90" s="1">
        <v>0</v>
      </c>
      <c r="U90" s="2">
        <v>1</v>
      </c>
      <c r="V90" s="1">
        <v>1</v>
      </c>
      <c r="W90" s="1">
        <v>1</v>
      </c>
      <c r="X90" s="1"/>
      <c r="Y90" t="s">
        <v>50</v>
      </c>
      <c r="Z90" s="1" t="e">
        <v>#N/A</v>
      </c>
      <c r="AA90" s="2" t="s">
        <v>315</v>
      </c>
      <c r="AB90" s="5" t="e">
        <f t="shared" si="1"/>
        <v>#N/A</v>
      </c>
      <c r="AC90" s="1">
        <v>20</v>
      </c>
      <c r="AD90" s="1" t="s">
        <v>36</v>
      </c>
      <c r="AE90" s="1">
        <v>0</v>
      </c>
      <c r="AF90">
        <v>15</v>
      </c>
      <c r="AG90" s="1">
        <v>0</v>
      </c>
      <c r="AH90" s="1">
        <v>0</v>
      </c>
      <c r="AI90" s="1">
        <v>1</v>
      </c>
      <c r="AJ90" s="1"/>
      <c r="AK90" s="1"/>
      <c r="AL90" s="1">
        <v>0</v>
      </c>
      <c r="AM90" s="1">
        <v>0</v>
      </c>
      <c r="AN90" s="1">
        <v>0</v>
      </c>
      <c r="AO90" s="1">
        <v>1</v>
      </c>
    </row>
    <row r="91" spans="1:41">
      <c r="A91" s="2">
        <v>10328</v>
      </c>
      <c r="B91" s="1" t="s">
        <v>147</v>
      </c>
      <c r="C91" s="1" t="s">
        <v>37</v>
      </c>
      <c r="D91" s="1" t="s">
        <v>38</v>
      </c>
      <c r="E91" s="1">
        <v>1</v>
      </c>
      <c r="F91" s="1">
        <v>15</v>
      </c>
      <c r="G91" s="1">
        <v>0</v>
      </c>
      <c r="H91" s="1">
        <v>0</v>
      </c>
      <c r="I91" s="1">
        <v>99999</v>
      </c>
      <c r="J91" s="1">
        <v>3</v>
      </c>
      <c r="K91" s="1">
        <v>0</v>
      </c>
      <c r="L91" s="1">
        <v>2</v>
      </c>
      <c r="M91" s="1">
        <v>99</v>
      </c>
      <c r="N91" s="1"/>
      <c r="O91" s="1">
        <v>0</v>
      </c>
      <c r="P91" s="1">
        <v>0</v>
      </c>
      <c r="Q91" s="1"/>
      <c r="R91" s="1" t="s">
        <v>35</v>
      </c>
      <c r="S91" s="1">
        <v>800</v>
      </c>
      <c r="T91" s="1">
        <v>0</v>
      </c>
      <c r="U91" s="2">
        <v>1</v>
      </c>
      <c r="V91" s="1">
        <v>1</v>
      </c>
      <c r="W91" s="1">
        <v>1</v>
      </c>
      <c r="X91" s="1"/>
      <c r="Y91" t="s">
        <v>50</v>
      </c>
      <c r="Z91" s="1" t="e">
        <v>#N/A</v>
      </c>
      <c r="AA91" s="2" t="s">
        <v>365</v>
      </c>
      <c r="AB91" s="5" t="e">
        <f t="shared" si="1"/>
        <v>#N/A</v>
      </c>
      <c r="AC91" s="1">
        <v>20</v>
      </c>
      <c r="AD91" s="1" t="s">
        <v>36</v>
      </c>
      <c r="AE91" s="1">
        <v>0</v>
      </c>
      <c r="AF91">
        <v>15</v>
      </c>
      <c r="AG91" s="1">
        <v>0</v>
      </c>
      <c r="AH91" s="1">
        <v>0</v>
      </c>
      <c r="AI91" s="1">
        <v>1</v>
      </c>
      <c r="AJ91" s="1"/>
      <c r="AK91" s="1"/>
      <c r="AL91" s="1">
        <v>0</v>
      </c>
      <c r="AM91" s="1">
        <v>0</v>
      </c>
      <c r="AN91" s="1">
        <v>0</v>
      </c>
      <c r="AO91" s="1">
        <v>1</v>
      </c>
    </row>
    <row r="92" spans="1:41">
      <c r="A92" s="2">
        <v>10329</v>
      </c>
      <c r="B92" s="1" t="s">
        <v>148</v>
      </c>
      <c r="C92" s="1" t="s">
        <v>37</v>
      </c>
      <c r="D92" s="1" t="s">
        <v>38</v>
      </c>
      <c r="E92" s="1">
        <v>1</v>
      </c>
      <c r="F92" s="1">
        <v>15</v>
      </c>
      <c r="G92" s="1">
        <v>0</v>
      </c>
      <c r="H92" s="1">
        <v>0</v>
      </c>
      <c r="I92" s="1">
        <v>99999</v>
      </c>
      <c r="J92" s="1">
        <v>3</v>
      </c>
      <c r="K92" s="1">
        <v>0</v>
      </c>
      <c r="L92" s="1">
        <v>2</v>
      </c>
      <c r="M92" s="1">
        <v>99</v>
      </c>
      <c r="N92" s="1"/>
      <c r="O92" s="1">
        <v>0</v>
      </c>
      <c r="P92" s="1">
        <v>0</v>
      </c>
      <c r="Q92" s="1"/>
      <c r="R92" s="1" t="s">
        <v>35</v>
      </c>
      <c r="S92" s="1">
        <v>1600</v>
      </c>
      <c r="T92" s="1">
        <v>0</v>
      </c>
      <c r="U92" s="2">
        <v>1</v>
      </c>
      <c r="V92" s="1">
        <v>1</v>
      </c>
      <c r="W92" s="1">
        <v>1</v>
      </c>
      <c r="X92" s="1"/>
      <c r="Y92" t="s">
        <v>50</v>
      </c>
      <c r="Z92" s="1" t="e">
        <v>#N/A</v>
      </c>
      <c r="AA92" s="2" t="s">
        <v>316</v>
      </c>
      <c r="AB92" s="5" t="e">
        <f t="shared" si="1"/>
        <v>#N/A</v>
      </c>
      <c r="AC92" s="1">
        <v>20</v>
      </c>
      <c r="AD92" s="1" t="s">
        <v>36</v>
      </c>
      <c r="AE92" s="1">
        <v>0</v>
      </c>
      <c r="AF92">
        <v>15</v>
      </c>
      <c r="AG92" s="1">
        <v>0</v>
      </c>
      <c r="AH92" s="1">
        <v>0</v>
      </c>
      <c r="AI92" s="1">
        <v>1</v>
      </c>
      <c r="AJ92" s="1"/>
      <c r="AK92" s="1"/>
      <c r="AL92" s="1">
        <v>0</v>
      </c>
      <c r="AM92" s="1">
        <v>0</v>
      </c>
      <c r="AN92" s="1">
        <v>0</v>
      </c>
      <c r="AO92" s="1">
        <v>1</v>
      </c>
    </row>
    <row r="93" spans="1:41">
      <c r="A93" s="2">
        <v>10400</v>
      </c>
      <c r="B93" s="1" t="s">
        <v>149</v>
      </c>
      <c r="C93" s="1" t="s">
        <v>37</v>
      </c>
      <c r="D93" s="1" t="s">
        <v>38</v>
      </c>
      <c r="E93" s="1">
        <v>1</v>
      </c>
      <c r="F93" s="1">
        <v>15</v>
      </c>
      <c r="G93" s="1">
        <v>0</v>
      </c>
      <c r="H93" s="1">
        <v>0</v>
      </c>
      <c r="I93" s="1">
        <v>99999</v>
      </c>
      <c r="J93" s="1">
        <v>0</v>
      </c>
      <c r="K93" s="1">
        <v>0</v>
      </c>
      <c r="L93" s="1">
        <v>2</v>
      </c>
      <c r="M93" s="1">
        <v>99</v>
      </c>
      <c r="N93" s="1"/>
      <c r="O93" s="1">
        <v>0</v>
      </c>
      <c r="P93" s="1">
        <v>0</v>
      </c>
      <c r="Q93" s="1"/>
      <c r="R93" s="1" t="s">
        <v>35</v>
      </c>
      <c r="S93" s="1">
        <v>100</v>
      </c>
      <c r="T93" s="1">
        <v>0</v>
      </c>
      <c r="U93" s="2">
        <v>1</v>
      </c>
      <c r="V93" s="1">
        <v>1</v>
      </c>
      <c r="W93" s="1">
        <v>1</v>
      </c>
      <c r="X93" s="1"/>
      <c r="Y93" t="s">
        <v>46</v>
      </c>
      <c r="Z93" s="1" t="s">
        <v>1412</v>
      </c>
      <c r="AA93" s="2" t="s">
        <v>317</v>
      </c>
      <c r="AB93" s="5" t="str">
        <f t="shared" si="1"/>
        <v>&lt;br&gt;&lt;font color='#43FF98'&gt;                          最小道术+1&lt;br&gt;&lt;br&gt;&lt;font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93" s="1">
        <v>20</v>
      </c>
      <c r="AD93" s="1" t="s">
        <v>36</v>
      </c>
      <c r="AE93" s="1">
        <v>0</v>
      </c>
      <c r="AF93">
        <v>15</v>
      </c>
      <c r="AG93" s="1">
        <v>0</v>
      </c>
      <c r="AH93" s="1">
        <v>0</v>
      </c>
      <c r="AI93" s="1">
        <v>1</v>
      </c>
      <c r="AJ93" s="1"/>
      <c r="AK93" s="1"/>
      <c r="AL93" s="1">
        <v>0</v>
      </c>
      <c r="AM93" s="1">
        <v>0</v>
      </c>
      <c r="AN93" s="1">
        <v>0</v>
      </c>
    </row>
    <row r="94" spans="1:41">
      <c r="A94" s="2">
        <v>10401</v>
      </c>
      <c r="B94" s="1" t="s">
        <v>150</v>
      </c>
      <c r="C94" s="1" t="s">
        <v>37</v>
      </c>
      <c r="D94" s="1" t="s">
        <v>38</v>
      </c>
      <c r="E94" s="1">
        <v>1</v>
      </c>
      <c r="F94" s="1">
        <v>15</v>
      </c>
      <c r="G94" s="1">
        <v>0</v>
      </c>
      <c r="H94" s="1">
        <v>0</v>
      </c>
      <c r="I94" s="1">
        <v>99999</v>
      </c>
      <c r="J94" s="1">
        <v>1</v>
      </c>
      <c r="K94" s="1">
        <v>0</v>
      </c>
      <c r="L94" s="1">
        <v>2</v>
      </c>
      <c r="M94" s="1">
        <v>99</v>
      </c>
      <c r="N94" s="1"/>
      <c r="O94" s="1">
        <v>0</v>
      </c>
      <c r="P94" s="1">
        <v>0</v>
      </c>
      <c r="Q94" s="1"/>
      <c r="R94" s="1" t="s">
        <v>35</v>
      </c>
      <c r="S94" s="1">
        <v>200</v>
      </c>
      <c r="T94" s="1">
        <v>0</v>
      </c>
      <c r="U94" s="2">
        <v>1</v>
      </c>
      <c r="V94" s="1">
        <v>1</v>
      </c>
      <c r="W94" s="1">
        <v>1</v>
      </c>
      <c r="X94" s="1"/>
      <c r="Y94" t="s">
        <v>47</v>
      </c>
      <c r="Z94" s="1" t="s">
        <v>1413</v>
      </c>
      <c r="AA94" s="2" t="s">
        <v>318</v>
      </c>
      <c r="AB94" s="5" t="str">
        <f t="shared" si="1"/>
        <v>&lt;br&gt;&lt;font color='#43FF98'&gt;                          最小道术+2&lt;br&gt;&lt;br&gt;&lt;font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94" s="1">
        <v>20</v>
      </c>
      <c r="AD94" s="1" t="s">
        <v>36</v>
      </c>
      <c r="AE94" s="1">
        <v>0</v>
      </c>
      <c r="AF94">
        <v>15</v>
      </c>
      <c r="AG94" s="1">
        <v>0</v>
      </c>
      <c r="AH94" s="1">
        <v>0</v>
      </c>
      <c r="AI94" s="1">
        <v>1</v>
      </c>
      <c r="AJ94" s="1"/>
      <c r="AK94" s="1"/>
      <c r="AL94" s="1">
        <v>0</v>
      </c>
      <c r="AM94" s="1">
        <v>0</v>
      </c>
      <c r="AN94" s="1">
        <v>0</v>
      </c>
    </row>
    <row r="95" spans="1:41">
      <c r="A95" s="2">
        <v>10402</v>
      </c>
      <c r="B95" s="1" t="s">
        <v>151</v>
      </c>
      <c r="C95" s="1" t="s">
        <v>37</v>
      </c>
      <c r="D95" s="1" t="s">
        <v>38</v>
      </c>
      <c r="E95" s="1">
        <v>1</v>
      </c>
      <c r="F95" s="1">
        <v>15</v>
      </c>
      <c r="G95" s="1">
        <v>0</v>
      </c>
      <c r="H95" s="1">
        <v>0</v>
      </c>
      <c r="I95" s="1">
        <v>99999</v>
      </c>
      <c r="J95" s="1">
        <v>1</v>
      </c>
      <c r="K95" s="1">
        <v>0</v>
      </c>
      <c r="L95" s="1">
        <v>2</v>
      </c>
      <c r="M95" s="1">
        <v>99</v>
      </c>
      <c r="N95" s="1"/>
      <c r="O95" s="1">
        <v>0</v>
      </c>
      <c r="P95" s="1">
        <v>0</v>
      </c>
      <c r="Q95" s="1"/>
      <c r="R95" s="1" t="s">
        <v>35</v>
      </c>
      <c r="S95" s="1">
        <v>400</v>
      </c>
      <c r="T95" s="1">
        <v>0</v>
      </c>
      <c r="U95" s="2">
        <v>1</v>
      </c>
      <c r="V95" s="1">
        <v>1</v>
      </c>
      <c r="W95" s="1">
        <v>1</v>
      </c>
      <c r="X95" s="1"/>
      <c r="Y95" t="s">
        <v>48</v>
      </c>
      <c r="Z95" s="1" t="s">
        <v>1414</v>
      </c>
      <c r="AA95" s="2" t="s">
        <v>319</v>
      </c>
      <c r="AB95" s="5" t="str">
        <f t="shared" si="1"/>
        <v>&lt;br&gt;&lt;font color='#43FF98'&gt;                          最小道术+3&lt;br&gt;&lt;br&gt;&lt;font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95" s="1">
        <v>20</v>
      </c>
      <c r="AD95" s="1" t="s">
        <v>36</v>
      </c>
      <c r="AE95" s="1">
        <v>0</v>
      </c>
      <c r="AF95">
        <v>15</v>
      </c>
      <c r="AG95" s="1">
        <v>0</v>
      </c>
      <c r="AH95" s="1">
        <v>0</v>
      </c>
      <c r="AI95" s="1">
        <v>1</v>
      </c>
      <c r="AJ95" s="1"/>
      <c r="AK95" s="1"/>
      <c r="AL95" s="1">
        <v>0</v>
      </c>
      <c r="AM95" s="1">
        <v>0</v>
      </c>
      <c r="AN95" s="1">
        <v>0</v>
      </c>
    </row>
    <row r="96" spans="1:41">
      <c r="A96" s="2">
        <v>10403</v>
      </c>
      <c r="B96" s="1" t="s">
        <v>152</v>
      </c>
      <c r="C96" s="1" t="s">
        <v>37</v>
      </c>
      <c r="D96" s="1" t="s">
        <v>38</v>
      </c>
      <c r="E96" s="1">
        <v>1</v>
      </c>
      <c r="F96" s="1">
        <v>15</v>
      </c>
      <c r="G96" s="1">
        <v>0</v>
      </c>
      <c r="H96" s="1">
        <v>0</v>
      </c>
      <c r="I96" s="1">
        <v>99999</v>
      </c>
      <c r="J96" s="1">
        <v>1</v>
      </c>
      <c r="K96" s="1">
        <v>0</v>
      </c>
      <c r="L96" s="1">
        <v>2</v>
      </c>
      <c r="M96" s="1">
        <v>99</v>
      </c>
      <c r="N96" s="1"/>
      <c r="O96" s="1">
        <v>0</v>
      </c>
      <c r="P96" s="1">
        <v>0</v>
      </c>
      <c r="Q96" s="1"/>
      <c r="R96" s="1" t="s">
        <v>35</v>
      </c>
      <c r="S96" s="1">
        <v>800</v>
      </c>
      <c r="T96" s="1">
        <v>0</v>
      </c>
      <c r="U96" s="2">
        <v>1</v>
      </c>
      <c r="V96" s="1">
        <v>1</v>
      </c>
      <c r="W96" s="1">
        <v>1</v>
      </c>
      <c r="X96" s="1"/>
      <c r="Y96" t="s">
        <v>49</v>
      </c>
      <c r="Z96" s="1" t="s">
        <v>1415</v>
      </c>
      <c r="AA96" s="2" t="s">
        <v>320</v>
      </c>
      <c r="AB96" s="5" t="str">
        <f t="shared" si="1"/>
        <v>&lt;br&gt;&lt;font color='#43FF98'&gt;                          最小道术+5&lt;br&gt;&lt;br&gt;&lt;font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96" s="1">
        <v>20</v>
      </c>
      <c r="AD96" s="1" t="s">
        <v>36</v>
      </c>
      <c r="AE96" s="1">
        <v>0</v>
      </c>
      <c r="AF96">
        <v>15</v>
      </c>
      <c r="AG96" s="1">
        <v>0</v>
      </c>
      <c r="AH96" s="1">
        <v>0</v>
      </c>
      <c r="AI96" s="1">
        <v>1</v>
      </c>
      <c r="AJ96" s="1"/>
      <c r="AK96" s="1"/>
      <c r="AL96" s="1">
        <v>0</v>
      </c>
      <c r="AM96" s="1">
        <v>0</v>
      </c>
      <c r="AN96" s="1">
        <v>0</v>
      </c>
      <c r="AO96" s="1">
        <v>1</v>
      </c>
    </row>
    <row r="97" spans="1:41">
      <c r="A97" s="2">
        <v>10404</v>
      </c>
      <c r="B97" s="1" t="s">
        <v>153</v>
      </c>
      <c r="C97" s="1" t="s">
        <v>37</v>
      </c>
      <c r="D97" s="1" t="s">
        <v>38</v>
      </c>
      <c r="E97" s="1">
        <v>1</v>
      </c>
      <c r="F97" s="1">
        <v>15</v>
      </c>
      <c r="G97" s="1">
        <v>0</v>
      </c>
      <c r="H97" s="1">
        <v>0</v>
      </c>
      <c r="I97" s="1">
        <v>99999</v>
      </c>
      <c r="J97" s="1">
        <v>2</v>
      </c>
      <c r="K97" s="1">
        <v>0</v>
      </c>
      <c r="L97" s="1">
        <v>2</v>
      </c>
      <c r="M97" s="1">
        <v>99</v>
      </c>
      <c r="N97" s="1"/>
      <c r="O97" s="1">
        <v>0</v>
      </c>
      <c r="P97" s="1">
        <v>0</v>
      </c>
      <c r="Q97" s="1"/>
      <c r="R97" s="1" t="s">
        <v>35</v>
      </c>
      <c r="S97" s="1">
        <v>1600</v>
      </c>
      <c r="T97" s="1">
        <v>0</v>
      </c>
      <c r="U97" s="2">
        <v>1</v>
      </c>
      <c r="V97" s="1">
        <v>1</v>
      </c>
      <c r="W97" s="1">
        <v>1</v>
      </c>
      <c r="X97" s="1"/>
      <c r="Y97" t="s">
        <v>50</v>
      </c>
      <c r="Z97" s="1" t="s">
        <v>1416</v>
      </c>
      <c r="AA97" s="2" t="s">
        <v>321</v>
      </c>
      <c r="AB97" s="5" t="str">
        <f t="shared" si="1"/>
        <v>&lt;br&gt;&lt;font color='#43FF98'&gt;                          最小道术+7&lt;br&gt;&lt;br&gt;&lt;font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97" s="1">
        <v>20</v>
      </c>
      <c r="AD97" s="1" t="s">
        <v>36</v>
      </c>
      <c r="AE97" s="1">
        <v>0</v>
      </c>
      <c r="AF97">
        <v>15</v>
      </c>
      <c r="AG97" s="1">
        <v>0</v>
      </c>
      <c r="AH97" s="1">
        <v>0</v>
      </c>
      <c r="AI97" s="1">
        <v>1</v>
      </c>
      <c r="AJ97" s="1"/>
      <c r="AK97" s="1"/>
      <c r="AL97" s="1">
        <v>0</v>
      </c>
      <c r="AM97" s="1">
        <v>0</v>
      </c>
      <c r="AN97" s="1">
        <v>0</v>
      </c>
      <c r="AO97" s="1">
        <v>1</v>
      </c>
    </row>
    <row r="98" spans="1:41">
      <c r="A98" s="2">
        <v>10405</v>
      </c>
      <c r="B98" s="1" t="s">
        <v>154</v>
      </c>
      <c r="C98" s="1" t="s">
        <v>37</v>
      </c>
      <c r="D98" s="1" t="s">
        <v>38</v>
      </c>
      <c r="E98" s="1">
        <v>1</v>
      </c>
      <c r="F98" s="1">
        <v>15</v>
      </c>
      <c r="G98" s="1">
        <v>0</v>
      </c>
      <c r="H98" s="1">
        <v>0</v>
      </c>
      <c r="I98" s="1">
        <v>99999</v>
      </c>
      <c r="J98" s="1">
        <v>2</v>
      </c>
      <c r="K98" s="1">
        <v>0</v>
      </c>
      <c r="L98" s="1">
        <v>2</v>
      </c>
      <c r="M98" s="1">
        <v>99</v>
      </c>
      <c r="N98" s="1"/>
      <c r="O98" s="1">
        <v>0</v>
      </c>
      <c r="P98" s="1">
        <v>0</v>
      </c>
      <c r="Q98" s="1"/>
      <c r="R98" s="1" t="s">
        <v>35</v>
      </c>
      <c r="S98" s="1">
        <v>100</v>
      </c>
      <c r="T98" s="1">
        <v>0</v>
      </c>
      <c r="U98" s="2">
        <v>1</v>
      </c>
      <c r="V98" s="1">
        <v>1</v>
      </c>
      <c r="W98" s="1">
        <v>1</v>
      </c>
      <c r="X98" s="1"/>
      <c r="Y98" t="s">
        <v>50</v>
      </c>
      <c r="Z98" s="1" t="s">
        <v>1417</v>
      </c>
      <c r="AA98" s="2" t="s">
        <v>322</v>
      </c>
      <c r="AB98" s="5" t="str">
        <f t="shared" si="1"/>
        <v>&lt;br&gt;&lt;font color='#43FF98'&gt;                          最小道术+10&lt;br&gt;&lt;br&gt;&lt;font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98" s="1">
        <v>20</v>
      </c>
      <c r="AD98" s="1" t="s">
        <v>36</v>
      </c>
      <c r="AE98" s="1">
        <v>0</v>
      </c>
      <c r="AF98">
        <v>15</v>
      </c>
      <c r="AG98" s="1">
        <v>0</v>
      </c>
      <c r="AH98" s="1">
        <v>0</v>
      </c>
      <c r="AI98" s="1">
        <v>1</v>
      </c>
      <c r="AJ98" s="1"/>
      <c r="AK98" s="1"/>
      <c r="AL98" s="1">
        <v>0</v>
      </c>
      <c r="AM98" s="1">
        <v>0</v>
      </c>
      <c r="AN98" s="1">
        <v>0</v>
      </c>
      <c r="AO98" s="1">
        <v>1</v>
      </c>
    </row>
    <row r="99" spans="1:41">
      <c r="A99" s="2">
        <v>10406</v>
      </c>
      <c r="B99" s="1" t="s">
        <v>155</v>
      </c>
      <c r="C99" s="1" t="s">
        <v>37</v>
      </c>
      <c r="D99" s="1" t="s">
        <v>38</v>
      </c>
      <c r="E99" s="1">
        <v>1</v>
      </c>
      <c r="F99" s="1">
        <v>15</v>
      </c>
      <c r="G99" s="1">
        <v>0</v>
      </c>
      <c r="H99" s="1">
        <v>0</v>
      </c>
      <c r="I99" s="1">
        <v>99999</v>
      </c>
      <c r="J99" s="1">
        <v>2</v>
      </c>
      <c r="K99" s="1">
        <v>0</v>
      </c>
      <c r="L99" s="1">
        <v>2</v>
      </c>
      <c r="M99" s="1">
        <v>99</v>
      </c>
      <c r="N99" s="1"/>
      <c r="O99" s="1">
        <v>0</v>
      </c>
      <c r="P99" s="1">
        <v>0</v>
      </c>
      <c r="Q99" s="1"/>
      <c r="R99" s="1" t="s">
        <v>35</v>
      </c>
      <c r="S99" s="1">
        <v>200</v>
      </c>
      <c r="T99" s="1">
        <v>0</v>
      </c>
      <c r="U99" s="2">
        <v>1</v>
      </c>
      <c r="V99" s="1">
        <v>1</v>
      </c>
      <c r="W99" s="1">
        <v>1</v>
      </c>
      <c r="X99" s="1"/>
      <c r="Y99" t="s">
        <v>50</v>
      </c>
      <c r="Z99" s="1" t="s">
        <v>1418</v>
      </c>
      <c r="AA99" s="2" t="s">
        <v>323</v>
      </c>
      <c r="AB99" s="5" t="str">
        <f t="shared" si="1"/>
        <v>&lt;br&gt;&lt;font color='#43FF98'&gt;                          最小道术+13&lt;br&gt;&lt;br&gt;&lt;font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99" s="1">
        <v>20</v>
      </c>
      <c r="AD99" s="1" t="s">
        <v>36</v>
      </c>
      <c r="AE99" s="1">
        <v>0</v>
      </c>
      <c r="AF99">
        <v>15</v>
      </c>
      <c r="AG99" s="1">
        <v>0</v>
      </c>
      <c r="AH99" s="1">
        <v>0</v>
      </c>
      <c r="AI99" s="1">
        <v>1</v>
      </c>
      <c r="AJ99" s="1"/>
      <c r="AK99" s="1"/>
      <c r="AL99" s="1">
        <v>0</v>
      </c>
      <c r="AM99" s="1">
        <v>0</v>
      </c>
      <c r="AN99" s="1">
        <v>0</v>
      </c>
      <c r="AO99" s="1">
        <v>1</v>
      </c>
    </row>
    <row r="100" spans="1:41">
      <c r="A100" s="2">
        <v>10407</v>
      </c>
      <c r="B100" s="1" t="s">
        <v>156</v>
      </c>
      <c r="C100" s="1" t="s">
        <v>37</v>
      </c>
      <c r="D100" s="1" t="s">
        <v>38</v>
      </c>
      <c r="E100" s="1">
        <v>1</v>
      </c>
      <c r="F100" s="1">
        <v>15</v>
      </c>
      <c r="G100" s="1">
        <v>0</v>
      </c>
      <c r="H100" s="1">
        <v>0</v>
      </c>
      <c r="I100" s="1">
        <v>99999</v>
      </c>
      <c r="J100" s="1">
        <v>3</v>
      </c>
      <c r="K100" s="1">
        <v>0</v>
      </c>
      <c r="L100" s="1">
        <v>2</v>
      </c>
      <c r="M100" s="1">
        <v>99</v>
      </c>
      <c r="N100" s="1"/>
      <c r="O100" s="1">
        <v>0</v>
      </c>
      <c r="P100" s="1">
        <v>0</v>
      </c>
      <c r="Q100" s="1"/>
      <c r="R100" s="1" t="s">
        <v>35</v>
      </c>
      <c r="S100" s="1">
        <v>400</v>
      </c>
      <c r="T100" s="1">
        <v>0</v>
      </c>
      <c r="U100" s="2">
        <v>1</v>
      </c>
      <c r="V100" s="1">
        <v>1</v>
      </c>
      <c r="W100" s="1">
        <v>1</v>
      </c>
      <c r="X100" s="1"/>
      <c r="Y100" t="s">
        <v>50</v>
      </c>
      <c r="Z100" s="1" t="s">
        <v>1419</v>
      </c>
      <c r="AA100" s="2" t="s">
        <v>324</v>
      </c>
      <c r="AB100" s="5" t="str">
        <f t="shared" si="1"/>
        <v>&lt;br&gt;&lt;font color='#43FF98'&gt;                          最小道术+17&lt;br&gt;&lt;br&gt;&lt;font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00" s="1">
        <v>20</v>
      </c>
      <c r="AD100" s="1" t="s">
        <v>36</v>
      </c>
      <c r="AE100" s="1">
        <v>0</v>
      </c>
      <c r="AF100">
        <v>15</v>
      </c>
      <c r="AG100" s="1">
        <v>0</v>
      </c>
      <c r="AH100" s="1">
        <v>0</v>
      </c>
      <c r="AI100" s="1">
        <v>1</v>
      </c>
      <c r="AJ100" s="1"/>
      <c r="AK100" s="1"/>
      <c r="AL100" s="1">
        <v>0</v>
      </c>
      <c r="AM100" s="1">
        <v>0</v>
      </c>
      <c r="AN100" s="1">
        <v>0</v>
      </c>
      <c r="AO100" s="1">
        <v>1</v>
      </c>
    </row>
    <row r="101" spans="1:41">
      <c r="A101" s="2">
        <v>10408</v>
      </c>
      <c r="B101" s="1" t="s">
        <v>157</v>
      </c>
      <c r="C101" s="1" t="s">
        <v>37</v>
      </c>
      <c r="D101" s="1" t="s">
        <v>38</v>
      </c>
      <c r="E101" s="1">
        <v>1</v>
      </c>
      <c r="F101" s="1">
        <v>15</v>
      </c>
      <c r="G101" s="1">
        <v>0</v>
      </c>
      <c r="H101" s="1">
        <v>0</v>
      </c>
      <c r="I101" s="1">
        <v>99999</v>
      </c>
      <c r="J101" s="1">
        <v>3</v>
      </c>
      <c r="K101" s="1">
        <v>0</v>
      </c>
      <c r="L101" s="1">
        <v>2</v>
      </c>
      <c r="M101" s="1">
        <v>99</v>
      </c>
      <c r="N101" s="1"/>
      <c r="O101" s="1">
        <v>0</v>
      </c>
      <c r="P101" s="1">
        <v>0</v>
      </c>
      <c r="Q101" s="1"/>
      <c r="R101" s="1" t="s">
        <v>35</v>
      </c>
      <c r="S101" s="1">
        <v>800</v>
      </c>
      <c r="T101" s="1">
        <v>0</v>
      </c>
      <c r="U101" s="2">
        <v>1</v>
      </c>
      <c r="V101" s="1">
        <v>1</v>
      </c>
      <c r="W101" s="1">
        <v>1</v>
      </c>
      <c r="X101" s="1"/>
      <c r="Y101" t="s">
        <v>50</v>
      </c>
      <c r="Z101" s="1" t="s">
        <v>1420</v>
      </c>
      <c r="AA101" s="2" t="s">
        <v>325</v>
      </c>
      <c r="AB101" s="5" t="str">
        <f t="shared" si="1"/>
        <v>&lt;br&gt;&lt;font color='#43FF98'&gt;                          最小道术+22&lt;br&gt;&lt;br&gt;&lt;font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01" s="1">
        <v>20</v>
      </c>
      <c r="AD101" s="1" t="s">
        <v>36</v>
      </c>
      <c r="AE101" s="1">
        <v>0</v>
      </c>
      <c r="AF101">
        <v>15</v>
      </c>
      <c r="AG101" s="1">
        <v>0</v>
      </c>
      <c r="AH101" s="1">
        <v>0</v>
      </c>
      <c r="AI101" s="1">
        <v>1</v>
      </c>
      <c r="AJ101" s="1"/>
      <c r="AK101" s="1"/>
      <c r="AL101" s="1">
        <v>0</v>
      </c>
      <c r="AM101" s="1">
        <v>0</v>
      </c>
      <c r="AN101" s="1">
        <v>0</v>
      </c>
      <c r="AO101" s="1">
        <v>1</v>
      </c>
    </row>
    <row r="102" spans="1:41">
      <c r="A102" s="2">
        <v>10409</v>
      </c>
      <c r="B102" s="1" t="s">
        <v>158</v>
      </c>
      <c r="C102" s="1" t="s">
        <v>37</v>
      </c>
      <c r="D102" s="1" t="s">
        <v>38</v>
      </c>
      <c r="E102" s="1">
        <v>1</v>
      </c>
      <c r="F102" s="1">
        <v>15</v>
      </c>
      <c r="G102" s="1">
        <v>0</v>
      </c>
      <c r="H102" s="1">
        <v>0</v>
      </c>
      <c r="I102" s="1">
        <v>99999</v>
      </c>
      <c r="J102" s="1">
        <v>3</v>
      </c>
      <c r="K102" s="1">
        <v>0</v>
      </c>
      <c r="L102" s="1">
        <v>2</v>
      </c>
      <c r="M102" s="1">
        <v>99</v>
      </c>
      <c r="N102" s="1"/>
      <c r="O102" s="1">
        <v>0</v>
      </c>
      <c r="P102" s="1">
        <v>0</v>
      </c>
      <c r="Q102" s="1"/>
      <c r="R102" s="1" t="s">
        <v>35</v>
      </c>
      <c r="S102" s="1">
        <v>1600</v>
      </c>
      <c r="T102" s="1">
        <v>0</v>
      </c>
      <c r="U102" s="2">
        <v>1</v>
      </c>
      <c r="V102" s="1">
        <v>1</v>
      </c>
      <c r="W102" s="1">
        <v>1</v>
      </c>
      <c r="X102" s="1"/>
      <c r="Y102" t="s">
        <v>50</v>
      </c>
      <c r="Z102" s="1" t="s">
        <v>1421</v>
      </c>
      <c r="AA102" s="2" t="s">
        <v>326</v>
      </c>
      <c r="AB102" s="5" t="str">
        <f t="shared" si="1"/>
        <v>&lt;br&gt;&lt;font color='#43FF98'&gt;                          最小道术+28&lt;br&gt;&lt;br&gt;&lt;font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02" s="1">
        <v>20</v>
      </c>
      <c r="AD102" s="1" t="s">
        <v>36</v>
      </c>
      <c r="AE102" s="1">
        <v>0</v>
      </c>
      <c r="AF102">
        <v>15</v>
      </c>
      <c r="AG102" s="1">
        <v>0</v>
      </c>
      <c r="AH102" s="1">
        <v>0</v>
      </c>
      <c r="AI102" s="1">
        <v>1</v>
      </c>
      <c r="AJ102" s="1"/>
      <c r="AK102" s="1"/>
      <c r="AL102" s="1">
        <v>0</v>
      </c>
      <c r="AM102" s="1">
        <v>0</v>
      </c>
      <c r="AN102" s="1">
        <v>0</v>
      </c>
      <c r="AO102" s="1">
        <v>1</v>
      </c>
    </row>
    <row r="103" spans="1:41">
      <c r="A103" s="2">
        <v>10410</v>
      </c>
      <c r="B103" s="1" t="s">
        <v>159</v>
      </c>
      <c r="C103" s="1" t="s">
        <v>37</v>
      </c>
      <c r="D103" s="1" t="s">
        <v>38</v>
      </c>
      <c r="E103" s="1">
        <v>1</v>
      </c>
      <c r="F103" s="1">
        <v>15</v>
      </c>
      <c r="G103" s="1">
        <v>0</v>
      </c>
      <c r="H103" s="1">
        <v>0</v>
      </c>
      <c r="I103" s="1">
        <v>99999</v>
      </c>
      <c r="J103" s="1">
        <v>0</v>
      </c>
      <c r="K103" s="1">
        <v>0</v>
      </c>
      <c r="L103" s="1">
        <v>2</v>
      </c>
      <c r="M103" s="1">
        <v>99</v>
      </c>
      <c r="N103" s="1"/>
      <c r="O103" s="1">
        <v>0</v>
      </c>
      <c r="P103" s="1">
        <v>0</v>
      </c>
      <c r="Q103" s="1"/>
      <c r="R103" s="1" t="s">
        <v>35</v>
      </c>
      <c r="S103" s="1">
        <v>100</v>
      </c>
      <c r="T103" s="1">
        <v>0</v>
      </c>
      <c r="U103" s="2">
        <v>1</v>
      </c>
      <c r="V103" s="1">
        <v>1</v>
      </c>
      <c r="W103" s="1">
        <v>1</v>
      </c>
      <c r="X103" s="1"/>
      <c r="Y103" t="s">
        <v>46</v>
      </c>
      <c r="Z103" s="1" t="s">
        <v>1422</v>
      </c>
      <c r="AA103" s="2" t="s">
        <v>366</v>
      </c>
      <c r="AB103" s="5" t="str">
        <f t="shared" si="1"/>
        <v>&lt;br&gt;&lt;font color='#43FF98'&gt;                          生命值+15&lt;br&gt;&lt;br&gt;&lt;font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03" s="1">
        <v>20</v>
      </c>
      <c r="AD103" s="1" t="s">
        <v>36</v>
      </c>
      <c r="AE103" s="1">
        <v>0</v>
      </c>
      <c r="AF103">
        <v>15</v>
      </c>
      <c r="AG103" s="1">
        <v>0</v>
      </c>
      <c r="AH103" s="1">
        <v>0</v>
      </c>
      <c r="AI103" s="1">
        <v>1</v>
      </c>
      <c r="AJ103" s="1"/>
      <c r="AK103" s="1"/>
      <c r="AL103" s="1">
        <v>0</v>
      </c>
      <c r="AM103" s="1">
        <v>0</v>
      </c>
      <c r="AN103" s="1">
        <v>0</v>
      </c>
    </row>
    <row r="104" spans="1:41">
      <c r="A104" s="2">
        <v>10411</v>
      </c>
      <c r="B104" s="1" t="s">
        <v>160</v>
      </c>
      <c r="C104" s="1" t="s">
        <v>37</v>
      </c>
      <c r="D104" s="1" t="s">
        <v>38</v>
      </c>
      <c r="E104" s="1">
        <v>1</v>
      </c>
      <c r="F104" s="1">
        <v>15</v>
      </c>
      <c r="G104" s="1">
        <v>0</v>
      </c>
      <c r="H104" s="1">
        <v>0</v>
      </c>
      <c r="I104" s="1">
        <v>99999</v>
      </c>
      <c r="J104" s="1">
        <v>1</v>
      </c>
      <c r="K104" s="1">
        <v>0</v>
      </c>
      <c r="L104" s="1">
        <v>2</v>
      </c>
      <c r="M104" s="1">
        <v>99</v>
      </c>
      <c r="N104" s="1"/>
      <c r="O104" s="1">
        <v>0</v>
      </c>
      <c r="P104" s="1">
        <v>0</v>
      </c>
      <c r="Q104" s="1"/>
      <c r="R104" s="1" t="s">
        <v>35</v>
      </c>
      <c r="S104" s="1">
        <v>200</v>
      </c>
      <c r="T104" s="1">
        <v>0</v>
      </c>
      <c r="U104" s="2">
        <v>1</v>
      </c>
      <c r="V104" s="1">
        <v>1</v>
      </c>
      <c r="W104" s="1">
        <v>1</v>
      </c>
      <c r="X104" s="1"/>
      <c r="Y104" t="s">
        <v>47</v>
      </c>
      <c r="Z104" s="1" t="s">
        <v>1423</v>
      </c>
      <c r="AA104" s="2" t="s">
        <v>367</v>
      </c>
      <c r="AB104" s="5" t="str">
        <f t="shared" si="1"/>
        <v>&lt;br&gt;&lt;font color='#43FF98'&gt;                          生命值+30&lt;br&gt;&lt;br&gt;&lt;font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04" s="1">
        <v>20</v>
      </c>
      <c r="AD104" s="1" t="s">
        <v>36</v>
      </c>
      <c r="AE104" s="1">
        <v>0</v>
      </c>
      <c r="AF104">
        <v>15</v>
      </c>
      <c r="AG104" s="1">
        <v>0</v>
      </c>
      <c r="AH104" s="1">
        <v>0</v>
      </c>
      <c r="AI104" s="1">
        <v>1</v>
      </c>
      <c r="AJ104" s="1"/>
      <c r="AK104" s="1"/>
      <c r="AL104" s="1">
        <v>0</v>
      </c>
      <c r="AM104" s="1">
        <v>0</v>
      </c>
      <c r="AN104" s="1">
        <v>0</v>
      </c>
    </row>
    <row r="105" spans="1:41">
      <c r="A105" s="2">
        <v>10412</v>
      </c>
      <c r="B105" s="1" t="s">
        <v>161</v>
      </c>
      <c r="C105" s="1" t="s">
        <v>37</v>
      </c>
      <c r="D105" s="1" t="s">
        <v>38</v>
      </c>
      <c r="E105" s="1">
        <v>1</v>
      </c>
      <c r="F105" s="1">
        <v>15</v>
      </c>
      <c r="G105" s="1">
        <v>0</v>
      </c>
      <c r="H105" s="1">
        <v>0</v>
      </c>
      <c r="I105" s="1">
        <v>99999</v>
      </c>
      <c r="J105" s="1">
        <v>1</v>
      </c>
      <c r="K105" s="1">
        <v>0</v>
      </c>
      <c r="L105" s="1">
        <v>2</v>
      </c>
      <c r="M105" s="1">
        <v>99</v>
      </c>
      <c r="N105" s="1"/>
      <c r="O105" s="1">
        <v>0</v>
      </c>
      <c r="P105" s="1">
        <v>0</v>
      </c>
      <c r="Q105" s="1"/>
      <c r="R105" s="1" t="s">
        <v>35</v>
      </c>
      <c r="S105" s="1">
        <v>400</v>
      </c>
      <c r="T105" s="1">
        <v>0</v>
      </c>
      <c r="U105" s="2">
        <v>1</v>
      </c>
      <c r="V105" s="1">
        <v>1</v>
      </c>
      <c r="W105" s="1">
        <v>1</v>
      </c>
      <c r="X105" s="1"/>
      <c r="Y105" t="s">
        <v>48</v>
      </c>
      <c r="Z105" s="1" t="s">
        <v>1424</v>
      </c>
      <c r="AA105" s="2" t="s">
        <v>368</v>
      </c>
      <c r="AB105" s="5" t="str">
        <f t="shared" si="1"/>
        <v>&lt;br&gt;&lt;font color='#43FF98'&gt;                          生命值+45&lt;br&gt;&lt;br&gt;&lt;font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05" s="1">
        <v>20</v>
      </c>
      <c r="AD105" s="1" t="s">
        <v>36</v>
      </c>
      <c r="AE105" s="1">
        <v>0</v>
      </c>
      <c r="AF105">
        <v>15</v>
      </c>
      <c r="AG105" s="1">
        <v>0</v>
      </c>
      <c r="AH105" s="1">
        <v>0</v>
      </c>
      <c r="AI105" s="1">
        <v>1</v>
      </c>
      <c r="AJ105" s="1"/>
      <c r="AK105" s="1"/>
      <c r="AL105" s="1">
        <v>0</v>
      </c>
      <c r="AM105" s="1">
        <v>0</v>
      </c>
      <c r="AN105" s="1">
        <v>0</v>
      </c>
    </row>
    <row r="106" spans="1:41">
      <c r="A106" s="2">
        <v>10413</v>
      </c>
      <c r="B106" s="1" t="s">
        <v>162</v>
      </c>
      <c r="C106" s="1" t="s">
        <v>37</v>
      </c>
      <c r="D106" s="1" t="s">
        <v>38</v>
      </c>
      <c r="E106" s="1">
        <v>1</v>
      </c>
      <c r="F106" s="1">
        <v>15</v>
      </c>
      <c r="G106" s="1">
        <v>0</v>
      </c>
      <c r="H106" s="1">
        <v>0</v>
      </c>
      <c r="I106" s="1">
        <v>99999</v>
      </c>
      <c r="J106" s="1">
        <v>1</v>
      </c>
      <c r="K106" s="1">
        <v>0</v>
      </c>
      <c r="L106" s="1">
        <v>2</v>
      </c>
      <c r="M106" s="1">
        <v>99</v>
      </c>
      <c r="N106" s="1"/>
      <c r="O106" s="1">
        <v>0</v>
      </c>
      <c r="P106" s="1">
        <v>0</v>
      </c>
      <c r="Q106" s="1"/>
      <c r="R106" s="1" t="s">
        <v>35</v>
      </c>
      <c r="S106" s="1">
        <v>800</v>
      </c>
      <c r="T106" s="1">
        <v>0</v>
      </c>
      <c r="U106" s="2">
        <v>1</v>
      </c>
      <c r="V106" s="1">
        <v>1</v>
      </c>
      <c r="W106" s="1">
        <v>1</v>
      </c>
      <c r="X106" s="1"/>
      <c r="Y106" t="s">
        <v>49</v>
      </c>
      <c r="Z106" s="1" t="s">
        <v>1425</v>
      </c>
      <c r="AA106" s="2" t="s">
        <v>369</v>
      </c>
      <c r="AB106" s="5" t="str">
        <f t="shared" si="1"/>
        <v>&lt;br&gt;&lt;font color='#43FF98'&gt;                          生命值+75&lt;br&gt;&lt;br&gt;&lt;font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06" s="1">
        <v>20</v>
      </c>
      <c r="AD106" s="1" t="s">
        <v>36</v>
      </c>
      <c r="AE106" s="1">
        <v>0</v>
      </c>
      <c r="AF106">
        <v>15</v>
      </c>
      <c r="AG106" s="1">
        <v>0</v>
      </c>
      <c r="AH106" s="1">
        <v>0</v>
      </c>
      <c r="AI106" s="1">
        <v>1</v>
      </c>
      <c r="AJ106" s="1"/>
      <c r="AK106" s="1"/>
      <c r="AL106" s="1">
        <v>0</v>
      </c>
      <c r="AM106" s="1">
        <v>0</v>
      </c>
      <c r="AN106" s="1">
        <v>0</v>
      </c>
      <c r="AO106" s="1">
        <v>1</v>
      </c>
    </row>
    <row r="107" spans="1:41">
      <c r="A107" s="2">
        <v>10414</v>
      </c>
      <c r="B107" s="1" t="s">
        <v>163</v>
      </c>
      <c r="C107" s="1" t="s">
        <v>37</v>
      </c>
      <c r="D107" s="1" t="s">
        <v>38</v>
      </c>
      <c r="E107" s="1">
        <v>1</v>
      </c>
      <c r="F107" s="1">
        <v>15</v>
      </c>
      <c r="G107" s="1">
        <v>0</v>
      </c>
      <c r="H107" s="1">
        <v>0</v>
      </c>
      <c r="I107" s="1">
        <v>99999</v>
      </c>
      <c r="J107" s="1">
        <v>2</v>
      </c>
      <c r="K107" s="1">
        <v>0</v>
      </c>
      <c r="L107" s="1">
        <v>2</v>
      </c>
      <c r="M107" s="1">
        <v>99</v>
      </c>
      <c r="N107" s="1"/>
      <c r="O107" s="1">
        <v>0</v>
      </c>
      <c r="P107" s="1">
        <v>0</v>
      </c>
      <c r="Q107" s="1"/>
      <c r="R107" s="1" t="s">
        <v>35</v>
      </c>
      <c r="S107" s="1">
        <v>1600</v>
      </c>
      <c r="T107" s="1">
        <v>0</v>
      </c>
      <c r="U107" s="2">
        <v>1</v>
      </c>
      <c r="V107" s="1">
        <v>1</v>
      </c>
      <c r="W107" s="1">
        <v>1</v>
      </c>
      <c r="X107" s="1"/>
      <c r="Y107" t="s">
        <v>50</v>
      </c>
      <c r="Z107" s="1" t="s">
        <v>1426</v>
      </c>
      <c r="AA107" s="2" t="s">
        <v>370</v>
      </c>
      <c r="AB107" s="5" t="str">
        <f t="shared" si="1"/>
        <v>&lt;br&gt;&lt;font color='#43FF98'&gt;                          生命值+105&lt;br&gt;&lt;br&gt;&lt;font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07" s="1">
        <v>20</v>
      </c>
      <c r="AD107" s="1" t="s">
        <v>36</v>
      </c>
      <c r="AE107" s="1">
        <v>0</v>
      </c>
      <c r="AF107">
        <v>15</v>
      </c>
      <c r="AG107" s="1">
        <v>0</v>
      </c>
      <c r="AH107" s="1">
        <v>0</v>
      </c>
      <c r="AI107" s="1">
        <v>1</v>
      </c>
      <c r="AJ107" s="1"/>
      <c r="AK107" s="1"/>
      <c r="AL107" s="1">
        <v>0</v>
      </c>
      <c r="AM107" s="1">
        <v>0</v>
      </c>
      <c r="AN107" s="1">
        <v>0</v>
      </c>
      <c r="AO107" s="1">
        <v>1</v>
      </c>
    </row>
    <row r="108" spans="1:41">
      <c r="A108" s="2">
        <v>10415</v>
      </c>
      <c r="B108" s="1" t="s">
        <v>164</v>
      </c>
      <c r="C108" s="1" t="s">
        <v>37</v>
      </c>
      <c r="D108" s="1" t="s">
        <v>38</v>
      </c>
      <c r="E108" s="1">
        <v>1</v>
      </c>
      <c r="F108" s="1">
        <v>15</v>
      </c>
      <c r="G108" s="1">
        <v>0</v>
      </c>
      <c r="H108" s="1">
        <v>0</v>
      </c>
      <c r="I108" s="1">
        <v>99999</v>
      </c>
      <c r="J108" s="1">
        <v>2</v>
      </c>
      <c r="K108" s="1">
        <v>0</v>
      </c>
      <c r="L108" s="1">
        <v>2</v>
      </c>
      <c r="M108" s="1">
        <v>99</v>
      </c>
      <c r="N108" s="1"/>
      <c r="O108" s="1">
        <v>0</v>
      </c>
      <c r="P108" s="1">
        <v>0</v>
      </c>
      <c r="Q108" s="1"/>
      <c r="R108" s="1" t="s">
        <v>35</v>
      </c>
      <c r="S108" s="1">
        <v>100</v>
      </c>
      <c r="T108" s="1">
        <v>0</v>
      </c>
      <c r="U108" s="2">
        <v>1</v>
      </c>
      <c r="V108" s="1">
        <v>1</v>
      </c>
      <c r="W108" s="1">
        <v>1</v>
      </c>
      <c r="X108" s="1"/>
      <c r="Y108" t="s">
        <v>50</v>
      </c>
      <c r="Z108" s="1" t="s">
        <v>1427</v>
      </c>
      <c r="AA108" s="2" t="s">
        <v>371</v>
      </c>
      <c r="AB108" s="5" t="str">
        <f t="shared" si="1"/>
        <v>&lt;br&gt;&lt;font color='#43FF98'&gt;                          生命值+150&lt;br&gt;&lt;br&gt;&lt;font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08" s="1">
        <v>20</v>
      </c>
      <c r="AD108" s="1" t="s">
        <v>36</v>
      </c>
      <c r="AE108" s="1">
        <v>0</v>
      </c>
      <c r="AF108">
        <v>15</v>
      </c>
      <c r="AG108" s="1">
        <v>0</v>
      </c>
      <c r="AH108" s="1">
        <v>0</v>
      </c>
      <c r="AI108" s="1">
        <v>1</v>
      </c>
      <c r="AJ108" s="1"/>
      <c r="AK108" s="1"/>
      <c r="AL108" s="1">
        <v>0</v>
      </c>
      <c r="AM108" s="1">
        <v>0</v>
      </c>
      <c r="AN108" s="1">
        <v>0</v>
      </c>
      <c r="AO108" s="1">
        <v>1</v>
      </c>
    </row>
    <row r="109" spans="1:41">
      <c r="A109" s="2">
        <v>10416</v>
      </c>
      <c r="B109" s="1" t="s">
        <v>165</v>
      </c>
      <c r="C109" s="1" t="s">
        <v>37</v>
      </c>
      <c r="D109" s="1" t="s">
        <v>38</v>
      </c>
      <c r="E109" s="1">
        <v>1</v>
      </c>
      <c r="F109" s="1">
        <v>15</v>
      </c>
      <c r="G109" s="1">
        <v>0</v>
      </c>
      <c r="H109" s="1">
        <v>0</v>
      </c>
      <c r="I109" s="1">
        <v>99999</v>
      </c>
      <c r="J109" s="1">
        <v>2</v>
      </c>
      <c r="K109" s="1">
        <v>0</v>
      </c>
      <c r="L109" s="1">
        <v>2</v>
      </c>
      <c r="M109" s="1">
        <v>99</v>
      </c>
      <c r="N109" s="1"/>
      <c r="O109" s="1">
        <v>0</v>
      </c>
      <c r="P109" s="1">
        <v>0</v>
      </c>
      <c r="Q109" s="1"/>
      <c r="R109" s="1" t="s">
        <v>35</v>
      </c>
      <c r="S109" s="1">
        <v>200</v>
      </c>
      <c r="T109" s="1">
        <v>0</v>
      </c>
      <c r="U109" s="2">
        <v>1</v>
      </c>
      <c r="V109" s="1">
        <v>1</v>
      </c>
      <c r="W109" s="1">
        <v>1</v>
      </c>
      <c r="X109" s="1"/>
      <c r="Y109" t="s">
        <v>50</v>
      </c>
      <c r="Z109" s="1" t="s">
        <v>1428</v>
      </c>
      <c r="AA109" s="2" t="s">
        <v>372</v>
      </c>
      <c r="AB109" s="5" t="str">
        <f t="shared" si="1"/>
        <v>&lt;br&gt;&lt;font color='#43FF98'&gt;                          生命值+195&lt;br&gt;&lt;br&gt;&lt;font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09" s="1">
        <v>20</v>
      </c>
      <c r="AD109" s="1" t="s">
        <v>36</v>
      </c>
      <c r="AE109" s="1">
        <v>0</v>
      </c>
      <c r="AF109">
        <v>15</v>
      </c>
      <c r="AG109" s="1">
        <v>0</v>
      </c>
      <c r="AH109" s="1">
        <v>0</v>
      </c>
      <c r="AI109" s="1">
        <v>1</v>
      </c>
      <c r="AJ109" s="1"/>
      <c r="AK109" s="1"/>
      <c r="AL109" s="1">
        <v>0</v>
      </c>
      <c r="AM109" s="1">
        <v>0</v>
      </c>
      <c r="AN109" s="1">
        <v>0</v>
      </c>
      <c r="AO109" s="1">
        <v>1</v>
      </c>
    </row>
    <row r="110" spans="1:41">
      <c r="A110" s="2">
        <v>10417</v>
      </c>
      <c r="B110" s="1" t="s">
        <v>166</v>
      </c>
      <c r="C110" s="1" t="s">
        <v>37</v>
      </c>
      <c r="D110" s="1" t="s">
        <v>38</v>
      </c>
      <c r="E110" s="1">
        <v>1</v>
      </c>
      <c r="F110" s="1">
        <v>15</v>
      </c>
      <c r="G110" s="1">
        <v>0</v>
      </c>
      <c r="H110" s="1">
        <v>0</v>
      </c>
      <c r="I110" s="1">
        <v>99999</v>
      </c>
      <c r="J110" s="1">
        <v>3</v>
      </c>
      <c r="K110" s="1">
        <v>0</v>
      </c>
      <c r="L110" s="1">
        <v>2</v>
      </c>
      <c r="M110" s="1">
        <v>99</v>
      </c>
      <c r="N110" s="1"/>
      <c r="O110" s="1">
        <v>0</v>
      </c>
      <c r="P110" s="1">
        <v>0</v>
      </c>
      <c r="Q110" s="1"/>
      <c r="R110" s="1" t="s">
        <v>35</v>
      </c>
      <c r="S110" s="1">
        <v>400</v>
      </c>
      <c r="T110" s="1">
        <v>0</v>
      </c>
      <c r="U110" s="2">
        <v>1</v>
      </c>
      <c r="V110" s="1">
        <v>1</v>
      </c>
      <c r="W110" s="1">
        <v>1</v>
      </c>
      <c r="X110" s="1"/>
      <c r="Y110" t="s">
        <v>50</v>
      </c>
      <c r="Z110" s="1" t="s">
        <v>1429</v>
      </c>
      <c r="AA110" s="2" t="s">
        <v>373</v>
      </c>
      <c r="AB110" s="5" t="str">
        <f t="shared" si="1"/>
        <v>&lt;br&gt;&lt;font color='#43FF98'&gt;                          生命值+255&lt;br&gt;&lt;br&gt;&lt;font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10" s="1">
        <v>20</v>
      </c>
      <c r="AD110" s="1" t="s">
        <v>36</v>
      </c>
      <c r="AE110" s="1">
        <v>0</v>
      </c>
      <c r="AF110">
        <v>15</v>
      </c>
      <c r="AG110" s="1">
        <v>0</v>
      </c>
      <c r="AH110" s="1">
        <v>0</v>
      </c>
      <c r="AI110" s="1">
        <v>1</v>
      </c>
      <c r="AJ110" s="1"/>
      <c r="AK110" s="1"/>
      <c r="AL110" s="1">
        <v>0</v>
      </c>
      <c r="AM110" s="1">
        <v>0</v>
      </c>
      <c r="AN110" s="1">
        <v>0</v>
      </c>
      <c r="AO110" s="1">
        <v>1</v>
      </c>
    </row>
    <row r="111" spans="1:41">
      <c r="A111" s="2">
        <v>10418</v>
      </c>
      <c r="B111" s="1" t="s">
        <v>167</v>
      </c>
      <c r="C111" s="1" t="s">
        <v>37</v>
      </c>
      <c r="D111" s="1" t="s">
        <v>38</v>
      </c>
      <c r="E111" s="1">
        <v>1</v>
      </c>
      <c r="F111" s="1">
        <v>15</v>
      </c>
      <c r="G111" s="1">
        <v>0</v>
      </c>
      <c r="H111" s="1">
        <v>0</v>
      </c>
      <c r="I111" s="1">
        <v>99999</v>
      </c>
      <c r="J111" s="1">
        <v>3</v>
      </c>
      <c r="K111" s="1">
        <v>0</v>
      </c>
      <c r="L111" s="1">
        <v>2</v>
      </c>
      <c r="M111" s="1">
        <v>99</v>
      </c>
      <c r="N111" s="1"/>
      <c r="O111" s="1">
        <v>0</v>
      </c>
      <c r="P111" s="1">
        <v>0</v>
      </c>
      <c r="Q111" s="1"/>
      <c r="R111" s="1" t="s">
        <v>35</v>
      </c>
      <c r="S111" s="1">
        <v>800</v>
      </c>
      <c r="T111" s="1">
        <v>0</v>
      </c>
      <c r="U111" s="2">
        <v>1</v>
      </c>
      <c r="V111" s="1">
        <v>1</v>
      </c>
      <c r="W111" s="1">
        <v>1</v>
      </c>
      <c r="X111" s="1"/>
      <c r="Y111" t="s">
        <v>50</v>
      </c>
      <c r="Z111" s="1" t="s">
        <v>1430</v>
      </c>
      <c r="AA111" s="2" t="s">
        <v>374</v>
      </c>
      <c r="AB111" s="5" t="str">
        <f t="shared" si="1"/>
        <v>&lt;br&gt;&lt;font color='#43FF98'&gt;                          生命值+330&lt;br&gt;&lt;br&gt;&lt;font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11" s="1">
        <v>20</v>
      </c>
      <c r="AD111" s="1" t="s">
        <v>36</v>
      </c>
      <c r="AE111" s="1">
        <v>0</v>
      </c>
      <c r="AF111">
        <v>15</v>
      </c>
      <c r="AG111" s="1">
        <v>0</v>
      </c>
      <c r="AH111" s="1">
        <v>0</v>
      </c>
      <c r="AI111" s="1">
        <v>1</v>
      </c>
      <c r="AJ111" s="1"/>
      <c r="AK111" s="1"/>
      <c r="AL111" s="1">
        <v>0</v>
      </c>
      <c r="AM111" s="1">
        <v>0</v>
      </c>
      <c r="AN111" s="1">
        <v>0</v>
      </c>
      <c r="AO111" s="1">
        <v>1</v>
      </c>
    </row>
    <row r="112" spans="1:41">
      <c r="A112" s="2">
        <v>10419</v>
      </c>
      <c r="B112" s="1" t="s">
        <v>168</v>
      </c>
      <c r="C112" s="1" t="s">
        <v>37</v>
      </c>
      <c r="D112" s="1" t="s">
        <v>38</v>
      </c>
      <c r="E112" s="1">
        <v>1</v>
      </c>
      <c r="F112" s="1">
        <v>15</v>
      </c>
      <c r="G112" s="1">
        <v>0</v>
      </c>
      <c r="H112" s="1">
        <v>0</v>
      </c>
      <c r="I112" s="1">
        <v>99999</v>
      </c>
      <c r="J112" s="1">
        <v>3</v>
      </c>
      <c r="K112" s="1">
        <v>0</v>
      </c>
      <c r="L112" s="1">
        <v>2</v>
      </c>
      <c r="M112" s="1">
        <v>99</v>
      </c>
      <c r="N112" s="1"/>
      <c r="O112" s="1">
        <v>0</v>
      </c>
      <c r="P112" s="1">
        <v>0</v>
      </c>
      <c r="Q112" s="1"/>
      <c r="R112" s="1" t="s">
        <v>35</v>
      </c>
      <c r="S112" s="1">
        <v>1600</v>
      </c>
      <c r="T112" s="1">
        <v>0</v>
      </c>
      <c r="U112" s="2">
        <v>1</v>
      </c>
      <c r="V112" s="1">
        <v>1</v>
      </c>
      <c r="W112" s="1">
        <v>1</v>
      </c>
      <c r="X112" s="1"/>
      <c r="Y112" t="s">
        <v>50</v>
      </c>
      <c r="Z112" s="1" t="s">
        <v>1431</v>
      </c>
      <c r="AA112" s="2" t="s">
        <v>375</v>
      </c>
      <c r="AB112" s="5" t="str">
        <f t="shared" si="1"/>
        <v>&lt;br&gt;&lt;font color='#43FF98'&gt;                          生命值+420&lt;br&gt;&lt;br&gt;&lt;font color='#F2F2F2'&gt;封印强大灵魂能量的绿色灵石，可镶入装备的绿色插槽中提升装备属性&lt;br&gt;&lt;font color='#B2B2B2'&gt;            [按下&lt;font color='#FFa500'&gt;I&lt;font color='#B2B2B2'&gt;键打开灵魂镶嵌界面]</v>
      </c>
      <c r="AC112" s="1">
        <v>20</v>
      </c>
      <c r="AD112" s="1" t="s">
        <v>36</v>
      </c>
      <c r="AE112" s="1">
        <v>0</v>
      </c>
      <c r="AF112">
        <v>15</v>
      </c>
      <c r="AG112" s="1">
        <v>0</v>
      </c>
      <c r="AH112" s="1">
        <v>0</v>
      </c>
      <c r="AI112" s="1">
        <v>1</v>
      </c>
      <c r="AJ112" s="1"/>
      <c r="AK112" s="1"/>
      <c r="AL112" s="1">
        <v>0</v>
      </c>
      <c r="AM112" s="1">
        <v>0</v>
      </c>
      <c r="AN112" s="1">
        <v>0</v>
      </c>
      <c r="AO112" s="1">
        <v>1</v>
      </c>
    </row>
    <row r="113" spans="1:41">
      <c r="A113" s="2">
        <v>10420</v>
      </c>
      <c r="B113" s="1" t="s">
        <v>169</v>
      </c>
      <c r="C113" s="1" t="s">
        <v>37</v>
      </c>
      <c r="D113" s="1" t="s">
        <v>38</v>
      </c>
      <c r="E113" s="1">
        <v>1</v>
      </c>
      <c r="F113" s="1">
        <v>15</v>
      </c>
      <c r="G113" s="1">
        <v>0</v>
      </c>
      <c r="H113" s="1">
        <v>0</v>
      </c>
      <c r="I113" s="1">
        <v>99999</v>
      </c>
      <c r="J113" s="1">
        <v>0</v>
      </c>
      <c r="K113" s="1">
        <v>0</v>
      </c>
      <c r="L113" s="1">
        <v>2</v>
      </c>
      <c r="M113" s="1">
        <v>99</v>
      </c>
      <c r="N113" s="1"/>
      <c r="O113" s="1">
        <v>0</v>
      </c>
      <c r="P113" s="1">
        <v>0</v>
      </c>
      <c r="Q113" s="1"/>
      <c r="R113" s="1" t="s">
        <v>35</v>
      </c>
      <c r="S113" s="1">
        <v>100</v>
      </c>
      <c r="T113" s="1">
        <v>0</v>
      </c>
      <c r="U113" s="2">
        <v>1</v>
      </c>
      <c r="V113" s="1">
        <v>1</v>
      </c>
      <c r="W113" s="1">
        <v>1</v>
      </c>
      <c r="X113" s="1"/>
      <c r="Y113" t="s">
        <v>46</v>
      </c>
      <c r="Z113" s="1" t="e">
        <v>#N/A</v>
      </c>
      <c r="AA113" s="2" t="s">
        <v>376</v>
      </c>
      <c r="AB113" s="5" t="e">
        <f t="shared" si="1"/>
        <v>#N/A</v>
      </c>
      <c r="AC113" s="1">
        <v>20</v>
      </c>
      <c r="AD113" s="1" t="s">
        <v>36</v>
      </c>
      <c r="AE113" s="1">
        <v>0</v>
      </c>
      <c r="AF113">
        <v>15</v>
      </c>
      <c r="AG113" s="1">
        <v>0</v>
      </c>
      <c r="AH113" s="1">
        <v>0</v>
      </c>
      <c r="AI113" s="1">
        <v>1</v>
      </c>
      <c r="AJ113" s="1"/>
      <c r="AK113" s="1"/>
      <c r="AL113" s="1">
        <v>0</v>
      </c>
      <c r="AM113" s="1">
        <v>0</v>
      </c>
      <c r="AN113" s="1">
        <v>0</v>
      </c>
    </row>
    <row r="114" spans="1:41">
      <c r="A114" s="2">
        <v>10421</v>
      </c>
      <c r="B114" s="1" t="s">
        <v>170</v>
      </c>
      <c r="C114" s="1" t="s">
        <v>37</v>
      </c>
      <c r="D114" s="1" t="s">
        <v>38</v>
      </c>
      <c r="E114" s="1">
        <v>1</v>
      </c>
      <c r="F114" s="1">
        <v>15</v>
      </c>
      <c r="G114" s="1">
        <v>0</v>
      </c>
      <c r="H114" s="1">
        <v>0</v>
      </c>
      <c r="I114" s="1">
        <v>99999</v>
      </c>
      <c r="J114" s="1">
        <v>1</v>
      </c>
      <c r="K114" s="1">
        <v>0</v>
      </c>
      <c r="L114" s="1">
        <v>2</v>
      </c>
      <c r="M114" s="1">
        <v>99</v>
      </c>
      <c r="N114" s="1"/>
      <c r="O114" s="1">
        <v>0</v>
      </c>
      <c r="P114" s="1">
        <v>0</v>
      </c>
      <c r="Q114" s="1"/>
      <c r="R114" s="1" t="s">
        <v>35</v>
      </c>
      <c r="S114" s="1">
        <v>200</v>
      </c>
      <c r="T114" s="1">
        <v>0</v>
      </c>
      <c r="U114" s="2">
        <v>1</v>
      </c>
      <c r="V114" s="1">
        <v>1</v>
      </c>
      <c r="W114" s="1">
        <v>1</v>
      </c>
      <c r="X114" s="1"/>
      <c r="Y114" t="s">
        <v>47</v>
      </c>
      <c r="Z114" s="1" t="e">
        <v>#N/A</v>
      </c>
      <c r="AA114" s="2" t="s">
        <v>327</v>
      </c>
      <c r="AB114" s="5" t="e">
        <f t="shared" si="1"/>
        <v>#N/A</v>
      </c>
      <c r="AC114" s="1">
        <v>20</v>
      </c>
      <c r="AD114" s="1" t="s">
        <v>36</v>
      </c>
      <c r="AE114" s="1">
        <v>0</v>
      </c>
      <c r="AF114">
        <v>15</v>
      </c>
      <c r="AG114" s="1">
        <v>0</v>
      </c>
      <c r="AH114" s="1">
        <v>0</v>
      </c>
      <c r="AI114" s="1">
        <v>1</v>
      </c>
      <c r="AJ114" s="1"/>
      <c r="AK114" s="1"/>
      <c r="AL114" s="1">
        <v>0</v>
      </c>
      <c r="AM114" s="1">
        <v>0</v>
      </c>
      <c r="AN114" s="1">
        <v>0</v>
      </c>
    </row>
    <row r="115" spans="1:41">
      <c r="A115" s="2">
        <v>10422</v>
      </c>
      <c r="B115" s="1" t="s">
        <v>171</v>
      </c>
      <c r="C115" s="1" t="s">
        <v>37</v>
      </c>
      <c r="D115" s="1" t="s">
        <v>38</v>
      </c>
      <c r="E115" s="1">
        <v>1</v>
      </c>
      <c r="F115" s="1">
        <v>15</v>
      </c>
      <c r="G115" s="1">
        <v>0</v>
      </c>
      <c r="H115" s="1">
        <v>0</v>
      </c>
      <c r="I115" s="1">
        <v>99999</v>
      </c>
      <c r="J115" s="1">
        <v>1</v>
      </c>
      <c r="K115" s="1">
        <v>0</v>
      </c>
      <c r="L115" s="1">
        <v>2</v>
      </c>
      <c r="M115" s="1">
        <v>99</v>
      </c>
      <c r="N115" s="1"/>
      <c r="O115" s="1">
        <v>0</v>
      </c>
      <c r="P115" s="1">
        <v>0</v>
      </c>
      <c r="Q115" s="1"/>
      <c r="R115" s="1" t="s">
        <v>35</v>
      </c>
      <c r="S115" s="1">
        <v>400</v>
      </c>
      <c r="T115" s="1">
        <v>0</v>
      </c>
      <c r="U115" s="2">
        <v>1</v>
      </c>
      <c r="V115" s="1">
        <v>1</v>
      </c>
      <c r="W115" s="1">
        <v>1</v>
      </c>
      <c r="X115" s="1"/>
      <c r="Y115" t="s">
        <v>48</v>
      </c>
      <c r="Z115" s="1" t="e">
        <v>#N/A</v>
      </c>
      <c r="AA115" s="2" t="s">
        <v>377</v>
      </c>
      <c r="AB115" s="5" t="e">
        <f t="shared" si="1"/>
        <v>#N/A</v>
      </c>
      <c r="AC115" s="1">
        <v>20</v>
      </c>
      <c r="AD115" s="1" t="s">
        <v>36</v>
      </c>
      <c r="AE115" s="1">
        <v>0</v>
      </c>
      <c r="AF115">
        <v>15</v>
      </c>
      <c r="AG115" s="1">
        <v>0</v>
      </c>
      <c r="AH115" s="1">
        <v>0</v>
      </c>
      <c r="AI115" s="1">
        <v>1</v>
      </c>
      <c r="AJ115" s="1"/>
      <c r="AK115" s="1"/>
      <c r="AL115" s="1">
        <v>0</v>
      </c>
      <c r="AM115" s="1">
        <v>0</v>
      </c>
      <c r="AN115" s="1">
        <v>0</v>
      </c>
    </row>
    <row r="116" spans="1:41">
      <c r="A116" s="2">
        <v>10423</v>
      </c>
      <c r="B116" s="1" t="s">
        <v>172</v>
      </c>
      <c r="C116" s="1" t="s">
        <v>37</v>
      </c>
      <c r="D116" s="1" t="s">
        <v>38</v>
      </c>
      <c r="E116" s="1">
        <v>1</v>
      </c>
      <c r="F116" s="1">
        <v>15</v>
      </c>
      <c r="G116" s="1">
        <v>0</v>
      </c>
      <c r="H116" s="1">
        <v>0</v>
      </c>
      <c r="I116" s="1">
        <v>99999</v>
      </c>
      <c r="J116" s="1">
        <v>1</v>
      </c>
      <c r="K116" s="1">
        <v>0</v>
      </c>
      <c r="L116" s="1">
        <v>2</v>
      </c>
      <c r="M116" s="1">
        <v>99</v>
      </c>
      <c r="N116" s="1"/>
      <c r="O116" s="1">
        <v>0</v>
      </c>
      <c r="P116" s="1">
        <v>0</v>
      </c>
      <c r="Q116" s="1"/>
      <c r="R116" s="1" t="s">
        <v>35</v>
      </c>
      <c r="S116" s="1">
        <v>800</v>
      </c>
      <c r="T116" s="1">
        <v>0</v>
      </c>
      <c r="U116" s="2">
        <v>1</v>
      </c>
      <c r="V116" s="1">
        <v>1</v>
      </c>
      <c r="W116" s="1">
        <v>1</v>
      </c>
      <c r="X116" s="1"/>
      <c r="Y116" t="s">
        <v>49</v>
      </c>
      <c r="Z116" s="1" t="e">
        <v>#N/A</v>
      </c>
      <c r="AA116" s="2" t="s">
        <v>328</v>
      </c>
      <c r="AB116" s="5" t="e">
        <f t="shared" si="1"/>
        <v>#N/A</v>
      </c>
      <c r="AC116" s="1">
        <v>20</v>
      </c>
      <c r="AD116" s="1" t="s">
        <v>36</v>
      </c>
      <c r="AE116" s="1">
        <v>0</v>
      </c>
      <c r="AF116">
        <v>15</v>
      </c>
      <c r="AG116" s="1">
        <v>0</v>
      </c>
      <c r="AH116" s="1">
        <v>0</v>
      </c>
      <c r="AI116" s="1">
        <v>1</v>
      </c>
      <c r="AJ116" s="1"/>
      <c r="AK116" s="1"/>
      <c r="AL116" s="1">
        <v>0</v>
      </c>
      <c r="AM116" s="1">
        <v>0</v>
      </c>
      <c r="AN116" s="1">
        <v>0</v>
      </c>
      <c r="AO116" s="1">
        <v>1</v>
      </c>
    </row>
    <row r="117" spans="1:41">
      <c r="A117" s="2">
        <v>10424</v>
      </c>
      <c r="B117" s="1" t="s">
        <v>173</v>
      </c>
      <c r="C117" s="1" t="s">
        <v>37</v>
      </c>
      <c r="D117" s="1" t="s">
        <v>38</v>
      </c>
      <c r="E117" s="1">
        <v>1</v>
      </c>
      <c r="F117" s="1">
        <v>15</v>
      </c>
      <c r="G117" s="1">
        <v>0</v>
      </c>
      <c r="H117" s="1">
        <v>0</v>
      </c>
      <c r="I117" s="1">
        <v>99999</v>
      </c>
      <c r="J117" s="1">
        <v>2</v>
      </c>
      <c r="K117" s="1">
        <v>0</v>
      </c>
      <c r="L117" s="1">
        <v>2</v>
      </c>
      <c r="M117" s="1">
        <v>99</v>
      </c>
      <c r="N117" s="1"/>
      <c r="O117" s="1">
        <v>0</v>
      </c>
      <c r="P117" s="1">
        <v>0</v>
      </c>
      <c r="Q117" s="1"/>
      <c r="R117" s="1" t="s">
        <v>35</v>
      </c>
      <c r="S117" s="1">
        <v>1600</v>
      </c>
      <c r="T117" s="1">
        <v>0</v>
      </c>
      <c r="U117" s="2">
        <v>1</v>
      </c>
      <c r="V117" s="1">
        <v>1</v>
      </c>
      <c r="W117" s="1">
        <v>1</v>
      </c>
      <c r="X117" s="1"/>
      <c r="Y117" t="s">
        <v>50</v>
      </c>
      <c r="Z117" s="1" t="e">
        <v>#N/A</v>
      </c>
      <c r="AA117" s="2" t="s">
        <v>378</v>
      </c>
      <c r="AB117" s="5" t="e">
        <f t="shared" si="1"/>
        <v>#N/A</v>
      </c>
      <c r="AC117" s="1">
        <v>20</v>
      </c>
      <c r="AD117" s="1" t="s">
        <v>36</v>
      </c>
      <c r="AE117" s="1">
        <v>0</v>
      </c>
      <c r="AF117">
        <v>15</v>
      </c>
      <c r="AG117" s="1">
        <v>0</v>
      </c>
      <c r="AH117" s="1">
        <v>0</v>
      </c>
      <c r="AI117" s="1">
        <v>1</v>
      </c>
      <c r="AJ117" s="1"/>
      <c r="AK117" s="1"/>
      <c r="AL117" s="1">
        <v>0</v>
      </c>
      <c r="AM117" s="1">
        <v>0</v>
      </c>
      <c r="AN117" s="1">
        <v>0</v>
      </c>
      <c r="AO117" s="1">
        <v>1</v>
      </c>
    </row>
    <row r="118" spans="1:41">
      <c r="A118" s="2">
        <v>10425</v>
      </c>
      <c r="B118" s="1" t="s">
        <v>174</v>
      </c>
      <c r="C118" s="1" t="s">
        <v>37</v>
      </c>
      <c r="D118" s="1" t="s">
        <v>38</v>
      </c>
      <c r="E118" s="1">
        <v>1</v>
      </c>
      <c r="F118" s="1">
        <v>15</v>
      </c>
      <c r="G118" s="1">
        <v>0</v>
      </c>
      <c r="H118" s="1">
        <v>0</v>
      </c>
      <c r="I118" s="1">
        <v>99999</v>
      </c>
      <c r="J118" s="1">
        <v>2</v>
      </c>
      <c r="K118" s="1">
        <v>0</v>
      </c>
      <c r="L118" s="1">
        <v>2</v>
      </c>
      <c r="M118" s="1">
        <v>99</v>
      </c>
      <c r="N118" s="1"/>
      <c r="O118" s="1">
        <v>0</v>
      </c>
      <c r="P118" s="1">
        <v>0</v>
      </c>
      <c r="Q118" s="1"/>
      <c r="R118" s="1" t="s">
        <v>35</v>
      </c>
      <c r="S118" s="1">
        <v>100</v>
      </c>
      <c r="T118" s="1">
        <v>0</v>
      </c>
      <c r="U118" s="2">
        <v>1</v>
      </c>
      <c r="V118" s="1">
        <v>1</v>
      </c>
      <c r="W118" s="1">
        <v>1</v>
      </c>
      <c r="X118" s="1"/>
      <c r="Y118" t="s">
        <v>50</v>
      </c>
      <c r="Z118" s="1" t="e">
        <v>#N/A</v>
      </c>
      <c r="AA118" s="2" t="s">
        <v>329</v>
      </c>
      <c r="AB118" s="5" t="e">
        <f t="shared" si="1"/>
        <v>#N/A</v>
      </c>
      <c r="AC118" s="1">
        <v>20</v>
      </c>
      <c r="AD118" s="1" t="s">
        <v>36</v>
      </c>
      <c r="AE118" s="1">
        <v>0</v>
      </c>
      <c r="AF118">
        <v>15</v>
      </c>
      <c r="AG118" s="1">
        <v>0</v>
      </c>
      <c r="AH118" s="1">
        <v>0</v>
      </c>
      <c r="AI118" s="1">
        <v>1</v>
      </c>
      <c r="AJ118" s="1"/>
      <c r="AK118" s="1"/>
      <c r="AL118" s="1">
        <v>0</v>
      </c>
      <c r="AM118" s="1">
        <v>0</v>
      </c>
      <c r="AN118" s="1">
        <v>0</v>
      </c>
      <c r="AO118" s="1">
        <v>1</v>
      </c>
    </row>
    <row r="119" spans="1:41">
      <c r="A119" s="2">
        <v>10426</v>
      </c>
      <c r="B119" s="1" t="s">
        <v>175</v>
      </c>
      <c r="C119" s="1" t="s">
        <v>37</v>
      </c>
      <c r="D119" s="1" t="s">
        <v>38</v>
      </c>
      <c r="E119" s="1">
        <v>1</v>
      </c>
      <c r="F119" s="1">
        <v>15</v>
      </c>
      <c r="G119" s="1">
        <v>0</v>
      </c>
      <c r="H119" s="1">
        <v>0</v>
      </c>
      <c r="I119" s="1">
        <v>99999</v>
      </c>
      <c r="J119" s="1">
        <v>2</v>
      </c>
      <c r="K119" s="1">
        <v>0</v>
      </c>
      <c r="L119" s="1">
        <v>2</v>
      </c>
      <c r="M119" s="1">
        <v>99</v>
      </c>
      <c r="N119" s="1"/>
      <c r="O119" s="1">
        <v>0</v>
      </c>
      <c r="P119" s="1">
        <v>0</v>
      </c>
      <c r="Q119" s="1"/>
      <c r="R119" s="1" t="s">
        <v>35</v>
      </c>
      <c r="S119" s="1">
        <v>200</v>
      </c>
      <c r="T119" s="1">
        <v>0</v>
      </c>
      <c r="U119" s="2">
        <v>1</v>
      </c>
      <c r="V119" s="1">
        <v>1</v>
      </c>
      <c r="W119" s="1">
        <v>1</v>
      </c>
      <c r="X119" s="1"/>
      <c r="Y119" t="s">
        <v>50</v>
      </c>
      <c r="Z119" s="1" t="e">
        <v>#N/A</v>
      </c>
      <c r="AA119" s="2" t="s">
        <v>379</v>
      </c>
      <c r="AB119" s="5" t="e">
        <f t="shared" si="1"/>
        <v>#N/A</v>
      </c>
      <c r="AC119" s="1">
        <v>20</v>
      </c>
      <c r="AD119" s="1" t="s">
        <v>36</v>
      </c>
      <c r="AE119" s="1">
        <v>0</v>
      </c>
      <c r="AF119">
        <v>15</v>
      </c>
      <c r="AG119" s="1">
        <v>0</v>
      </c>
      <c r="AH119" s="1">
        <v>0</v>
      </c>
      <c r="AI119" s="1">
        <v>1</v>
      </c>
      <c r="AJ119" s="1"/>
      <c r="AK119" s="1"/>
      <c r="AL119" s="1">
        <v>0</v>
      </c>
      <c r="AM119" s="1">
        <v>0</v>
      </c>
      <c r="AN119" s="1">
        <v>0</v>
      </c>
      <c r="AO119" s="1">
        <v>1</v>
      </c>
    </row>
    <row r="120" spans="1:41">
      <c r="A120" s="2">
        <v>10427</v>
      </c>
      <c r="B120" s="1" t="s">
        <v>176</v>
      </c>
      <c r="C120" s="1" t="s">
        <v>37</v>
      </c>
      <c r="D120" s="1" t="s">
        <v>38</v>
      </c>
      <c r="E120" s="1">
        <v>1</v>
      </c>
      <c r="F120" s="1">
        <v>15</v>
      </c>
      <c r="G120" s="1">
        <v>0</v>
      </c>
      <c r="H120" s="1">
        <v>0</v>
      </c>
      <c r="I120" s="1">
        <v>99999</v>
      </c>
      <c r="J120" s="1">
        <v>3</v>
      </c>
      <c r="K120" s="1">
        <v>0</v>
      </c>
      <c r="L120" s="1">
        <v>2</v>
      </c>
      <c r="M120" s="1">
        <v>99</v>
      </c>
      <c r="N120" s="1"/>
      <c r="O120" s="1">
        <v>0</v>
      </c>
      <c r="P120" s="1">
        <v>0</v>
      </c>
      <c r="Q120" s="1"/>
      <c r="R120" s="1" t="s">
        <v>35</v>
      </c>
      <c r="S120" s="1">
        <v>400</v>
      </c>
      <c r="T120" s="1">
        <v>0</v>
      </c>
      <c r="U120" s="2">
        <v>1</v>
      </c>
      <c r="V120" s="1">
        <v>1</v>
      </c>
      <c r="W120" s="1">
        <v>1</v>
      </c>
      <c r="X120" s="1"/>
      <c r="Y120" t="s">
        <v>50</v>
      </c>
      <c r="Z120" s="1" t="e">
        <v>#N/A</v>
      </c>
      <c r="AA120" s="2" t="s">
        <v>330</v>
      </c>
      <c r="AB120" s="5" t="e">
        <f t="shared" si="1"/>
        <v>#N/A</v>
      </c>
      <c r="AC120" s="1">
        <v>20</v>
      </c>
      <c r="AD120" s="1" t="s">
        <v>36</v>
      </c>
      <c r="AE120" s="1">
        <v>0</v>
      </c>
      <c r="AF120">
        <v>15</v>
      </c>
      <c r="AG120" s="1">
        <v>0</v>
      </c>
      <c r="AH120" s="1">
        <v>0</v>
      </c>
      <c r="AI120" s="1">
        <v>1</v>
      </c>
      <c r="AJ120" s="1"/>
      <c r="AK120" s="1"/>
      <c r="AL120" s="1">
        <v>0</v>
      </c>
      <c r="AM120" s="1">
        <v>0</v>
      </c>
      <c r="AN120" s="1">
        <v>0</v>
      </c>
      <c r="AO120" s="1">
        <v>1</v>
      </c>
    </row>
    <row r="121" spans="1:41">
      <c r="A121" s="2">
        <v>10428</v>
      </c>
      <c r="B121" s="1" t="s">
        <v>177</v>
      </c>
      <c r="C121" s="1" t="s">
        <v>37</v>
      </c>
      <c r="D121" s="1" t="s">
        <v>38</v>
      </c>
      <c r="E121" s="1">
        <v>1</v>
      </c>
      <c r="F121" s="1">
        <v>15</v>
      </c>
      <c r="G121" s="1">
        <v>0</v>
      </c>
      <c r="H121" s="1">
        <v>0</v>
      </c>
      <c r="I121" s="1">
        <v>99999</v>
      </c>
      <c r="J121" s="1">
        <v>3</v>
      </c>
      <c r="K121" s="1">
        <v>0</v>
      </c>
      <c r="L121" s="1">
        <v>2</v>
      </c>
      <c r="M121" s="1">
        <v>99</v>
      </c>
      <c r="N121" s="1"/>
      <c r="O121" s="1">
        <v>0</v>
      </c>
      <c r="P121" s="1">
        <v>0</v>
      </c>
      <c r="Q121" s="1"/>
      <c r="R121" s="1" t="s">
        <v>35</v>
      </c>
      <c r="S121" s="1">
        <v>800</v>
      </c>
      <c r="T121" s="1">
        <v>0</v>
      </c>
      <c r="U121" s="2">
        <v>1</v>
      </c>
      <c r="V121" s="1">
        <v>1</v>
      </c>
      <c r="W121" s="1">
        <v>1</v>
      </c>
      <c r="X121" s="1"/>
      <c r="Y121" t="s">
        <v>50</v>
      </c>
      <c r="Z121" s="1" t="e">
        <v>#N/A</v>
      </c>
      <c r="AA121" s="2" t="s">
        <v>380</v>
      </c>
      <c r="AB121" s="5" t="e">
        <f t="shared" si="1"/>
        <v>#N/A</v>
      </c>
      <c r="AC121" s="1">
        <v>20</v>
      </c>
      <c r="AD121" s="1" t="s">
        <v>36</v>
      </c>
      <c r="AE121" s="1">
        <v>0</v>
      </c>
      <c r="AF121">
        <v>15</v>
      </c>
      <c r="AG121" s="1">
        <v>0</v>
      </c>
      <c r="AH121" s="1">
        <v>0</v>
      </c>
      <c r="AI121" s="1">
        <v>1</v>
      </c>
      <c r="AJ121" s="1"/>
      <c r="AK121" s="1"/>
      <c r="AL121" s="1">
        <v>0</v>
      </c>
      <c r="AM121" s="1">
        <v>0</v>
      </c>
      <c r="AN121" s="1">
        <v>0</v>
      </c>
      <c r="AO121" s="1">
        <v>1</v>
      </c>
    </row>
    <row r="122" spans="1:41">
      <c r="A122" s="2">
        <v>10429</v>
      </c>
      <c r="B122" s="1" t="s">
        <v>178</v>
      </c>
      <c r="C122" s="1" t="s">
        <v>37</v>
      </c>
      <c r="D122" s="1" t="s">
        <v>38</v>
      </c>
      <c r="E122" s="1">
        <v>1</v>
      </c>
      <c r="F122" s="1">
        <v>15</v>
      </c>
      <c r="G122" s="1">
        <v>0</v>
      </c>
      <c r="H122" s="1">
        <v>0</v>
      </c>
      <c r="I122" s="1">
        <v>99999</v>
      </c>
      <c r="J122" s="1">
        <v>3</v>
      </c>
      <c r="K122" s="1">
        <v>0</v>
      </c>
      <c r="L122" s="1">
        <v>2</v>
      </c>
      <c r="M122" s="1">
        <v>99</v>
      </c>
      <c r="N122" s="1"/>
      <c r="O122" s="1">
        <v>0</v>
      </c>
      <c r="P122" s="1">
        <v>0</v>
      </c>
      <c r="Q122" s="1"/>
      <c r="R122" s="1" t="s">
        <v>35</v>
      </c>
      <c r="S122" s="1">
        <v>1600</v>
      </c>
      <c r="T122" s="1">
        <v>0</v>
      </c>
      <c r="U122" s="2">
        <v>1</v>
      </c>
      <c r="V122" s="1">
        <v>1</v>
      </c>
      <c r="W122" s="1">
        <v>1</v>
      </c>
      <c r="X122" s="1"/>
      <c r="Y122" t="s">
        <v>50</v>
      </c>
      <c r="Z122" s="1" t="e">
        <v>#N/A</v>
      </c>
      <c r="AA122" s="2" t="s">
        <v>331</v>
      </c>
      <c r="AB122" s="5" t="e">
        <f t="shared" si="1"/>
        <v>#N/A</v>
      </c>
      <c r="AC122" s="1">
        <v>20</v>
      </c>
      <c r="AD122" s="1" t="s">
        <v>36</v>
      </c>
      <c r="AE122" s="1">
        <v>0</v>
      </c>
      <c r="AF122">
        <v>15</v>
      </c>
      <c r="AG122" s="1">
        <v>0</v>
      </c>
      <c r="AH122" s="1">
        <v>0</v>
      </c>
      <c r="AI122" s="1">
        <v>1</v>
      </c>
      <c r="AJ122" s="1"/>
      <c r="AK122" s="1"/>
      <c r="AL122" s="1">
        <v>0</v>
      </c>
      <c r="AM122" s="1">
        <v>0</v>
      </c>
      <c r="AN122" s="1">
        <v>0</v>
      </c>
      <c r="AO122" s="1">
        <v>1</v>
      </c>
    </row>
    <row r="123" spans="1:41">
      <c r="A123" s="2">
        <v>10500</v>
      </c>
      <c r="B123" s="1" t="s">
        <v>179</v>
      </c>
      <c r="C123" s="1" t="s">
        <v>37</v>
      </c>
      <c r="D123" s="1" t="s">
        <v>38</v>
      </c>
      <c r="E123" s="1">
        <v>1</v>
      </c>
      <c r="F123" s="1">
        <v>15</v>
      </c>
      <c r="G123" s="1">
        <v>0</v>
      </c>
      <c r="H123" s="1">
        <v>0</v>
      </c>
      <c r="I123" s="1">
        <v>99999</v>
      </c>
      <c r="J123" s="1">
        <v>0</v>
      </c>
      <c r="K123" s="1">
        <v>0</v>
      </c>
      <c r="L123" s="1">
        <v>2</v>
      </c>
      <c r="M123" s="1">
        <v>99</v>
      </c>
      <c r="N123" s="1"/>
      <c r="O123" s="1">
        <v>0</v>
      </c>
      <c r="P123" s="1">
        <v>0</v>
      </c>
      <c r="Q123" s="1"/>
      <c r="R123" s="1" t="s">
        <v>35</v>
      </c>
      <c r="S123" s="1">
        <v>100</v>
      </c>
      <c r="T123" s="1">
        <v>0</v>
      </c>
      <c r="U123" s="2">
        <v>1</v>
      </c>
      <c r="V123" s="1">
        <v>1</v>
      </c>
      <c r="W123" s="1">
        <v>1</v>
      </c>
      <c r="X123" s="1"/>
      <c r="Y123" t="s">
        <v>54</v>
      </c>
      <c r="Z123" s="1" t="s">
        <v>1432</v>
      </c>
      <c r="AA123" s="2" t="s">
        <v>332</v>
      </c>
      <c r="AB123" s="5" t="str">
        <f t="shared" si="1"/>
        <v>&lt;br&gt;&lt;font color='#43FF98'&gt;                          最小魔法+1&lt;br&gt;&lt;br&gt;&lt;font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23" s="1">
        <v>20</v>
      </c>
      <c r="AD123" s="1" t="s">
        <v>36</v>
      </c>
      <c r="AE123" s="1">
        <v>0</v>
      </c>
      <c r="AF123">
        <v>15</v>
      </c>
      <c r="AG123" s="1">
        <v>0</v>
      </c>
      <c r="AH123" s="1">
        <v>0</v>
      </c>
      <c r="AI123" s="1">
        <v>1</v>
      </c>
      <c r="AJ123" s="1"/>
      <c r="AK123" s="1"/>
      <c r="AL123" s="1">
        <v>0</v>
      </c>
      <c r="AM123" s="1">
        <v>0</v>
      </c>
      <c r="AN123" s="1">
        <v>0</v>
      </c>
    </row>
    <row r="124" spans="1:41">
      <c r="A124" s="2">
        <v>10501</v>
      </c>
      <c r="B124" s="1" t="s">
        <v>180</v>
      </c>
      <c r="C124" s="1" t="s">
        <v>37</v>
      </c>
      <c r="D124" s="1" t="s">
        <v>38</v>
      </c>
      <c r="E124" s="1">
        <v>1</v>
      </c>
      <c r="F124" s="1">
        <v>15</v>
      </c>
      <c r="G124" s="1">
        <v>0</v>
      </c>
      <c r="H124" s="1">
        <v>0</v>
      </c>
      <c r="I124" s="1">
        <v>99999</v>
      </c>
      <c r="J124" s="1">
        <v>1</v>
      </c>
      <c r="K124" s="1">
        <v>0</v>
      </c>
      <c r="L124" s="1">
        <v>2</v>
      </c>
      <c r="M124" s="1">
        <v>99</v>
      </c>
      <c r="N124" s="1"/>
      <c r="O124" s="1">
        <v>0</v>
      </c>
      <c r="P124" s="1">
        <v>0</v>
      </c>
      <c r="Q124" s="1"/>
      <c r="R124" s="1" t="s">
        <v>35</v>
      </c>
      <c r="S124" s="1">
        <v>200</v>
      </c>
      <c r="T124" s="1">
        <v>0</v>
      </c>
      <c r="U124" s="2">
        <v>1</v>
      </c>
      <c r="V124" s="1">
        <v>1</v>
      </c>
      <c r="W124" s="1">
        <v>1</v>
      </c>
      <c r="X124" s="1"/>
      <c r="Y124" t="s">
        <v>51</v>
      </c>
      <c r="Z124" s="1" t="s">
        <v>1433</v>
      </c>
      <c r="AA124" s="2" t="s">
        <v>333</v>
      </c>
      <c r="AB124" s="5" t="str">
        <f t="shared" si="1"/>
        <v>&lt;br&gt;&lt;font color='#43FF98'&gt;                          最小魔法+2&lt;br&gt;&lt;br&gt;&lt;font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24" s="1">
        <v>20</v>
      </c>
      <c r="AD124" s="1" t="s">
        <v>36</v>
      </c>
      <c r="AE124" s="1">
        <v>0</v>
      </c>
      <c r="AF124">
        <v>15</v>
      </c>
      <c r="AG124" s="1">
        <v>0</v>
      </c>
      <c r="AH124" s="1">
        <v>0</v>
      </c>
      <c r="AI124" s="1">
        <v>1</v>
      </c>
      <c r="AJ124" s="1"/>
      <c r="AK124" s="1"/>
      <c r="AL124" s="1">
        <v>0</v>
      </c>
      <c r="AM124" s="1">
        <v>0</v>
      </c>
      <c r="AN124" s="1">
        <v>0</v>
      </c>
    </row>
    <row r="125" spans="1:41">
      <c r="A125" s="2">
        <v>10502</v>
      </c>
      <c r="B125" s="1" t="s">
        <v>181</v>
      </c>
      <c r="C125" s="1" t="s">
        <v>37</v>
      </c>
      <c r="D125" s="1" t="s">
        <v>38</v>
      </c>
      <c r="E125" s="1">
        <v>1</v>
      </c>
      <c r="F125" s="1">
        <v>15</v>
      </c>
      <c r="G125" s="1">
        <v>0</v>
      </c>
      <c r="H125" s="1">
        <v>0</v>
      </c>
      <c r="I125" s="1">
        <v>99999</v>
      </c>
      <c r="J125" s="1">
        <v>1</v>
      </c>
      <c r="K125" s="1">
        <v>0</v>
      </c>
      <c r="L125" s="1">
        <v>2</v>
      </c>
      <c r="M125" s="1">
        <v>99</v>
      </c>
      <c r="N125" s="1"/>
      <c r="O125" s="1">
        <v>0</v>
      </c>
      <c r="P125" s="1">
        <v>0</v>
      </c>
      <c r="Q125" s="1"/>
      <c r="R125" s="1" t="s">
        <v>35</v>
      </c>
      <c r="S125" s="1">
        <v>400</v>
      </c>
      <c r="T125" s="1">
        <v>0</v>
      </c>
      <c r="U125" s="2">
        <v>1</v>
      </c>
      <c r="V125" s="1">
        <v>1</v>
      </c>
      <c r="W125" s="1">
        <v>1</v>
      </c>
      <c r="X125" s="1"/>
      <c r="Y125" t="s">
        <v>52</v>
      </c>
      <c r="Z125" s="1" t="s">
        <v>1434</v>
      </c>
      <c r="AA125" s="2" t="s">
        <v>334</v>
      </c>
      <c r="AB125" s="5" t="str">
        <f t="shared" si="1"/>
        <v>&lt;br&gt;&lt;font color='#43FF98'&gt;                          最小魔法+3&lt;br&gt;&lt;br&gt;&lt;font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25" s="1">
        <v>20</v>
      </c>
      <c r="AD125" s="1" t="s">
        <v>36</v>
      </c>
      <c r="AE125" s="1">
        <v>0</v>
      </c>
      <c r="AF125">
        <v>15</v>
      </c>
      <c r="AG125" s="1">
        <v>0</v>
      </c>
      <c r="AH125" s="1">
        <v>0</v>
      </c>
      <c r="AI125" s="1">
        <v>1</v>
      </c>
      <c r="AJ125" s="1"/>
      <c r="AK125" s="1"/>
      <c r="AL125" s="1">
        <v>0</v>
      </c>
      <c r="AM125" s="1">
        <v>0</v>
      </c>
      <c r="AN125" s="1">
        <v>0</v>
      </c>
    </row>
    <row r="126" spans="1:41">
      <c r="A126" s="2">
        <v>10503</v>
      </c>
      <c r="B126" s="1" t="s">
        <v>182</v>
      </c>
      <c r="C126" s="1" t="s">
        <v>37</v>
      </c>
      <c r="D126" s="1" t="s">
        <v>38</v>
      </c>
      <c r="E126" s="1">
        <v>1</v>
      </c>
      <c r="F126" s="1">
        <v>15</v>
      </c>
      <c r="G126" s="1">
        <v>0</v>
      </c>
      <c r="H126" s="1">
        <v>0</v>
      </c>
      <c r="I126" s="1">
        <v>99999</v>
      </c>
      <c r="J126" s="1">
        <v>1</v>
      </c>
      <c r="K126" s="1">
        <v>0</v>
      </c>
      <c r="L126" s="1">
        <v>2</v>
      </c>
      <c r="M126" s="1">
        <v>99</v>
      </c>
      <c r="N126" s="1"/>
      <c r="O126" s="1">
        <v>0</v>
      </c>
      <c r="P126" s="1">
        <v>0</v>
      </c>
      <c r="Q126" s="1"/>
      <c r="R126" s="1" t="s">
        <v>35</v>
      </c>
      <c r="S126" s="1">
        <v>800</v>
      </c>
      <c r="T126" s="1">
        <v>0</v>
      </c>
      <c r="U126" s="2">
        <v>1</v>
      </c>
      <c r="V126" s="1">
        <v>1</v>
      </c>
      <c r="W126" s="1">
        <v>1</v>
      </c>
      <c r="X126" s="1"/>
      <c r="Y126" t="s">
        <v>53</v>
      </c>
      <c r="Z126" s="1" t="s">
        <v>1435</v>
      </c>
      <c r="AA126" s="2" t="s">
        <v>335</v>
      </c>
      <c r="AB126" s="5" t="str">
        <f t="shared" si="1"/>
        <v>&lt;br&gt;&lt;font color='#43FF98'&gt;                          最小魔法+5&lt;br&gt;&lt;br&gt;&lt;font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26" s="1">
        <v>20</v>
      </c>
      <c r="AD126" s="1" t="s">
        <v>36</v>
      </c>
      <c r="AE126" s="1">
        <v>0</v>
      </c>
      <c r="AF126">
        <v>15</v>
      </c>
      <c r="AG126" s="1">
        <v>0</v>
      </c>
      <c r="AH126" s="1">
        <v>0</v>
      </c>
      <c r="AI126" s="1">
        <v>1</v>
      </c>
      <c r="AJ126" s="1"/>
      <c r="AK126" s="1"/>
      <c r="AL126" s="1">
        <v>0</v>
      </c>
      <c r="AM126" s="1">
        <v>0</v>
      </c>
      <c r="AN126" s="1">
        <v>0</v>
      </c>
      <c r="AO126" s="1">
        <v>1</v>
      </c>
    </row>
    <row r="127" spans="1:41">
      <c r="A127" s="2">
        <v>10504</v>
      </c>
      <c r="B127" s="1" t="s">
        <v>183</v>
      </c>
      <c r="C127" s="1" t="s">
        <v>37</v>
      </c>
      <c r="D127" s="1" t="s">
        <v>38</v>
      </c>
      <c r="E127" s="1">
        <v>1</v>
      </c>
      <c r="F127" s="1">
        <v>15</v>
      </c>
      <c r="G127" s="1">
        <v>0</v>
      </c>
      <c r="H127" s="1">
        <v>0</v>
      </c>
      <c r="I127" s="1">
        <v>99999</v>
      </c>
      <c r="J127" s="1">
        <v>2</v>
      </c>
      <c r="K127" s="1">
        <v>0</v>
      </c>
      <c r="L127" s="1">
        <v>2</v>
      </c>
      <c r="M127" s="1">
        <v>99</v>
      </c>
      <c r="N127" s="1"/>
      <c r="O127" s="1">
        <v>0</v>
      </c>
      <c r="P127" s="1">
        <v>0</v>
      </c>
      <c r="Q127" s="1"/>
      <c r="R127" s="1" t="s">
        <v>35</v>
      </c>
      <c r="S127" s="1">
        <v>1600</v>
      </c>
      <c r="T127" s="1">
        <v>0</v>
      </c>
      <c r="U127" s="2">
        <v>1</v>
      </c>
      <c r="V127" s="1">
        <v>1</v>
      </c>
      <c r="W127" s="1">
        <v>1</v>
      </c>
      <c r="X127" s="1"/>
      <c r="Y127" t="s">
        <v>55</v>
      </c>
      <c r="Z127" s="1" t="s">
        <v>1436</v>
      </c>
      <c r="AA127" s="2" t="s">
        <v>336</v>
      </c>
      <c r="AB127" s="5" t="str">
        <f t="shared" si="1"/>
        <v>&lt;br&gt;&lt;font color='#43FF98'&gt;                          最小魔法+7&lt;br&gt;&lt;br&gt;&lt;font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27" s="1">
        <v>20</v>
      </c>
      <c r="AD127" s="1" t="s">
        <v>36</v>
      </c>
      <c r="AE127" s="1">
        <v>0</v>
      </c>
      <c r="AF127">
        <v>15</v>
      </c>
      <c r="AG127" s="1">
        <v>0</v>
      </c>
      <c r="AH127" s="1">
        <v>0</v>
      </c>
      <c r="AI127" s="1">
        <v>1</v>
      </c>
      <c r="AJ127" s="1"/>
      <c r="AK127" s="1"/>
      <c r="AL127" s="1">
        <v>0</v>
      </c>
      <c r="AM127" s="1">
        <v>0</v>
      </c>
      <c r="AN127" s="1">
        <v>0</v>
      </c>
      <c r="AO127" s="1">
        <v>1</v>
      </c>
    </row>
    <row r="128" spans="1:41">
      <c r="A128" s="2">
        <v>10505</v>
      </c>
      <c r="B128" s="1" t="s">
        <v>184</v>
      </c>
      <c r="C128" s="1" t="s">
        <v>37</v>
      </c>
      <c r="D128" s="1" t="s">
        <v>38</v>
      </c>
      <c r="E128" s="1">
        <v>1</v>
      </c>
      <c r="F128" s="1">
        <v>15</v>
      </c>
      <c r="G128" s="1">
        <v>0</v>
      </c>
      <c r="H128" s="1">
        <v>0</v>
      </c>
      <c r="I128" s="1">
        <v>99999</v>
      </c>
      <c r="J128" s="1">
        <v>2</v>
      </c>
      <c r="K128" s="1">
        <v>0</v>
      </c>
      <c r="L128" s="1">
        <v>2</v>
      </c>
      <c r="M128" s="1">
        <v>99</v>
      </c>
      <c r="N128" s="1"/>
      <c r="O128" s="1">
        <v>0</v>
      </c>
      <c r="P128" s="1">
        <v>0</v>
      </c>
      <c r="Q128" s="1"/>
      <c r="R128" s="1" t="s">
        <v>35</v>
      </c>
      <c r="S128" s="1">
        <v>100</v>
      </c>
      <c r="T128" s="1">
        <v>0</v>
      </c>
      <c r="U128" s="2">
        <v>1</v>
      </c>
      <c r="V128" s="1">
        <v>1</v>
      </c>
      <c r="W128" s="1">
        <v>1</v>
      </c>
      <c r="X128" s="1"/>
      <c r="Y128" t="s">
        <v>55</v>
      </c>
      <c r="Z128" s="1" t="s">
        <v>1437</v>
      </c>
      <c r="AA128" s="2" t="s">
        <v>337</v>
      </c>
      <c r="AB128" s="5" t="str">
        <f t="shared" si="1"/>
        <v>&lt;br&gt;&lt;font color='#43FF98'&gt;                          最小魔法+10&lt;br&gt;&lt;br&gt;&lt;font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28" s="1">
        <v>20</v>
      </c>
      <c r="AD128" s="1" t="s">
        <v>36</v>
      </c>
      <c r="AE128" s="1">
        <v>0</v>
      </c>
      <c r="AF128">
        <v>15</v>
      </c>
      <c r="AG128" s="1">
        <v>0</v>
      </c>
      <c r="AH128" s="1">
        <v>0</v>
      </c>
      <c r="AI128" s="1">
        <v>1</v>
      </c>
      <c r="AJ128" s="1"/>
      <c r="AK128" s="1"/>
      <c r="AL128" s="1">
        <v>0</v>
      </c>
      <c r="AM128" s="1">
        <v>0</v>
      </c>
      <c r="AN128" s="1">
        <v>0</v>
      </c>
      <c r="AO128" s="1">
        <v>1</v>
      </c>
    </row>
    <row r="129" spans="1:41">
      <c r="A129" s="2">
        <v>10506</v>
      </c>
      <c r="B129" s="1" t="s">
        <v>185</v>
      </c>
      <c r="C129" s="1" t="s">
        <v>37</v>
      </c>
      <c r="D129" s="1" t="s">
        <v>38</v>
      </c>
      <c r="E129" s="1">
        <v>1</v>
      </c>
      <c r="F129" s="1">
        <v>15</v>
      </c>
      <c r="G129" s="1">
        <v>0</v>
      </c>
      <c r="H129" s="1">
        <v>0</v>
      </c>
      <c r="I129" s="1">
        <v>99999</v>
      </c>
      <c r="J129" s="1">
        <v>2</v>
      </c>
      <c r="K129" s="1">
        <v>0</v>
      </c>
      <c r="L129" s="1">
        <v>2</v>
      </c>
      <c r="M129" s="1">
        <v>99</v>
      </c>
      <c r="N129" s="1"/>
      <c r="O129" s="1">
        <v>0</v>
      </c>
      <c r="P129" s="1">
        <v>0</v>
      </c>
      <c r="Q129" s="1"/>
      <c r="R129" s="1" t="s">
        <v>35</v>
      </c>
      <c r="S129" s="1">
        <v>200</v>
      </c>
      <c r="T129" s="1">
        <v>0</v>
      </c>
      <c r="U129" s="2">
        <v>1</v>
      </c>
      <c r="V129" s="1">
        <v>1</v>
      </c>
      <c r="W129" s="1">
        <v>1</v>
      </c>
      <c r="X129" s="1"/>
      <c r="Y129" t="s">
        <v>55</v>
      </c>
      <c r="Z129" s="1" t="s">
        <v>1438</v>
      </c>
      <c r="AA129" s="2" t="s">
        <v>338</v>
      </c>
      <c r="AB129" s="5" t="str">
        <f t="shared" si="1"/>
        <v>&lt;br&gt;&lt;font color='#43FF98'&gt;                          最小魔法+13&lt;br&gt;&lt;br&gt;&lt;font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29" s="1">
        <v>20</v>
      </c>
      <c r="AD129" s="1" t="s">
        <v>36</v>
      </c>
      <c r="AE129" s="1">
        <v>0</v>
      </c>
      <c r="AF129">
        <v>15</v>
      </c>
      <c r="AG129" s="1">
        <v>0</v>
      </c>
      <c r="AH129" s="1">
        <v>0</v>
      </c>
      <c r="AI129" s="1">
        <v>1</v>
      </c>
      <c r="AJ129" s="1"/>
      <c r="AK129" s="1"/>
      <c r="AL129" s="1">
        <v>0</v>
      </c>
      <c r="AM129" s="1">
        <v>0</v>
      </c>
      <c r="AN129" s="1">
        <v>0</v>
      </c>
      <c r="AO129" s="1">
        <v>1</v>
      </c>
    </row>
    <row r="130" spans="1:41">
      <c r="A130" s="2">
        <v>10507</v>
      </c>
      <c r="B130" s="1" t="s">
        <v>186</v>
      </c>
      <c r="C130" s="1" t="s">
        <v>37</v>
      </c>
      <c r="D130" s="1" t="s">
        <v>38</v>
      </c>
      <c r="E130" s="1">
        <v>1</v>
      </c>
      <c r="F130" s="1">
        <v>15</v>
      </c>
      <c r="G130" s="1">
        <v>0</v>
      </c>
      <c r="H130" s="1">
        <v>0</v>
      </c>
      <c r="I130" s="1">
        <v>99999</v>
      </c>
      <c r="J130" s="1">
        <v>3</v>
      </c>
      <c r="K130" s="1">
        <v>0</v>
      </c>
      <c r="L130" s="1">
        <v>2</v>
      </c>
      <c r="M130" s="1">
        <v>99</v>
      </c>
      <c r="N130" s="1"/>
      <c r="O130" s="1">
        <v>0</v>
      </c>
      <c r="P130" s="1">
        <v>0</v>
      </c>
      <c r="Q130" s="1"/>
      <c r="R130" s="1" t="s">
        <v>35</v>
      </c>
      <c r="S130" s="1">
        <v>400</v>
      </c>
      <c r="T130" s="1">
        <v>0</v>
      </c>
      <c r="U130" s="2">
        <v>1</v>
      </c>
      <c r="V130" s="1">
        <v>1</v>
      </c>
      <c r="W130" s="1">
        <v>1</v>
      </c>
      <c r="X130" s="1"/>
      <c r="Y130" t="s">
        <v>55</v>
      </c>
      <c r="Z130" s="1" t="s">
        <v>1439</v>
      </c>
      <c r="AA130" s="2" t="s">
        <v>339</v>
      </c>
      <c r="AB130" s="5" t="str">
        <f t="shared" si="1"/>
        <v>&lt;br&gt;&lt;font color='#43FF98'&gt;                          最小魔法+17&lt;br&gt;&lt;br&gt;&lt;font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30" s="1">
        <v>20</v>
      </c>
      <c r="AD130" s="1" t="s">
        <v>36</v>
      </c>
      <c r="AE130" s="1">
        <v>0</v>
      </c>
      <c r="AF130">
        <v>15</v>
      </c>
      <c r="AG130" s="1">
        <v>0</v>
      </c>
      <c r="AH130" s="1">
        <v>0</v>
      </c>
      <c r="AI130" s="1">
        <v>1</v>
      </c>
      <c r="AJ130" s="1"/>
      <c r="AK130" s="1"/>
      <c r="AL130" s="1">
        <v>0</v>
      </c>
      <c r="AM130" s="1">
        <v>0</v>
      </c>
      <c r="AN130" s="1">
        <v>0</v>
      </c>
      <c r="AO130" s="1">
        <v>1</v>
      </c>
    </row>
    <row r="131" spans="1:41">
      <c r="A131" s="2">
        <v>10508</v>
      </c>
      <c r="B131" s="1" t="s">
        <v>187</v>
      </c>
      <c r="C131" s="1" t="s">
        <v>37</v>
      </c>
      <c r="D131" s="1" t="s">
        <v>38</v>
      </c>
      <c r="E131" s="1">
        <v>1</v>
      </c>
      <c r="F131" s="1">
        <v>15</v>
      </c>
      <c r="G131" s="1">
        <v>0</v>
      </c>
      <c r="H131" s="1">
        <v>0</v>
      </c>
      <c r="I131" s="1">
        <v>99999</v>
      </c>
      <c r="J131" s="1">
        <v>3</v>
      </c>
      <c r="K131" s="1">
        <v>0</v>
      </c>
      <c r="L131" s="1">
        <v>2</v>
      </c>
      <c r="M131" s="1">
        <v>99</v>
      </c>
      <c r="N131" s="1"/>
      <c r="O131" s="1">
        <v>0</v>
      </c>
      <c r="P131" s="1">
        <v>0</v>
      </c>
      <c r="Q131" s="1"/>
      <c r="R131" s="1" t="s">
        <v>35</v>
      </c>
      <c r="S131" s="1">
        <v>800</v>
      </c>
      <c r="T131" s="1">
        <v>0</v>
      </c>
      <c r="U131" s="2">
        <v>1</v>
      </c>
      <c r="V131" s="1">
        <v>1</v>
      </c>
      <c r="W131" s="1">
        <v>1</v>
      </c>
      <c r="X131" s="1"/>
      <c r="Y131" t="s">
        <v>55</v>
      </c>
      <c r="Z131" s="1" t="s">
        <v>1440</v>
      </c>
      <c r="AA131" s="2" t="s">
        <v>340</v>
      </c>
      <c r="AB131" s="5" t="str">
        <f t="shared" si="1"/>
        <v>&lt;br&gt;&lt;font color='#43FF98'&gt;                          最小魔法+22&lt;br&gt;&lt;br&gt;&lt;font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31" s="1">
        <v>20</v>
      </c>
      <c r="AD131" s="1" t="s">
        <v>36</v>
      </c>
      <c r="AE131" s="1">
        <v>0</v>
      </c>
      <c r="AF131">
        <v>15</v>
      </c>
      <c r="AG131" s="1">
        <v>0</v>
      </c>
      <c r="AH131" s="1">
        <v>0</v>
      </c>
      <c r="AI131" s="1">
        <v>1</v>
      </c>
      <c r="AJ131" s="1"/>
      <c r="AK131" s="1"/>
      <c r="AL131" s="1">
        <v>0</v>
      </c>
      <c r="AM131" s="1">
        <v>0</v>
      </c>
      <c r="AN131" s="1">
        <v>0</v>
      </c>
      <c r="AO131" s="1">
        <v>1</v>
      </c>
    </row>
    <row r="132" spans="1:41">
      <c r="A132" s="2">
        <v>10509</v>
      </c>
      <c r="B132" s="1" t="s">
        <v>188</v>
      </c>
      <c r="C132" s="1" t="s">
        <v>37</v>
      </c>
      <c r="D132" s="1" t="s">
        <v>38</v>
      </c>
      <c r="E132" s="1">
        <v>1</v>
      </c>
      <c r="F132" s="1">
        <v>15</v>
      </c>
      <c r="G132" s="1">
        <v>0</v>
      </c>
      <c r="H132" s="1">
        <v>0</v>
      </c>
      <c r="I132" s="1">
        <v>99999</v>
      </c>
      <c r="J132" s="1">
        <v>3</v>
      </c>
      <c r="K132" s="1">
        <v>0</v>
      </c>
      <c r="L132" s="1">
        <v>2</v>
      </c>
      <c r="M132" s="1">
        <v>99</v>
      </c>
      <c r="N132" s="1"/>
      <c r="O132" s="1">
        <v>0</v>
      </c>
      <c r="P132" s="1">
        <v>0</v>
      </c>
      <c r="Q132" s="1"/>
      <c r="R132" s="1" t="s">
        <v>35</v>
      </c>
      <c r="S132" s="1">
        <v>1600</v>
      </c>
      <c r="T132" s="1">
        <v>0</v>
      </c>
      <c r="U132" s="2">
        <v>1</v>
      </c>
      <c r="V132" s="1">
        <v>1</v>
      </c>
      <c r="W132" s="1">
        <v>1</v>
      </c>
      <c r="X132" s="1"/>
      <c r="Y132" t="s">
        <v>55</v>
      </c>
      <c r="Z132" s="1" t="s">
        <v>1441</v>
      </c>
      <c r="AA132" s="2" t="s">
        <v>341</v>
      </c>
      <c r="AB132" s="5" t="str">
        <f t="shared" ref="AB132:AB182" si="2">LEFT(AA132,52)&amp;Z132&amp;RIGHT(AA132,157)</f>
        <v>&lt;br&gt;&lt;font color='#43FF98'&gt;                          最小魔法+28&lt;br&gt;&lt;br&gt;&lt;font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32" s="1">
        <v>20</v>
      </c>
      <c r="AD132" s="1" t="s">
        <v>36</v>
      </c>
      <c r="AE132" s="1">
        <v>0</v>
      </c>
      <c r="AF132">
        <v>15</v>
      </c>
      <c r="AG132" s="1">
        <v>0</v>
      </c>
      <c r="AH132" s="1">
        <v>0</v>
      </c>
      <c r="AI132" s="1">
        <v>1</v>
      </c>
      <c r="AJ132" s="1"/>
      <c r="AK132" s="1"/>
      <c r="AL132" s="1">
        <v>0</v>
      </c>
      <c r="AM132" s="1">
        <v>0</v>
      </c>
      <c r="AN132" s="1">
        <v>0</v>
      </c>
      <c r="AO132" s="1">
        <v>1</v>
      </c>
    </row>
    <row r="133" spans="1:41">
      <c r="A133" s="2">
        <v>10510</v>
      </c>
      <c r="B133" s="1" t="s">
        <v>189</v>
      </c>
      <c r="C133" s="1" t="s">
        <v>37</v>
      </c>
      <c r="D133" s="1" t="s">
        <v>38</v>
      </c>
      <c r="E133" s="1">
        <v>1</v>
      </c>
      <c r="F133" s="1">
        <v>15</v>
      </c>
      <c r="G133" s="1">
        <v>0</v>
      </c>
      <c r="H133" s="1">
        <v>0</v>
      </c>
      <c r="I133" s="1">
        <v>99999</v>
      </c>
      <c r="J133" s="1">
        <v>0</v>
      </c>
      <c r="K133" s="1">
        <v>0</v>
      </c>
      <c r="L133" s="1">
        <v>2</v>
      </c>
      <c r="M133" s="1">
        <v>99</v>
      </c>
      <c r="N133" s="1"/>
      <c r="O133" s="1">
        <v>0</v>
      </c>
      <c r="P133" s="1">
        <v>0</v>
      </c>
      <c r="Q133" s="1"/>
      <c r="R133" s="1" t="s">
        <v>35</v>
      </c>
      <c r="S133" s="1">
        <v>100</v>
      </c>
      <c r="T133" s="1">
        <v>0</v>
      </c>
      <c r="U133" s="2">
        <v>1</v>
      </c>
      <c r="V133" s="1">
        <v>1</v>
      </c>
      <c r="W133" s="1">
        <v>1</v>
      </c>
      <c r="X133" s="1"/>
      <c r="Y133" t="s">
        <v>54</v>
      </c>
      <c r="Z133" s="1" t="s">
        <v>1442</v>
      </c>
      <c r="AA133" s="2" t="s">
        <v>381</v>
      </c>
      <c r="AB133" s="5" t="str">
        <f t="shared" si="2"/>
        <v>&lt;br&gt;&lt;font color='#43FF98'&gt;                          魔法值+5&lt;br&gt;&lt;br&gt;&lt;font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33" s="1">
        <v>20</v>
      </c>
      <c r="AD133" s="1" t="s">
        <v>36</v>
      </c>
      <c r="AE133" s="1">
        <v>0</v>
      </c>
      <c r="AF133">
        <v>15</v>
      </c>
      <c r="AG133" s="1">
        <v>0</v>
      </c>
      <c r="AH133" s="1">
        <v>0</v>
      </c>
      <c r="AI133" s="1">
        <v>1</v>
      </c>
      <c r="AJ133" s="1"/>
      <c r="AK133" s="1"/>
      <c r="AL133" s="1">
        <v>0</v>
      </c>
      <c r="AM133" s="1">
        <v>0</v>
      </c>
      <c r="AN133" s="1">
        <v>0</v>
      </c>
    </row>
    <row r="134" spans="1:41">
      <c r="A134" s="2">
        <v>10511</v>
      </c>
      <c r="B134" s="1" t="s">
        <v>190</v>
      </c>
      <c r="C134" s="1" t="s">
        <v>37</v>
      </c>
      <c r="D134" s="1" t="s">
        <v>38</v>
      </c>
      <c r="E134" s="1">
        <v>1</v>
      </c>
      <c r="F134" s="1">
        <v>15</v>
      </c>
      <c r="G134" s="1">
        <v>0</v>
      </c>
      <c r="H134" s="1">
        <v>0</v>
      </c>
      <c r="I134" s="1">
        <v>99999</v>
      </c>
      <c r="J134" s="1">
        <v>1</v>
      </c>
      <c r="K134" s="1">
        <v>0</v>
      </c>
      <c r="L134" s="1">
        <v>2</v>
      </c>
      <c r="M134" s="1">
        <v>99</v>
      </c>
      <c r="N134" s="1"/>
      <c r="O134" s="1">
        <v>0</v>
      </c>
      <c r="P134" s="1">
        <v>0</v>
      </c>
      <c r="Q134" s="1"/>
      <c r="R134" s="1" t="s">
        <v>35</v>
      </c>
      <c r="S134" s="1">
        <v>200</v>
      </c>
      <c r="T134" s="1">
        <v>0</v>
      </c>
      <c r="U134" s="2">
        <v>1</v>
      </c>
      <c r="V134" s="1">
        <v>1</v>
      </c>
      <c r="W134" s="1">
        <v>1</v>
      </c>
      <c r="X134" s="1"/>
      <c r="Y134" t="s">
        <v>51</v>
      </c>
      <c r="Z134" s="1" t="s">
        <v>1443</v>
      </c>
      <c r="AA134" s="2" t="s">
        <v>382</v>
      </c>
      <c r="AB134" s="5" t="str">
        <f t="shared" si="2"/>
        <v>&lt;br&gt;&lt;font color='#43FF98'&gt;                          魔法值+10&lt;br&gt;&lt;br&gt;&lt;font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34" s="1">
        <v>20</v>
      </c>
      <c r="AD134" s="1" t="s">
        <v>36</v>
      </c>
      <c r="AE134" s="1">
        <v>0</v>
      </c>
      <c r="AF134">
        <v>15</v>
      </c>
      <c r="AG134" s="1">
        <v>0</v>
      </c>
      <c r="AH134" s="1">
        <v>0</v>
      </c>
      <c r="AI134" s="1">
        <v>1</v>
      </c>
      <c r="AJ134" s="1"/>
      <c r="AK134" s="1"/>
      <c r="AL134" s="1">
        <v>0</v>
      </c>
      <c r="AM134" s="1">
        <v>0</v>
      </c>
      <c r="AN134" s="1">
        <v>0</v>
      </c>
    </row>
    <row r="135" spans="1:41">
      <c r="A135" s="2">
        <v>10512</v>
      </c>
      <c r="B135" s="1" t="s">
        <v>191</v>
      </c>
      <c r="C135" s="1" t="s">
        <v>37</v>
      </c>
      <c r="D135" s="1" t="s">
        <v>38</v>
      </c>
      <c r="E135" s="1">
        <v>1</v>
      </c>
      <c r="F135" s="1">
        <v>15</v>
      </c>
      <c r="G135" s="1">
        <v>0</v>
      </c>
      <c r="H135" s="1">
        <v>0</v>
      </c>
      <c r="I135" s="1">
        <v>99999</v>
      </c>
      <c r="J135" s="1">
        <v>1</v>
      </c>
      <c r="K135" s="1">
        <v>0</v>
      </c>
      <c r="L135" s="1">
        <v>2</v>
      </c>
      <c r="M135" s="1">
        <v>99</v>
      </c>
      <c r="N135" s="1"/>
      <c r="O135" s="1">
        <v>0</v>
      </c>
      <c r="P135" s="1">
        <v>0</v>
      </c>
      <c r="Q135" s="1"/>
      <c r="R135" s="1" t="s">
        <v>35</v>
      </c>
      <c r="S135" s="1">
        <v>400</v>
      </c>
      <c r="T135" s="1">
        <v>0</v>
      </c>
      <c r="U135" s="2">
        <v>1</v>
      </c>
      <c r="V135" s="1">
        <v>1</v>
      </c>
      <c r="W135" s="1">
        <v>1</v>
      </c>
      <c r="X135" s="1"/>
      <c r="Y135" t="s">
        <v>52</v>
      </c>
      <c r="Z135" s="1" t="s">
        <v>1444</v>
      </c>
      <c r="AA135" s="2" t="s">
        <v>383</v>
      </c>
      <c r="AB135" s="5" t="str">
        <f t="shared" si="2"/>
        <v>&lt;br&gt;&lt;font color='#43FF98'&gt;                          魔法值+15&lt;br&gt;&lt;br&gt;&lt;font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35" s="1">
        <v>20</v>
      </c>
      <c r="AD135" s="1" t="s">
        <v>36</v>
      </c>
      <c r="AE135" s="1">
        <v>0</v>
      </c>
      <c r="AF135">
        <v>15</v>
      </c>
      <c r="AG135" s="1">
        <v>0</v>
      </c>
      <c r="AH135" s="1">
        <v>0</v>
      </c>
      <c r="AI135" s="1">
        <v>1</v>
      </c>
      <c r="AJ135" s="1"/>
      <c r="AK135" s="1"/>
      <c r="AL135" s="1">
        <v>0</v>
      </c>
      <c r="AM135" s="1">
        <v>0</v>
      </c>
      <c r="AN135" s="1">
        <v>0</v>
      </c>
    </row>
    <row r="136" spans="1:41">
      <c r="A136" s="2">
        <v>10513</v>
      </c>
      <c r="B136" s="1" t="s">
        <v>192</v>
      </c>
      <c r="C136" s="1" t="s">
        <v>37</v>
      </c>
      <c r="D136" s="1" t="s">
        <v>38</v>
      </c>
      <c r="E136" s="1">
        <v>1</v>
      </c>
      <c r="F136" s="1">
        <v>15</v>
      </c>
      <c r="G136" s="1">
        <v>0</v>
      </c>
      <c r="H136" s="1">
        <v>0</v>
      </c>
      <c r="I136" s="1">
        <v>99999</v>
      </c>
      <c r="J136" s="1">
        <v>1</v>
      </c>
      <c r="K136" s="1">
        <v>0</v>
      </c>
      <c r="L136" s="1">
        <v>2</v>
      </c>
      <c r="M136" s="1">
        <v>99</v>
      </c>
      <c r="N136" s="1"/>
      <c r="O136" s="1">
        <v>0</v>
      </c>
      <c r="P136" s="1">
        <v>0</v>
      </c>
      <c r="Q136" s="1"/>
      <c r="R136" s="1" t="s">
        <v>35</v>
      </c>
      <c r="S136" s="1">
        <v>800</v>
      </c>
      <c r="T136" s="1">
        <v>0</v>
      </c>
      <c r="U136" s="2">
        <v>1</v>
      </c>
      <c r="V136" s="1">
        <v>1</v>
      </c>
      <c r="W136" s="1">
        <v>1</v>
      </c>
      <c r="X136" s="1"/>
      <c r="Y136" t="s">
        <v>53</v>
      </c>
      <c r="Z136" s="1" t="s">
        <v>1445</v>
      </c>
      <c r="AA136" s="2" t="s">
        <v>384</v>
      </c>
      <c r="AB136" s="5" t="str">
        <f t="shared" si="2"/>
        <v>&lt;br&gt;&lt;font color='#43FF98'&gt;                          魔法值+25&lt;br&gt;&lt;br&gt;&lt;font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36" s="1">
        <v>20</v>
      </c>
      <c r="AD136" s="1" t="s">
        <v>36</v>
      </c>
      <c r="AE136" s="1">
        <v>0</v>
      </c>
      <c r="AF136">
        <v>15</v>
      </c>
      <c r="AG136" s="1">
        <v>0</v>
      </c>
      <c r="AH136" s="1">
        <v>0</v>
      </c>
      <c r="AI136" s="1">
        <v>1</v>
      </c>
      <c r="AJ136" s="1"/>
      <c r="AK136" s="1"/>
      <c r="AL136" s="1">
        <v>0</v>
      </c>
      <c r="AM136" s="1">
        <v>0</v>
      </c>
      <c r="AN136" s="1">
        <v>0</v>
      </c>
      <c r="AO136" s="1">
        <v>1</v>
      </c>
    </row>
    <row r="137" spans="1:41">
      <c r="A137" s="2">
        <v>10514</v>
      </c>
      <c r="B137" s="1" t="s">
        <v>193</v>
      </c>
      <c r="C137" s="1" t="s">
        <v>37</v>
      </c>
      <c r="D137" s="1" t="s">
        <v>38</v>
      </c>
      <c r="E137" s="1">
        <v>1</v>
      </c>
      <c r="F137" s="1">
        <v>15</v>
      </c>
      <c r="G137" s="1">
        <v>0</v>
      </c>
      <c r="H137" s="1">
        <v>0</v>
      </c>
      <c r="I137" s="1">
        <v>99999</v>
      </c>
      <c r="J137" s="1">
        <v>2</v>
      </c>
      <c r="K137" s="1">
        <v>0</v>
      </c>
      <c r="L137" s="1">
        <v>2</v>
      </c>
      <c r="M137" s="1">
        <v>99</v>
      </c>
      <c r="N137" s="1"/>
      <c r="O137" s="1">
        <v>0</v>
      </c>
      <c r="P137" s="1">
        <v>0</v>
      </c>
      <c r="Q137" s="1"/>
      <c r="R137" s="1" t="s">
        <v>35</v>
      </c>
      <c r="S137" s="1">
        <v>1600</v>
      </c>
      <c r="T137" s="1">
        <v>0</v>
      </c>
      <c r="U137" s="2">
        <v>1</v>
      </c>
      <c r="V137" s="1">
        <v>1</v>
      </c>
      <c r="W137" s="1">
        <v>1</v>
      </c>
      <c r="X137" s="1"/>
      <c r="Y137" t="s">
        <v>55</v>
      </c>
      <c r="Z137" s="1" t="s">
        <v>1446</v>
      </c>
      <c r="AA137" s="2" t="s">
        <v>385</v>
      </c>
      <c r="AB137" s="5" t="str">
        <f t="shared" si="2"/>
        <v>&lt;br&gt;&lt;font color='#43FF98'&gt;                          魔法值+35&lt;br&gt;&lt;br&gt;&lt;font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37" s="1">
        <v>20</v>
      </c>
      <c r="AD137" s="1" t="s">
        <v>36</v>
      </c>
      <c r="AE137" s="1">
        <v>0</v>
      </c>
      <c r="AF137">
        <v>15</v>
      </c>
      <c r="AG137" s="1">
        <v>0</v>
      </c>
      <c r="AH137" s="1">
        <v>0</v>
      </c>
      <c r="AI137" s="1">
        <v>1</v>
      </c>
      <c r="AJ137" s="1"/>
      <c r="AK137" s="1"/>
      <c r="AL137" s="1">
        <v>0</v>
      </c>
      <c r="AM137" s="1">
        <v>0</v>
      </c>
      <c r="AN137" s="1">
        <v>0</v>
      </c>
      <c r="AO137" s="1">
        <v>1</v>
      </c>
    </row>
    <row r="138" spans="1:41">
      <c r="A138" s="2">
        <v>10515</v>
      </c>
      <c r="B138" s="1" t="s">
        <v>194</v>
      </c>
      <c r="C138" s="1" t="s">
        <v>37</v>
      </c>
      <c r="D138" s="1" t="s">
        <v>38</v>
      </c>
      <c r="E138" s="1">
        <v>1</v>
      </c>
      <c r="F138" s="1">
        <v>15</v>
      </c>
      <c r="G138" s="1">
        <v>0</v>
      </c>
      <c r="H138" s="1">
        <v>0</v>
      </c>
      <c r="I138" s="1">
        <v>99999</v>
      </c>
      <c r="J138" s="1">
        <v>2</v>
      </c>
      <c r="K138" s="1">
        <v>0</v>
      </c>
      <c r="L138" s="1">
        <v>2</v>
      </c>
      <c r="M138" s="1">
        <v>99</v>
      </c>
      <c r="N138" s="1"/>
      <c r="O138" s="1">
        <v>0</v>
      </c>
      <c r="P138" s="1">
        <v>0</v>
      </c>
      <c r="Q138" s="1"/>
      <c r="R138" s="1" t="s">
        <v>35</v>
      </c>
      <c r="S138" s="1">
        <v>100</v>
      </c>
      <c r="T138" s="1">
        <v>0</v>
      </c>
      <c r="U138" s="2">
        <v>1</v>
      </c>
      <c r="V138" s="1">
        <v>1</v>
      </c>
      <c r="W138" s="1">
        <v>1</v>
      </c>
      <c r="X138" s="1"/>
      <c r="Y138" t="s">
        <v>55</v>
      </c>
      <c r="Z138" s="1" t="s">
        <v>1447</v>
      </c>
      <c r="AA138" s="2" t="s">
        <v>386</v>
      </c>
      <c r="AB138" s="5" t="str">
        <f t="shared" si="2"/>
        <v>&lt;br&gt;&lt;font color='#43FF98'&gt;                          魔法值+50&lt;br&gt;&lt;br&gt;&lt;font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38" s="1">
        <v>20</v>
      </c>
      <c r="AD138" s="1" t="s">
        <v>36</v>
      </c>
      <c r="AE138" s="1">
        <v>0</v>
      </c>
      <c r="AF138">
        <v>15</v>
      </c>
      <c r="AG138" s="1">
        <v>0</v>
      </c>
      <c r="AH138" s="1">
        <v>0</v>
      </c>
      <c r="AI138" s="1">
        <v>1</v>
      </c>
      <c r="AJ138" s="1"/>
      <c r="AK138" s="1"/>
      <c r="AL138" s="1">
        <v>0</v>
      </c>
      <c r="AM138" s="1">
        <v>0</v>
      </c>
      <c r="AN138" s="1">
        <v>0</v>
      </c>
      <c r="AO138" s="1">
        <v>1</v>
      </c>
    </row>
    <row r="139" spans="1:41">
      <c r="A139" s="2">
        <v>10516</v>
      </c>
      <c r="B139" s="1" t="s">
        <v>195</v>
      </c>
      <c r="C139" s="1" t="s">
        <v>37</v>
      </c>
      <c r="D139" s="1" t="s">
        <v>38</v>
      </c>
      <c r="E139" s="1">
        <v>1</v>
      </c>
      <c r="F139" s="1">
        <v>15</v>
      </c>
      <c r="G139" s="1">
        <v>0</v>
      </c>
      <c r="H139" s="1">
        <v>0</v>
      </c>
      <c r="I139" s="1">
        <v>99999</v>
      </c>
      <c r="J139" s="1">
        <v>2</v>
      </c>
      <c r="K139" s="1">
        <v>0</v>
      </c>
      <c r="L139" s="1">
        <v>2</v>
      </c>
      <c r="M139" s="1">
        <v>99</v>
      </c>
      <c r="N139" s="1"/>
      <c r="O139" s="1">
        <v>0</v>
      </c>
      <c r="P139" s="1">
        <v>0</v>
      </c>
      <c r="Q139" s="1"/>
      <c r="R139" s="1" t="s">
        <v>35</v>
      </c>
      <c r="S139" s="1">
        <v>200</v>
      </c>
      <c r="T139" s="1">
        <v>0</v>
      </c>
      <c r="U139" s="2">
        <v>1</v>
      </c>
      <c r="V139" s="1">
        <v>1</v>
      </c>
      <c r="W139" s="1">
        <v>1</v>
      </c>
      <c r="X139" s="1"/>
      <c r="Y139" t="s">
        <v>55</v>
      </c>
      <c r="Z139" s="1" t="s">
        <v>1448</v>
      </c>
      <c r="AA139" s="2" t="s">
        <v>387</v>
      </c>
      <c r="AB139" s="5" t="str">
        <f t="shared" si="2"/>
        <v>&lt;br&gt;&lt;font color='#43FF98'&gt;                          魔法值+65&lt;br&gt;&lt;br&gt;&lt;font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39" s="1">
        <v>20</v>
      </c>
      <c r="AD139" s="1" t="s">
        <v>36</v>
      </c>
      <c r="AE139" s="1">
        <v>0</v>
      </c>
      <c r="AF139">
        <v>15</v>
      </c>
      <c r="AG139" s="1">
        <v>0</v>
      </c>
      <c r="AH139" s="1">
        <v>0</v>
      </c>
      <c r="AI139" s="1">
        <v>1</v>
      </c>
      <c r="AJ139" s="1"/>
      <c r="AK139" s="1"/>
      <c r="AL139" s="1">
        <v>0</v>
      </c>
      <c r="AM139" s="1">
        <v>0</v>
      </c>
      <c r="AN139" s="1">
        <v>0</v>
      </c>
      <c r="AO139" s="1">
        <v>1</v>
      </c>
    </row>
    <row r="140" spans="1:41">
      <c r="A140" s="2">
        <v>10517</v>
      </c>
      <c r="B140" s="1" t="s">
        <v>196</v>
      </c>
      <c r="C140" s="1" t="s">
        <v>37</v>
      </c>
      <c r="D140" s="1" t="s">
        <v>38</v>
      </c>
      <c r="E140" s="1">
        <v>1</v>
      </c>
      <c r="F140" s="1">
        <v>15</v>
      </c>
      <c r="G140" s="1">
        <v>0</v>
      </c>
      <c r="H140" s="1">
        <v>0</v>
      </c>
      <c r="I140" s="1">
        <v>99999</v>
      </c>
      <c r="J140" s="1">
        <v>3</v>
      </c>
      <c r="K140" s="1">
        <v>0</v>
      </c>
      <c r="L140" s="1">
        <v>2</v>
      </c>
      <c r="M140" s="1">
        <v>99</v>
      </c>
      <c r="N140" s="1"/>
      <c r="O140" s="1">
        <v>0</v>
      </c>
      <c r="P140" s="1">
        <v>0</v>
      </c>
      <c r="Q140" s="1"/>
      <c r="R140" s="1" t="s">
        <v>35</v>
      </c>
      <c r="S140" s="1">
        <v>400</v>
      </c>
      <c r="T140" s="1">
        <v>0</v>
      </c>
      <c r="U140" s="2">
        <v>1</v>
      </c>
      <c r="V140" s="1">
        <v>1</v>
      </c>
      <c r="W140" s="1">
        <v>1</v>
      </c>
      <c r="X140" s="1"/>
      <c r="Y140" t="s">
        <v>55</v>
      </c>
      <c r="Z140" s="1" t="s">
        <v>1449</v>
      </c>
      <c r="AA140" s="2" t="s">
        <v>388</v>
      </c>
      <c r="AB140" s="5" t="str">
        <f t="shared" si="2"/>
        <v>&lt;br&gt;&lt;font color='#43FF98'&gt;                          魔法值+85&lt;br&gt;&lt;br&gt;&lt;font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40" s="1">
        <v>20</v>
      </c>
      <c r="AD140" s="1" t="s">
        <v>36</v>
      </c>
      <c r="AE140" s="1">
        <v>0</v>
      </c>
      <c r="AF140">
        <v>15</v>
      </c>
      <c r="AG140" s="1">
        <v>0</v>
      </c>
      <c r="AH140" s="1">
        <v>0</v>
      </c>
      <c r="AI140" s="1">
        <v>1</v>
      </c>
      <c r="AJ140" s="1"/>
      <c r="AK140" s="1"/>
      <c r="AL140" s="1">
        <v>0</v>
      </c>
      <c r="AM140" s="1">
        <v>0</v>
      </c>
      <c r="AN140" s="1">
        <v>0</v>
      </c>
      <c r="AO140" s="1">
        <v>1</v>
      </c>
    </row>
    <row r="141" spans="1:41">
      <c r="A141" s="2">
        <v>10518</v>
      </c>
      <c r="B141" s="1" t="s">
        <v>197</v>
      </c>
      <c r="C141" s="1" t="s">
        <v>37</v>
      </c>
      <c r="D141" s="1" t="s">
        <v>38</v>
      </c>
      <c r="E141" s="1">
        <v>1</v>
      </c>
      <c r="F141" s="1">
        <v>15</v>
      </c>
      <c r="G141" s="1">
        <v>0</v>
      </c>
      <c r="H141" s="1">
        <v>0</v>
      </c>
      <c r="I141" s="1">
        <v>99999</v>
      </c>
      <c r="J141" s="1">
        <v>3</v>
      </c>
      <c r="K141" s="1">
        <v>0</v>
      </c>
      <c r="L141" s="1">
        <v>2</v>
      </c>
      <c r="M141" s="1">
        <v>99</v>
      </c>
      <c r="N141" s="1"/>
      <c r="O141" s="1">
        <v>0</v>
      </c>
      <c r="P141" s="1">
        <v>0</v>
      </c>
      <c r="Q141" s="1"/>
      <c r="R141" s="1" t="s">
        <v>35</v>
      </c>
      <c r="S141" s="1">
        <v>800</v>
      </c>
      <c r="T141" s="1">
        <v>0</v>
      </c>
      <c r="U141" s="2">
        <v>1</v>
      </c>
      <c r="V141" s="1">
        <v>1</v>
      </c>
      <c r="W141" s="1">
        <v>1</v>
      </c>
      <c r="X141" s="1"/>
      <c r="Y141" t="s">
        <v>55</v>
      </c>
      <c r="Z141" s="1" t="s">
        <v>1450</v>
      </c>
      <c r="AA141" s="2" t="s">
        <v>389</v>
      </c>
      <c r="AB141" s="5" t="str">
        <f t="shared" si="2"/>
        <v>&lt;br&gt;&lt;font color='#43FF98'&gt;                          魔法值+110&lt;br&gt;&lt;br&gt;&lt;font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41" s="1">
        <v>20</v>
      </c>
      <c r="AD141" s="1" t="s">
        <v>36</v>
      </c>
      <c r="AE141" s="1">
        <v>0</v>
      </c>
      <c r="AF141">
        <v>15</v>
      </c>
      <c r="AG141" s="1">
        <v>0</v>
      </c>
      <c r="AH141" s="1">
        <v>0</v>
      </c>
      <c r="AI141" s="1">
        <v>1</v>
      </c>
      <c r="AJ141" s="1"/>
      <c r="AK141" s="1"/>
      <c r="AL141" s="1">
        <v>0</v>
      </c>
      <c r="AM141" s="1">
        <v>0</v>
      </c>
      <c r="AN141" s="1">
        <v>0</v>
      </c>
      <c r="AO141" s="1">
        <v>1</v>
      </c>
    </row>
    <row r="142" spans="1:41">
      <c r="A142" s="2">
        <v>10519</v>
      </c>
      <c r="B142" s="1" t="s">
        <v>198</v>
      </c>
      <c r="C142" s="1" t="s">
        <v>37</v>
      </c>
      <c r="D142" s="1" t="s">
        <v>38</v>
      </c>
      <c r="E142" s="1">
        <v>1</v>
      </c>
      <c r="F142" s="1">
        <v>15</v>
      </c>
      <c r="G142" s="1">
        <v>0</v>
      </c>
      <c r="H142" s="1">
        <v>0</v>
      </c>
      <c r="I142" s="1">
        <v>99999</v>
      </c>
      <c r="J142" s="1">
        <v>3</v>
      </c>
      <c r="K142" s="1">
        <v>0</v>
      </c>
      <c r="L142" s="1">
        <v>2</v>
      </c>
      <c r="M142" s="1">
        <v>99</v>
      </c>
      <c r="N142" s="1"/>
      <c r="O142" s="1">
        <v>0</v>
      </c>
      <c r="P142" s="1">
        <v>0</v>
      </c>
      <c r="Q142" s="1"/>
      <c r="R142" s="1" t="s">
        <v>35</v>
      </c>
      <c r="S142" s="1">
        <v>1600</v>
      </c>
      <c r="T142" s="1">
        <v>0</v>
      </c>
      <c r="U142" s="2">
        <v>1</v>
      </c>
      <c r="V142" s="1">
        <v>1</v>
      </c>
      <c r="W142" s="1">
        <v>1</v>
      </c>
      <c r="X142" s="1"/>
      <c r="Y142" t="s">
        <v>55</v>
      </c>
      <c r="Z142" s="1" t="s">
        <v>1451</v>
      </c>
      <c r="AA142" s="2" t="s">
        <v>390</v>
      </c>
      <c r="AB142" s="5" t="str">
        <f t="shared" si="2"/>
        <v>&lt;br&gt;&lt;font color='#43FF98'&gt;                          魔法值+140&lt;br&gt;&lt;br&gt;&lt;font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42" s="1">
        <v>20</v>
      </c>
      <c r="AD142" s="1" t="s">
        <v>36</v>
      </c>
      <c r="AE142" s="1">
        <v>0</v>
      </c>
      <c r="AF142">
        <v>15</v>
      </c>
      <c r="AG142" s="1">
        <v>0</v>
      </c>
      <c r="AH142" s="1">
        <v>0</v>
      </c>
      <c r="AI142" s="1">
        <v>1</v>
      </c>
      <c r="AJ142" s="1"/>
      <c r="AK142" s="1"/>
      <c r="AL142" s="1">
        <v>0</v>
      </c>
      <c r="AM142" s="1">
        <v>0</v>
      </c>
      <c r="AN142" s="1">
        <v>0</v>
      </c>
      <c r="AO142" s="1">
        <v>1</v>
      </c>
    </row>
    <row r="143" spans="1:41">
      <c r="A143" s="2">
        <v>10520</v>
      </c>
      <c r="B143" s="1" t="s">
        <v>199</v>
      </c>
      <c r="C143" s="1" t="s">
        <v>37</v>
      </c>
      <c r="D143" s="1" t="s">
        <v>38</v>
      </c>
      <c r="E143" s="1">
        <v>1</v>
      </c>
      <c r="F143" s="1">
        <v>15</v>
      </c>
      <c r="G143" s="1">
        <v>0</v>
      </c>
      <c r="H143" s="1">
        <v>0</v>
      </c>
      <c r="I143" s="1">
        <v>99999</v>
      </c>
      <c r="J143" s="1">
        <v>0</v>
      </c>
      <c r="K143" s="1">
        <v>0</v>
      </c>
      <c r="L143" s="1">
        <v>2</v>
      </c>
      <c r="M143" s="1">
        <v>99</v>
      </c>
      <c r="N143" s="1"/>
      <c r="O143" s="1">
        <v>0</v>
      </c>
      <c r="P143" s="1">
        <v>0</v>
      </c>
      <c r="Q143" s="1"/>
      <c r="R143" s="1" t="s">
        <v>35</v>
      </c>
      <c r="S143" s="1">
        <v>100</v>
      </c>
      <c r="T143" s="1">
        <v>0</v>
      </c>
      <c r="U143" s="2">
        <v>1</v>
      </c>
      <c r="V143" s="1">
        <v>1</v>
      </c>
      <c r="W143" s="1">
        <v>1</v>
      </c>
      <c r="X143" s="1"/>
      <c r="Y143" t="s">
        <v>54</v>
      </c>
      <c r="Z143" s="1" t="s">
        <v>1452</v>
      </c>
      <c r="AA143" s="2" t="s">
        <v>391</v>
      </c>
      <c r="AB143" s="5" t="str">
        <f t="shared" si="2"/>
        <v>&lt;br&gt;&lt;font color='#43FF98'&gt;                          最大防御+1&lt;br&gt;&lt;br&gt;&lt;font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43" s="1">
        <v>20</v>
      </c>
      <c r="AD143" s="1" t="s">
        <v>36</v>
      </c>
      <c r="AE143" s="1">
        <v>0</v>
      </c>
      <c r="AF143">
        <v>15</v>
      </c>
      <c r="AG143" s="1">
        <v>0</v>
      </c>
      <c r="AH143" s="1">
        <v>0</v>
      </c>
      <c r="AI143" s="1">
        <v>1</v>
      </c>
      <c r="AJ143" s="1"/>
      <c r="AK143" s="1"/>
      <c r="AL143" s="1">
        <v>0</v>
      </c>
      <c r="AM143" s="1">
        <v>0</v>
      </c>
      <c r="AN143" s="1">
        <v>0</v>
      </c>
    </row>
    <row r="144" spans="1:41">
      <c r="A144" s="2">
        <v>10521</v>
      </c>
      <c r="B144" s="1" t="s">
        <v>200</v>
      </c>
      <c r="C144" s="1" t="s">
        <v>37</v>
      </c>
      <c r="D144" s="1" t="s">
        <v>38</v>
      </c>
      <c r="E144" s="1">
        <v>1</v>
      </c>
      <c r="F144" s="1">
        <v>15</v>
      </c>
      <c r="G144" s="1">
        <v>0</v>
      </c>
      <c r="H144" s="1">
        <v>0</v>
      </c>
      <c r="I144" s="1">
        <v>99999</v>
      </c>
      <c r="J144" s="1">
        <v>1</v>
      </c>
      <c r="K144" s="1">
        <v>0</v>
      </c>
      <c r="L144" s="1">
        <v>2</v>
      </c>
      <c r="M144" s="1">
        <v>99</v>
      </c>
      <c r="N144" s="1"/>
      <c r="O144" s="1">
        <v>0</v>
      </c>
      <c r="P144" s="1">
        <v>0</v>
      </c>
      <c r="Q144" s="1"/>
      <c r="R144" s="1" t="s">
        <v>35</v>
      </c>
      <c r="S144" s="1">
        <v>200</v>
      </c>
      <c r="T144" s="1">
        <v>0</v>
      </c>
      <c r="U144" s="2">
        <v>1</v>
      </c>
      <c r="V144" s="1">
        <v>1</v>
      </c>
      <c r="W144" s="1">
        <v>1</v>
      </c>
      <c r="X144" s="1"/>
      <c r="Y144" t="s">
        <v>51</v>
      </c>
      <c r="Z144" s="1" t="s">
        <v>1453</v>
      </c>
      <c r="AA144" s="2" t="s">
        <v>342</v>
      </c>
      <c r="AB144" s="5" t="str">
        <f t="shared" si="2"/>
        <v>&lt;br&gt;&lt;font color='#43FF98'&gt;                          最大防御+2&lt;br&gt;&lt;br&gt;&lt;font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44" s="1">
        <v>20</v>
      </c>
      <c r="AD144" s="1" t="s">
        <v>36</v>
      </c>
      <c r="AE144" s="1">
        <v>0</v>
      </c>
      <c r="AF144">
        <v>15</v>
      </c>
      <c r="AG144" s="1">
        <v>0</v>
      </c>
      <c r="AH144" s="1">
        <v>0</v>
      </c>
      <c r="AI144" s="1">
        <v>1</v>
      </c>
      <c r="AJ144" s="1"/>
      <c r="AK144" s="1"/>
      <c r="AL144" s="1">
        <v>0</v>
      </c>
      <c r="AM144" s="1">
        <v>0</v>
      </c>
      <c r="AN144" s="1">
        <v>0</v>
      </c>
    </row>
    <row r="145" spans="1:41">
      <c r="A145" s="2">
        <v>10522</v>
      </c>
      <c r="B145" s="1" t="s">
        <v>201</v>
      </c>
      <c r="C145" s="1" t="s">
        <v>37</v>
      </c>
      <c r="D145" s="1" t="s">
        <v>38</v>
      </c>
      <c r="E145" s="1">
        <v>1</v>
      </c>
      <c r="F145" s="1">
        <v>15</v>
      </c>
      <c r="G145" s="1">
        <v>0</v>
      </c>
      <c r="H145" s="1">
        <v>0</v>
      </c>
      <c r="I145" s="1">
        <v>99999</v>
      </c>
      <c r="J145" s="1">
        <v>1</v>
      </c>
      <c r="K145" s="1">
        <v>0</v>
      </c>
      <c r="L145" s="1">
        <v>2</v>
      </c>
      <c r="M145" s="1">
        <v>99</v>
      </c>
      <c r="N145" s="1"/>
      <c r="O145" s="1">
        <v>0</v>
      </c>
      <c r="P145" s="1">
        <v>0</v>
      </c>
      <c r="Q145" s="1"/>
      <c r="R145" s="1" t="s">
        <v>35</v>
      </c>
      <c r="S145" s="1">
        <v>400</v>
      </c>
      <c r="T145" s="1">
        <v>0</v>
      </c>
      <c r="U145" s="2">
        <v>1</v>
      </c>
      <c r="V145" s="1">
        <v>1</v>
      </c>
      <c r="W145" s="1">
        <v>1</v>
      </c>
      <c r="X145" s="1"/>
      <c r="Y145" t="s">
        <v>52</v>
      </c>
      <c r="Z145" s="1" t="s">
        <v>1454</v>
      </c>
      <c r="AA145" s="2" t="s">
        <v>392</v>
      </c>
      <c r="AB145" s="5" t="str">
        <f t="shared" si="2"/>
        <v>&lt;br&gt;&lt;font color='#43FF98'&gt;                          最大防御+3&lt;br&gt;&lt;br&gt;&lt;font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45" s="1">
        <v>20</v>
      </c>
      <c r="AD145" s="1" t="s">
        <v>36</v>
      </c>
      <c r="AE145" s="1">
        <v>0</v>
      </c>
      <c r="AF145">
        <v>15</v>
      </c>
      <c r="AG145" s="1">
        <v>0</v>
      </c>
      <c r="AH145" s="1">
        <v>0</v>
      </c>
      <c r="AI145" s="1">
        <v>1</v>
      </c>
      <c r="AJ145" s="1"/>
      <c r="AK145" s="1"/>
      <c r="AL145" s="1">
        <v>0</v>
      </c>
      <c r="AM145" s="1">
        <v>0</v>
      </c>
      <c r="AN145" s="1">
        <v>0</v>
      </c>
    </row>
    <row r="146" spans="1:41">
      <c r="A146" s="2">
        <v>10523</v>
      </c>
      <c r="B146" s="1" t="s">
        <v>202</v>
      </c>
      <c r="C146" s="1" t="s">
        <v>37</v>
      </c>
      <c r="D146" s="1" t="s">
        <v>38</v>
      </c>
      <c r="E146" s="1">
        <v>1</v>
      </c>
      <c r="F146" s="1">
        <v>15</v>
      </c>
      <c r="G146" s="1">
        <v>0</v>
      </c>
      <c r="H146" s="1">
        <v>0</v>
      </c>
      <c r="I146" s="1">
        <v>99999</v>
      </c>
      <c r="J146" s="1">
        <v>1</v>
      </c>
      <c r="K146" s="1">
        <v>0</v>
      </c>
      <c r="L146" s="1">
        <v>2</v>
      </c>
      <c r="M146" s="1">
        <v>99</v>
      </c>
      <c r="N146" s="1"/>
      <c r="O146" s="1">
        <v>0</v>
      </c>
      <c r="P146" s="1">
        <v>0</v>
      </c>
      <c r="Q146" s="1"/>
      <c r="R146" s="1" t="s">
        <v>35</v>
      </c>
      <c r="S146" s="1">
        <v>800</v>
      </c>
      <c r="T146" s="1">
        <v>0</v>
      </c>
      <c r="U146" s="2">
        <v>1</v>
      </c>
      <c r="V146" s="1">
        <v>1</v>
      </c>
      <c r="W146" s="1">
        <v>1</v>
      </c>
      <c r="X146" s="1"/>
      <c r="Y146" t="s">
        <v>53</v>
      </c>
      <c r="Z146" s="1" t="s">
        <v>1455</v>
      </c>
      <c r="AA146" s="2" t="s">
        <v>343</v>
      </c>
      <c r="AB146" s="5" t="str">
        <f t="shared" si="2"/>
        <v>&lt;br&gt;&lt;font color='#43FF98'&gt;                          最大防御+5&lt;br&gt;&lt;br&gt;&lt;font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46" s="1">
        <v>20</v>
      </c>
      <c r="AD146" s="1" t="s">
        <v>36</v>
      </c>
      <c r="AE146" s="1">
        <v>0</v>
      </c>
      <c r="AF146">
        <v>15</v>
      </c>
      <c r="AG146" s="1">
        <v>0</v>
      </c>
      <c r="AH146" s="1">
        <v>0</v>
      </c>
      <c r="AI146" s="1">
        <v>1</v>
      </c>
      <c r="AJ146" s="1"/>
      <c r="AK146" s="1"/>
      <c r="AL146" s="1">
        <v>0</v>
      </c>
      <c r="AM146" s="1">
        <v>0</v>
      </c>
      <c r="AN146" s="1">
        <v>0</v>
      </c>
      <c r="AO146" s="1">
        <v>1</v>
      </c>
    </row>
    <row r="147" spans="1:41">
      <c r="A147" s="2">
        <v>10524</v>
      </c>
      <c r="B147" s="1" t="s">
        <v>203</v>
      </c>
      <c r="C147" s="1" t="s">
        <v>37</v>
      </c>
      <c r="D147" s="1" t="s">
        <v>38</v>
      </c>
      <c r="E147" s="1">
        <v>1</v>
      </c>
      <c r="F147" s="1">
        <v>15</v>
      </c>
      <c r="G147" s="1">
        <v>0</v>
      </c>
      <c r="H147" s="1">
        <v>0</v>
      </c>
      <c r="I147" s="1">
        <v>99999</v>
      </c>
      <c r="J147" s="1">
        <v>2</v>
      </c>
      <c r="K147" s="1">
        <v>0</v>
      </c>
      <c r="L147" s="1">
        <v>2</v>
      </c>
      <c r="M147" s="1">
        <v>99</v>
      </c>
      <c r="N147" s="1"/>
      <c r="O147" s="1">
        <v>0</v>
      </c>
      <c r="P147" s="1">
        <v>0</v>
      </c>
      <c r="Q147" s="1"/>
      <c r="R147" s="1" t="s">
        <v>35</v>
      </c>
      <c r="S147" s="1">
        <v>1600</v>
      </c>
      <c r="T147" s="1">
        <v>0</v>
      </c>
      <c r="U147" s="2">
        <v>1</v>
      </c>
      <c r="V147" s="1">
        <v>1</v>
      </c>
      <c r="W147" s="1">
        <v>1</v>
      </c>
      <c r="X147" s="1"/>
      <c r="Y147" t="s">
        <v>55</v>
      </c>
      <c r="Z147" s="1" t="s">
        <v>1456</v>
      </c>
      <c r="AA147" s="2" t="s">
        <v>393</v>
      </c>
      <c r="AB147" s="5" t="str">
        <f t="shared" si="2"/>
        <v>&lt;br&gt;&lt;font color='#43FF98'&gt;                          最大防御+7&lt;br&gt;&lt;br&gt;&lt;font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47" s="1">
        <v>20</v>
      </c>
      <c r="AD147" s="1" t="s">
        <v>36</v>
      </c>
      <c r="AE147" s="1">
        <v>0</v>
      </c>
      <c r="AF147">
        <v>15</v>
      </c>
      <c r="AG147" s="1">
        <v>0</v>
      </c>
      <c r="AH147" s="1">
        <v>0</v>
      </c>
      <c r="AI147" s="1">
        <v>1</v>
      </c>
      <c r="AJ147" s="1"/>
      <c r="AK147" s="1"/>
      <c r="AL147" s="1">
        <v>0</v>
      </c>
      <c r="AM147" s="1">
        <v>0</v>
      </c>
      <c r="AN147" s="1">
        <v>0</v>
      </c>
      <c r="AO147" s="1">
        <v>1</v>
      </c>
    </row>
    <row r="148" spans="1:41">
      <c r="A148" s="2">
        <v>10525</v>
      </c>
      <c r="B148" s="1" t="s">
        <v>204</v>
      </c>
      <c r="C148" s="1" t="s">
        <v>37</v>
      </c>
      <c r="D148" s="1" t="s">
        <v>38</v>
      </c>
      <c r="E148" s="1">
        <v>1</v>
      </c>
      <c r="F148" s="1">
        <v>15</v>
      </c>
      <c r="G148" s="1">
        <v>0</v>
      </c>
      <c r="H148" s="1">
        <v>0</v>
      </c>
      <c r="I148" s="1">
        <v>99999</v>
      </c>
      <c r="J148" s="1">
        <v>2</v>
      </c>
      <c r="K148" s="1">
        <v>0</v>
      </c>
      <c r="L148" s="1">
        <v>2</v>
      </c>
      <c r="M148" s="1">
        <v>99</v>
      </c>
      <c r="N148" s="1"/>
      <c r="O148" s="1">
        <v>0</v>
      </c>
      <c r="P148" s="1">
        <v>0</v>
      </c>
      <c r="Q148" s="1"/>
      <c r="R148" s="1" t="s">
        <v>35</v>
      </c>
      <c r="S148" s="1">
        <v>100</v>
      </c>
      <c r="T148" s="1">
        <v>0</v>
      </c>
      <c r="U148" s="2">
        <v>1</v>
      </c>
      <c r="V148" s="1">
        <v>1</v>
      </c>
      <c r="W148" s="1">
        <v>1</v>
      </c>
      <c r="X148" s="1"/>
      <c r="Y148" t="s">
        <v>55</v>
      </c>
      <c r="Z148" s="1" t="s">
        <v>1457</v>
      </c>
      <c r="AA148" s="2" t="s">
        <v>344</v>
      </c>
      <c r="AB148" s="5" t="str">
        <f t="shared" si="2"/>
        <v>&lt;br&gt;&lt;font color='#43FF98'&gt;                          最大防御+10&lt;br&gt;&lt;br&gt;&lt;font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48" s="1">
        <v>20</v>
      </c>
      <c r="AD148" s="1" t="s">
        <v>36</v>
      </c>
      <c r="AE148" s="1">
        <v>0</v>
      </c>
      <c r="AF148">
        <v>15</v>
      </c>
      <c r="AG148" s="1">
        <v>0</v>
      </c>
      <c r="AH148" s="1">
        <v>0</v>
      </c>
      <c r="AI148" s="1">
        <v>1</v>
      </c>
      <c r="AJ148" s="1"/>
      <c r="AK148" s="1"/>
      <c r="AL148" s="1">
        <v>0</v>
      </c>
      <c r="AM148" s="1">
        <v>0</v>
      </c>
      <c r="AN148" s="1">
        <v>0</v>
      </c>
      <c r="AO148" s="1">
        <v>1</v>
      </c>
    </row>
    <row r="149" spans="1:41">
      <c r="A149" s="2">
        <v>10526</v>
      </c>
      <c r="B149" s="1" t="s">
        <v>205</v>
      </c>
      <c r="C149" s="1" t="s">
        <v>37</v>
      </c>
      <c r="D149" s="1" t="s">
        <v>38</v>
      </c>
      <c r="E149" s="1">
        <v>1</v>
      </c>
      <c r="F149" s="1">
        <v>15</v>
      </c>
      <c r="G149" s="1">
        <v>0</v>
      </c>
      <c r="H149" s="1">
        <v>0</v>
      </c>
      <c r="I149" s="1">
        <v>99999</v>
      </c>
      <c r="J149" s="1">
        <v>2</v>
      </c>
      <c r="K149" s="1">
        <v>0</v>
      </c>
      <c r="L149" s="1">
        <v>2</v>
      </c>
      <c r="M149" s="1">
        <v>99</v>
      </c>
      <c r="N149" s="1"/>
      <c r="O149" s="1">
        <v>0</v>
      </c>
      <c r="P149" s="1">
        <v>0</v>
      </c>
      <c r="Q149" s="1"/>
      <c r="R149" s="1" t="s">
        <v>35</v>
      </c>
      <c r="S149" s="1">
        <v>200</v>
      </c>
      <c r="T149" s="1">
        <v>0</v>
      </c>
      <c r="U149" s="2">
        <v>1</v>
      </c>
      <c r="V149" s="1">
        <v>1</v>
      </c>
      <c r="W149" s="1">
        <v>1</v>
      </c>
      <c r="X149" s="1"/>
      <c r="Y149" t="s">
        <v>55</v>
      </c>
      <c r="Z149" s="1" t="s">
        <v>1458</v>
      </c>
      <c r="AA149" s="2" t="s">
        <v>394</v>
      </c>
      <c r="AB149" s="5" t="str">
        <f t="shared" si="2"/>
        <v>&lt;br&gt;&lt;font color='#43FF98'&gt;                          最大防御+13&lt;br&gt;&lt;br&gt;&lt;font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49" s="1">
        <v>20</v>
      </c>
      <c r="AD149" s="1" t="s">
        <v>36</v>
      </c>
      <c r="AE149" s="1">
        <v>0</v>
      </c>
      <c r="AF149">
        <v>15</v>
      </c>
      <c r="AG149" s="1">
        <v>0</v>
      </c>
      <c r="AH149" s="1">
        <v>0</v>
      </c>
      <c r="AI149" s="1">
        <v>1</v>
      </c>
      <c r="AJ149" s="1"/>
      <c r="AK149" s="1"/>
      <c r="AL149" s="1">
        <v>0</v>
      </c>
      <c r="AM149" s="1">
        <v>0</v>
      </c>
      <c r="AN149" s="1">
        <v>0</v>
      </c>
      <c r="AO149" s="1">
        <v>1</v>
      </c>
    </row>
    <row r="150" spans="1:41">
      <c r="A150" s="2">
        <v>10527</v>
      </c>
      <c r="B150" s="1" t="s">
        <v>206</v>
      </c>
      <c r="C150" s="1" t="s">
        <v>37</v>
      </c>
      <c r="D150" s="1" t="s">
        <v>38</v>
      </c>
      <c r="E150" s="1">
        <v>1</v>
      </c>
      <c r="F150" s="1">
        <v>15</v>
      </c>
      <c r="G150" s="1">
        <v>0</v>
      </c>
      <c r="H150" s="1">
        <v>0</v>
      </c>
      <c r="I150" s="1">
        <v>99999</v>
      </c>
      <c r="J150" s="1">
        <v>3</v>
      </c>
      <c r="K150" s="1">
        <v>0</v>
      </c>
      <c r="L150" s="1">
        <v>2</v>
      </c>
      <c r="M150" s="1">
        <v>99</v>
      </c>
      <c r="N150" s="1"/>
      <c r="O150" s="1">
        <v>0</v>
      </c>
      <c r="P150" s="1">
        <v>0</v>
      </c>
      <c r="Q150" s="1"/>
      <c r="R150" s="1" t="s">
        <v>35</v>
      </c>
      <c r="S150" s="1">
        <v>400</v>
      </c>
      <c r="T150" s="1">
        <v>0</v>
      </c>
      <c r="U150" s="2">
        <v>1</v>
      </c>
      <c r="V150" s="1">
        <v>1</v>
      </c>
      <c r="W150" s="1">
        <v>1</v>
      </c>
      <c r="X150" s="1"/>
      <c r="Y150" t="s">
        <v>55</v>
      </c>
      <c r="Z150" s="1" t="s">
        <v>1459</v>
      </c>
      <c r="AA150" s="2" t="s">
        <v>345</v>
      </c>
      <c r="AB150" s="5" t="str">
        <f t="shared" si="2"/>
        <v>&lt;br&gt;&lt;font color='#43FF98'&gt;                          最大防御+17&lt;br&gt;&lt;br&gt;&lt;font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50" s="1">
        <v>20</v>
      </c>
      <c r="AD150" s="1" t="s">
        <v>36</v>
      </c>
      <c r="AE150" s="1">
        <v>0</v>
      </c>
      <c r="AF150">
        <v>15</v>
      </c>
      <c r="AG150" s="1">
        <v>0</v>
      </c>
      <c r="AH150" s="1">
        <v>0</v>
      </c>
      <c r="AI150" s="1">
        <v>1</v>
      </c>
      <c r="AJ150" s="1"/>
      <c r="AK150" s="1"/>
      <c r="AL150" s="1">
        <v>0</v>
      </c>
      <c r="AM150" s="1">
        <v>0</v>
      </c>
      <c r="AN150" s="1">
        <v>0</v>
      </c>
      <c r="AO150" s="1">
        <v>1</v>
      </c>
    </row>
    <row r="151" spans="1:41">
      <c r="A151" s="2">
        <v>10528</v>
      </c>
      <c r="B151" s="1" t="s">
        <v>207</v>
      </c>
      <c r="C151" s="1" t="s">
        <v>37</v>
      </c>
      <c r="D151" s="1" t="s">
        <v>38</v>
      </c>
      <c r="E151" s="1">
        <v>1</v>
      </c>
      <c r="F151" s="1">
        <v>15</v>
      </c>
      <c r="G151" s="1">
        <v>0</v>
      </c>
      <c r="H151" s="1">
        <v>0</v>
      </c>
      <c r="I151" s="1">
        <v>99999</v>
      </c>
      <c r="J151" s="1">
        <v>3</v>
      </c>
      <c r="K151" s="1">
        <v>0</v>
      </c>
      <c r="L151" s="1">
        <v>2</v>
      </c>
      <c r="M151" s="1">
        <v>99</v>
      </c>
      <c r="N151" s="1"/>
      <c r="O151" s="1">
        <v>0</v>
      </c>
      <c r="P151" s="1">
        <v>0</v>
      </c>
      <c r="Q151" s="1"/>
      <c r="R151" s="1" t="s">
        <v>35</v>
      </c>
      <c r="S151" s="1">
        <v>800</v>
      </c>
      <c r="T151" s="1">
        <v>0</v>
      </c>
      <c r="U151" s="2">
        <v>1</v>
      </c>
      <c r="V151" s="1">
        <v>1</v>
      </c>
      <c r="W151" s="1">
        <v>1</v>
      </c>
      <c r="X151" s="1"/>
      <c r="Y151" t="s">
        <v>55</v>
      </c>
      <c r="Z151" s="1" t="s">
        <v>1460</v>
      </c>
      <c r="AA151" s="2" t="s">
        <v>395</v>
      </c>
      <c r="AB151" s="5" t="str">
        <f t="shared" si="2"/>
        <v>&lt;br&gt;&lt;font color='#43FF98'&gt;                          最大防御+22&lt;br&gt;&lt;br&gt;&lt;font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51" s="1">
        <v>20</v>
      </c>
      <c r="AD151" s="1" t="s">
        <v>36</v>
      </c>
      <c r="AE151" s="1">
        <v>0</v>
      </c>
      <c r="AF151">
        <v>15</v>
      </c>
      <c r="AG151" s="1">
        <v>0</v>
      </c>
      <c r="AH151" s="1">
        <v>0</v>
      </c>
      <c r="AI151" s="1">
        <v>1</v>
      </c>
      <c r="AJ151" s="1"/>
      <c r="AK151" s="1"/>
      <c r="AL151" s="1">
        <v>0</v>
      </c>
      <c r="AM151" s="1">
        <v>0</v>
      </c>
      <c r="AN151" s="1">
        <v>0</v>
      </c>
      <c r="AO151" s="1">
        <v>1</v>
      </c>
    </row>
    <row r="152" spans="1:41">
      <c r="A152" s="2">
        <v>10529</v>
      </c>
      <c r="B152" s="1" t="s">
        <v>208</v>
      </c>
      <c r="C152" s="1" t="s">
        <v>37</v>
      </c>
      <c r="D152" s="1" t="s">
        <v>38</v>
      </c>
      <c r="E152" s="1">
        <v>1</v>
      </c>
      <c r="F152" s="1">
        <v>15</v>
      </c>
      <c r="G152" s="1">
        <v>0</v>
      </c>
      <c r="H152" s="1">
        <v>0</v>
      </c>
      <c r="I152" s="1">
        <v>99999</v>
      </c>
      <c r="J152" s="1">
        <v>3</v>
      </c>
      <c r="K152" s="1">
        <v>0</v>
      </c>
      <c r="L152" s="1">
        <v>2</v>
      </c>
      <c r="M152" s="1">
        <v>99</v>
      </c>
      <c r="N152" s="1"/>
      <c r="O152" s="1">
        <v>0</v>
      </c>
      <c r="P152" s="1">
        <v>0</v>
      </c>
      <c r="Q152" s="1"/>
      <c r="R152" s="1" t="s">
        <v>35</v>
      </c>
      <c r="S152" s="1">
        <v>1600</v>
      </c>
      <c r="T152" s="1">
        <v>0</v>
      </c>
      <c r="U152" s="2">
        <v>1</v>
      </c>
      <c r="V152" s="1">
        <v>1</v>
      </c>
      <c r="W152" s="1">
        <v>1</v>
      </c>
      <c r="X152" s="1"/>
      <c r="Y152" t="s">
        <v>55</v>
      </c>
      <c r="Z152" s="1" t="s">
        <v>1461</v>
      </c>
      <c r="AA152" s="2" t="s">
        <v>346</v>
      </c>
      <c r="AB152" s="5" t="str">
        <f t="shared" si="2"/>
        <v>&lt;br&gt;&lt;font color='#43FF98'&gt;                          最大防御+28&lt;br&gt;&lt;br&gt;&lt;font color='#F2F2F2'&gt;封印强大灵魂能量的紫色灵石，可镶入装备的紫色插槽中提升装备属性&lt;br&gt;&lt;font color='#B2B2B2'&gt;            [按下&lt;font color='#FFa500'&gt;I&lt;font color='#B2B2B2'&gt;键打开灵魂镶嵌界面]</v>
      </c>
      <c r="AC152" s="1">
        <v>20</v>
      </c>
      <c r="AD152" s="1" t="s">
        <v>36</v>
      </c>
      <c r="AE152" s="1">
        <v>0</v>
      </c>
      <c r="AF152">
        <v>15</v>
      </c>
      <c r="AG152" s="1">
        <v>0</v>
      </c>
      <c r="AH152" s="1">
        <v>0</v>
      </c>
      <c r="AI152" s="1">
        <v>1</v>
      </c>
      <c r="AJ152" s="1"/>
      <c r="AK152" s="1"/>
      <c r="AL152" s="1">
        <v>0</v>
      </c>
      <c r="AM152" s="1">
        <v>0</v>
      </c>
      <c r="AN152" s="1">
        <v>0</v>
      </c>
      <c r="AO152" s="1">
        <v>1</v>
      </c>
    </row>
    <row r="153" spans="1:41">
      <c r="A153" s="2">
        <v>10900</v>
      </c>
      <c r="B153" s="1" t="s">
        <v>209</v>
      </c>
      <c r="C153" s="1" t="s">
        <v>37</v>
      </c>
      <c r="D153" s="1" t="s">
        <v>38</v>
      </c>
      <c r="E153" s="1">
        <v>1</v>
      </c>
      <c r="F153" s="1">
        <v>15</v>
      </c>
      <c r="G153" s="1">
        <v>0</v>
      </c>
      <c r="H153" s="1">
        <v>0</v>
      </c>
      <c r="I153" s="1">
        <v>99999</v>
      </c>
      <c r="J153" s="1">
        <v>0</v>
      </c>
      <c r="K153" s="1">
        <v>0</v>
      </c>
      <c r="L153" s="1">
        <v>2</v>
      </c>
      <c r="M153" s="1">
        <v>99</v>
      </c>
      <c r="N153" s="1"/>
      <c r="O153" s="1">
        <v>0</v>
      </c>
      <c r="P153" s="1">
        <v>0</v>
      </c>
      <c r="Q153" s="1"/>
      <c r="R153" s="1" t="s">
        <v>35</v>
      </c>
      <c r="S153" s="1">
        <v>100</v>
      </c>
      <c r="T153" s="1">
        <v>0</v>
      </c>
      <c r="U153" s="2">
        <v>1</v>
      </c>
      <c r="V153" s="1">
        <v>1</v>
      </c>
      <c r="W153" s="1">
        <v>1</v>
      </c>
      <c r="X153" s="1"/>
      <c r="Y153" t="s">
        <v>56</v>
      </c>
      <c r="Z153" s="1" t="e">
        <v>#REF!</v>
      </c>
      <c r="AA153" s="2" t="s">
        <v>396</v>
      </c>
      <c r="AB153" s="5" t="e">
        <f t="shared" si="2"/>
        <v>#REF!</v>
      </c>
      <c r="AC153" s="1">
        <v>20</v>
      </c>
      <c r="AD153" s="1" t="s">
        <v>36</v>
      </c>
      <c r="AE153" s="1">
        <v>0</v>
      </c>
      <c r="AF153">
        <v>15</v>
      </c>
      <c r="AG153" s="1">
        <v>0</v>
      </c>
      <c r="AH153" s="1">
        <v>0</v>
      </c>
      <c r="AI153" s="1">
        <v>1</v>
      </c>
      <c r="AJ153" s="1"/>
      <c r="AK153" s="1"/>
      <c r="AL153" s="1">
        <v>0</v>
      </c>
      <c r="AM153" s="1">
        <v>0</v>
      </c>
      <c r="AN153" s="1">
        <v>0</v>
      </c>
    </row>
    <row r="154" spans="1:41">
      <c r="A154" s="2">
        <v>10901</v>
      </c>
      <c r="B154" s="1" t="s">
        <v>210</v>
      </c>
      <c r="C154" s="1" t="s">
        <v>37</v>
      </c>
      <c r="D154" s="1" t="s">
        <v>38</v>
      </c>
      <c r="E154" s="1">
        <v>1</v>
      </c>
      <c r="F154" s="1">
        <v>15</v>
      </c>
      <c r="G154" s="1">
        <v>0</v>
      </c>
      <c r="H154" s="1">
        <v>0</v>
      </c>
      <c r="I154" s="1">
        <v>99999</v>
      </c>
      <c r="J154" s="1">
        <v>1</v>
      </c>
      <c r="K154" s="1">
        <v>0</v>
      </c>
      <c r="L154" s="1">
        <v>2</v>
      </c>
      <c r="M154" s="1">
        <v>99</v>
      </c>
      <c r="N154" s="1"/>
      <c r="O154" s="1">
        <v>0</v>
      </c>
      <c r="P154" s="1">
        <v>0</v>
      </c>
      <c r="Q154" s="1"/>
      <c r="R154" s="1" t="s">
        <v>35</v>
      </c>
      <c r="S154" s="1">
        <v>200</v>
      </c>
      <c r="T154" s="1">
        <v>0</v>
      </c>
      <c r="U154" s="2">
        <v>1</v>
      </c>
      <c r="V154" s="1">
        <v>1</v>
      </c>
      <c r="W154" s="1">
        <v>1</v>
      </c>
      <c r="X154" s="1"/>
      <c r="Y154" t="s">
        <v>57</v>
      </c>
      <c r="Z154" s="1" t="e">
        <v>#REF!</v>
      </c>
      <c r="AA154" s="2" t="s">
        <v>347</v>
      </c>
      <c r="AB154" s="5" t="e">
        <f t="shared" si="2"/>
        <v>#REF!</v>
      </c>
      <c r="AC154" s="1">
        <v>20</v>
      </c>
      <c r="AD154" s="1" t="s">
        <v>36</v>
      </c>
      <c r="AE154" s="1">
        <v>0</v>
      </c>
      <c r="AF154">
        <v>15</v>
      </c>
      <c r="AG154" s="1">
        <v>0</v>
      </c>
      <c r="AH154" s="1">
        <v>0</v>
      </c>
      <c r="AI154" s="1">
        <v>1</v>
      </c>
      <c r="AJ154" s="1"/>
      <c r="AK154" s="1"/>
      <c r="AL154" s="1">
        <v>0</v>
      </c>
      <c r="AM154" s="1">
        <v>0</v>
      </c>
      <c r="AN154" s="1">
        <v>0</v>
      </c>
    </row>
    <row r="155" spans="1:41">
      <c r="A155" s="2">
        <v>10902</v>
      </c>
      <c r="B155" s="1" t="s">
        <v>211</v>
      </c>
      <c r="C155" s="1" t="s">
        <v>37</v>
      </c>
      <c r="D155" s="1" t="s">
        <v>38</v>
      </c>
      <c r="E155" s="1">
        <v>1</v>
      </c>
      <c r="F155" s="1">
        <v>15</v>
      </c>
      <c r="G155" s="1">
        <v>0</v>
      </c>
      <c r="H155" s="1">
        <v>0</v>
      </c>
      <c r="I155" s="1">
        <v>99999</v>
      </c>
      <c r="J155" s="1">
        <v>1</v>
      </c>
      <c r="K155" s="1">
        <v>0</v>
      </c>
      <c r="L155" s="1">
        <v>2</v>
      </c>
      <c r="M155" s="1">
        <v>99</v>
      </c>
      <c r="N155" s="1"/>
      <c r="O155" s="1">
        <v>0</v>
      </c>
      <c r="P155" s="1">
        <v>0</v>
      </c>
      <c r="Q155" s="1"/>
      <c r="R155" s="1" t="s">
        <v>35</v>
      </c>
      <c r="S155" s="1">
        <v>400</v>
      </c>
      <c r="T155" s="1">
        <v>0</v>
      </c>
      <c r="U155" s="2">
        <v>1</v>
      </c>
      <c r="V155" s="1">
        <v>1</v>
      </c>
      <c r="W155" s="1">
        <v>1</v>
      </c>
      <c r="X155" s="1"/>
      <c r="Y155" t="s">
        <v>58</v>
      </c>
      <c r="Z155" s="1" t="e">
        <v>#REF!</v>
      </c>
      <c r="AA155" s="2" t="s">
        <v>397</v>
      </c>
      <c r="AB155" s="5" t="e">
        <f t="shared" si="2"/>
        <v>#REF!</v>
      </c>
      <c r="AC155" s="1">
        <v>20</v>
      </c>
      <c r="AD155" s="1" t="s">
        <v>36</v>
      </c>
      <c r="AE155" s="1">
        <v>0</v>
      </c>
      <c r="AF155">
        <v>15</v>
      </c>
      <c r="AG155" s="1">
        <v>0</v>
      </c>
      <c r="AH155" s="1">
        <v>0</v>
      </c>
      <c r="AI155" s="1">
        <v>1</v>
      </c>
      <c r="AJ155" s="1"/>
      <c r="AK155" s="1"/>
      <c r="AL155" s="1">
        <v>0</v>
      </c>
      <c r="AM155" s="1">
        <v>0</v>
      </c>
      <c r="AN155" s="1">
        <v>0</v>
      </c>
    </row>
    <row r="156" spans="1:41">
      <c r="A156" s="2">
        <v>10903</v>
      </c>
      <c r="B156" s="1" t="s">
        <v>212</v>
      </c>
      <c r="C156" s="1" t="s">
        <v>37</v>
      </c>
      <c r="D156" s="1" t="s">
        <v>38</v>
      </c>
      <c r="E156" s="1">
        <v>1</v>
      </c>
      <c r="F156" s="1">
        <v>15</v>
      </c>
      <c r="G156" s="1">
        <v>0</v>
      </c>
      <c r="H156" s="1">
        <v>0</v>
      </c>
      <c r="I156" s="1">
        <v>99999</v>
      </c>
      <c r="J156" s="1">
        <v>1</v>
      </c>
      <c r="K156" s="1">
        <v>0</v>
      </c>
      <c r="L156" s="1">
        <v>2</v>
      </c>
      <c r="M156" s="1">
        <v>99</v>
      </c>
      <c r="N156" s="1"/>
      <c r="O156" s="1">
        <v>0</v>
      </c>
      <c r="P156" s="1">
        <v>0</v>
      </c>
      <c r="Q156" s="1"/>
      <c r="R156" s="1" t="s">
        <v>35</v>
      </c>
      <c r="S156" s="1">
        <v>800</v>
      </c>
      <c r="T156" s="1">
        <v>0</v>
      </c>
      <c r="U156" s="2">
        <v>1</v>
      </c>
      <c r="V156" s="1">
        <v>1</v>
      </c>
      <c r="W156" s="1">
        <v>1</v>
      </c>
      <c r="X156" s="1"/>
      <c r="Y156" t="s">
        <v>58</v>
      </c>
      <c r="Z156" s="1" t="e">
        <v>#REF!</v>
      </c>
      <c r="AA156" s="2" t="s">
        <v>348</v>
      </c>
      <c r="AB156" s="5" t="e">
        <f t="shared" si="2"/>
        <v>#REF!</v>
      </c>
      <c r="AC156" s="1">
        <v>20</v>
      </c>
      <c r="AD156" s="1" t="s">
        <v>36</v>
      </c>
      <c r="AE156" s="1">
        <v>0</v>
      </c>
      <c r="AF156">
        <v>15</v>
      </c>
      <c r="AG156" s="1">
        <v>0</v>
      </c>
      <c r="AH156" s="1">
        <v>0</v>
      </c>
      <c r="AI156" s="1">
        <v>1</v>
      </c>
      <c r="AJ156" s="1"/>
      <c r="AK156" s="1"/>
      <c r="AL156" s="1">
        <v>0</v>
      </c>
      <c r="AM156" s="1">
        <v>0</v>
      </c>
      <c r="AN156" s="1">
        <v>0</v>
      </c>
      <c r="AO156" s="1">
        <v>1</v>
      </c>
    </row>
    <row r="157" spans="1:41">
      <c r="A157" s="2">
        <v>10904</v>
      </c>
      <c r="B157" s="1" t="s">
        <v>213</v>
      </c>
      <c r="C157" s="1" t="s">
        <v>37</v>
      </c>
      <c r="D157" s="1" t="s">
        <v>38</v>
      </c>
      <c r="E157" s="1">
        <v>1</v>
      </c>
      <c r="F157" s="1">
        <v>15</v>
      </c>
      <c r="G157" s="1">
        <v>0</v>
      </c>
      <c r="H157" s="1">
        <v>0</v>
      </c>
      <c r="I157" s="1">
        <v>99999</v>
      </c>
      <c r="J157" s="1">
        <v>2</v>
      </c>
      <c r="K157" s="1">
        <v>0</v>
      </c>
      <c r="L157" s="1">
        <v>2</v>
      </c>
      <c r="M157" s="1">
        <v>99</v>
      </c>
      <c r="N157" s="1"/>
      <c r="O157" s="1">
        <v>0</v>
      </c>
      <c r="P157" s="1">
        <v>0</v>
      </c>
      <c r="Q157" s="1"/>
      <c r="R157" s="1" t="s">
        <v>35</v>
      </c>
      <c r="S157" s="1">
        <v>1600</v>
      </c>
      <c r="T157" s="1">
        <v>0</v>
      </c>
      <c r="U157" s="2">
        <v>1</v>
      </c>
      <c r="V157" s="1">
        <v>1</v>
      </c>
      <c r="W157" s="1">
        <v>1</v>
      </c>
      <c r="X157" s="1"/>
      <c r="Y157" t="s">
        <v>58</v>
      </c>
      <c r="Z157" s="1" t="e">
        <v>#REF!</v>
      </c>
      <c r="AA157" s="2" t="s">
        <v>398</v>
      </c>
      <c r="AB157" s="5" t="e">
        <f t="shared" si="2"/>
        <v>#REF!</v>
      </c>
      <c r="AC157" s="1">
        <v>20</v>
      </c>
      <c r="AD157" s="1" t="s">
        <v>36</v>
      </c>
      <c r="AE157" s="1">
        <v>0</v>
      </c>
      <c r="AF157">
        <v>15</v>
      </c>
      <c r="AG157" s="1">
        <v>0</v>
      </c>
      <c r="AH157" s="1">
        <v>0</v>
      </c>
      <c r="AI157" s="1">
        <v>1</v>
      </c>
      <c r="AJ157" s="1"/>
      <c r="AK157" s="1"/>
      <c r="AL157" s="1">
        <v>0</v>
      </c>
      <c r="AM157" s="1">
        <v>0</v>
      </c>
      <c r="AN157" s="1">
        <v>0</v>
      </c>
      <c r="AO157" s="1">
        <v>1</v>
      </c>
    </row>
    <row r="158" spans="1:41">
      <c r="A158" s="2">
        <v>10905</v>
      </c>
      <c r="B158" s="1" t="s">
        <v>214</v>
      </c>
      <c r="C158" s="1" t="s">
        <v>37</v>
      </c>
      <c r="D158" s="1" t="s">
        <v>38</v>
      </c>
      <c r="E158" s="1">
        <v>1</v>
      </c>
      <c r="F158" s="1">
        <v>15</v>
      </c>
      <c r="G158" s="1">
        <v>0</v>
      </c>
      <c r="H158" s="1">
        <v>0</v>
      </c>
      <c r="I158" s="1">
        <v>99999</v>
      </c>
      <c r="J158" s="1">
        <v>2</v>
      </c>
      <c r="K158" s="1">
        <v>0</v>
      </c>
      <c r="L158" s="1">
        <v>2</v>
      </c>
      <c r="M158" s="1">
        <v>99</v>
      </c>
      <c r="N158" s="1"/>
      <c r="O158" s="1">
        <v>0</v>
      </c>
      <c r="P158" s="1">
        <v>0</v>
      </c>
      <c r="Q158" s="1"/>
      <c r="R158" s="1" t="s">
        <v>35</v>
      </c>
      <c r="S158" s="1">
        <v>100</v>
      </c>
      <c r="T158" s="1">
        <v>0</v>
      </c>
      <c r="U158" s="2">
        <v>1</v>
      </c>
      <c r="V158" s="1">
        <v>1</v>
      </c>
      <c r="W158" s="1">
        <v>1</v>
      </c>
      <c r="X158" s="1"/>
      <c r="Y158" t="s">
        <v>58</v>
      </c>
      <c r="Z158" s="1" t="e">
        <v>#REF!</v>
      </c>
      <c r="AA158" s="2" t="s">
        <v>349</v>
      </c>
      <c r="AB158" s="5" t="e">
        <f t="shared" si="2"/>
        <v>#REF!</v>
      </c>
      <c r="AC158" s="1">
        <v>20</v>
      </c>
      <c r="AD158" s="1" t="s">
        <v>36</v>
      </c>
      <c r="AE158" s="1">
        <v>0</v>
      </c>
      <c r="AF158">
        <v>15</v>
      </c>
      <c r="AG158" s="1">
        <v>0</v>
      </c>
      <c r="AH158" s="1">
        <v>0</v>
      </c>
      <c r="AI158" s="1">
        <v>1</v>
      </c>
      <c r="AJ158" s="1"/>
      <c r="AK158" s="1"/>
      <c r="AL158" s="1">
        <v>0</v>
      </c>
      <c r="AM158" s="1">
        <v>0</v>
      </c>
      <c r="AN158" s="1">
        <v>0</v>
      </c>
      <c r="AO158" s="1">
        <v>1</v>
      </c>
    </row>
    <row r="159" spans="1:41">
      <c r="A159" s="2">
        <v>10906</v>
      </c>
      <c r="B159" s="1" t="s">
        <v>215</v>
      </c>
      <c r="C159" s="1" t="s">
        <v>37</v>
      </c>
      <c r="D159" s="1" t="s">
        <v>38</v>
      </c>
      <c r="E159" s="1">
        <v>1</v>
      </c>
      <c r="F159" s="1">
        <v>15</v>
      </c>
      <c r="G159" s="1">
        <v>0</v>
      </c>
      <c r="H159" s="1">
        <v>0</v>
      </c>
      <c r="I159" s="1">
        <v>99999</v>
      </c>
      <c r="J159" s="1">
        <v>2</v>
      </c>
      <c r="K159" s="1">
        <v>0</v>
      </c>
      <c r="L159" s="1">
        <v>2</v>
      </c>
      <c r="M159" s="1">
        <v>99</v>
      </c>
      <c r="N159" s="1"/>
      <c r="O159" s="1">
        <v>0</v>
      </c>
      <c r="P159" s="1">
        <v>0</v>
      </c>
      <c r="Q159" s="1"/>
      <c r="R159" s="1" t="s">
        <v>35</v>
      </c>
      <c r="S159" s="1">
        <v>200</v>
      </c>
      <c r="T159" s="1">
        <v>0</v>
      </c>
      <c r="U159" s="2">
        <v>1</v>
      </c>
      <c r="V159" s="1">
        <v>1</v>
      </c>
      <c r="W159" s="1">
        <v>1</v>
      </c>
      <c r="X159" s="1"/>
      <c r="Y159" t="s">
        <v>58</v>
      </c>
      <c r="Z159" s="1" t="e">
        <v>#REF!</v>
      </c>
      <c r="AA159" s="2" t="s">
        <v>399</v>
      </c>
      <c r="AB159" s="5" t="e">
        <f t="shared" si="2"/>
        <v>#REF!</v>
      </c>
      <c r="AC159" s="1">
        <v>20</v>
      </c>
      <c r="AD159" s="1" t="s">
        <v>36</v>
      </c>
      <c r="AE159" s="1">
        <v>0</v>
      </c>
      <c r="AF159">
        <v>15</v>
      </c>
      <c r="AG159" s="1">
        <v>0</v>
      </c>
      <c r="AH159" s="1">
        <v>0</v>
      </c>
      <c r="AI159" s="1">
        <v>1</v>
      </c>
      <c r="AJ159" s="1"/>
      <c r="AK159" s="1"/>
      <c r="AL159" s="1">
        <v>0</v>
      </c>
      <c r="AM159" s="1">
        <v>0</v>
      </c>
      <c r="AN159" s="1">
        <v>0</v>
      </c>
      <c r="AO159" s="1">
        <v>1</v>
      </c>
    </row>
    <row r="160" spans="1:41">
      <c r="A160" s="2">
        <v>10907</v>
      </c>
      <c r="B160" s="1" t="s">
        <v>216</v>
      </c>
      <c r="C160" s="1" t="s">
        <v>37</v>
      </c>
      <c r="D160" s="1" t="s">
        <v>38</v>
      </c>
      <c r="E160" s="1">
        <v>1</v>
      </c>
      <c r="F160" s="1">
        <v>15</v>
      </c>
      <c r="G160" s="1">
        <v>0</v>
      </c>
      <c r="H160" s="1">
        <v>0</v>
      </c>
      <c r="I160" s="1">
        <v>99999</v>
      </c>
      <c r="J160" s="1">
        <v>3</v>
      </c>
      <c r="K160" s="1">
        <v>0</v>
      </c>
      <c r="L160" s="1">
        <v>2</v>
      </c>
      <c r="M160" s="1">
        <v>99</v>
      </c>
      <c r="N160" s="1"/>
      <c r="O160" s="1">
        <v>0</v>
      </c>
      <c r="P160" s="1">
        <v>0</v>
      </c>
      <c r="Q160" s="1"/>
      <c r="R160" s="1" t="s">
        <v>35</v>
      </c>
      <c r="S160" s="1">
        <v>400</v>
      </c>
      <c r="T160" s="1">
        <v>0</v>
      </c>
      <c r="U160" s="2">
        <v>1</v>
      </c>
      <c r="V160" s="1">
        <v>1</v>
      </c>
      <c r="W160" s="1">
        <v>1</v>
      </c>
      <c r="X160" s="1"/>
      <c r="Y160" t="s">
        <v>58</v>
      </c>
      <c r="Z160" s="1" t="e">
        <v>#REF!</v>
      </c>
      <c r="AA160" s="2" t="s">
        <v>400</v>
      </c>
      <c r="AB160" s="5" t="e">
        <f t="shared" si="2"/>
        <v>#REF!</v>
      </c>
      <c r="AC160" s="1">
        <v>20</v>
      </c>
      <c r="AD160" s="1" t="s">
        <v>36</v>
      </c>
      <c r="AE160" s="1">
        <v>0</v>
      </c>
      <c r="AF160">
        <v>15</v>
      </c>
      <c r="AG160" s="1">
        <v>0</v>
      </c>
      <c r="AH160" s="1">
        <v>0</v>
      </c>
      <c r="AI160" s="1">
        <v>1</v>
      </c>
      <c r="AJ160" s="1"/>
      <c r="AK160" s="1"/>
      <c r="AL160" s="1">
        <v>0</v>
      </c>
      <c r="AM160" s="1">
        <v>0</v>
      </c>
      <c r="AN160" s="1">
        <v>0</v>
      </c>
      <c r="AO160" s="1">
        <v>1</v>
      </c>
    </row>
    <row r="161" spans="1:41">
      <c r="A161" s="2">
        <v>10908</v>
      </c>
      <c r="B161" s="1" t="s">
        <v>217</v>
      </c>
      <c r="C161" s="1" t="s">
        <v>37</v>
      </c>
      <c r="D161" s="1" t="s">
        <v>38</v>
      </c>
      <c r="E161" s="1">
        <v>1</v>
      </c>
      <c r="F161" s="1">
        <v>15</v>
      </c>
      <c r="G161" s="1">
        <v>0</v>
      </c>
      <c r="H161" s="1">
        <v>0</v>
      </c>
      <c r="I161" s="1">
        <v>99999</v>
      </c>
      <c r="J161" s="1">
        <v>3</v>
      </c>
      <c r="K161" s="1">
        <v>0</v>
      </c>
      <c r="L161" s="1">
        <v>2</v>
      </c>
      <c r="M161" s="1">
        <v>99</v>
      </c>
      <c r="N161" s="1"/>
      <c r="O161" s="1">
        <v>0</v>
      </c>
      <c r="P161" s="1">
        <v>0</v>
      </c>
      <c r="Q161" s="1"/>
      <c r="R161" s="1" t="s">
        <v>35</v>
      </c>
      <c r="S161" s="1">
        <v>800</v>
      </c>
      <c r="T161" s="1">
        <v>0</v>
      </c>
      <c r="U161" s="2">
        <v>1</v>
      </c>
      <c r="V161" s="1">
        <v>1</v>
      </c>
      <c r="W161" s="1">
        <v>1</v>
      </c>
      <c r="X161" s="1"/>
      <c r="Y161" t="s">
        <v>58</v>
      </c>
      <c r="Z161" s="1" t="e">
        <v>#REF!</v>
      </c>
      <c r="AA161" s="2" t="s">
        <v>401</v>
      </c>
      <c r="AB161" s="5" t="e">
        <f t="shared" si="2"/>
        <v>#REF!</v>
      </c>
      <c r="AC161" s="1">
        <v>20</v>
      </c>
      <c r="AD161" s="1" t="s">
        <v>36</v>
      </c>
      <c r="AE161" s="1">
        <v>0</v>
      </c>
      <c r="AF161">
        <v>15</v>
      </c>
      <c r="AG161" s="1">
        <v>0</v>
      </c>
      <c r="AH161" s="1">
        <v>0</v>
      </c>
      <c r="AI161" s="1">
        <v>1</v>
      </c>
      <c r="AJ161" s="1"/>
      <c r="AK161" s="1"/>
      <c r="AL161" s="1">
        <v>0</v>
      </c>
      <c r="AM161" s="1">
        <v>0</v>
      </c>
      <c r="AN161" s="1">
        <v>0</v>
      </c>
      <c r="AO161" s="1">
        <v>1</v>
      </c>
    </row>
    <row r="162" spans="1:41">
      <c r="A162" s="2">
        <v>10909</v>
      </c>
      <c r="B162" s="1" t="s">
        <v>218</v>
      </c>
      <c r="C162" s="1" t="s">
        <v>37</v>
      </c>
      <c r="D162" s="1" t="s">
        <v>38</v>
      </c>
      <c r="E162" s="1">
        <v>1</v>
      </c>
      <c r="F162" s="1">
        <v>15</v>
      </c>
      <c r="G162" s="1">
        <v>0</v>
      </c>
      <c r="H162" s="1">
        <v>0</v>
      </c>
      <c r="I162" s="1">
        <v>99999</v>
      </c>
      <c r="J162" s="1">
        <v>3</v>
      </c>
      <c r="K162" s="1">
        <v>0</v>
      </c>
      <c r="L162" s="1">
        <v>2</v>
      </c>
      <c r="M162" s="1">
        <v>99</v>
      </c>
      <c r="N162" s="1"/>
      <c r="O162" s="1">
        <v>0</v>
      </c>
      <c r="P162" s="1">
        <v>0</v>
      </c>
      <c r="Q162" s="1"/>
      <c r="R162" s="1" t="s">
        <v>35</v>
      </c>
      <c r="S162" s="1">
        <v>1600</v>
      </c>
      <c r="T162" s="1">
        <v>0</v>
      </c>
      <c r="U162" s="2">
        <v>1</v>
      </c>
      <c r="V162" s="1">
        <v>1</v>
      </c>
      <c r="W162" s="1">
        <v>1</v>
      </c>
      <c r="X162" s="1"/>
      <c r="Y162" t="s">
        <v>58</v>
      </c>
      <c r="Z162" s="1" t="e">
        <v>#REF!</v>
      </c>
      <c r="AA162" s="2" t="s">
        <v>402</v>
      </c>
      <c r="AB162" s="5" t="e">
        <f t="shared" si="2"/>
        <v>#REF!</v>
      </c>
      <c r="AC162" s="1">
        <v>20</v>
      </c>
      <c r="AD162" s="1" t="s">
        <v>36</v>
      </c>
      <c r="AE162" s="1">
        <v>0</v>
      </c>
      <c r="AF162">
        <v>15</v>
      </c>
      <c r="AG162" s="1">
        <v>0</v>
      </c>
      <c r="AH162" s="1">
        <v>0</v>
      </c>
      <c r="AI162" s="1">
        <v>1</v>
      </c>
      <c r="AJ162" s="1"/>
      <c r="AK162" s="1"/>
      <c r="AL162" s="1">
        <v>0</v>
      </c>
      <c r="AM162" s="1">
        <v>0</v>
      </c>
      <c r="AN162" s="1">
        <v>0</v>
      </c>
      <c r="AO162" s="1">
        <v>1</v>
      </c>
    </row>
    <row r="163" spans="1:41">
      <c r="A163" s="2">
        <v>10910</v>
      </c>
      <c r="B163" s="1" t="s">
        <v>219</v>
      </c>
      <c r="C163" s="1" t="s">
        <v>37</v>
      </c>
      <c r="D163" s="1" t="s">
        <v>38</v>
      </c>
      <c r="E163" s="1">
        <v>1</v>
      </c>
      <c r="F163" s="1">
        <v>15</v>
      </c>
      <c r="G163" s="1">
        <v>0</v>
      </c>
      <c r="H163" s="1">
        <v>0</v>
      </c>
      <c r="I163" s="1">
        <v>99999</v>
      </c>
      <c r="J163" s="1">
        <v>0</v>
      </c>
      <c r="K163" s="1">
        <v>0</v>
      </c>
      <c r="L163" s="1">
        <v>2</v>
      </c>
      <c r="M163" s="1">
        <v>99</v>
      </c>
      <c r="N163" s="1"/>
      <c r="O163" s="1">
        <v>0</v>
      </c>
      <c r="P163" s="1">
        <v>0</v>
      </c>
      <c r="Q163" s="1"/>
      <c r="R163" s="1" t="s">
        <v>35</v>
      </c>
      <c r="S163" s="1">
        <v>100</v>
      </c>
      <c r="T163" s="1">
        <v>0</v>
      </c>
      <c r="U163" s="2">
        <v>1</v>
      </c>
      <c r="V163" s="1">
        <v>1</v>
      </c>
      <c r="W163" s="1">
        <v>1</v>
      </c>
      <c r="X163" s="1"/>
      <c r="Y163" t="s">
        <v>56</v>
      </c>
      <c r="Z163" s="1" t="e">
        <v>#REF!</v>
      </c>
      <c r="AA163" s="2" t="s">
        <v>403</v>
      </c>
      <c r="AB163" s="5" t="e">
        <f t="shared" si="2"/>
        <v>#REF!</v>
      </c>
      <c r="AC163" s="1">
        <v>20</v>
      </c>
      <c r="AD163" s="1" t="s">
        <v>36</v>
      </c>
      <c r="AE163" s="1">
        <v>0</v>
      </c>
      <c r="AF163">
        <v>15</v>
      </c>
      <c r="AG163" s="1">
        <v>0</v>
      </c>
      <c r="AH163" s="1">
        <v>0</v>
      </c>
      <c r="AI163" s="1">
        <v>1</v>
      </c>
      <c r="AJ163" s="1"/>
      <c r="AK163" s="1"/>
      <c r="AL163" s="1">
        <v>0</v>
      </c>
      <c r="AM163" s="1">
        <v>0</v>
      </c>
      <c r="AN163" s="1">
        <v>0</v>
      </c>
    </row>
    <row r="164" spans="1:41">
      <c r="A164" s="2">
        <v>10911</v>
      </c>
      <c r="B164" s="1" t="s">
        <v>220</v>
      </c>
      <c r="C164" s="1" t="s">
        <v>37</v>
      </c>
      <c r="D164" s="1" t="s">
        <v>38</v>
      </c>
      <c r="E164" s="1">
        <v>1</v>
      </c>
      <c r="F164" s="1">
        <v>15</v>
      </c>
      <c r="G164" s="1">
        <v>0</v>
      </c>
      <c r="H164" s="1">
        <v>0</v>
      </c>
      <c r="I164" s="1">
        <v>99999</v>
      </c>
      <c r="J164" s="1">
        <v>1</v>
      </c>
      <c r="K164" s="1">
        <v>0</v>
      </c>
      <c r="L164" s="1">
        <v>2</v>
      </c>
      <c r="M164" s="1">
        <v>99</v>
      </c>
      <c r="N164" s="1"/>
      <c r="O164" s="1">
        <v>0</v>
      </c>
      <c r="P164" s="1">
        <v>0</v>
      </c>
      <c r="Q164" s="1"/>
      <c r="R164" s="1" t="s">
        <v>35</v>
      </c>
      <c r="S164" s="1">
        <v>200</v>
      </c>
      <c r="T164" s="1">
        <v>0</v>
      </c>
      <c r="U164" s="2">
        <v>1</v>
      </c>
      <c r="V164" s="1">
        <v>1</v>
      </c>
      <c r="W164" s="1">
        <v>1</v>
      </c>
      <c r="X164" s="1"/>
      <c r="Y164" t="s">
        <v>57</v>
      </c>
      <c r="Z164" s="1" t="e">
        <v>#REF!</v>
      </c>
      <c r="AA164" s="2" t="s">
        <v>404</v>
      </c>
      <c r="AB164" s="5" t="e">
        <f t="shared" si="2"/>
        <v>#REF!</v>
      </c>
      <c r="AC164" s="1">
        <v>20</v>
      </c>
      <c r="AD164" s="1" t="s">
        <v>36</v>
      </c>
      <c r="AE164" s="1">
        <v>0</v>
      </c>
      <c r="AF164">
        <v>15</v>
      </c>
      <c r="AG164" s="1">
        <v>0</v>
      </c>
      <c r="AH164" s="1">
        <v>0</v>
      </c>
      <c r="AI164" s="1">
        <v>1</v>
      </c>
      <c r="AJ164" s="1"/>
      <c r="AK164" s="1"/>
      <c r="AL164" s="1">
        <v>0</v>
      </c>
      <c r="AM164" s="1">
        <v>0</v>
      </c>
      <c r="AN164" s="1">
        <v>0</v>
      </c>
    </row>
    <row r="165" spans="1:41">
      <c r="A165" s="2">
        <v>10912</v>
      </c>
      <c r="B165" s="1" t="s">
        <v>221</v>
      </c>
      <c r="C165" s="1" t="s">
        <v>37</v>
      </c>
      <c r="D165" s="1" t="s">
        <v>38</v>
      </c>
      <c r="E165" s="1">
        <v>1</v>
      </c>
      <c r="F165" s="1">
        <v>15</v>
      </c>
      <c r="G165" s="1">
        <v>0</v>
      </c>
      <c r="H165" s="1">
        <v>0</v>
      </c>
      <c r="I165" s="1">
        <v>99999</v>
      </c>
      <c r="J165" s="1">
        <v>1</v>
      </c>
      <c r="K165" s="1">
        <v>0</v>
      </c>
      <c r="L165" s="1">
        <v>2</v>
      </c>
      <c r="M165" s="1">
        <v>99</v>
      </c>
      <c r="N165" s="1"/>
      <c r="O165" s="1">
        <v>0</v>
      </c>
      <c r="P165" s="1">
        <v>0</v>
      </c>
      <c r="Q165" s="1"/>
      <c r="R165" s="1" t="s">
        <v>35</v>
      </c>
      <c r="S165" s="1">
        <v>400</v>
      </c>
      <c r="T165" s="1">
        <v>0</v>
      </c>
      <c r="U165" s="2">
        <v>1</v>
      </c>
      <c r="V165" s="1">
        <v>1</v>
      </c>
      <c r="W165" s="1">
        <v>1</v>
      </c>
      <c r="X165" s="1"/>
      <c r="Y165" t="s">
        <v>58</v>
      </c>
      <c r="Z165" s="1" t="e">
        <v>#REF!</v>
      </c>
      <c r="AA165" s="2" t="s">
        <v>405</v>
      </c>
      <c r="AB165" s="5" t="e">
        <f t="shared" si="2"/>
        <v>#REF!</v>
      </c>
      <c r="AC165" s="1">
        <v>20</v>
      </c>
      <c r="AD165" s="1" t="s">
        <v>36</v>
      </c>
      <c r="AE165" s="1">
        <v>0</v>
      </c>
      <c r="AF165">
        <v>15</v>
      </c>
      <c r="AG165" s="1">
        <v>0</v>
      </c>
      <c r="AH165" s="1">
        <v>0</v>
      </c>
      <c r="AI165" s="1">
        <v>1</v>
      </c>
      <c r="AJ165" s="1"/>
      <c r="AK165" s="1"/>
      <c r="AL165" s="1">
        <v>0</v>
      </c>
      <c r="AM165" s="1">
        <v>0</v>
      </c>
      <c r="AN165" s="1">
        <v>0</v>
      </c>
    </row>
    <row r="166" spans="1:41">
      <c r="A166" s="2">
        <v>10913</v>
      </c>
      <c r="B166" s="1" t="s">
        <v>222</v>
      </c>
      <c r="C166" s="1" t="s">
        <v>37</v>
      </c>
      <c r="D166" s="1" t="s">
        <v>38</v>
      </c>
      <c r="E166" s="1">
        <v>1</v>
      </c>
      <c r="F166" s="1">
        <v>15</v>
      </c>
      <c r="G166" s="1">
        <v>0</v>
      </c>
      <c r="H166" s="1">
        <v>0</v>
      </c>
      <c r="I166" s="1">
        <v>99999</v>
      </c>
      <c r="J166" s="1">
        <v>1</v>
      </c>
      <c r="K166" s="1">
        <v>0</v>
      </c>
      <c r="L166" s="1">
        <v>2</v>
      </c>
      <c r="M166" s="1">
        <v>99</v>
      </c>
      <c r="N166" s="1"/>
      <c r="O166" s="1">
        <v>0</v>
      </c>
      <c r="P166" s="1">
        <v>0</v>
      </c>
      <c r="Q166" s="1"/>
      <c r="R166" s="1" t="s">
        <v>35</v>
      </c>
      <c r="S166" s="1">
        <v>800</v>
      </c>
      <c r="T166" s="1">
        <v>0</v>
      </c>
      <c r="U166" s="2">
        <v>1</v>
      </c>
      <c r="V166" s="1">
        <v>1</v>
      </c>
      <c r="W166" s="1">
        <v>1</v>
      </c>
      <c r="X166" s="1"/>
      <c r="Y166" t="s">
        <v>58</v>
      </c>
      <c r="Z166" s="1" t="e">
        <v>#REF!</v>
      </c>
      <c r="AA166" s="2" t="s">
        <v>406</v>
      </c>
      <c r="AB166" s="5" t="e">
        <f t="shared" si="2"/>
        <v>#REF!</v>
      </c>
      <c r="AC166" s="1">
        <v>20</v>
      </c>
      <c r="AD166" s="1" t="s">
        <v>36</v>
      </c>
      <c r="AE166" s="1">
        <v>0</v>
      </c>
      <c r="AF166">
        <v>15</v>
      </c>
      <c r="AG166" s="1">
        <v>0</v>
      </c>
      <c r="AH166" s="1">
        <v>0</v>
      </c>
      <c r="AI166" s="1">
        <v>1</v>
      </c>
      <c r="AJ166" s="1"/>
      <c r="AK166" s="1"/>
      <c r="AL166" s="1">
        <v>0</v>
      </c>
      <c r="AM166" s="1">
        <v>0</v>
      </c>
      <c r="AN166" s="1">
        <v>0</v>
      </c>
      <c r="AO166" s="1">
        <v>1</v>
      </c>
    </row>
    <row r="167" spans="1:41">
      <c r="A167" s="2">
        <v>10914</v>
      </c>
      <c r="B167" s="1" t="s">
        <v>223</v>
      </c>
      <c r="C167" s="1" t="s">
        <v>37</v>
      </c>
      <c r="D167" s="1" t="s">
        <v>38</v>
      </c>
      <c r="E167" s="1">
        <v>1</v>
      </c>
      <c r="F167" s="1">
        <v>15</v>
      </c>
      <c r="G167" s="1">
        <v>0</v>
      </c>
      <c r="H167" s="1">
        <v>0</v>
      </c>
      <c r="I167" s="1">
        <v>99999</v>
      </c>
      <c r="J167" s="1">
        <v>2</v>
      </c>
      <c r="K167" s="1">
        <v>0</v>
      </c>
      <c r="L167" s="1">
        <v>2</v>
      </c>
      <c r="M167" s="1">
        <v>99</v>
      </c>
      <c r="N167" s="1"/>
      <c r="O167" s="1">
        <v>0</v>
      </c>
      <c r="P167" s="1">
        <v>0</v>
      </c>
      <c r="Q167" s="1"/>
      <c r="R167" s="1" t="s">
        <v>35</v>
      </c>
      <c r="S167" s="1">
        <v>1600</v>
      </c>
      <c r="T167" s="1">
        <v>0</v>
      </c>
      <c r="U167" s="2">
        <v>1</v>
      </c>
      <c r="V167" s="1">
        <v>1</v>
      </c>
      <c r="W167" s="1">
        <v>1</v>
      </c>
      <c r="X167" s="1"/>
      <c r="Y167" t="s">
        <v>58</v>
      </c>
      <c r="Z167" s="1" t="e">
        <v>#REF!</v>
      </c>
      <c r="AA167" s="2" t="s">
        <v>407</v>
      </c>
      <c r="AB167" s="5" t="e">
        <f t="shared" si="2"/>
        <v>#REF!</v>
      </c>
      <c r="AC167" s="1">
        <v>20</v>
      </c>
      <c r="AD167" s="1" t="s">
        <v>36</v>
      </c>
      <c r="AE167" s="1">
        <v>0</v>
      </c>
      <c r="AF167">
        <v>15</v>
      </c>
      <c r="AG167" s="1">
        <v>0</v>
      </c>
      <c r="AH167" s="1">
        <v>0</v>
      </c>
      <c r="AI167" s="1">
        <v>1</v>
      </c>
      <c r="AJ167" s="1"/>
      <c r="AK167" s="1"/>
      <c r="AL167" s="1">
        <v>0</v>
      </c>
      <c r="AM167" s="1">
        <v>0</v>
      </c>
      <c r="AN167" s="1">
        <v>0</v>
      </c>
      <c r="AO167" s="1">
        <v>1</v>
      </c>
    </row>
    <row r="168" spans="1:41">
      <c r="A168" s="2">
        <v>10915</v>
      </c>
      <c r="B168" s="1" t="s">
        <v>224</v>
      </c>
      <c r="C168" s="1" t="s">
        <v>37</v>
      </c>
      <c r="D168" s="1" t="s">
        <v>38</v>
      </c>
      <c r="E168" s="1">
        <v>1</v>
      </c>
      <c r="F168" s="1">
        <v>15</v>
      </c>
      <c r="G168" s="1">
        <v>0</v>
      </c>
      <c r="H168" s="1">
        <v>0</v>
      </c>
      <c r="I168" s="1">
        <v>99999</v>
      </c>
      <c r="J168" s="1">
        <v>2</v>
      </c>
      <c r="K168" s="1">
        <v>0</v>
      </c>
      <c r="L168" s="1">
        <v>2</v>
      </c>
      <c r="M168" s="1">
        <v>99</v>
      </c>
      <c r="N168" s="1"/>
      <c r="O168" s="1">
        <v>0</v>
      </c>
      <c r="P168" s="1">
        <v>0</v>
      </c>
      <c r="Q168" s="1"/>
      <c r="R168" s="1" t="s">
        <v>35</v>
      </c>
      <c r="S168" s="1">
        <v>100</v>
      </c>
      <c r="T168" s="1">
        <v>0</v>
      </c>
      <c r="U168" s="2">
        <v>1</v>
      </c>
      <c r="V168" s="1">
        <v>1</v>
      </c>
      <c r="W168" s="1">
        <v>1</v>
      </c>
      <c r="X168" s="1"/>
      <c r="Y168" t="s">
        <v>58</v>
      </c>
      <c r="Z168" s="1" t="e">
        <v>#REF!</v>
      </c>
      <c r="AA168" s="2" t="s">
        <v>408</v>
      </c>
      <c r="AB168" s="5" t="e">
        <f t="shared" si="2"/>
        <v>#REF!</v>
      </c>
      <c r="AC168" s="1">
        <v>20</v>
      </c>
      <c r="AD168" s="1" t="s">
        <v>36</v>
      </c>
      <c r="AE168" s="1">
        <v>0</v>
      </c>
      <c r="AF168">
        <v>15</v>
      </c>
      <c r="AG168" s="1">
        <v>0</v>
      </c>
      <c r="AH168" s="1">
        <v>0</v>
      </c>
      <c r="AI168" s="1">
        <v>1</v>
      </c>
      <c r="AJ168" s="1"/>
      <c r="AK168" s="1"/>
      <c r="AL168" s="1">
        <v>0</v>
      </c>
      <c r="AM168" s="1">
        <v>0</v>
      </c>
      <c r="AN168" s="1">
        <v>0</v>
      </c>
      <c r="AO168" s="1">
        <v>1</v>
      </c>
    </row>
    <row r="169" spans="1:41">
      <c r="A169" s="2">
        <v>10916</v>
      </c>
      <c r="B169" s="1" t="s">
        <v>225</v>
      </c>
      <c r="C169" s="1" t="s">
        <v>37</v>
      </c>
      <c r="D169" s="1" t="s">
        <v>38</v>
      </c>
      <c r="E169" s="1">
        <v>1</v>
      </c>
      <c r="F169" s="1">
        <v>15</v>
      </c>
      <c r="G169" s="1">
        <v>0</v>
      </c>
      <c r="H169" s="1">
        <v>0</v>
      </c>
      <c r="I169" s="1">
        <v>99999</v>
      </c>
      <c r="J169" s="1">
        <v>2</v>
      </c>
      <c r="K169" s="1">
        <v>0</v>
      </c>
      <c r="L169" s="1">
        <v>2</v>
      </c>
      <c r="M169" s="1">
        <v>99</v>
      </c>
      <c r="N169" s="1"/>
      <c r="O169" s="1">
        <v>0</v>
      </c>
      <c r="P169" s="1">
        <v>0</v>
      </c>
      <c r="Q169" s="1"/>
      <c r="R169" s="1" t="s">
        <v>35</v>
      </c>
      <c r="S169" s="1">
        <v>200</v>
      </c>
      <c r="T169" s="1">
        <v>0</v>
      </c>
      <c r="U169" s="2">
        <v>1</v>
      </c>
      <c r="V169" s="1">
        <v>1</v>
      </c>
      <c r="W169" s="1">
        <v>1</v>
      </c>
      <c r="X169" s="1"/>
      <c r="Y169" t="s">
        <v>58</v>
      </c>
      <c r="Z169" s="1" t="e">
        <v>#REF!</v>
      </c>
      <c r="AA169" s="2" t="s">
        <v>409</v>
      </c>
      <c r="AB169" s="5" t="e">
        <f t="shared" si="2"/>
        <v>#REF!</v>
      </c>
      <c r="AC169" s="1">
        <v>20</v>
      </c>
      <c r="AD169" s="1" t="s">
        <v>36</v>
      </c>
      <c r="AE169" s="1">
        <v>0</v>
      </c>
      <c r="AF169">
        <v>15</v>
      </c>
      <c r="AG169" s="1">
        <v>0</v>
      </c>
      <c r="AH169" s="1">
        <v>0</v>
      </c>
      <c r="AI169" s="1">
        <v>1</v>
      </c>
      <c r="AJ169" s="1"/>
      <c r="AK169" s="1"/>
      <c r="AL169" s="1">
        <v>0</v>
      </c>
      <c r="AM169" s="1">
        <v>0</v>
      </c>
      <c r="AN169" s="1">
        <v>0</v>
      </c>
      <c r="AO169" s="1">
        <v>1</v>
      </c>
    </row>
    <row r="170" spans="1:41">
      <c r="A170" s="2">
        <v>10917</v>
      </c>
      <c r="B170" s="1" t="s">
        <v>226</v>
      </c>
      <c r="C170" s="1" t="s">
        <v>37</v>
      </c>
      <c r="D170" s="1" t="s">
        <v>38</v>
      </c>
      <c r="E170" s="1">
        <v>1</v>
      </c>
      <c r="F170" s="1">
        <v>15</v>
      </c>
      <c r="G170" s="1">
        <v>0</v>
      </c>
      <c r="H170" s="1">
        <v>0</v>
      </c>
      <c r="I170" s="1">
        <v>99999</v>
      </c>
      <c r="J170" s="1">
        <v>3</v>
      </c>
      <c r="K170" s="1">
        <v>0</v>
      </c>
      <c r="L170" s="1">
        <v>2</v>
      </c>
      <c r="M170" s="1">
        <v>99</v>
      </c>
      <c r="N170" s="1"/>
      <c r="O170" s="1">
        <v>0</v>
      </c>
      <c r="P170" s="1">
        <v>0</v>
      </c>
      <c r="Q170" s="1"/>
      <c r="R170" s="1" t="s">
        <v>35</v>
      </c>
      <c r="S170" s="1">
        <v>400</v>
      </c>
      <c r="T170" s="1">
        <v>0</v>
      </c>
      <c r="U170" s="2">
        <v>1</v>
      </c>
      <c r="V170" s="1">
        <v>1</v>
      </c>
      <c r="W170" s="1">
        <v>1</v>
      </c>
      <c r="X170" s="1"/>
      <c r="Y170" t="s">
        <v>58</v>
      </c>
      <c r="Z170" s="1" t="e">
        <v>#REF!</v>
      </c>
      <c r="AA170" s="2" t="s">
        <v>410</v>
      </c>
      <c r="AB170" s="5" t="e">
        <f t="shared" si="2"/>
        <v>#REF!</v>
      </c>
      <c r="AC170" s="1">
        <v>20</v>
      </c>
      <c r="AD170" s="1" t="s">
        <v>36</v>
      </c>
      <c r="AE170" s="1">
        <v>0</v>
      </c>
      <c r="AF170">
        <v>15</v>
      </c>
      <c r="AG170" s="1">
        <v>0</v>
      </c>
      <c r="AH170" s="1">
        <v>0</v>
      </c>
      <c r="AI170" s="1">
        <v>1</v>
      </c>
      <c r="AJ170" s="1"/>
      <c r="AK170" s="1"/>
      <c r="AL170" s="1">
        <v>0</v>
      </c>
      <c r="AM170" s="1">
        <v>0</v>
      </c>
      <c r="AN170" s="1">
        <v>0</v>
      </c>
      <c r="AO170" s="1">
        <v>1</v>
      </c>
    </row>
    <row r="171" spans="1:41">
      <c r="A171" s="2">
        <v>10918</v>
      </c>
      <c r="B171" s="1" t="s">
        <v>227</v>
      </c>
      <c r="C171" s="1" t="s">
        <v>37</v>
      </c>
      <c r="D171" s="1" t="s">
        <v>38</v>
      </c>
      <c r="E171" s="1">
        <v>1</v>
      </c>
      <c r="F171" s="1">
        <v>15</v>
      </c>
      <c r="G171" s="1">
        <v>0</v>
      </c>
      <c r="H171" s="1">
        <v>0</v>
      </c>
      <c r="I171" s="1">
        <v>99999</v>
      </c>
      <c r="J171" s="1">
        <v>3</v>
      </c>
      <c r="K171" s="1">
        <v>0</v>
      </c>
      <c r="L171" s="1">
        <v>2</v>
      </c>
      <c r="M171" s="1">
        <v>99</v>
      </c>
      <c r="N171" s="1"/>
      <c r="O171" s="1">
        <v>0</v>
      </c>
      <c r="P171" s="1">
        <v>0</v>
      </c>
      <c r="Q171" s="1"/>
      <c r="R171" s="1" t="s">
        <v>35</v>
      </c>
      <c r="S171" s="1">
        <v>800</v>
      </c>
      <c r="T171" s="1">
        <v>0</v>
      </c>
      <c r="U171" s="2">
        <v>1</v>
      </c>
      <c r="V171" s="1">
        <v>1</v>
      </c>
      <c r="W171" s="1">
        <v>1</v>
      </c>
      <c r="X171" s="1"/>
      <c r="Y171" t="s">
        <v>58</v>
      </c>
      <c r="Z171" s="1" t="e">
        <v>#REF!</v>
      </c>
      <c r="AA171" s="2" t="s">
        <v>411</v>
      </c>
      <c r="AB171" s="5" t="e">
        <f t="shared" si="2"/>
        <v>#REF!</v>
      </c>
      <c r="AC171" s="1">
        <v>20</v>
      </c>
      <c r="AD171" s="1" t="s">
        <v>36</v>
      </c>
      <c r="AE171" s="1">
        <v>0</v>
      </c>
      <c r="AF171">
        <v>15</v>
      </c>
      <c r="AG171" s="1">
        <v>0</v>
      </c>
      <c r="AH171" s="1">
        <v>0</v>
      </c>
      <c r="AI171" s="1">
        <v>1</v>
      </c>
      <c r="AJ171" s="1"/>
      <c r="AK171" s="1"/>
      <c r="AL171" s="1">
        <v>0</v>
      </c>
      <c r="AM171" s="1">
        <v>0</v>
      </c>
      <c r="AN171" s="1">
        <v>0</v>
      </c>
      <c r="AO171" s="1">
        <v>1</v>
      </c>
    </row>
    <row r="172" spans="1:41">
      <c r="A172" s="2">
        <v>10919</v>
      </c>
      <c r="B172" s="1" t="s">
        <v>228</v>
      </c>
      <c r="C172" s="1" t="s">
        <v>37</v>
      </c>
      <c r="D172" s="1" t="s">
        <v>38</v>
      </c>
      <c r="E172" s="1">
        <v>1</v>
      </c>
      <c r="F172" s="1">
        <v>15</v>
      </c>
      <c r="G172" s="1">
        <v>0</v>
      </c>
      <c r="H172" s="1">
        <v>0</v>
      </c>
      <c r="I172" s="1">
        <v>99999</v>
      </c>
      <c r="J172" s="1">
        <v>3</v>
      </c>
      <c r="K172" s="1">
        <v>0</v>
      </c>
      <c r="L172" s="1">
        <v>2</v>
      </c>
      <c r="M172" s="1">
        <v>99</v>
      </c>
      <c r="N172" s="1"/>
      <c r="O172" s="1">
        <v>0</v>
      </c>
      <c r="P172" s="1">
        <v>0</v>
      </c>
      <c r="Q172" s="1"/>
      <c r="R172" s="1" t="s">
        <v>35</v>
      </c>
      <c r="S172" s="1">
        <v>1600</v>
      </c>
      <c r="T172" s="1">
        <v>0</v>
      </c>
      <c r="U172" s="2">
        <v>1</v>
      </c>
      <c r="V172" s="1">
        <v>1</v>
      </c>
      <c r="W172" s="1">
        <v>1</v>
      </c>
      <c r="X172" s="1"/>
      <c r="Y172" t="s">
        <v>58</v>
      </c>
      <c r="Z172" s="1" t="e">
        <v>#REF!</v>
      </c>
      <c r="AA172" s="2" t="s">
        <v>412</v>
      </c>
      <c r="AB172" s="5" t="e">
        <f>LEFT(AA172,52)&amp;Z172&amp;RIGHT(AA172,157)</f>
        <v>#REF!</v>
      </c>
      <c r="AC172" s="1">
        <v>20</v>
      </c>
      <c r="AD172" s="1" t="s">
        <v>36</v>
      </c>
      <c r="AE172" s="1">
        <v>0</v>
      </c>
      <c r="AF172">
        <v>15</v>
      </c>
      <c r="AG172" s="1">
        <v>0</v>
      </c>
      <c r="AH172" s="1">
        <v>0</v>
      </c>
      <c r="AI172" s="1">
        <v>1</v>
      </c>
      <c r="AJ172" s="1"/>
      <c r="AK172" s="1"/>
      <c r="AL172" s="1">
        <v>0</v>
      </c>
      <c r="AM172" s="1">
        <v>0</v>
      </c>
      <c r="AN172" s="1">
        <v>0</v>
      </c>
      <c r="AO172" s="1">
        <v>1</v>
      </c>
    </row>
    <row r="173" spans="1:41">
      <c r="A173" s="2">
        <v>10920</v>
      </c>
      <c r="B173" s="1" t="s">
        <v>229</v>
      </c>
      <c r="C173" s="1" t="s">
        <v>37</v>
      </c>
      <c r="D173" s="1" t="s">
        <v>38</v>
      </c>
      <c r="E173" s="1">
        <v>1</v>
      </c>
      <c r="F173" s="1">
        <v>15</v>
      </c>
      <c r="G173" s="1">
        <v>0</v>
      </c>
      <c r="H173" s="1">
        <v>0</v>
      </c>
      <c r="I173" s="1">
        <v>99999</v>
      </c>
      <c r="J173" s="1">
        <v>0</v>
      </c>
      <c r="K173" s="1">
        <v>0</v>
      </c>
      <c r="L173" s="1">
        <v>2</v>
      </c>
      <c r="M173" s="1">
        <v>99</v>
      </c>
      <c r="N173" s="1"/>
      <c r="O173" s="1">
        <v>0</v>
      </c>
      <c r="P173" s="1">
        <v>0</v>
      </c>
      <c r="Q173" s="1"/>
      <c r="R173" s="1" t="s">
        <v>35</v>
      </c>
      <c r="S173" s="1">
        <v>100</v>
      </c>
      <c r="T173" s="1">
        <v>0</v>
      </c>
      <c r="U173" s="2">
        <v>1</v>
      </c>
      <c r="V173" s="1">
        <v>1</v>
      </c>
      <c r="W173" s="1">
        <v>1</v>
      </c>
      <c r="X173" s="1"/>
      <c r="Y173" t="s">
        <v>58</v>
      </c>
      <c r="Z173" s="1" t="e">
        <v>#REF!</v>
      </c>
      <c r="AA173" s="2" t="s">
        <v>413</v>
      </c>
      <c r="AB173" s="5" t="e">
        <f t="shared" si="2"/>
        <v>#REF!</v>
      </c>
      <c r="AC173" s="1">
        <v>20</v>
      </c>
      <c r="AD173" s="1" t="s">
        <v>36</v>
      </c>
      <c r="AE173" s="1">
        <v>0</v>
      </c>
      <c r="AF173">
        <v>15</v>
      </c>
      <c r="AG173" s="1">
        <v>0</v>
      </c>
      <c r="AH173" s="1">
        <v>0</v>
      </c>
      <c r="AI173" s="1">
        <v>1</v>
      </c>
      <c r="AJ173" s="1"/>
      <c r="AK173" s="1"/>
      <c r="AL173" s="1">
        <v>0</v>
      </c>
      <c r="AM173" s="1">
        <v>0</v>
      </c>
      <c r="AN173" s="1">
        <v>0</v>
      </c>
    </row>
    <row r="174" spans="1:41">
      <c r="A174" s="2">
        <v>10921</v>
      </c>
      <c r="B174" s="1" t="s">
        <v>230</v>
      </c>
      <c r="C174" s="1" t="s">
        <v>37</v>
      </c>
      <c r="D174" s="1" t="s">
        <v>38</v>
      </c>
      <c r="E174" s="1">
        <v>1</v>
      </c>
      <c r="F174" s="1">
        <v>15</v>
      </c>
      <c r="G174" s="1">
        <v>0</v>
      </c>
      <c r="H174" s="1">
        <v>0</v>
      </c>
      <c r="I174" s="1">
        <v>99999</v>
      </c>
      <c r="J174" s="1">
        <v>1</v>
      </c>
      <c r="K174" s="1">
        <v>0</v>
      </c>
      <c r="L174" s="1">
        <v>2</v>
      </c>
      <c r="M174" s="1">
        <v>99</v>
      </c>
      <c r="N174" s="1"/>
      <c r="O174" s="1">
        <v>0</v>
      </c>
      <c r="P174" s="1">
        <v>0</v>
      </c>
      <c r="Q174" s="1"/>
      <c r="R174" s="1" t="s">
        <v>35</v>
      </c>
      <c r="S174" s="1">
        <v>200</v>
      </c>
      <c r="T174" s="1">
        <v>0</v>
      </c>
      <c r="U174" s="2">
        <v>1</v>
      </c>
      <c r="V174" s="1">
        <v>1</v>
      </c>
      <c r="W174" s="1">
        <v>1</v>
      </c>
      <c r="X174" s="1"/>
      <c r="Y174" t="s">
        <v>56</v>
      </c>
      <c r="Z174" s="1" t="e">
        <v>#REF!</v>
      </c>
      <c r="AA174" s="2" t="s">
        <v>414</v>
      </c>
      <c r="AB174" s="5" t="e">
        <f t="shared" si="2"/>
        <v>#REF!</v>
      </c>
      <c r="AC174" s="1">
        <v>20</v>
      </c>
      <c r="AD174" s="1" t="s">
        <v>36</v>
      </c>
      <c r="AE174" s="1">
        <v>0</v>
      </c>
      <c r="AF174">
        <v>15</v>
      </c>
      <c r="AG174" s="1">
        <v>0</v>
      </c>
      <c r="AH174" s="1">
        <v>0</v>
      </c>
      <c r="AI174" s="1">
        <v>1</v>
      </c>
      <c r="AJ174" s="1"/>
      <c r="AK174" s="1"/>
      <c r="AL174" s="1">
        <v>0</v>
      </c>
      <c r="AM174" s="1">
        <v>0</v>
      </c>
      <c r="AN174" s="1">
        <v>0</v>
      </c>
    </row>
    <row r="175" spans="1:41">
      <c r="A175" s="2">
        <v>10922</v>
      </c>
      <c r="B175" s="1" t="s">
        <v>231</v>
      </c>
      <c r="C175" s="1" t="s">
        <v>37</v>
      </c>
      <c r="D175" s="1" t="s">
        <v>38</v>
      </c>
      <c r="E175" s="1">
        <v>1</v>
      </c>
      <c r="F175" s="1">
        <v>15</v>
      </c>
      <c r="G175" s="1">
        <v>0</v>
      </c>
      <c r="H175" s="1">
        <v>0</v>
      </c>
      <c r="I175" s="1">
        <v>99999</v>
      </c>
      <c r="J175" s="1">
        <v>1</v>
      </c>
      <c r="K175" s="1">
        <v>0</v>
      </c>
      <c r="L175" s="1">
        <v>2</v>
      </c>
      <c r="M175" s="1">
        <v>99</v>
      </c>
      <c r="N175" s="1"/>
      <c r="O175" s="1">
        <v>0</v>
      </c>
      <c r="P175" s="1">
        <v>0</v>
      </c>
      <c r="Q175" s="1"/>
      <c r="R175" s="1" t="s">
        <v>35</v>
      </c>
      <c r="S175" s="1">
        <v>400</v>
      </c>
      <c r="T175" s="1">
        <v>0</v>
      </c>
      <c r="U175" s="2">
        <v>1</v>
      </c>
      <c r="V175" s="1">
        <v>1</v>
      </c>
      <c r="W175" s="1">
        <v>1</v>
      </c>
      <c r="X175" s="1"/>
      <c r="Y175" t="s">
        <v>57</v>
      </c>
      <c r="Z175" s="1" t="e">
        <v>#REF!</v>
      </c>
      <c r="AA175" s="2" t="s">
        <v>415</v>
      </c>
      <c r="AB175" s="5" t="e">
        <f t="shared" si="2"/>
        <v>#REF!</v>
      </c>
      <c r="AC175" s="1">
        <v>20</v>
      </c>
      <c r="AD175" s="1" t="s">
        <v>36</v>
      </c>
      <c r="AE175" s="1">
        <v>0</v>
      </c>
      <c r="AF175">
        <v>15</v>
      </c>
      <c r="AG175" s="1">
        <v>0</v>
      </c>
      <c r="AH175" s="1">
        <v>0</v>
      </c>
      <c r="AI175" s="1">
        <v>1</v>
      </c>
      <c r="AJ175" s="1"/>
      <c r="AK175" s="1"/>
      <c r="AL175" s="1">
        <v>0</v>
      </c>
      <c r="AM175" s="1">
        <v>0</v>
      </c>
      <c r="AN175" s="1">
        <v>0</v>
      </c>
    </row>
    <row r="176" spans="1:41">
      <c r="A176" s="2">
        <v>10923</v>
      </c>
      <c r="B176" s="1" t="s">
        <v>232</v>
      </c>
      <c r="C176" s="1" t="s">
        <v>37</v>
      </c>
      <c r="D176" s="1" t="s">
        <v>38</v>
      </c>
      <c r="E176" s="1">
        <v>1</v>
      </c>
      <c r="F176" s="1">
        <v>15</v>
      </c>
      <c r="G176" s="1">
        <v>0</v>
      </c>
      <c r="H176" s="1">
        <v>0</v>
      </c>
      <c r="I176" s="1">
        <v>99999</v>
      </c>
      <c r="J176" s="1">
        <v>1</v>
      </c>
      <c r="K176" s="1">
        <v>0</v>
      </c>
      <c r="L176" s="1">
        <v>2</v>
      </c>
      <c r="M176" s="1">
        <v>99</v>
      </c>
      <c r="N176" s="1"/>
      <c r="O176" s="1">
        <v>0</v>
      </c>
      <c r="P176" s="1">
        <v>0</v>
      </c>
      <c r="Q176" s="1"/>
      <c r="R176" s="1" t="s">
        <v>35</v>
      </c>
      <c r="S176" s="1">
        <v>800</v>
      </c>
      <c r="T176" s="1">
        <v>0</v>
      </c>
      <c r="U176" s="2">
        <v>1</v>
      </c>
      <c r="V176" s="1">
        <v>1</v>
      </c>
      <c r="W176" s="1">
        <v>1</v>
      </c>
      <c r="X176" s="1"/>
      <c r="Y176" t="s">
        <v>58</v>
      </c>
      <c r="Z176" s="1" t="e">
        <v>#REF!</v>
      </c>
      <c r="AA176" s="2" t="s">
        <v>416</v>
      </c>
      <c r="AB176" s="5" t="e">
        <f t="shared" si="2"/>
        <v>#REF!</v>
      </c>
      <c r="AC176" s="1">
        <v>20</v>
      </c>
      <c r="AD176" s="1" t="s">
        <v>36</v>
      </c>
      <c r="AE176" s="1">
        <v>0</v>
      </c>
      <c r="AF176">
        <v>15</v>
      </c>
      <c r="AG176" s="1">
        <v>0</v>
      </c>
      <c r="AH176" s="1">
        <v>0</v>
      </c>
      <c r="AI176" s="1">
        <v>1</v>
      </c>
      <c r="AJ176" s="1"/>
      <c r="AK176" s="1"/>
      <c r="AL176" s="1">
        <v>0</v>
      </c>
      <c r="AM176" s="1">
        <v>0</v>
      </c>
      <c r="AN176" s="1">
        <v>0</v>
      </c>
      <c r="AO176" s="1">
        <v>1</v>
      </c>
    </row>
    <row r="177" spans="1:41">
      <c r="A177" s="2">
        <v>10924</v>
      </c>
      <c r="B177" s="1" t="s">
        <v>233</v>
      </c>
      <c r="C177" s="1" t="s">
        <v>37</v>
      </c>
      <c r="D177" s="1" t="s">
        <v>38</v>
      </c>
      <c r="E177" s="1">
        <v>1</v>
      </c>
      <c r="F177" s="1">
        <v>15</v>
      </c>
      <c r="G177" s="1">
        <v>0</v>
      </c>
      <c r="H177" s="1">
        <v>0</v>
      </c>
      <c r="I177" s="1">
        <v>99999</v>
      </c>
      <c r="J177" s="1">
        <v>2</v>
      </c>
      <c r="K177" s="1">
        <v>0</v>
      </c>
      <c r="L177" s="1">
        <v>2</v>
      </c>
      <c r="M177" s="1">
        <v>99</v>
      </c>
      <c r="N177" s="1"/>
      <c r="O177" s="1">
        <v>0</v>
      </c>
      <c r="P177" s="1">
        <v>0</v>
      </c>
      <c r="Q177" s="1"/>
      <c r="R177" s="1" t="s">
        <v>35</v>
      </c>
      <c r="S177" s="1">
        <v>1600</v>
      </c>
      <c r="T177" s="1">
        <v>0</v>
      </c>
      <c r="U177" s="2">
        <v>1</v>
      </c>
      <c r="V177" s="1">
        <v>1</v>
      </c>
      <c r="W177" s="1">
        <v>1</v>
      </c>
      <c r="X177" s="1"/>
      <c r="Y177" t="s">
        <v>58</v>
      </c>
      <c r="Z177" s="1" t="e">
        <v>#REF!</v>
      </c>
      <c r="AA177" s="2" t="s">
        <v>417</v>
      </c>
      <c r="AB177" s="5" t="e">
        <f t="shared" si="2"/>
        <v>#REF!</v>
      </c>
      <c r="AC177" s="1">
        <v>20</v>
      </c>
      <c r="AD177" s="1" t="s">
        <v>36</v>
      </c>
      <c r="AE177" s="1">
        <v>0</v>
      </c>
      <c r="AF177">
        <v>15</v>
      </c>
      <c r="AG177" s="1">
        <v>0</v>
      </c>
      <c r="AH177" s="1">
        <v>0</v>
      </c>
      <c r="AI177" s="1">
        <v>1</v>
      </c>
      <c r="AJ177" s="1"/>
      <c r="AK177" s="1"/>
      <c r="AL177" s="1">
        <v>0</v>
      </c>
      <c r="AM177" s="1">
        <v>0</v>
      </c>
      <c r="AN177" s="1">
        <v>0</v>
      </c>
      <c r="AO177" s="1">
        <v>1</v>
      </c>
    </row>
    <row r="178" spans="1:41">
      <c r="A178" s="2">
        <v>10925</v>
      </c>
      <c r="B178" s="1" t="s">
        <v>234</v>
      </c>
      <c r="C178" s="1" t="s">
        <v>37</v>
      </c>
      <c r="D178" s="1" t="s">
        <v>38</v>
      </c>
      <c r="E178" s="1">
        <v>1</v>
      </c>
      <c r="F178" s="1">
        <v>15</v>
      </c>
      <c r="G178" s="1">
        <v>0</v>
      </c>
      <c r="H178" s="1">
        <v>0</v>
      </c>
      <c r="I178" s="1">
        <v>99999</v>
      </c>
      <c r="J178" s="1">
        <v>2</v>
      </c>
      <c r="K178" s="1">
        <v>0</v>
      </c>
      <c r="L178" s="1">
        <v>2</v>
      </c>
      <c r="M178" s="1">
        <v>99</v>
      </c>
      <c r="N178" s="1"/>
      <c r="O178" s="1">
        <v>0</v>
      </c>
      <c r="P178" s="1">
        <v>0</v>
      </c>
      <c r="Q178" s="1"/>
      <c r="R178" s="1" t="s">
        <v>35</v>
      </c>
      <c r="S178" s="1">
        <v>100</v>
      </c>
      <c r="T178" s="1">
        <v>0</v>
      </c>
      <c r="U178" s="2">
        <v>1</v>
      </c>
      <c r="V178" s="1">
        <v>1</v>
      </c>
      <c r="W178" s="1">
        <v>1</v>
      </c>
      <c r="X178" s="1"/>
      <c r="Y178" t="s">
        <v>58</v>
      </c>
      <c r="Z178" s="1" t="e">
        <v>#REF!</v>
      </c>
      <c r="AA178" s="2" t="s">
        <v>418</v>
      </c>
      <c r="AB178" s="5" t="e">
        <f t="shared" si="2"/>
        <v>#REF!</v>
      </c>
      <c r="AC178" s="1">
        <v>20</v>
      </c>
      <c r="AD178" s="1" t="s">
        <v>36</v>
      </c>
      <c r="AE178" s="1">
        <v>0</v>
      </c>
      <c r="AF178">
        <v>15</v>
      </c>
      <c r="AG178" s="1">
        <v>0</v>
      </c>
      <c r="AH178" s="1">
        <v>0</v>
      </c>
      <c r="AI178" s="1">
        <v>1</v>
      </c>
      <c r="AJ178" s="1"/>
      <c r="AK178" s="1"/>
      <c r="AL178" s="1">
        <v>0</v>
      </c>
      <c r="AM178" s="1">
        <v>0</v>
      </c>
      <c r="AN178" s="1">
        <v>0</v>
      </c>
      <c r="AO178" s="1">
        <v>1</v>
      </c>
    </row>
    <row r="179" spans="1:41">
      <c r="A179" s="2">
        <v>10926</v>
      </c>
      <c r="B179" s="1" t="s">
        <v>235</v>
      </c>
      <c r="C179" s="1" t="s">
        <v>37</v>
      </c>
      <c r="D179" s="1" t="s">
        <v>38</v>
      </c>
      <c r="E179" s="1">
        <v>1</v>
      </c>
      <c r="F179" s="1">
        <v>15</v>
      </c>
      <c r="G179" s="1">
        <v>0</v>
      </c>
      <c r="H179" s="1">
        <v>0</v>
      </c>
      <c r="I179" s="1">
        <v>99999</v>
      </c>
      <c r="J179" s="1">
        <v>2</v>
      </c>
      <c r="K179" s="1">
        <v>0</v>
      </c>
      <c r="L179" s="1">
        <v>2</v>
      </c>
      <c r="M179" s="1">
        <v>99</v>
      </c>
      <c r="N179" s="1"/>
      <c r="O179" s="1">
        <v>0</v>
      </c>
      <c r="P179" s="1">
        <v>0</v>
      </c>
      <c r="Q179" s="1"/>
      <c r="R179" s="1" t="s">
        <v>35</v>
      </c>
      <c r="S179" s="1">
        <v>200</v>
      </c>
      <c r="T179" s="1">
        <v>0</v>
      </c>
      <c r="U179" s="2">
        <v>1</v>
      </c>
      <c r="V179" s="1">
        <v>1</v>
      </c>
      <c r="W179" s="1">
        <v>1</v>
      </c>
      <c r="X179" s="1"/>
      <c r="Y179" t="s">
        <v>58</v>
      </c>
      <c r="Z179" s="1" t="e">
        <v>#REF!</v>
      </c>
      <c r="AA179" s="2" t="s">
        <v>419</v>
      </c>
      <c r="AB179" s="5" t="e">
        <f t="shared" si="2"/>
        <v>#REF!</v>
      </c>
      <c r="AC179" s="1">
        <v>20</v>
      </c>
      <c r="AD179" s="1" t="s">
        <v>36</v>
      </c>
      <c r="AE179" s="1">
        <v>0</v>
      </c>
      <c r="AF179">
        <v>15</v>
      </c>
      <c r="AG179" s="1">
        <v>0</v>
      </c>
      <c r="AH179" s="1">
        <v>0</v>
      </c>
      <c r="AI179" s="1">
        <v>1</v>
      </c>
      <c r="AJ179" s="1"/>
      <c r="AK179" s="1"/>
      <c r="AL179" s="1">
        <v>0</v>
      </c>
      <c r="AM179" s="1">
        <v>0</v>
      </c>
      <c r="AN179" s="1">
        <v>0</v>
      </c>
      <c r="AO179" s="1">
        <v>1</v>
      </c>
    </row>
    <row r="180" spans="1:41">
      <c r="A180" s="2">
        <v>10927</v>
      </c>
      <c r="B180" s="1" t="s">
        <v>236</v>
      </c>
      <c r="C180" s="1" t="s">
        <v>37</v>
      </c>
      <c r="D180" s="1" t="s">
        <v>38</v>
      </c>
      <c r="E180" s="1">
        <v>1</v>
      </c>
      <c r="F180" s="1">
        <v>15</v>
      </c>
      <c r="G180" s="1">
        <v>0</v>
      </c>
      <c r="H180" s="1">
        <v>0</v>
      </c>
      <c r="I180" s="1">
        <v>99999</v>
      </c>
      <c r="J180" s="1">
        <v>3</v>
      </c>
      <c r="K180" s="1">
        <v>0</v>
      </c>
      <c r="L180" s="1">
        <v>2</v>
      </c>
      <c r="M180" s="1">
        <v>99</v>
      </c>
      <c r="N180" s="1"/>
      <c r="O180" s="1">
        <v>0</v>
      </c>
      <c r="P180" s="1">
        <v>0</v>
      </c>
      <c r="Q180" s="1"/>
      <c r="R180" s="1" t="s">
        <v>35</v>
      </c>
      <c r="S180" s="1">
        <v>400</v>
      </c>
      <c r="T180" s="1">
        <v>0</v>
      </c>
      <c r="U180" s="2">
        <v>1</v>
      </c>
      <c r="V180" s="1">
        <v>1</v>
      </c>
      <c r="W180" s="1">
        <v>1</v>
      </c>
      <c r="X180" s="1"/>
      <c r="Y180" t="s">
        <v>58</v>
      </c>
      <c r="Z180" s="1" t="e">
        <v>#REF!</v>
      </c>
      <c r="AA180" s="2" t="s">
        <v>420</v>
      </c>
      <c r="AB180" s="5" t="e">
        <f t="shared" si="2"/>
        <v>#REF!</v>
      </c>
      <c r="AC180" s="1">
        <v>20</v>
      </c>
      <c r="AD180" s="1" t="s">
        <v>36</v>
      </c>
      <c r="AE180" s="1">
        <v>0</v>
      </c>
      <c r="AF180">
        <v>15</v>
      </c>
      <c r="AG180" s="1">
        <v>0</v>
      </c>
      <c r="AH180" s="1">
        <v>0</v>
      </c>
      <c r="AI180" s="1">
        <v>1</v>
      </c>
      <c r="AJ180" s="1"/>
      <c r="AK180" s="1"/>
      <c r="AL180" s="1">
        <v>0</v>
      </c>
      <c r="AM180" s="1">
        <v>0</v>
      </c>
      <c r="AN180" s="1">
        <v>0</v>
      </c>
      <c r="AO180" s="1">
        <v>1</v>
      </c>
    </row>
    <row r="181" spans="1:41">
      <c r="A181" s="2">
        <v>10928</v>
      </c>
      <c r="B181" s="1" t="s">
        <v>237</v>
      </c>
      <c r="C181" s="1" t="s">
        <v>37</v>
      </c>
      <c r="D181" s="1" t="s">
        <v>38</v>
      </c>
      <c r="E181" s="1">
        <v>1</v>
      </c>
      <c r="F181" s="1">
        <v>15</v>
      </c>
      <c r="G181" s="1">
        <v>0</v>
      </c>
      <c r="H181" s="1">
        <v>0</v>
      </c>
      <c r="I181" s="1">
        <v>99999</v>
      </c>
      <c r="J181" s="1">
        <v>3</v>
      </c>
      <c r="K181" s="1">
        <v>0</v>
      </c>
      <c r="L181" s="1">
        <v>2</v>
      </c>
      <c r="M181" s="1">
        <v>99</v>
      </c>
      <c r="N181" s="1"/>
      <c r="O181" s="1">
        <v>0</v>
      </c>
      <c r="P181" s="1">
        <v>0</v>
      </c>
      <c r="Q181" s="1"/>
      <c r="R181" s="1" t="s">
        <v>35</v>
      </c>
      <c r="S181" s="1">
        <v>800</v>
      </c>
      <c r="T181" s="1">
        <v>0</v>
      </c>
      <c r="U181" s="2">
        <v>1</v>
      </c>
      <c r="V181" s="1">
        <v>1</v>
      </c>
      <c r="W181" s="1">
        <v>1</v>
      </c>
      <c r="X181" s="1"/>
      <c r="Y181" t="s">
        <v>58</v>
      </c>
      <c r="Z181" s="1" t="e">
        <v>#REF!</v>
      </c>
      <c r="AA181" s="2" t="s">
        <v>421</v>
      </c>
      <c r="AB181" s="5" t="e">
        <f t="shared" si="2"/>
        <v>#REF!</v>
      </c>
      <c r="AC181" s="1">
        <v>20</v>
      </c>
      <c r="AD181" s="1" t="s">
        <v>36</v>
      </c>
      <c r="AE181" s="1">
        <v>0</v>
      </c>
      <c r="AF181">
        <v>15</v>
      </c>
      <c r="AG181" s="1">
        <v>0</v>
      </c>
      <c r="AH181" s="1">
        <v>0</v>
      </c>
      <c r="AI181" s="1">
        <v>1</v>
      </c>
      <c r="AJ181" s="1"/>
      <c r="AK181" s="1"/>
      <c r="AL181" s="1">
        <v>0</v>
      </c>
      <c r="AM181" s="1">
        <v>0</v>
      </c>
      <c r="AN181" s="1">
        <v>0</v>
      </c>
      <c r="AO181" s="1">
        <v>1</v>
      </c>
    </row>
    <row r="182" spans="1:41">
      <c r="A182" s="2">
        <v>10929</v>
      </c>
      <c r="B182" s="1" t="s">
        <v>238</v>
      </c>
      <c r="C182" s="1" t="s">
        <v>37</v>
      </c>
      <c r="D182" s="1" t="s">
        <v>38</v>
      </c>
      <c r="E182" s="1">
        <v>1</v>
      </c>
      <c r="F182" s="1">
        <v>15</v>
      </c>
      <c r="G182" s="1">
        <v>0</v>
      </c>
      <c r="H182" s="1">
        <v>0</v>
      </c>
      <c r="I182" s="1">
        <v>99999</v>
      </c>
      <c r="J182" s="1">
        <v>3</v>
      </c>
      <c r="K182" s="1">
        <v>0</v>
      </c>
      <c r="L182" s="1">
        <v>2</v>
      </c>
      <c r="M182" s="1">
        <v>99</v>
      </c>
      <c r="N182" s="1"/>
      <c r="O182" s="1">
        <v>0</v>
      </c>
      <c r="P182" s="1">
        <v>0</v>
      </c>
      <c r="Q182" s="1"/>
      <c r="R182" s="1" t="s">
        <v>35</v>
      </c>
      <c r="S182" s="1">
        <v>1600</v>
      </c>
      <c r="T182" s="1">
        <v>0</v>
      </c>
      <c r="U182" s="2">
        <v>1</v>
      </c>
      <c r="V182" s="1">
        <v>1</v>
      </c>
      <c r="W182" s="1">
        <v>1</v>
      </c>
      <c r="X182" s="1"/>
      <c r="Y182" t="s">
        <v>58</v>
      </c>
      <c r="Z182" s="1" t="e">
        <v>#N/A</v>
      </c>
      <c r="AA182" s="2" t="s">
        <v>422</v>
      </c>
      <c r="AB182" s="5" t="e">
        <f t="shared" si="2"/>
        <v>#N/A</v>
      </c>
      <c r="AC182" s="1">
        <v>20</v>
      </c>
      <c r="AD182" s="1" t="s">
        <v>36</v>
      </c>
      <c r="AE182" s="1">
        <v>0</v>
      </c>
      <c r="AF182">
        <v>15</v>
      </c>
      <c r="AG182" s="1">
        <v>0</v>
      </c>
      <c r="AH182" s="1">
        <v>0</v>
      </c>
      <c r="AI182" s="1">
        <v>1</v>
      </c>
      <c r="AJ182" s="1"/>
      <c r="AK182" s="1"/>
      <c r="AL182" s="1">
        <v>0</v>
      </c>
      <c r="AM182" s="1">
        <v>0</v>
      </c>
      <c r="AN182" s="1">
        <v>0</v>
      </c>
      <c r="AO182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63"/>
  <sheetViews>
    <sheetView topLeftCell="A16" workbookViewId="0">
      <selection activeCell="B39" sqref="B39"/>
    </sheetView>
  </sheetViews>
  <sheetFormatPr defaultRowHeight="13.5"/>
  <cols>
    <col min="1" max="1" width="25" bestFit="1" customWidth="1"/>
    <col min="2" max="2" width="35.25" customWidth="1"/>
    <col min="3" max="3" width="46.875" style="3" bestFit="1" customWidth="1"/>
  </cols>
  <sheetData>
    <row r="1" spans="1:7" s="7" customFormat="1">
      <c r="A1" s="7" t="s">
        <v>433</v>
      </c>
      <c r="B1" s="7" t="s">
        <v>434</v>
      </c>
      <c r="C1" s="3" t="s">
        <v>435</v>
      </c>
    </row>
    <row r="2" spans="1:7">
      <c r="A2" s="9" t="s">
        <v>0</v>
      </c>
      <c r="B2" t="s">
        <v>436</v>
      </c>
      <c r="C2" s="3" t="s">
        <v>437</v>
      </c>
    </row>
    <row r="3" spans="1:7">
      <c r="A3" s="8" t="s">
        <v>1</v>
      </c>
      <c r="C3" s="3" t="s">
        <v>438</v>
      </c>
    </row>
    <row r="4" spans="1:7">
      <c r="A4" s="8" t="s">
        <v>2</v>
      </c>
      <c r="B4" t="s">
        <v>439</v>
      </c>
    </row>
    <row r="5" spans="1:7">
      <c r="A5" s="8" t="s">
        <v>3</v>
      </c>
      <c r="B5" t="s">
        <v>440</v>
      </c>
    </row>
    <row r="6" spans="1:7">
      <c r="A6" s="8" t="s">
        <v>4</v>
      </c>
      <c r="B6" t="s">
        <v>441</v>
      </c>
    </row>
    <row r="7" spans="1:7">
      <c r="A7" s="8" t="s">
        <v>5</v>
      </c>
      <c r="B7" t="s">
        <v>442</v>
      </c>
      <c r="C7" s="3" t="s">
        <v>444</v>
      </c>
      <c r="D7" t="s">
        <v>947</v>
      </c>
      <c r="E7" t="s">
        <v>948</v>
      </c>
      <c r="F7" t="s">
        <v>949</v>
      </c>
      <c r="G7" t="s">
        <v>950</v>
      </c>
    </row>
    <row r="8" spans="1:7">
      <c r="A8" s="8" t="s">
        <v>6</v>
      </c>
      <c r="B8" t="s">
        <v>443</v>
      </c>
      <c r="C8" s="3" t="s">
        <v>445</v>
      </c>
    </row>
    <row r="9" spans="1:7">
      <c r="A9" s="8" t="s">
        <v>7</v>
      </c>
      <c r="B9" t="s">
        <v>446</v>
      </c>
      <c r="C9" s="3" t="s">
        <v>447</v>
      </c>
    </row>
    <row r="10" spans="1:7">
      <c r="A10" s="8" t="s">
        <v>8</v>
      </c>
      <c r="B10" t="s">
        <v>448</v>
      </c>
    </row>
    <row r="11" spans="1:7">
      <c r="A11" s="8" t="s">
        <v>9</v>
      </c>
      <c r="B11" t="s">
        <v>449</v>
      </c>
      <c r="C11" s="3" t="s">
        <v>450</v>
      </c>
    </row>
    <row r="12" spans="1:7">
      <c r="A12" s="48" t="s">
        <v>10</v>
      </c>
      <c r="B12" s="48" t="s">
        <v>475</v>
      </c>
      <c r="C12" s="3" t="s">
        <v>476</v>
      </c>
      <c r="D12" s="1"/>
      <c r="E12" s="1"/>
      <c r="F12" s="1"/>
    </row>
    <row r="13" spans="1:7">
      <c r="A13" s="48"/>
      <c r="B13" s="48"/>
      <c r="C13" s="3" t="s">
        <v>477</v>
      </c>
      <c r="D13" s="1"/>
      <c r="E13" s="1"/>
      <c r="F13" s="1"/>
    </row>
    <row r="14" spans="1:7" s="7" customFormat="1">
      <c r="A14" s="48"/>
      <c r="B14" s="48"/>
      <c r="C14" s="3" t="s">
        <v>478</v>
      </c>
      <c r="D14" s="1"/>
      <c r="E14" s="1"/>
      <c r="F14" s="1"/>
    </row>
    <row r="15" spans="1:7" s="7" customFormat="1">
      <c r="A15" s="48"/>
      <c r="B15" s="48"/>
      <c r="C15" s="3" t="s">
        <v>479</v>
      </c>
      <c r="D15" s="1"/>
      <c r="E15" s="1"/>
      <c r="F15" s="1"/>
    </row>
    <row r="16" spans="1:7" s="7" customFormat="1">
      <c r="A16" s="48"/>
      <c r="B16" s="48"/>
      <c r="C16" s="3" t="s">
        <v>480</v>
      </c>
      <c r="D16" s="1"/>
      <c r="E16" s="1"/>
      <c r="F16" s="1"/>
    </row>
    <row r="17" spans="1:6" s="7" customFormat="1">
      <c r="A17" s="48"/>
      <c r="B17" s="48"/>
      <c r="C17" s="3" t="s">
        <v>481</v>
      </c>
      <c r="D17" s="1"/>
      <c r="E17" s="1"/>
      <c r="F17" s="1"/>
    </row>
    <row r="18" spans="1:6" s="7" customFormat="1">
      <c r="A18" s="48" t="s">
        <v>11</v>
      </c>
      <c r="B18" s="49" t="s">
        <v>482</v>
      </c>
      <c r="C18" s="3" t="s">
        <v>483</v>
      </c>
      <c r="D18" s="1"/>
      <c r="E18" s="1"/>
      <c r="F18" s="1"/>
    </row>
    <row r="19" spans="1:6" s="7" customFormat="1">
      <c r="A19" s="48"/>
      <c r="B19" s="49"/>
      <c r="C19" s="3" t="s">
        <v>484</v>
      </c>
      <c r="D19" s="1"/>
      <c r="E19" s="1"/>
      <c r="F19" s="1"/>
    </row>
    <row r="20" spans="1:6" s="7" customFormat="1">
      <c r="A20" s="48"/>
      <c r="B20" s="49"/>
      <c r="C20" s="3" t="s">
        <v>485</v>
      </c>
      <c r="D20" s="1"/>
      <c r="E20" s="1"/>
      <c r="F20" s="1"/>
    </row>
    <row r="21" spans="1:6" s="7" customFormat="1">
      <c r="A21" s="48"/>
      <c r="B21" s="49"/>
      <c r="C21" s="3" t="s">
        <v>486</v>
      </c>
      <c r="D21" s="1"/>
      <c r="E21" s="1"/>
      <c r="F21" s="1"/>
    </row>
    <row r="22" spans="1:6" s="7" customFormat="1">
      <c r="A22" s="48"/>
      <c r="B22" s="49"/>
      <c r="C22" s="3" t="s">
        <v>487</v>
      </c>
      <c r="D22" s="1"/>
      <c r="E22" s="1"/>
      <c r="F22" s="1"/>
    </row>
    <row r="23" spans="1:6">
      <c r="A23" s="8" t="s">
        <v>12</v>
      </c>
      <c r="B23" t="s">
        <v>488</v>
      </c>
    </row>
    <row r="24" spans="1:6">
      <c r="A24" s="8" t="s">
        <v>423</v>
      </c>
      <c r="B24" t="s">
        <v>451</v>
      </c>
    </row>
    <row r="25" spans="1:6">
      <c r="A25" s="8" t="s">
        <v>424</v>
      </c>
      <c r="B25" t="s">
        <v>452</v>
      </c>
    </row>
    <row r="26" spans="1:6">
      <c r="A26" s="8" t="s">
        <v>425</v>
      </c>
      <c r="B26" t="s">
        <v>453</v>
      </c>
    </row>
    <row r="27" spans="1:6">
      <c r="A27" s="8" t="s">
        <v>13</v>
      </c>
      <c r="B27" t="s">
        <v>454</v>
      </c>
    </row>
    <row r="28" spans="1:6">
      <c r="A28" s="8" t="s">
        <v>14</v>
      </c>
      <c r="B28" t="s">
        <v>455</v>
      </c>
      <c r="C28" s="3" t="s">
        <v>456</v>
      </c>
    </row>
    <row r="29" spans="1:6">
      <c r="A29" s="8" t="s">
        <v>15</v>
      </c>
      <c r="B29" t="s">
        <v>457</v>
      </c>
    </row>
    <row r="30" spans="1:6">
      <c r="A30" s="48" t="s">
        <v>16</v>
      </c>
      <c r="B30" s="49" t="s">
        <v>492</v>
      </c>
      <c r="C30" s="3" t="s">
        <v>489</v>
      </c>
    </row>
    <row r="31" spans="1:6" s="7" customFormat="1">
      <c r="A31" s="48"/>
      <c r="B31" s="49"/>
      <c r="C31" s="3" t="s">
        <v>490</v>
      </c>
      <c r="F31" s="8" t="s">
        <v>25</v>
      </c>
    </row>
    <row r="32" spans="1:6" s="7" customFormat="1">
      <c r="A32" s="48"/>
      <c r="B32" s="49"/>
      <c r="C32" s="3" t="s">
        <v>491</v>
      </c>
      <c r="F32" s="7" t="s">
        <v>1310</v>
      </c>
    </row>
    <row r="33" spans="1:6">
      <c r="A33" s="8" t="s">
        <v>426</v>
      </c>
      <c r="B33" t="s">
        <v>458</v>
      </c>
      <c r="C33" s="3" t="s">
        <v>459</v>
      </c>
      <c r="F33" s="7" t="s">
        <v>1311</v>
      </c>
    </row>
    <row r="34" spans="1:6">
      <c r="A34" s="8" t="s">
        <v>17</v>
      </c>
      <c r="B34" t="s">
        <v>460</v>
      </c>
      <c r="C34" s="3" t="s">
        <v>459</v>
      </c>
      <c r="F34" s="7" t="s">
        <v>1312</v>
      </c>
    </row>
    <row r="35" spans="1:6">
      <c r="A35" s="8" t="s">
        <v>18</v>
      </c>
      <c r="B35" t="s">
        <v>461</v>
      </c>
      <c r="C35" s="3" t="s">
        <v>459</v>
      </c>
      <c r="F35" s="7" t="s">
        <v>1313</v>
      </c>
    </row>
    <row r="36" spans="1:6">
      <c r="A36" s="8" t="s">
        <v>1992</v>
      </c>
      <c r="B36" t="s">
        <v>462</v>
      </c>
      <c r="F36" s="7" t="s">
        <v>1314</v>
      </c>
    </row>
    <row r="37" spans="1:6">
      <c r="A37" s="8" t="s">
        <v>20</v>
      </c>
      <c r="B37" t="s">
        <v>463</v>
      </c>
      <c r="F37" s="7" t="s">
        <v>1315</v>
      </c>
    </row>
    <row r="38" spans="1:6">
      <c r="A38" s="8" t="s">
        <v>21</v>
      </c>
      <c r="B38" t="s">
        <v>464</v>
      </c>
      <c r="F38" s="7" t="s">
        <v>1316</v>
      </c>
    </row>
    <row r="39" spans="1:6">
      <c r="A39" s="8" t="s">
        <v>22</v>
      </c>
      <c r="B39" t="s">
        <v>465</v>
      </c>
      <c r="F39" s="7" t="s">
        <v>1317</v>
      </c>
    </row>
    <row r="40" spans="1:6">
      <c r="A40" s="8" t="s">
        <v>23</v>
      </c>
      <c r="B40" t="s">
        <v>466</v>
      </c>
      <c r="F40" s="7" t="s">
        <v>1318</v>
      </c>
    </row>
    <row r="41" spans="1:6">
      <c r="A41" s="8" t="s">
        <v>24</v>
      </c>
      <c r="B41" t="s">
        <v>467</v>
      </c>
      <c r="C41" s="3" t="s">
        <v>1308</v>
      </c>
      <c r="F41" s="7" t="s">
        <v>1319</v>
      </c>
    </row>
    <row r="42" spans="1:6">
      <c r="A42" s="8" t="s">
        <v>25</v>
      </c>
      <c r="B42" t="s">
        <v>468</v>
      </c>
      <c r="C42" s="3" t="s">
        <v>1309</v>
      </c>
      <c r="F42" s="7" t="s">
        <v>1320</v>
      </c>
    </row>
    <row r="43" spans="1:6">
      <c r="A43" s="8" t="s">
        <v>26</v>
      </c>
      <c r="B43" t="s">
        <v>493</v>
      </c>
      <c r="F43" s="7" t="s">
        <v>1321</v>
      </c>
    </row>
    <row r="44" spans="1:6">
      <c r="A44" s="8" t="s">
        <v>27</v>
      </c>
      <c r="B44" t="s">
        <v>469</v>
      </c>
      <c r="F44" s="7" t="s">
        <v>1322</v>
      </c>
    </row>
    <row r="45" spans="1:6">
      <c r="A45" s="8" t="s">
        <v>28</v>
      </c>
      <c r="B45" t="s">
        <v>470</v>
      </c>
      <c r="C45" s="3" t="s">
        <v>459</v>
      </c>
      <c r="F45" s="7" t="s">
        <v>1323</v>
      </c>
    </row>
    <row r="46" spans="1:6">
      <c r="A46" s="8" t="s">
        <v>29</v>
      </c>
      <c r="C46" s="3" t="s">
        <v>456</v>
      </c>
      <c r="F46" s="7" t="s">
        <v>1328</v>
      </c>
    </row>
    <row r="47" spans="1:6">
      <c r="A47" s="8" t="s">
        <v>30</v>
      </c>
      <c r="C47" s="3" t="s">
        <v>456</v>
      </c>
      <c r="F47" s="7" t="s">
        <v>1324</v>
      </c>
    </row>
    <row r="48" spans="1:6">
      <c r="A48" s="8" t="s">
        <v>3196</v>
      </c>
      <c r="B48" t="s">
        <v>3202</v>
      </c>
      <c r="F48" s="7" t="s">
        <v>1325</v>
      </c>
    </row>
    <row r="49" spans="1:6">
      <c r="A49" s="8" t="s">
        <v>3197</v>
      </c>
      <c r="B49" t="s">
        <v>3205</v>
      </c>
      <c r="F49" s="7" t="s">
        <v>1326</v>
      </c>
    </row>
    <row r="50" spans="1:6" s="7" customFormat="1">
      <c r="A50" s="8" t="s">
        <v>3198</v>
      </c>
      <c r="B50" s="7" t="s">
        <v>3203</v>
      </c>
      <c r="C50" s="3"/>
      <c r="F50" s="7" t="s">
        <v>1325</v>
      </c>
    </row>
    <row r="51" spans="1:6" s="7" customFormat="1">
      <c r="A51" s="8" t="s">
        <v>3199</v>
      </c>
      <c r="B51" s="7" t="s">
        <v>3206</v>
      </c>
      <c r="C51" s="3"/>
      <c r="F51" s="7" t="s">
        <v>1326</v>
      </c>
    </row>
    <row r="52" spans="1:6" s="7" customFormat="1">
      <c r="A52" s="8" t="s">
        <v>3200</v>
      </c>
      <c r="B52" s="7" t="s">
        <v>3204</v>
      </c>
      <c r="C52" s="3"/>
      <c r="F52" s="7" t="s">
        <v>1325</v>
      </c>
    </row>
    <row r="53" spans="1:6" s="7" customFormat="1">
      <c r="A53" s="8" t="s">
        <v>3201</v>
      </c>
      <c r="B53" s="7" t="s">
        <v>3207</v>
      </c>
      <c r="C53" s="3"/>
      <c r="F53" s="7" t="s">
        <v>1326</v>
      </c>
    </row>
    <row r="54" spans="1:6" s="7" customFormat="1">
      <c r="A54" s="8" t="s">
        <v>3193</v>
      </c>
      <c r="B54" s="7" t="s">
        <v>3194</v>
      </c>
      <c r="C54" s="3" t="s">
        <v>3195</v>
      </c>
    </row>
    <row r="55" spans="1:6">
      <c r="A55" s="8" t="s">
        <v>33</v>
      </c>
      <c r="B55" t="s">
        <v>473</v>
      </c>
      <c r="F55" s="7" t="s">
        <v>1327</v>
      </c>
    </row>
    <row r="56" spans="1:6" s="7" customFormat="1">
      <c r="A56" s="8" t="s">
        <v>1714</v>
      </c>
      <c r="B56" s="7" t="s">
        <v>1715</v>
      </c>
      <c r="C56" s="3"/>
    </row>
    <row r="57" spans="1:6">
      <c r="A57" s="8" t="s">
        <v>427</v>
      </c>
      <c r="B57" t="s">
        <v>472</v>
      </c>
    </row>
    <row r="58" spans="1:6">
      <c r="A58" s="8" t="s">
        <v>428</v>
      </c>
      <c r="B58" t="s">
        <v>471</v>
      </c>
      <c r="C58" s="3" t="s">
        <v>474</v>
      </c>
    </row>
    <row r="59" spans="1:6">
      <c r="A59" s="8" t="s">
        <v>499</v>
      </c>
      <c r="B59" t="s">
        <v>494</v>
      </c>
    </row>
    <row r="60" spans="1:6">
      <c r="A60" s="8" t="s">
        <v>429</v>
      </c>
      <c r="B60" t="s">
        <v>495</v>
      </c>
    </row>
    <row r="61" spans="1:6">
      <c r="A61" s="8" t="s">
        <v>430</v>
      </c>
      <c r="B61" t="s">
        <v>496</v>
      </c>
    </row>
    <row r="62" spans="1:6">
      <c r="A62" s="8" t="s">
        <v>431</v>
      </c>
      <c r="B62" t="s">
        <v>497</v>
      </c>
    </row>
    <row r="63" spans="1:6">
      <c r="A63" s="8" t="s">
        <v>432</v>
      </c>
      <c r="B63" t="s">
        <v>498</v>
      </c>
    </row>
  </sheetData>
  <mergeCells count="6">
    <mergeCell ref="A12:A17"/>
    <mergeCell ref="B12:B17"/>
    <mergeCell ref="A18:A22"/>
    <mergeCell ref="B18:B22"/>
    <mergeCell ref="A30:A32"/>
    <mergeCell ref="B30:B32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3"/>
  <sheetViews>
    <sheetView workbookViewId="0">
      <selection activeCell="I12" sqref="I12"/>
    </sheetView>
  </sheetViews>
  <sheetFormatPr defaultRowHeight="13.5"/>
  <cols>
    <col min="1" max="1" width="9.5" style="7" bestFit="1" customWidth="1"/>
    <col min="2" max="3" width="22" style="7" customWidth="1"/>
    <col min="4" max="4" width="9" style="7" customWidth="1"/>
  </cols>
  <sheetData>
    <row r="1" spans="1:5">
      <c r="A1" s="7" t="s">
        <v>1570</v>
      </c>
      <c r="B1" s="7" t="s">
        <v>1571</v>
      </c>
      <c r="C1" s="7" t="s">
        <v>1569</v>
      </c>
      <c r="D1" s="7" t="s">
        <v>1568</v>
      </c>
      <c r="E1" s="14"/>
    </row>
    <row r="2" spans="1:5">
      <c r="A2" s="7">
        <v>0</v>
      </c>
      <c r="B2" s="7" t="s">
        <v>533</v>
      </c>
      <c r="C2" s="7">
        <f>D2*2</f>
        <v>2</v>
      </c>
      <c r="D2" s="7">
        <f>item!S4</f>
        <v>1</v>
      </c>
      <c r="E2" s="14"/>
    </row>
    <row r="3" spans="1:5">
      <c r="A3" s="7">
        <v>1</v>
      </c>
      <c r="B3" s="7" t="s">
        <v>537</v>
      </c>
      <c r="C3" s="7">
        <f t="shared" ref="C3:C66" si="0">D3*2</f>
        <v>2</v>
      </c>
      <c r="D3" s="7">
        <f>item!S5</f>
        <v>1</v>
      </c>
      <c r="E3" s="14"/>
    </row>
    <row r="4" spans="1:5">
      <c r="A4" s="7">
        <v>10</v>
      </c>
      <c r="B4" s="7" t="s">
        <v>538</v>
      </c>
      <c r="C4" s="7">
        <f t="shared" si="0"/>
        <v>2</v>
      </c>
      <c r="D4" s="7">
        <f>item!S6</f>
        <v>1</v>
      </c>
      <c r="E4" s="14"/>
    </row>
    <row r="5" spans="1:5">
      <c r="A5" s="7">
        <v>20</v>
      </c>
      <c r="B5" s="7" t="s">
        <v>2058</v>
      </c>
      <c r="C5" s="7">
        <f t="shared" si="0"/>
        <v>2</v>
      </c>
      <c r="D5" s="7">
        <f>item!S9</f>
        <v>1</v>
      </c>
      <c r="E5" s="14"/>
    </row>
    <row r="6" spans="1:5">
      <c r="A6" s="7">
        <v>301</v>
      </c>
      <c r="B6" s="7" t="s">
        <v>1035</v>
      </c>
      <c r="C6" s="7">
        <f t="shared" si="0"/>
        <v>80</v>
      </c>
      <c r="D6" s="7">
        <f>item!S10</f>
        <v>40</v>
      </c>
      <c r="E6" s="14"/>
    </row>
    <row r="7" spans="1:5">
      <c r="A7" s="7">
        <v>302</v>
      </c>
      <c r="B7" s="7" t="s">
        <v>1036</v>
      </c>
      <c r="C7" s="7">
        <f t="shared" si="0"/>
        <v>260</v>
      </c>
      <c r="D7" s="7">
        <f>item!S11</f>
        <v>130</v>
      </c>
      <c r="E7" s="14"/>
    </row>
    <row r="8" spans="1:5">
      <c r="A8" s="15">
        <v>303</v>
      </c>
      <c r="B8" s="15" t="s">
        <v>2059</v>
      </c>
      <c r="C8" s="7">
        <f t="shared" si="0"/>
        <v>700</v>
      </c>
      <c r="D8" s="7">
        <f>item!S12</f>
        <v>350</v>
      </c>
      <c r="E8" s="14"/>
    </row>
    <row r="9" spans="1:5">
      <c r="A9" s="15">
        <v>304</v>
      </c>
      <c r="B9" s="15" t="s">
        <v>2060</v>
      </c>
      <c r="C9" s="7">
        <f t="shared" si="0"/>
        <v>2</v>
      </c>
      <c r="D9" s="7">
        <f>item!S13</f>
        <v>1</v>
      </c>
      <c r="E9" s="14"/>
    </row>
    <row r="10" spans="1:5">
      <c r="A10" s="7">
        <v>305</v>
      </c>
      <c r="B10" s="7" t="s">
        <v>2061</v>
      </c>
      <c r="C10" s="7">
        <f t="shared" si="0"/>
        <v>2</v>
      </c>
      <c r="D10" s="7">
        <f>item!S14</f>
        <v>1</v>
      </c>
    </row>
    <row r="11" spans="1:5">
      <c r="A11" s="7">
        <v>311</v>
      </c>
      <c r="B11" s="7" t="s">
        <v>1037</v>
      </c>
      <c r="C11" s="7">
        <f t="shared" si="0"/>
        <v>2</v>
      </c>
      <c r="D11" s="7">
        <f>item!S18</f>
        <v>1</v>
      </c>
      <c r="E11" s="14"/>
    </row>
    <row r="12" spans="1:5">
      <c r="A12" s="7">
        <v>312</v>
      </c>
      <c r="B12" s="7" t="s">
        <v>1038</v>
      </c>
      <c r="C12" s="7">
        <f t="shared" si="0"/>
        <v>2</v>
      </c>
      <c r="D12" s="7">
        <f>item!S19</f>
        <v>1</v>
      </c>
      <c r="E12" s="14"/>
    </row>
    <row r="13" spans="1:5">
      <c r="A13" s="7">
        <v>321</v>
      </c>
      <c r="B13" s="7" t="s">
        <v>1039</v>
      </c>
      <c r="C13" s="7">
        <f t="shared" si="0"/>
        <v>80</v>
      </c>
      <c r="D13" s="7">
        <f>item!S20</f>
        <v>40</v>
      </c>
      <c r="E13" s="14"/>
    </row>
    <row r="14" spans="1:5">
      <c r="A14" s="7">
        <v>322</v>
      </c>
      <c r="B14" s="7" t="s">
        <v>1040</v>
      </c>
      <c r="C14" s="7">
        <f t="shared" si="0"/>
        <v>260</v>
      </c>
      <c r="D14" s="7">
        <f>item!S21</f>
        <v>130</v>
      </c>
      <c r="E14" s="14"/>
    </row>
    <row r="15" spans="1:5">
      <c r="A15" s="15">
        <v>323</v>
      </c>
      <c r="B15" s="15" t="s">
        <v>2062</v>
      </c>
      <c r="C15" s="7">
        <f t="shared" si="0"/>
        <v>700</v>
      </c>
      <c r="D15" s="7">
        <f>item!S22</f>
        <v>350</v>
      </c>
      <c r="E15" s="14"/>
    </row>
    <row r="16" spans="1:5">
      <c r="A16" s="7">
        <v>324</v>
      </c>
      <c r="B16" s="7" t="s">
        <v>2063</v>
      </c>
      <c r="C16" s="7">
        <f t="shared" si="0"/>
        <v>2</v>
      </c>
      <c r="D16" s="7">
        <f>item!S26</f>
        <v>1</v>
      </c>
      <c r="E16" s="14"/>
    </row>
    <row r="17" spans="1:5">
      <c r="A17" s="7">
        <v>331</v>
      </c>
      <c r="B17" s="7" t="s">
        <v>1041</v>
      </c>
      <c r="C17" s="7">
        <f t="shared" si="0"/>
        <v>2</v>
      </c>
      <c r="D17" s="7">
        <f>item!S27</f>
        <v>1</v>
      </c>
      <c r="E17" s="14"/>
    </row>
    <row r="18" spans="1:5">
      <c r="A18" s="7">
        <v>351</v>
      </c>
      <c r="B18" s="7" t="s">
        <v>2064</v>
      </c>
      <c r="C18" s="7">
        <f t="shared" si="0"/>
        <v>1000</v>
      </c>
      <c r="D18" s="7">
        <f>item!S28</f>
        <v>500</v>
      </c>
      <c r="E18" s="14"/>
    </row>
    <row r="19" spans="1:5">
      <c r="A19" s="7">
        <v>352</v>
      </c>
      <c r="B19" s="7" t="s">
        <v>2065</v>
      </c>
      <c r="C19" s="7">
        <f t="shared" si="0"/>
        <v>2500</v>
      </c>
      <c r="D19" s="7">
        <f>item!S29</f>
        <v>1250</v>
      </c>
      <c r="E19" s="14"/>
    </row>
    <row r="20" spans="1:5">
      <c r="A20" s="7">
        <v>353</v>
      </c>
      <c r="B20" s="7" t="s">
        <v>2066</v>
      </c>
      <c r="C20" s="7">
        <f t="shared" si="0"/>
        <v>5000</v>
      </c>
      <c r="D20" s="7">
        <f>item!S30</f>
        <v>2500</v>
      </c>
      <c r="E20" s="14"/>
    </row>
    <row r="21" spans="1:5">
      <c r="A21" s="7">
        <v>361</v>
      </c>
      <c r="B21" s="7" t="s">
        <v>2067</v>
      </c>
      <c r="C21" s="7">
        <f t="shared" si="0"/>
        <v>480</v>
      </c>
      <c r="D21" s="7">
        <f>item!S36</f>
        <v>240</v>
      </c>
      <c r="E21" s="14"/>
    </row>
    <row r="22" spans="1:5">
      <c r="A22" s="7">
        <v>362</v>
      </c>
      <c r="B22" s="7" t="s">
        <v>1042</v>
      </c>
      <c r="C22" s="7">
        <f t="shared" si="0"/>
        <v>1560</v>
      </c>
      <c r="D22" s="7">
        <f>item!S37</f>
        <v>780</v>
      </c>
      <c r="E22" s="14"/>
    </row>
    <row r="23" spans="1:5">
      <c r="A23" s="7">
        <v>363</v>
      </c>
      <c r="B23" s="7" t="s">
        <v>2068</v>
      </c>
      <c r="C23" s="7">
        <f t="shared" si="0"/>
        <v>4200</v>
      </c>
      <c r="D23" s="7">
        <f>item!S38</f>
        <v>2100</v>
      </c>
      <c r="E23" s="14"/>
    </row>
    <row r="24" spans="1:5">
      <c r="A24" s="7">
        <v>371</v>
      </c>
      <c r="B24" s="7" t="s">
        <v>1043</v>
      </c>
      <c r="C24" s="7">
        <f t="shared" si="0"/>
        <v>480</v>
      </c>
      <c r="D24" s="7">
        <f>item!S42</f>
        <v>240</v>
      </c>
      <c r="E24" s="14"/>
    </row>
    <row r="25" spans="1:5">
      <c r="A25" s="7">
        <v>372</v>
      </c>
      <c r="B25" s="7" t="s">
        <v>2069</v>
      </c>
      <c r="C25" s="7">
        <f t="shared" si="0"/>
        <v>1560</v>
      </c>
      <c r="D25" s="7">
        <f>item!S43</f>
        <v>780</v>
      </c>
      <c r="E25" s="14"/>
    </row>
    <row r="26" spans="1:5">
      <c r="A26" s="7">
        <v>373</v>
      </c>
      <c r="B26" s="7" t="s">
        <v>2070</v>
      </c>
      <c r="C26" s="7">
        <f t="shared" si="0"/>
        <v>4200</v>
      </c>
      <c r="D26" s="7">
        <f>item!S44</f>
        <v>2100</v>
      </c>
      <c r="E26" s="14"/>
    </row>
    <row r="27" spans="1:5">
      <c r="A27" s="7">
        <v>381</v>
      </c>
      <c r="B27" s="7" t="s">
        <v>2071</v>
      </c>
      <c r="C27" s="7">
        <f t="shared" si="0"/>
        <v>6000</v>
      </c>
      <c r="D27" s="7">
        <f>item!S48</f>
        <v>3000</v>
      </c>
      <c r="E27" s="14"/>
    </row>
    <row r="28" spans="1:5">
      <c r="A28" s="15">
        <v>382</v>
      </c>
      <c r="B28" s="15" t="s">
        <v>2072</v>
      </c>
      <c r="C28" s="7">
        <f t="shared" si="0"/>
        <v>15000</v>
      </c>
      <c r="D28" s="7">
        <f>item!S49</f>
        <v>7500</v>
      </c>
      <c r="E28" s="14"/>
    </row>
    <row r="29" spans="1:5">
      <c r="A29" s="15">
        <v>383</v>
      </c>
      <c r="B29" s="15" t="s">
        <v>2073</v>
      </c>
      <c r="C29" s="7">
        <f t="shared" si="0"/>
        <v>30000</v>
      </c>
      <c r="D29" s="7">
        <f>item!S50</f>
        <v>15000</v>
      </c>
      <c r="E29" s="14"/>
    </row>
    <row r="30" spans="1:5">
      <c r="A30" s="15">
        <v>401</v>
      </c>
      <c r="B30" s="15" t="s">
        <v>2074</v>
      </c>
      <c r="C30" s="7">
        <f t="shared" si="0"/>
        <v>2</v>
      </c>
      <c r="D30" s="7">
        <f>item!S56</f>
        <v>1</v>
      </c>
      <c r="E30" s="14"/>
    </row>
    <row r="31" spans="1:5">
      <c r="A31" s="15">
        <v>411</v>
      </c>
      <c r="B31" s="15" t="s">
        <v>2075</v>
      </c>
      <c r="C31" s="7">
        <f t="shared" si="0"/>
        <v>2</v>
      </c>
      <c r="D31" s="7">
        <f>item!S57</f>
        <v>1</v>
      </c>
    </row>
    <row r="32" spans="1:5">
      <c r="A32" s="7">
        <v>421</v>
      </c>
      <c r="B32" s="7" t="s">
        <v>2076</v>
      </c>
      <c r="C32" s="7">
        <f t="shared" si="0"/>
        <v>2</v>
      </c>
      <c r="D32" s="7">
        <f>item!S58</f>
        <v>1</v>
      </c>
      <c r="E32" s="14"/>
    </row>
    <row r="33" spans="1:5">
      <c r="A33" s="7">
        <v>501</v>
      </c>
      <c r="B33" s="7" t="s">
        <v>2077</v>
      </c>
      <c r="C33" s="7">
        <f t="shared" si="0"/>
        <v>200</v>
      </c>
      <c r="D33" s="7">
        <f>item!S59</f>
        <v>100</v>
      </c>
      <c r="E33" s="14"/>
    </row>
    <row r="34" spans="1:5">
      <c r="A34" s="15">
        <v>502</v>
      </c>
      <c r="B34" s="15" t="s">
        <v>2078</v>
      </c>
      <c r="C34" s="7">
        <f t="shared" si="0"/>
        <v>100</v>
      </c>
      <c r="D34" s="7">
        <f>item!S60</f>
        <v>50</v>
      </c>
      <c r="E34" s="14"/>
    </row>
    <row r="35" spans="1:5">
      <c r="A35" s="15">
        <v>601</v>
      </c>
      <c r="B35" s="15" t="s">
        <v>2079</v>
      </c>
      <c r="C35" s="7">
        <f t="shared" si="0"/>
        <v>200</v>
      </c>
      <c r="D35" s="7">
        <f>item!S61</f>
        <v>100</v>
      </c>
      <c r="E35" s="14"/>
    </row>
    <row r="36" spans="1:5">
      <c r="A36" s="15">
        <v>1201</v>
      </c>
      <c r="B36" s="15" t="s">
        <v>543</v>
      </c>
      <c r="C36" s="7">
        <f t="shared" si="0"/>
        <v>2</v>
      </c>
      <c r="D36" s="7">
        <f>item!S68</f>
        <v>1</v>
      </c>
      <c r="E36" s="14"/>
    </row>
    <row r="37" spans="1:5">
      <c r="A37" s="15">
        <v>2001</v>
      </c>
      <c r="B37" s="15" t="s">
        <v>545</v>
      </c>
      <c r="C37" s="7">
        <f t="shared" si="0"/>
        <v>2</v>
      </c>
      <c r="D37" s="7">
        <f>item!S69</f>
        <v>1</v>
      </c>
      <c r="E37" s="14"/>
    </row>
    <row r="38" spans="1:5">
      <c r="A38" s="15">
        <v>2011</v>
      </c>
      <c r="B38" s="15" t="s">
        <v>2080</v>
      </c>
      <c r="C38" s="7">
        <f t="shared" si="0"/>
        <v>6000</v>
      </c>
      <c r="D38" s="7">
        <f>item!S70</f>
        <v>3000</v>
      </c>
      <c r="E38" s="14"/>
    </row>
    <row r="39" spans="1:5">
      <c r="A39" s="15">
        <v>2012</v>
      </c>
      <c r="B39" s="15" t="s">
        <v>2081</v>
      </c>
      <c r="C39" s="7">
        <f t="shared" si="0"/>
        <v>2000</v>
      </c>
      <c r="D39" s="7">
        <f>item!S71</f>
        <v>1000</v>
      </c>
      <c r="E39" s="14"/>
    </row>
    <row r="40" spans="1:5">
      <c r="A40" s="15">
        <v>2101</v>
      </c>
      <c r="B40" s="15" t="s">
        <v>549</v>
      </c>
      <c r="C40" s="7">
        <f t="shared" si="0"/>
        <v>2</v>
      </c>
      <c r="D40" s="7">
        <f>item!S72</f>
        <v>1</v>
      </c>
      <c r="E40" s="14"/>
    </row>
    <row r="41" spans="1:5">
      <c r="A41" s="15">
        <v>2102</v>
      </c>
      <c r="B41" s="15" t="s">
        <v>553</v>
      </c>
      <c r="C41" s="7">
        <f t="shared" si="0"/>
        <v>2</v>
      </c>
      <c r="D41" s="7">
        <f>item!S73</f>
        <v>1</v>
      </c>
      <c r="E41" s="14"/>
    </row>
    <row r="42" spans="1:5">
      <c r="A42" s="7">
        <v>2103</v>
      </c>
      <c r="B42" s="7" t="s">
        <v>555</v>
      </c>
      <c r="C42" s="7">
        <f t="shared" si="0"/>
        <v>2</v>
      </c>
      <c r="D42" s="7">
        <f>item!S74</f>
        <v>1</v>
      </c>
      <c r="E42" s="14"/>
    </row>
    <row r="43" spans="1:5">
      <c r="A43" s="7">
        <v>2201</v>
      </c>
      <c r="B43" s="7" t="s">
        <v>557</v>
      </c>
      <c r="C43" s="7">
        <f t="shared" si="0"/>
        <v>10000</v>
      </c>
      <c r="D43" s="7">
        <f>item!S75</f>
        <v>5000</v>
      </c>
      <c r="E43" s="14"/>
    </row>
    <row r="44" spans="1:5">
      <c r="A44" s="7">
        <v>2211</v>
      </c>
      <c r="B44" s="7" t="s">
        <v>558</v>
      </c>
      <c r="C44" s="7">
        <f t="shared" si="0"/>
        <v>50000</v>
      </c>
      <c r="D44" s="7">
        <f>item!S76</f>
        <v>25000</v>
      </c>
      <c r="E44" s="14"/>
    </row>
    <row r="45" spans="1:5">
      <c r="A45" s="15">
        <v>2212</v>
      </c>
      <c r="B45" s="15" t="s">
        <v>2082</v>
      </c>
      <c r="C45" s="7">
        <f t="shared" si="0"/>
        <v>3000</v>
      </c>
      <c r="D45" s="7">
        <f>item!S77</f>
        <v>1500</v>
      </c>
      <c r="E45" s="14"/>
    </row>
    <row r="46" spans="1:5">
      <c r="A46" s="15">
        <v>10110</v>
      </c>
      <c r="B46" s="15" t="s">
        <v>1759</v>
      </c>
      <c r="C46" s="7">
        <f t="shared" si="0"/>
        <v>10000</v>
      </c>
      <c r="D46" s="7">
        <f>item!S80</f>
        <v>5000</v>
      </c>
      <c r="E46" s="14"/>
    </row>
    <row r="47" spans="1:5">
      <c r="A47" s="15">
        <v>10111</v>
      </c>
      <c r="B47" s="15" t="s">
        <v>1760</v>
      </c>
      <c r="C47" s="7">
        <f t="shared" si="0"/>
        <v>20000</v>
      </c>
      <c r="D47" s="7">
        <f>item!S81</f>
        <v>10000</v>
      </c>
      <c r="E47" s="14"/>
    </row>
    <row r="48" spans="1:5">
      <c r="A48" s="15">
        <v>10112</v>
      </c>
      <c r="B48" s="15" t="s">
        <v>1761</v>
      </c>
      <c r="C48" s="7">
        <f t="shared" si="0"/>
        <v>40000</v>
      </c>
      <c r="D48" s="7">
        <f>item!S82</f>
        <v>20000</v>
      </c>
      <c r="E48" s="14"/>
    </row>
    <row r="49" spans="1:5">
      <c r="A49" s="15">
        <v>10113</v>
      </c>
      <c r="B49" s="15" t="s">
        <v>1762</v>
      </c>
      <c r="C49" s="7">
        <f t="shared" si="0"/>
        <v>80000</v>
      </c>
      <c r="D49" s="7">
        <f>item!S83</f>
        <v>40000</v>
      </c>
      <c r="E49" s="14"/>
    </row>
    <row r="50" spans="1:5">
      <c r="A50" s="15">
        <v>10114</v>
      </c>
      <c r="B50" s="15" t="s">
        <v>1763</v>
      </c>
      <c r="C50" s="7">
        <f t="shared" si="0"/>
        <v>160000</v>
      </c>
      <c r="D50" s="7">
        <f>item!S84</f>
        <v>80000</v>
      </c>
    </row>
    <row r="51" spans="1:5">
      <c r="A51" s="15">
        <v>10115</v>
      </c>
      <c r="B51" s="15" t="s">
        <v>1764</v>
      </c>
      <c r="C51" s="7">
        <f t="shared" si="0"/>
        <v>160000</v>
      </c>
      <c r="D51" s="7">
        <f>item!S85</f>
        <v>80000</v>
      </c>
    </row>
    <row r="52" spans="1:5">
      <c r="A52" s="7">
        <v>10116</v>
      </c>
      <c r="B52" s="7" t="s">
        <v>1765</v>
      </c>
      <c r="C52" s="7">
        <f t="shared" si="0"/>
        <v>160000</v>
      </c>
      <c r="D52" s="7">
        <f>item!S86</f>
        <v>80000</v>
      </c>
    </row>
    <row r="53" spans="1:5">
      <c r="A53" s="7">
        <v>10117</v>
      </c>
      <c r="B53" s="7" t="s">
        <v>1766</v>
      </c>
      <c r="C53" s="7">
        <f t="shared" si="0"/>
        <v>160000</v>
      </c>
      <c r="D53" s="7">
        <f>item!S87</f>
        <v>80000</v>
      </c>
    </row>
    <row r="54" spans="1:5">
      <c r="A54" s="7">
        <v>10118</v>
      </c>
      <c r="B54" s="7" t="s">
        <v>1767</v>
      </c>
      <c r="C54" s="7">
        <f t="shared" si="0"/>
        <v>160000</v>
      </c>
      <c r="D54" s="7">
        <f>item!S88</f>
        <v>80000</v>
      </c>
    </row>
    <row r="55" spans="1:5">
      <c r="A55" s="15">
        <v>10119</v>
      </c>
      <c r="B55" s="15" t="s">
        <v>1768</v>
      </c>
      <c r="C55" s="7">
        <f t="shared" si="0"/>
        <v>160000</v>
      </c>
      <c r="D55" s="7">
        <f>item!S89</f>
        <v>80000</v>
      </c>
    </row>
    <row r="56" spans="1:5">
      <c r="A56" s="15">
        <v>10120</v>
      </c>
      <c r="B56" s="15" t="s">
        <v>1749</v>
      </c>
      <c r="C56" s="7">
        <f t="shared" si="0"/>
        <v>10000</v>
      </c>
      <c r="D56" s="7">
        <f>item!S90</f>
        <v>5000</v>
      </c>
    </row>
    <row r="57" spans="1:5">
      <c r="A57" s="15">
        <v>10121</v>
      </c>
      <c r="B57" s="15" t="s">
        <v>1750</v>
      </c>
      <c r="C57" s="7">
        <f t="shared" si="0"/>
        <v>20000</v>
      </c>
      <c r="D57" s="7">
        <f>item!S91</f>
        <v>10000</v>
      </c>
    </row>
    <row r="58" spans="1:5">
      <c r="A58" s="15">
        <v>10122</v>
      </c>
      <c r="B58" s="15" t="s">
        <v>1751</v>
      </c>
      <c r="C58" s="7">
        <f t="shared" si="0"/>
        <v>40000</v>
      </c>
      <c r="D58" s="7">
        <f>item!S92</f>
        <v>20000</v>
      </c>
    </row>
    <row r="59" spans="1:5">
      <c r="A59" s="15">
        <v>10123</v>
      </c>
      <c r="B59" s="15" t="s">
        <v>1752</v>
      </c>
      <c r="C59" s="7">
        <f t="shared" si="0"/>
        <v>80000</v>
      </c>
      <c r="D59" s="7">
        <f>item!S93</f>
        <v>40000</v>
      </c>
    </row>
    <row r="60" spans="1:5">
      <c r="A60" s="15">
        <v>10124</v>
      </c>
      <c r="B60" s="15" t="s">
        <v>1753</v>
      </c>
      <c r="C60" s="7">
        <f t="shared" si="0"/>
        <v>160000</v>
      </c>
      <c r="D60" s="7">
        <f>item!S94</f>
        <v>80000</v>
      </c>
    </row>
    <row r="61" spans="1:5">
      <c r="A61" s="15">
        <v>10125</v>
      </c>
      <c r="B61" s="15" t="s">
        <v>1754</v>
      </c>
      <c r="C61" s="7">
        <f t="shared" si="0"/>
        <v>160000</v>
      </c>
      <c r="D61" s="7">
        <f>item!S95</f>
        <v>80000</v>
      </c>
    </row>
    <row r="62" spans="1:5">
      <c r="A62" s="7">
        <v>10126</v>
      </c>
      <c r="B62" s="7" t="s">
        <v>1755</v>
      </c>
      <c r="C62" s="7">
        <f t="shared" si="0"/>
        <v>160000</v>
      </c>
      <c r="D62" s="7">
        <f>item!S96</f>
        <v>80000</v>
      </c>
    </row>
    <row r="63" spans="1:5">
      <c r="A63" s="7">
        <v>10127</v>
      </c>
      <c r="B63" s="7" t="s">
        <v>1756</v>
      </c>
      <c r="C63" s="7">
        <f t="shared" si="0"/>
        <v>160000</v>
      </c>
      <c r="D63" s="7">
        <f>item!S97</f>
        <v>80000</v>
      </c>
    </row>
    <row r="64" spans="1:5">
      <c r="A64" s="7">
        <v>10128</v>
      </c>
      <c r="B64" s="7" t="s">
        <v>1757</v>
      </c>
      <c r="C64" s="7">
        <f t="shared" si="0"/>
        <v>160000</v>
      </c>
      <c r="D64" s="7">
        <f>item!S98</f>
        <v>80000</v>
      </c>
    </row>
    <row r="65" spans="1:4">
      <c r="A65" s="15">
        <v>10129</v>
      </c>
      <c r="B65" s="15" t="s">
        <v>1758</v>
      </c>
      <c r="C65" s="7">
        <f t="shared" si="0"/>
        <v>160000</v>
      </c>
      <c r="D65" s="7">
        <f>item!S99</f>
        <v>80000</v>
      </c>
    </row>
    <row r="66" spans="1:4">
      <c r="A66" s="15">
        <v>10210</v>
      </c>
      <c r="B66" s="15" t="s">
        <v>1769</v>
      </c>
      <c r="C66" s="7">
        <f t="shared" si="0"/>
        <v>10000</v>
      </c>
      <c r="D66" s="7">
        <f>item!S100</f>
        <v>5000</v>
      </c>
    </row>
    <row r="67" spans="1:4">
      <c r="A67" s="15">
        <v>10211</v>
      </c>
      <c r="B67" s="15" t="s">
        <v>1770</v>
      </c>
      <c r="C67" s="7">
        <f t="shared" ref="C67:C130" si="1">D67*2</f>
        <v>20000</v>
      </c>
      <c r="D67" s="7">
        <f>item!S101</f>
        <v>10000</v>
      </c>
    </row>
    <row r="68" spans="1:4">
      <c r="A68" s="15">
        <v>10212</v>
      </c>
      <c r="B68" s="15" t="s">
        <v>1771</v>
      </c>
      <c r="C68" s="7">
        <f t="shared" si="1"/>
        <v>40000</v>
      </c>
      <c r="D68" s="7">
        <f>item!S102</f>
        <v>20000</v>
      </c>
    </row>
    <row r="69" spans="1:4">
      <c r="A69" s="15">
        <v>10213</v>
      </c>
      <c r="B69" s="15" t="s">
        <v>1772</v>
      </c>
      <c r="C69" s="7">
        <f t="shared" si="1"/>
        <v>80000</v>
      </c>
      <c r="D69" s="7">
        <f>item!S103</f>
        <v>40000</v>
      </c>
    </row>
    <row r="70" spans="1:4">
      <c r="A70" s="15">
        <v>10214</v>
      </c>
      <c r="B70" s="15" t="s">
        <v>1773</v>
      </c>
      <c r="C70" s="7">
        <f t="shared" si="1"/>
        <v>160000</v>
      </c>
      <c r="D70" s="7">
        <f>item!S104</f>
        <v>80000</v>
      </c>
    </row>
    <row r="71" spans="1:4">
      <c r="A71" s="15">
        <v>10215</v>
      </c>
      <c r="B71" s="15" t="s">
        <v>1774</v>
      </c>
      <c r="C71" s="7">
        <f t="shared" si="1"/>
        <v>160000</v>
      </c>
      <c r="D71" s="7">
        <f>item!S105</f>
        <v>80000</v>
      </c>
    </row>
    <row r="72" spans="1:4">
      <c r="A72" s="7">
        <v>10216</v>
      </c>
      <c r="B72" s="7" t="s">
        <v>1775</v>
      </c>
      <c r="C72" s="7">
        <f t="shared" si="1"/>
        <v>160000</v>
      </c>
      <c r="D72" s="7">
        <f>item!S106</f>
        <v>80000</v>
      </c>
    </row>
    <row r="73" spans="1:4">
      <c r="A73" s="7">
        <v>10217</v>
      </c>
      <c r="B73" s="7" t="s">
        <v>1776</v>
      </c>
      <c r="C73" s="7">
        <f t="shared" si="1"/>
        <v>160000</v>
      </c>
      <c r="D73" s="7">
        <f>item!S107</f>
        <v>80000</v>
      </c>
    </row>
    <row r="74" spans="1:4">
      <c r="A74" s="7">
        <v>10218</v>
      </c>
      <c r="B74" s="7" t="s">
        <v>1777</v>
      </c>
      <c r="C74" s="7">
        <f t="shared" si="1"/>
        <v>160000</v>
      </c>
      <c r="D74" s="7">
        <f>item!S108</f>
        <v>80000</v>
      </c>
    </row>
    <row r="75" spans="1:4">
      <c r="A75" s="15">
        <v>10219</v>
      </c>
      <c r="B75" s="15" t="s">
        <v>1778</v>
      </c>
      <c r="C75" s="7">
        <f t="shared" si="1"/>
        <v>160000</v>
      </c>
      <c r="D75" s="7">
        <f>item!S109</f>
        <v>80000</v>
      </c>
    </row>
    <row r="76" spans="1:4">
      <c r="A76" s="15">
        <v>10220</v>
      </c>
      <c r="B76" s="15" t="s">
        <v>1779</v>
      </c>
      <c r="C76" s="7">
        <f t="shared" si="1"/>
        <v>10000</v>
      </c>
      <c r="D76" s="7">
        <f>item!S110</f>
        <v>5000</v>
      </c>
    </row>
    <row r="77" spans="1:4">
      <c r="A77" s="15">
        <v>10221</v>
      </c>
      <c r="B77" s="15" t="s">
        <v>1780</v>
      </c>
      <c r="C77" s="7">
        <f t="shared" si="1"/>
        <v>20000</v>
      </c>
      <c r="D77" s="7">
        <f>item!S111</f>
        <v>10000</v>
      </c>
    </row>
    <row r="78" spans="1:4">
      <c r="A78" s="15">
        <v>10222</v>
      </c>
      <c r="B78" s="15" t="s">
        <v>1781</v>
      </c>
      <c r="C78" s="7">
        <f t="shared" si="1"/>
        <v>40000</v>
      </c>
      <c r="D78" s="7">
        <f>item!S112</f>
        <v>20000</v>
      </c>
    </row>
    <row r="79" spans="1:4">
      <c r="A79" s="15">
        <v>10223</v>
      </c>
      <c r="B79" s="15" t="s">
        <v>1782</v>
      </c>
      <c r="C79" s="7">
        <f t="shared" si="1"/>
        <v>80000</v>
      </c>
      <c r="D79" s="7">
        <f>item!S113</f>
        <v>40000</v>
      </c>
    </row>
    <row r="80" spans="1:4">
      <c r="A80" s="15">
        <v>10224</v>
      </c>
      <c r="B80" s="15" t="s">
        <v>1783</v>
      </c>
      <c r="C80" s="7">
        <f t="shared" si="1"/>
        <v>160000</v>
      </c>
      <c r="D80" s="7">
        <f>item!S114</f>
        <v>80000</v>
      </c>
    </row>
    <row r="81" spans="1:4">
      <c r="A81" s="15">
        <v>10225</v>
      </c>
      <c r="B81" s="15" t="s">
        <v>1784</v>
      </c>
      <c r="C81" s="7">
        <f t="shared" si="1"/>
        <v>160000</v>
      </c>
      <c r="D81" s="7">
        <f>item!S115</f>
        <v>80000</v>
      </c>
    </row>
    <row r="82" spans="1:4">
      <c r="A82" s="7">
        <v>10226</v>
      </c>
      <c r="B82" s="7" t="s">
        <v>1785</v>
      </c>
      <c r="C82" s="7">
        <f t="shared" si="1"/>
        <v>160000</v>
      </c>
      <c r="D82" s="7">
        <f>item!S116</f>
        <v>80000</v>
      </c>
    </row>
    <row r="83" spans="1:4">
      <c r="A83" s="7">
        <v>10227</v>
      </c>
      <c r="B83" s="7" t="s">
        <v>1786</v>
      </c>
      <c r="C83" s="7">
        <f t="shared" si="1"/>
        <v>160000</v>
      </c>
      <c r="D83" s="7">
        <f>item!S117</f>
        <v>80000</v>
      </c>
    </row>
    <row r="84" spans="1:4">
      <c r="A84" s="7">
        <v>10228</v>
      </c>
      <c r="B84" s="7" t="s">
        <v>1787</v>
      </c>
      <c r="C84" s="7">
        <f t="shared" si="1"/>
        <v>160000</v>
      </c>
      <c r="D84" s="7">
        <f>item!S118</f>
        <v>80000</v>
      </c>
    </row>
    <row r="85" spans="1:4">
      <c r="A85" s="15">
        <v>10229</v>
      </c>
      <c r="B85" s="15" t="s">
        <v>1788</v>
      </c>
      <c r="C85" s="7">
        <f t="shared" si="1"/>
        <v>160000</v>
      </c>
      <c r="D85" s="7">
        <f>item!S119</f>
        <v>80000</v>
      </c>
    </row>
    <row r="86" spans="1:4">
      <c r="A86" s="15">
        <v>10310</v>
      </c>
      <c r="B86" s="15" t="s">
        <v>1799</v>
      </c>
      <c r="C86" s="7">
        <f t="shared" si="1"/>
        <v>10000</v>
      </c>
      <c r="D86" s="7">
        <f>item!S120</f>
        <v>5000</v>
      </c>
    </row>
    <row r="87" spans="1:4">
      <c r="A87" s="15">
        <v>10311</v>
      </c>
      <c r="B87" s="15" t="s">
        <v>1800</v>
      </c>
      <c r="C87" s="7">
        <f t="shared" si="1"/>
        <v>20000</v>
      </c>
      <c r="D87" s="7">
        <f>item!S121</f>
        <v>10000</v>
      </c>
    </row>
    <row r="88" spans="1:4">
      <c r="A88" s="15">
        <v>10312</v>
      </c>
      <c r="B88" s="15" t="s">
        <v>1801</v>
      </c>
      <c r="C88" s="7">
        <f t="shared" si="1"/>
        <v>40000</v>
      </c>
      <c r="D88" s="7">
        <f>item!S122</f>
        <v>20000</v>
      </c>
    </row>
    <row r="89" spans="1:4">
      <c r="A89" s="15">
        <v>10313</v>
      </c>
      <c r="B89" s="15" t="s">
        <v>1802</v>
      </c>
      <c r="C89" s="7">
        <f t="shared" si="1"/>
        <v>80000</v>
      </c>
      <c r="D89" s="7">
        <f>item!S123</f>
        <v>40000</v>
      </c>
    </row>
    <row r="90" spans="1:4">
      <c r="A90" s="15">
        <v>10314</v>
      </c>
      <c r="B90" s="15" t="s">
        <v>1803</v>
      </c>
      <c r="C90" s="7">
        <f t="shared" si="1"/>
        <v>160000</v>
      </c>
      <c r="D90" s="7">
        <f>item!S124</f>
        <v>80000</v>
      </c>
    </row>
    <row r="91" spans="1:4">
      <c r="A91" s="15">
        <v>10315</v>
      </c>
      <c r="B91" s="15" t="s">
        <v>1804</v>
      </c>
      <c r="C91" s="7">
        <f t="shared" si="1"/>
        <v>160000</v>
      </c>
      <c r="D91" s="7">
        <f>item!S125</f>
        <v>80000</v>
      </c>
    </row>
    <row r="92" spans="1:4">
      <c r="A92" s="7">
        <v>10316</v>
      </c>
      <c r="B92" s="7" t="s">
        <v>1805</v>
      </c>
      <c r="C92" s="7">
        <f t="shared" si="1"/>
        <v>160000</v>
      </c>
      <c r="D92" s="7">
        <f>item!S126</f>
        <v>80000</v>
      </c>
    </row>
    <row r="93" spans="1:4">
      <c r="A93" s="7">
        <v>10317</v>
      </c>
      <c r="B93" s="7" t="s">
        <v>1806</v>
      </c>
      <c r="C93" s="7">
        <f t="shared" si="1"/>
        <v>160000</v>
      </c>
      <c r="D93" s="7">
        <f>item!S127</f>
        <v>80000</v>
      </c>
    </row>
    <row r="94" spans="1:4">
      <c r="A94" s="7">
        <v>10318</v>
      </c>
      <c r="B94" s="7" t="s">
        <v>1807</v>
      </c>
      <c r="C94" s="7">
        <f t="shared" si="1"/>
        <v>160000</v>
      </c>
      <c r="D94" s="7">
        <f>item!S128</f>
        <v>80000</v>
      </c>
    </row>
    <row r="95" spans="1:4">
      <c r="A95" s="15">
        <v>10319</v>
      </c>
      <c r="B95" s="15" t="s">
        <v>1808</v>
      </c>
      <c r="C95" s="7">
        <f t="shared" si="1"/>
        <v>160000</v>
      </c>
      <c r="D95" s="7">
        <f>item!S129</f>
        <v>80000</v>
      </c>
    </row>
    <row r="96" spans="1:4">
      <c r="A96" s="15">
        <v>10320</v>
      </c>
      <c r="B96" s="15" t="s">
        <v>1789</v>
      </c>
      <c r="C96" s="7">
        <f t="shared" si="1"/>
        <v>10000</v>
      </c>
      <c r="D96" s="7">
        <f>item!S130</f>
        <v>5000</v>
      </c>
    </row>
    <row r="97" spans="1:4">
      <c r="A97" s="15">
        <v>10321</v>
      </c>
      <c r="B97" s="15" t="s">
        <v>1790</v>
      </c>
      <c r="C97" s="7">
        <f t="shared" si="1"/>
        <v>20000</v>
      </c>
      <c r="D97" s="7">
        <f>item!S131</f>
        <v>10000</v>
      </c>
    </row>
    <row r="98" spans="1:4">
      <c r="A98" s="15">
        <v>10322</v>
      </c>
      <c r="B98" s="15" t="s">
        <v>1791</v>
      </c>
      <c r="C98" s="7">
        <f t="shared" si="1"/>
        <v>40000</v>
      </c>
      <c r="D98" s="7">
        <f>item!S132</f>
        <v>20000</v>
      </c>
    </row>
    <row r="99" spans="1:4">
      <c r="A99" s="15">
        <v>10323</v>
      </c>
      <c r="B99" s="15" t="s">
        <v>1792</v>
      </c>
      <c r="C99" s="7">
        <f t="shared" si="1"/>
        <v>80000</v>
      </c>
      <c r="D99" s="7">
        <f>item!S133</f>
        <v>40000</v>
      </c>
    </row>
    <row r="100" spans="1:4">
      <c r="A100" s="15">
        <v>10324</v>
      </c>
      <c r="B100" s="15" t="s">
        <v>1793</v>
      </c>
      <c r="C100" s="7">
        <f t="shared" si="1"/>
        <v>160000</v>
      </c>
      <c r="D100" s="7">
        <f>item!S134</f>
        <v>80000</v>
      </c>
    </row>
    <row r="101" spans="1:4">
      <c r="A101" s="15">
        <v>10325</v>
      </c>
      <c r="B101" s="15" t="s">
        <v>1794</v>
      </c>
      <c r="C101" s="7">
        <f t="shared" si="1"/>
        <v>160000</v>
      </c>
      <c r="D101" s="7">
        <f>item!S135</f>
        <v>80000</v>
      </c>
    </row>
    <row r="102" spans="1:4">
      <c r="A102" s="7">
        <v>10326</v>
      </c>
      <c r="B102" s="7" t="s">
        <v>1795</v>
      </c>
      <c r="C102" s="7">
        <f t="shared" si="1"/>
        <v>160000</v>
      </c>
      <c r="D102" s="7">
        <f>item!S136</f>
        <v>80000</v>
      </c>
    </row>
    <row r="103" spans="1:4">
      <c r="A103" s="7">
        <v>10327</v>
      </c>
      <c r="B103" s="7" t="s">
        <v>1796</v>
      </c>
      <c r="C103" s="7">
        <f t="shared" si="1"/>
        <v>160000</v>
      </c>
      <c r="D103" s="7">
        <f>item!S137</f>
        <v>80000</v>
      </c>
    </row>
    <row r="104" spans="1:4">
      <c r="A104" s="7">
        <v>10328</v>
      </c>
      <c r="B104" s="7" t="s">
        <v>1797</v>
      </c>
      <c r="C104" s="7">
        <f t="shared" si="1"/>
        <v>160000</v>
      </c>
      <c r="D104" s="7">
        <f>item!S138</f>
        <v>80000</v>
      </c>
    </row>
    <row r="105" spans="1:4">
      <c r="A105" s="15">
        <v>10329</v>
      </c>
      <c r="B105" s="15" t="s">
        <v>1798</v>
      </c>
      <c r="C105" s="7">
        <f t="shared" si="1"/>
        <v>160000</v>
      </c>
      <c r="D105" s="7">
        <f>item!S139</f>
        <v>80000</v>
      </c>
    </row>
    <row r="106" spans="1:4">
      <c r="A106" s="15">
        <v>10410</v>
      </c>
      <c r="B106" s="15" t="s">
        <v>1809</v>
      </c>
      <c r="C106" s="7">
        <f t="shared" si="1"/>
        <v>10000</v>
      </c>
      <c r="D106" s="7">
        <f>item!S140</f>
        <v>5000</v>
      </c>
    </row>
    <row r="107" spans="1:4">
      <c r="A107" s="15">
        <v>10411</v>
      </c>
      <c r="B107" s="15" t="s">
        <v>1810</v>
      </c>
      <c r="C107" s="7">
        <f t="shared" si="1"/>
        <v>20000</v>
      </c>
      <c r="D107" s="7">
        <f>item!S141</f>
        <v>10000</v>
      </c>
    </row>
    <row r="108" spans="1:4">
      <c r="A108" s="15">
        <v>10412</v>
      </c>
      <c r="B108" s="15" t="s">
        <v>1811</v>
      </c>
      <c r="C108" s="7">
        <f t="shared" si="1"/>
        <v>40000</v>
      </c>
      <c r="D108" s="7">
        <f>item!S142</f>
        <v>20000</v>
      </c>
    </row>
    <row r="109" spans="1:4">
      <c r="A109" s="15">
        <v>10413</v>
      </c>
      <c r="B109" s="15" t="s">
        <v>1812</v>
      </c>
      <c r="C109" s="7">
        <f t="shared" si="1"/>
        <v>80000</v>
      </c>
      <c r="D109" s="7">
        <f>item!S143</f>
        <v>40000</v>
      </c>
    </row>
    <row r="110" spans="1:4">
      <c r="A110" s="15">
        <v>10414</v>
      </c>
      <c r="B110" s="15" t="s">
        <v>1813</v>
      </c>
      <c r="C110" s="7">
        <f t="shared" si="1"/>
        <v>160000</v>
      </c>
      <c r="D110" s="7">
        <f>item!S144</f>
        <v>80000</v>
      </c>
    </row>
    <row r="111" spans="1:4">
      <c r="A111" s="15">
        <v>10415</v>
      </c>
      <c r="B111" s="15" t="s">
        <v>1814</v>
      </c>
      <c r="C111" s="7">
        <f t="shared" si="1"/>
        <v>160000</v>
      </c>
      <c r="D111" s="7">
        <f>item!S145</f>
        <v>80000</v>
      </c>
    </row>
    <row r="112" spans="1:4">
      <c r="A112" s="7">
        <v>10416</v>
      </c>
      <c r="B112" s="7" t="s">
        <v>1815</v>
      </c>
      <c r="C112" s="7">
        <f t="shared" si="1"/>
        <v>160000</v>
      </c>
      <c r="D112" s="7">
        <f>item!S146</f>
        <v>80000</v>
      </c>
    </row>
    <row r="113" spans="1:4">
      <c r="A113" s="7">
        <v>10417</v>
      </c>
      <c r="B113" s="7" t="s">
        <v>1816</v>
      </c>
      <c r="C113" s="7">
        <f t="shared" si="1"/>
        <v>160000</v>
      </c>
      <c r="D113" s="7">
        <f>item!S147</f>
        <v>80000</v>
      </c>
    </row>
    <row r="114" spans="1:4">
      <c r="A114" s="7">
        <v>10418</v>
      </c>
      <c r="B114" s="7" t="s">
        <v>1817</v>
      </c>
      <c r="C114" s="7">
        <f t="shared" si="1"/>
        <v>160000</v>
      </c>
      <c r="D114" s="7">
        <f>item!S148</f>
        <v>80000</v>
      </c>
    </row>
    <row r="115" spans="1:4">
      <c r="A115" s="15">
        <v>10419</v>
      </c>
      <c r="B115" s="15" t="s">
        <v>1818</v>
      </c>
      <c r="C115" s="7">
        <f t="shared" si="1"/>
        <v>160000</v>
      </c>
      <c r="D115" s="7">
        <f>item!S149</f>
        <v>80000</v>
      </c>
    </row>
    <row r="116" spans="1:4">
      <c r="A116" s="15">
        <v>10420</v>
      </c>
      <c r="B116" s="15" t="s">
        <v>1819</v>
      </c>
      <c r="C116" s="7">
        <f t="shared" si="1"/>
        <v>10000</v>
      </c>
      <c r="D116" s="7">
        <f>item!S150</f>
        <v>5000</v>
      </c>
    </row>
    <row r="117" spans="1:4">
      <c r="A117" s="15">
        <v>10421</v>
      </c>
      <c r="B117" s="15" t="s">
        <v>1820</v>
      </c>
      <c r="C117" s="7">
        <f t="shared" si="1"/>
        <v>20000</v>
      </c>
      <c r="D117" s="7">
        <f>item!S151</f>
        <v>10000</v>
      </c>
    </row>
    <row r="118" spans="1:4">
      <c r="A118" s="15">
        <v>10422</v>
      </c>
      <c r="B118" s="15" t="s">
        <v>1821</v>
      </c>
      <c r="C118" s="7">
        <f t="shared" si="1"/>
        <v>40000</v>
      </c>
      <c r="D118" s="7">
        <f>item!S152</f>
        <v>20000</v>
      </c>
    </row>
    <row r="119" spans="1:4">
      <c r="A119" s="15">
        <v>10423</v>
      </c>
      <c r="B119" s="15" t="s">
        <v>1822</v>
      </c>
      <c r="C119" s="7">
        <f t="shared" si="1"/>
        <v>80000</v>
      </c>
      <c r="D119" s="7">
        <f>item!S153</f>
        <v>40000</v>
      </c>
    </row>
    <row r="120" spans="1:4">
      <c r="A120" s="15">
        <v>10424</v>
      </c>
      <c r="B120" s="15" t="s">
        <v>1823</v>
      </c>
      <c r="C120" s="7">
        <f t="shared" si="1"/>
        <v>160000</v>
      </c>
      <c r="D120" s="7">
        <f>item!S154</f>
        <v>80000</v>
      </c>
    </row>
    <row r="121" spans="1:4">
      <c r="A121" s="15">
        <v>10425</v>
      </c>
      <c r="B121" s="15" t="s">
        <v>1824</v>
      </c>
      <c r="C121" s="7">
        <f t="shared" si="1"/>
        <v>160000</v>
      </c>
      <c r="D121" s="7">
        <f>item!S155</f>
        <v>80000</v>
      </c>
    </row>
    <row r="122" spans="1:4">
      <c r="A122" s="7">
        <v>10426</v>
      </c>
      <c r="B122" s="7" t="s">
        <v>1825</v>
      </c>
      <c r="C122" s="7">
        <f t="shared" si="1"/>
        <v>160000</v>
      </c>
      <c r="D122" s="7">
        <f>item!S156</f>
        <v>80000</v>
      </c>
    </row>
    <row r="123" spans="1:4">
      <c r="A123" s="7">
        <v>10427</v>
      </c>
      <c r="B123" s="7" t="s">
        <v>1826</v>
      </c>
      <c r="C123" s="7">
        <f t="shared" si="1"/>
        <v>160000</v>
      </c>
      <c r="D123" s="7">
        <f>item!S157</f>
        <v>80000</v>
      </c>
    </row>
    <row r="124" spans="1:4">
      <c r="A124" s="7">
        <v>10428</v>
      </c>
      <c r="B124" s="7" t="s">
        <v>1827</v>
      </c>
      <c r="C124" s="7">
        <f t="shared" si="1"/>
        <v>160000</v>
      </c>
      <c r="D124" s="7">
        <f>item!S158</f>
        <v>80000</v>
      </c>
    </row>
    <row r="125" spans="1:4">
      <c r="A125" s="15">
        <v>10429</v>
      </c>
      <c r="B125" s="15" t="s">
        <v>1828</v>
      </c>
      <c r="C125" s="7">
        <f t="shared" si="1"/>
        <v>160000</v>
      </c>
      <c r="D125" s="7">
        <f>item!S159</f>
        <v>80000</v>
      </c>
    </row>
    <row r="126" spans="1:4">
      <c r="A126" s="15">
        <v>10510</v>
      </c>
      <c r="B126" s="15" t="s">
        <v>1829</v>
      </c>
      <c r="C126" s="7">
        <f t="shared" si="1"/>
        <v>10000</v>
      </c>
      <c r="D126" s="7">
        <f>item!S160</f>
        <v>5000</v>
      </c>
    </row>
    <row r="127" spans="1:4">
      <c r="A127" s="15">
        <v>10511</v>
      </c>
      <c r="B127" s="15" t="s">
        <v>1830</v>
      </c>
      <c r="C127" s="7">
        <f t="shared" si="1"/>
        <v>20000</v>
      </c>
      <c r="D127" s="7">
        <f>item!S161</f>
        <v>10000</v>
      </c>
    </row>
    <row r="128" spans="1:4">
      <c r="A128" s="15">
        <v>10512</v>
      </c>
      <c r="B128" s="15" t="s">
        <v>1831</v>
      </c>
      <c r="C128" s="7">
        <f t="shared" si="1"/>
        <v>40000</v>
      </c>
      <c r="D128" s="7">
        <f>item!S162</f>
        <v>20000</v>
      </c>
    </row>
    <row r="129" spans="1:4">
      <c r="A129" s="15">
        <v>10513</v>
      </c>
      <c r="B129" s="15" t="s">
        <v>1832</v>
      </c>
      <c r="C129" s="7">
        <f t="shared" si="1"/>
        <v>80000</v>
      </c>
      <c r="D129" s="7">
        <f>item!S163</f>
        <v>40000</v>
      </c>
    </row>
    <row r="130" spans="1:4">
      <c r="A130" s="15">
        <v>10514</v>
      </c>
      <c r="B130" s="15" t="s">
        <v>1833</v>
      </c>
      <c r="C130" s="7">
        <f t="shared" si="1"/>
        <v>160000</v>
      </c>
      <c r="D130" s="7">
        <f>item!S164</f>
        <v>80000</v>
      </c>
    </row>
    <row r="131" spans="1:4">
      <c r="A131" s="15">
        <v>10515</v>
      </c>
      <c r="B131" s="15" t="s">
        <v>1834</v>
      </c>
      <c r="C131" s="7">
        <f t="shared" ref="C131:C194" si="2">D131*2</f>
        <v>160000</v>
      </c>
      <c r="D131" s="7">
        <f>item!S165</f>
        <v>80000</v>
      </c>
    </row>
    <row r="132" spans="1:4">
      <c r="A132" s="7">
        <v>10516</v>
      </c>
      <c r="B132" s="7" t="s">
        <v>1835</v>
      </c>
      <c r="C132" s="7">
        <f t="shared" si="2"/>
        <v>160000</v>
      </c>
      <c r="D132" s="7">
        <f>item!S166</f>
        <v>80000</v>
      </c>
    </row>
    <row r="133" spans="1:4">
      <c r="A133" s="7">
        <v>10517</v>
      </c>
      <c r="B133" s="7" t="s">
        <v>1836</v>
      </c>
      <c r="C133" s="7">
        <f t="shared" si="2"/>
        <v>160000</v>
      </c>
      <c r="D133" s="7">
        <f>item!S167</f>
        <v>80000</v>
      </c>
    </row>
    <row r="134" spans="1:4">
      <c r="A134" s="7">
        <v>10518</v>
      </c>
      <c r="B134" s="7" t="s">
        <v>1837</v>
      </c>
      <c r="C134" s="7">
        <f t="shared" si="2"/>
        <v>160000</v>
      </c>
      <c r="D134" s="7">
        <f>item!S168</f>
        <v>80000</v>
      </c>
    </row>
    <row r="135" spans="1:4">
      <c r="A135" s="15">
        <v>10519</v>
      </c>
      <c r="B135" s="15" t="s">
        <v>1838</v>
      </c>
      <c r="C135" s="7">
        <f t="shared" si="2"/>
        <v>160000</v>
      </c>
      <c r="D135" s="7">
        <f>item!S169</f>
        <v>80000</v>
      </c>
    </row>
    <row r="136" spans="1:4">
      <c r="A136" s="15">
        <v>10520</v>
      </c>
      <c r="B136" s="15" t="s">
        <v>1839</v>
      </c>
      <c r="C136" s="7">
        <f t="shared" si="2"/>
        <v>10000</v>
      </c>
      <c r="D136" s="7">
        <f>item!S170</f>
        <v>5000</v>
      </c>
    </row>
    <row r="137" spans="1:4">
      <c r="A137" s="15">
        <v>10521</v>
      </c>
      <c r="B137" s="15" t="s">
        <v>1840</v>
      </c>
      <c r="C137" s="7">
        <f t="shared" si="2"/>
        <v>20000</v>
      </c>
      <c r="D137" s="7">
        <f>item!S171</f>
        <v>10000</v>
      </c>
    </row>
    <row r="138" spans="1:4">
      <c r="A138" s="15">
        <v>10522</v>
      </c>
      <c r="B138" s="15" t="s">
        <v>1841</v>
      </c>
      <c r="C138" s="7">
        <f t="shared" si="2"/>
        <v>40000</v>
      </c>
      <c r="D138" s="7">
        <f>item!S172</f>
        <v>20000</v>
      </c>
    </row>
    <row r="139" spans="1:4">
      <c r="A139" s="15">
        <v>10523</v>
      </c>
      <c r="B139" s="15" t="s">
        <v>1842</v>
      </c>
      <c r="C139" s="7">
        <f t="shared" si="2"/>
        <v>80000</v>
      </c>
      <c r="D139" s="7">
        <f>item!S173</f>
        <v>40000</v>
      </c>
    </row>
    <row r="140" spans="1:4">
      <c r="A140" s="15">
        <v>10524</v>
      </c>
      <c r="B140" s="15" t="s">
        <v>1843</v>
      </c>
      <c r="C140" s="7">
        <f t="shared" si="2"/>
        <v>160000</v>
      </c>
      <c r="D140" s="7">
        <f>item!S174</f>
        <v>80000</v>
      </c>
    </row>
    <row r="141" spans="1:4">
      <c r="A141" s="15">
        <v>10525</v>
      </c>
      <c r="B141" s="15" t="s">
        <v>1844</v>
      </c>
      <c r="C141" s="7">
        <f t="shared" si="2"/>
        <v>160000</v>
      </c>
      <c r="D141" s="7">
        <f>item!S175</f>
        <v>80000</v>
      </c>
    </row>
    <row r="142" spans="1:4">
      <c r="A142" s="15">
        <v>10526</v>
      </c>
      <c r="B142" s="15" t="s">
        <v>1845</v>
      </c>
      <c r="C142" s="7">
        <f t="shared" si="2"/>
        <v>160000</v>
      </c>
      <c r="D142" s="7">
        <f>item!S176</f>
        <v>80000</v>
      </c>
    </row>
    <row r="143" spans="1:4">
      <c r="A143" s="15">
        <v>10527</v>
      </c>
      <c r="B143" s="15" t="s">
        <v>1846</v>
      </c>
      <c r="C143" s="7">
        <f t="shared" si="2"/>
        <v>160000</v>
      </c>
      <c r="D143" s="7">
        <f>item!S177</f>
        <v>80000</v>
      </c>
    </row>
    <row r="144" spans="1:4">
      <c r="A144" s="15">
        <v>10528</v>
      </c>
      <c r="B144" s="15" t="s">
        <v>1847</v>
      </c>
      <c r="C144" s="7">
        <f t="shared" si="2"/>
        <v>160000</v>
      </c>
      <c r="D144" s="7">
        <f>item!S178</f>
        <v>80000</v>
      </c>
    </row>
    <row r="145" spans="1:4">
      <c r="A145" s="15">
        <v>10529</v>
      </c>
      <c r="B145" s="15" t="s">
        <v>1848</v>
      </c>
      <c r="C145" s="7">
        <f t="shared" si="2"/>
        <v>160000</v>
      </c>
      <c r="D145" s="7">
        <f>item!S179</f>
        <v>80000</v>
      </c>
    </row>
    <row r="146" spans="1:4">
      <c r="A146" s="15">
        <v>10900</v>
      </c>
      <c r="B146" s="15" t="s">
        <v>644</v>
      </c>
      <c r="C146" s="7">
        <f t="shared" si="2"/>
        <v>10000</v>
      </c>
      <c r="D146" s="7">
        <f>item!S180</f>
        <v>5000</v>
      </c>
    </row>
    <row r="147" spans="1:4">
      <c r="A147" s="15">
        <v>10901</v>
      </c>
      <c r="B147" s="15" t="s">
        <v>210</v>
      </c>
      <c r="C147" s="7">
        <f t="shared" si="2"/>
        <v>20000</v>
      </c>
      <c r="D147" s="7">
        <f>item!S181</f>
        <v>10000</v>
      </c>
    </row>
    <row r="148" spans="1:4">
      <c r="A148" s="15">
        <v>10902</v>
      </c>
      <c r="B148" s="15" t="s">
        <v>211</v>
      </c>
      <c r="C148" s="7">
        <f t="shared" si="2"/>
        <v>40000</v>
      </c>
      <c r="D148" s="7">
        <f>item!S182</f>
        <v>20000</v>
      </c>
    </row>
    <row r="149" spans="1:4">
      <c r="A149" s="15">
        <v>10903</v>
      </c>
      <c r="B149" s="15" t="s">
        <v>212</v>
      </c>
      <c r="C149" s="7">
        <f t="shared" si="2"/>
        <v>80000</v>
      </c>
      <c r="D149" s="7">
        <f>item!S183</f>
        <v>40000</v>
      </c>
    </row>
    <row r="150" spans="1:4">
      <c r="A150" s="15">
        <v>10904</v>
      </c>
      <c r="B150" s="15" t="s">
        <v>213</v>
      </c>
      <c r="C150" s="7">
        <f t="shared" si="2"/>
        <v>160000</v>
      </c>
      <c r="D150" s="7">
        <f>item!S184</f>
        <v>80000</v>
      </c>
    </row>
    <row r="151" spans="1:4">
      <c r="A151" s="15">
        <v>10905</v>
      </c>
      <c r="B151" s="15" t="s">
        <v>214</v>
      </c>
      <c r="C151" s="7">
        <f t="shared" si="2"/>
        <v>160000</v>
      </c>
      <c r="D151" s="7">
        <f>item!S185</f>
        <v>80000</v>
      </c>
    </row>
    <row r="152" spans="1:4">
      <c r="A152" s="15">
        <v>10906</v>
      </c>
      <c r="B152" s="15" t="s">
        <v>215</v>
      </c>
      <c r="C152" s="7">
        <f t="shared" si="2"/>
        <v>160000</v>
      </c>
      <c r="D152" s="7">
        <f>item!S186</f>
        <v>80000</v>
      </c>
    </row>
    <row r="153" spans="1:4">
      <c r="A153" s="15">
        <v>10907</v>
      </c>
      <c r="B153" s="15" t="s">
        <v>216</v>
      </c>
      <c r="C153" s="7">
        <f t="shared" si="2"/>
        <v>160000</v>
      </c>
      <c r="D153" s="7">
        <f>item!S187</f>
        <v>80000</v>
      </c>
    </row>
    <row r="154" spans="1:4">
      <c r="A154" s="15">
        <v>10908</v>
      </c>
      <c r="B154" s="15" t="s">
        <v>217</v>
      </c>
      <c r="C154" s="7">
        <f t="shared" si="2"/>
        <v>160000</v>
      </c>
      <c r="D154" s="7">
        <f>item!S188</f>
        <v>80000</v>
      </c>
    </row>
    <row r="155" spans="1:4">
      <c r="A155" s="15">
        <v>10909</v>
      </c>
      <c r="B155" s="15" t="s">
        <v>218</v>
      </c>
      <c r="C155" s="7">
        <f t="shared" si="2"/>
        <v>160000</v>
      </c>
      <c r="D155" s="7">
        <f>item!S189</f>
        <v>80000</v>
      </c>
    </row>
    <row r="156" spans="1:4">
      <c r="A156" s="15">
        <v>10910</v>
      </c>
      <c r="B156" s="15" t="s">
        <v>655</v>
      </c>
      <c r="C156" s="7">
        <f t="shared" si="2"/>
        <v>10000</v>
      </c>
      <c r="D156" s="7">
        <f>item!S190</f>
        <v>5000</v>
      </c>
    </row>
    <row r="157" spans="1:4">
      <c r="A157" s="15">
        <v>10911</v>
      </c>
      <c r="B157" s="15" t="s">
        <v>220</v>
      </c>
      <c r="C157" s="7">
        <f t="shared" si="2"/>
        <v>20000</v>
      </c>
      <c r="D157" s="7">
        <f>item!S191</f>
        <v>10000</v>
      </c>
    </row>
    <row r="158" spans="1:4">
      <c r="A158" s="15">
        <v>10912</v>
      </c>
      <c r="B158" s="15" t="s">
        <v>221</v>
      </c>
      <c r="C158" s="7">
        <f t="shared" si="2"/>
        <v>40000</v>
      </c>
      <c r="D158" s="7">
        <f>item!S192</f>
        <v>20000</v>
      </c>
    </row>
    <row r="159" spans="1:4">
      <c r="A159" s="15">
        <v>10913</v>
      </c>
      <c r="B159" s="15" t="s">
        <v>222</v>
      </c>
      <c r="C159" s="7">
        <f t="shared" si="2"/>
        <v>80000</v>
      </c>
      <c r="D159" s="7">
        <f>item!S193</f>
        <v>40000</v>
      </c>
    </row>
    <row r="160" spans="1:4">
      <c r="A160" s="15">
        <v>10914</v>
      </c>
      <c r="B160" s="15" t="s">
        <v>223</v>
      </c>
      <c r="C160" s="7">
        <f t="shared" si="2"/>
        <v>160000</v>
      </c>
      <c r="D160" s="7">
        <f>item!S194</f>
        <v>80000</v>
      </c>
    </row>
    <row r="161" spans="1:4">
      <c r="A161" s="15">
        <v>10915</v>
      </c>
      <c r="B161" s="15" t="s">
        <v>224</v>
      </c>
      <c r="C161" s="7">
        <f t="shared" si="2"/>
        <v>160000</v>
      </c>
      <c r="D161" s="7">
        <f>item!S195</f>
        <v>80000</v>
      </c>
    </row>
    <row r="162" spans="1:4">
      <c r="A162" s="15">
        <v>10916</v>
      </c>
      <c r="B162" s="15" t="s">
        <v>225</v>
      </c>
      <c r="C162" s="7">
        <f t="shared" si="2"/>
        <v>160000</v>
      </c>
      <c r="D162" s="7">
        <f>item!S196</f>
        <v>80000</v>
      </c>
    </row>
    <row r="163" spans="1:4">
      <c r="A163" s="15">
        <v>10917</v>
      </c>
      <c r="B163" s="15" t="s">
        <v>226</v>
      </c>
      <c r="C163" s="7">
        <f t="shared" si="2"/>
        <v>160000</v>
      </c>
      <c r="D163" s="7">
        <f>item!S197</f>
        <v>80000</v>
      </c>
    </row>
    <row r="164" spans="1:4">
      <c r="A164" s="15">
        <v>10918</v>
      </c>
      <c r="B164" s="15" t="s">
        <v>227</v>
      </c>
      <c r="C164" s="7">
        <f t="shared" si="2"/>
        <v>160000</v>
      </c>
      <c r="D164" s="7">
        <f>item!S198</f>
        <v>80000</v>
      </c>
    </row>
    <row r="165" spans="1:4">
      <c r="A165" s="15">
        <v>10919</v>
      </c>
      <c r="B165" s="15" t="s">
        <v>228</v>
      </c>
      <c r="C165" s="7">
        <f t="shared" si="2"/>
        <v>160000</v>
      </c>
      <c r="D165" s="7">
        <f>item!S199</f>
        <v>80000</v>
      </c>
    </row>
    <row r="166" spans="1:4">
      <c r="A166" s="15">
        <v>10920</v>
      </c>
      <c r="B166" s="15" t="s">
        <v>656</v>
      </c>
      <c r="C166" s="7">
        <f t="shared" si="2"/>
        <v>10000</v>
      </c>
      <c r="D166" s="7">
        <f>item!S200</f>
        <v>5000</v>
      </c>
    </row>
    <row r="167" spans="1:4">
      <c r="A167" s="15">
        <v>10921</v>
      </c>
      <c r="B167" s="15" t="s">
        <v>230</v>
      </c>
      <c r="C167" s="7">
        <f t="shared" si="2"/>
        <v>20000</v>
      </c>
      <c r="D167" s="7">
        <f>item!S201</f>
        <v>10000</v>
      </c>
    </row>
    <row r="168" spans="1:4">
      <c r="A168" s="15">
        <v>10922</v>
      </c>
      <c r="B168" s="15" t="s">
        <v>231</v>
      </c>
      <c r="C168" s="7">
        <f t="shared" si="2"/>
        <v>40000</v>
      </c>
      <c r="D168" s="7">
        <f>item!S202</f>
        <v>20000</v>
      </c>
    </row>
    <row r="169" spans="1:4">
      <c r="A169" s="15">
        <v>10923</v>
      </c>
      <c r="B169" s="15" t="s">
        <v>232</v>
      </c>
      <c r="C169" s="7">
        <f t="shared" si="2"/>
        <v>80000</v>
      </c>
      <c r="D169" s="7">
        <f>item!S203</f>
        <v>40000</v>
      </c>
    </row>
    <row r="170" spans="1:4">
      <c r="A170" s="15">
        <v>10924</v>
      </c>
      <c r="B170" s="15" t="s">
        <v>233</v>
      </c>
      <c r="C170" s="7">
        <f t="shared" si="2"/>
        <v>160000</v>
      </c>
      <c r="D170" s="7">
        <f>item!S204</f>
        <v>80000</v>
      </c>
    </row>
    <row r="171" spans="1:4">
      <c r="A171" s="15">
        <v>10925</v>
      </c>
      <c r="B171" s="15" t="s">
        <v>234</v>
      </c>
      <c r="C171" s="7">
        <f t="shared" si="2"/>
        <v>160000</v>
      </c>
      <c r="D171" s="7">
        <f>item!S205</f>
        <v>80000</v>
      </c>
    </row>
    <row r="172" spans="1:4">
      <c r="A172" s="17">
        <v>10926</v>
      </c>
      <c r="B172" s="17" t="s">
        <v>235</v>
      </c>
      <c r="C172" s="7">
        <f t="shared" si="2"/>
        <v>160000</v>
      </c>
      <c r="D172" s="7">
        <f>item!S206</f>
        <v>80000</v>
      </c>
    </row>
    <row r="173" spans="1:4">
      <c r="A173" s="15">
        <v>10927</v>
      </c>
      <c r="B173" s="15" t="s">
        <v>236</v>
      </c>
      <c r="C173" s="7">
        <f t="shared" si="2"/>
        <v>160000</v>
      </c>
      <c r="D173" s="7">
        <f>item!S207</f>
        <v>80000</v>
      </c>
    </row>
    <row r="174" spans="1:4">
      <c r="A174" s="15">
        <v>10928</v>
      </c>
      <c r="B174" s="15" t="s">
        <v>237</v>
      </c>
      <c r="C174" s="7">
        <f t="shared" si="2"/>
        <v>160000</v>
      </c>
      <c r="D174" s="7">
        <f>item!S208</f>
        <v>80000</v>
      </c>
    </row>
    <row r="175" spans="1:4">
      <c r="A175" s="15">
        <v>10929</v>
      </c>
      <c r="B175" s="15" t="s">
        <v>238</v>
      </c>
      <c r="C175" s="7">
        <f t="shared" si="2"/>
        <v>160000</v>
      </c>
      <c r="D175" s="7">
        <f>item!S209</f>
        <v>80000</v>
      </c>
    </row>
    <row r="176" spans="1:4">
      <c r="A176" s="15">
        <v>11120</v>
      </c>
      <c r="B176" s="15" t="s">
        <v>1044</v>
      </c>
      <c r="C176" s="7">
        <f t="shared" si="2"/>
        <v>2</v>
      </c>
      <c r="D176" s="7">
        <f>item!S210</f>
        <v>1</v>
      </c>
    </row>
    <row r="177" spans="1:4">
      <c r="A177" s="15">
        <v>20001</v>
      </c>
      <c r="B177" s="15" t="s">
        <v>657</v>
      </c>
      <c r="C177" s="7">
        <f t="shared" si="2"/>
        <v>2</v>
      </c>
      <c r="D177" s="7">
        <f>item!S211</f>
        <v>1</v>
      </c>
    </row>
    <row r="178" spans="1:4">
      <c r="A178" s="7">
        <v>20002</v>
      </c>
      <c r="B178" s="24" t="s">
        <v>661</v>
      </c>
      <c r="C178" s="7">
        <f t="shared" si="2"/>
        <v>2</v>
      </c>
      <c r="D178" s="7">
        <f>item!S212</f>
        <v>1</v>
      </c>
    </row>
    <row r="179" spans="1:4" s="7" customFormat="1">
      <c r="A179" s="7">
        <v>20003</v>
      </c>
      <c r="B179" s="25" t="s">
        <v>664</v>
      </c>
      <c r="C179" s="7">
        <f t="shared" si="2"/>
        <v>2</v>
      </c>
      <c r="D179" s="7">
        <f>item!S213</f>
        <v>1</v>
      </c>
    </row>
    <row r="180" spans="1:4" s="7" customFormat="1">
      <c r="A180" s="7">
        <v>20004</v>
      </c>
      <c r="B180" s="25" t="s">
        <v>667</v>
      </c>
      <c r="C180" s="7">
        <f t="shared" si="2"/>
        <v>2</v>
      </c>
      <c r="D180" s="7">
        <f>item!S214</f>
        <v>1</v>
      </c>
    </row>
    <row r="181" spans="1:4" s="7" customFormat="1">
      <c r="A181" s="7">
        <v>20005</v>
      </c>
      <c r="B181" s="25" t="s">
        <v>670</v>
      </c>
      <c r="C181" s="7">
        <f t="shared" si="2"/>
        <v>2</v>
      </c>
      <c r="D181" s="7">
        <f>item!S215</f>
        <v>1</v>
      </c>
    </row>
    <row r="182" spans="1:4" s="7" customFormat="1">
      <c r="A182" s="7">
        <v>21001</v>
      </c>
      <c r="B182" s="25" t="s">
        <v>2083</v>
      </c>
      <c r="C182" s="7">
        <f t="shared" si="2"/>
        <v>1000</v>
      </c>
      <c r="D182" s="7">
        <f>item!S216</f>
        <v>500</v>
      </c>
    </row>
    <row r="183" spans="1:4" s="7" customFormat="1">
      <c r="A183" s="7">
        <v>21002</v>
      </c>
      <c r="B183" s="25" t="s">
        <v>1575</v>
      </c>
      <c r="C183" s="7">
        <f t="shared" si="2"/>
        <v>1000</v>
      </c>
      <c r="D183" s="7">
        <f>item!S217</f>
        <v>500</v>
      </c>
    </row>
    <row r="184" spans="1:4">
      <c r="A184" s="15">
        <v>21003</v>
      </c>
      <c r="B184" s="15" t="s">
        <v>1576</v>
      </c>
      <c r="C184" s="7">
        <f t="shared" si="2"/>
        <v>1000</v>
      </c>
      <c r="D184" s="7">
        <f>item!S218</f>
        <v>500</v>
      </c>
    </row>
    <row r="185" spans="1:4">
      <c r="A185" s="15">
        <v>21011</v>
      </c>
      <c r="B185" s="15" t="s">
        <v>1577</v>
      </c>
      <c r="C185" s="7">
        <f t="shared" si="2"/>
        <v>2</v>
      </c>
      <c r="D185" s="7">
        <f>item!S219</f>
        <v>1</v>
      </c>
    </row>
    <row r="186" spans="1:4">
      <c r="A186" s="7">
        <v>21012</v>
      </c>
      <c r="B186" s="7" t="s">
        <v>1578</v>
      </c>
      <c r="C186" s="7">
        <f t="shared" si="2"/>
        <v>2</v>
      </c>
      <c r="D186" s="7">
        <f>item!S220</f>
        <v>1</v>
      </c>
    </row>
    <row r="187" spans="1:4">
      <c r="A187" s="7">
        <v>21013</v>
      </c>
      <c r="B187" s="7" t="s">
        <v>1579</v>
      </c>
      <c r="C187" s="7">
        <f t="shared" si="2"/>
        <v>2</v>
      </c>
      <c r="D187" s="7">
        <f>item!S221</f>
        <v>1</v>
      </c>
    </row>
    <row r="188" spans="1:4">
      <c r="A188" s="7">
        <v>21091</v>
      </c>
      <c r="B188" s="7" t="s">
        <v>674</v>
      </c>
      <c r="C188" s="7">
        <f t="shared" si="2"/>
        <v>2</v>
      </c>
      <c r="D188" s="7">
        <f>item!S222</f>
        <v>1</v>
      </c>
    </row>
    <row r="189" spans="1:4">
      <c r="A189" s="7">
        <v>21092</v>
      </c>
      <c r="B189" s="7" t="s">
        <v>676</v>
      </c>
      <c r="C189" s="7">
        <f t="shared" si="2"/>
        <v>2</v>
      </c>
      <c r="D189" s="7">
        <f>item!S223</f>
        <v>1</v>
      </c>
    </row>
    <row r="190" spans="1:4">
      <c r="A190" s="7">
        <v>31031</v>
      </c>
      <c r="B190" s="7" t="s">
        <v>2084</v>
      </c>
      <c r="C190" s="7">
        <f t="shared" si="2"/>
        <v>50</v>
      </c>
      <c r="D190" s="7">
        <f>item!S224</f>
        <v>25</v>
      </c>
    </row>
    <row r="191" spans="1:4">
      <c r="A191" s="7">
        <v>31032</v>
      </c>
      <c r="B191" s="7" t="s">
        <v>2085</v>
      </c>
      <c r="C191" s="7">
        <f t="shared" si="2"/>
        <v>2000</v>
      </c>
      <c r="D191" s="7">
        <f>item!S225</f>
        <v>1000</v>
      </c>
    </row>
    <row r="192" spans="1:4">
      <c r="A192" s="7">
        <v>31033</v>
      </c>
      <c r="B192" s="7" t="s">
        <v>2086</v>
      </c>
      <c r="C192" s="7">
        <f t="shared" si="2"/>
        <v>5000</v>
      </c>
      <c r="D192" s="7">
        <f>item!S226</f>
        <v>2500</v>
      </c>
    </row>
    <row r="193" spans="1:4">
      <c r="A193" s="7">
        <v>31034</v>
      </c>
      <c r="B193" s="7" t="s">
        <v>2087</v>
      </c>
      <c r="C193" s="7">
        <f t="shared" si="2"/>
        <v>8000</v>
      </c>
      <c r="D193" s="7">
        <f>item!S227</f>
        <v>4000</v>
      </c>
    </row>
    <row r="194" spans="1:4">
      <c r="A194" s="7">
        <v>31035</v>
      </c>
      <c r="B194" s="7" t="s">
        <v>2088</v>
      </c>
      <c r="C194" s="7">
        <f t="shared" si="2"/>
        <v>8000</v>
      </c>
      <c r="D194" s="7">
        <f>item!S228</f>
        <v>4000</v>
      </c>
    </row>
    <row r="195" spans="1:4">
      <c r="A195" s="7">
        <v>31036</v>
      </c>
      <c r="B195" s="7" t="s">
        <v>2089</v>
      </c>
      <c r="C195" s="7">
        <f t="shared" ref="C195:C258" si="3">D195*2</f>
        <v>20000</v>
      </c>
      <c r="D195" s="7">
        <f>item!S229</f>
        <v>10000</v>
      </c>
    </row>
    <row r="196" spans="1:4">
      <c r="A196" s="7">
        <v>31037</v>
      </c>
      <c r="B196" s="7" t="s">
        <v>2090</v>
      </c>
      <c r="C196" s="7">
        <f t="shared" si="3"/>
        <v>20000</v>
      </c>
      <c r="D196" s="7">
        <f>item!S230</f>
        <v>10000</v>
      </c>
    </row>
    <row r="197" spans="1:4">
      <c r="A197" s="7">
        <v>31038</v>
      </c>
      <c r="B197" s="7" t="s">
        <v>2091</v>
      </c>
      <c r="C197" s="7">
        <f t="shared" si="3"/>
        <v>20000</v>
      </c>
      <c r="D197" s="7">
        <f>item!S231</f>
        <v>10000</v>
      </c>
    </row>
    <row r="198" spans="1:4">
      <c r="A198" s="7">
        <v>32531</v>
      </c>
      <c r="B198" s="7" t="s">
        <v>2092</v>
      </c>
      <c r="C198" s="7">
        <f t="shared" si="3"/>
        <v>50</v>
      </c>
      <c r="D198" s="7">
        <f>item!S232</f>
        <v>25</v>
      </c>
    </row>
    <row r="199" spans="1:4">
      <c r="A199" s="7">
        <v>32532</v>
      </c>
      <c r="B199" s="7" t="s">
        <v>2093</v>
      </c>
      <c r="C199" s="7">
        <f t="shared" si="3"/>
        <v>500</v>
      </c>
      <c r="D199" s="7">
        <f>item!S233</f>
        <v>250</v>
      </c>
    </row>
    <row r="200" spans="1:4">
      <c r="A200" s="7">
        <v>32541</v>
      </c>
      <c r="B200" s="7" t="s">
        <v>2094</v>
      </c>
      <c r="C200" s="7">
        <f t="shared" si="3"/>
        <v>1000</v>
      </c>
      <c r="D200" s="7">
        <f>item!S234</f>
        <v>500</v>
      </c>
    </row>
    <row r="201" spans="1:4">
      <c r="A201" s="7">
        <v>32544</v>
      </c>
      <c r="B201" s="7" t="s">
        <v>2095</v>
      </c>
      <c r="C201" s="7">
        <f t="shared" si="3"/>
        <v>1000</v>
      </c>
      <c r="D201" s="7">
        <f>item!S235</f>
        <v>500</v>
      </c>
    </row>
    <row r="202" spans="1:4">
      <c r="A202" s="7">
        <v>32533</v>
      </c>
      <c r="B202" s="7" t="s">
        <v>2096</v>
      </c>
      <c r="C202" s="7">
        <f t="shared" si="3"/>
        <v>1000</v>
      </c>
      <c r="D202" s="7">
        <f>item!S236</f>
        <v>500</v>
      </c>
    </row>
    <row r="203" spans="1:4">
      <c r="A203" s="7">
        <v>32538</v>
      </c>
      <c r="B203" s="7" t="s">
        <v>2097</v>
      </c>
      <c r="C203" s="7">
        <f t="shared" si="3"/>
        <v>2000</v>
      </c>
      <c r="D203" s="7">
        <f>item!S237</f>
        <v>1000</v>
      </c>
    </row>
    <row r="204" spans="1:4">
      <c r="A204" s="7">
        <v>32545</v>
      </c>
      <c r="B204" s="7" t="s">
        <v>2098</v>
      </c>
      <c r="C204" s="7">
        <f t="shared" si="3"/>
        <v>3000</v>
      </c>
      <c r="D204" s="7">
        <f>item!S238</f>
        <v>1500</v>
      </c>
    </row>
    <row r="205" spans="1:4">
      <c r="A205" s="7">
        <v>32534</v>
      </c>
      <c r="B205" s="7" t="s">
        <v>2099</v>
      </c>
      <c r="C205" s="7">
        <f t="shared" si="3"/>
        <v>3000</v>
      </c>
      <c r="D205" s="7">
        <f>item!S239</f>
        <v>1500</v>
      </c>
    </row>
    <row r="206" spans="1:4">
      <c r="A206" s="7">
        <v>32536</v>
      </c>
      <c r="B206" s="7" t="s">
        <v>2100</v>
      </c>
      <c r="C206" s="7">
        <f t="shared" si="3"/>
        <v>10000</v>
      </c>
      <c r="D206" s="7">
        <f>item!S240</f>
        <v>5000</v>
      </c>
    </row>
    <row r="207" spans="1:4">
      <c r="A207" s="7">
        <v>32546</v>
      </c>
      <c r="B207" s="7" t="s">
        <v>2101</v>
      </c>
      <c r="C207" s="7">
        <f t="shared" si="3"/>
        <v>8000</v>
      </c>
      <c r="D207" s="7">
        <f>item!S241</f>
        <v>4000</v>
      </c>
    </row>
    <row r="208" spans="1:4">
      <c r="A208" s="7">
        <v>32535</v>
      </c>
      <c r="B208" s="7" t="s">
        <v>2102</v>
      </c>
      <c r="C208" s="7">
        <f t="shared" si="3"/>
        <v>10000</v>
      </c>
      <c r="D208" s="7">
        <f>item!S242</f>
        <v>5000</v>
      </c>
    </row>
    <row r="209" spans="1:4">
      <c r="A209" s="7">
        <v>32547</v>
      </c>
      <c r="B209" s="7" t="s">
        <v>2103</v>
      </c>
      <c r="C209" s="7">
        <f t="shared" si="3"/>
        <v>10000</v>
      </c>
      <c r="D209" s="7">
        <f>item!S243</f>
        <v>5000</v>
      </c>
    </row>
    <row r="210" spans="1:4">
      <c r="A210" s="7">
        <v>32537</v>
      </c>
      <c r="B210" s="7" t="s">
        <v>2104</v>
      </c>
      <c r="C210" s="7">
        <f t="shared" si="3"/>
        <v>20000</v>
      </c>
      <c r="D210" s="7">
        <f>item!S244</f>
        <v>10000</v>
      </c>
    </row>
    <row r="211" spans="1:4">
      <c r="A211" s="7">
        <v>32550</v>
      </c>
      <c r="B211" s="7" t="s">
        <v>2105</v>
      </c>
      <c r="C211" s="7">
        <f t="shared" si="3"/>
        <v>20000</v>
      </c>
      <c r="D211" s="7">
        <f>item!S245</f>
        <v>10000</v>
      </c>
    </row>
    <row r="212" spans="1:4">
      <c r="A212" s="7">
        <v>32549</v>
      </c>
      <c r="B212" s="7" t="s">
        <v>2106</v>
      </c>
      <c r="C212" s="7">
        <f t="shared" si="3"/>
        <v>2000</v>
      </c>
      <c r="D212" s="7">
        <f>item!S246</f>
        <v>1000</v>
      </c>
    </row>
    <row r="213" spans="1:4">
      <c r="A213" s="7">
        <v>32539</v>
      </c>
      <c r="B213" s="7" t="s">
        <v>2107</v>
      </c>
      <c r="C213" s="7">
        <f t="shared" si="3"/>
        <v>20000</v>
      </c>
      <c r="D213" s="7">
        <f>item!S247</f>
        <v>10000</v>
      </c>
    </row>
    <row r="214" spans="1:4">
      <c r="A214" s="7">
        <v>32540</v>
      </c>
      <c r="B214" s="7" t="s">
        <v>2108</v>
      </c>
      <c r="C214" s="7">
        <f t="shared" si="3"/>
        <v>20000</v>
      </c>
      <c r="D214" s="7">
        <f>item!S248</f>
        <v>10000</v>
      </c>
    </row>
    <row r="215" spans="1:4">
      <c r="A215" s="7">
        <v>33002</v>
      </c>
      <c r="B215" s="7" t="s">
        <v>2109</v>
      </c>
      <c r="C215" s="7">
        <f t="shared" si="3"/>
        <v>50</v>
      </c>
      <c r="D215" s="7">
        <f>item!S249</f>
        <v>25</v>
      </c>
    </row>
    <row r="216" spans="1:4">
      <c r="A216" s="7">
        <v>33001</v>
      </c>
      <c r="B216" s="7" t="s">
        <v>2110</v>
      </c>
      <c r="C216" s="7">
        <f t="shared" si="3"/>
        <v>500</v>
      </c>
      <c r="D216" s="7">
        <f>item!S250</f>
        <v>250</v>
      </c>
    </row>
    <row r="217" spans="1:4">
      <c r="A217" s="7">
        <v>33004</v>
      </c>
      <c r="B217" s="7" t="s">
        <v>2111</v>
      </c>
      <c r="C217" s="7">
        <f t="shared" si="3"/>
        <v>1000</v>
      </c>
      <c r="D217" s="7">
        <f>item!S251</f>
        <v>500</v>
      </c>
    </row>
    <row r="218" spans="1:4">
      <c r="A218" s="7">
        <v>33005</v>
      </c>
      <c r="B218" s="7" t="s">
        <v>2112</v>
      </c>
      <c r="C218" s="7">
        <f t="shared" si="3"/>
        <v>1000</v>
      </c>
      <c r="D218" s="7">
        <f>item!S252</f>
        <v>500</v>
      </c>
    </row>
    <row r="219" spans="1:4">
      <c r="A219" s="7">
        <v>33003</v>
      </c>
      <c r="B219" s="7" t="s">
        <v>2113</v>
      </c>
      <c r="C219" s="7">
        <f t="shared" si="3"/>
        <v>2000</v>
      </c>
      <c r="D219" s="7">
        <f>item!S253</f>
        <v>1000</v>
      </c>
    </row>
    <row r="220" spans="1:4">
      <c r="A220" s="7">
        <v>33009</v>
      </c>
      <c r="B220" s="7" t="s">
        <v>2114</v>
      </c>
      <c r="C220" s="7">
        <f t="shared" si="3"/>
        <v>2000</v>
      </c>
      <c r="D220" s="7">
        <f>item!S254</f>
        <v>1000</v>
      </c>
    </row>
    <row r="221" spans="1:4">
      <c r="A221" s="7">
        <v>33014</v>
      </c>
      <c r="B221" s="7" t="s">
        <v>2115</v>
      </c>
      <c r="C221" s="7">
        <f t="shared" si="3"/>
        <v>3000</v>
      </c>
      <c r="D221" s="7">
        <f>item!S255</f>
        <v>1500</v>
      </c>
    </row>
    <row r="222" spans="1:4">
      <c r="A222" s="7">
        <v>33006</v>
      </c>
      <c r="B222" s="7" t="s">
        <v>2116</v>
      </c>
      <c r="C222" s="7">
        <f t="shared" si="3"/>
        <v>5000</v>
      </c>
      <c r="D222" s="7">
        <f>item!S256</f>
        <v>2500</v>
      </c>
    </row>
    <row r="223" spans="1:4">
      <c r="A223" s="7">
        <v>33007</v>
      </c>
      <c r="B223" s="7" t="s">
        <v>2117</v>
      </c>
      <c r="C223" s="7">
        <f t="shared" si="3"/>
        <v>10000</v>
      </c>
      <c r="D223" s="7">
        <f>item!S257</f>
        <v>5000</v>
      </c>
    </row>
    <row r="224" spans="1:4">
      <c r="A224" s="7">
        <v>33011</v>
      </c>
      <c r="B224" s="7" t="s">
        <v>2118</v>
      </c>
      <c r="C224" s="7">
        <f t="shared" si="3"/>
        <v>8000</v>
      </c>
      <c r="D224" s="7">
        <f>item!S258</f>
        <v>4000</v>
      </c>
    </row>
    <row r="225" spans="1:4">
      <c r="A225" s="7">
        <v>33018</v>
      </c>
      <c r="B225" s="7" t="s">
        <v>2119</v>
      </c>
      <c r="C225" s="7">
        <f t="shared" si="3"/>
        <v>20000</v>
      </c>
      <c r="D225" s="7">
        <f>item!S259</f>
        <v>10000</v>
      </c>
    </row>
    <row r="226" spans="1:4">
      <c r="A226" s="7">
        <v>33012</v>
      </c>
      <c r="B226" s="7" t="s">
        <v>2120</v>
      </c>
      <c r="C226" s="7">
        <f t="shared" si="3"/>
        <v>10000</v>
      </c>
      <c r="D226" s="7">
        <f>item!S260</f>
        <v>5000</v>
      </c>
    </row>
    <row r="227" spans="1:4">
      <c r="A227" s="7">
        <v>33008</v>
      </c>
      <c r="B227" s="7" t="s">
        <v>2121</v>
      </c>
      <c r="C227" s="7">
        <f t="shared" si="3"/>
        <v>20000</v>
      </c>
      <c r="D227" s="7">
        <f>item!S261</f>
        <v>10000</v>
      </c>
    </row>
    <row r="228" spans="1:4">
      <c r="A228" s="7">
        <v>33015</v>
      </c>
      <c r="B228" s="7" t="s">
        <v>2122</v>
      </c>
      <c r="C228" s="7">
        <f t="shared" si="3"/>
        <v>20000</v>
      </c>
      <c r="D228" s="7">
        <f>item!S262</f>
        <v>10000</v>
      </c>
    </row>
    <row r="229" spans="1:4">
      <c r="A229" s="7">
        <v>33010</v>
      </c>
      <c r="B229" s="7" t="s">
        <v>2123</v>
      </c>
      <c r="C229" s="7">
        <f t="shared" si="3"/>
        <v>20000</v>
      </c>
      <c r="D229" s="7">
        <f>item!S263</f>
        <v>10000</v>
      </c>
    </row>
    <row r="230" spans="1:4">
      <c r="A230" s="7">
        <v>31504</v>
      </c>
      <c r="B230" s="7" t="s">
        <v>920</v>
      </c>
      <c r="C230" s="7">
        <f t="shared" si="3"/>
        <v>2</v>
      </c>
      <c r="D230" s="7">
        <f>item!S264</f>
        <v>1</v>
      </c>
    </row>
    <row r="231" spans="1:4">
      <c r="A231" s="7">
        <v>31510</v>
      </c>
      <c r="B231" s="7" t="s">
        <v>564</v>
      </c>
      <c r="C231" s="7">
        <f t="shared" si="3"/>
        <v>2</v>
      </c>
      <c r="D231" s="7">
        <f>item!S265</f>
        <v>1</v>
      </c>
    </row>
    <row r="232" spans="1:4">
      <c r="A232" s="7">
        <v>31521</v>
      </c>
      <c r="B232" s="7" t="s">
        <v>566</v>
      </c>
      <c r="C232" s="7">
        <f t="shared" si="3"/>
        <v>2</v>
      </c>
      <c r="D232" s="7">
        <f>item!S266</f>
        <v>1</v>
      </c>
    </row>
    <row r="233" spans="1:4">
      <c r="A233" s="7">
        <v>31524</v>
      </c>
      <c r="B233" s="7" t="s">
        <v>567</v>
      </c>
      <c r="C233" s="7">
        <f t="shared" si="3"/>
        <v>2</v>
      </c>
      <c r="D233" s="7">
        <f>item!S267</f>
        <v>1</v>
      </c>
    </row>
    <row r="234" spans="1:4">
      <c r="A234" s="7">
        <v>31516</v>
      </c>
      <c r="B234" s="7" t="s">
        <v>568</v>
      </c>
      <c r="C234" s="7">
        <f t="shared" si="3"/>
        <v>2</v>
      </c>
      <c r="D234" s="7">
        <f>item!S268</f>
        <v>1</v>
      </c>
    </row>
    <row r="235" spans="1:4">
      <c r="A235" s="15">
        <v>31502</v>
      </c>
      <c r="B235" s="19" t="s">
        <v>565</v>
      </c>
      <c r="C235" s="7">
        <f t="shared" si="3"/>
        <v>2</v>
      </c>
      <c r="D235" s="7">
        <f>item!S269</f>
        <v>1</v>
      </c>
    </row>
    <row r="236" spans="1:4">
      <c r="A236" s="15">
        <v>31508</v>
      </c>
      <c r="B236" s="19" t="s">
        <v>569</v>
      </c>
      <c r="C236" s="7">
        <f t="shared" si="3"/>
        <v>2</v>
      </c>
      <c r="D236" s="7">
        <f>item!S270</f>
        <v>1</v>
      </c>
    </row>
    <row r="237" spans="1:4">
      <c r="A237" s="15">
        <v>31509</v>
      </c>
      <c r="B237" s="19" t="s">
        <v>570</v>
      </c>
      <c r="C237" s="7">
        <f t="shared" si="3"/>
        <v>2</v>
      </c>
      <c r="D237" s="7">
        <f>item!S271</f>
        <v>1</v>
      </c>
    </row>
    <row r="238" spans="1:4">
      <c r="A238" s="15">
        <v>31514</v>
      </c>
      <c r="B238" s="19" t="s">
        <v>921</v>
      </c>
      <c r="C238" s="7">
        <f t="shared" si="3"/>
        <v>2</v>
      </c>
      <c r="D238" s="7">
        <f>item!S272</f>
        <v>1</v>
      </c>
    </row>
    <row r="239" spans="1:4">
      <c r="A239" s="15">
        <v>31512</v>
      </c>
      <c r="B239" s="19" t="s">
        <v>577</v>
      </c>
      <c r="C239" s="7">
        <f t="shared" si="3"/>
        <v>2</v>
      </c>
      <c r="D239" s="7">
        <f>item!S273</f>
        <v>1</v>
      </c>
    </row>
    <row r="240" spans="1:4">
      <c r="A240" s="15">
        <v>31520</v>
      </c>
      <c r="B240" s="19" t="s">
        <v>571</v>
      </c>
      <c r="C240" s="7">
        <f t="shared" si="3"/>
        <v>2</v>
      </c>
      <c r="D240" s="7">
        <f>item!S274</f>
        <v>1</v>
      </c>
    </row>
    <row r="241" spans="1:4">
      <c r="A241" s="15">
        <v>31511</v>
      </c>
      <c r="B241" s="19" t="s">
        <v>922</v>
      </c>
      <c r="C241" s="7">
        <f t="shared" si="3"/>
        <v>2</v>
      </c>
      <c r="D241" s="7">
        <f>item!S275</f>
        <v>1</v>
      </c>
    </row>
    <row r="242" spans="1:4">
      <c r="A242" s="15">
        <v>31513</v>
      </c>
      <c r="B242" s="19" t="s">
        <v>574</v>
      </c>
      <c r="C242" s="7">
        <f t="shared" si="3"/>
        <v>2</v>
      </c>
      <c r="D242" s="7">
        <f>item!S276</f>
        <v>1</v>
      </c>
    </row>
    <row r="243" spans="1:4">
      <c r="A243" s="15">
        <v>31518</v>
      </c>
      <c r="B243" s="19" t="s">
        <v>575</v>
      </c>
      <c r="C243" s="7">
        <f t="shared" si="3"/>
        <v>2</v>
      </c>
      <c r="D243" s="7">
        <f>item!S277</f>
        <v>1</v>
      </c>
    </row>
    <row r="244" spans="1:4">
      <c r="A244" s="15">
        <v>31506</v>
      </c>
      <c r="B244" s="19" t="s">
        <v>573</v>
      </c>
      <c r="C244" s="7">
        <f t="shared" si="3"/>
        <v>2</v>
      </c>
      <c r="D244" s="7">
        <f>item!S278</f>
        <v>1</v>
      </c>
    </row>
    <row r="245" spans="1:4">
      <c r="A245" s="15">
        <v>31517</v>
      </c>
      <c r="B245" s="19" t="s">
        <v>572</v>
      </c>
      <c r="C245" s="7">
        <f t="shared" si="3"/>
        <v>2</v>
      </c>
      <c r="D245" s="7">
        <f>item!S279</f>
        <v>1</v>
      </c>
    </row>
    <row r="246" spans="1:4">
      <c r="A246" s="15">
        <v>31505</v>
      </c>
      <c r="B246" s="19" t="s">
        <v>923</v>
      </c>
      <c r="C246" s="7">
        <f t="shared" si="3"/>
        <v>2</v>
      </c>
      <c r="D246" s="7">
        <f>item!S280</f>
        <v>1</v>
      </c>
    </row>
    <row r="247" spans="1:4">
      <c r="A247" s="15">
        <v>31519</v>
      </c>
      <c r="B247" s="19" t="s">
        <v>576</v>
      </c>
      <c r="C247" s="7">
        <f t="shared" si="3"/>
        <v>2</v>
      </c>
      <c r="D247" s="7">
        <f>item!S281</f>
        <v>1</v>
      </c>
    </row>
    <row r="248" spans="1:4">
      <c r="A248" s="15">
        <v>31522</v>
      </c>
      <c r="B248" s="19" t="s">
        <v>578</v>
      </c>
      <c r="C248" s="7">
        <f t="shared" si="3"/>
        <v>2</v>
      </c>
      <c r="D248" s="7">
        <f>item!S282</f>
        <v>1</v>
      </c>
    </row>
    <row r="249" spans="1:4">
      <c r="A249" s="15">
        <v>32008</v>
      </c>
      <c r="B249" s="19" t="s">
        <v>924</v>
      </c>
      <c r="C249" s="7">
        <f t="shared" si="3"/>
        <v>2</v>
      </c>
      <c r="D249" s="7">
        <f>item!S283</f>
        <v>1</v>
      </c>
    </row>
    <row r="250" spans="1:4">
      <c r="A250" s="15">
        <v>32014</v>
      </c>
      <c r="B250" s="19" t="s">
        <v>579</v>
      </c>
      <c r="C250" s="7">
        <f t="shared" si="3"/>
        <v>2</v>
      </c>
      <c r="D250" s="7">
        <f>item!S284</f>
        <v>1</v>
      </c>
    </row>
    <row r="251" spans="1:4">
      <c r="A251" s="15">
        <v>32009</v>
      </c>
      <c r="B251" s="19" t="s">
        <v>925</v>
      </c>
      <c r="C251" s="7">
        <f t="shared" si="3"/>
        <v>2</v>
      </c>
      <c r="D251" s="7">
        <f>item!S285</f>
        <v>1</v>
      </c>
    </row>
    <row r="252" spans="1:4">
      <c r="A252" s="15">
        <v>32007</v>
      </c>
      <c r="B252" s="19" t="s">
        <v>581</v>
      </c>
      <c r="C252" s="7">
        <f t="shared" si="3"/>
        <v>2</v>
      </c>
      <c r="D252" s="7">
        <f>item!S286</f>
        <v>1</v>
      </c>
    </row>
    <row r="253" spans="1:4">
      <c r="A253" s="15">
        <v>32016</v>
      </c>
      <c r="B253" s="19" t="s">
        <v>582</v>
      </c>
      <c r="C253" s="7">
        <f t="shared" si="3"/>
        <v>2</v>
      </c>
      <c r="D253" s="7">
        <f>item!S287</f>
        <v>1</v>
      </c>
    </row>
    <row r="254" spans="1:4">
      <c r="A254" s="15">
        <v>32003</v>
      </c>
      <c r="B254" s="19" t="s">
        <v>926</v>
      </c>
      <c r="C254" s="7">
        <f t="shared" si="3"/>
        <v>2</v>
      </c>
      <c r="D254" s="7">
        <f>item!S288</f>
        <v>1</v>
      </c>
    </row>
    <row r="255" spans="1:4">
      <c r="A255" s="15">
        <v>32004</v>
      </c>
      <c r="B255" s="19" t="s">
        <v>583</v>
      </c>
      <c r="C255" s="7">
        <f t="shared" si="3"/>
        <v>2</v>
      </c>
      <c r="D255" s="7">
        <f>item!S289</f>
        <v>1</v>
      </c>
    </row>
    <row r="256" spans="1:4">
      <c r="A256" s="15">
        <v>32018</v>
      </c>
      <c r="B256" s="19" t="s">
        <v>590</v>
      </c>
      <c r="C256" s="7">
        <f t="shared" si="3"/>
        <v>2</v>
      </c>
      <c r="D256" s="7">
        <f>item!S290</f>
        <v>1</v>
      </c>
    </row>
    <row r="257" spans="1:4">
      <c r="A257" s="15">
        <v>32015</v>
      </c>
      <c r="B257" s="19" t="s">
        <v>585</v>
      </c>
      <c r="C257" s="7">
        <f t="shared" si="3"/>
        <v>2</v>
      </c>
      <c r="D257" s="7">
        <f>item!S291</f>
        <v>1</v>
      </c>
    </row>
    <row r="258" spans="1:4">
      <c r="A258" s="15">
        <v>32020</v>
      </c>
      <c r="B258" s="19" t="s">
        <v>586</v>
      </c>
      <c r="C258" s="7">
        <f t="shared" si="3"/>
        <v>2</v>
      </c>
      <c r="D258" s="7">
        <f>item!S292</f>
        <v>1</v>
      </c>
    </row>
    <row r="259" spans="1:4">
      <c r="A259" s="15">
        <v>32010</v>
      </c>
      <c r="B259" s="19" t="s">
        <v>591</v>
      </c>
      <c r="C259" s="7">
        <f t="shared" ref="C259:C322" si="4">D259*2</f>
        <v>2</v>
      </c>
      <c r="D259" s="7">
        <f>item!S293</f>
        <v>1</v>
      </c>
    </row>
    <row r="260" spans="1:4">
      <c r="A260" s="15">
        <v>32017</v>
      </c>
      <c r="B260" s="19" t="s">
        <v>587</v>
      </c>
      <c r="C260" s="7">
        <f t="shared" si="4"/>
        <v>2</v>
      </c>
      <c r="D260" s="7">
        <f>item!S294</f>
        <v>1</v>
      </c>
    </row>
    <row r="261" spans="1:4">
      <c r="A261" s="15">
        <v>32012</v>
      </c>
      <c r="B261" s="19" t="s">
        <v>584</v>
      </c>
      <c r="C261" s="7">
        <f t="shared" si="4"/>
        <v>2</v>
      </c>
      <c r="D261" s="7">
        <f>item!S295</f>
        <v>1</v>
      </c>
    </row>
    <row r="262" spans="1:4">
      <c r="A262" s="15">
        <v>32005</v>
      </c>
      <c r="B262" s="19" t="s">
        <v>592</v>
      </c>
      <c r="C262" s="7">
        <f t="shared" si="4"/>
        <v>2</v>
      </c>
      <c r="D262" s="7">
        <f>item!S296</f>
        <v>1</v>
      </c>
    </row>
    <row r="263" spans="1:4">
      <c r="A263" s="15">
        <v>32013</v>
      </c>
      <c r="B263" s="19" t="s">
        <v>927</v>
      </c>
      <c r="C263" s="7">
        <f t="shared" si="4"/>
        <v>2</v>
      </c>
      <c r="D263" s="7">
        <f>item!S297</f>
        <v>1</v>
      </c>
    </row>
    <row r="264" spans="1:4">
      <c r="A264" s="15">
        <v>32019</v>
      </c>
      <c r="B264" s="19" t="s">
        <v>589</v>
      </c>
      <c r="C264" s="7">
        <f t="shared" si="4"/>
        <v>2</v>
      </c>
      <c r="D264" s="7">
        <f>item!S298</f>
        <v>1</v>
      </c>
    </row>
    <row r="265" spans="1:4">
      <c r="A265" s="15">
        <v>32011</v>
      </c>
      <c r="B265" s="19" t="s">
        <v>593</v>
      </c>
      <c r="C265" s="7">
        <f t="shared" si="4"/>
        <v>2</v>
      </c>
      <c r="D265" s="7">
        <f>item!S299</f>
        <v>1</v>
      </c>
    </row>
    <row r="266" spans="1:4">
      <c r="A266" s="15">
        <v>32006</v>
      </c>
      <c r="B266" s="19" t="s">
        <v>580</v>
      </c>
      <c r="C266" s="7">
        <f t="shared" si="4"/>
        <v>2</v>
      </c>
      <c r="D266" s="7">
        <f>item!S300</f>
        <v>1</v>
      </c>
    </row>
    <row r="267" spans="1:4">
      <c r="A267" s="15">
        <v>32002</v>
      </c>
      <c r="B267" s="19" t="s">
        <v>588</v>
      </c>
      <c r="C267" s="7">
        <f t="shared" si="4"/>
        <v>2</v>
      </c>
      <c r="D267" s="7">
        <f>item!S301</f>
        <v>1</v>
      </c>
    </row>
    <row r="268" spans="1:4">
      <c r="A268" s="15">
        <v>40001</v>
      </c>
      <c r="B268" s="19" t="s">
        <v>1028</v>
      </c>
      <c r="C268" s="7">
        <f t="shared" si="4"/>
        <v>5000</v>
      </c>
      <c r="D268" s="7">
        <f>item!S302</f>
        <v>2500</v>
      </c>
    </row>
    <row r="269" spans="1:4">
      <c r="A269" s="15">
        <v>40002</v>
      </c>
      <c r="B269" s="19" t="s">
        <v>1029</v>
      </c>
      <c r="C269" s="7">
        <f t="shared" si="4"/>
        <v>11000</v>
      </c>
      <c r="D269" s="7">
        <f>item!S303</f>
        <v>5500</v>
      </c>
    </row>
    <row r="270" spans="1:4">
      <c r="A270" s="15">
        <v>40003</v>
      </c>
      <c r="B270" s="19" t="s">
        <v>1030</v>
      </c>
      <c r="C270" s="7">
        <f t="shared" si="4"/>
        <v>18000</v>
      </c>
      <c r="D270" s="7">
        <f>item!S304</f>
        <v>9000</v>
      </c>
    </row>
    <row r="271" spans="1:4">
      <c r="A271" s="15">
        <v>40004</v>
      </c>
      <c r="B271" s="19" t="s">
        <v>2124</v>
      </c>
      <c r="C271" s="7">
        <f t="shared" si="4"/>
        <v>100000</v>
      </c>
      <c r="D271" s="7">
        <f>item!S305</f>
        <v>50000</v>
      </c>
    </row>
    <row r="272" spans="1:4">
      <c r="A272" s="15">
        <v>40011</v>
      </c>
      <c r="B272" s="19" t="s">
        <v>1031</v>
      </c>
      <c r="C272" s="7">
        <f t="shared" si="4"/>
        <v>5000</v>
      </c>
      <c r="D272" s="7">
        <f>item!S306</f>
        <v>2500</v>
      </c>
    </row>
    <row r="273" spans="1:4">
      <c r="A273" s="7">
        <v>40012</v>
      </c>
      <c r="B273" s="7" t="s">
        <v>1032</v>
      </c>
      <c r="C273" s="7">
        <f t="shared" si="4"/>
        <v>11000</v>
      </c>
      <c r="D273" s="7">
        <f>item!S307</f>
        <v>5500</v>
      </c>
    </row>
    <row r="274" spans="1:4">
      <c r="A274" s="7">
        <v>40013</v>
      </c>
      <c r="B274" s="7" t="s">
        <v>1033</v>
      </c>
      <c r="C274" s="7">
        <f t="shared" si="4"/>
        <v>18000</v>
      </c>
      <c r="D274" s="7">
        <f>item!S308</f>
        <v>9000</v>
      </c>
    </row>
    <row r="275" spans="1:4">
      <c r="A275" s="7">
        <v>40014</v>
      </c>
      <c r="B275" s="7" t="s">
        <v>2125</v>
      </c>
      <c r="C275" s="7">
        <f t="shared" si="4"/>
        <v>100000</v>
      </c>
      <c r="D275" s="7">
        <f>item!S309</f>
        <v>50000</v>
      </c>
    </row>
    <row r="276" spans="1:4">
      <c r="A276" s="7">
        <v>40101</v>
      </c>
      <c r="B276" s="7" t="s">
        <v>2126</v>
      </c>
      <c r="C276" s="7">
        <f t="shared" si="4"/>
        <v>500</v>
      </c>
      <c r="D276" s="7">
        <f>item!S310</f>
        <v>250</v>
      </c>
    </row>
    <row r="277" spans="1:4">
      <c r="A277" s="13">
        <v>40102</v>
      </c>
      <c r="B277" s="7" t="s">
        <v>1034</v>
      </c>
      <c r="C277" s="7">
        <f t="shared" si="4"/>
        <v>1100</v>
      </c>
      <c r="D277" s="7">
        <f>item!S311</f>
        <v>550</v>
      </c>
    </row>
    <row r="278" spans="1:4">
      <c r="A278" s="13">
        <v>40103</v>
      </c>
      <c r="B278" s="7" t="s">
        <v>2127</v>
      </c>
      <c r="C278" s="7">
        <f t="shared" si="4"/>
        <v>5000</v>
      </c>
      <c r="D278" s="7">
        <f>item!S312</f>
        <v>2500</v>
      </c>
    </row>
    <row r="279" spans="1:4">
      <c r="A279" s="13">
        <v>80001</v>
      </c>
      <c r="B279" s="7" t="s">
        <v>2128</v>
      </c>
      <c r="C279" s="7">
        <f t="shared" si="4"/>
        <v>800</v>
      </c>
      <c r="D279" s="7">
        <f>item!S313</f>
        <v>400</v>
      </c>
    </row>
    <row r="280" spans="1:4">
      <c r="A280" s="13">
        <v>80002</v>
      </c>
      <c r="B280" s="7" t="s">
        <v>2129</v>
      </c>
      <c r="C280" s="7">
        <f t="shared" si="4"/>
        <v>20000</v>
      </c>
      <c r="D280" s="7">
        <f>item!S314</f>
        <v>10000</v>
      </c>
    </row>
    <row r="281" spans="1:4">
      <c r="A281" s="13">
        <v>80003</v>
      </c>
      <c r="B281" s="7" t="s">
        <v>681</v>
      </c>
      <c r="C281" s="7">
        <f t="shared" si="4"/>
        <v>10000</v>
      </c>
      <c r="D281" s="7">
        <f>item!S315</f>
        <v>5000</v>
      </c>
    </row>
    <row r="282" spans="1:4">
      <c r="A282" s="13">
        <v>80004</v>
      </c>
      <c r="B282" s="7" t="s">
        <v>683</v>
      </c>
      <c r="C282" s="7">
        <f t="shared" si="4"/>
        <v>2</v>
      </c>
      <c r="D282" s="7">
        <f>item!S316</f>
        <v>1</v>
      </c>
    </row>
    <row r="283" spans="1:4">
      <c r="A283" s="13">
        <v>80005</v>
      </c>
      <c r="B283" s="7" t="s">
        <v>1703</v>
      </c>
      <c r="C283" s="7">
        <f t="shared" si="4"/>
        <v>100</v>
      </c>
      <c r="D283" s="7">
        <f>item!S317</f>
        <v>50</v>
      </c>
    </row>
    <row r="284" spans="1:4">
      <c r="A284" s="7">
        <v>80006</v>
      </c>
      <c r="B284" s="7" t="s">
        <v>1704</v>
      </c>
      <c r="C284" s="7">
        <f t="shared" si="4"/>
        <v>2</v>
      </c>
      <c r="D284" s="7">
        <f>item!S318</f>
        <v>1</v>
      </c>
    </row>
    <row r="285" spans="1:4">
      <c r="A285" s="7">
        <v>80007</v>
      </c>
      <c r="B285" s="7" t="s">
        <v>1705</v>
      </c>
      <c r="C285" s="7">
        <f t="shared" si="4"/>
        <v>800</v>
      </c>
      <c r="D285" s="7">
        <f>item!S319</f>
        <v>400</v>
      </c>
    </row>
    <row r="286" spans="1:4">
      <c r="A286" s="7">
        <v>80008</v>
      </c>
      <c r="B286" s="7" t="s">
        <v>1706</v>
      </c>
      <c r="C286" s="7">
        <f t="shared" si="4"/>
        <v>800</v>
      </c>
      <c r="D286" s="7">
        <f>item!S320</f>
        <v>400</v>
      </c>
    </row>
    <row r="287" spans="1:4">
      <c r="A287" s="7">
        <v>80101</v>
      </c>
      <c r="B287" s="7" t="s">
        <v>1707</v>
      </c>
      <c r="C287" s="7">
        <f t="shared" si="4"/>
        <v>7400</v>
      </c>
      <c r="D287" s="7">
        <f>item!S321</f>
        <v>3700</v>
      </c>
    </row>
    <row r="288" spans="1:4">
      <c r="A288" s="7">
        <v>80105</v>
      </c>
      <c r="B288" s="7" t="s">
        <v>1708</v>
      </c>
      <c r="C288" s="7">
        <f t="shared" si="4"/>
        <v>800</v>
      </c>
      <c r="D288" s="7">
        <f>item!S322</f>
        <v>400</v>
      </c>
    </row>
    <row r="289" spans="1:4">
      <c r="A289" s="7">
        <v>80107</v>
      </c>
      <c r="B289" s="7" t="s">
        <v>1257</v>
      </c>
      <c r="C289" s="7">
        <f t="shared" si="4"/>
        <v>7400</v>
      </c>
      <c r="D289" s="7">
        <f>item!S323</f>
        <v>3700</v>
      </c>
    </row>
    <row r="290" spans="1:4">
      <c r="A290" s="7">
        <v>80108</v>
      </c>
      <c r="B290" s="7" t="s">
        <v>1709</v>
      </c>
      <c r="C290" s="7">
        <f t="shared" si="4"/>
        <v>7400</v>
      </c>
      <c r="D290" s="7">
        <f>item!S324</f>
        <v>3700</v>
      </c>
    </row>
    <row r="291" spans="1:4" s="7" customFormat="1">
      <c r="A291" s="7">
        <v>80201</v>
      </c>
      <c r="B291" s="7" t="s">
        <v>2130</v>
      </c>
      <c r="C291" s="7">
        <f t="shared" si="4"/>
        <v>40000</v>
      </c>
      <c r="D291" s="7">
        <f>item!S325</f>
        <v>20000</v>
      </c>
    </row>
    <row r="292" spans="1:4">
      <c r="A292" s="7">
        <v>80202</v>
      </c>
      <c r="B292" s="7" t="s">
        <v>2131</v>
      </c>
      <c r="C292" s="7">
        <f t="shared" si="4"/>
        <v>40000</v>
      </c>
      <c r="D292" s="7">
        <f>item!S326</f>
        <v>20000</v>
      </c>
    </row>
    <row r="293" spans="1:4">
      <c r="A293" s="7">
        <v>81001</v>
      </c>
      <c r="B293" s="7" t="s">
        <v>686</v>
      </c>
      <c r="C293" s="7">
        <f t="shared" si="4"/>
        <v>2</v>
      </c>
      <c r="D293" s="7">
        <f>item!S328</f>
        <v>1</v>
      </c>
    </row>
    <row r="294" spans="1:4">
      <c r="A294" s="7">
        <v>81002</v>
      </c>
      <c r="B294" s="7" t="s">
        <v>687</v>
      </c>
      <c r="C294" s="7">
        <f t="shared" si="4"/>
        <v>2</v>
      </c>
      <c r="D294" s="7">
        <f>item!S329</f>
        <v>1</v>
      </c>
    </row>
    <row r="295" spans="1:4" s="7" customFormat="1">
      <c r="A295" s="7">
        <v>81003</v>
      </c>
      <c r="B295" s="7" t="s">
        <v>688</v>
      </c>
      <c r="C295" s="7">
        <f t="shared" si="4"/>
        <v>2</v>
      </c>
      <c r="D295" s="7">
        <f>item!S330</f>
        <v>1</v>
      </c>
    </row>
    <row r="296" spans="1:4">
      <c r="A296" s="15">
        <v>90001</v>
      </c>
      <c r="B296" s="15" t="s">
        <v>1110</v>
      </c>
      <c r="C296" s="7" t="e">
        <f t="shared" si="4"/>
        <v>#REF!</v>
      </c>
      <c r="D296" s="7" t="e">
        <f>item!#REF!</f>
        <v>#REF!</v>
      </c>
    </row>
    <row r="297" spans="1:4">
      <c r="A297" s="15">
        <v>90002</v>
      </c>
      <c r="B297" s="15" t="s">
        <v>1111</v>
      </c>
      <c r="C297" s="7" t="e">
        <f t="shared" si="4"/>
        <v>#REF!</v>
      </c>
      <c r="D297" s="7" t="e">
        <f>item!#REF!</f>
        <v>#REF!</v>
      </c>
    </row>
    <row r="298" spans="1:4">
      <c r="A298" s="15">
        <v>90003</v>
      </c>
      <c r="B298" s="15" t="s">
        <v>1112</v>
      </c>
      <c r="C298" s="7" t="e">
        <f t="shared" si="4"/>
        <v>#REF!</v>
      </c>
      <c r="D298" s="7" t="e">
        <f>item!#REF!</f>
        <v>#REF!</v>
      </c>
    </row>
    <row r="299" spans="1:4">
      <c r="A299" s="7">
        <v>90004</v>
      </c>
      <c r="B299" s="7" t="s">
        <v>1113</v>
      </c>
      <c r="C299" s="7" t="e">
        <f t="shared" si="4"/>
        <v>#REF!</v>
      </c>
      <c r="D299" s="7" t="e">
        <f>item!#REF!</f>
        <v>#REF!</v>
      </c>
    </row>
    <row r="300" spans="1:4">
      <c r="A300" s="7">
        <v>90005</v>
      </c>
      <c r="B300" s="7" t="s">
        <v>1114</v>
      </c>
      <c r="C300" s="7" t="e">
        <f t="shared" si="4"/>
        <v>#REF!</v>
      </c>
      <c r="D300" s="7" t="e">
        <f>item!#REF!</f>
        <v>#REF!</v>
      </c>
    </row>
    <row r="301" spans="1:4">
      <c r="A301" s="7">
        <v>90006</v>
      </c>
      <c r="B301" s="7" t="s">
        <v>1115</v>
      </c>
      <c r="C301" s="7" t="e">
        <f t="shared" si="4"/>
        <v>#REF!</v>
      </c>
      <c r="D301" s="7" t="e">
        <f>item!#REF!</f>
        <v>#REF!</v>
      </c>
    </row>
    <row r="302" spans="1:4">
      <c r="A302" s="7">
        <v>90007</v>
      </c>
      <c r="B302" s="7" t="s">
        <v>1116</v>
      </c>
      <c r="C302" s="7" t="e">
        <f t="shared" si="4"/>
        <v>#REF!</v>
      </c>
      <c r="D302" s="7" t="e">
        <f>item!#REF!</f>
        <v>#REF!</v>
      </c>
    </row>
    <row r="303" spans="1:4">
      <c r="A303" s="7">
        <v>90008</v>
      </c>
      <c r="B303" s="7" t="s">
        <v>1117</v>
      </c>
      <c r="C303" s="7" t="e">
        <f t="shared" si="4"/>
        <v>#REF!</v>
      </c>
      <c r="D303" s="7" t="e">
        <f>item!#REF!</f>
        <v>#REF!</v>
      </c>
    </row>
    <row r="304" spans="1:4">
      <c r="A304" s="7">
        <v>90009</v>
      </c>
      <c r="B304" s="7" t="s">
        <v>1118</v>
      </c>
      <c r="C304" s="7" t="e">
        <f t="shared" si="4"/>
        <v>#REF!</v>
      </c>
      <c r="D304" s="7" t="e">
        <f>item!#REF!</f>
        <v>#REF!</v>
      </c>
    </row>
    <row r="305" spans="1:4">
      <c r="A305" s="7">
        <v>90010</v>
      </c>
      <c r="B305" s="7" t="s">
        <v>1119</v>
      </c>
      <c r="C305" s="7" t="e">
        <f t="shared" si="4"/>
        <v>#REF!</v>
      </c>
      <c r="D305" s="7" t="e">
        <f>item!#REF!</f>
        <v>#REF!</v>
      </c>
    </row>
    <row r="306" spans="1:4">
      <c r="A306" s="7">
        <v>90011</v>
      </c>
      <c r="B306" s="7" t="s">
        <v>1120</v>
      </c>
      <c r="C306" s="7" t="e">
        <f t="shared" si="4"/>
        <v>#REF!</v>
      </c>
      <c r="D306" s="7" t="e">
        <f>item!#REF!</f>
        <v>#REF!</v>
      </c>
    </row>
    <row r="307" spans="1:4">
      <c r="A307" s="7">
        <v>90012</v>
      </c>
      <c r="B307" s="7" t="s">
        <v>1121</v>
      </c>
      <c r="C307" s="7" t="e">
        <f t="shared" si="4"/>
        <v>#REF!</v>
      </c>
      <c r="D307" s="7" t="e">
        <f>item!#REF!</f>
        <v>#REF!</v>
      </c>
    </row>
    <row r="308" spans="1:4">
      <c r="A308" s="7">
        <v>90013</v>
      </c>
      <c r="B308" s="7" t="s">
        <v>1122</v>
      </c>
      <c r="C308" s="7" t="e">
        <f t="shared" si="4"/>
        <v>#REF!</v>
      </c>
      <c r="D308" s="7" t="e">
        <f>item!#REF!</f>
        <v>#REF!</v>
      </c>
    </row>
    <row r="309" spans="1:4">
      <c r="A309" s="7">
        <v>90014</v>
      </c>
      <c r="B309" s="7" t="s">
        <v>1123</v>
      </c>
      <c r="C309" s="7" t="e">
        <f t="shared" si="4"/>
        <v>#REF!</v>
      </c>
      <c r="D309" s="7" t="e">
        <f>item!#REF!</f>
        <v>#REF!</v>
      </c>
    </row>
    <row r="310" spans="1:4">
      <c r="A310" s="7">
        <v>90015</v>
      </c>
      <c r="B310" s="7" t="s">
        <v>1124</v>
      </c>
      <c r="C310" s="7" t="e">
        <f t="shared" si="4"/>
        <v>#REF!</v>
      </c>
      <c r="D310" s="7" t="e">
        <f>item!#REF!</f>
        <v>#REF!</v>
      </c>
    </row>
    <row r="311" spans="1:4">
      <c r="A311" s="7">
        <v>90016</v>
      </c>
      <c r="B311" s="7" t="s">
        <v>1125</v>
      </c>
      <c r="C311" s="7" t="e">
        <f t="shared" si="4"/>
        <v>#REF!</v>
      </c>
      <c r="D311" s="7" t="e">
        <f>item!#REF!</f>
        <v>#REF!</v>
      </c>
    </row>
    <row r="312" spans="1:4">
      <c r="A312" s="7">
        <v>90017</v>
      </c>
      <c r="B312" s="7" t="s">
        <v>1126</v>
      </c>
      <c r="C312" s="7" t="e">
        <f t="shared" si="4"/>
        <v>#REF!</v>
      </c>
      <c r="D312" s="7" t="e">
        <f>item!#REF!</f>
        <v>#REF!</v>
      </c>
    </row>
    <row r="313" spans="1:4">
      <c r="A313" s="7">
        <v>90018</v>
      </c>
      <c r="B313" s="7" t="s">
        <v>1127</v>
      </c>
      <c r="C313" s="7" t="e">
        <f t="shared" si="4"/>
        <v>#REF!</v>
      </c>
      <c r="D313" s="7" t="e">
        <f>item!#REF!</f>
        <v>#REF!</v>
      </c>
    </row>
    <row r="314" spans="1:4">
      <c r="A314" s="7">
        <v>90019</v>
      </c>
      <c r="B314" s="7" t="s">
        <v>1128</v>
      </c>
      <c r="C314" s="7" t="e">
        <f t="shared" si="4"/>
        <v>#REF!</v>
      </c>
      <c r="D314" s="7" t="e">
        <f>item!#REF!</f>
        <v>#REF!</v>
      </c>
    </row>
    <row r="315" spans="1:4">
      <c r="A315" s="7">
        <v>90020</v>
      </c>
      <c r="B315" s="7" t="s">
        <v>1129</v>
      </c>
      <c r="C315" s="7" t="e">
        <f t="shared" si="4"/>
        <v>#REF!</v>
      </c>
      <c r="D315" s="7" t="e">
        <f>item!#REF!</f>
        <v>#REF!</v>
      </c>
    </row>
    <row r="316" spans="1:4">
      <c r="A316" s="7">
        <v>90021</v>
      </c>
      <c r="B316" s="7" t="s">
        <v>1130</v>
      </c>
      <c r="C316" s="7" t="e">
        <f t="shared" si="4"/>
        <v>#REF!</v>
      </c>
      <c r="D316" s="7" t="e">
        <f>item!#REF!</f>
        <v>#REF!</v>
      </c>
    </row>
    <row r="317" spans="1:4">
      <c r="A317" s="7">
        <v>90022</v>
      </c>
      <c r="B317" s="7" t="s">
        <v>1131</v>
      </c>
      <c r="C317" s="7" t="e">
        <f t="shared" si="4"/>
        <v>#REF!</v>
      </c>
      <c r="D317" s="7" t="e">
        <f>item!#REF!</f>
        <v>#REF!</v>
      </c>
    </row>
    <row r="318" spans="1:4">
      <c r="A318" s="7">
        <v>90023</v>
      </c>
      <c r="B318" s="7" t="s">
        <v>1132</v>
      </c>
      <c r="C318" s="7" t="e">
        <f t="shared" si="4"/>
        <v>#REF!</v>
      </c>
      <c r="D318" s="7" t="e">
        <f>item!#REF!</f>
        <v>#REF!</v>
      </c>
    </row>
    <row r="319" spans="1:4">
      <c r="A319" s="7">
        <v>90024</v>
      </c>
      <c r="B319" s="7" t="s">
        <v>1133</v>
      </c>
      <c r="C319" s="7" t="e">
        <f t="shared" si="4"/>
        <v>#REF!</v>
      </c>
      <c r="D319" s="7" t="e">
        <f>item!#REF!</f>
        <v>#REF!</v>
      </c>
    </row>
    <row r="320" spans="1:4">
      <c r="A320" s="7">
        <v>90025</v>
      </c>
      <c r="B320" s="7" t="s">
        <v>1134</v>
      </c>
      <c r="C320" s="7" t="e">
        <f t="shared" si="4"/>
        <v>#REF!</v>
      </c>
      <c r="D320" s="7" t="e">
        <f>item!#REF!</f>
        <v>#REF!</v>
      </c>
    </row>
    <row r="321" spans="1:4">
      <c r="A321" s="7">
        <v>90026</v>
      </c>
      <c r="B321" s="7" t="s">
        <v>1135</v>
      </c>
      <c r="C321" s="7" t="e">
        <f t="shared" si="4"/>
        <v>#REF!</v>
      </c>
      <c r="D321" s="7" t="e">
        <f>item!#REF!</f>
        <v>#REF!</v>
      </c>
    </row>
    <row r="322" spans="1:4">
      <c r="A322" s="7">
        <v>90027</v>
      </c>
      <c r="B322" s="7" t="s">
        <v>1136</v>
      </c>
      <c r="C322" s="7" t="e">
        <f t="shared" si="4"/>
        <v>#REF!</v>
      </c>
      <c r="D322" s="7" t="e">
        <f>item!#REF!</f>
        <v>#REF!</v>
      </c>
    </row>
    <row r="323" spans="1:4">
      <c r="A323" s="7">
        <v>90028</v>
      </c>
      <c r="B323" s="7" t="s">
        <v>1137</v>
      </c>
      <c r="C323" s="7" t="e">
        <f t="shared" ref="C323:C386" si="5">D323*2</f>
        <v>#REF!</v>
      </c>
      <c r="D323" s="7" t="e">
        <f>item!#REF!</f>
        <v>#REF!</v>
      </c>
    </row>
    <row r="324" spans="1:4">
      <c r="A324" s="7">
        <v>90029</v>
      </c>
      <c r="B324" s="7" t="s">
        <v>1138</v>
      </c>
      <c r="C324" s="7" t="e">
        <f t="shared" si="5"/>
        <v>#REF!</v>
      </c>
      <c r="D324" s="7" t="e">
        <f>item!#REF!</f>
        <v>#REF!</v>
      </c>
    </row>
    <row r="325" spans="1:4">
      <c r="A325" s="7">
        <v>90030</v>
      </c>
      <c r="B325" s="7" t="s">
        <v>1139</v>
      </c>
      <c r="C325" s="7" t="e">
        <f t="shared" si="5"/>
        <v>#REF!</v>
      </c>
      <c r="D325" s="7" t="e">
        <f>item!#REF!</f>
        <v>#REF!</v>
      </c>
    </row>
    <row r="326" spans="1:4">
      <c r="A326" s="7">
        <v>90031</v>
      </c>
      <c r="B326" s="7" t="s">
        <v>1140</v>
      </c>
      <c r="C326" s="7" t="e">
        <f t="shared" si="5"/>
        <v>#REF!</v>
      </c>
      <c r="D326" s="7" t="e">
        <f>item!#REF!</f>
        <v>#REF!</v>
      </c>
    </row>
    <row r="327" spans="1:4">
      <c r="A327" s="7">
        <v>90032</v>
      </c>
      <c r="B327" s="7" t="s">
        <v>1141</v>
      </c>
      <c r="C327" s="7" t="e">
        <f t="shared" si="5"/>
        <v>#REF!</v>
      </c>
      <c r="D327" s="7" t="e">
        <f>item!#REF!</f>
        <v>#REF!</v>
      </c>
    </row>
    <row r="328" spans="1:4">
      <c r="A328" s="7">
        <v>90033</v>
      </c>
      <c r="B328" s="7" t="s">
        <v>1142</v>
      </c>
      <c r="C328" s="7" t="e">
        <f t="shared" si="5"/>
        <v>#REF!</v>
      </c>
      <c r="D328" s="7" t="e">
        <f>item!#REF!</f>
        <v>#REF!</v>
      </c>
    </row>
    <row r="329" spans="1:4">
      <c r="A329" s="7">
        <v>90034</v>
      </c>
      <c r="B329" s="7" t="s">
        <v>1143</v>
      </c>
      <c r="C329" s="7" t="e">
        <f t="shared" si="5"/>
        <v>#REF!</v>
      </c>
      <c r="D329" s="7" t="e">
        <f>item!#REF!</f>
        <v>#REF!</v>
      </c>
    </row>
    <row r="330" spans="1:4">
      <c r="A330" s="7">
        <v>90035</v>
      </c>
      <c r="B330" s="7" t="s">
        <v>1144</v>
      </c>
      <c r="C330" s="7" t="e">
        <f t="shared" si="5"/>
        <v>#REF!</v>
      </c>
      <c r="D330" s="7" t="e">
        <f>item!#REF!</f>
        <v>#REF!</v>
      </c>
    </row>
    <row r="331" spans="1:4">
      <c r="A331" s="7">
        <v>90036</v>
      </c>
      <c r="B331" s="7" t="s">
        <v>1145</v>
      </c>
      <c r="C331" s="7" t="e">
        <f t="shared" si="5"/>
        <v>#REF!</v>
      </c>
      <c r="D331" s="7" t="e">
        <f>item!#REF!</f>
        <v>#REF!</v>
      </c>
    </row>
    <row r="332" spans="1:4">
      <c r="A332" s="7">
        <v>90037</v>
      </c>
      <c r="B332" s="7" t="s">
        <v>1146</v>
      </c>
      <c r="C332" s="7" t="e">
        <f t="shared" si="5"/>
        <v>#REF!</v>
      </c>
      <c r="D332" s="7" t="e">
        <f>item!#REF!</f>
        <v>#REF!</v>
      </c>
    </row>
    <row r="333" spans="1:4">
      <c r="A333" s="7">
        <v>90038</v>
      </c>
      <c r="B333" s="7" t="s">
        <v>1147</v>
      </c>
      <c r="C333" s="7" t="e">
        <f t="shared" si="5"/>
        <v>#REF!</v>
      </c>
      <c r="D333" s="7" t="e">
        <f>item!#REF!</f>
        <v>#REF!</v>
      </c>
    </row>
    <row r="334" spans="1:4">
      <c r="A334" s="7">
        <v>90039</v>
      </c>
      <c r="B334" s="7" t="s">
        <v>1148</v>
      </c>
      <c r="C334" s="7" t="e">
        <f t="shared" si="5"/>
        <v>#REF!</v>
      </c>
      <c r="D334" s="7" t="e">
        <f>item!#REF!</f>
        <v>#REF!</v>
      </c>
    </row>
    <row r="335" spans="1:4">
      <c r="A335" s="7">
        <v>90040</v>
      </c>
      <c r="B335" s="7" t="s">
        <v>1149</v>
      </c>
      <c r="C335" s="7" t="e">
        <f t="shared" si="5"/>
        <v>#REF!</v>
      </c>
      <c r="D335" s="7" t="e">
        <f>item!#REF!</f>
        <v>#REF!</v>
      </c>
    </row>
    <row r="336" spans="1:4">
      <c r="A336" s="7">
        <v>90041</v>
      </c>
      <c r="B336" s="7" t="s">
        <v>1150</v>
      </c>
      <c r="C336" s="7" t="e">
        <f t="shared" si="5"/>
        <v>#REF!</v>
      </c>
      <c r="D336" s="7" t="e">
        <f>item!#REF!</f>
        <v>#REF!</v>
      </c>
    </row>
    <row r="337" spans="1:4">
      <c r="A337" s="7">
        <v>90042</v>
      </c>
      <c r="B337" s="7" t="s">
        <v>1151</v>
      </c>
      <c r="C337" s="7" t="e">
        <f t="shared" si="5"/>
        <v>#REF!</v>
      </c>
      <c r="D337" s="7" t="e">
        <f>item!#REF!</f>
        <v>#REF!</v>
      </c>
    </row>
    <row r="338" spans="1:4">
      <c r="A338" s="7">
        <v>90043</v>
      </c>
      <c r="B338" s="7" t="s">
        <v>1152</v>
      </c>
      <c r="C338" s="7" t="e">
        <f t="shared" si="5"/>
        <v>#REF!</v>
      </c>
      <c r="D338" s="7" t="e">
        <f>item!#REF!</f>
        <v>#REF!</v>
      </c>
    </row>
    <row r="339" spans="1:4">
      <c r="A339" s="7">
        <v>90044</v>
      </c>
      <c r="B339" s="7" t="s">
        <v>1153</v>
      </c>
      <c r="C339" s="7" t="e">
        <f t="shared" si="5"/>
        <v>#REF!</v>
      </c>
      <c r="D339" s="7" t="e">
        <f>item!#REF!</f>
        <v>#REF!</v>
      </c>
    </row>
    <row r="340" spans="1:4">
      <c r="A340" s="7">
        <v>90045</v>
      </c>
      <c r="B340" s="7" t="s">
        <v>1154</v>
      </c>
      <c r="C340" s="7" t="e">
        <f t="shared" si="5"/>
        <v>#REF!</v>
      </c>
      <c r="D340" s="7" t="e">
        <f>item!#REF!</f>
        <v>#REF!</v>
      </c>
    </row>
    <row r="341" spans="1:4">
      <c r="A341" s="7">
        <v>90046</v>
      </c>
      <c r="B341" s="7" t="s">
        <v>1155</v>
      </c>
      <c r="C341" s="7" t="e">
        <f t="shared" si="5"/>
        <v>#REF!</v>
      </c>
      <c r="D341" s="7" t="e">
        <f>item!#REF!</f>
        <v>#REF!</v>
      </c>
    </row>
    <row r="342" spans="1:4">
      <c r="A342" s="7">
        <v>90047</v>
      </c>
      <c r="B342" s="7" t="s">
        <v>1156</v>
      </c>
      <c r="C342" s="7" t="e">
        <f t="shared" si="5"/>
        <v>#REF!</v>
      </c>
      <c r="D342" s="7" t="e">
        <f>item!#REF!</f>
        <v>#REF!</v>
      </c>
    </row>
    <row r="343" spans="1:4">
      <c r="A343" s="7">
        <v>90048</v>
      </c>
      <c r="B343" s="7" t="s">
        <v>1157</v>
      </c>
      <c r="C343" s="7" t="e">
        <f t="shared" si="5"/>
        <v>#REF!</v>
      </c>
      <c r="D343" s="7" t="e">
        <f>item!#REF!</f>
        <v>#REF!</v>
      </c>
    </row>
    <row r="344" spans="1:4">
      <c r="A344" s="7">
        <v>90049</v>
      </c>
      <c r="B344" s="7" t="s">
        <v>1158</v>
      </c>
      <c r="C344" s="7" t="e">
        <f t="shared" si="5"/>
        <v>#REF!</v>
      </c>
      <c r="D344" s="7" t="e">
        <f>item!#REF!</f>
        <v>#REF!</v>
      </c>
    </row>
    <row r="345" spans="1:4">
      <c r="A345" s="7">
        <v>90050</v>
      </c>
      <c r="B345" s="7" t="s">
        <v>1159</v>
      </c>
      <c r="C345" s="7" t="e">
        <f t="shared" si="5"/>
        <v>#REF!</v>
      </c>
      <c r="D345" s="7" t="e">
        <f>item!#REF!</f>
        <v>#REF!</v>
      </c>
    </row>
    <row r="346" spans="1:4">
      <c r="A346" s="7">
        <v>90051</v>
      </c>
      <c r="B346" s="7" t="s">
        <v>1160</v>
      </c>
      <c r="C346" s="7" t="e">
        <f t="shared" si="5"/>
        <v>#REF!</v>
      </c>
      <c r="D346" s="7" t="e">
        <f>item!#REF!</f>
        <v>#REF!</v>
      </c>
    </row>
    <row r="347" spans="1:4">
      <c r="A347" s="7">
        <v>90052</v>
      </c>
      <c r="B347" s="7" t="s">
        <v>1161</v>
      </c>
      <c r="C347" s="7" t="e">
        <f t="shared" si="5"/>
        <v>#REF!</v>
      </c>
      <c r="D347" s="7" t="e">
        <f>item!#REF!</f>
        <v>#REF!</v>
      </c>
    </row>
    <row r="348" spans="1:4">
      <c r="A348" s="7">
        <v>90053</v>
      </c>
      <c r="B348" s="7" t="s">
        <v>1162</v>
      </c>
      <c r="C348" s="7" t="e">
        <f t="shared" si="5"/>
        <v>#REF!</v>
      </c>
      <c r="D348" s="7" t="e">
        <f>item!#REF!</f>
        <v>#REF!</v>
      </c>
    </row>
    <row r="349" spans="1:4">
      <c r="A349" s="7">
        <v>90054</v>
      </c>
      <c r="B349" s="7" t="s">
        <v>1163</v>
      </c>
      <c r="C349" s="7" t="e">
        <f t="shared" si="5"/>
        <v>#REF!</v>
      </c>
      <c r="D349" s="7" t="e">
        <f>item!#REF!</f>
        <v>#REF!</v>
      </c>
    </row>
    <row r="350" spans="1:4">
      <c r="A350" s="7">
        <v>90055</v>
      </c>
      <c r="B350" s="7" t="s">
        <v>1164</v>
      </c>
      <c r="C350" s="7" t="e">
        <f t="shared" si="5"/>
        <v>#REF!</v>
      </c>
      <c r="D350" s="7" t="e">
        <f>item!#REF!</f>
        <v>#REF!</v>
      </c>
    </row>
    <row r="351" spans="1:4">
      <c r="A351" s="7">
        <v>90056</v>
      </c>
      <c r="B351" s="7" t="s">
        <v>1165</v>
      </c>
      <c r="C351" s="7" t="e">
        <f t="shared" si="5"/>
        <v>#REF!</v>
      </c>
      <c r="D351" s="7" t="e">
        <f>item!#REF!</f>
        <v>#REF!</v>
      </c>
    </row>
    <row r="352" spans="1:4">
      <c r="A352" s="7">
        <v>90057</v>
      </c>
      <c r="B352" s="7" t="s">
        <v>1166</v>
      </c>
      <c r="C352" s="7" t="e">
        <f t="shared" si="5"/>
        <v>#REF!</v>
      </c>
      <c r="D352" s="7" t="e">
        <f>item!#REF!</f>
        <v>#REF!</v>
      </c>
    </row>
    <row r="353" spans="1:4">
      <c r="A353" s="7">
        <v>90058</v>
      </c>
      <c r="B353" s="7" t="s">
        <v>1167</v>
      </c>
      <c r="C353" s="7" t="e">
        <f t="shared" si="5"/>
        <v>#REF!</v>
      </c>
      <c r="D353" s="7" t="e">
        <f>item!#REF!</f>
        <v>#REF!</v>
      </c>
    </row>
    <row r="354" spans="1:4">
      <c r="A354" s="7">
        <v>90059</v>
      </c>
      <c r="B354" s="7" t="s">
        <v>1168</v>
      </c>
      <c r="C354" s="7" t="e">
        <f t="shared" si="5"/>
        <v>#REF!</v>
      </c>
      <c r="D354" s="7" t="e">
        <f>item!#REF!</f>
        <v>#REF!</v>
      </c>
    </row>
    <row r="355" spans="1:4">
      <c r="A355" s="7">
        <v>90060</v>
      </c>
      <c r="B355" s="7" t="s">
        <v>1169</v>
      </c>
      <c r="C355" s="7" t="e">
        <f t="shared" si="5"/>
        <v>#REF!</v>
      </c>
      <c r="D355" s="7" t="e">
        <f>item!#REF!</f>
        <v>#REF!</v>
      </c>
    </row>
    <row r="356" spans="1:4">
      <c r="A356" s="7">
        <v>90061</v>
      </c>
      <c r="B356" s="7" t="s">
        <v>1170</v>
      </c>
      <c r="C356" s="7" t="e">
        <f t="shared" si="5"/>
        <v>#REF!</v>
      </c>
      <c r="D356" s="7" t="e">
        <f>item!#REF!</f>
        <v>#REF!</v>
      </c>
    </row>
    <row r="357" spans="1:4">
      <c r="A357" s="7">
        <v>90062</v>
      </c>
      <c r="B357" s="7" t="s">
        <v>1171</v>
      </c>
      <c r="C357" s="7" t="e">
        <f t="shared" si="5"/>
        <v>#REF!</v>
      </c>
      <c r="D357" s="7" t="e">
        <f>item!#REF!</f>
        <v>#REF!</v>
      </c>
    </row>
    <row r="358" spans="1:4">
      <c r="A358" s="7">
        <v>90063</v>
      </c>
      <c r="B358" s="7" t="s">
        <v>1172</v>
      </c>
      <c r="C358" s="7" t="e">
        <f t="shared" si="5"/>
        <v>#REF!</v>
      </c>
      <c r="D358" s="7" t="e">
        <f>item!#REF!</f>
        <v>#REF!</v>
      </c>
    </row>
    <row r="359" spans="1:4">
      <c r="A359" s="7">
        <v>90064</v>
      </c>
      <c r="B359" s="7" t="s">
        <v>1173</v>
      </c>
      <c r="C359" s="7" t="e">
        <f t="shared" si="5"/>
        <v>#REF!</v>
      </c>
      <c r="D359" s="7" t="e">
        <f>item!#REF!</f>
        <v>#REF!</v>
      </c>
    </row>
    <row r="360" spans="1:4">
      <c r="A360" s="7">
        <v>90065</v>
      </c>
      <c r="B360" s="7" t="s">
        <v>1174</v>
      </c>
      <c r="C360" s="7" t="e">
        <f t="shared" si="5"/>
        <v>#REF!</v>
      </c>
      <c r="D360" s="7" t="e">
        <f>item!#REF!</f>
        <v>#REF!</v>
      </c>
    </row>
    <row r="361" spans="1:4">
      <c r="A361" s="7">
        <v>90066</v>
      </c>
      <c r="B361" s="7" t="s">
        <v>1175</v>
      </c>
      <c r="C361" s="7" t="e">
        <f t="shared" si="5"/>
        <v>#REF!</v>
      </c>
      <c r="D361" s="7" t="e">
        <f>item!#REF!</f>
        <v>#REF!</v>
      </c>
    </row>
    <row r="362" spans="1:4">
      <c r="A362" s="7">
        <v>90067</v>
      </c>
      <c r="B362" s="7" t="s">
        <v>1176</v>
      </c>
      <c r="C362" s="7" t="e">
        <f t="shared" si="5"/>
        <v>#REF!</v>
      </c>
      <c r="D362" s="7" t="e">
        <f>item!#REF!</f>
        <v>#REF!</v>
      </c>
    </row>
    <row r="363" spans="1:4">
      <c r="A363" s="7">
        <v>90068</v>
      </c>
      <c r="B363" s="7" t="s">
        <v>1177</v>
      </c>
      <c r="C363" s="7" t="e">
        <f t="shared" si="5"/>
        <v>#REF!</v>
      </c>
      <c r="D363" s="7" t="e">
        <f>item!#REF!</f>
        <v>#REF!</v>
      </c>
    </row>
    <row r="364" spans="1:4">
      <c r="A364" s="7">
        <v>90069</v>
      </c>
      <c r="B364" s="7" t="s">
        <v>1178</v>
      </c>
      <c r="C364" s="7" t="e">
        <f t="shared" si="5"/>
        <v>#REF!</v>
      </c>
      <c r="D364" s="7" t="e">
        <f>item!#REF!</f>
        <v>#REF!</v>
      </c>
    </row>
    <row r="365" spans="1:4">
      <c r="A365" s="7">
        <v>90070</v>
      </c>
      <c r="B365" s="7" t="s">
        <v>1179</v>
      </c>
      <c r="C365" s="7" t="e">
        <f t="shared" si="5"/>
        <v>#REF!</v>
      </c>
      <c r="D365" s="7" t="e">
        <f>item!#REF!</f>
        <v>#REF!</v>
      </c>
    </row>
    <row r="366" spans="1:4">
      <c r="A366" s="7">
        <v>90071</v>
      </c>
      <c r="B366" s="7" t="s">
        <v>1180</v>
      </c>
      <c r="C366" s="7" t="e">
        <f t="shared" si="5"/>
        <v>#REF!</v>
      </c>
      <c r="D366" s="7" t="e">
        <f>item!#REF!</f>
        <v>#REF!</v>
      </c>
    </row>
    <row r="367" spans="1:4">
      <c r="A367" s="7">
        <v>90072</v>
      </c>
      <c r="B367" s="7" t="s">
        <v>1181</v>
      </c>
      <c r="C367" s="7" t="e">
        <f t="shared" si="5"/>
        <v>#REF!</v>
      </c>
      <c r="D367" s="7" t="e">
        <f>item!#REF!</f>
        <v>#REF!</v>
      </c>
    </row>
    <row r="368" spans="1:4">
      <c r="A368" s="7">
        <v>90073</v>
      </c>
      <c r="B368" s="7" t="s">
        <v>1182</v>
      </c>
      <c r="C368" s="7" t="e">
        <f t="shared" si="5"/>
        <v>#REF!</v>
      </c>
      <c r="D368" s="7" t="e">
        <f>item!#REF!</f>
        <v>#REF!</v>
      </c>
    </row>
    <row r="369" spans="1:4">
      <c r="A369" s="7">
        <v>90074</v>
      </c>
      <c r="B369" s="7" t="s">
        <v>1183</v>
      </c>
      <c r="C369" s="7" t="e">
        <f t="shared" si="5"/>
        <v>#REF!</v>
      </c>
      <c r="D369" s="7" t="e">
        <f>item!#REF!</f>
        <v>#REF!</v>
      </c>
    </row>
    <row r="370" spans="1:4">
      <c r="A370" s="7">
        <v>90075</v>
      </c>
      <c r="B370" s="7" t="s">
        <v>1184</v>
      </c>
      <c r="C370" s="7" t="e">
        <f t="shared" si="5"/>
        <v>#REF!</v>
      </c>
      <c r="D370" s="7" t="e">
        <f>item!#REF!</f>
        <v>#REF!</v>
      </c>
    </row>
    <row r="371" spans="1:4">
      <c r="A371" s="7">
        <v>90076</v>
      </c>
      <c r="B371" s="7" t="s">
        <v>1185</v>
      </c>
      <c r="C371" s="7" t="e">
        <f t="shared" si="5"/>
        <v>#REF!</v>
      </c>
      <c r="D371" s="7" t="e">
        <f>item!#REF!</f>
        <v>#REF!</v>
      </c>
    </row>
    <row r="372" spans="1:4">
      <c r="A372" s="7">
        <v>90077</v>
      </c>
      <c r="B372" s="7" t="s">
        <v>1186</v>
      </c>
      <c r="C372" s="7" t="e">
        <f t="shared" si="5"/>
        <v>#REF!</v>
      </c>
      <c r="D372" s="7" t="e">
        <f>item!#REF!</f>
        <v>#REF!</v>
      </c>
    </row>
    <row r="373" spans="1:4">
      <c r="A373" s="7">
        <v>90078</v>
      </c>
      <c r="B373" s="7" t="s">
        <v>1187</v>
      </c>
      <c r="C373" s="7" t="e">
        <f t="shared" si="5"/>
        <v>#REF!</v>
      </c>
      <c r="D373" s="7" t="e">
        <f>item!#REF!</f>
        <v>#REF!</v>
      </c>
    </row>
    <row r="374" spans="1:4">
      <c r="A374" s="7">
        <v>90079</v>
      </c>
      <c r="B374" s="7" t="s">
        <v>1188</v>
      </c>
      <c r="C374" s="7" t="e">
        <f t="shared" si="5"/>
        <v>#REF!</v>
      </c>
      <c r="D374" s="7" t="e">
        <f>item!#REF!</f>
        <v>#REF!</v>
      </c>
    </row>
    <row r="375" spans="1:4">
      <c r="A375" s="7">
        <v>90080</v>
      </c>
      <c r="B375" s="7" t="s">
        <v>1189</v>
      </c>
      <c r="C375" s="7" t="e">
        <f t="shared" si="5"/>
        <v>#REF!</v>
      </c>
      <c r="D375" s="7" t="e">
        <f>item!#REF!</f>
        <v>#REF!</v>
      </c>
    </row>
    <row r="376" spans="1:4">
      <c r="A376" s="7">
        <v>90081</v>
      </c>
      <c r="B376" s="7" t="s">
        <v>1190</v>
      </c>
      <c r="C376" s="7" t="e">
        <f t="shared" si="5"/>
        <v>#REF!</v>
      </c>
      <c r="D376" s="7" t="e">
        <f>item!#REF!</f>
        <v>#REF!</v>
      </c>
    </row>
    <row r="377" spans="1:4">
      <c r="A377" s="7">
        <v>90082</v>
      </c>
      <c r="B377" s="7" t="s">
        <v>1191</v>
      </c>
      <c r="C377" s="7" t="e">
        <f t="shared" si="5"/>
        <v>#REF!</v>
      </c>
      <c r="D377" s="7" t="e">
        <f>item!#REF!</f>
        <v>#REF!</v>
      </c>
    </row>
    <row r="378" spans="1:4">
      <c r="A378" s="7">
        <v>90083</v>
      </c>
      <c r="B378" s="7" t="s">
        <v>1192</v>
      </c>
      <c r="C378" s="7" t="e">
        <f t="shared" si="5"/>
        <v>#REF!</v>
      </c>
      <c r="D378" s="7" t="e">
        <f>item!#REF!</f>
        <v>#REF!</v>
      </c>
    </row>
    <row r="379" spans="1:4">
      <c r="A379" s="7">
        <v>90084</v>
      </c>
      <c r="B379" s="7" t="s">
        <v>1193</v>
      </c>
      <c r="C379" s="7" t="e">
        <f t="shared" si="5"/>
        <v>#REF!</v>
      </c>
      <c r="D379" s="7" t="e">
        <f>item!#REF!</f>
        <v>#REF!</v>
      </c>
    </row>
    <row r="380" spans="1:4">
      <c r="A380" s="7">
        <v>90085</v>
      </c>
      <c r="B380" s="7" t="s">
        <v>1194</v>
      </c>
      <c r="C380" s="7" t="e">
        <f t="shared" si="5"/>
        <v>#REF!</v>
      </c>
      <c r="D380" s="7" t="e">
        <f>item!#REF!</f>
        <v>#REF!</v>
      </c>
    </row>
    <row r="381" spans="1:4">
      <c r="A381" s="7">
        <v>90086</v>
      </c>
      <c r="B381" s="7" t="s">
        <v>1195</v>
      </c>
      <c r="C381" s="7" t="e">
        <f t="shared" si="5"/>
        <v>#REF!</v>
      </c>
      <c r="D381" s="7" t="e">
        <f>item!#REF!</f>
        <v>#REF!</v>
      </c>
    </row>
    <row r="382" spans="1:4">
      <c r="A382" s="7">
        <v>90087</v>
      </c>
      <c r="B382" s="7" t="s">
        <v>1196</v>
      </c>
      <c r="C382" s="7" t="e">
        <f t="shared" si="5"/>
        <v>#REF!</v>
      </c>
      <c r="D382" s="7" t="e">
        <f>item!#REF!</f>
        <v>#REF!</v>
      </c>
    </row>
    <row r="383" spans="1:4">
      <c r="A383" s="7">
        <v>90088</v>
      </c>
      <c r="B383" s="7" t="s">
        <v>1197</v>
      </c>
      <c r="C383" s="7" t="e">
        <f t="shared" si="5"/>
        <v>#REF!</v>
      </c>
      <c r="D383" s="7" t="e">
        <f>item!#REF!</f>
        <v>#REF!</v>
      </c>
    </row>
    <row r="384" spans="1:4">
      <c r="A384" s="7">
        <v>90089</v>
      </c>
      <c r="B384" s="7" t="s">
        <v>1198</v>
      </c>
      <c r="C384" s="7" t="e">
        <f t="shared" si="5"/>
        <v>#REF!</v>
      </c>
      <c r="D384" s="7" t="e">
        <f>item!#REF!</f>
        <v>#REF!</v>
      </c>
    </row>
    <row r="385" spans="1:4">
      <c r="A385" s="7">
        <v>90090</v>
      </c>
      <c r="B385" s="7" t="s">
        <v>1199</v>
      </c>
      <c r="C385" s="7" t="e">
        <f t="shared" si="5"/>
        <v>#REF!</v>
      </c>
      <c r="D385" s="7" t="e">
        <f>item!#REF!</f>
        <v>#REF!</v>
      </c>
    </row>
    <row r="386" spans="1:4">
      <c r="A386" s="7">
        <v>90091</v>
      </c>
      <c r="B386" s="7" t="s">
        <v>1200</v>
      </c>
      <c r="C386" s="7" t="e">
        <f t="shared" si="5"/>
        <v>#REF!</v>
      </c>
      <c r="D386" s="7" t="e">
        <f>item!#REF!</f>
        <v>#REF!</v>
      </c>
    </row>
    <row r="387" spans="1:4">
      <c r="A387" s="7">
        <v>90092</v>
      </c>
      <c r="B387" s="7" t="s">
        <v>1201</v>
      </c>
      <c r="C387" s="7" t="e">
        <f t="shared" ref="C387:C450" si="6">D387*2</f>
        <v>#REF!</v>
      </c>
      <c r="D387" s="7" t="e">
        <f>item!#REF!</f>
        <v>#REF!</v>
      </c>
    </row>
    <row r="388" spans="1:4">
      <c r="A388" s="7">
        <v>90093</v>
      </c>
      <c r="B388" s="7" t="s">
        <v>1202</v>
      </c>
      <c r="C388" s="7" t="e">
        <f t="shared" si="6"/>
        <v>#REF!</v>
      </c>
      <c r="D388" s="7" t="e">
        <f>item!#REF!</f>
        <v>#REF!</v>
      </c>
    </row>
    <row r="389" spans="1:4">
      <c r="A389" s="7">
        <v>90094</v>
      </c>
      <c r="B389" s="7" t="s">
        <v>1203</v>
      </c>
      <c r="C389" s="7" t="e">
        <f t="shared" si="6"/>
        <v>#REF!</v>
      </c>
      <c r="D389" s="7" t="e">
        <f>item!#REF!</f>
        <v>#REF!</v>
      </c>
    </row>
    <row r="390" spans="1:4">
      <c r="A390" s="7">
        <v>90095</v>
      </c>
      <c r="B390" s="7" t="s">
        <v>1204</v>
      </c>
      <c r="C390" s="7" t="e">
        <f t="shared" si="6"/>
        <v>#REF!</v>
      </c>
      <c r="D390" s="7" t="e">
        <f>item!#REF!</f>
        <v>#REF!</v>
      </c>
    </row>
    <row r="391" spans="1:4">
      <c r="A391" s="7">
        <v>90096</v>
      </c>
      <c r="B391" s="7" t="s">
        <v>1205</v>
      </c>
      <c r="C391" s="7" t="e">
        <f t="shared" si="6"/>
        <v>#REF!</v>
      </c>
      <c r="D391" s="7" t="e">
        <f>item!#REF!</f>
        <v>#REF!</v>
      </c>
    </row>
    <row r="392" spans="1:4">
      <c r="A392" s="7">
        <v>90097</v>
      </c>
      <c r="B392" s="7" t="s">
        <v>1206</v>
      </c>
      <c r="C392" s="7" t="e">
        <f t="shared" si="6"/>
        <v>#REF!</v>
      </c>
      <c r="D392" s="7" t="e">
        <f>item!#REF!</f>
        <v>#REF!</v>
      </c>
    </row>
    <row r="393" spans="1:4">
      <c r="A393" s="7">
        <v>90098</v>
      </c>
      <c r="B393" s="7" t="s">
        <v>1207</v>
      </c>
      <c r="C393" s="7" t="e">
        <f t="shared" si="6"/>
        <v>#REF!</v>
      </c>
      <c r="D393" s="7" t="e">
        <f>item!#REF!</f>
        <v>#REF!</v>
      </c>
    </row>
    <row r="394" spans="1:4">
      <c r="A394" s="7">
        <v>90099</v>
      </c>
      <c r="B394" s="7" t="s">
        <v>1208</v>
      </c>
      <c r="C394" s="7" t="e">
        <f t="shared" si="6"/>
        <v>#REF!</v>
      </c>
      <c r="D394" s="7" t="e">
        <f>item!#REF!</f>
        <v>#REF!</v>
      </c>
    </row>
    <row r="395" spans="1:4">
      <c r="A395" s="7">
        <v>90100</v>
      </c>
      <c r="B395" s="7" t="s">
        <v>1209</v>
      </c>
      <c r="C395" s="7" t="e">
        <f t="shared" si="6"/>
        <v>#REF!</v>
      </c>
      <c r="D395" s="7" t="e">
        <f>item!#REF!</f>
        <v>#REF!</v>
      </c>
    </row>
    <row r="396" spans="1:4">
      <c r="A396" s="7">
        <v>90101</v>
      </c>
      <c r="B396" s="7" t="s">
        <v>1210</v>
      </c>
      <c r="C396" s="7" t="e">
        <f t="shared" si="6"/>
        <v>#REF!</v>
      </c>
      <c r="D396" s="7" t="e">
        <f>item!#REF!</f>
        <v>#REF!</v>
      </c>
    </row>
    <row r="397" spans="1:4">
      <c r="A397" s="7">
        <v>90102</v>
      </c>
      <c r="B397" s="7" t="s">
        <v>1211</v>
      </c>
      <c r="C397" s="7" t="e">
        <f t="shared" si="6"/>
        <v>#REF!</v>
      </c>
      <c r="D397" s="7" t="e">
        <f>item!#REF!</f>
        <v>#REF!</v>
      </c>
    </row>
    <row r="398" spans="1:4">
      <c r="A398" s="7">
        <v>90103</v>
      </c>
      <c r="B398" s="7" t="s">
        <v>1212</v>
      </c>
      <c r="C398" s="7" t="e">
        <f t="shared" si="6"/>
        <v>#REF!</v>
      </c>
      <c r="D398" s="7" t="e">
        <f>item!#REF!</f>
        <v>#REF!</v>
      </c>
    </row>
    <row r="399" spans="1:4">
      <c r="A399" s="7">
        <v>90104</v>
      </c>
      <c r="B399" s="7" t="s">
        <v>1213</v>
      </c>
      <c r="C399" s="7" t="e">
        <f t="shared" si="6"/>
        <v>#REF!</v>
      </c>
      <c r="D399" s="7" t="e">
        <f>item!#REF!</f>
        <v>#REF!</v>
      </c>
    </row>
    <row r="400" spans="1:4">
      <c r="A400" s="7">
        <v>90105</v>
      </c>
      <c r="B400" s="7" t="s">
        <v>1214</v>
      </c>
      <c r="C400" s="7" t="e">
        <f t="shared" si="6"/>
        <v>#REF!</v>
      </c>
      <c r="D400" s="7" t="e">
        <f>item!#REF!</f>
        <v>#REF!</v>
      </c>
    </row>
    <row r="401" spans="1:4">
      <c r="A401" s="7">
        <v>90106</v>
      </c>
      <c r="B401" s="7" t="s">
        <v>1215</v>
      </c>
      <c r="C401" s="7" t="e">
        <f t="shared" si="6"/>
        <v>#REF!</v>
      </c>
      <c r="D401" s="7" t="e">
        <f>item!#REF!</f>
        <v>#REF!</v>
      </c>
    </row>
    <row r="402" spans="1:4">
      <c r="A402" s="7">
        <v>90107</v>
      </c>
      <c r="B402" s="7" t="s">
        <v>1216</v>
      </c>
      <c r="C402" s="7" t="e">
        <f t="shared" si="6"/>
        <v>#REF!</v>
      </c>
      <c r="D402" s="7" t="e">
        <f>item!#REF!</f>
        <v>#REF!</v>
      </c>
    </row>
    <row r="403" spans="1:4">
      <c r="A403" s="7">
        <v>90108</v>
      </c>
      <c r="B403" s="7" t="s">
        <v>1217</v>
      </c>
      <c r="C403" s="7" t="e">
        <f t="shared" si="6"/>
        <v>#REF!</v>
      </c>
      <c r="D403" s="7" t="e">
        <f>item!#REF!</f>
        <v>#REF!</v>
      </c>
    </row>
    <row r="404" spans="1:4">
      <c r="A404" s="7">
        <v>90109</v>
      </c>
      <c r="B404" s="7" t="s">
        <v>1218</v>
      </c>
      <c r="C404" s="7" t="e">
        <f t="shared" si="6"/>
        <v>#REF!</v>
      </c>
      <c r="D404" s="7" t="e">
        <f>item!#REF!</f>
        <v>#REF!</v>
      </c>
    </row>
    <row r="405" spans="1:4">
      <c r="A405" s="7">
        <v>90110</v>
      </c>
      <c r="B405" s="7" t="s">
        <v>1219</v>
      </c>
      <c r="C405" s="7" t="e">
        <f t="shared" si="6"/>
        <v>#REF!</v>
      </c>
      <c r="D405" s="7" t="e">
        <f>item!#REF!</f>
        <v>#REF!</v>
      </c>
    </row>
    <row r="406" spans="1:4">
      <c r="A406" s="7">
        <v>90111</v>
      </c>
      <c r="B406" s="7" t="s">
        <v>1220</v>
      </c>
      <c r="C406" s="7" t="e">
        <f t="shared" si="6"/>
        <v>#REF!</v>
      </c>
      <c r="D406" s="7" t="e">
        <f>item!#REF!</f>
        <v>#REF!</v>
      </c>
    </row>
    <row r="407" spans="1:4">
      <c r="A407" s="7">
        <v>90112</v>
      </c>
      <c r="B407" s="7" t="s">
        <v>1221</v>
      </c>
      <c r="C407" s="7" t="e">
        <f t="shared" si="6"/>
        <v>#REF!</v>
      </c>
      <c r="D407" s="7" t="e">
        <f>item!#REF!</f>
        <v>#REF!</v>
      </c>
    </row>
    <row r="408" spans="1:4">
      <c r="A408" s="7">
        <v>90113</v>
      </c>
      <c r="B408" s="7" t="s">
        <v>1222</v>
      </c>
      <c r="C408" s="7" t="e">
        <f t="shared" si="6"/>
        <v>#REF!</v>
      </c>
      <c r="D408" s="7" t="e">
        <f>item!#REF!</f>
        <v>#REF!</v>
      </c>
    </row>
    <row r="409" spans="1:4">
      <c r="A409" s="7">
        <v>90114</v>
      </c>
      <c r="B409" s="7" t="s">
        <v>1223</v>
      </c>
      <c r="C409" s="7" t="e">
        <f t="shared" si="6"/>
        <v>#REF!</v>
      </c>
      <c r="D409" s="7" t="e">
        <f>item!#REF!</f>
        <v>#REF!</v>
      </c>
    </row>
    <row r="410" spans="1:4">
      <c r="A410" s="7">
        <v>90115</v>
      </c>
      <c r="B410" s="7" t="s">
        <v>1224</v>
      </c>
      <c r="C410" s="7" t="e">
        <f t="shared" si="6"/>
        <v>#REF!</v>
      </c>
      <c r="D410" s="7" t="e">
        <f>item!#REF!</f>
        <v>#REF!</v>
      </c>
    </row>
    <row r="411" spans="1:4">
      <c r="A411" s="7">
        <v>90116</v>
      </c>
      <c r="B411" s="7" t="s">
        <v>1225</v>
      </c>
      <c r="C411" s="7" t="e">
        <f t="shared" si="6"/>
        <v>#REF!</v>
      </c>
      <c r="D411" s="7" t="e">
        <f>item!#REF!</f>
        <v>#REF!</v>
      </c>
    </row>
    <row r="412" spans="1:4">
      <c r="A412" s="7">
        <v>90117</v>
      </c>
      <c r="B412" s="7" t="s">
        <v>1226</v>
      </c>
      <c r="C412" s="7" t="e">
        <f t="shared" si="6"/>
        <v>#REF!</v>
      </c>
      <c r="D412" s="7" t="e">
        <f>item!#REF!</f>
        <v>#REF!</v>
      </c>
    </row>
    <row r="413" spans="1:4">
      <c r="A413" s="7">
        <v>90118</v>
      </c>
      <c r="B413" s="7" t="s">
        <v>1227</v>
      </c>
      <c r="C413" s="7" t="e">
        <f t="shared" si="6"/>
        <v>#REF!</v>
      </c>
      <c r="D413" s="7" t="e">
        <f>item!#REF!</f>
        <v>#REF!</v>
      </c>
    </row>
    <row r="414" spans="1:4">
      <c r="A414" s="7">
        <v>90119</v>
      </c>
      <c r="B414" s="7" t="s">
        <v>1228</v>
      </c>
      <c r="C414" s="7" t="e">
        <f t="shared" si="6"/>
        <v>#REF!</v>
      </c>
      <c r="D414" s="7" t="e">
        <f>item!#REF!</f>
        <v>#REF!</v>
      </c>
    </row>
    <row r="415" spans="1:4">
      <c r="A415" s="7">
        <v>90120</v>
      </c>
      <c r="B415" s="7" t="s">
        <v>1229</v>
      </c>
      <c r="C415" s="7" t="e">
        <f t="shared" si="6"/>
        <v>#REF!</v>
      </c>
      <c r="D415" s="7" t="e">
        <f>item!#REF!</f>
        <v>#REF!</v>
      </c>
    </row>
    <row r="416" spans="1:4">
      <c r="A416" s="7">
        <v>90121</v>
      </c>
      <c r="B416" s="7" t="s">
        <v>1230</v>
      </c>
      <c r="C416" s="7" t="e">
        <f t="shared" si="6"/>
        <v>#REF!</v>
      </c>
      <c r="D416" s="7" t="e">
        <f>item!#REF!</f>
        <v>#REF!</v>
      </c>
    </row>
    <row r="417" spans="1:4">
      <c r="A417" s="7">
        <v>90122</v>
      </c>
      <c r="B417" s="7" t="s">
        <v>1231</v>
      </c>
      <c r="C417" s="7" t="e">
        <f t="shared" si="6"/>
        <v>#REF!</v>
      </c>
      <c r="D417" s="7" t="e">
        <f>item!#REF!</f>
        <v>#REF!</v>
      </c>
    </row>
    <row r="418" spans="1:4">
      <c r="A418" s="7">
        <v>90123</v>
      </c>
      <c r="B418" s="7" t="s">
        <v>1232</v>
      </c>
      <c r="C418" s="7" t="e">
        <f t="shared" si="6"/>
        <v>#REF!</v>
      </c>
      <c r="D418" s="7" t="e">
        <f>item!#REF!</f>
        <v>#REF!</v>
      </c>
    </row>
    <row r="419" spans="1:4">
      <c r="A419" s="7">
        <v>90124</v>
      </c>
      <c r="B419" s="7" t="s">
        <v>1233</v>
      </c>
      <c r="C419" s="7" t="e">
        <f t="shared" si="6"/>
        <v>#REF!</v>
      </c>
      <c r="D419" s="7" t="e">
        <f>item!#REF!</f>
        <v>#REF!</v>
      </c>
    </row>
    <row r="420" spans="1:4">
      <c r="A420" s="7">
        <v>90125</v>
      </c>
      <c r="B420" s="7" t="s">
        <v>1234</v>
      </c>
      <c r="C420" s="7" t="e">
        <f t="shared" si="6"/>
        <v>#REF!</v>
      </c>
      <c r="D420" s="7" t="e">
        <f>item!#REF!</f>
        <v>#REF!</v>
      </c>
    </row>
    <row r="421" spans="1:4">
      <c r="A421" s="7">
        <v>90126</v>
      </c>
      <c r="B421" s="7" t="s">
        <v>1235</v>
      </c>
      <c r="C421" s="7" t="e">
        <f t="shared" si="6"/>
        <v>#REF!</v>
      </c>
      <c r="D421" s="7" t="e">
        <f>item!#REF!</f>
        <v>#REF!</v>
      </c>
    </row>
    <row r="422" spans="1:4">
      <c r="A422" s="7">
        <v>90127</v>
      </c>
      <c r="B422" s="7" t="s">
        <v>1236</v>
      </c>
      <c r="C422" s="7" t="e">
        <f t="shared" si="6"/>
        <v>#REF!</v>
      </c>
      <c r="D422" s="7" t="e">
        <f>item!#REF!</f>
        <v>#REF!</v>
      </c>
    </row>
    <row r="423" spans="1:4">
      <c r="A423" s="7">
        <v>90128</v>
      </c>
      <c r="B423" s="7" t="s">
        <v>1237</v>
      </c>
      <c r="C423" s="7" t="e">
        <f t="shared" si="6"/>
        <v>#REF!</v>
      </c>
      <c r="D423" s="7" t="e">
        <f>item!#REF!</f>
        <v>#REF!</v>
      </c>
    </row>
    <row r="424" spans="1:4">
      <c r="A424" s="7">
        <v>90129</v>
      </c>
      <c r="B424" s="7" t="s">
        <v>1238</v>
      </c>
      <c r="C424" s="7" t="e">
        <f t="shared" si="6"/>
        <v>#REF!</v>
      </c>
      <c r="D424" s="7" t="e">
        <f>item!#REF!</f>
        <v>#REF!</v>
      </c>
    </row>
    <row r="425" spans="1:4">
      <c r="A425" s="7">
        <v>90130</v>
      </c>
      <c r="B425" s="7" t="s">
        <v>1239</v>
      </c>
      <c r="C425" s="7" t="e">
        <f t="shared" si="6"/>
        <v>#REF!</v>
      </c>
      <c r="D425" s="7" t="e">
        <f>item!#REF!</f>
        <v>#REF!</v>
      </c>
    </row>
    <row r="426" spans="1:4">
      <c r="A426" s="7">
        <v>90131</v>
      </c>
      <c r="B426" s="7" t="s">
        <v>1240</v>
      </c>
      <c r="C426" s="7" t="e">
        <f t="shared" si="6"/>
        <v>#REF!</v>
      </c>
      <c r="D426" s="7" t="e">
        <f>item!#REF!</f>
        <v>#REF!</v>
      </c>
    </row>
    <row r="427" spans="1:4">
      <c r="A427" s="7">
        <v>90132</v>
      </c>
      <c r="B427" s="7" t="s">
        <v>1241</v>
      </c>
      <c r="C427" s="7" t="e">
        <f t="shared" si="6"/>
        <v>#REF!</v>
      </c>
      <c r="D427" s="7" t="e">
        <f>item!#REF!</f>
        <v>#REF!</v>
      </c>
    </row>
    <row r="428" spans="1:4">
      <c r="A428" s="7">
        <v>90133</v>
      </c>
      <c r="B428" s="7" t="s">
        <v>1242</v>
      </c>
      <c r="C428" s="7" t="e">
        <f t="shared" si="6"/>
        <v>#REF!</v>
      </c>
      <c r="D428" s="7" t="e">
        <f>item!#REF!</f>
        <v>#REF!</v>
      </c>
    </row>
    <row r="429" spans="1:4">
      <c r="A429" s="7">
        <v>90134</v>
      </c>
      <c r="B429" s="7" t="s">
        <v>1243</v>
      </c>
      <c r="C429" s="7" t="e">
        <f t="shared" si="6"/>
        <v>#REF!</v>
      </c>
      <c r="D429" s="7" t="e">
        <f>item!#REF!</f>
        <v>#REF!</v>
      </c>
    </row>
    <row r="430" spans="1:4">
      <c r="A430" s="7">
        <v>90135</v>
      </c>
      <c r="B430" s="7" t="s">
        <v>1244</v>
      </c>
      <c r="C430" s="7" t="e">
        <f t="shared" si="6"/>
        <v>#REF!</v>
      </c>
      <c r="D430" s="7" t="e">
        <f>item!#REF!</f>
        <v>#REF!</v>
      </c>
    </row>
    <row r="431" spans="1:4">
      <c r="A431" s="7">
        <v>90136</v>
      </c>
      <c r="B431" s="7" t="s">
        <v>1245</v>
      </c>
      <c r="C431" s="7" t="e">
        <f t="shared" si="6"/>
        <v>#REF!</v>
      </c>
      <c r="D431" s="7" t="e">
        <f>item!#REF!</f>
        <v>#REF!</v>
      </c>
    </row>
    <row r="432" spans="1:4">
      <c r="A432" s="7">
        <v>90137</v>
      </c>
      <c r="B432" s="7" t="s">
        <v>1246</v>
      </c>
      <c r="C432" s="7" t="e">
        <f t="shared" si="6"/>
        <v>#REF!</v>
      </c>
      <c r="D432" s="7" t="e">
        <f>item!#REF!</f>
        <v>#REF!</v>
      </c>
    </row>
    <row r="433" spans="1:4">
      <c r="A433" s="7">
        <v>90138</v>
      </c>
      <c r="B433" s="7" t="s">
        <v>1247</v>
      </c>
      <c r="C433" s="7" t="e">
        <f t="shared" si="6"/>
        <v>#REF!</v>
      </c>
      <c r="D433" s="7" t="e">
        <f>item!#REF!</f>
        <v>#REF!</v>
      </c>
    </row>
    <row r="434" spans="1:4">
      <c r="A434" s="7">
        <v>90139</v>
      </c>
      <c r="B434" s="7" t="s">
        <v>1248</v>
      </c>
      <c r="C434" s="7" t="e">
        <f t="shared" si="6"/>
        <v>#REF!</v>
      </c>
      <c r="D434" s="7" t="e">
        <f>item!#REF!</f>
        <v>#REF!</v>
      </c>
    </row>
    <row r="435" spans="1:4">
      <c r="A435" s="7">
        <v>90140</v>
      </c>
      <c r="B435" s="7" t="s">
        <v>1249</v>
      </c>
      <c r="C435" s="7" t="e">
        <f t="shared" si="6"/>
        <v>#REF!</v>
      </c>
      <c r="D435" s="7" t="e">
        <f>item!#REF!</f>
        <v>#REF!</v>
      </c>
    </row>
    <row r="436" spans="1:4">
      <c r="A436" s="7">
        <v>90141</v>
      </c>
      <c r="B436" s="7" t="s">
        <v>1250</v>
      </c>
      <c r="C436" s="7" t="e">
        <f t="shared" si="6"/>
        <v>#REF!</v>
      </c>
      <c r="D436" s="7" t="e">
        <f>item!#REF!</f>
        <v>#REF!</v>
      </c>
    </row>
    <row r="437" spans="1:4">
      <c r="A437" s="7">
        <v>90142</v>
      </c>
      <c r="B437" s="7" t="s">
        <v>1251</v>
      </c>
      <c r="C437" s="7" t="e">
        <f t="shared" si="6"/>
        <v>#REF!</v>
      </c>
      <c r="D437" s="7" t="e">
        <f>item!#REF!</f>
        <v>#REF!</v>
      </c>
    </row>
    <row r="438" spans="1:4">
      <c r="A438" s="7">
        <v>90143</v>
      </c>
      <c r="B438" s="7" t="s">
        <v>1252</v>
      </c>
      <c r="C438" s="7" t="e">
        <f t="shared" si="6"/>
        <v>#REF!</v>
      </c>
      <c r="D438" s="7" t="e">
        <f>item!#REF!</f>
        <v>#REF!</v>
      </c>
    </row>
    <row r="439" spans="1:4">
      <c r="A439" s="7">
        <v>90144</v>
      </c>
      <c r="B439" s="7" t="s">
        <v>1253</v>
      </c>
      <c r="C439" s="7" t="e">
        <f t="shared" si="6"/>
        <v>#REF!</v>
      </c>
      <c r="D439" s="7" t="e">
        <f>item!#REF!</f>
        <v>#REF!</v>
      </c>
    </row>
    <row r="440" spans="1:4">
      <c r="A440" s="7">
        <v>90145</v>
      </c>
      <c r="B440" s="7" t="s">
        <v>691</v>
      </c>
      <c r="C440" s="7" t="e">
        <f t="shared" si="6"/>
        <v>#REF!</v>
      </c>
      <c r="D440" s="7" t="e">
        <f>item!#REF!</f>
        <v>#REF!</v>
      </c>
    </row>
    <row r="441" spans="1:4">
      <c r="A441" s="7">
        <v>90146</v>
      </c>
      <c r="B441" s="7" t="s">
        <v>692</v>
      </c>
      <c r="C441" s="7" t="e">
        <f t="shared" si="6"/>
        <v>#REF!</v>
      </c>
      <c r="D441" s="7" t="e">
        <f>item!#REF!</f>
        <v>#REF!</v>
      </c>
    </row>
    <row r="442" spans="1:4">
      <c r="A442" s="7">
        <v>90147</v>
      </c>
      <c r="B442" s="7" t="s">
        <v>693</v>
      </c>
      <c r="C442" s="7" t="e">
        <f t="shared" si="6"/>
        <v>#REF!</v>
      </c>
      <c r="D442" s="7" t="e">
        <f>item!#REF!</f>
        <v>#REF!</v>
      </c>
    </row>
    <row r="443" spans="1:4">
      <c r="A443" s="7">
        <v>90148</v>
      </c>
      <c r="B443" s="7" t="s">
        <v>694</v>
      </c>
      <c r="C443" s="7" t="e">
        <f t="shared" si="6"/>
        <v>#REF!</v>
      </c>
      <c r="D443" s="7" t="e">
        <f>item!#REF!</f>
        <v>#REF!</v>
      </c>
    </row>
    <row r="444" spans="1:4">
      <c r="A444" s="7">
        <v>90149</v>
      </c>
      <c r="B444" s="7" t="s">
        <v>695</v>
      </c>
      <c r="C444" s="7" t="e">
        <f t="shared" si="6"/>
        <v>#REF!</v>
      </c>
      <c r="D444" s="7" t="e">
        <f>item!#REF!</f>
        <v>#REF!</v>
      </c>
    </row>
    <row r="445" spans="1:4">
      <c r="A445" s="7">
        <v>90150</v>
      </c>
      <c r="B445" s="7" t="s">
        <v>696</v>
      </c>
      <c r="C445" s="7" t="e">
        <f t="shared" si="6"/>
        <v>#REF!</v>
      </c>
      <c r="D445" s="7" t="e">
        <f>item!#REF!</f>
        <v>#REF!</v>
      </c>
    </row>
    <row r="446" spans="1:4">
      <c r="A446" s="7">
        <v>90151</v>
      </c>
      <c r="B446" s="7" t="s">
        <v>697</v>
      </c>
      <c r="C446" s="7" t="e">
        <f t="shared" si="6"/>
        <v>#REF!</v>
      </c>
      <c r="D446" s="7" t="e">
        <f>item!#REF!</f>
        <v>#REF!</v>
      </c>
    </row>
    <row r="447" spans="1:4">
      <c r="A447" s="7">
        <v>90152</v>
      </c>
      <c r="B447" s="7" t="s">
        <v>698</v>
      </c>
      <c r="C447" s="7" t="e">
        <f t="shared" si="6"/>
        <v>#REF!</v>
      </c>
      <c r="D447" s="7" t="e">
        <f>item!#REF!</f>
        <v>#REF!</v>
      </c>
    </row>
    <row r="448" spans="1:4">
      <c r="A448" s="7">
        <v>90164</v>
      </c>
      <c r="B448" s="7" t="s">
        <v>699</v>
      </c>
      <c r="C448" s="7" t="e">
        <f t="shared" si="6"/>
        <v>#REF!</v>
      </c>
      <c r="D448" s="7" t="e">
        <f>item!#REF!</f>
        <v>#REF!</v>
      </c>
    </row>
    <row r="449" spans="1:4">
      <c r="A449" s="7">
        <v>90165</v>
      </c>
      <c r="B449" s="7" t="s">
        <v>700</v>
      </c>
      <c r="C449" s="7" t="e">
        <f t="shared" si="6"/>
        <v>#REF!</v>
      </c>
      <c r="D449" s="7" t="e">
        <f>item!#REF!</f>
        <v>#REF!</v>
      </c>
    </row>
    <row r="450" spans="1:4">
      <c r="A450" s="7">
        <v>90166</v>
      </c>
      <c r="B450" s="7" t="s">
        <v>702</v>
      </c>
      <c r="C450" s="7">
        <f t="shared" si="6"/>
        <v>2</v>
      </c>
      <c r="D450" s="7">
        <f>item!S331</f>
        <v>1</v>
      </c>
    </row>
    <row r="451" spans="1:4">
      <c r="A451" s="7">
        <v>90167</v>
      </c>
      <c r="B451" s="7" t="s">
        <v>703</v>
      </c>
      <c r="C451" s="7">
        <f t="shared" ref="C451:C514" si="7">D451*2</f>
        <v>2</v>
      </c>
      <c r="D451" s="7">
        <f>item!S332</f>
        <v>1</v>
      </c>
    </row>
    <row r="452" spans="1:4">
      <c r="A452" s="7">
        <v>90168</v>
      </c>
      <c r="B452" s="7" t="s">
        <v>704</v>
      </c>
      <c r="C452" s="7">
        <f t="shared" si="7"/>
        <v>2</v>
      </c>
      <c r="D452" s="7">
        <f>item!S333</f>
        <v>1</v>
      </c>
    </row>
    <row r="453" spans="1:4">
      <c r="A453" s="7">
        <v>90169</v>
      </c>
      <c r="B453" s="7" t="s">
        <v>705</v>
      </c>
      <c r="C453" s="7">
        <f t="shared" si="7"/>
        <v>2</v>
      </c>
      <c r="D453" s="7">
        <f>item!S334</f>
        <v>1</v>
      </c>
    </row>
    <row r="454" spans="1:4">
      <c r="A454" s="7">
        <v>90170</v>
      </c>
      <c r="B454" s="7" t="s">
        <v>706</v>
      </c>
      <c r="C454" s="7">
        <f t="shared" si="7"/>
        <v>2</v>
      </c>
      <c r="D454" s="7">
        <f>item!S335</f>
        <v>1</v>
      </c>
    </row>
    <row r="455" spans="1:4">
      <c r="A455" s="7">
        <v>90171</v>
      </c>
      <c r="B455" s="7" t="s">
        <v>707</v>
      </c>
      <c r="C455" s="7">
        <f t="shared" si="7"/>
        <v>2</v>
      </c>
      <c r="D455" s="7">
        <f>item!S336</f>
        <v>1</v>
      </c>
    </row>
    <row r="456" spans="1:4">
      <c r="A456" s="7">
        <v>90172</v>
      </c>
      <c r="B456" s="7" t="s">
        <v>1045</v>
      </c>
      <c r="C456" s="7">
        <f t="shared" si="7"/>
        <v>2</v>
      </c>
      <c r="D456" s="7">
        <f>item!S337</f>
        <v>1</v>
      </c>
    </row>
    <row r="457" spans="1:4">
      <c r="A457" s="7">
        <v>90173</v>
      </c>
      <c r="B457" s="7" t="s">
        <v>1046</v>
      </c>
      <c r="C457" s="7">
        <f t="shared" si="7"/>
        <v>2</v>
      </c>
      <c r="D457" s="7">
        <f>item!S338</f>
        <v>1</v>
      </c>
    </row>
    <row r="458" spans="1:4">
      <c r="A458" s="7">
        <v>90174</v>
      </c>
      <c r="B458" s="7" t="s">
        <v>708</v>
      </c>
      <c r="C458" s="7">
        <f t="shared" si="7"/>
        <v>2</v>
      </c>
      <c r="D458" s="7">
        <f>item!S339</f>
        <v>1</v>
      </c>
    </row>
    <row r="459" spans="1:4">
      <c r="A459" s="7">
        <v>90175</v>
      </c>
      <c r="B459" s="7" t="s">
        <v>709</v>
      </c>
      <c r="C459" s="7">
        <f t="shared" si="7"/>
        <v>2</v>
      </c>
      <c r="D459" s="7">
        <f>item!S340</f>
        <v>1</v>
      </c>
    </row>
    <row r="460" spans="1:4">
      <c r="A460" s="7">
        <v>90176</v>
      </c>
      <c r="B460" s="7" t="s">
        <v>2132</v>
      </c>
      <c r="C460" s="7">
        <f t="shared" si="7"/>
        <v>2</v>
      </c>
      <c r="D460" s="7">
        <f>item!S341</f>
        <v>1</v>
      </c>
    </row>
    <row r="461" spans="1:4">
      <c r="A461" s="7">
        <v>90177</v>
      </c>
      <c r="B461" s="7" t="s">
        <v>2133</v>
      </c>
      <c r="C461" s="7">
        <f t="shared" si="7"/>
        <v>2</v>
      </c>
      <c r="D461" s="7">
        <f>item!S342</f>
        <v>1</v>
      </c>
    </row>
    <row r="462" spans="1:4">
      <c r="A462" s="7">
        <v>90178</v>
      </c>
      <c r="B462" s="7" t="s">
        <v>2134</v>
      </c>
      <c r="C462" s="7">
        <f t="shared" si="7"/>
        <v>2</v>
      </c>
      <c r="D462" s="7">
        <f>item!S343</f>
        <v>1</v>
      </c>
    </row>
    <row r="463" spans="1:4">
      <c r="A463" s="7">
        <v>90179</v>
      </c>
      <c r="B463" s="7" t="s">
        <v>1047</v>
      </c>
      <c r="C463" s="7">
        <f t="shared" si="7"/>
        <v>2</v>
      </c>
      <c r="D463" s="7">
        <f>item!S344</f>
        <v>1</v>
      </c>
    </row>
    <row r="464" spans="1:4">
      <c r="A464" s="7">
        <v>90180</v>
      </c>
      <c r="B464" s="7" t="s">
        <v>1048</v>
      </c>
      <c r="C464" s="7">
        <f t="shared" si="7"/>
        <v>2</v>
      </c>
      <c r="D464" s="7">
        <f>item!S345</f>
        <v>1</v>
      </c>
    </row>
    <row r="465" spans="1:4">
      <c r="A465" s="7">
        <v>90181</v>
      </c>
      <c r="B465" s="7" t="s">
        <v>1049</v>
      </c>
      <c r="C465" s="7">
        <f t="shared" si="7"/>
        <v>2</v>
      </c>
      <c r="D465" s="7">
        <f>item!S346</f>
        <v>1</v>
      </c>
    </row>
    <row r="466" spans="1:4">
      <c r="A466" s="7">
        <v>90182</v>
      </c>
      <c r="B466" s="7" t="s">
        <v>2135</v>
      </c>
      <c r="C466" s="7">
        <f t="shared" si="7"/>
        <v>2</v>
      </c>
      <c r="D466" s="7">
        <f>item!S347</f>
        <v>1</v>
      </c>
    </row>
    <row r="467" spans="1:4">
      <c r="A467" s="7">
        <v>90183</v>
      </c>
      <c r="B467" s="7" t="s">
        <v>710</v>
      </c>
      <c r="C467" s="7">
        <f t="shared" si="7"/>
        <v>2</v>
      </c>
      <c r="D467" s="7">
        <f>item!S348</f>
        <v>1</v>
      </c>
    </row>
    <row r="468" spans="1:4">
      <c r="A468" s="7">
        <v>90184</v>
      </c>
      <c r="B468" s="7" t="s">
        <v>711</v>
      </c>
      <c r="C468" s="7">
        <f t="shared" si="7"/>
        <v>2</v>
      </c>
      <c r="D468" s="7">
        <f>item!S349</f>
        <v>1</v>
      </c>
    </row>
    <row r="469" spans="1:4">
      <c r="A469" s="7">
        <v>90185</v>
      </c>
      <c r="B469" s="7" t="s">
        <v>915</v>
      </c>
      <c r="C469" s="7">
        <f t="shared" si="7"/>
        <v>2</v>
      </c>
      <c r="D469" s="7">
        <f>item!S350</f>
        <v>1</v>
      </c>
    </row>
    <row r="470" spans="1:4">
      <c r="A470" s="7">
        <v>90186</v>
      </c>
      <c r="B470" s="7" t="s">
        <v>916</v>
      </c>
      <c r="C470" s="7">
        <f t="shared" si="7"/>
        <v>2</v>
      </c>
      <c r="D470" s="7">
        <f>item!S351</f>
        <v>1</v>
      </c>
    </row>
    <row r="471" spans="1:4">
      <c r="A471" s="7">
        <v>90187</v>
      </c>
      <c r="B471" s="7" t="s">
        <v>917</v>
      </c>
      <c r="C471" s="7">
        <f t="shared" si="7"/>
        <v>2</v>
      </c>
      <c r="D471" s="7">
        <f>item!S352</f>
        <v>1</v>
      </c>
    </row>
    <row r="472" spans="1:4">
      <c r="A472" s="7">
        <v>90188</v>
      </c>
      <c r="B472" s="7" t="s">
        <v>2136</v>
      </c>
      <c r="C472" s="7">
        <f t="shared" si="7"/>
        <v>2</v>
      </c>
      <c r="D472" s="7">
        <f>item!S353</f>
        <v>1</v>
      </c>
    </row>
    <row r="473" spans="1:4">
      <c r="A473" s="7">
        <v>90189</v>
      </c>
      <c r="B473" s="7" t="s">
        <v>918</v>
      </c>
      <c r="C473" s="7">
        <f t="shared" si="7"/>
        <v>2</v>
      </c>
      <c r="D473" s="7">
        <f>item!S354</f>
        <v>1</v>
      </c>
    </row>
    <row r="474" spans="1:4">
      <c r="A474" s="7">
        <v>90190</v>
      </c>
      <c r="B474" s="7" t="s">
        <v>919</v>
      </c>
      <c r="C474" s="7">
        <f t="shared" si="7"/>
        <v>2</v>
      </c>
      <c r="D474" s="7">
        <f>item!S355</f>
        <v>1</v>
      </c>
    </row>
    <row r="475" spans="1:4">
      <c r="A475" s="7">
        <v>90191</v>
      </c>
      <c r="B475" s="7" t="s">
        <v>2137</v>
      </c>
      <c r="C475" s="7">
        <f t="shared" si="7"/>
        <v>2</v>
      </c>
      <c r="D475" s="7">
        <f>item!S356</f>
        <v>1</v>
      </c>
    </row>
    <row r="476" spans="1:4">
      <c r="A476" s="7">
        <v>90192</v>
      </c>
      <c r="B476" s="7" t="s">
        <v>2138</v>
      </c>
      <c r="C476" s="7">
        <f t="shared" si="7"/>
        <v>6000</v>
      </c>
      <c r="D476" s="7">
        <f>item!S357</f>
        <v>3000</v>
      </c>
    </row>
    <row r="477" spans="1:4">
      <c r="A477" s="7">
        <v>90193</v>
      </c>
      <c r="B477" s="7" t="s">
        <v>2139</v>
      </c>
      <c r="C477" s="7">
        <f t="shared" si="7"/>
        <v>10000</v>
      </c>
      <c r="D477" s="7">
        <f>item!S358</f>
        <v>5000</v>
      </c>
    </row>
    <row r="478" spans="1:4">
      <c r="A478" s="7">
        <v>90194</v>
      </c>
      <c r="B478" s="7" t="s">
        <v>2140</v>
      </c>
      <c r="C478" s="7">
        <f t="shared" si="7"/>
        <v>10000</v>
      </c>
      <c r="D478" s="7">
        <f>item!S359</f>
        <v>5000</v>
      </c>
    </row>
    <row r="479" spans="1:4">
      <c r="A479" s="7">
        <v>90195</v>
      </c>
      <c r="B479" s="7" t="s">
        <v>2141</v>
      </c>
      <c r="C479" s="7">
        <f t="shared" si="7"/>
        <v>16000</v>
      </c>
      <c r="D479" s="7">
        <f>item!S360</f>
        <v>8000</v>
      </c>
    </row>
    <row r="480" spans="1:4">
      <c r="A480" s="7">
        <v>90196</v>
      </c>
      <c r="B480" s="7" t="s">
        <v>2142</v>
      </c>
      <c r="C480" s="7">
        <f t="shared" si="7"/>
        <v>20000</v>
      </c>
      <c r="D480" s="7">
        <f>item!S361</f>
        <v>10000</v>
      </c>
    </row>
    <row r="481" spans="1:4">
      <c r="A481" s="7">
        <v>90197</v>
      </c>
      <c r="B481" s="7" t="s">
        <v>2143</v>
      </c>
      <c r="C481" s="7">
        <f t="shared" si="7"/>
        <v>2</v>
      </c>
      <c r="D481" s="7">
        <f>item!S362</f>
        <v>1</v>
      </c>
    </row>
    <row r="482" spans="1:4">
      <c r="A482" s="7">
        <v>90198</v>
      </c>
      <c r="B482" s="7" t="s">
        <v>2144</v>
      </c>
      <c r="C482" s="7">
        <f t="shared" si="7"/>
        <v>2</v>
      </c>
      <c r="D482" s="7">
        <f>item!S363</f>
        <v>1</v>
      </c>
    </row>
    <row r="483" spans="1:4">
      <c r="A483" s="7">
        <v>90199</v>
      </c>
      <c r="B483" s="7" t="s">
        <v>2145</v>
      </c>
      <c r="C483" s="7">
        <f t="shared" si="7"/>
        <v>2</v>
      </c>
      <c r="D483" s="7">
        <f>item!S364</f>
        <v>1</v>
      </c>
    </row>
    <row r="484" spans="1:4">
      <c r="A484" s="7">
        <v>90200</v>
      </c>
      <c r="B484" s="7" t="s">
        <v>2146</v>
      </c>
      <c r="C484" s="7">
        <f t="shared" si="7"/>
        <v>2</v>
      </c>
      <c r="D484" s="7">
        <f>item!S365</f>
        <v>1</v>
      </c>
    </row>
    <row r="485" spans="1:4">
      <c r="A485" s="7">
        <v>90201</v>
      </c>
      <c r="B485" s="7" t="s">
        <v>2147</v>
      </c>
      <c r="C485" s="7">
        <f t="shared" si="7"/>
        <v>16000</v>
      </c>
      <c r="D485" s="7">
        <f>item!S366</f>
        <v>8000</v>
      </c>
    </row>
    <row r="486" spans="1:4">
      <c r="A486" s="7">
        <v>90202</v>
      </c>
      <c r="B486" s="7" t="s">
        <v>2148</v>
      </c>
      <c r="C486" s="7">
        <f t="shared" si="7"/>
        <v>4000</v>
      </c>
      <c r="D486" s="7">
        <f>item!S367</f>
        <v>2000</v>
      </c>
    </row>
    <row r="487" spans="1:4">
      <c r="A487" s="7">
        <v>90203</v>
      </c>
      <c r="B487" s="7" t="s">
        <v>2149</v>
      </c>
      <c r="C487" s="7">
        <f t="shared" si="7"/>
        <v>200</v>
      </c>
      <c r="D487" s="7">
        <f>item!S368</f>
        <v>100</v>
      </c>
    </row>
    <row r="488" spans="1:4">
      <c r="A488" s="7">
        <v>90204</v>
      </c>
      <c r="B488" s="7" t="s">
        <v>2150</v>
      </c>
      <c r="C488" s="7">
        <f t="shared" si="7"/>
        <v>200</v>
      </c>
      <c r="D488" s="7">
        <f>item!S369</f>
        <v>100</v>
      </c>
    </row>
    <row r="489" spans="1:4">
      <c r="A489" s="15">
        <v>90205</v>
      </c>
      <c r="B489" s="15" t="s">
        <v>2151</v>
      </c>
      <c r="C489" s="7">
        <f t="shared" si="7"/>
        <v>200</v>
      </c>
      <c r="D489" s="7">
        <f>item!S370</f>
        <v>100</v>
      </c>
    </row>
    <row r="490" spans="1:4">
      <c r="A490" s="15">
        <v>91001</v>
      </c>
      <c r="B490" s="15" t="s">
        <v>2152</v>
      </c>
      <c r="C490" s="7">
        <f t="shared" si="7"/>
        <v>1000</v>
      </c>
      <c r="D490" s="7">
        <f>item!S385</f>
        <v>500</v>
      </c>
    </row>
    <row r="491" spans="1:4">
      <c r="A491" s="15">
        <v>91002</v>
      </c>
      <c r="B491" s="15" t="s">
        <v>2153</v>
      </c>
      <c r="C491" s="7">
        <f t="shared" si="7"/>
        <v>1000</v>
      </c>
      <c r="D491" s="7">
        <f>item!S386</f>
        <v>500</v>
      </c>
    </row>
    <row r="492" spans="1:4">
      <c r="A492" s="15">
        <v>91003</v>
      </c>
      <c r="B492" s="15" t="s">
        <v>2154</v>
      </c>
      <c r="C492" s="7">
        <f t="shared" si="7"/>
        <v>1000</v>
      </c>
      <c r="D492" s="7">
        <f>item!S387</f>
        <v>500</v>
      </c>
    </row>
    <row r="493" spans="1:4">
      <c r="A493" s="15">
        <v>91004</v>
      </c>
      <c r="B493" s="15" t="s">
        <v>2155</v>
      </c>
      <c r="C493" s="7">
        <f t="shared" si="7"/>
        <v>1000</v>
      </c>
      <c r="D493" s="7">
        <f>item!S388</f>
        <v>500</v>
      </c>
    </row>
    <row r="494" spans="1:4">
      <c r="A494" s="7">
        <v>91005</v>
      </c>
      <c r="B494" s="7" t="s">
        <v>2156</v>
      </c>
      <c r="C494" s="7">
        <f t="shared" si="7"/>
        <v>1000</v>
      </c>
      <c r="D494" s="7">
        <f>item!S389</f>
        <v>500</v>
      </c>
    </row>
    <row r="495" spans="1:4">
      <c r="A495" s="7">
        <v>91006</v>
      </c>
      <c r="B495" s="7" t="s">
        <v>2157</v>
      </c>
      <c r="C495" s="7">
        <f t="shared" si="7"/>
        <v>1000</v>
      </c>
      <c r="D495" s="7">
        <f>item!S390</f>
        <v>500</v>
      </c>
    </row>
    <row r="496" spans="1:4">
      <c r="A496" s="7">
        <v>92001</v>
      </c>
      <c r="B496" s="7" t="s">
        <v>2158</v>
      </c>
      <c r="C496" s="7">
        <f t="shared" si="7"/>
        <v>2</v>
      </c>
      <c r="D496" s="7">
        <f>item!S405</f>
        <v>1</v>
      </c>
    </row>
    <row r="497" spans="1:4">
      <c r="A497" s="15">
        <v>92002</v>
      </c>
      <c r="B497" s="15" t="s">
        <v>2159</v>
      </c>
      <c r="C497" s="7">
        <f t="shared" si="7"/>
        <v>2</v>
      </c>
      <c r="D497" s="7">
        <f>item!S406</f>
        <v>1</v>
      </c>
    </row>
    <row r="498" spans="1:4">
      <c r="A498" s="15">
        <v>92003</v>
      </c>
      <c r="B498" s="15" t="s">
        <v>2160</v>
      </c>
      <c r="C498" s="7">
        <f t="shared" si="7"/>
        <v>2</v>
      </c>
      <c r="D498" s="7">
        <f>item!S407</f>
        <v>1</v>
      </c>
    </row>
    <row r="499" spans="1:4">
      <c r="A499" s="15">
        <v>92004</v>
      </c>
      <c r="B499" s="15" t="s">
        <v>2161</v>
      </c>
      <c r="C499" s="7">
        <f t="shared" si="7"/>
        <v>2</v>
      </c>
      <c r="D499" s="7">
        <f>item!S408</f>
        <v>1</v>
      </c>
    </row>
    <row r="500" spans="1:4">
      <c r="A500" s="15">
        <v>93001</v>
      </c>
      <c r="B500" s="15" t="s">
        <v>2030</v>
      </c>
      <c r="C500" s="7">
        <f t="shared" si="7"/>
        <v>2</v>
      </c>
      <c r="D500" s="7">
        <f>item!S409</f>
        <v>1</v>
      </c>
    </row>
    <row r="501" spans="1:4">
      <c r="A501" s="15">
        <v>100001</v>
      </c>
      <c r="B501" s="15" t="s">
        <v>712</v>
      </c>
      <c r="C501" s="7">
        <f t="shared" si="7"/>
        <v>50000</v>
      </c>
      <c r="D501" s="7">
        <f>item!S417</f>
        <v>25000</v>
      </c>
    </row>
    <row r="502" spans="1:4">
      <c r="A502" s="15">
        <v>100002</v>
      </c>
      <c r="B502" s="15" t="s">
        <v>1711</v>
      </c>
      <c r="C502" s="7">
        <f t="shared" si="7"/>
        <v>8000</v>
      </c>
      <c r="D502" s="7">
        <f>item!S418</f>
        <v>4000</v>
      </c>
    </row>
    <row r="503" spans="1:4">
      <c r="A503" s="15">
        <v>100003</v>
      </c>
      <c r="B503" s="15" t="s">
        <v>1712</v>
      </c>
      <c r="C503" s="7">
        <f t="shared" si="7"/>
        <v>60000</v>
      </c>
      <c r="D503" s="7">
        <f>item!S419</f>
        <v>30000</v>
      </c>
    </row>
    <row r="504" spans="1:4">
      <c r="A504" s="15">
        <v>100004</v>
      </c>
      <c r="B504" s="15" t="s">
        <v>1713</v>
      </c>
      <c r="C504" s="7">
        <f t="shared" si="7"/>
        <v>200000</v>
      </c>
      <c r="D504" s="7">
        <f>item!S420</f>
        <v>100000</v>
      </c>
    </row>
    <row r="505" spans="1:4">
      <c r="A505" s="15">
        <v>100005</v>
      </c>
      <c r="B505" s="15" t="s">
        <v>717</v>
      </c>
      <c r="C505" s="7">
        <f t="shared" si="7"/>
        <v>2</v>
      </c>
      <c r="D505" s="7">
        <f>item!S421</f>
        <v>1</v>
      </c>
    </row>
    <row r="506" spans="1:4">
      <c r="A506" s="15">
        <v>100006</v>
      </c>
      <c r="B506" s="15" t="s">
        <v>718</v>
      </c>
      <c r="C506" s="7">
        <f t="shared" si="7"/>
        <v>2</v>
      </c>
      <c r="D506" s="7">
        <f>item!S422</f>
        <v>1</v>
      </c>
    </row>
    <row r="507" spans="1:4">
      <c r="A507" s="15">
        <v>110001</v>
      </c>
      <c r="B507" s="15" t="s">
        <v>719</v>
      </c>
      <c r="C507" s="7">
        <f t="shared" si="7"/>
        <v>2</v>
      </c>
      <c r="D507" s="7">
        <f>item!S423</f>
        <v>1</v>
      </c>
    </row>
    <row r="508" spans="1:4">
      <c r="A508" s="15">
        <v>110002</v>
      </c>
      <c r="B508" s="15" t="s">
        <v>721</v>
      </c>
      <c r="C508" s="7">
        <f t="shared" si="7"/>
        <v>2</v>
      </c>
      <c r="D508" s="7">
        <f>item!S424</f>
        <v>1</v>
      </c>
    </row>
    <row r="509" spans="1:4">
      <c r="A509" s="15">
        <v>110003</v>
      </c>
      <c r="B509" s="15" t="s">
        <v>723</v>
      </c>
      <c r="C509" s="7">
        <f t="shared" si="7"/>
        <v>2</v>
      </c>
      <c r="D509" s="7">
        <f>item!S425</f>
        <v>1</v>
      </c>
    </row>
    <row r="510" spans="1:4">
      <c r="A510" s="15">
        <v>110004</v>
      </c>
      <c r="B510" s="15" t="s">
        <v>725</v>
      </c>
      <c r="C510" s="7">
        <f t="shared" si="7"/>
        <v>2</v>
      </c>
      <c r="D510" s="7">
        <f>item!S426</f>
        <v>1</v>
      </c>
    </row>
    <row r="511" spans="1:4">
      <c r="A511" s="15">
        <v>110005</v>
      </c>
      <c r="B511" s="15" t="s">
        <v>727</v>
      </c>
      <c r="C511" s="7">
        <f t="shared" si="7"/>
        <v>2</v>
      </c>
      <c r="D511" s="7">
        <f>item!S427</f>
        <v>1</v>
      </c>
    </row>
    <row r="512" spans="1:4">
      <c r="A512" s="7">
        <v>111001</v>
      </c>
      <c r="B512" s="7" t="s">
        <v>2162</v>
      </c>
      <c r="C512" s="7">
        <f t="shared" si="7"/>
        <v>2</v>
      </c>
      <c r="D512" s="7">
        <f>item!S428</f>
        <v>1</v>
      </c>
    </row>
    <row r="513" spans="1:4">
      <c r="A513" s="7">
        <v>111002</v>
      </c>
      <c r="B513" s="7" t="s">
        <v>2163</v>
      </c>
      <c r="C513" s="7">
        <f t="shared" si="7"/>
        <v>2</v>
      </c>
      <c r="D513" s="7">
        <f>item!S429</f>
        <v>1</v>
      </c>
    </row>
    <row r="514" spans="1:4">
      <c r="A514" s="7">
        <v>112001</v>
      </c>
      <c r="B514" s="7" t="s">
        <v>729</v>
      </c>
      <c r="C514" s="7">
        <f t="shared" si="7"/>
        <v>2</v>
      </c>
      <c r="D514" s="7">
        <f>item!S438</f>
        <v>1</v>
      </c>
    </row>
    <row r="515" spans="1:4">
      <c r="A515" s="7">
        <v>112002</v>
      </c>
      <c r="B515" s="7" t="s">
        <v>731</v>
      </c>
      <c r="C515" s="7">
        <f t="shared" ref="C515:C578" si="8">D515*2</f>
        <v>2</v>
      </c>
      <c r="D515" s="7">
        <f>item!S439</f>
        <v>1</v>
      </c>
    </row>
    <row r="516" spans="1:4">
      <c r="A516" s="7">
        <v>112003</v>
      </c>
      <c r="B516" s="7" t="s">
        <v>733</v>
      </c>
      <c r="C516" s="7">
        <f t="shared" si="8"/>
        <v>2</v>
      </c>
      <c r="D516" s="7">
        <f>item!S440</f>
        <v>1</v>
      </c>
    </row>
    <row r="517" spans="1:4">
      <c r="A517" s="7">
        <v>113001</v>
      </c>
      <c r="B517" s="7" t="s">
        <v>735</v>
      </c>
      <c r="C517" s="7">
        <f t="shared" si="8"/>
        <v>2</v>
      </c>
      <c r="D517" s="7">
        <f>item!S441</f>
        <v>1</v>
      </c>
    </row>
    <row r="518" spans="1:4">
      <c r="A518" s="7">
        <v>113002</v>
      </c>
      <c r="B518" s="7" t="s">
        <v>736</v>
      </c>
      <c r="C518" s="7">
        <f t="shared" si="8"/>
        <v>2</v>
      </c>
      <c r="D518" s="7">
        <f>item!S442</f>
        <v>1</v>
      </c>
    </row>
    <row r="519" spans="1:4">
      <c r="A519" s="7">
        <v>113003</v>
      </c>
      <c r="B519" s="7" t="s">
        <v>737</v>
      </c>
      <c r="C519" s="7">
        <f t="shared" si="8"/>
        <v>2</v>
      </c>
      <c r="D519" s="7">
        <f>item!S443</f>
        <v>1</v>
      </c>
    </row>
    <row r="520" spans="1:4">
      <c r="A520" s="7">
        <v>113004</v>
      </c>
      <c r="B520" s="7" t="s">
        <v>738</v>
      </c>
      <c r="C520" s="7">
        <f t="shared" si="8"/>
        <v>2</v>
      </c>
      <c r="D520" s="7">
        <f>item!S444</f>
        <v>1</v>
      </c>
    </row>
    <row r="521" spans="1:4">
      <c r="A521" s="7">
        <v>113005</v>
      </c>
      <c r="B521" s="7" t="s">
        <v>739</v>
      </c>
      <c r="C521" s="7">
        <f t="shared" si="8"/>
        <v>2</v>
      </c>
      <c r="D521" s="7">
        <f>item!S445</f>
        <v>1</v>
      </c>
    </row>
    <row r="522" spans="1:4">
      <c r="A522" s="7">
        <v>114000</v>
      </c>
      <c r="B522" s="7" t="s">
        <v>2164</v>
      </c>
      <c r="C522" s="7">
        <f t="shared" si="8"/>
        <v>200</v>
      </c>
      <c r="D522" s="7">
        <f>item!S446</f>
        <v>100</v>
      </c>
    </row>
    <row r="523" spans="1:4">
      <c r="A523" s="7">
        <v>114003</v>
      </c>
      <c r="B523" s="7" t="s">
        <v>1585</v>
      </c>
      <c r="C523" s="7">
        <f t="shared" si="8"/>
        <v>400</v>
      </c>
      <c r="D523" s="7">
        <f>item!S447</f>
        <v>200</v>
      </c>
    </row>
    <row r="524" spans="1:4">
      <c r="A524" s="7">
        <v>114004</v>
      </c>
      <c r="B524" s="7" t="s">
        <v>1586</v>
      </c>
      <c r="C524" s="7">
        <f t="shared" si="8"/>
        <v>480</v>
      </c>
      <c r="D524" s="7">
        <f>item!S448</f>
        <v>240</v>
      </c>
    </row>
    <row r="525" spans="1:4">
      <c r="A525" s="7">
        <v>114005</v>
      </c>
      <c r="B525" s="7" t="s">
        <v>1587</v>
      </c>
      <c r="C525" s="7">
        <f t="shared" si="8"/>
        <v>560</v>
      </c>
      <c r="D525" s="7">
        <f>item!S449</f>
        <v>280</v>
      </c>
    </row>
    <row r="526" spans="1:4">
      <c r="A526" s="7">
        <v>114006</v>
      </c>
      <c r="B526" s="7" t="s">
        <v>1588</v>
      </c>
      <c r="C526" s="7">
        <f t="shared" si="8"/>
        <v>640</v>
      </c>
      <c r="D526" s="7">
        <f>item!S450</f>
        <v>320</v>
      </c>
    </row>
    <row r="527" spans="1:4">
      <c r="A527" s="7">
        <v>114007</v>
      </c>
      <c r="B527" s="7" t="s">
        <v>1589</v>
      </c>
      <c r="C527" s="7">
        <f t="shared" si="8"/>
        <v>720</v>
      </c>
      <c r="D527" s="7">
        <f>item!S451</f>
        <v>360</v>
      </c>
    </row>
    <row r="528" spans="1:4">
      <c r="A528" s="7">
        <v>114008</v>
      </c>
      <c r="B528" s="7" t="s">
        <v>1590</v>
      </c>
      <c r="C528" s="7">
        <f t="shared" si="8"/>
        <v>800</v>
      </c>
      <c r="D528" s="7">
        <f>item!S452</f>
        <v>400</v>
      </c>
    </row>
    <row r="529" spans="1:4">
      <c r="A529" s="7">
        <v>114009</v>
      </c>
      <c r="B529" s="7" t="s">
        <v>1591</v>
      </c>
      <c r="C529" s="7">
        <f t="shared" si="8"/>
        <v>880</v>
      </c>
      <c r="D529" s="7">
        <f>item!S453</f>
        <v>440</v>
      </c>
    </row>
    <row r="530" spans="1:4">
      <c r="A530" s="7">
        <v>114010</v>
      </c>
      <c r="B530" s="7" t="s">
        <v>1592</v>
      </c>
      <c r="C530" s="7">
        <f t="shared" si="8"/>
        <v>960</v>
      </c>
      <c r="D530" s="7">
        <f>item!S454</f>
        <v>480</v>
      </c>
    </row>
    <row r="531" spans="1:4">
      <c r="A531" s="7">
        <v>114011</v>
      </c>
      <c r="B531" s="7" t="s">
        <v>1593</v>
      </c>
      <c r="C531" s="7">
        <f t="shared" si="8"/>
        <v>1040</v>
      </c>
      <c r="D531" s="7">
        <f>item!S455</f>
        <v>520</v>
      </c>
    </row>
    <row r="532" spans="1:4">
      <c r="A532" s="7">
        <v>114012</v>
      </c>
      <c r="B532" s="7" t="s">
        <v>1594</v>
      </c>
      <c r="C532" s="7">
        <f t="shared" si="8"/>
        <v>1120</v>
      </c>
      <c r="D532" s="7">
        <f>item!S456</f>
        <v>560</v>
      </c>
    </row>
    <row r="533" spans="1:4">
      <c r="A533" s="7">
        <v>114013</v>
      </c>
      <c r="B533" s="7" t="s">
        <v>1595</v>
      </c>
      <c r="C533" s="7">
        <f t="shared" si="8"/>
        <v>1200</v>
      </c>
      <c r="D533" s="7">
        <f>item!S457</f>
        <v>600</v>
      </c>
    </row>
    <row r="534" spans="1:4">
      <c r="A534" s="7">
        <v>114014</v>
      </c>
      <c r="B534" s="7" t="s">
        <v>1596</v>
      </c>
      <c r="C534" s="7">
        <f t="shared" si="8"/>
        <v>1280</v>
      </c>
      <c r="D534" s="7">
        <f>item!S458</f>
        <v>640</v>
      </c>
    </row>
    <row r="535" spans="1:4">
      <c r="A535" s="7">
        <v>114015</v>
      </c>
      <c r="B535" s="7" t="s">
        <v>1597</v>
      </c>
      <c r="C535" s="7">
        <f t="shared" si="8"/>
        <v>1360</v>
      </c>
      <c r="D535" s="7">
        <f>item!S459</f>
        <v>680</v>
      </c>
    </row>
    <row r="536" spans="1:4">
      <c r="A536" s="7">
        <v>114016</v>
      </c>
      <c r="B536" s="7" t="s">
        <v>1598</v>
      </c>
      <c r="C536" s="7">
        <f t="shared" si="8"/>
        <v>1440</v>
      </c>
      <c r="D536" s="7">
        <f>item!S460</f>
        <v>720</v>
      </c>
    </row>
    <row r="537" spans="1:4">
      <c r="A537" s="7">
        <v>114017</v>
      </c>
      <c r="B537" s="7" t="s">
        <v>1599</v>
      </c>
      <c r="C537" s="7">
        <f t="shared" si="8"/>
        <v>1600</v>
      </c>
      <c r="D537" s="7">
        <f>item!S461</f>
        <v>800</v>
      </c>
    </row>
    <row r="538" spans="1:4">
      <c r="A538" s="7">
        <v>114018</v>
      </c>
      <c r="B538" s="7" t="s">
        <v>1600</v>
      </c>
      <c r="C538" s="7">
        <f t="shared" si="8"/>
        <v>1760</v>
      </c>
      <c r="D538" s="7">
        <f>item!S462</f>
        <v>880</v>
      </c>
    </row>
    <row r="539" spans="1:4">
      <c r="A539" s="7">
        <v>114019</v>
      </c>
      <c r="B539" s="7" t="s">
        <v>1601</v>
      </c>
      <c r="C539" s="7">
        <f t="shared" si="8"/>
        <v>1920</v>
      </c>
      <c r="D539" s="7">
        <f>item!S463</f>
        <v>960</v>
      </c>
    </row>
    <row r="540" spans="1:4">
      <c r="A540" s="7">
        <v>114020</v>
      </c>
      <c r="B540" s="7" t="s">
        <v>1602</v>
      </c>
      <c r="C540" s="7">
        <f t="shared" si="8"/>
        <v>2080</v>
      </c>
      <c r="D540" s="7">
        <f>item!S464</f>
        <v>1040</v>
      </c>
    </row>
    <row r="541" spans="1:4">
      <c r="A541" s="7">
        <v>114021</v>
      </c>
      <c r="B541" s="7" t="s">
        <v>1603</v>
      </c>
      <c r="C541" s="7">
        <f t="shared" si="8"/>
        <v>2240</v>
      </c>
      <c r="D541" s="7">
        <f>item!S465</f>
        <v>1120</v>
      </c>
    </row>
    <row r="542" spans="1:4">
      <c r="A542" s="7">
        <v>114022</v>
      </c>
      <c r="B542" s="7" t="s">
        <v>1604</v>
      </c>
      <c r="C542" s="7">
        <f t="shared" si="8"/>
        <v>2400</v>
      </c>
      <c r="D542" s="7">
        <f>item!S466</f>
        <v>1200</v>
      </c>
    </row>
    <row r="543" spans="1:4">
      <c r="A543" s="7">
        <v>114023</v>
      </c>
      <c r="B543" s="7" t="s">
        <v>1605</v>
      </c>
      <c r="C543" s="7">
        <f t="shared" si="8"/>
        <v>2560</v>
      </c>
      <c r="D543" s="7">
        <f>item!S467</f>
        <v>1280</v>
      </c>
    </row>
    <row r="544" spans="1:4">
      <c r="A544" s="7">
        <v>114024</v>
      </c>
      <c r="B544" s="7" t="s">
        <v>1606</v>
      </c>
      <c r="C544" s="7">
        <f t="shared" si="8"/>
        <v>2720</v>
      </c>
      <c r="D544" s="7">
        <f>item!S468</f>
        <v>1360</v>
      </c>
    </row>
    <row r="545" spans="1:4">
      <c r="A545" s="7">
        <v>114025</v>
      </c>
      <c r="B545" s="7" t="s">
        <v>1607</v>
      </c>
      <c r="C545" s="7">
        <f t="shared" si="8"/>
        <v>2880</v>
      </c>
      <c r="D545" s="7">
        <f>item!S469</f>
        <v>1440</v>
      </c>
    </row>
    <row r="546" spans="1:4">
      <c r="A546" s="7">
        <v>114026</v>
      </c>
      <c r="B546" s="7" t="s">
        <v>1608</v>
      </c>
      <c r="C546" s="7">
        <f t="shared" si="8"/>
        <v>3040</v>
      </c>
      <c r="D546" s="7">
        <f>item!S470</f>
        <v>1520</v>
      </c>
    </row>
    <row r="547" spans="1:4">
      <c r="A547" s="7">
        <v>114111</v>
      </c>
      <c r="B547" s="7" t="s">
        <v>1609</v>
      </c>
      <c r="C547" s="7">
        <f t="shared" si="8"/>
        <v>2</v>
      </c>
      <c r="D547" s="7">
        <f>item!S471</f>
        <v>1</v>
      </c>
    </row>
    <row r="548" spans="1:4">
      <c r="A548" s="7">
        <v>115003</v>
      </c>
      <c r="B548" s="7" t="s">
        <v>1465</v>
      </c>
      <c r="C548" s="7">
        <f t="shared" si="8"/>
        <v>200</v>
      </c>
      <c r="D548" s="7">
        <f>item!S472</f>
        <v>100</v>
      </c>
    </row>
    <row r="549" spans="1:4">
      <c r="A549" s="7">
        <v>115004</v>
      </c>
      <c r="B549" s="7" t="s">
        <v>1466</v>
      </c>
      <c r="C549" s="7">
        <f t="shared" si="8"/>
        <v>240</v>
      </c>
      <c r="D549" s="7">
        <f>item!S473</f>
        <v>120</v>
      </c>
    </row>
    <row r="550" spans="1:4">
      <c r="A550" s="7">
        <v>115005</v>
      </c>
      <c r="B550" s="7" t="s">
        <v>1467</v>
      </c>
      <c r="C550" s="7">
        <f t="shared" si="8"/>
        <v>280</v>
      </c>
      <c r="D550" s="7">
        <f>item!S474</f>
        <v>140</v>
      </c>
    </row>
    <row r="551" spans="1:4">
      <c r="A551" s="7">
        <v>115006</v>
      </c>
      <c r="B551" s="7" t="s">
        <v>1468</v>
      </c>
      <c r="C551" s="7">
        <f t="shared" si="8"/>
        <v>320</v>
      </c>
      <c r="D551" s="7">
        <f>item!S475</f>
        <v>160</v>
      </c>
    </row>
    <row r="552" spans="1:4">
      <c r="A552" s="7">
        <v>115007</v>
      </c>
      <c r="B552" s="7" t="s">
        <v>1469</v>
      </c>
      <c r="C552" s="7">
        <f t="shared" si="8"/>
        <v>360</v>
      </c>
      <c r="D552" s="7">
        <f>item!S476</f>
        <v>180</v>
      </c>
    </row>
    <row r="553" spans="1:4">
      <c r="A553" s="7">
        <v>115008</v>
      </c>
      <c r="B553" s="7" t="s">
        <v>1470</v>
      </c>
      <c r="C553" s="7">
        <f t="shared" si="8"/>
        <v>400</v>
      </c>
      <c r="D553" s="7">
        <f>item!S477</f>
        <v>200</v>
      </c>
    </row>
    <row r="554" spans="1:4">
      <c r="A554" s="7">
        <v>115009</v>
      </c>
      <c r="B554" s="7" t="s">
        <v>1471</v>
      </c>
      <c r="C554" s="7">
        <f t="shared" si="8"/>
        <v>440</v>
      </c>
      <c r="D554" s="7">
        <f>item!S478</f>
        <v>220</v>
      </c>
    </row>
    <row r="555" spans="1:4">
      <c r="A555" s="7">
        <v>115010</v>
      </c>
      <c r="B555" s="7" t="s">
        <v>1472</v>
      </c>
      <c r="C555" s="7">
        <f t="shared" si="8"/>
        <v>480</v>
      </c>
      <c r="D555" s="7">
        <f>item!S479</f>
        <v>240</v>
      </c>
    </row>
    <row r="556" spans="1:4">
      <c r="A556" s="7">
        <v>115011</v>
      </c>
      <c r="B556" s="7" t="s">
        <v>1473</v>
      </c>
      <c r="C556" s="7">
        <f t="shared" si="8"/>
        <v>520</v>
      </c>
      <c r="D556" s="7">
        <f>item!S480</f>
        <v>260</v>
      </c>
    </row>
    <row r="557" spans="1:4">
      <c r="A557" s="7">
        <v>115012</v>
      </c>
      <c r="B557" s="7" t="s">
        <v>1474</v>
      </c>
      <c r="C557" s="7">
        <f t="shared" si="8"/>
        <v>560</v>
      </c>
      <c r="D557" s="7">
        <f>item!S481</f>
        <v>280</v>
      </c>
    </row>
    <row r="558" spans="1:4">
      <c r="A558" s="7">
        <v>115013</v>
      </c>
      <c r="B558" s="7" t="s">
        <v>1475</v>
      </c>
      <c r="C558" s="7">
        <f t="shared" si="8"/>
        <v>600</v>
      </c>
      <c r="D558" s="7">
        <f>item!S482</f>
        <v>300</v>
      </c>
    </row>
    <row r="559" spans="1:4">
      <c r="A559" s="7">
        <v>115014</v>
      </c>
      <c r="B559" s="7" t="s">
        <v>1476</v>
      </c>
      <c r="C559" s="7">
        <f t="shared" si="8"/>
        <v>640</v>
      </c>
      <c r="D559" s="7">
        <f>item!S483</f>
        <v>320</v>
      </c>
    </row>
    <row r="560" spans="1:4">
      <c r="A560" s="7">
        <v>115015</v>
      </c>
      <c r="B560" s="7" t="s">
        <v>1477</v>
      </c>
      <c r="C560" s="7">
        <f t="shared" si="8"/>
        <v>680</v>
      </c>
      <c r="D560" s="7">
        <f>item!S484</f>
        <v>340</v>
      </c>
    </row>
    <row r="561" spans="1:4">
      <c r="A561" s="7">
        <v>115016</v>
      </c>
      <c r="B561" s="7" t="s">
        <v>1478</v>
      </c>
      <c r="C561" s="7">
        <f t="shared" si="8"/>
        <v>720</v>
      </c>
      <c r="D561" s="7">
        <f>item!S485</f>
        <v>360</v>
      </c>
    </row>
    <row r="562" spans="1:4">
      <c r="A562" s="7">
        <v>115017</v>
      </c>
      <c r="B562" s="7" t="s">
        <v>1479</v>
      </c>
      <c r="C562" s="7">
        <f t="shared" si="8"/>
        <v>800</v>
      </c>
      <c r="D562" s="7">
        <f>item!S486</f>
        <v>400</v>
      </c>
    </row>
    <row r="563" spans="1:4">
      <c r="A563" s="7">
        <v>115018</v>
      </c>
      <c r="B563" s="7" t="s">
        <v>1480</v>
      </c>
      <c r="C563" s="7">
        <f t="shared" si="8"/>
        <v>880</v>
      </c>
      <c r="D563" s="7">
        <f>item!S487</f>
        <v>440</v>
      </c>
    </row>
    <row r="564" spans="1:4">
      <c r="A564" s="7">
        <v>115019</v>
      </c>
      <c r="B564" s="7" t="s">
        <v>1481</v>
      </c>
      <c r="C564" s="7">
        <f t="shared" si="8"/>
        <v>960</v>
      </c>
      <c r="D564" s="7">
        <f>item!S488</f>
        <v>480</v>
      </c>
    </row>
    <row r="565" spans="1:4">
      <c r="A565" s="7">
        <v>115020</v>
      </c>
      <c r="B565" s="7" t="s">
        <v>1482</v>
      </c>
      <c r="C565" s="7">
        <f t="shared" si="8"/>
        <v>1040</v>
      </c>
      <c r="D565" s="7">
        <f>item!S489</f>
        <v>520</v>
      </c>
    </row>
    <row r="566" spans="1:4">
      <c r="A566" s="7">
        <v>115021</v>
      </c>
      <c r="B566" s="7" t="s">
        <v>1483</v>
      </c>
      <c r="C566" s="7">
        <f t="shared" si="8"/>
        <v>1120</v>
      </c>
      <c r="D566" s="7">
        <f>item!S490</f>
        <v>560</v>
      </c>
    </row>
    <row r="567" spans="1:4">
      <c r="A567" s="7">
        <v>115022</v>
      </c>
      <c r="B567" s="7" t="s">
        <v>1484</v>
      </c>
      <c r="C567" s="7">
        <f t="shared" si="8"/>
        <v>1200</v>
      </c>
      <c r="D567" s="7">
        <f>item!S491</f>
        <v>600</v>
      </c>
    </row>
    <row r="568" spans="1:4">
      <c r="A568" s="7">
        <v>115023</v>
      </c>
      <c r="B568" s="7" t="s">
        <v>1485</v>
      </c>
      <c r="C568" s="7">
        <f t="shared" si="8"/>
        <v>1280</v>
      </c>
      <c r="D568" s="7">
        <f>item!S492</f>
        <v>640</v>
      </c>
    </row>
    <row r="569" spans="1:4">
      <c r="A569" s="7">
        <v>115024</v>
      </c>
      <c r="B569" s="7" t="s">
        <v>1486</v>
      </c>
      <c r="C569" s="7">
        <f t="shared" si="8"/>
        <v>1360</v>
      </c>
      <c r="D569" s="7">
        <f>item!S493</f>
        <v>680</v>
      </c>
    </row>
    <row r="570" spans="1:4">
      <c r="A570" s="7">
        <v>115025</v>
      </c>
      <c r="B570" s="7" t="s">
        <v>1487</v>
      </c>
      <c r="C570" s="7">
        <f t="shared" si="8"/>
        <v>1440</v>
      </c>
      <c r="D570" s="7">
        <f>item!S494</f>
        <v>720</v>
      </c>
    </row>
    <row r="571" spans="1:4">
      <c r="A571" s="7">
        <v>115026</v>
      </c>
      <c r="B571" s="7" t="s">
        <v>1488</v>
      </c>
      <c r="C571" s="7">
        <f t="shared" si="8"/>
        <v>1520</v>
      </c>
      <c r="D571" s="7">
        <f>item!S495</f>
        <v>760</v>
      </c>
    </row>
    <row r="572" spans="1:4">
      <c r="A572" s="7">
        <v>116003</v>
      </c>
      <c r="B572" s="7" t="s">
        <v>1489</v>
      </c>
      <c r="C572" s="7">
        <f t="shared" si="8"/>
        <v>440.00000000000006</v>
      </c>
      <c r="D572" s="7">
        <f>item!S496</f>
        <v>220.00000000000003</v>
      </c>
    </row>
    <row r="573" spans="1:4">
      <c r="A573" s="7">
        <v>116004</v>
      </c>
      <c r="B573" s="7" t="s">
        <v>1490</v>
      </c>
      <c r="C573" s="7">
        <f t="shared" si="8"/>
        <v>528</v>
      </c>
      <c r="D573" s="7">
        <f>item!S497</f>
        <v>264</v>
      </c>
    </row>
    <row r="574" spans="1:4">
      <c r="A574" s="7">
        <v>116005</v>
      </c>
      <c r="B574" s="7" t="s">
        <v>1491</v>
      </c>
      <c r="C574" s="7">
        <f t="shared" si="8"/>
        <v>616</v>
      </c>
      <c r="D574" s="7">
        <f>item!S498</f>
        <v>308</v>
      </c>
    </row>
    <row r="575" spans="1:4">
      <c r="A575" s="7">
        <v>116006</v>
      </c>
      <c r="B575" s="7" t="s">
        <v>1492</v>
      </c>
      <c r="C575" s="7">
        <f t="shared" si="8"/>
        <v>704</v>
      </c>
      <c r="D575" s="7">
        <f>item!S499</f>
        <v>352</v>
      </c>
    </row>
    <row r="576" spans="1:4">
      <c r="A576" s="7">
        <v>116007</v>
      </c>
      <c r="B576" s="7" t="s">
        <v>1493</v>
      </c>
      <c r="C576" s="7">
        <f t="shared" si="8"/>
        <v>792.00000000000011</v>
      </c>
      <c r="D576" s="7">
        <f>item!S500</f>
        <v>396.00000000000006</v>
      </c>
    </row>
    <row r="577" spans="1:4">
      <c r="A577" s="7">
        <v>116008</v>
      </c>
      <c r="B577" s="7" t="s">
        <v>1494</v>
      </c>
      <c r="C577" s="7">
        <f t="shared" si="8"/>
        <v>880.00000000000011</v>
      </c>
      <c r="D577" s="7">
        <f>item!S501</f>
        <v>440.00000000000006</v>
      </c>
    </row>
    <row r="578" spans="1:4">
      <c r="A578" s="7">
        <v>116009</v>
      </c>
      <c r="B578" s="7" t="s">
        <v>1495</v>
      </c>
      <c r="C578" s="7">
        <f t="shared" si="8"/>
        <v>968.00000000000011</v>
      </c>
      <c r="D578" s="7">
        <f>item!S502</f>
        <v>484.00000000000006</v>
      </c>
    </row>
    <row r="579" spans="1:4">
      <c r="A579" s="7">
        <v>116010</v>
      </c>
      <c r="B579" s="7" t="s">
        <v>1496</v>
      </c>
      <c r="C579" s="7">
        <f t="shared" ref="C579:C642" si="9">D579*2</f>
        <v>1056</v>
      </c>
      <c r="D579" s="7">
        <f>item!S503</f>
        <v>528</v>
      </c>
    </row>
    <row r="580" spans="1:4">
      <c r="A580" s="7">
        <v>116011</v>
      </c>
      <c r="B580" s="7" t="s">
        <v>1497</v>
      </c>
      <c r="C580" s="7">
        <f t="shared" si="9"/>
        <v>1144</v>
      </c>
      <c r="D580" s="7">
        <f>item!S504</f>
        <v>572</v>
      </c>
    </row>
    <row r="581" spans="1:4">
      <c r="A581" s="7">
        <v>116012</v>
      </c>
      <c r="B581" s="7" t="s">
        <v>1498</v>
      </c>
      <c r="C581" s="7">
        <f t="shared" si="9"/>
        <v>1232</v>
      </c>
      <c r="D581" s="7">
        <f>item!S505</f>
        <v>616</v>
      </c>
    </row>
    <row r="582" spans="1:4">
      <c r="A582" s="7">
        <v>116013</v>
      </c>
      <c r="B582" s="7" t="s">
        <v>1499</v>
      </c>
      <c r="C582" s="7">
        <f t="shared" si="9"/>
        <v>1320</v>
      </c>
      <c r="D582" s="7">
        <f>item!S506</f>
        <v>660</v>
      </c>
    </row>
    <row r="583" spans="1:4">
      <c r="A583" s="7">
        <v>116014</v>
      </c>
      <c r="B583" s="7" t="s">
        <v>1500</v>
      </c>
      <c r="C583" s="7">
        <f t="shared" si="9"/>
        <v>1408</v>
      </c>
      <c r="D583" s="7">
        <f>item!S507</f>
        <v>704</v>
      </c>
    </row>
    <row r="584" spans="1:4">
      <c r="A584" s="7">
        <v>116015</v>
      </c>
      <c r="B584" s="7" t="s">
        <v>1501</v>
      </c>
      <c r="C584" s="7">
        <f t="shared" si="9"/>
        <v>1496.0000000000002</v>
      </c>
      <c r="D584" s="7">
        <f>item!S508</f>
        <v>748.00000000000011</v>
      </c>
    </row>
    <row r="585" spans="1:4">
      <c r="A585" s="7">
        <v>116016</v>
      </c>
      <c r="B585" s="7" t="s">
        <v>1502</v>
      </c>
      <c r="C585" s="7">
        <f t="shared" si="9"/>
        <v>1584.0000000000002</v>
      </c>
      <c r="D585" s="7">
        <f>item!S509</f>
        <v>792.00000000000011</v>
      </c>
    </row>
    <row r="586" spans="1:4">
      <c r="A586" s="7">
        <v>116017</v>
      </c>
      <c r="B586" s="7" t="s">
        <v>1503</v>
      </c>
      <c r="C586" s="7">
        <f t="shared" si="9"/>
        <v>1760.0000000000002</v>
      </c>
      <c r="D586" s="7">
        <f>item!S510</f>
        <v>880.00000000000011</v>
      </c>
    </row>
    <row r="587" spans="1:4">
      <c r="A587" s="7">
        <v>116018</v>
      </c>
      <c r="B587" s="7" t="s">
        <v>1504</v>
      </c>
      <c r="C587" s="7">
        <f t="shared" si="9"/>
        <v>1936.0000000000002</v>
      </c>
      <c r="D587" s="7">
        <f>item!S511</f>
        <v>968.00000000000011</v>
      </c>
    </row>
    <row r="588" spans="1:4">
      <c r="A588" s="7">
        <v>116019</v>
      </c>
      <c r="B588" s="7" t="s">
        <v>1505</v>
      </c>
      <c r="C588" s="7">
        <f t="shared" si="9"/>
        <v>2112</v>
      </c>
      <c r="D588" s="7">
        <f>item!S512</f>
        <v>1056</v>
      </c>
    </row>
    <row r="589" spans="1:4">
      <c r="A589" s="7">
        <v>116020</v>
      </c>
      <c r="B589" s="7" t="s">
        <v>1506</v>
      </c>
      <c r="C589" s="7">
        <f t="shared" si="9"/>
        <v>2288</v>
      </c>
      <c r="D589" s="7">
        <f>item!S513</f>
        <v>1144</v>
      </c>
    </row>
    <row r="590" spans="1:4">
      <c r="A590" s="7">
        <v>116021</v>
      </c>
      <c r="B590" s="7" t="s">
        <v>1507</v>
      </c>
      <c r="C590" s="7">
        <f t="shared" si="9"/>
        <v>2464</v>
      </c>
      <c r="D590" s="7">
        <f>item!S514</f>
        <v>1232</v>
      </c>
    </row>
    <row r="591" spans="1:4">
      <c r="A591" s="7">
        <v>116022</v>
      </c>
      <c r="B591" s="7" t="s">
        <v>1508</v>
      </c>
      <c r="C591" s="7">
        <f t="shared" si="9"/>
        <v>2640</v>
      </c>
      <c r="D591" s="7">
        <f>item!S515</f>
        <v>1320</v>
      </c>
    </row>
    <row r="592" spans="1:4">
      <c r="A592" s="7">
        <v>116023</v>
      </c>
      <c r="B592" s="7" t="s">
        <v>1509</v>
      </c>
      <c r="C592" s="7">
        <f t="shared" si="9"/>
        <v>2816</v>
      </c>
      <c r="D592" s="7">
        <f>item!S516</f>
        <v>1408</v>
      </c>
    </row>
    <row r="593" spans="1:4">
      <c r="A593" s="7">
        <v>116024</v>
      </c>
      <c r="B593" s="7" t="s">
        <v>1510</v>
      </c>
      <c r="C593" s="7">
        <f t="shared" si="9"/>
        <v>2992.0000000000005</v>
      </c>
      <c r="D593" s="7">
        <f>item!S517</f>
        <v>1496.0000000000002</v>
      </c>
    </row>
    <row r="594" spans="1:4">
      <c r="A594" s="7">
        <v>116025</v>
      </c>
      <c r="B594" s="7" t="s">
        <v>1511</v>
      </c>
      <c r="C594" s="7">
        <f t="shared" si="9"/>
        <v>3168.0000000000005</v>
      </c>
      <c r="D594" s="7">
        <f>item!S518</f>
        <v>1584.0000000000002</v>
      </c>
    </row>
    <row r="595" spans="1:4">
      <c r="A595" s="7">
        <v>116026</v>
      </c>
      <c r="B595" s="7" t="s">
        <v>1512</v>
      </c>
      <c r="C595" s="7">
        <f t="shared" si="9"/>
        <v>3344.0000000000005</v>
      </c>
      <c r="D595" s="7">
        <f>item!S519</f>
        <v>1672.0000000000002</v>
      </c>
    </row>
    <row r="596" spans="1:4">
      <c r="A596" s="7">
        <v>117003</v>
      </c>
      <c r="B596" s="7" t="s">
        <v>1513</v>
      </c>
      <c r="C596" s="7">
        <f t="shared" si="9"/>
        <v>1100</v>
      </c>
      <c r="D596" s="7">
        <f>item!S520</f>
        <v>550</v>
      </c>
    </row>
    <row r="597" spans="1:4">
      <c r="A597" s="7">
        <v>117004</v>
      </c>
      <c r="B597" s="7" t="s">
        <v>1514</v>
      </c>
      <c r="C597" s="7">
        <f t="shared" si="9"/>
        <v>1320</v>
      </c>
      <c r="D597" s="7">
        <f>item!S521</f>
        <v>660</v>
      </c>
    </row>
    <row r="598" spans="1:4">
      <c r="A598" s="7">
        <v>117005</v>
      </c>
      <c r="B598" s="7" t="s">
        <v>1515</v>
      </c>
      <c r="C598" s="7">
        <f t="shared" si="9"/>
        <v>1540</v>
      </c>
      <c r="D598" s="7">
        <f>item!S522</f>
        <v>770</v>
      </c>
    </row>
    <row r="599" spans="1:4">
      <c r="A599" s="7">
        <v>117006</v>
      </c>
      <c r="B599" s="7" t="s">
        <v>1516</v>
      </c>
      <c r="C599" s="7">
        <f t="shared" si="9"/>
        <v>1760</v>
      </c>
      <c r="D599" s="7">
        <f>item!S523</f>
        <v>880</v>
      </c>
    </row>
    <row r="600" spans="1:4">
      <c r="A600" s="7">
        <v>117007</v>
      </c>
      <c r="B600" s="7" t="s">
        <v>1517</v>
      </c>
      <c r="C600" s="7">
        <f t="shared" si="9"/>
        <v>1980</v>
      </c>
      <c r="D600" s="7">
        <f>item!S524</f>
        <v>990</v>
      </c>
    </row>
    <row r="601" spans="1:4">
      <c r="A601" s="7">
        <v>117008</v>
      </c>
      <c r="B601" s="7" t="s">
        <v>1518</v>
      </c>
      <c r="C601" s="7">
        <f t="shared" si="9"/>
        <v>2200</v>
      </c>
      <c r="D601" s="7">
        <f>item!S525</f>
        <v>1100</v>
      </c>
    </row>
    <row r="602" spans="1:4">
      <c r="A602" s="7">
        <v>117009</v>
      </c>
      <c r="B602" s="7" t="s">
        <v>1519</v>
      </c>
      <c r="C602" s="7">
        <f t="shared" si="9"/>
        <v>2420</v>
      </c>
      <c r="D602" s="7">
        <f>item!S526</f>
        <v>1210</v>
      </c>
    </row>
    <row r="603" spans="1:4">
      <c r="A603" s="7">
        <v>117010</v>
      </c>
      <c r="B603" s="7" t="s">
        <v>1520</v>
      </c>
      <c r="C603" s="7">
        <f t="shared" si="9"/>
        <v>2640</v>
      </c>
      <c r="D603" s="7">
        <f>item!S527</f>
        <v>1320</v>
      </c>
    </row>
    <row r="604" spans="1:4">
      <c r="A604" s="7">
        <v>117011</v>
      </c>
      <c r="B604" s="7" t="s">
        <v>1521</v>
      </c>
      <c r="C604" s="7">
        <f t="shared" si="9"/>
        <v>2860</v>
      </c>
      <c r="D604" s="7">
        <f>item!S528</f>
        <v>1430</v>
      </c>
    </row>
    <row r="605" spans="1:4">
      <c r="A605" s="7">
        <v>117012</v>
      </c>
      <c r="B605" s="7" t="s">
        <v>1522</v>
      </c>
      <c r="C605" s="7">
        <f t="shared" si="9"/>
        <v>3080</v>
      </c>
      <c r="D605" s="7">
        <f>item!S529</f>
        <v>1540</v>
      </c>
    </row>
    <row r="606" spans="1:4">
      <c r="A606" s="7">
        <v>117013</v>
      </c>
      <c r="B606" s="7" t="s">
        <v>1523</v>
      </c>
      <c r="C606" s="7">
        <f t="shared" si="9"/>
        <v>3300</v>
      </c>
      <c r="D606" s="7">
        <f>item!S530</f>
        <v>1650</v>
      </c>
    </row>
    <row r="607" spans="1:4">
      <c r="A607" s="7">
        <v>117014</v>
      </c>
      <c r="B607" s="7" t="s">
        <v>1524</v>
      </c>
      <c r="C607" s="7">
        <f t="shared" si="9"/>
        <v>3520</v>
      </c>
      <c r="D607" s="7">
        <f>item!S531</f>
        <v>1760</v>
      </c>
    </row>
    <row r="608" spans="1:4">
      <c r="A608" s="7">
        <v>117015</v>
      </c>
      <c r="B608" s="7" t="s">
        <v>1525</v>
      </c>
      <c r="C608" s="7">
        <f t="shared" si="9"/>
        <v>3740</v>
      </c>
      <c r="D608" s="7">
        <f>item!S532</f>
        <v>1870</v>
      </c>
    </row>
    <row r="609" spans="1:4">
      <c r="A609" s="7">
        <v>117016</v>
      </c>
      <c r="B609" s="7" t="s">
        <v>1526</v>
      </c>
      <c r="C609" s="7">
        <f t="shared" si="9"/>
        <v>3960</v>
      </c>
      <c r="D609" s="7">
        <f>item!S533</f>
        <v>1980</v>
      </c>
    </row>
    <row r="610" spans="1:4">
      <c r="A610" s="7">
        <v>117017</v>
      </c>
      <c r="B610" s="7" t="s">
        <v>1527</v>
      </c>
      <c r="C610" s="7">
        <f t="shared" si="9"/>
        <v>4400</v>
      </c>
      <c r="D610" s="7">
        <f>item!S534</f>
        <v>2200</v>
      </c>
    </row>
    <row r="611" spans="1:4">
      <c r="A611" s="7">
        <v>117018</v>
      </c>
      <c r="B611" s="7" t="s">
        <v>1528</v>
      </c>
      <c r="C611" s="7">
        <f t="shared" si="9"/>
        <v>4840</v>
      </c>
      <c r="D611" s="7">
        <f>item!S535</f>
        <v>2420</v>
      </c>
    </row>
    <row r="612" spans="1:4">
      <c r="A612" s="7">
        <v>117019</v>
      </c>
      <c r="B612" s="7" t="s">
        <v>1529</v>
      </c>
      <c r="C612" s="7">
        <f t="shared" si="9"/>
        <v>5280</v>
      </c>
      <c r="D612" s="7">
        <f>item!S536</f>
        <v>2640</v>
      </c>
    </row>
    <row r="613" spans="1:4">
      <c r="A613" s="7">
        <v>117020</v>
      </c>
      <c r="B613" s="7" t="s">
        <v>1530</v>
      </c>
      <c r="C613" s="7">
        <f t="shared" si="9"/>
        <v>5720</v>
      </c>
      <c r="D613" s="7">
        <f>item!S537</f>
        <v>2860</v>
      </c>
    </row>
    <row r="614" spans="1:4">
      <c r="A614" s="7">
        <v>117021</v>
      </c>
      <c r="B614" s="7" t="s">
        <v>1531</v>
      </c>
      <c r="C614" s="7">
        <f t="shared" si="9"/>
        <v>6160</v>
      </c>
      <c r="D614" s="7">
        <f>item!S538</f>
        <v>3080</v>
      </c>
    </row>
    <row r="615" spans="1:4">
      <c r="A615" s="7">
        <v>117022</v>
      </c>
      <c r="B615" s="7" t="s">
        <v>1532</v>
      </c>
      <c r="C615" s="7">
        <f t="shared" si="9"/>
        <v>6600</v>
      </c>
      <c r="D615" s="7">
        <f>item!S539</f>
        <v>3300</v>
      </c>
    </row>
    <row r="616" spans="1:4">
      <c r="A616" s="7">
        <v>117023</v>
      </c>
      <c r="B616" s="7" t="s">
        <v>1533</v>
      </c>
      <c r="C616" s="7">
        <f t="shared" si="9"/>
        <v>7040</v>
      </c>
      <c r="D616" s="7">
        <f>item!S540</f>
        <v>3520</v>
      </c>
    </row>
    <row r="617" spans="1:4">
      <c r="A617" s="7">
        <v>117024</v>
      </c>
      <c r="B617" s="7" t="s">
        <v>1534</v>
      </c>
      <c r="C617" s="7">
        <f t="shared" si="9"/>
        <v>7480</v>
      </c>
      <c r="D617" s="7">
        <f>item!S541</f>
        <v>3740</v>
      </c>
    </row>
    <row r="618" spans="1:4">
      <c r="A618" s="7">
        <v>117025</v>
      </c>
      <c r="B618" s="7" t="s">
        <v>1535</v>
      </c>
      <c r="C618" s="7">
        <f t="shared" si="9"/>
        <v>7920</v>
      </c>
      <c r="D618" s="7">
        <f>item!S542</f>
        <v>3960</v>
      </c>
    </row>
    <row r="619" spans="1:4">
      <c r="A619" s="7">
        <v>117026</v>
      </c>
      <c r="B619" s="7" t="s">
        <v>1536</v>
      </c>
      <c r="C619" s="7">
        <f t="shared" si="9"/>
        <v>8360</v>
      </c>
      <c r="D619" s="7">
        <f>item!S543</f>
        <v>4180</v>
      </c>
    </row>
    <row r="620" spans="1:4">
      <c r="A620" s="7">
        <v>118003</v>
      </c>
      <c r="B620" s="7" t="s">
        <v>1537</v>
      </c>
      <c r="C620" s="7">
        <f t="shared" si="9"/>
        <v>2640</v>
      </c>
      <c r="D620" s="7">
        <f>item!S544</f>
        <v>1320</v>
      </c>
    </row>
    <row r="621" spans="1:4">
      <c r="A621" s="7">
        <v>118004</v>
      </c>
      <c r="B621" s="7" t="s">
        <v>1538</v>
      </c>
      <c r="C621" s="7">
        <f t="shared" si="9"/>
        <v>3168</v>
      </c>
      <c r="D621" s="7">
        <f>item!S545</f>
        <v>1584</v>
      </c>
    </row>
    <row r="622" spans="1:4">
      <c r="A622" s="7">
        <v>118005</v>
      </c>
      <c r="B622" s="7" t="s">
        <v>1539</v>
      </c>
      <c r="C622" s="7">
        <f t="shared" si="9"/>
        <v>3696</v>
      </c>
      <c r="D622" s="7">
        <f>item!S546</f>
        <v>1848</v>
      </c>
    </row>
    <row r="623" spans="1:4">
      <c r="A623" s="7">
        <v>118006</v>
      </c>
      <c r="B623" s="7" t="s">
        <v>1540</v>
      </c>
      <c r="C623" s="7">
        <f t="shared" si="9"/>
        <v>4224</v>
      </c>
      <c r="D623" s="7">
        <f>item!S547</f>
        <v>2112</v>
      </c>
    </row>
    <row r="624" spans="1:4">
      <c r="A624" s="7">
        <v>118007</v>
      </c>
      <c r="B624" s="7" t="s">
        <v>1541</v>
      </c>
      <c r="C624" s="7">
        <f t="shared" si="9"/>
        <v>4752</v>
      </c>
      <c r="D624" s="7">
        <f>item!S548</f>
        <v>2376</v>
      </c>
    </row>
    <row r="625" spans="1:4">
      <c r="A625" s="7">
        <v>118008</v>
      </c>
      <c r="B625" s="7" t="s">
        <v>1542</v>
      </c>
      <c r="C625" s="7">
        <f t="shared" si="9"/>
        <v>5280</v>
      </c>
      <c r="D625" s="7">
        <f>item!S549</f>
        <v>2640</v>
      </c>
    </row>
    <row r="626" spans="1:4">
      <c r="A626" s="7">
        <v>118009</v>
      </c>
      <c r="B626" s="7" t="s">
        <v>1543</v>
      </c>
      <c r="C626" s="7">
        <f t="shared" si="9"/>
        <v>5808</v>
      </c>
      <c r="D626" s="7">
        <f>item!S550</f>
        <v>2904</v>
      </c>
    </row>
    <row r="627" spans="1:4">
      <c r="A627" s="7">
        <v>118010</v>
      </c>
      <c r="B627" s="7" t="s">
        <v>1544</v>
      </c>
      <c r="C627" s="7">
        <f t="shared" si="9"/>
        <v>6336</v>
      </c>
      <c r="D627" s="7">
        <f>item!S551</f>
        <v>3168</v>
      </c>
    </row>
    <row r="628" spans="1:4">
      <c r="A628" s="7">
        <v>118011</v>
      </c>
      <c r="B628" s="7" t="s">
        <v>1545</v>
      </c>
      <c r="C628" s="7">
        <f t="shared" si="9"/>
        <v>6864</v>
      </c>
      <c r="D628" s="7">
        <f>item!S552</f>
        <v>3432</v>
      </c>
    </row>
    <row r="629" spans="1:4">
      <c r="A629" s="7">
        <v>118012</v>
      </c>
      <c r="B629" s="7" t="s">
        <v>1546</v>
      </c>
      <c r="C629" s="7">
        <f t="shared" si="9"/>
        <v>7392</v>
      </c>
      <c r="D629" s="7">
        <f>item!S553</f>
        <v>3696</v>
      </c>
    </row>
    <row r="630" spans="1:4">
      <c r="A630" s="7">
        <v>118013</v>
      </c>
      <c r="B630" s="7" t="s">
        <v>1547</v>
      </c>
      <c r="C630" s="7">
        <f t="shared" si="9"/>
        <v>7920</v>
      </c>
      <c r="D630" s="7">
        <f>item!S554</f>
        <v>3960</v>
      </c>
    </row>
    <row r="631" spans="1:4">
      <c r="A631" s="7">
        <v>118014</v>
      </c>
      <c r="B631" s="7" t="s">
        <v>1548</v>
      </c>
      <c r="C631" s="7">
        <f t="shared" si="9"/>
        <v>8448</v>
      </c>
      <c r="D631" s="7">
        <f>item!S555</f>
        <v>4224</v>
      </c>
    </row>
    <row r="632" spans="1:4">
      <c r="A632" s="7">
        <v>118015</v>
      </c>
      <c r="B632" s="7" t="s">
        <v>1549</v>
      </c>
      <c r="C632" s="7">
        <f t="shared" si="9"/>
        <v>8976</v>
      </c>
      <c r="D632" s="7">
        <f>item!S556</f>
        <v>4488</v>
      </c>
    </row>
    <row r="633" spans="1:4">
      <c r="A633" s="7">
        <v>118016</v>
      </c>
      <c r="B633" s="7" t="s">
        <v>1550</v>
      </c>
      <c r="C633" s="7">
        <f t="shared" si="9"/>
        <v>9504</v>
      </c>
      <c r="D633" s="7">
        <f>item!S557</f>
        <v>4752</v>
      </c>
    </row>
    <row r="634" spans="1:4">
      <c r="A634" s="7">
        <v>118017</v>
      </c>
      <c r="B634" s="7" t="s">
        <v>1551</v>
      </c>
      <c r="C634" s="7">
        <f t="shared" si="9"/>
        <v>10560</v>
      </c>
      <c r="D634" s="7">
        <f>item!S558</f>
        <v>5280</v>
      </c>
    </row>
    <row r="635" spans="1:4">
      <c r="A635" s="15">
        <v>118018</v>
      </c>
      <c r="B635" s="15" t="s">
        <v>1552</v>
      </c>
      <c r="C635" s="7">
        <f t="shared" si="9"/>
        <v>11616</v>
      </c>
      <c r="D635" s="7">
        <f>item!S559</f>
        <v>5808</v>
      </c>
    </row>
    <row r="636" spans="1:4">
      <c r="A636" s="15">
        <v>118019</v>
      </c>
      <c r="B636" s="15" t="s">
        <v>1553</v>
      </c>
      <c r="C636" s="7">
        <f t="shared" si="9"/>
        <v>12672</v>
      </c>
      <c r="D636" s="7">
        <f>item!S560</f>
        <v>6336</v>
      </c>
    </row>
    <row r="637" spans="1:4">
      <c r="A637" s="15">
        <v>118020</v>
      </c>
      <c r="B637" s="15" t="s">
        <v>1554</v>
      </c>
      <c r="C637" s="7">
        <f t="shared" si="9"/>
        <v>13728</v>
      </c>
      <c r="D637" s="7">
        <f>item!S561</f>
        <v>6864</v>
      </c>
    </row>
    <row r="638" spans="1:4">
      <c r="A638" s="15">
        <v>118021</v>
      </c>
      <c r="B638" s="15" t="s">
        <v>1555</v>
      </c>
      <c r="C638" s="7">
        <f t="shared" si="9"/>
        <v>14784</v>
      </c>
      <c r="D638" s="7">
        <f>item!S562</f>
        <v>7392</v>
      </c>
    </row>
    <row r="639" spans="1:4">
      <c r="A639" s="15">
        <v>118022</v>
      </c>
      <c r="B639" s="15" t="s">
        <v>1556</v>
      </c>
      <c r="C639" s="7">
        <f t="shared" si="9"/>
        <v>15840</v>
      </c>
      <c r="D639" s="7">
        <f>item!S563</f>
        <v>7920</v>
      </c>
    </row>
    <row r="640" spans="1:4">
      <c r="A640" s="15">
        <v>118023</v>
      </c>
      <c r="B640" s="15" t="s">
        <v>1557</v>
      </c>
      <c r="C640" s="7">
        <f t="shared" si="9"/>
        <v>16896</v>
      </c>
      <c r="D640" s="7">
        <f>item!S564</f>
        <v>8448</v>
      </c>
    </row>
    <row r="641" spans="1:4">
      <c r="A641" s="15">
        <v>118024</v>
      </c>
      <c r="B641" s="15" t="s">
        <v>1558</v>
      </c>
      <c r="C641" s="7">
        <f t="shared" si="9"/>
        <v>17952</v>
      </c>
      <c r="D641" s="7">
        <f>item!S565</f>
        <v>8976</v>
      </c>
    </row>
    <row r="642" spans="1:4">
      <c r="A642" s="7">
        <v>118025</v>
      </c>
      <c r="B642" s="7" t="s">
        <v>1559</v>
      </c>
      <c r="C642" s="7">
        <f t="shared" si="9"/>
        <v>19008</v>
      </c>
      <c r="D642" s="7">
        <f>item!S566</f>
        <v>9504</v>
      </c>
    </row>
    <row r="643" spans="1:4">
      <c r="A643" s="7">
        <v>118026</v>
      </c>
      <c r="B643" s="7" t="s">
        <v>1560</v>
      </c>
      <c r="C643" s="7">
        <f t="shared" ref="C643:C706" si="10">D643*2</f>
        <v>20064</v>
      </c>
      <c r="D643" s="7">
        <f>item!S567</f>
        <v>10032</v>
      </c>
    </row>
    <row r="644" spans="1:4">
      <c r="A644" s="15">
        <v>120001</v>
      </c>
      <c r="B644" s="15" t="s">
        <v>2165</v>
      </c>
      <c r="C644" s="7">
        <f t="shared" si="10"/>
        <v>200</v>
      </c>
      <c r="D644" s="7">
        <f>item!S568</f>
        <v>100</v>
      </c>
    </row>
    <row r="645" spans="1:4">
      <c r="A645" s="15">
        <v>120002</v>
      </c>
      <c r="B645" s="15" t="s">
        <v>2166</v>
      </c>
      <c r="C645" s="7">
        <f t="shared" si="10"/>
        <v>200</v>
      </c>
      <c r="D645" s="7">
        <f>item!S569</f>
        <v>100</v>
      </c>
    </row>
    <row r="646" spans="1:4">
      <c r="A646" s="15">
        <v>120003</v>
      </c>
      <c r="B646" s="15" t="s">
        <v>2167</v>
      </c>
      <c r="C646" s="7">
        <f t="shared" si="10"/>
        <v>200</v>
      </c>
      <c r="D646" s="7">
        <f>item!S570</f>
        <v>100</v>
      </c>
    </row>
    <row r="647" spans="1:4">
      <c r="A647" s="15">
        <v>120004</v>
      </c>
      <c r="B647" s="15" t="s">
        <v>2168</v>
      </c>
      <c r="C647" s="7">
        <f t="shared" si="10"/>
        <v>200</v>
      </c>
      <c r="D647" s="7">
        <f>item!S571</f>
        <v>100</v>
      </c>
    </row>
    <row r="648" spans="1:4">
      <c r="A648" s="15">
        <v>120101</v>
      </c>
      <c r="B648" s="15" t="s">
        <v>2169</v>
      </c>
      <c r="C648" s="7">
        <f t="shared" si="10"/>
        <v>200</v>
      </c>
      <c r="D648" s="7">
        <f>item!S572</f>
        <v>100</v>
      </c>
    </row>
    <row r="649" spans="1:4">
      <c r="A649" s="15">
        <v>120102</v>
      </c>
      <c r="B649" s="15" t="s">
        <v>2170</v>
      </c>
      <c r="C649" s="7">
        <f t="shared" si="10"/>
        <v>200</v>
      </c>
      <c r="D649" s="7">
        <f>item!S573</f>
        <v>100</v>
      </c>
    </row>
    <row r="650" spans="1:4">
      <c r="A650" s="15">
        <v>120103</v>
      </c>
      <c r="B650" s="15" t="s">
        <v>2171</v>
      </c>
      <c r="C650" s="7">
        <f t="shared" si="10"/>
        <v>200</v>
      </c>
      <c r="D650" s="7">
        <f>item!S574</f>
        <v>100</v>
      </c>
    </row>
    <row r="651" spans="1:4">
      <c r="A651" s="7">
        <v>120104</v>
      </c>
      <c r="B651" s="7" t="s">
        <v>2172</v>
      </c>
      <c r="C651" s="7">
        <f t="shared" si="10"/>
        <v>200</v>
      </c>
      <c r="D651" s="7">
        <f>item!S575</f>
        <v>100</v>
      </c>
    </row>
    <row r="652" spans="1:4">
      <c r="A652" s="7">
        <v>130111</v>
      </c>
      <c r="B652" s="7" t="s">
        <v>1849</v>
      </c>
      <c r="C652" s="7">
        <f t="shared" si="10"/>
        <v>4000</v>
      </c>
      <c r="D652" s="7">
        <f>item!S576</f>
        <v>2000</v>
      </c>
    </row>
    <row r="653" spans="1:4">
      <c r="A653" s="15">
        <v>130112</v>
      </c>
      <c r="B653" s="15" t="s">
        <v>1850</v>
      </c>
      <c r="C653" s="7">
        <f t="shared" si="10"/>
        <v>8000</v>
      </c>
      <c r="D653" s="7">
        <f>item!S577</f>
        <v>4000</v>
      </c>
    </row>
    <row r="654" spans="1:4">
      <c r="A654" s="15">
        <v>130113</v>
      </c>
      <c r="B654" s="15" t="s">
        <v>1851</v>
      </c>
      <c r="C654" s="7">
        <f t="shared" si="10"/>
        <v>20000</v>
      </c>
      <c r="D654" s="7">
        <f>item!S578</f>
        <v>10000</v>
      </c>
    </row>
    <row r="655" spans="1:4">
      <c r="A655" s="15">
        <v>130114</v>
      </c>
      <c r="B655" s="15" t="s">
        <v>1852</v>
      </c>
      <c r="C655" s="7">
        <f t="shared" si="10"/>
        <v>20000</v>
      </c>
      <c r="D655" s="7">
        <f>item!S579</f>
        <v>10000</v>
      </c>
    </row>
    <row r="656" spans="1:4">
      <c r="A656" s="15">
        <v>130115</v>
      </c>
      <c r="B656" s="15" t="s">
        <v>1853</v>
      </c>
      <c r="C656" s="7">
        <f t="shared" si="10"/>
        <v>20000</v>
      </c>
      <c r="D656" s="7">
        <f>item!S580</f>
        <v>10000</v>
      </c>
    </row>
    <row r="657" spans="1:4">
      <c r="A657" s="15">
        <v>130116</v>
      </c>
      <c r="B657" s="15" t="s">
        <v>1854</v>
      </c>
      <c r="C657" s="7">
        <f t="shared" si="10"/>
        <v>20000</v>
      </c>
      <c r="D657" s="7">
        <f>item!S581</f>
        <v>10000</v>
      </c>
    </row>
    <row r="658" spans="1:4">
      <c r="A658" s="15">
        <v>130117</v>
      </c>
      <c r="B658" s="15" t="s">
        <v>1855</v>
      </c>
      <c r="C658" s="7">
        <f t="shared" si="10"/>
        <v>20000</v>
      </c>
      <c r="D658" s="7">
        <f>item!S582</f>
        <v>10000</v>
      </c>
    </row>
    <row r="659" spans="1:4">
      <c r="A659" s="15">
        <v>130118</v>
      </c>
      <c r="B659" s="15" t="s">
        <v>1856</v>
      </c>
      <c r="C659" s="7">
        <f t="shared" si="10"/>
        <v>20000</v>
      </c>
      <c r="D659" s="7">
        <f>item!S583</f>
        <v>10000</v>
      </c>
    </row>
    <row r="660" spans="1:4">
      <c r="A660" s="7">
        <v>130119</v>
      </c>
      <c r="B660" s="7" t="s">
        <v>1857</v>
      </c>
      <c r="C660" s="7">
        <f t="shared" si="10"/>
        <v>20000</v>
      </c>
      <c r="D660" s="7">
        <f>item!S584</f>
        <v>10000</v>
      </c>
    </row>
    <row r="661" spans="1:4">
      <c r="A661" s="7">
        <v>130121</v>
      </c>
      <c r="B661" s="7" t="s">
        <v>1858</v>
      </c>
      <c r="C661" s="7">
        <f t="shared" si="10"/>
        <v>4000</v>
      </c>
      <c r="D661" s="7">
        <f>item!S585</f>
        <v>2000</v>
      </c>
    </row>
    <row r="662" spans="1:4">
      <c r="A662" s="15">
        <v>130122</v>
      </c>
      <c r="B662" s="15" t="s">
        <v>1859</v>
      </c>
      <c r="C662" s="7">
        <f t="shared" si="10"/>
        <v>8000</v>
      </c>
      <c r="D662" s="7">
        <f>item!S586</f>
        <v>4000</v>
      </c>
    </row>
    <row r="663" spans="1:4">
      <c r="A663" s="15">
        <v>130123</v>
      </c>
      <c r="B663" s="15" t="s">
        <v>1860</v>
      </c>
      <c r="C663" s="7">
        <f t="shared" si="10"/>
        <v>20000</v>
      </c>
      <c r="D663" s="7">
        <f>item!S587</f>
        <v>10000</v>
      </c>
    </row>
    <row r="664" spans="1:4">
      <c r="A664" s="15">
        <v>130124</v>
      </c>
      <c r="B664" s="15" t="s">
        <v>1861</v>
      </c>
      <c r="C664" s="7">
        <f t="shared" si="10"/>
        <v>20000</v>
      </c>
      <c r="D664" s="7">
        <f>item!S588</f>
        <v>10000</v>
      </c>
    </row>
    <row r="665" spans="1:4">
      <c r="A665" s="15">
        <v>130125</v>
      </c>
      <c r="B665" s="15" t="s">
        <v>1862</v>
      </c>
      <c r="C665" s="7">
        <f t="shared" si="10"/>
        <v>20000</v>
      </c>
      <c r="D665" s="7">
        <f>item!S589</f>
        <v>10000</v>
      </c>
    </row>
    <row r="666" spans="1:4">
      <c r="A666" s="15">
        <v>130126</v>
      </c>
      <c r="B666" s="15" t="s">
        <v>1863</v>
      </c>
      <c r="C666" s="7">
        <f t="shared" si="10"/>
        <v>20000</v>
      </c>
      <c r="D666" s="7">
        <f>item!S590</f>
        <v>10000</v>
      </c>
    </row>
    <row r="667" spans="1:4">
      <c r="A667" s="15">
        <v>130127</v>
      </c>
      <c r="B667" s="15" t="s">
        <v>1864</v>
      </c>
      <c r="C667" s="7">
        <f t="shared" si="10"/>
        <v>20000</v>
      </c>
      <c r="D667" s="7">
        <f>item!S591</f>
        <v>10000</v>
      </c>
    </row>
    <row r="668" spans="1:4">
      <c r="A668" s="15">
        <v>130128</v>
      </c>
      <c r="B668" s="15" t="s">
        <v>1865</v>
      </c>
      <c r="C668" s="7">
        <f t="shared" si="10"/>
        <v>20000</v>
      </c>
      <c r="D668" s="7">
        <f>item!S592</f>
        <v>10000</v>
      </c>
    </row>
    <row r="669" spans="1:4">
      <c r="A669" s="7">
        <v>130129</v>
      </c>
      <c r="B669" s="7" t="s">
        <v>1866</v>
      </c>
      <c r="C669" s="7">
        <f t="shared" si="10"/>
        <v>20000</v>
      </c>
      <c r="D669" s="7">
        <f>item!S593</f>
        <v>10000</v>
      </c>
    </row>
    <row r="670" spans="1:4">
      <c r="A670" s="7">
        <v>130211</v>
      </c>
      <c r="B670" s="7" t="s">
        <v>1867</v>
      </c>
      <c r="C670" s="7">
        <f t="shared" si="10"/>
        <v>4000</v>
      </c>
      <c r="D670" s="7">
        <f>item!S594</f>
        <v>2000</v>
      </c>
    </row>
    <row r="671" spans="1:4">
      <c r="A671" s="15">
        <v>130212</v>
      </c>
      <c r="B671" s="15" t="s">
        <v>1868</v>
      </c>
      <c r="C671" s="7">
        <f t="shared" si="10"/>
        <v>8000</v>
      </c>
      <c r="D671" s="7">
        <f>item!S595</f>
        <v>4000</v>
      </c>
    </row>
    <row r="672" spans="1:4">
      <c r="A672" s="15">
        <v>130213</v>
      </c>
      <c r="B672" s="15" t="s">
        <v>1869</v>
      </c>
      <c r="C672" s="7">
        <f t="shared" si="10"/>
        <v>20000</v>
      </c>
      <c r="D672" s="7">
        <f>item!S596</f>
        <v>10000</v>
      </c>
    </row>
    <row r="673" spans="1:4">
      <c r="A673" s="15">
        <v>130214</v>
      </c>
      <c r="B673" s="15" t="s">
        <v>1870</v>
      </c>
      <c r="C673" s="7">
        <f t="shared" si="10"/>
        <v>20000</v>
      </c>
      <c r="D673" s="7">
        <f>item!S597</f>
        <v>10000</v>
      </c>
    </row>
    <row r="674" spans="1:4">
      <c r="A674" s="15">
        <v>130215</v>
      </c>
      <c r="B674" s="15" t="s">
        <v>1871</v>
      </c>
      <c r="C674" s="7">
        <f t="shared" si="10"/>
        <v>20000</v>
      </c>
      <c r="D674" s="7">
        <f>item!S598</f>
        <v>10000</v>
      </c>
    </row>
    <row r="675" spans="1:4">
      <c r="A675" s="15">
        <v>130216</v>
      </c>
      <c r="B675" s="15" t="s">
        <v>1872</v>
      </c>
      <c r="C675" s="7">
        <f t="shared" si="10"/>
        <v>20000</v>
      </c>
      <c r="D675" s="7">
        <f>item!S599</f>
        <v>10000</v>
      </c>
    </row>
    <row r="676" spans="1:4">
      <c r="A676" s="15">
        <v>130217</v>
      </c>
      <c r="B676" s="15" t="s">
        <v>1873</v>
      </c>
      <c r="C676" s="7">
        <f t="shared" si="10"/>
        <v>20000</v>
      </c>
      <c r="D676" s="7">
        <f>item!S600</f>
        <v>10000</v>
      </c>
    </row>
    <row r="677" spans="1:4">
      <c r="A677" s="15">
        <v>130218</v>
      </c>
      <c r="B677" s="15" t="s">
        <v>1874</v>
      </c>
      <c r="C677" s="7">
        <f t="shared" si="10"/>
        <v>20000</v>
      </c>
      <c r="D677" s="7">
        <f>item!S601</f>
        <v>10000</v>
      </c>
    </row>
    <row r="678" spans="1:4">
      <c r="A678" s="7">
        <v>130219</v>
      </c>
      <c r="B678" s="7" t="s">
        <v>1875</v>
      </c>
      <c r="C678" s="7">
        <f t="shared" si="10"/>
        <v>20000</v>
      </c>
      <c r="D678" s="7">
        <f>item!S602</f>
        <v>10000</v>
      </c>
    </row>
    <row r="679" spans="1:4">
      <c r="A679" s="7">
        <v>130221</v>
      </c>
      <c r="B679" s="7" t="s">
        <v>1876</v>
      </c>
      <c r="C679" s="7">
        <f t="shared" si="10"/>
        <v>4000</v>
      </c>
      <c r="D679" s="7">
        <f>item!S603</f>
        <v>2000</v>
      </c>
    </row>
    <row r="680" spans="1:4">
      <c r="A680" s="15">
        <v>130222</v>
      </c>
      <c r="B680" s="15" t="s">
        <v>1877</v>
      </c>
      <c r="C680" s="7">
        <f t="shared" si="10"/>
        <v>8000</v>
      </c>
      <c r="D680" s="7">
        <f>item!S604</f>
        <v>4000</v>
      </c>
    </row>
    <row r="681" spans="1:4">
      <c r="A681" s="15">
        <v>130223</v>
      </c>
      <c r="B681" s="15" t="s">
        <v>1878</v>
      </c>
      <c r="C681" s="7">
        <f t="shared" si="10"/>
        <v>20000</v>
      </c>
      <c r="D681" s="7">
        <f>item!S605</f>
        <v>10000</v>
      </c>
    </row>
    <row r="682" spans="1:4">
      <c r="A682" s="15">
        <v>130224</v>
      </c>
      <c r="B682" s="15" t="s">
        <v>1879</v>
      </c>
      <c r="C682" s="7">
        <f t="shared" si="10"/>
        <v>20000</v>
      </c>
      <c r="D682" s="7">
        <f>item!S606</f>
        <v>10000</v>
      </c>
    </row>
    <row r="683" spans="1:4">
      <c r="A683" s="15">
        <v>130225</v>
      </c>
      <c r="B683" s="15" t="s">
        <v>1880</v>
      </c>
      <c r="C683" s="7">
        <f t="shared" si="10"/>
        <v>20000</v>
      </c>
      <c r="D683" s="7">
        <f>item!S607</f>
        <v>10000</v>
      </c>
    </row>
    <row r="684" spans="1:4">
      <c r="A684" s="15">
        <v>130226</v>
      </c>
      <c r="B684" s="15" t="s">
        <v>1881</v>
      </c>
      <c r="C684" s="7">
        <f t="shared" si="10"/>
        <v>20000</v>
      </c>
      <c r="D684" s="7">
        <f>item!S608</f>
        <v>10000</v>
      </c>
    </row>
    <row r="685" spans="1:4">
      <c r="A685" s="15">
        <v>130227</v>
      </c>
      <c r="B685" s="15" t="s">
        <v>1882</v>
      </c>
      <c r="C685" s="7">
        <f t="shared" si="10"/>
        <v>20000</v>
      </c>
      <c r="D685" s="7">
        <f>item!S609</f>
        <v>10000</v>
      </c>
    </row>
    <row r="686" spans="1:4">
      <c r="A686" s="15">
        <v>130228</v>
      </c>
      <c r="B686" s="15" t="s">
        <v>1883</v>
      </c>
      <c r="C686" s="7">
        <f t="shared" si="10"/>
        <v>20000</v>
      </c>
      <c r="D686" s="7">
        <f>item!S610</f>
        <v>10000</v>
      </c>
    </row>
    <row r="687" spans="1:4">
      <c r="A687" s="7">
        <v>130229</v>
      </c>
      <c r="B687" s="7" t="s">
        <v>1884</v>
      </c>
      <c r="C687" s="7">
        <f t="shared" si="10"/>
        <v>20000</v>
      </c>
      <c r="D687" s="7">
        <f>item!S611</f>
        <v>10000</v>
      </c>
    </row>
    <row r="688" spans="1:4">
      <c r="A688" s="7">
        <v>130311</v>
      </c>
      <c r="B688" s="7" t="s">
        <v>1885</v>
      </c>
      <c r="C688" s="7">
        <f t="shared" si="10"/>
        <v>4000</v>
      </c>
      <c r="D688" s="7">
        <f>item!S612</f>
        <v>2000</v>
      </c>
    </row>
    <row r="689" spans="1:4">
      <c r="A689" s="15">
        <v>130312</v>
      </c>
      <c r="B689" s="15" t="s">
        <v>1886</v>
      </c>
      <c r="C689" s="7">
        <f t="shared" si="10"/>
        <v>8000</v>
      </c>
      <c r="D689" s="7">
        <f>item!S613</f>
        <v>4000</v>
      </c>
    </row>
    <row r="690" spans="1:4">
      <c r="A690" s="15">
        <v>130313</v>
      </c>
      <c r="B690" s="15" t="s">
        <v>1887</v>
      </c>
      <c r="C690" s="7">
        <f t="shared" si="10"/>
        <v>20000</v>
      </c>
      <c r="D690" s="7">
        <f>item!S614</f>
        <v>10000</v>
      </c>
    </row>
    <row r="691" spans="1:4">
      <c r="A691" s="15">
        <v>130314</v>
      </c>
      <c r="B691" s="15" t="s">
        <v>1888</v>
      </c>
      <c r="C691" s="7">
        <f t="shared" si="10"/>
        <v>20000</v>
      </c>
      <c r="D691" s="7">
        <f>item!S615</f>
        <v>10000</v>
      </c>
    </row>
    <row r="692" spans="1:4">
      <c r="A692" s="15">
        <v>130315</v>
      </c>
      <c r="B692" s="15" t="s">
        <v>1889</v>
      </c>
      <c r="C692" s="7">
        <f t="shared" si="10"/>
        <v>20000</v>
      </c>
      <c r="D692" s="7">
        <f>item!S616</f>
        <v>10000</v>
      </c>
    </row>
    <row r="693" spans="1:4">
      <c r="A693" s="15">
        <v>130316</v>
      </c>
      <c r="B693" s="15" t="s">
        <v>1890</v>
      </c>
      <c r="C693" s="7">
        <f t="shared" si="10"/>
        <v>20000</v>
      </c>
      <c r="D693" s="7">
        <f>item!S617</f>
        <v>10000</v>
      </c>
    </row>
    <row r="694" spans="1:4">
      <c r="A694" s="15">
        <v>130317</v>
      </c>
      <c r="B694" s="15" t="s">
        <v>1891</v>
      </c>
      <c r="C694" s="7">
        <f t="shared" si="10"/>
        <v>20000</v>
      </c>
      <c r="D694" s="7">
        <f>item!S618</f>
        <v>10000</v>
      </c>
    </row>
    <row r="695" spans="1:4">
      <c r="A695" s="15">
        <v>130318</v>
      </c>
      <c r="B695" s="15" t="s">
        <v>1892</v>
      </c>
      <c r="C695" s="7">
        <f t="shared" si="10"/>
        <v>20000</v>
      </c>
      <c r="D695" s="7">
        <f>item!S619</f>
        <v>10000</v>
      </c>
    </row>
    <row r="696" spans="1:4">
      <c r="A696" s="7">
        <v>130319</v>
      </c>
      <c r="B696" s="7" t="s">
        <v>1893</v>
      </c>
      <c r="C696" s="7">
        <f t="shared" si="10"/>
        <v>20000</v>
      </c>
      <c r="D696" s="7">
        <f>item!S620</f>
        <v>10000</v>
      </c>
    </row>
    <row r="697" spans="1:4">
      <c r="A697" s="7">
        <v>130321</v>
      </c>
      <c r="B697" s="7" t="s">
        <v>1894</v>
      </c>
      <c r="C697" s="7">
        <f t="shared" si="10"/>
        <v>4000</v>
      </c>
      <c r="D697" s="7">
        <f>item!S621</f>
        <v>2000</v>
      </c>
    </row>
    <row r="698" spans="1:4">
      <c r="A698" s="15">
        <v>130322</v>
      </c>
      <c r="B698" s="15" t="s">
        <v>1895</v>
      </c>
      <c r="C698" s="7">
        <f t="shared" si="10"/>
        <v>8000</v>
      </c>
      <c r="D698" s="7">
        <f>item!S622</f>
        <v>4000</v>
      </c>
    </row>
    <row r="699" spans="1:4">
      <c r="A699" s="15">
        <v>130323</v>
      </c>
      <c r="B699" s="15" t="s">
        <v>1896</v>
      </c>
      <c r="C699" s="7">
        <f t="shared" si="10"/>
        <v>20000</v>
      </c>
      <c r="D699" s="7">
        <f>item!S623</f>
        <v>10000</v>
      </c>
    </row>
    <row r="700" spans="1:4">
      <c r="A700" s="15">
        <v>130324</v>
      </c>
      <c r="B700" s="15" t="s">
        <v>1897</v>
      </c>
      <c r="C700" s="7">
        <f t="shared" si="10"/>
        <v>20000</v>
      </c>
      <c r="D700" s="7">
        <f>item!S624</f>
        <v>10000</v>
      </c>
    </row>
    <row r="701" spans="1:4">
      <c r="A701" s="15">
        <v>130325</v>
      </c>
      <c r="B701" s="15" t="s">
        <v>1898</v>
      </c>
      <c r="C701" s="7">
        <f t="shared" si="10"/>
        <v>20000</v>
      </c>
      <c r="D701" s="7">
        <f>item!S625</f>
        <v>10000</v>
      </c>
    </row>
    <row r="702" spans="1:4">
      <c r="A702" s="15">
        <v>130326</v>
      </c>
      <c r="B702" s="15" t="s">
        <v>1899</v>
      </c>
      <c r="C702" s="7">
        <f t="shared" si="10"/>
        <v>20000</v>
      </c>
      <c r="D702" s="7">
        <f>item!S626</f>
        <v>10000</v>
      </c>
    </row>
    <row r="703" spans="1:4">
      <c r="A703" s="15">
        <v>130327</v>
      </c>
      <c r="B703" s="15" t="s">
        <v>1900</v>
      </c>
      <c r="C703" s="7">
        <f t="shared" si="10"/>
        <v>20000</v>
      </c>
      <c r="D703" s="7">
        <f>item!S627</f>
        <v>10000</v>
      </c>
    </row>
    <row r="704" spans="1:4">
      <c r="A704" s="15">
        <v>130328</v>
      </c>
      <c r="B704" s="15" t="s">
        <v>1901</v>
      </c>
      <c r="C704" s="7">
        <f t="shared" si="10"/>
        <v>20000</v>
      </c>
      <c r="D704" s="7">
        <f>item!S628</f>
        <v>10000</v>
      </c>
    </row>
    <row r="705" spans="1:4">
      <c r="A705" s="7">
        <v>130329</v>
      </c>
      <c r="B705" s="7" t="s">
        <v>1902</v>
      </c>
      <c r="C705" s="7">
        <f t="shared" si="10"/>
        <v>20000</v>
      </c>
      <c r="D705" s="7">
        <f>item!S629</f>
        <v>10000</v>
      </c>
    </row>
    <row r="706" spans="1:4">
      <c r="A706" s="7">
        <v>130411</v>
      </c>
      <c r="B706" s="7" t="s">
        <v>1903</v>
      </c>
      <c r="C706" s="7">
        <f t="shared" si="10"/>
        <v>4000</v>
      </c>
      <c r="D706" s="7">
        <f>item!S630</f>
        <v>2000</v>
      </c>
    </row>
    <row r="707" spans="1:4">
      <c r="A707" s="15">
        <v>130412</v>
      </c>
      <c r="B707" s="15" t="s">
        <v>1904</v>
      </c>
      <c r="C707" s="7">
        <f t="shared" ref="C707:C770" si="11">D707*2</f>
        <v>8000</v>
      </c>
      <c r="D707" s="7">
        <f>item!S631</f>
        <v>4000</v>
      </c>
    </row>
    <row r="708" spans="1:4">
      <c r="A708" s="15">
        <v>130413</v>
      </c>
      <c r="B708" s="15" t="s">
        <v>1905</v>
      </c>
      <c r="C708" s="7">
        <f t="shared" si="11"/>
        <v>20000</v>
      </c>
      <c r="D708" s="7">
        <f>item!S632</f>
        <v>10000</v>
      </c>
    </row>
    <row r="709" spans="1:4">
      <c r="A709" s="15">
        <v>130414</v>
      </c>
      <c r="B709" s="15" t="s">
        <v>1906</v>
      </c>
      <c r="C709" s="7">
        <f t="shared" si="11"/>
        <v>20000</v>
      </c>
      <c r="D709" s="7">
        <f>item!S633</f>
        <v>10000</v>
      </c>
    </row>
    <row r="710" spans="1:4">
      <c r="A710" s="15">
        <v>130415</v>
      </c>
      <c r="B710" s="15" t="s">
        <v>1907</v>
      </c>
      <c r="C710" s="7">
        <f t="shared" si="11"/>
        <v>20000</v>
      </c>
      <c r="D710" s="7">
        <f>item!S634</f>
        <v>10000</v>
      </c>
    </row>
    <row r="711" spans="1:4">
      <c r="A711" s="15">
        <v>130416</v>
      </c>
      <c r="B711" s="15" t="s">
        <v>1908</v>
      </c>
      <c r="C711" s="7">
        <f t="shared" si="11"/>
        <v>20000</v>
      </c>
      <c r="D711" s="7">
        <f>item!S635</f>
        <v>10000</v>
      </c>
    </row>
    <row r="712" spans="1:4">
      <c r="A712" s="15">
        <v>130417</v>
      </c>
      <c r="B712" s="15" t="s">
        <v>1909</v>
      </c>
      <c r="C712" s="7">
        <f t="shared" si="11"/>
        <v>20000</v>
      </c>
      <c r="D712" s="7">
        <f>item!S636</f>
        <v>10000</v>
      </c>
    </row>
    <row r="713" spans="1:4">
      <c r="A713" s="15">
        <v>130418</v>
      </c>
      <c r="B713" s="15" t="s">
        <v>1910</v>
      </c>
      <c r="C713" s="7">
        <f t="shared" si="11"/>
        <v>20000</v>
      </c>
      <c r="D713" s="7">
        <f>item!S637</f>
        <v>10000</v>
      </c>
    </row>
    <row r="714" spans="1:4">
      <c r="A714" s="7">
        <v>130419</v>
      </c>
      <c r="B714" s="7" t="s">
        <v>1911</v>
      </c>
      <c r="C714" s="7">
        <f t="shared" si="11"/>
        <v>20000</v>
      </c>
      <c r="D714" s="7">
        <f>item!S638</f>
        <v>10000</v>
      </c>
    </row>
    <row r="715" spans="1:4">
      <c r="A715" s="7">
        <v>130421</v>
      </c>
      <c r="B715" s="7" t="s">
        <v>1912</v>
      </c>
      <c r="C715" s="7">
        <f t="shared" si="11"/>
        <v>4000</v>
      </c>
      <c r="D715" s="7">
        <f>item!S639</f>
        <v>2000</v>
      </c>
    </row>
    <row r="716" spans="1:4">
      <c r="A716" s="15">
        <v>130422</v>
      </c>
      <c r="B716" s="15" t="s">
        <v>1913</v>
      </c>
      <c r="C716" s="7">
        <f t="shared" si="11"/>
        <v>8000</v>
      </c>
      <c r="D716" s="7">
        <f>item!S640</f>
        <v>4000</v>
      </c>
    </row>
    <row r="717" spans="1:4">
      <c r="A717" s="15">
        <v>130423</v>
      </c>
      <c r="B717" s="15" t="s">
        <v>1914</v>
      </c>
      <c r="C717" s="7">
        <f t="shared" si="11"/>
        <v>20000</v>
      </c>
      <c r="D717" s="7">
        <f>item!S641</f>
        <v>10000</v>
      </c>
    </row>
    <row r="718" spans="1:4">
      <c r="A718" s="15">
        <v>130424</v>
      </c>
      <c r="B718" s="15" t="s">
        <v>1915</v>
      </c>
      <c r="C718" s="7">
        <f t="shared" si="11"/>
        <v>20000</v>
      </c>
      <c r="D718" s="7">
        <f>item!S642</f>
        <v>10000</v>
      </c>
    </row>
    <row r="719" spans="1:4">
      <c r="A719" s="15">
        <v>130425</v>
      </c>
      <c r="B719" s="15" t="s">
        <v>1916</v>
      </c>
      <c r="C719" s="7">
        <f t="shared" si="11"/>
        <v>20000</v>
      </c>
      <c r="D719" s="7">
        <f>item!S643</f>
        <v>10000</v>
      </c>
    </row>
    <row r="720" spans="1:4">
      <c r="A720" s="15">
        <v>130426</v>
      </c>
      <c r="B720" s="15" t="s">
        <v>1917</v>
      </c>
      <c r="C720" s="7">
        <f t="shared" si="11"/>
        <v>20000</v>
      </c>
      <c r="D720" s="7">
        <f>item!S644</f>
        <v>10000</v>
      </c>
    </row>
    <row r="721" spans="1:4">
      <c r="A721" s="15">
        <v>130427</v>
      </c>
      <c r="B721" s="15" t="s">
        <v>1918</v>
      </c>
      <c r="C721" s="7">
        <f t="shared" si="11"/>
        <v>20000</v>
      </c>
      <c r="D721" s="7">
        <f>item!S645</f>
        <v>10000</v>
      </c>
    </row>
    <row r="722" spans="1:4">
      <c r="A722" s="15">
        <v>130428</v>
      </c>
      <c r="B722" s="15" t="s">
        <v>1919</v>
      </c>
      <c r="C722" s="7">
        <f t="shared" si="11"/>
        <v>20000</v>
      </c>
      <c r="D722" s="7">
        <f>item!S646</f>
        <v>10000</v>
      </c>
    </row>
    <row r="723" spans="1:4">
      <c r="A723" s="15">
        <v>130429</v>
      </c>
      <c r="B723" s="15" t="s">
        <v>1920</v>
      </c>
      <c r="C723" s="7">
        <f t="shared" si="11"/>
        <v>20000</v>
      </c>
      <c r="D723" s="7">
        <f>item!S647</f>
        <v>10000</v>
      </c>
    </row>
    <row r="724" spans="1:4">
      <c r="A724" s="15">
        <v>130511</v>
      </c>
      <c r="B724" s="15" t="s">
        <v>1921</v>
      </c>
      <c r="C724" s="7">
        <f t="shared" si="11"/>
        <v>4000</v>
      </c>
      <c r="D724" s="7">
        <f>item!S648</f>
        <v>2000</v>
      </c>
    </row>
    <row r="725" spans="1:4">
      <c r="A725" s="15">
        <v>130512</v>
      </c>
      <c r="B725" s="15" t="s">
        <v>1922</v>
      </c>
      <c r="C725" s="7">
        <f t="shared" si="11"/>
        <v>8000</v>
      </c>
      <c r="D725" s="7">
        <f>item!S649</f>
        <v>4000</v>
      </c>
    </row>
    <row r="726" spans="1:4">
      <c r="A726" s="15">
        <v>130513</v>
      </c>
      <c r="B726" s="15" t="s">
        <v>1923</v>
      </c>
      <c r="C726" s="7">
        <f t="shared" si="11"/>
        <v>20000</v>
      </c>
      <c r="D726" s="7">
        <f>item!S650</f>
        <v>10000</v>
      </c>
    </row>
    <row r="727" spans="1:4">
      <c r="A727" s="15">
        <v>130514</v>
      </c>
      <c r="B727" s="15" t="s">
        <v>1924</v>
      </c>
      <c r="C727" s="7">
        <f t="shared" si="11"/>
        <v>20000</v>
      </c>
      <c r="D727" s="7">
        <f>item!S651</f>
        <v>10000</v>
      </c>
    </row>
    <row r="728" spans="1:4">
      <c r="A728" s="15">
        <v>130515</v>
      </c>
      <c r="B728" s="15" t="s">
        <v>1925</v>
      </c>
      <c r="C728" s="7">
        <f t="shared" si="11"/>
        <v>20000</v>
      </c>
      <c r="D728" s="7">
        <f>item!S652</f>
        <v>10000</v>
      </c>
    </row>
    <row r="729" spans="1:4">
      <c r="A729" s="15">
        <v>130516</v>
      </c>
      <c r="B729" s="15" t="s">
        <v>1926</v>
      </c>
      <c r="C729" s="7">
        <f t="shared" si="11"/>
        <v>20000</v>
      </c>
      <c r="D729" s="7">
        <f>item!S653</f>
        <v>10000</v>
      </c>
    </row>
    <row r="730" spans="1:4">
      <c r="A730" s="15">
        <v>130517</v>
      </c>
      <c r="B730" s="15" t="s">
        <v>1927</v>
      </c>
      <c r="C730" s="7">
        <f t="shared" si="11"/>
        <v>20000</v>
      </c>
      <c r="D730" s="7">
        <f>item!S654</f>
        <v>10000</v>
      </c>
    </row>
    <row r="731" spans="1:4">
      <c r="A731" s="15">
        <v>130518</v>
      </c>
      <c r="B731" s="15" t="s">
        <v>1928</v>
      </c>
      <c r="C731" s="7">
        <f t="shared" si="11"/>
        <v>20000</v>
      </c>
      <c r="D731" s="7">
        <f>item!S655</f>
        <v>10000</v>
      </c>
    </row>
    <row r="732" spans="1:4">
      <c r="A732" s="15">
        <v>130519</v>
      </c>
      <c r="B732" s="15" t="s">
        <v>1929</v>
      </c>
      <c r="C732" s="7">
        <f t="shared" si="11"/>
        <v>20000</v>
      </c>
      <c r="D732" s="7">
        <f>item!S656</f>
        <v>10000</v>
      </c>
    </row>
    <row r="733" spans="1:4">
      <c r="A733" s="15">
        <v>130521</v>
      </c>
      <c r="B733" s="15" t="s">
        <v>1930</v>
      </c>
      <c r="C733" s="7">
        <f t="shared" si="11"/>
        <v>4000</v>
      </c>
      <c r="D733" s="7">
        <f>item!S657</f>
        <v>2000</v>
      </c>
    </row>
    <row r="734" spans="1:4">
      <c r="A734" s="15">
        <v>130522</v>
      </c>
      <c r="B734" s="15" t="s">
        <v>1931</v>
      </c>
      <c r="C734" s="7">
        <f t="shared" si="11"/>
        <v>8000</v>
      </c>
      <c r="D734" s="7">
        <f>item!S658</f>
        <v>4000</v>
      </c>
    </row>
    <row r="735" spans="1:4">
      <c r="A735" s="15">
        <v>130523</v>
      </c>
      <c r="B735" s="15" t="s">
        <v>1932</v>
      </c>
      <c r="C735" s="7">
        <f t="shared" si="11"/>
        <v>20000</v>
      </c>
      <c r="D735" s="7">
        <f>item!S659</f>
        <v>10000</v>
      </c>
    </row>
    <row r="736" spans="1:4">
      <c r="A736" s="15">
        <v>130524</v>
      </c>
      <c r="B736" s="15" t="s">
        <v>1933</v>
      </c>
      <c r="C736" s="7">
        <f t="shared" si="11"/>
        <v>20000</v>
      </c>
      <c r="D736" s="7">
        <f>item!S660</f>
        <v>10000</v>
      </c>
    </row>
    <row r="737" spans="1:4">
      <c r="A737" s="15">
        <v>130525</v>
      </c>
      <c r="B737" s="15" t="s">
        <v>1934</v>
      </c>
      <c r="C737" s="7">
        <f t="shared" si="11"/>
        <v>20000</v>
      </c>
      <c r="D737" s="7">
        <f>item!S661</f>
        <v>10000</v>
      </c>
    </row>
    <row r="738" spans="1:4">
      <c r="A738" s="15">
        <v>130526</v>
      </c>
      <c r="B738" s="15" t="s">
        <v>1935</v>
      </c>
      <c r="C738" s="7">
        <f t="shared" si="11"/>
        <v>20000</v>
      </c>
      <c r="D738" s="7">
        <f>item!S662</f>
        <v>10000</v>
      </c>
    </row>
    <row r="739" spans="1:4">
      <c r="A739" s="15">
        <v>130527</v>
      </c>
      <c r="B739" s="15" t="s">
        <v>1936</v>
      </c>
      <c r="C739" s="7">
        <f t="shared" si="11"/>
        <v>20000</v>
      </c>
      <c r="D739" s="7">
        <f>item!S663</f>
        <v>10000</v>
      </c>
    </row>
    <row r="740" spans="1:4">
      <c r="A740" s="15">
        <v>130528</v>
      </c>
      <c r="B740" s="15" t="s">
        <v>1937</v>
      </c>
      <c r="C740" s="7">
        <f t="shared" si="11"/>
        <v>20000</v>
      </c>
      <c r="D740" s="7">
        <f>item!S664</f>
        <v>10000</v>
      </c>
    </row>
    <row r="741" spans="1:4">
      <c r="A741" s="15">
        <v>130529</v>
      </c>
      <c r="B741" s="15" t="s">
        <v>1938</v>
      </c>
      <c r="C741" s="7">
        <f t="shared" si="11"/>
        <v>20000</v>
      </c>
      <c r="D741" s="7">
        <f>item!S665</f>
        <v>10000</v>
      </c>
    </row>
    <row r="742" spans="1:4">
      <c r="A742" s="15">
        <v>130901</v>
      </c>
      <c r="B742" s="15" t="s">
        <v>743</v>
      </c>
      <c r="C742" s="7">
        <f t="shared" si="11"/>
        <v>4000</v>
      </c>
      <c r="D742" s="7">
        <f>item!S666</f>
        <v>2000</v>
      </c>
    </row>
    <row r="743" spans="1:4">
      <c r="A743" s="15">
        <v>130902</v>
      </c>
      <c r="B743" s="15" t="s">
        <v>744</v>
      </c>
      <c r="C743" s="7">
        <f t="shared" si="11"/>
        <v>8000</v>
      </c>
      <c r="D743" s="7">
        <f>item!S667</f>
        <v>4000</v>
      </c>
    </row>
    <row r="744" spans="1:4">
      <c r="A744" s="15">
        <v>130903</v>
      </c>
      <c r="B744" s="15" t="s">
        <v>745</v>
      </c>
      <c r="C744" s="7">
        <f t="shared" si="11"/>
        <v>20000</v>
      </c>
      <c r="D744" s="7">
        <f>item!S668</f>
        <v>10000</v>
      </c>
    </row>
    <row r="745" spans="1:4">
      <c r="A745" s="15">
        <v>130904</v>
      </c>
      <c r="B745" s="15" t="s">
        <v>746</v>
      </c>
      <c r="C745" s="7">
        <f t="shared" si="11"/>
        <v>20000</v>
      </c>
      <c r="D745" s="7">
        <f>item!S669</f>
        <v>10000</v>
      </c>
    </row>
    <row r="746" spans="1:4">
      <c r="A746" s="15">
        <v>130905</v>
      </c>
      <c r="B746" s="15" t="s">
        <v>747</v>
      </c>
      <c r="C746" s="7">
        <f t="shared" si="11"/>
        <v>20000</v>
      </c>
      <c r="D746" s="7">
        <f>item!S670</f>
        <v>10000</v>
      </c>
    </row>
    <row r="747" spans="1:4">
      <c r="A747" s="15">
        <v>130906</v>
      </c>
      <c r="B747" s="15" t="s">
        <v>748</v>
      </c>
      <c r="C747" s="7">
        <f t="shared" si="11"/>
        <v>20000</v>
      </c>
      <c r="D747" s="7">
        <f>item!S671</f>
        <v>10000</v>
      </c>
    </row>
    <row r="748" spans="1:4">
      <c r="A748" s="15">
        <v>130907</v>
      </c>
      <c r="B748" s="15" t="s">
        <v>749</v>
      </c>
      <c r="C748" s="7">
        <f t="shared" si="11"/>
        <v>20000</v>
      </c>
      <c r="D748" s="7">
        <f>item!S672</f>
        <v>10000</v>
      </c>
    </row>
    <row r="749" spans="1:4">
      <c r="A749" s="15">
        <v>130908</v>
      </c>
      <c r="B749" s="15" t="s">
        <v>750</v>
      </c>
      <c r="C749" s="7">
        <f t="shared" si="11"/>
        <v>20000</v>
      </c>
      <c r="D749" s="7">
        <f>item!S673</f>
        <v>10000</v>
      </c>
    </row>
    <row r="750" spans="1:4">
      <c r="A750" s="15">
        <v>130909</v>
      </c>
      <c r="B750" s="15" t="s">
        <v>751</v>
      </c>
      <c r="C750" s="7">
        <f t="shared" si="11"/>
        <v>20000</v>
      </c>
      <c r="D750" s="7">
        <f>item!S674</f>
        <v>10000</v>
      </c>
    </row>
    <row r="751" spans="1:4">
      <c r="A751" s="15">
        <v>130911</v>
      </c>
      <c r="B751" s="15" t="s">
        <v>752</v>
      </c>
      <c r="C751" s="7">
        <f t="shared" si="11"/>
        <v>4000</v>
      </c>
      <c r="D751" s="7">
        <f>item!S675</f>
        <v>2000</v>
      </c>
    </row>
    <row r="752" spans="1:4">
      <c r="A752" s="15">
        <v>130912</v>
      </c>
      <c r="B752" s="15" t="s">
        <v>753</v>
      </c>
      <c r="C752" s="7">
        <f t="shared" si="11"/>
        <v>8000</v>
      </c>
      <c r="D752" s="7">
        <f>item!S676</f>
        <v>4000</v>
      </c>
    </row>
    <row r="753" spans="1:4">
      <c r="A753" s="15">
        <v>130913</v>
      </c>
      <c r="B753" s="15" t="s">
        <v>754</v>
      </c>
      <c r="C753" s="7">
        <f t="shared" si="11"/>
        <v>20000</v>
      </c>
      <c r="D753" s="7">
        <f>item!S677</f>
        <v>10000</v>
      </c>
    </row>
    <row r="754" spans="1:4">
      <c r="A754" s="16">
        <v>130914</v>
      </c>
      <c r="B754" s="16" t="s">
        <v>755</v>
      </c>
      <c r="C754" s="7">
        <f t="shared" si="11"/>
        <v>20000</v>
      </c>
      <c r="D754" s="7">
        <f>item!S678</f>
        <v>10000</v>
      </c>
    </row>
    <row r="755" spans="1:4">
      <c r="A755" s="16">
        <v>130915</v>
      </c>
      <c r="B755" s="16" t="s">
        <v>756</v>
      </c>
      <c r="C755" s="7">
        <f t="shared" si="11"/>
        <v>20000</v>
      </c>
      <c r="D755" s="7">
        <f>item!S679</f>
        <v>10000</v>
      </c>
    </row>
    <row r="756" spans="1:4">
      <c r="A756" s="16">
        <v>130916</v>
      </c>
      <c r="B756" s="16" t="s">
        <v>757</v>
      </c>
      <c r="C756" s="7">
        <f t="shared" si="11"/>
        <v>20000</v>
      </c>
      <c r="D756" s="7">
        <f>item!S680</f>
        <v>10000</v>
      </c>
    </row>
    <row r="757" spans="1:4">
      <c r="A757" s="16">
        <v>130917</v>
      </c>
      <c r="B757" s="16" t="s">
        <v>758</v>
      </c>
      <c r="C757" s="7">
        <f t="shared" si="11"/>
        <v>20000</v>
      </c>
      <c r="D757" s="7">
        <f>item!S681</f>
        <v>10000</v>
      </c>
    </row>
    <row r="758" spans="1:4">
      <c r="A758" s="16">
        <v>130918</v>
      </c>
      <c r="B758" s="16" t="s">
        <v>759</v>
      </c>
      <c r="C758" s="7">
        <f t="shared" si="11"/>
        <v>20000</v>
      </c>
      <c r="D758" s="7">
        <f>item!S682</f>
        <v>10000</v>
      </c>
    </row>
    <row r="759" spans="1:4">
      <c r="A759" s="16">
        <v>130919</v>
      </c>
      <c r="B759" s="16" t="s">
        <v>760</v>
      </c>
      <c r="C759" s="7">
        <f t="shared" si="11"/>
        <v>20000</v>
      </c>
      <c r="D759" s="7">
        <f>item!S683</f>
        <v>10000</v>
      </c>
    </row>
    <row r="760" spans="1:4">
      <c r="A760" s="16">
        <v>130921</v>
      </c>
      <c r="B760" s="16" t="s">
        <v>761</v>
      </c>
      <c r="C760" s="7">
        <f t="shared" si="11"/>
        <v>4000</v>
      </c>
      <c r="D760" s="7">
        <f>item!S684</f>
        <v>2000</v>
      </c>
    </row>
    <row r="761" spans="1:4">
      <c r="A761" s="16">
        <v>130922</v>
      </c>
      <c r="B761" s="16" t="s">
        <v>762</v>
      </c>
      <c r="C761" s="7">
        <f t="shared" si="11"/>
        <v>8000</v>
      </c>
      <c r="D761" s="7">
        <f>item!S685</f>
        <v>4000</v>
      </c>
    </row>
    <row r="762" spans="1:4">
      <c r="A762" s="16">
        <v>130923</v>
      </c>
      <c r="B762" s="16" t="s">
        <v>763</v>
      </c>
      <c r="C762" s="7">
        <f t="shared" si="11"/>
        <v>20000</v>
      </c>
      <c r="D762" s="7">
        <f>item!S686</f>
        <v>10000</v>
      </c>
    </row>
    <row r="763" spans="1:4">
      <c r="A763" s="16">
        <v>130924</v>
      </c>
      <c r="B763" s="16" t="s">
        <v>764</v>
      </c>
      <c r="C763" s="7">
        <f t="shared" si="11"/>
        <v>20000</v>
      </c>
      <c r="D763" s="7">
        <f>item!S687</f>
        <v>10000</v>
      </c>
    </row>
    <row r="764" spans="1:4">
      <c r="A764" s="16">
        <v>130925</v>
      </c>
      <c r="B764" s="16" t="s">
        <v>765</v>
      </c>
      <c r="C764" s="7">
        <f t="shared" si="11"/>
        <v>20000</v>
      </c>
      <c r="D764" s="7">
        <f>item!S688</f>
        <v>10000</v>
      </c>
    </row>
    <row r="765" spans="1:4">
      <c r="A765" s="16">
        <v>130926</v>
      </c>
      <c r="B765" s="16" t="s">
        <v>766</v>
      </c>
      <c r="C765" s="7">
        <f t="shared" si="11"/>
        <v>20000</v>
      </c>
      <c r="D765" s="7">
        <f>item!S689</f>
        <v>10000</v>
      </c>
    </row>
    <row r="766" spans="1:4">
      <c r="A766" s="16">
        <v>130927</v>
      </c>
      <c r="B766" s="16" t="s">
        <v>767</v>
      </c>
      <c r="C766" s="7">
        <f t="shared" si="11"/>
        <v>20000</v>
      </c>
      <c r="D766" s="7">
        <f>item!S690</f>
        <v>10000</v>
      </c>
    </row>
    <row r="767" spans="1:4">
      <c r="A767" s="16">
        <v>130928</v>
      </c>
      <c r="B767" s="16" t="s">
        <v>768</v>
      </c>
      <c r="C767" s="7">
        <f t="shared" si="11"/>
        <v>20000</v>
      </c>
      <c r="D767" s="7">
        <f>item!S691</f>
        <v>10000</v>
      </c>
    </row>
    <row r="768" spans="1:4">
      <c r="A768" s="16">
        <v>130929</v>
      </c>
      <c r="B768" s="16" t="s">
        <v>769</v>
      </c>
      <c r="C768" s="7">
        <f t="shared" si="11"/>
        <v>20000</v>
      </c>
      <c r="D768" s="7">
        <f>item!S692</f>
        <v>10000</v>
      </c>
    </row>
    <row r="769" spans="1:4">
      <c r="A769" s="16">
        <v>200011</v>
      </c>
      <c r="B769" s="16" t="s">
        <v>2173</v>
      </c>
      <c r="C769" s="7">
        <f t="shared" si="11"/>
        <v>4000</v>
      </c>
      <c r="D769" s="7">
        <f>item!S694</f>
        <v>2000</v>
      </c>
    </row>
    <row r="770" spans="1:4">
      <c r="A770" s="16">
        <v>200012</v>
      </c>
      <c r="B770" s="16" t="s">
        <v>2174</v>
      </c>
      <c r="C770" s="7">
        <f t="shared" si="11"/>
        <v>10000</v>
      </c>
      <c r="D770" s="7">
        <f>item!S695</f>
        <v>5000</v>
      </c>
    </row>
    <row r="771" spans="1:4">
      <c r="A771" s="16">
        <v>200013</v>
      </c>
      <c r="B771" s="16" t="s">
        <v>2175</v>
      </c>
      <c r="C771" s="7">
        <f t="shared" ref="C771:C834" si="12">D771*2</f>
        <v>20000</v>
      </c>
      <c r="D771" s="7">
        <f>item!S696</f>
        <v>10000</v>
      </c>
    </row>
    <row r="772" spans="1:4">
      <c r="A772" s="16">
        <v>200021</v>
      </c>
      <c r="B772" s="16" t="s">
        <v>2176</v>
      </c>
      <c r="C772" s="7">
        <f t="shared" si="12"/>
        <v>4000</v>
      </c>
      <c r="D772" s="7">
        <f>item!S697</f>
        <v>2000</v>
      </c>
    </row>
    <row r="773" spans="1:4">
      <c r="A773" s="16">
        <v>200022</v>
      </c>
      <c r="B773" s="16" t="s">
        <v>2177</v>
      </c>
      <c r="C773" s="7">
        <f t="shared" si="12"/>
        <v>10000</v>
      </c>
      <c r="D773" s="7">
        <f>item!S698</f>
        <v>5000</v>
      </c>
    </row>
    <row r="774" spans="1:4">
      <c r="A774" s="16">
        <v>200023</v>
      </c>
      <c r="B774" s="16" t="s">
        <v>2178</v>
      </c>
      <c r="C774" s="7">
        <f t="shared" si="12"/>
        <v>20000</v>
      </c>
      <c r="D774" s="7">
        <f>item!S699</f>
        <v>10000</v>
      </c>
    </row>
    <row r="775" spans="1:4">
      <c r="A775" s="16">
        <v>200031</v>
      </c>
      <c r="B775" s="16" t="s">
        <v>2179</v>
      </c>
      <c r="C775" s="7">
        <f t="shared" si="12"/>
        <v>4000</v>
      </c>
      <c r="D775" s="7">
        <f>item!S700</f>
        <v>2000</v>
      </c>
    </row>
    <row r="776" spans="1:4">
      <c r="A776" s="16">
        <v>200032</v>
      </c>
      <c r="B776" s="16" t="s">
        <v>2180</v>
      </c>
      <c r="C776" s="7">
        <f t="shared" si="12"/>
        <v>10000</v>
      </c>
      <c r="D776" s="7">
        <f>item!S701</f>
        <v>5000</v>
      </c>
    </row>
    <row r="777" spans="1:4">
      <c r="A777" s="16">
        <v>200033</v>
      </c>
      <c r="B777" s="16" t="s">
        <v>2181</v>
      </c>
      <c r="C777" s="7">
        <f t="shared" si="12"/>
        <v>20000</v>
      </c>
      <c r="D777" s="7">
        <f>item!S702</f>
        <v>10000</v>
      </c>
    </row>
    <row r="778" spans="1:4">
      <c r="A778" s="7">
        <v>1000011</v>
      </c>
      <c r="B778" s="7" t="s">
        <v>1050</v>
      </c>
      <c r="C778" s="7">
        <f t="shared" si="12"/>
        <v>2</v>
      </c>
      <c r="D778" s="7">
        <f>item!S709</f>
        <v>1</v>
      </c>
    </row>
    <row r="779" spans="1:4">
      <c r="A779" s="7">
        <v>1000012</v>
      </c>
      <c r="B779" s="7" t="s">
        <v>773</v>
      </c>
      <c r="C779" s="7">
        <f t="shared" si="12"/>
        <v>2</v>
      </c>
      <c r="D779" s="7">
        <f>item!S710</f>
        <v>1</v>
      </c>
    </row>
    <row r="780" spans="1:4">
      <c r="A780" s="7">
        <v>1000013</v>
      </c>
      <c r="B780" s="7" t="s">
        <v>775</v>
      </c>
      <c r="C780" s="7">
        <f t="shared" si="12"/>
        <v>2</v>
      </c>
      <c r="D780" s="7">
        <f>item!S711</f>
        <v>1</v>
      </c>
    </row>
    <row r="781" spans="1:4">
      <c r="A781" s="7">
        <v>1000014</v>
      </c>
      <c r="B781" s="7" t="s">
        <v>1051</v>
      </c>
      <c r="C781" s="7">
        <f t="shared" si="12"/>
        <v>2</v>
      </c>
      <c r="D781" s="7">
        <f>item!S712</f>
        <v>1</v>
      </c>
    </row>
    <row r="782" spans="1:4">
      <c r="A782" s="7">
        <v>1000015</v>
      </c>
      <c r="B782" s="7" t="s">
        <v>1052</v>
      </c>
      <c r="C782" s="7">
        <f t="shared" si="12"/>
        <v>2</v>
      </c>
      <c r="D782" s="7">
        <f>item!S713</f>
        <v>1</v>
      </c>
    </row>
    <row r="783" spans="1:4">
      <c r="A783" s="7">
        <v>1000016</v>
      </c>
      <c r="B783" s="7" t="s">
        <v>2182</v>
      </c>
      <c r="C783" s="7">
        <f t="shared" si="12"/>
        <v>2</v>
      </c>
      <c r="D783" s="7">
        <f>item!S714</f>
        <v>1</v>
      </c>
    </row>
    <row r="784" spans="1:4">
      <c r="A784" s="7">
        <v>1000101</v>
      </c>
      <c r="B784" s="7" t="s">
        <v>778</v>
      </c>
      <c r="C784" s="7">
        <f t="shared" si="12"/>
        <v>2</v>
      </c>
      <c r="D784" s="7">
        <f>item!S715</f>
        <v>1</v>
      </c>
    </row>
    <row r="785" spans="1:4">
      <c r="A785" s="7">
        <v>1000102</v>
      </c>
      <c r="B785" s="7" t="s">
        <v>780</v>
      </c>
      <c r="C785" s="7">
        <f t="shared" si="12"/>
        <v>2</v>
      </c>
      <c r="D785" s="7">
        <f>item!S716</f>
        <v>1</v>
      </c>
    </row>
    <row r="786" spans="1:4">
      <c r="A786" s="15">
        <v>1010001</v>
      </c>
      <c r="B786" s="15" t="s">
        <v>782</v>
      </c>
      <c r="C786" s="7">
        <f t="shared" si="12"/>
        <v>2</v>
      </c>
      <c r="D786" s="7">
        <f>item!S717</f>
        <v>1</v>
      </c>
    </row>
    <row r="787" spans="1:4">
      <c r="A787" s="15">
        <v>1010002</v>
      </c>
      <c r="B787" s="15" t="s">
        <v>784</v>
      </c>
      <c r="C787" s="7">
        <f t="shared" si="12"/>
        <v>2</v>
      </c>
      <c r="D787" s="7">
        <f>item!S718</f>
        <v>1</v>
      </c>
    </row>
    <row r="788" spans="1:4">
      <c r="A788" s="15">
        <v>1010003</v>
      </c>
      <c r="B788" s="15" t="s">
        <v>785</v>
      </c>
      <c r="C788" s="7">
        <f t="shared" si="12"/>
        <v>2</v>
      </c>
      <c r="D788" s="7">
        <f>item!S719</f>
        <v>1</v>
      </c>
    </row>
    <row r="789" spans="1:4">
      <c r="A789" s="7">
        <v>1020011</v>
      </c>
      <c r="B789" s="7" t="s">
        <v>786</v>
      </c>
      <c r="C789" s="7">
        <f t="shared" si="12"/>
        <v>2</v>
      </c>
      <c r="D789" s="7">
        <f>item!S720</f>
        <v>1</v>
      </c>
    </row>
    <row r="790" spans="1:4">
      <c r="A790" s="7">
        <v>1021001</v>
      </c>
      <c r="B790" s="7" t="s">
        <v>789</v>
      </c>
      <c r="C790" s="7">
        <f t="shared" si="12"/>
        <v>2</v>
      </c>
      <c r="D790" s="7">
        <f>item!S723</f>
        <v>1</v>
      </c>
    </row>
    <row r="791" spans="1:4">
      <c r="A791" s="7">
        <v>1021002</v>
      </c>
      <c r="B791" s="7" t="s">
        <v>791</v>
      </c>
      <c r="C791" s="7">
        <f t="shared" si="12"/>
        <v>2</v>
      </c>
      <c r="D791" s="7">
        <f>item!S724</f>
        <v>1</v>
      </c>
    </row>
    <row r="792" spans="1:4">
      <c r="A792" s="7">
        <v>1021003</v>
      </c>
      <c r="B792" s="7" t="s">
        <v>792</v>
      </c>
      <c r="C792" s="7">
        <f t="shared" si="12"/>
        <v>2</v>
      </c>
      <c r="D792" s="7">
        <f>item!S725</f>
        <v>1</v>
      </c>
    </row>
    <row r="793" spans="1:4">
      <c r="A793" s="7">
        <v>1021004</v>
      </c>
      <c r="B793" s="7" t="s">
        <v>793</v>
      </c>
      <c r="C793" s="7">
        <f t="shared" si="12"/>
        <v>2</v>
      </c>
      <c r="D793" s="7">
        <f>item!S726</f>
        <v>1</v>
      </c>
    </row>
    <row r="794" spans="1:4">
      <c r="A794" s="7">
        <v>1022001</v>
      </c>
      <c r="B794" s="7" t="s">
        <v>794</v>
      </c>
      <c r="C794" s="7">
        <f t="shared" si="12"/>
        <v>2</v>
      </c>
      <c r="D794" s="7">
        <f>item!S727</f>
        <v>1</v>
      </c>
    </row>
    <row r="795" spans="1:4">
      <c r="A795" s="7">
        <v>1022002</v>
      </c>
      <c r="B795" s="7" t="s">
        <v>796</v>
      </c>
      <c r="C795" s="7">
        <f t="shared" si="12"/>
        <v>2</v>
      </c>
      <c r="D795" s="7">
        <f>item!S728</f>
        <v>1</v>
      </c>
    </row>
    <row r="796" spans="1:4">
      <c r="A796" s="7">
        <v>1029001</v>
      </c>
      <c r="B796" s="7" t="s">
        <v>2183</v>
      </c>
      <c r="C796" s="7">
        <f t="shared" si="12"/>
        <v>1000</v>
      </c>
      <c r="D796" s="7">
        <f>item!S729</f>
        <v>500</v>
      </c>
    </row>
    <row r="797" spans="1:4">
      <c r="A797" s="7">
        <v>1030001</v>
      </c>
      <c r="B797" s="7" t="s">
        <v>798</v>
      </c>
      <c r="C797" s="7">
        <f t="shared" si="12"/>
        <v>2</v>
      </c>
      <c r="D797" s="7">
        <f>item!S730</f>
        <v>1</v>
      </c>
    </row>
    <row r="798" spans="1:4">
      <c r="A798" s="7">
        <v>1030002</v>
      </c>
      <c r="B798" s="7" t="s">
        <v>799</v>
      </c>
      <c r="C798" s="7">
        <f t="shared" si="12"/>
        <v>2</v>
      </c>
      <c r="D798" s="7">
        <f>item!S731</f>
        <v>1</v>
      </c>
    </row>
    <row r="799" spans="1:4">
      <c r="A799" s="7">
        <v>1030003</v>
      </c>
      <c r="B799" s="7" t="s">
        <v>500</v>
      </c>
      <c r="C799" s="7">
        <f t="shared" si="12"/>
        <v>2</v>
      </c>
      <c r="D799" s="7">
        <f>item!S732</f>
        <v>1</v>
      </c>
    </row>
    <row r="800" spans="1:4">
      <c r="A800" s="7">
        <v>1030004</v>
      </c>
      <c r="B800" s="7" t="s">
        <v>501</v>
      </c>
      <c r="C800" s="7">
        <f t="shared" si="12"/>
        <v>2</v>
      </c>
      <c r="D800" s="7">
        <f>item!S733</f>
        <v>1</v>
      </c>
    </row>
    <row r="801" spans="1:4">
      <c r="A801" s="7">
        <v>1030005</v>
      </c>
      <c r="B801" s="7" t="s">
        <v>502</v>
      </c>
      <c r="C801" s="7">
        <f t="shared" si="12"/>
        <v>2</v>
      </c>
      <c r="D801" s="7">
        <f>item!S734</f>
        <v>1</v>
      </c>
    </row>
    <row r="802" spans="1:4">
      <c r="A802" s="7">
        <v>1030006</v>
      </c>
      <c r="B802" s="7" t="s">
        <v>503</v>
      </c>
      <c r="C802" s="7">
        <f t="shared" si="12"/>
        <v>2</v>
      </c>
      <c r="D802" s="7">
        <f>item!S735</f>
        <v>1</v>
      </c>
    </row>
    <row r="803" spans="1:4">
      <c r="A803" s="7">
        <v>1030007</v>
      </c>
      <c r="B803" s="7" t="s">
        <v>504</v>
      </c>
      <c r="C803" s="7">
        <f t="shared" si="12"/>
        <v>2</v>
      </c>
      <c r="D803" s="7">
        <f>item!S736</f>
        <v>1</v>
      </c>
    </row>
    <row r="804" spans="1:4">
      <c r="A804" s="7">
        <v>1030008</v>
      </c>
      <c r="B804" s="7" t="s">
        <v>505</v>
      </c>
      <c r="C804" s="7">
        <f t="shared" si="12"/>
        <v>2</v>
      </c>
      <c r="D804" s="7">
        <f>item!S737</f>
        <v>1</v>
      </c>
    </row>
    <row r="805" spans="1:4">
      <c r="A805" s="7">
        <v>1030009</v>
      </c>
      <c r="B805" s="7" t="s">
        <v>506</v>
      </c>
      <c r="C805" s="7">
        <f t="shared" si="12"/>
        <v>2</v>
      </c>
      <c r="D805" s="7">
        <f>item!S738</f>
        <v>1</v>
      </c>
    </row>
    <row r="806" spans="1:4">
      <c r="A806" s="7">
        <v>1030010</v>
      </c>
      <c r="B806" s="7" t="s">
        <v>507</v>
      </c>
      <c r="C806" s="7">
        <f t="shared" si="12"/>
        <v>2</v>
      </c>
      <c r="D806" s="7">
        <f>item!S739</f>
        <v>1</v>
      </c>
    </row>
    <row r="807" spans="1:4">
      <c r="A807" s="7">
        <v>1030011</v>
      </c>
      <c r="B807" s="7" t="s">
        <v>508</v>
      </c>
      <c r="C807" s="7">
        <f t="shared" si="12"/>
        <v>2</v>
      </c>
      <c r="D807" s="7">
        <f>item!S740</f>
        <v>1</v>
      </c>
    </row>
    <row r="808" spans="1:4">
      <c r="A808" s="7">
        <v>1030012</v>
      </c>
      <c r="B808" s="7" t="s">
        <v>509</v>
      </c>
      <c r="C808" s="7">
        <f t="shared" si="12"/>
        <v>2</v>
      </c>
      <c r="D808" s="7">
        <f>item!S741</f>
        <v>1</v>
      </c>
    </row>
    <row r="809" spans="1:4">
      <c r="A809" s="7">
        <v>1030013</v>
      </c>
      <c r="B809" s="7" t="s">
        <v>510</v>
      </c>
      <c r="C809" s="7">
        <f t="shared" si="12"/>
        <v>2</v>
      </c>
      <c r="D809" s="7">
        <f>item!S742</f>
        <v>1</v>
      </c>
    </row>
    <row r="810" spans="1:4">
      <c r="A810" s="15">
        <v>1030014</v>
      </c>
      <c r="B810" s="15" t="s">
        <v>511</v>
      </c>
      <c r="C810" s="7">
        <f t="shared" si="12"/>
        <v>2</v>
      </c>
      <c r="D810" s="7">
        <f>item!S743</f>
        <v>1</v>
      </c>
    </row>
    <row r="811" spans="1:4">
      <c r="A811" s="15">
        <v>1030015</v>
      </c>
      <c r="B811" s="15" t="s">
        <v>1614</v>
      </c>
      <c r="C811" s="7">
        <f t="shared" si="12"/>
        <v>2</v>
      </c>
      <c r="D811" s="7">
        <f>item!S744</f>
        <v>1</v>
      </c>
    </row>
    <row r="812" spans="1:4">
      <c r="A812" s="15">
        <v>1030016</v>
      </c>
      <c r="B812" s="15" t="s">
        <v>1615</v>
      </c>
      <c r="C812" s="7">
        <f t="shared" si="12"/>
        <v>2</v>
      </c>
      <c r="D812" s="7">
        <f>item!S745</f>
        <v>1</v>
      </c>
    </row>
    <row r="813" spans="1:4">
      <c r="A813" s="15">
        <v>1030017</v>
      </c>
      <c r="B813" s="15" t="s">
        <v>1616</v>
      </c>
      <c r="C813" s="7">
        <f t="shared" si="12"/>
        <v>2</v>
      </c>
      <c r="D813" s="7">
        <f>item!S746</f>
        <v>1</v>
      </c>
    </row>
    <row r="814" spans="1:4">
      <c r="A814" s="7">
        <v>1030018</v>
      </c>
      <c r="B814" s="7" t="s">
        <v>1617</v>
      </c>
      <c r="C814" s="7">
        <f t="shared" si="12"/>
        <v>2</v>
      </c>
      <c r="D814" s="7">
        <f>item!S747</f>
        <v>1</v>
      </c>
    </row>
    <row r="815" spans="1:4">
      <c r="A815" s="7">
        <v>1030019</v>
      </c>
      <c r="B815" s="7" t="s">
        <v>1618</v>
      </c>
      <c r="C815" s="7">
        <f t="shared" si="12"/>
        <v>2</v>
      </c>
      <c r="D815" s="7">
        <f>item!S748</f>
        <v>1</v>
      </c>
    </row>
    <row r="816" spans="1:4">
      <c r="A816" s="7">
        <v>1030020</v>
      </c>
      <c r="B816" s="7" t="s">
        <v>1619</v>
      </c>
      <c r="C816" s="7">
        <f t="shared" si="12"/>
        <v>2</v>
      </c>
      <c r="D816" s="7">
        <f>item!S749</f>
        <v>1</v>
      </c>
    </row>
    <row r="817" spans="1:4">
      <c r="A817" s="7">
        <v>1030021</v>
      </c>
      <c r="B817" s="7" t="s">
        <v>1620</v>
      </c>
      <c r="C817" s="7">
        <f t="shared" si="12"/>
        <v>2</v>
      </c>
      <c r="D817" s="7">
        <f>item!S750</f>
        <v>1</v>
      </c>
    </row>
    <row r="818" spans="1:4">
      <c r="A818" s="7">
        <v>1100005</v>
      </c>
      <c r="B818" s="7" t="s">
        <v>800</v>
      </c>
      <c r="C818" s="7">
        <f t="shared" si="12"/>
        <v>2</v>
      </c>
      <c r="D818" s="7">
        <f>item!S780</f>
        <v>1</v>
      </c>
    </row>
    <row r="819" spans="1:4">
      <c r="A819" s="7">
        <v>1100010</v>
      </c>
      <c r="B819" s="7" t="s">
        <v>803</v>
      </c>
      <c r="C819" s="7">
        <f t="shared" si="12"/>
        <v>2</v>
      </c>
      <c r="D819" s="7">
        <f>item!S781</f>
        <v>1</v>
      </c>
    </row>
    <row r="820" spans="1:4">
      <c r="A820" s="7">
        <v>1100015</v>
      </c>
      <c r="B820" s="7" t="s">
        <v>805</v>
      </c>
      <c r="C820" s="7">
        <f t="shared" si="12"/>
        <v>2</v>
      </c>
      <c r="D820" s="7">
        <f>item!S782</f>
        <v>1</v>
      </c>
    </row>
    <row r="821" spans="1:4">
      <c r="A821" s="7">
        <v>1100020</v>
      </c>
      <c r="B821" s="7" t="s">
        <v>807</v>
      </c>
      <c r="C821" s="7">
        <f t="shared" si="12"/>
        <v>2</v>
      </c>
      <c r="D821" s="7">
        <f>item!S783</f>
        <v>1</v>
      </c>
    </row>
    <row r="822" spans="1:4">
      <c r="A822" s="7">
        <v>1100101</v>
      </c>
      <c r="B822" s="7" t="s">
        <v>2184</v>
      </c>
      <c r="C822" s="7">
        <f t="shared" si="12"/>
        <v>2</v>
      </c>
      <c r="D822" s="7">
        <f>item!S784</f>
        <v>1</v>
      </c>
    </row>
    <row r="823" spans="1:4">
      <c r="A823" s="7">
        <v>1100102</v>
      </c>
      <c r="B823" s="7" t="s">
        <v>2185</v>
      </c>
      <c r="C823" s="7">
        <f t="shared" si="12"/>
        <v>2</v>
      </c>
      <c r="D823" s="7">
        <f>item!S785</f>
        <v>1</v>
      </c>
    </row>
    <row r="824" spans="1:4">
      <c r="A824" s="7">
        <v>1100103</v>
      </c>
      <c r="B824" s="7" t="s">
        <v>2186</v>
      </c>
      <c r="C824" s="7">
        <f t="shared" si="12"/>
        <v>2</v>
      </c>
      <c r="D824" s="7">
        <f>item!S786</f>
        <v>1</v>
      </c>
    </row>
    <row r="825" spans="1:4">
      <c r="A825" s="7">
        <v>1100104</v>
      </c>
      <c r="B825" s="7" t="s">
        <v>2187</v>
      </c>
      <c r="C825" s="7">
        <f t="shared" si="12"/>
        <v>2</v>
      </c>
      <c r="D825" s="7">
        <f>item!S787</f>
        <v>1</v>
      </c>
    </row>
    <row r="826" spans="1:4">
      <c r="A826" s="7">
        <v>1100105</v>
      </c>
      <c r="B826" s="7" t="s">
        <v>2188</v>
      </c>
      <c r="C826" s="7">
        <f t="shared" si="12"/>
        <v>2</v>
      </c>
      <c r="D826" s="7">
        <f>item!S788</f>
        <v>1</v>
      </c>
    </row>
    <row r="827" spans="1:4">
      <c r="A827" s="7">
        <v>1100106</v>
      </c>
      <c r="B827" s="7" t="s">
        <v>2189</v>
      </c>
      <c r="C827" s="7">
        <f t="shared" si="12"/>
        <v>2</v>
      </c>
      <c r="D827" s="7">
        <f>item!S789</f>
        <v>1</v>
      </c>
    </row>
    <row r="828" spans="1:4">
      <c r="A828" s="7">
        <v>1100107</v>
      </c>
      <c r="B828" s="7" t="s">
        <v>2190</v>
      </c>
      <c r="C828" s="7">
        <f t="shared" si="12"/>
        <v>2</v>
      </c>
      <c r="D828" s="7">
        <f>item!S790</f>
        <v>1</v>
      </c>
    </row>
    <row r="829" spans="1:4">
      <c r="A829" s="7">
        <v>1200001</v>
      </c>
      <c r="B829" s="7" t="s">
        <v>2191</v>
      </c>
      <c r="C829" s="7">
        <f t="shared" si="12"/>
        <v>2</v>
      </c>
      <c r="D829" s="7">
        <f>item!S791</f>
        <v>1</v>
      </c>
    </row>
    <row r="830" spans="1:4">
      <c r="A830" s="7">
        <v>1200002</v>
      </c>
      <c r="B830" s="7" t="s">
        <v>2192</v>
      </c>
      <c r="C830" s="7">
        <f t="shared" si="12"/>
        <v>2</v>
      </c>
      <c r="D830" s="7">
        <f>item!S792</f>
        <v>1</v>
      </c>
    </row>
    <row r="831" spans="1:4">
      <c r="A831" s="7">
        <v>1200003</v>
      </c>
      <c r="B831" s="7" t="s">
        <v>2193</v>
      </c>
      <c r="C831" s="7">
        <f t="shared" si="12"/>
        <v>2</v>
      </c>
      <c r="D831" s="7">
        <f>item!S793</f>
        <v>1</v>
      </c>
    </row>
    <row r="832" spans="1:4">
      <c r="A832" s="7">
        <v>1200004</v>
      </c>
      <c r="B832" s="7" t="s">
        <v>2194</v>
      </c>
      <c r="C832" s="7">
        <f t="shared" si="12"/>
        <v>2</v>
      </c>
      <c r="D832" s="7">
        <f>item!S794</f>
        <v>1</v>
      </c>
    </row>
    <row r="833" spans="1:4">
      <c r="A833" s="7">
        <v>1200005</v>
      </c>
      <c r="B833" s="7" t="s">
        <v>2195</v>
      </c>
      <c r="C833" s="7">
        <f t="shared" si="12"/>
        <v>2</v>
      </c>
      <c r="D833" s="7">
        <f>item!S795</f>
        <v>1</v>
      </c>
    </row>
    <row r="834" spans="1:4">
      <c r="A834" s="7">
        <v>1310001</v>
      </c>
      <c r="B834" s="7" t="s">
        <v>810</v>
      </c>
      <c r="C834" s="7">
        <f t="shared" si="12"/>
        <v>2</v>
      </c>
      <c r="D834" s="7">
        <f>item!S796</f>
        <v>1</v>
      </c>
    </row>
    <row r="835" spans="1:4">
      <c r="A835" s="7">
        <v>1310002</v>
      </c>
      <c r="B835" s="7" t="s">
        <v>812</v>
      </c>
      <c r="C835" s="7">
        <f t="shared" ref="C835:C898" si="13">D835*2</f>
        <v>2</v>
      </c>
      <c r="D835" s="7">
        <f>item!S797</f>
        <v>1</v>
      </c>
    </row>
    <row r="836" spans="1:4">
      <c r="A836" s="7">
        <v>1310003</v>
      </c>
      <c r="B836" s="7" t="s">
        <v>814</v>
      </c>
      <c r="C836" s="7">
        <f t="shared" si="13"/>
        <v>2</v>
      </c>
      <c r="D836" s="7">
        <f>item!S798</f>
        <v>1</v>
      </c>
    </row>
    <row r="837" spans="1:4">
      <c r="A837" s="7">
        <v>1310004</v>
      </c>
      <c r="B837" s="7" t="s">
        <v>816</v>
      </c>
      <c r="C837" s="7">
        <f t="shared" si="13"/>
        <v>2</v>
      </c>
      <c r="D837" s="7">
        <f>item!S799</f>
        <v>1</v>
      </c>
    </row>
    <row r="838" spans="1:4">
      <c r="A838" s="7">
        <v>1310005</v>
      </c>
      <c r="B838" s="7" t="s">
        <v>818</v>
      </c>
      <c r="C838" s="7">
        <f t="shared" si="13"/>
        <v>2</v>
      </c>
      <c r="D838" s="7">
        <f>item!S800</f>
        <v>1</v>
      </c>
    </row>
    <row r="839" spans="1:4">
      <c r="A839" s="7">
        <v>1310006</v>
      </c>
      <c r="B839" s="7" t="s">
        <v>820</v>
      </c>
      <c r="C839" s="7">
        <f t="shared" si="13"/>
        <v>2</v>
      </c>
      <c r="D839" s="7">
        <f>item!S801</f>
        <v>1</v>
      </c>
    </row>
    <row r="840" spans="1:4">
      <c r="A840" s="7">
        <v>1310007</v>
      </c>
      <c r="B840" s="7" t="s">
        <v>822</v>
      </c>
      <c r="C840" s="7">
        <f t="shared" si="13"/>
        <v>2</v>
      </c>
      <c r="D840" s="7">
        <f>item!S802</f>
        <v>1</v>
      </c>
    </row>
    <row r="841" spans="1:4">
      <c r="A841" s="7">
        <v>1310008</v>
      </c>
      <c r="B841" s="7" t="s">
        <v>824</v>
      </c>
      <c r="C841" s="7">
        <f t="shared" si="13"/>
        <v>2</v>
      </c>
      <c r="D841" s="7">
        <f>item!S803</f>
        <v>1</v>
      </c>
    </row>
    <row r="842" spans="1:4">
      <c r="A842" s="7">
        <v>1310009</v>
      </c>
      <c r="B842" s="7" t="s">
        <v>826</v>
      </c>
      <c r="C842" s="7">
        <f t="shared" si="13"/>
        <v>2</v>
      </c>
      <c r="D842" s="7">
        <f>item!S804</f>
        <v>1</v>
      </c>
    </row>
    <row r="843" spans="1:4">
      <c r="A843" s="7">
        <v>1310010</v>
      </c>
      <c r="B843" s="7" t="s">
        <v>828</v>
      </c>
      <c r="C843" s="7">
        <f t="shared" si="13"/>
        <v>2</v>
      </c>
      <c r="D843" s="7">
        <f>item!S805</f>
        <v>1</v>
      </c>
    </row>
    <row r="844" spans="1:4">
      <c r="A844" s="7">
        <v>1310011</v>
      </c>
      <c r="B844" s="7" t="s">
        <v>830</v>
      </c>
      <c r="C844" s="7">
        <f t="shared" si="13"/>
        <v>2</v>
      </c>
      <c r="D844" s="7">
        <f>item!S806</f>
        <v>1</v>
      </c>
    </row>
    <row r="845" spans="1:4">
      <c r="A845" s="7">
        <v>1320001</v>
      </c>
      <c r="B845" s="7" t="s">
        <v>832</v>
      </c>
      <c r="C845" s="7">
        <f t="shared" si="13"/>
        <v>2</v>
      </c>
      <c r="D845" s="7">
        <f>item!S807</f>
        <v>1</v>
      </c>
    </row>
    <row r="846" spans="1:4">
      <c r="A846" s="7">
        <v>1320002</v>
      </c>
      <c r="B846" s="7" t="s">
        <v>833</v>
      </c>
      <c r="C846" s="7">
        <f t="shared" si="13"/>
        <v>2</v>
      </c>
      <c r="D846" s="7">
        <f>item!S808</f>
        <v>1</v>
      </c>
    </row>
    <row r="847" spans="1:4">
      <c r="A847" s="7">
        <v>1320003</v>
      </c>
      <c r="B847" s="7" t="s">
        <v>835</v>
      </c>
      <c r="C847" s="7">
        <f t="shared" si="13"/>
        <v>2</v>
      </c>
      <c r="D847" s="7">
        <f>item!S809</f>
        <v>1</v>
      </c>
    </row>
    <row r="848" spans="1:4">
      <c r="A848" s="7">
        <v>1320004</v>
      </c>
      <c r="B848" s="7" t="s">
        <v>837</v>
      </c>
      <c r="C848" s="7">
        <f t="shared" si="13"/>
        <v>2</v>
      </c>
      <c r="D848" s="7">
        <f>item!S810</f>
        <v>1</v>
      </c>
    </row>
    <row r="849" spans="1:4">
      <c r="A849" s="7">
        <v>1320005</v>
      </c>
      <c r="B849" s="7" t="s">
        <v>839</v>
      </c>
      <c r="C849" s="7">
        <f t="shared" si="13"/>
        <v>2</v>
      </c>
      <c r="D849" s="7">
        <f>item!S811</f>
        <v>1</v>
      </c>
    </row>
    <row r="850" spans="1:4">
      <c r="A850" s="7">
        <v>1320006</v>
      </c>
      <c r="B850" s="7" t="s">
        <v>841</v>
      </c>
      <c r="C850" s="7">
        <f t="shared" si="13"/>
        <v>2</v>
      </c>
      <c r="D850" s="7">
        <f>item!S812</f>
        <v>1</v>
      </c>
    </row>
    <row r="851" spans="1:4">
      <c r="A851" s="7">
        <v>1320007</v>
      </c>
      <c r="B851" s="7" t="s">
        <v>843</v>
      </c>
      <c r="C851" s="7">
        <f t="shared" si="13"/>
        <v>2</v>
      </c>
      <c r="D851" s="7">
        <f>item!S813</f>
        <v>1</v>
      </c>
    </row>
    <row r="852" spans="1:4">
      <c r="A852" s="7">
        <v>1320008</v>
      </c>
      <c r="B852" s="7" t="s">
        <v>845</v>
      </c>
      <c r="C852" s="7">
        <f t="shared" si="13"/>
        <v>2</v>
      </c>
      <c r="D852" s="7">
        <f>item!S814</f>
        <v>1</v>
      </c>
    </row>
    <row r="853" spans="1:4">
      <c r="A853" s="7">
        <v>1320009</v>
      </c>
      <c r="B853" s="7" t="s">
        <v>847</v>
      </c>
      <c r="C853" s="7">
        <f t="shared" si="13"/>
        <v>2</v>
      </c>
      <c r="D853" s="7">
        <f>item!S815</f>
        <v>1</v>
      </c>
    </row>
    <row r="854" spans="1:4">
      <c r="A854" s="7">
        <v>1320010</v>
      </c>
      <c r="B854" s="7" t="s">
        <v>849</v>
      </c>
      <c r="C854" s="7">
        <f t="shared" si="13"/>
        <v>2</v>
      </c>
      <c r="D854" s="7">
        <f>item!S816</f>
        <v>1</v>
      </c>
    </row>
    <row r="855" spans="1:4">
      <c r="A855" s="7">
        <v>1331501</v>
      </c>
      <c r="B855" s="7" t="s">
        <v>851</v>
      </c>
      <c r="C855" s="7">
        <f t="shared" si="13"/>
        <v>2</v>
      </c>
      <c r="D855" s="7">
        <f>item!S817</f>
        <v>1</v>
      </c>
    </row>
    <row r="856" spans="1:4">
      <c r="A856" s="7">
        <v>1332001</v>
      </c>
      <c r="B856" s="7" t="s">
        <v>853</v>
      </c>
      <c r="C856" s="7">
        <f t="shared" si="13"/>
        <v>2</v>
      </c>
      <c r="D856" s="7">
        <f>item!S818</f>
        <v>1</v>
      </c>
    </row>
    <row r="857" spans="1:4">
      <c r="A857" s="7">
        <v>1332501</v>
      </c>
      <c r="B857" s="7" t="s">
        <v>855</v>
      </c>
      <c r="C857" s="7">
        <f t="shared" si="13"/>
        <v>2</v>
      </c>
      <c r="D857" s="7">
        <f>item!S819</f>
        <v>1</v>
      </c>
    </row>
    <row r="858" spans="1:4">
      <c r="A858" s="7">
        <v>1333001</v>
      </c>
      <c r="B858" s="7" t="s">
        <v>857</v>
      </c>
      <c r="C858" s="7">
        <f t="shared" si="13"/>
        <v>2</v>
      </c>
      <c r="D858" s="7">
        <f>item!S820</f>
        <v>1</v>
      </c>
    </row>
    <row r="859" spans="1:4">
      <c r="A859" s="7">
        <v>1333501</v>
      </c>
      <c r="B859" s="7" t="s">
        <v>859</v>
      </c>
      <c r="C859" s="7">
        <f t="shared" si="13"/>
        <v>2</v>
      </c>
      <c r="D859" s="7">
        <f>item!S821</f>
        <v>1</v>
      </c>
    </row>
    <row r="860" spans="1:4">
      <c r="A860" s="7">
        <v>1334001</v>
      </c>
      <c r="B860" s="7" t="s">
        <v>861</v>
      </c>
      <c r="C860" s="7">
        <f t="shared" si="13"/>
        <v>2</v>
      </c>
      <c r="D860" s="7">
        <f>item!S822</f>
        <v>1</v>
      </c>
    </row>
    <row r="861" spans="1:4">
      <c r="A861" s="7">
        <v>1331502</v>
      </c>
      <c r="B861" s="7" t="s">
        <v>863</v>
      </c>
      <c r="C861" s="7">
        <f t="shared" si="13"/>
        <v>2</v>
      </c>
      <c r="D861" s="7">
        <f>item!S823</f>
        <v>1</v>
      </c>
    </row>
    <row r="862" spans="1:4">
      <c r="A862" s="7">
        <v>1332002</v>
      </c>
      <c r="B862" s="7" t="s">
        <v>865</v>
      </c>
      <c r="C862" s="7">
        <f t="shared" si="13"/>
        <v>2</v>
      </c>
      <c r="D862" s="7">
        <f>item!S824</f>
        <v>1</v>
      </c>
    </row>
    <row r="863" spans="1:4">
      <c r="A863" s="7">
        <v>1332502</v>
      </c>
      <c r="B863" s="7" t="s">
        <v>867</v>
      </c>
      <c r="C863" s="7">
        <f t="shared" si="13"/>
        <v>2</v>
      </c>
      <c r="D863" s="7">
        <f>item!S825</f>
        <v>1</v>
      </c>
    </row>
    <row r="864" spans="1:4">
      <c r="A864" s="7">
        <v>1333002</v>
      </c>
      <c r="B864" s="7" t="s">
        <v>869</v>
      </c>
      <c r="C864" s="7">
        <f t="shared" si="13"/>
        <v>2</v>
      </c>
      <c r="D864" s="7">
        <f>item!S826</f>
        <v>1</v>
      </c>
    </row>
    <row r="865" spans="1:4">
      <c r="A865" s="7">
        <v>1333502</v>
      </c>
      <c r="B865" s="7" t="s">
        <v>871</v>
      </c>
      <c r="C865" s="7">
        <f t="shared" si="13"/>
        <v>2</v>
      </c>
      <c r="D865" s="7">
        <f>item!S827</f>
        <v>1</v>
      </c>
    </row>
    <row r="866" spans="1:4">
      <c r="A866" s="7">
        <v>1334002</v>
      </c>
      <c r="B866" s="7" t="s">
        <v>873</v>
      </c>
      <c r="C866" s="7">
        <f t="shared" si="13"/>
        <v>2</v>
      </c>
      <c r="D866" s="7">
        <f>item!S828</f>
        <v>1</v>
      </c>
    </row>
    <row r="867" spans="1:4">
      <c r="A867" s="7">
        <v>1331503</v>
      </c>
      <c r="B867" s="7" t="s">
        <v>875</v>
      </c>
      <c r="C867" s="7">
        <f t="shared" si="13"/>
        <v>2</v>
      </c>
      <c r="D867" s="7">
        <f>item!S829</f>
        <v>1</v>
      </c>
    </row>
    <row r="868" spans="1:4">
      <c r="A868" s="7">
        <v>1332003</v>
      </c>
      <c r="B868" s="7" t="s">
        <v>877</v>
      </c>
      <c r="C868" s="7">
        <f t="shared" si="13"/>
        <v>2</v>
      </c>
      <c r="D868" s="7">
        <f>item!S830</f>
        <v>1</v>
      </c>
    </row>
    <row r="869" spans="1:4">
      <c r="A869" s="7">
        <v>1332503</v>
      </c>
      <c r="B869" s="7" t="s">
        <v>879</v>
      </c>
      <c r="C869" s="7">
        <f t="shared" si="13"/>
        <v>2</v>
      </c>
      <c r="D869" s="7">
        <f>item!S831</f>
        <v>1</v>
      </c>
    </row>
    <row r="870" spans="1:4">
      <c r="A870" s="7">
        <v>1333003</v>
      </c>
      <c r="B870" s="7" t="s">
        <v>881</v>
      </c>
      <c r="C870" s="7">
        <f t="shared" si="13"/>
        <v>2</v>
      </c>
      <c r="D870" s="7">
        <f>item!S832</f>
        <v>1</v>
      </c>
    </row>
    <row r="871" spans="1:4">
      <c r="A871" s="7">
        <v>1333503</v>
      </c>
      <c r="B871" s="7" t="s">
        <v>883</v>
      </c>
      <c r="C871" s="7">
        <f t="shared" si="13"/>
        <v>2</v>
      </c>
      <c r="D871" s="7">
        <f>item!S833</f>
        <v>1</v>
      </c>
    </row>
    <row r="872" spans="1:4">
      <c r="A872" s="7">
        <v>1334003</v>
      </c>
      <c r="B872" s="7" t="s">
        <v>885</v>
      </c>
      <c r="C872" s="7">
        <f t="shared" si="13"/>
        <v>2</v>
      </c>
      <c r="D872" s="7">
        <f>item!S834</f>
        <v>1</v>
      </c>
    </row>
    <row r="873" spans="1:4">
      <c r="A873" s="7">
        <v>1344501</v>
      </c>
      <c r="B873" s="7" t="s">
        <v>2196</v>
      </c>
      <c r="C873" s="7">
        <f t="shared" si="13"/>
        <v>2</v>
      </c>
      <c r="D873" s="7">
        <f>item!S835</f>
        <v>1</v>
      </c>
    </row>
    <row r="874" spans="1:4">
      <c r="A874" s="7">
        <v>1345001</v>
      </c>
      <c r="B874" s="7" t="s">
        <v>2197</v>
      </c>
      <c r="C874" s="7">
        <f t="shared" si="13"/>
        <v>2</v>
      </c>
      <c r="D874" s="7">
        <f>item!S836</f>
        <v>1</v>
      </c>
    </row>
    <row r="875" spans="1:4">
      <c r="A875" s="7">
        <v>1345501</v>
      </c>
      <c r="B875" s="7" t="s">
        <v>2198</v>
      </c>
      <c r="C875" s="7">
        <f t="shared" si="13"/>
        <v>2</v>
      </c>
      <c r="D875" s="7">
        <f>item!S837</f>
        <v>1</v>
      </c>
    </row>
    <row r="876" spans="1:4">
      <c r="A876" s="7">
        <v>1344502</v>
      </c>
      <c r="B876" s="7" t="s">
        <v>2199</v>
      </c>
      <c r="C876" s="7">
        <f t="shared" si="13"/>
        <v>2</v>
      </c>
      <c r="D876" s="7">
        <f>item!S838</f>
        <v>1</v>
      </c>
    </row>
    <row r="877" spans="1:4">
      <c r="A877" s="7">
        <v>1345002</v>
      </c>
      <c r="B877" s="7" t="s">
        <v>2200</v>
      </c>
      <c r="C877" s="7">
        <f t="shared" si="13"/>
        <v>2</v>
      </c>
      <c r="D877" s="7">
        <f>item!S839</f>
        <v>1</v>
      </c>
    </row>
    <row r="878" spans="1:4">
      <c r="A878" s="7">
        <v>1345502</v>
      </c>
      <c r="B878" s="7" t="s">
        <v>2201</v>
      </c>
      <c r="C878" s="7">
        <f t="shared" si="13"/>
        <v>2</v>
      </c>
      <c r="D878" s="7">
        <f>item!S840</f>
        <v>1</v>
      </c>
    </row>
    <row r="879" spans="1:4">
      <c r="A879" s="7">
        <v>1344503</v>
      </c>
      <c r="B879" s="7" t="s">
        <v>2202</v>
      </c>
      <c r="C879" s="7">
        <f t="shared" si="13"/>
        <v>2</v>
      </c>
      <c r="D879" s="7">
        <f>item!S841</f>
        <v>1</v>
      </c>
    </row>
    <row r="880" spans="1:4">
      <c r="A880" s="22">
        <v>1345003</v>
      </c>
      <c r="B880" s="22" t="s">
        <v>2203</v>
      </c>
      <c r="C880" s="7">
        <f t="shared" si="13"/>
        <v>2</v>
      </c>
      <c r="D880" s="7">
        <f>item!S842</f>
        <v>1</v>
      </c>
    </row>
    <row r="881" spans="1:4">
      <c r="A881" s="22">
        <v>1345503</v>
      </c>
      <c r="B881" s="22" t="s">
        <v>2204</v>
      </c>
      <c r="C881" s="7">
        <f t="shared" si="13"/>
        <v>2</v>
      </c>
      <c r="D881" s="7">
        <f>item!S843</f>
        <v>1</v>
      </c>
    </row>
    <row r="882" spans="1:4">
      <c r="A882" s="22">
        <v>1350001</v>
      </c>
      <c r="B882" s="22" t="s">
        <v>896</v>
      </c>
      <c r="C882" s="7">
        <f t="shared" si="13"/>
        <v>2</v>
      </c>
      <c r="D882" s="7">
        <f>item!S844</f>
        <v>1</v>
      </c>
    </row>
    <row r="883" spans="1:4">
      <c r="A883" s="22">
        <v>1350002</v>
      </c>
      <c r="B883" s="22" t="s">
        <v>898</v>
      </c>
      <c r="C883" s="7">
        <f t="shared" si="13"/>
        <v>2</v>
      </c>
      <c r="D883" s="7">
        <f>item!S845</f>
        <v>1</v>
      </c>
    </row>
    <row r="884" spans="1:4">
      <c r="A884" s="7">
        <v>1350003</v>
      </c>
      <c r="B884" s="7" t="s">
        <v>937</v>
      </c>
      <c r="C884" s="7">
        <f t="shared" si="13"/>
        <v>2</v>
      </c>
      <c r="D884" s="7">
        <f>item!S846</f>
        <v>1</v>
      </c>
    </row>
    <row r="885" spans="1:4">
      <c r="A885" s="7">
        <v>1350004</v>
      </c>
      <c r="B885" s="7" t="s">
        <v>2205</v>
      </c>
      <c r="C885" s="7">
        <f t="shared" si="13"/>
        <v>2</v>
      </c>
      <c r="D885" s="7">
        <f>item!S847</f>
        <v>1</v>
      </c>
    </row>
    <row r="886" spans="1:4">
      <c r="A886" s="7">
        <v>1350005</v>
      </c>
      <c r="B886" s="7" t="s">
        <v>2206</v>
      </c>
      <c r="C886" s="7">
        <f t="shared" si="13"/>
        <v>2</v>
      </c>
      <c r="D886" s="7">
        <f>item!S848</f>
        <v>1</v>
      </c>
    </row>
    <row r="887" spans="1:4">
      <c r="A887" s="7">
        <v>1360001</v>
      </c>
      <c r="B887" s="7" t="s">
        <v>900</v>
      </c>
      <c r="C887" s="7">
        <f t="shared" si="13"/>
        <v>2</v>
      </c>
      <c r="D887" s="7">
        <f>item!S849</f>
        <v>1</v>
      </c>
    </row>
    <row r="888" spans="1:4">
      <c r="A888" s="7">
        <v>1370001</v>
      </c>
      <c r="B888" s="7" t="s">
        <v>2207</v>
      </c>
      <c r="C888" s="7">
        <f t="shared" si="13"/>
        <v>2</v>
      </c>
      <c r="D888" s="7">
        <f>item!S850</f>
        <v>1</v>
      </c>
    </row>
    <row r="889" spans="1:4">
      <c r="A889" s="7">
        <v>1370002</v>
      </c>
      <c r="B889" s="7" t="s">
        <v>2208</v>
      </c>
      <c r="C889" s="7">
        <f t="shared" si="13"/>
        <v>2</v>
      </c>
      <c r="D889" s="7">
        <f>item!S851</f>
        <v>1</v>
      </c>
    </row>
    <row r="890" spans="1:4">
      <c r="A890" s="7">
        <v>1370003</v>
      </c>
      <c r="B890" s="7" t="s">
        <v>2209</v>
      </c>
      <c r="C890" s="7">
        <f t="shared" si="13"/>
        <v>2</v>
      </c>
      <c r="D890" s="7">
        <f>item!S852</f>
        <v>1</v>
      </c>
    </row>
    <row r="891" spans="1:4">
      <c r="A891" s="7">
        <v>1370004</v>
      </c>
      <c r="B891" s="7" t="s">
        <v>2210</v>
      </c>
      <c r="C891" s="7">
        <f t="shared" si="13"/>
        <v>2</v>
      </c>
      <c r="D891" s="7">
        <f>item!S853</f>
        <v>1</v>
      </c>
    </row>
    <row r="892" spans="1:4">
      <c r="A892" s="7">
        <v>1370005</v>
      </c>
      <c r="B892" s="7" t="s">
        <v>2211</v>
      </c>
      <c r="C892" s="7">
        <f t="shared" si="13"/>
        <v>2</v>
      </c>
      <c r="D892" s="7">
        <f>item!S854</f>
        <v>1</v>
      </c>
    </row>
    <row r="893" spans="1:4">
      <c r="A893" s="7">
        <v>1370006</v>
      </c>
      <c r="B893" s="7" t="s">
        <v>2212</v>
      </c>
      <c r="C893" s="7">
        <f t="shared" si="13"/>
        <v>2</v>
      </c>
      <c r="D893" s="7">
        <f>item!S855</f>
        <v>1</v>
      </c>
    </row>
    <row r="894" spans="1:4">
      <c r="A894" s="7">
        <v>1370007</v>
      </c>
      <c r="B894" s="7" t="s">
        <v>2213</v>
      </c>
      <c r="C894" s="7">
        <f t="shared" si="13"/>
        <v>2</v>
      </c>
      <c r="D894" s="7">
        <f>item!S856</f>
        <v>1</v>
      </c>
    </row>
    <row r="895" spans="1:4">
      <c r="A895" s="7">
        <v>1370008</v>
      </c>
      <c r="B895" s="7" t="s">
        <v>2214</v>
      </c>
      <c r="C895" s="7">
        <f t="shared" si="13"/>
        <v>2</v>
      </c>
      <c r="D895" s="7">
        <f>item!S857</f>
        <v>1</v>
      </c>
    </row>
    <row r="896" spans="1:4">
      <c r="A896" s="7">
        <v>1370101</v>
      </c>
      <c r="B896" s="7" t="s">
        <v>2034</v>
      </c>
      <c r="C896" s="7">
        <f t="shared" si="13"/>
        <v>2</v>
      </c>
      <c r="D896" s="7">
        <f>item!S859</f>
        <v>1</v>
      </c>
    </row>
    <row r="897" spans="1:4">
      <c r="A897" s="7">
        <v>1370102</v>
      </c>
      <c r="B897" s="7" t="s">
        <v>2035</v>
      </c>
      <c r="C897" s="7">
        <f t="shared" si="13"/>
        <v>2</v>
      </c>
      <c r="D897" s="7">
        <f>item!S860</f>
        <v>1</v>
      </c>
    </row>
    <row r="898" spans="1:4">
      <c r="A898" s="7">
        <v>1370103</v>
      </c>
      <c r="B898" s="7" t="s">
        <v>2036</v>
      </c>
      <c r="C898" s="7">
        <f t="shared" si="13"/>
        <v>2</v>
      </c>
      <c r="D898" s="7">
        <f>item!S861</f>
        <v>1</v>
      </c>
    </row>
    <row r="899" spans="1:4">
      <c r="A899" s="7">
        <v>1370104</v>
      </c>
      <c r="B899" s="7" t="s">
        <v>2037</v>
      </c>
      <c r="C899" s="7">
        <f t="shared" ref="C899:C933" si="14">D899*2</f>
        <v>2</v>
      </c>
      <c r="D899" s="7">
        <f>item!S862</f>
        <v>1</v>
      </c>
    </row>
    <row r="900" spans="1:4">
      <c r="A900" s="7">
        <v>1370105</v>
      </c>
      <c r="B900" s="7" t="s">
        <v>2038</v>
      </c>
      <c r="C900" s="7">
        <f t="shared" si="14"/>
        <v>2</v>
      </c>
      <c r="D900" s="7">
        <f>item!S863</f>
        <v>1</v>
      </c>
    </row>
    <row r="901" spans="1:4">
      <c r="A901" s="7">
        <v>1370106</v>
      </c>
      <c r="B901" s="7" t="s">
        <v>2039</v>
      </c>
      <c r="C901" s="7">
        <f t="shared" si="14"/>
        <v>2</v>
      </c>
      <c r="D901" s="7">
        <f>item!S864</f>
        <v>1</v>
      </c>
    </row>
    <row r="902" spans="1:4">
      <c r="A902" s="7">
        <v>1370107</v>
      </c>
      <c r="B902" s="7" t="s">
        <v>2040</v>
      </c>
      <c r="C902" s="7">
        <f t="shared" si="14"/>
        <v>2</v>
      </c>
      <c r="D902" s="7">
        <f>item!S865</f>
        <v>1</v>
      </c>
    </row>
    <row r="903" spans="1:4">
      <c r="A903" s="7">
        <v>1370108</v>
      </c>
      <c r="B903" s="7" t="s">
        <v>2041</v>
      </c>
      <c r="C903" s="7">
        <f t="shared" si="14"/>
        <v>2</v>
      </c>
      <c r="D903" s="7">
        <f>item!S866</f>
        <v>1</v>
      </c>
    </row>
    <row r="904" spans="1:4">
      <c r="A904" s="7">
        <v>1410036</v>
      </c>
      <c r="B904" s="7" t="s">
        <v>901</v>
      </c>
      <c r="C904" s="7">
        <f t="shared" si="14"/>
        <v>2</v>
      </c>
      <c r="D904" s="7">
        <f>item!S895</f>
        <v>1</v>
      </c>
    </row>
    <row r="905" spans="1:4">
      <c r="A905" s="7">
        <v>1410038</v>
      </c>
      <c r="B905" s="7" t="s">
        <v>904</v>
      </c>
      <c r="C905" s="7">
        <f t="shared" si="14"/>
        <v>2</v>
      </c>
      <c r="D905" s="7">
        <f>item!S896</f>
        <v>1</v>
      </c>
    </row>
    <row r="906" spans="1:4">
      <c r="A906" s="7">
        <v>1410052</v>
      </c>
      <c r="B906" s="7" t="s">
        <v>907</v>
      </c>
      <c r="C906" s="7">
        <f t="shared" si="14"/>
        <v>2</v>
      </c>
      <c r="D906" s="7">
        <f>item!S897</f>
        <v>1</v>
      </c>
    </row>
    <row r="907" spans="1:4">
      <c r="A907" s="7">
        <v>1410093</v>
      </c>
      <c r="B907" s="7" t="s">
        <v>2215</v>
      </c>
      <c r="C907" s="7">
        <f t="shared" si="14"/>
        <v>2</v>
      </c>
      <c r="D907" s="7">
        <f>item!S898</f>
        <v>1</v>
      </c>
    </row>
    <row r="908" spans="1:4">
      <c r="A908" s="7">
        <v>1500001</v>
      </c>
      <c r="B908" s="7" t="s">
        <v>2216</v>
      </c>
      <c r="C908" s="7">
        <f t="shared" si="14"/>
        <v>2</v>
      </c>
      <c r="D908" s="7">
        <f>item!S904</f>
        <v>1</v>
      </c>
    </row>
    <row r="909" spans="1:4">
      <c r="A909" s="7">
        <v>1500002</v>
      </c>
      <c r="B909" s="7" t="s">
        <v>2217</v>
      </c>
      <c r="C909" s="7">
        <f t="shared" si="14"/>
        <v>2</v>
      </c>
      <c r="D909" s="7">
        <f>item!S905</f>
        <v>1</v>
      </c>
    </row>
    <row r="910" spans="1:4">
      <c r="A910" s="7">
        <v>1500008</v>
      </c>
      <c r="B910" s="7" t="s">
        <v>2218</v>
      </c>
      <c r="C910" s="7">
        <f t="shared" si="14"/>
        <v>2</v>
      </c>
      <c r="D910" s="7">
        <f>item!S911</f>
        <v>1</v>
      </c>
    </row>
    <row r="911" spans="1:4">
      <c r="A911" s="7">
        <v>1500009</v>
      </c>
      <c r="B911" s="7" t="s">
        <v>2219</v>
      </c>
      <c r="C911" s="7">
        <f t="shared" si="14"/>
        <v>2</v>
      </c>
      <c r="D911" s="7">
        <f>item!S912</f>
        <v>1</v>
      </c>
    </row>
    <row r="912" spans="1:4">
      <c r="A912" s="7">
        <v>1500010</v>
      </c>
      <c r="B912" s="7" t="s">
        <v>2220</v>
      </c>
      <c r="C912" s="7">
        <f t="shared" si="14"/>
        <v>2</v>
      </c>
      <c r="D912" s="7">
        <f>item!S913</f>
        <v>1</v>
      </c>
    </row>
    <row r="913" spans="1:4">
      <c r="A913" s="7">
        <v>1500011</v>
      </c>
      <c r="B913" s="7" t="s">
        <v>2221</v>
      </c>
      <c r="C913" s="7">
        <f t="shared" si="14"/>
        <v>2</v>
      </c>
      <c r="D913" s="7">
        <f>item!S914</f>
        <v>1</v>
      </c>
    </row>
    <row r="914" spans="1:4">
      <c r="A914" s="7">
        <v>1500012</v>
      </c>
      <c r="B914" s="7" t="s">
        <v>2222</v>
      </c>
      <c r="C914" s="7">
        <f t="shared" si="14"/>
        <v>2</v>
      </c>
      <c r="D914" s="7">
        <f>item!S915</f>
        <v>1</v>
      </c>
    </row>
    <row r="915" spans="1:4">
      <c r="A915" s="7">
        <v>1500013</v>
      </c>
      <c r="B915" s="7" t="s">
        <v>2223</v>
      </c>
      <c r="C915" s="7">
        <f t="shared" si="14"/>
        <v>2</v>
      </c>
      <c r="D915" s="7">
        <f>item!S916</f>
        <v>1</v>
      </c>
    </row>
    <row r="916" spans="1:4">
      <c r="A916" s="7">
        <v>1500014</v>
      </c>
      <c r="B916" s="7" t="s">
        <v>2224</v>
      </c>
      <c r="C916" s="7">
        <f t="shared" si="14"/>
        <v>2</v>
      </c>
      <c r="D916" s="7">
        <f>item!S917</f>
        <v>1</v>
      </c>
    </row>
    <row r="917" spans="1:4">
      <c r="A917" s="7">
        <v>1500015</v>
      </c>
      <c r="B917" s="7" t="s">
        <v>2225</v>
      </c>
      <c r="C917" s="7">
        <f t="shared" si="14"/>
        <v>2</v>
      </c>
      <c r="D917" s="7">
        <f>item!S918</f>
        <v>1</v>
      </c>
    </row>
    <row r="918" spans="1:4">
      <c r="A918" s="7">
        <v>1500016</v>
      </c>
      <c r="B918" s="7" t="s">
        <v>2226</v>
      </c>
      <c r="C918" s="7">
        <f t="shared" si="14"/>
        <v>2</v>
      </c>
      <c r="D918" s="7">
        <f>item!S919</f>
        <v>1</v>
      </c>
    </row>
    <row r="919" spans="1:4">
      <c r="A919" s="7">
        <v>1500017</v>
      </c>
      <c r="B919" s="7" t="s">
        <v>2227</v>
      </c>
      <c r="C919" s="7">
        <f t="shared" si="14"/>
        <v>2</v>
      </c>
      <c r="D919" s="7">
        <f>item!S920</f>
        <v>1</v>
      </c>
    </row>
    <row r="920" spans="1:4">
      <c r="A920" s="7">
        <v>1500018</v>
      </c>
      <c r="B920" s="7" t="s">
        <v>2228</v>
      </c>
      <c r="C920" s="7">
        <f t="shared" si="14"/>
        <v>2</v>
      </c>
      <c r="D920" s="7">
        <f>item!S921</f>
        <v>1</v>
      </c>
    </row>
    <row r="921" spans="1:4">
      <c r="A921" s="7">
        <v>1500019</v>
      </c>
      <c r="B921" s="7" t="s">
        <v>2229</v>
      </c>
      <c r="C921" s="7">
        <f t="shared" si="14"/>
        <v>2</v>
      </c>
      <c r="D921" s="7">
        <f>item!S922</f>
        <v>1</v>
      </c>
    </row>
    <row r="922" spans="1:4">
      <c r="A922" s="7">
        <v>1500020</v>
      </c>
      <c r="B922" s="7" t="s">
        <v>2230</v>
      </c>
      <c r="C922" s="7">
        <f t="shared" si="14"/>
        <v>2</v>
      </c>
      <c r="D922" s="7">
        <f>item!S923</f>
        <v>1</v>
      </c>
    </row>
    <row r="923" spans="1:4">
      <c r="A923" s="7">
        <v>1500021</v>
      </c>
      <c r="B923" s="7" t="s">
        <v>2231</v>
      </c>
      <c r="C923" s="7">
        <f t="shared" si="14"/>
        <v>2</v>
      </c>
      <c r="D923" s="7">
        <f>item!S924</f>
        <v>1</v>
      </c>
    </row>
    <row r="924" spans="1:4">
      <c r="A924" s="7">
        <v>1500022</v>
      </c>
      <c r="B924" s="7" t="s">
        <v>2232</v>
      </c>
      <c r="C924" s="7">
        <f t="shared" si="14"/>
        <v>2</v>
      </c>
      <c r="D924" s="7">
        <f>item!S925</f>
        <v>1</v>
      </c>
    </row>
    <row r="925" spans="1:4">
      <c r="A925" s="7">
        <v>1500023</v>
      </c>
      <c r="B925" s="7" t="s">
        <v>2233</v>
      </c>
      <c r="C925" s="7">
        <f t="shared" si="14"/>
        <v>2</v>
      </c>
      <c r="D925" s="7">
        <f>item!S926</f>
        <v>1</v>
      </c>
    </row>
    <row r="926" spans="1:4">
      <c r="A926" s="7">
        <v>1500100</v>
      </c>
      <c r="B926" s="7" t="s">
        <v>2234</v>
      </c>
      <c r="C926" s="7">
        <f t="shared" si="14"/>
        <v>2</v>
      </c>
      <c r="D926" s="7">
        <f>item!S947</f>
        <v>1</v>
      </c>
    </row>
    <row r="927" spans="1:4">
      <c r="A927" s="7">
        <v>1500101</v>
      </c>
      <c r="B927" s="7" t="s">
        <v>2235</v>
      </c>
      <c r="C927" s="7">
        <f t="shared" si="14"/>
        <v>2</v>
      </c>
      <c r="D927" s="7">
        <f>item!S948</f>
        <v>1</v>
      </c>
    </row>
    <row r="928" spans="1:4">
      <c r="A928" s="7">
        <v>1500102</v>
      </c>
      <c r="B928" s="7" t="s">
        <v>2236</v>
      </c>
      <c r="C928" s="7">
        <f t="shared" si="14"/>
        <v>2</v>
      </c>
      <c r="D928" s="7">
        <f>item!S949</f>
        <v>1</v>
      </c>
    </row>
    <row r="929" spans="1:4">
      <c r="A929" s="7">
        <v>1500103</v>
      </c>
      <c r="B929" s="7" t="s">
        <v>2237</v>
      </c>
      <c r="C929" s="7">
        <f t="shared" si="14"/>
        <v>2</v>
      </c>
      <c r="D929" s="7">
        <f>item!S950</f>
        <v>1</v>
      </c>
    </row>
    <row r="930" spans="1:4">
      <c r="A930" s="7">
        <v>1500104</v>
      </c>
      <c r="B930" s="7" t="s">
        <v>2238</v>
      </c>
      <c r="C930" s="7">
        <f t="shared" si="14"/>
        <v>2</v>
      </c>
      <c r="D930" s="7">
        <f>item!S951</f>
        <v>1</v>
      </c>
    </row>
    <row r="931" spans="1:4">
      <c r="A931" s="7">
        <v>1500105</v>
      </c>
      <c r="B931" s="7" t="s">
        <v>2239</v>
      </c>
      <c r="C931" s="7">
        <f t="shared" si="14"/>
        <v>2</v>
      </c>
      <c r="D931" s="7">
        <f>item!S952</f>
        <v>1</v>
      </c>
    </row>
    <row r="932" spans="1:4">
      <c r="A932" s="7">
        <v>1500106</v>
      </c>
      <c r="B932" s="7" t="s">
        <v>2240</v>
      </c>
      <c r="C932" s="7">
        <f t="shared" si="14"/>
        <v>2</v>
      </c>
      <c r="D932" s="7">
        <f>item!S953</f>
        <v>1</v>
      </c>
    </row>
    <row r="933" spans="1:4">
      <c r="A933" s="7">
        <v>1500107</v>
      </c>
      <c r="B933" s="7" t="s">
        <v>2241</v>
      </c>
      <c r="C933" s="7">
        <f t="shared" si="14"/>
        <v>2</v>
      </c>
      <c r="D933" s="7">
        <f>item!S954</f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item</vt:lpstr>
      <vt:lpstr>Sheet2</vt:lpstr>
      <vt:lpstr>Sheet1</vt:lpstr>
      <vt:lpstr>define</vt:lpstr>
      <vt:lpstr>价目表</vt:lpstr>
    </vt:vector>
  </TitlesOfParts>
  <Company>SDG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赵浩</dc:creator>
  <cp:lastModifiedBy>余力烨</cp:lastModifiedBy>
  <dcterms:created xsi:type="dcterms:W3CDTF">2013-10-11T07:47:48Z</dcterms:created>
  <dcterms:modified xsi:type="dcterms:W3CDTF">2016-07-13T02:52:58Z</dcterms:modified>
</cp:coreProperties>
</file>