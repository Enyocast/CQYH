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470" windowWidth="20415" windowHeight="7995"/>
  </bookViews>
  <sheets>
    <sheet name="Sheet1" sheetId="8" r:id="rId1"/>
    <sheet name="define" sheetId="2" r:id="rId2"/>
    <sheet name="doodad和绑金" sheetId="7" r:id="rId3"/>
    <sheet name="Sheet2" sheetId="9" r:id="rId4"/>
    <sheet name="Sheet3" sheetId="11" r:id="rId5"/>
    <sheet name="洗矿索引" sheetId="10" r:id="rId6"/>
  </sheets>
  <calcPr calcId="145621"/>
</workbook>
</file>

<file path=xl/calcChain.xml><?xml version="1.0" encoding="utf-8"?>
<calcChain xmlns="http://schemas.openxmlformats.org/spreadsheetml/2006/main">
  <c r="J3280" i="8" l="1"/>
  <c r="I3280" i="8"/>
  <c r="J3248" i="8"/>
  <c r="I3248" i="8"/>
  <c r="I2694" i="8" l="1"/>
  <c r="J2694" i="8"/>
  <c r="I2693" i="8"/>
  <c r="J2693" i="8"/>
  <c r="J1859" i="8" l="1"/>
  <c r="I1859" i="8"/>
  <c r="J1858" i="8"/>
  <c r="I1858" i="8"/>
  <c r="J1857" i="8"/>
  <c r="I1857" i="8"/>
  <c r="J1856" i="8"/>
  <c r="I1856" i="8"/>
  <c r="J1855" i="8"/>
  <c r="I1855" i="8"/>
  <c r="J1854" i="8"/>
  <c r="I1854" i="8"/>
  <c r="J1853" i="8"/>
  <c r="I1853" i="8"/>
  <c r="J1852" i="8"/>
  <c r="I1852" i="8"/>
  <c r="J1851" i="8"/>
  <c r="I1851" i="8"/>
  <c r="J1850" i="8"/>
  <c r="I1850" i="8"/>
  <c r="J1849" i="8"/>
  <c r="I1849" i="8"/>
  <c r="J1848" i="8"/>
  <c r="I1848" i="8"/>
  <c r="J1847" i="8"/>
  <c r="I1847" i="8"/>
  <c r="J1846" i="8"/>
  <c r="I1846" i="8"/>
  <c r="J1845" i="8"/>
  <c r="I1845" i="8"/>
  <c r="J1844" i="8"/>
  <c r="I1844" i="8"/>
  <c r="J1843" i="8"/>
  <c r="I1843" i="8"/>
  <c r="J1842" i="8"/>
  <c r="I1842" i="8"/>
  <c r="J1841" i="8"/>
  <c r="I1841" i="8"/>
  <c r="J1840" i="8"/>
  <c r="I1840" i="8"/>
  <c r="J1839" i="8"/>
  <c r="I1839" i="8"/>
  <c r="J1838" i="8"/>
  <c r="I1838" i="8"/>
  <c r="J1837" i="8"/>
  <c r="I1837" i="8"/>
  <c r="J1836" i="8"/>
  <c r="I1836" i="8"/>
  <c r="J1835" i="8"/>
  <c r="I1835" i="8"/>
  <c r="J1834" i="8"/>
  <c r="I1834" i="8"/>
  <c r="J1833" i="8"/>
  <c r="I1833" i="8"/>
  <c r="J1832" i="8"/>
  <c r="I1832" i="8"/>
  <c r="J1831" i="8"/>
  <c r="I1831" i="8"/>
  <c r="J1830" i="8"/>
  <c r="I1830" i="8"/>
  <c r="J1829" i="8"/>
  <c r="I1829" i="8"/>
  <c r="J1828" i="8"/>
  <c r="I1828" i="8"/>
  <c r="J1827" i="8"/>
  <c r="I1827" i="8"/>
  <c r="J1826" i="8"/>
  <c r="I1826" i="8"/>
  <c r="J1825" i="8"/>
  <c r="I1825" i="8"/>
  <c r="J1824" i="8"/>
  <c r="I1824" i="8"/>
  <c r="J1823" i="8"/>
  <c r="I1823" i="8"/>
  <c r="J1822" i="8"/>
  <c r="I1822" i="8"/>
  <c r="J1821" i="8"/>
  <c r="I1821" i="8"/>
  <c r="J1820" i="8"/>
  <c r="I1820" i="8"/>
  <c r="J1819" i="8"/>
  <c r="I1819" i="8"/>
  <c r="J1818" i="8"/>
  <c r="I1818" i="8"/>
  <c r="J1817" i="8"/>
  <c r="I1817" i="8"/>
  <c r="J1816" i="8"/>
  <c r="I1816" i="8"/>
  <c r="J1815" i="8"/>
  <c r="I1815" i="8"/>
  <c r="J1814" i="8"/>
  <c r="I1814" i="8"/>
  <c r="J1813" i="8"/>
  <c r="I1813" i="8"/>
  <c r="J1812" i="8"/>
  <c r="I1812" i="8"/>
  <c r="J1811" i="8"/>
  <c r="I1811" i="8"/>
  <c r="J1810" i="8"/>
  <c r="I1810" i="8"/>
  <c r="J1809" i="8"/>
  <c r="I1809" i="8"/>
  <c r="J1808" i="8"/>
  <c r="I1808" i="8"/>
  <c r="J1807" i="8"/>
  <c r="I1807" i="8"/>
  <c r="J1806" i="8"/>
  <c r="I1806" i="8"/>
  <c r="J1805" i="8"/>
  <c r="I1805" i="8"/>
  <c r="J1804" i="8"/>
  <c r="I1804" i="8"/>
  <c r="J1803" i="8"/>
  <c r="I1803" i="8"/>
  <c r="J1802" i="8"/>
  <c r="I1802" i="8"/>
  <c r="J1801" i="8"/>
  <c r="I1801" i="8"/>
  <c r="J1800" i="8"/>
  <c r="I1800" i="8"/>
  <c r="J1799" i="8"/>
  <c r="I1799" i="8"/>
  <c r="J1798" i="8"/>
  <c r="I1798" i="8"/>
  <c r="J1797" i="8"/>
  <c r="I1797" i="8"/>
  <c r="J1796" i="8"/>
  <c r="I1796" i="8"/>
  <c r="J1795" i="8"/>
  <c r="I1795" i="8"/>
  <c r="J1794" i="8"/>
  <c r="I1794" i="8"/>
  <c r="J1793" i="8"/>
  <c r="I1793" i="8"/>
  <c r="J1792" i="8"/>
  <c r="I1792" i="8"/>
  <c r="J1791" i="8"/>
  <c r="I1791" i="8"/>
  <c r="J1790" i="8"/>
  <c r="I1790" i="8"/>
  <c r="J1789" i="8"/>
  <c r="I1789" i="8"/>
  <c r="J1788" i="8"/>
  <c r="I1788" i="8"/>
  <c r="J1787" i="8"/>
  <c r="I1787" i="8"/>
  <c r="J1786" i="8"/>
  <c r="I1786" i="8"/>
  <c r="J1785" i="8"/>
  <c r="I1785" i="8"/>
  <c r="J1784" i="8"/>
  <c r="I1784" i="8"/>
  <c r="J1783" i="8"/>
  <c r="I1783" i="8"/>
  <c r="J1782" i="8"/>
  <c r="I1782" i="8"/>
  <c r="J1781" i="8"/>
  <c r="I1781" i="8"/>
  <c r="J1780" i="8"/>
  <c r="I1780" i="8"/>
  <c r="J1779" i="8"/>
  <c r="I1779" i="8"/>
  <c r="J1778" i="8"/>
  <c r="I1778" i="8"/>
  <c r="J1777" i="8"/>
  <c r="I1777" i="8"/>
  <c r="J1776" i="8"/>
  <c r="I1776" i="8"/>
  <c r="J1775" i="8"/>
  <c r="I1775" i="8"/>
  <c r="J1774" i="8"/>
  <c r="I1774" i="8"/>
  <c r="J1773" i="8"/>
  <c r="I1773" i="8"/>
  <c r="J1772" i="8"/>
  <c r="I1772" i="8"/>
  <c r="J1771" i="8"/>
  <c r="I1771" i="8"/>
  <c r="J1770" i="8"/>
  <c r="I1770" i="8"/>
  <c r="J1769" i="8"/>
  <c r="I1769" i="8"/>
  <c r="J1768" i="8"/>
  <c r="I1768" i="8"/>
  <c r="J1767" i="8"/>
  <c r="I1767" i="8"/>
  <c r="J1766" i="8"/>
  <c r="I1766" i="8"/>
  <c r="J1765" i="8"/>
  <c r="I1765" i="8"/>
  <c r="J1764" i="8"/>
  <c r="I1764" i="8"/>
  <c r="J1763" i="8"/>
  <c r="I1763" i="8"/>
  <c r="J1762" i="8"/>
  <c r="I1762" i="8"/>
  <c r="J1761" i="8"/>
  <c r="I1761" i="8"/>
  <c r="J1760" i="8"/>
  <c r="I1760" i="8"/>
  <c r="J1759" i="8"/>
  <c r="I1759" i="8"/>
  <c r="J1758" i="8"/>
  <c r="I1758" i="8"/>
  <c r="J1757" i="8"/>
  <c r="I1757" i="8"/>
  <c r="J1756" i="8"/>
  <c r="I1756" i="8"/>
  <c r="J1755" i="8"/>
  <c r="I1755" i="8"/>
  <c r="J1754" i="8"/>
  <c r="I1754" i="8"/>
  <c r="J1753" i="8"/>
  <c r="I1753" i="8"/>
  <c r="J1752" i="8"/>
  <c r="I1752" i="8"/>
  <c r="J1751" i="8"/>
  <c r="I1751" i="8"/>
  <c r="J1750" i="8"/>
  <c r="I1750" i="8"/>
  <c r="J1749" i="8"/>
  <c r="I1749" i="8"/>
  <c r="J1748" i="8"/>
  <c r="I1748" i="8"/>
  <c r="J1747" i="8"/>
  <c r="I1747" i="8"/>
  <c r="J1746" i="8"/>
  <c r="I1746" i="8"/>
  <c r="J1745" i="8"/>
  <c r="I1745" i="8"/>
  <c r="J1744" i="8"/>
  <c r="I1744" i="8"/>
  <c r="J1743" i="8"/>
  <c r="I1743" i="8"/>
  <c r="J1742" i="8"/>
  <c r="I1742" i="8"/>
  <c r="J1741" i="8"/>
  <c r="I1741" i="8"/>
  <c r="J1740" i="8"/>
  <c r="I1740" i="8"/>
  <c r="J1739" i="8"/>
  <c r="I1739" i="8"/>
  <c r="J1738" i="8"/>
  <c r="I1738" i="8"/>
  <c r="J1737" i="8"/>
  <c r="I1737" i="8"/>
  <c r="J1736" i="8"/>
  <c r="I1736" i="8"/>
  <c r="J1735" i="8"/>
  <c r="I1735" i="8"/>
  <c r="J1734" i="8"/>
  <c r="I1734" i="8"/>
  <c r="J1733" i="8"/>
  <c r="I1733" i="8"/>
  <c r="J1732" i="8"/>
  <c r="I1732" i="8"/>
  <c r="J1731" i="8"/>
  <c r="I1731" i="8"/>
  <c r="J1730" i="8"/>
  <c r="I1730" i="8"/>
  <c r="J1729" i="8"/>
  <c r="I1729" i="8"/>
  <c r="J1728" i="8"/>
  <c r="I1728" i="8"/>
  <c r="J1727" i="8"/>
  <c r="I1727" i="8"/>
  <c r="J1726" i="8"/>
  <c r="I1726" i="8"/>
  <c r="J1725" i="8"/>
  <c r="I1725" i="8"/>
  <c r="J1724" i="8"/>
  <c r="I1724" i="8"/>
  <c r="J1723" i="8"/>
  <c r="I1723" i="8"/>
  <c r="J1722" i="8"/>
  <c r="I1722" i="8"/>
  <c r="J1721" i="8"/>
  <c r="I1721" i="8"/>
  <c r="J1720" i="8"/>
  <c r="I1720" i="8"/>
  <c r="J1719" i="8"/>
  <c r="I1719" i="8"/>
  <c r="J1718" i="8"/>
  <c r="I1718" i="8"/>
  <c r="J1717" i="8"/>
  <c r="I1717" i="8"/>
  <c r="J1716" i="8"/>
  <c r="I1716" i="8"/>
  <c r="J1715" i="8"/>
  <c r="I1715" i="8"/>
  <c r="J1714" i="8"/>
  <c r="I1714" i="8"/>
  <c r="J1713" i="8"/>
  <c r="I1713" i="8"/>
  <c r="J1712" i="8"/>
  <c r="I1712" i="8"/>
  <c r="J1711" i="8"/>
  <c r="I1711" i="8"/>
  <c r="J1710" i="8"/>
  <c r="I1710" i="8"/>
  <c r="J1709" i="8"/>
  <c r="I1709" i="8"/>
  <c r="J1708" i="8"/>
  <c r="I1708" i="8"/>
  <c r="J1707" i="8"/>
  <c r="I1707" i="8"/>
  <c r="J1706" i="8"/>
  <c r="I1706" i="8"/>
  <c r="J1705" i="8"/>
  <c r="I1705" i="8"/>
  <c r="J1704" i="8"/>
  <c r="I1704" i="8"/>
  <c r="J1703" i="8"/>
  <c r="I1703" i="8"/>
  <c r="J1702" i="8"/>
  <c r="I1702" i="8"/>
  <c r="J1701" i="8"/>
  <c r="I1701" i="8"/>
  <c r="J1700" i="8"/>
  <c r="I1700" i="8"/>
  <c r="J1699" i="8"/>
  <c r="I1699" i="8"/>
  <c r="J1698" i="8"/>
  <c r="I1698" i="8"/>
  <c r="J1697" i="8"/>
  <c r="I1697" i="8"/>
  <c r="J1696" i="8"/>
  <c r="I1696" i="8"/>
  <c r="J1695" i="8"/>
  <c r="I1695" i="8"/>
  <c r="J1694" i="8"/>
  <c r="I1694" i="8"/>
  <c r="J1693" i="8"/>
  <c r="I1693" i="8"/>
  <c r="J1692" i="8"/>
  <c r="I1692" i="8"/>
  <c r="J1691" i="8"/>
  <c r="I1691" i="8"/>
  <c r="J1690" i="8"/>
  <c r="I1690" i="8"/>
  <c r="J1689" i="8"/>
  <c r="I1689" i="8"/>
  <c r="J1688" i="8"/>
  <c r="I1688" i="8"/>
  <c r="J1687" i="8"/>
  <c r="I1687" i="8"/>
  <c r="J1686" i="8"/>
  <c r="I1686" i="8"/>
  <c r="J1685" i="8"/>
  <c r="I1685" i="8"/>
  <c r="J1684" i="8"/>
  <c r="I1684" i="8"/>
  <c r="J1683" i="8"/>
  <c r="I1683" i="8"/>
  <c r="J1682" i="8"/>
  <c r="I1682" i="8"/>
  <c r="J1681" i="8"/>
  <c r="I1681" i="8"/>
  <c r="J1680" i="8"/>
  <c r="I1680" i="8"/>
  <c r="J1679" i="8"/>
  <c r="I1679" i="8"/>
  <c r="J1678" i="8"/>
  <c r="I1678" i="8"/>
  <c r="J1677" i="8"/>
  <c r="I1677" i="8"/>
  <c r="J1676" i="8"/>
  <c r="I1676" i="8"/>
  <c r="J1675" i="8"/>
  <c r="I1675" i="8"/>
  <c r="J1674" i="8"/>
  <c r="I1674" i="8"/>
  <c r="J1673" i="8"/>
  <c r="I1673" i="8"/>
  <c r="J1672" i="8"/>
  <c r="I1672" i="8"/>
  <c r="J1671" i="8"/>
  <c r="I1671" i="8"/>
  <c r="J1670" i="8"/>
  <c r="I1670" i="8"/>
  <c r="J1669" i="8"/>
  <c r="I1669" i="8"/>
  <c r="J1668" i="8"/>
  <c r="I1668" i="8"/>
  <c r="J1667" i="8"/>
  <c r="I1667" i="8"/>
  <c r="J1666" i="8"/>
  <c r="I1666" i="8"/>
  <c r="J1665" i="8"/>
  <c r="I1665" i="8"/>
  <c r="J1664" i="8"/>
  <c r="I1664" i="8"/>
  <c r="J1663" i="8"/>
  <c r="I1663" i="8"/>
  <c r="J1662" i="8"/>
  <c r="I1662" i="8"/>
  <c r="J1661" i="8"/>
  <c r="I1661" i="8"/>
  <c r="J1660" i="8"/>
  <c r="I1660" i="8"/>
  <c r="J1659" i="8"/>
  <c r="I1659" i="8"/>
  <c r="J1658" i="8"/>
  <c r="I1658" i="8"/>
  <c r="J1657" i="8"/>
  <c r="I1657" i="8"/>
  <c r="J1656" i="8"/>
  <c r="I1656" i="8"/>
  <c r="J1655" i="8"/>
  <c r="I1655" i="8"/>
  <c r="J1654" i="8"/>
  <c r="I1654" i="8"/>
  <c r="J1653" i="8"/>
  <c r="I1653" i="8"/>
  <c r="J1652" i="8"/>
  <c r="I1652" i="8"/>
  <c r="J1651" i="8"/>
  <c r="I1651" i="8"/>
  <c r="J1650" i="8"/>
  <c r="I1650" i="8"/>
  <c r="J1649" i="8"/>
  <c r="I1649" i="8"/>
  <c r="J1648" i="8"/>
  <c r="I1648" i="8"/>
  <c r="J1647" i="8"/>
  <c r="I1647" i="8"/>
  <c r="J1646" i="8"/>
  <c r="I1646" i="8"/>
  <c r="J1645" i="8"/>
  <c r="I1645" i="8"/>
  <c r="J1644" i="8"/>
  <c r="I1644" i="8"/>
  <c r="J1643" i="8"/>
  <c r="I1643" i="8"/>
  <c r="J1642" i="8"/>
  <c r="I1642" i="8"/>
  <c r="J1641" i="8"/>
  <c r="I1641" i="8"/>
  <c r="J1640" i="8"/>
  <c r="I1640" i="8"/>
  <c r="J1639" i="8"/>
  <c r="I1639" i="8"/>
  <c r="J1638" i="8"/>
  <c r="I1638" i="8"/>
  <c r="J1637" i="8"/>
  <c r="I1637" i="8"/>
  <c r="J1636" i="8"/>
  <c r="I1636" i="8"/>
  <c r="J1635" i="8"/>
  <c r="I1635" i="8"/>
  <c r="J1634" i="8"/>
  <c r="I1634" i="8"/>
  <c r="J1633" i="8"/>
  <c r="I1633" i="8"/>
  <c r="J1632" i="8"/>
  <c r="I1632" i="8"/>
  <c r="J1631" i="8"/>
  <c r="I1631" i="8"/>
  <c r="J1630" i="8"/>
  <c r="I1630" i="8"/>
  <c r="J1629" i="8"/>
  <c r="I1629" i="8"/>
  <c r="J1628" i="8"/>
  <c r="I1628" i="8"/>
  <c r="J1627" i="8"/>
  <c r="I1627" i="8"/>
  <c r="J1626" i="8"/>
  <c r="I1626" i="8"/>
  <c r="J1625" i="8"/>
  <c r="I1625" i="8"/>
  <c r="J1624" i="8"/>
  <c r="I1624" i="8"/>
  <c r="J1623" i="8"/>
  <c r="I1623" i="8"/>
  <c r="J1622" i="8"/>
  <c r="I1622" i="8"/>
  <c r="J1621" i="8"/>
  <c r="I1621" i="8"/>
  <c r="J1620" i="8"/>
  <c r="I1620" i="8"/>
  <c r="J1619" i="8"/>
  <c r="I1619" i="8"/>
  <c r="J1618" i="8"/>
  <c r="I1618" i="8"/>
  <c r="J1617" i="8"/>
  <c r="I1617" i="8"/>
  <c r="J1616" i="8"/>
  <c r="I1616" i="8"/>
  <c r="J1615" i="8"/>
  <c r="I1615" i="8"/>
  <c r="J1614" i="8"/>
  <c r="I1614" i="8"/>
  <c r="J1613" i="8"/>
  <c r="I1613" i="8"/>
  <c r="J1612" i="8"/>
  <c r="I1612" i="8"/>
  <c r="J1611" i="8"/>
  <c r="I1611" i="8"/>
  <c r="J1610" i="8"/>
  <c r="I1610" i="8"/>
  <c r="J1609" i="8"/>
  <c r="I1609" i="8"/>
  <c r="J1608" i="8"/>
  <c r="I1608" i="8"/>
  <c r="J1607" i="8"/>
  <c r="I1607" i="8"/>
  <c r="J1606" i="8"/>
  <c r="I1606" i="8"/>
  <c r="J1605" i="8"/>
  <c r="I1605" i="8"/>
  <c r="J1604" i="8"/>
  <c r="I1604" i="8"/>
  <c r="J1603" i="8"/>
  <c r="I1603" i="8"/>
  <c r="J1602" i="8"/>
  <c r="I1602" i="8"/>
  <c r="J1601" i="8"/>
  <c r="I1601" i="8"/>
  <c r="J1600" i="8"/>
  <c r="I1600" i="8"/>
  <c r="J1599" i="8"/>
  <c r="I1599" i="8"/>
  <c r="J1598" i="8"/>
  <c r="I1598" i="8"/>
  <c r="J1597" i="8"/>
  <c r="I1597" i="8"/>
  <c r="J1596" i="8"/>
  <c r="I1596" i="8"/>
  <c r="J1595" i="8"/>
  <c r="I1595" i="8"/>
  <c r="J1594" i="8"/>
  <c r="I1594" i="8"/>
  <c r="J1593" i="8"/>
  <c r="I1593" i="8"/>
  <c r="J1592" i="8"/>
  <c r="I1592" i="8"/>
  <c r="J1591" i="8"/>
  <c r="I1591" i="8"/>
  <c r="J1590" i="8"/>
  <c r="I1590" i="8"/>
  <c r="J1589" i="8"/>
  <c r="I1589" i="8"/>
  <c r="J1588" i="8"/>
  <c r="I1588" i="8"/>
  <c r="J1587" i="8"/>
  <c r="I1587" i="8"/>
  <c r="J1586" i="8"/>
  <c r="I1586" i="8"/>
  <c r="J1585" i="8"/>
  <c r="I1585" i="8"/>
  <c r="J1584" i="8"/>
  <c r="I1584" i="8"/>
  <c r="J1583" i="8"/>
  <c r="I1583" i="8"/>
  <c r="J1582" i="8"/>
  <c r="I1582" i="8"/>
  <c r="J1581" i="8"/>
  <c r="I1581" i="8"/>
  <c r="J1580" i="8"/>
  <c r="I1580" i="8"/>
  <c r="J1579" i="8"/>
  <c r="I1579" i="8"/>
  <c r="J1578" i="8"/>
  <c r="I1578" i="8"/>
  <c r="J1577" i="8"/>
  <c r="I1577" i="8"/>
  <c r="J1576" i="8"/>
  <c r="I1576" i="8"/>
  <c r="J1575" i="8"/>
  <c r="I1575" i="8"/>
  <c r="J1574" i="8"/>
  <c r="I1574" i="8"/>
  <c r="J1573" i="8"/>
  <c r="I1573" i="8"/>
  <c r="J1572" i="8"/>
  <c r="I1572" i="8"/>
  <c r="J1571" i="8"/>
  <c r="I1571" i="8"/>
  <c r="J1570" i="8"/>
  <c r="I1570" i="8"/>
  <c r="J1569" i="8"/>
  <c r="I1569" i="8"/>
  <c r="J1568" i="8"/>
  <c r="I1568" i="8"/>
  <c r="J1567" i="8"/>
  <c r="I1567" i="8"/>
  <c r="J1566" i="8"/>
  <c r="I1566" i="8"/>
  <c r="J1565" i="8"/>
  <c r="I1565" i="8"/>
  <c r="J1564" i="8"/>
  <c r="I1564" i="8"/>
  <c r="J1563" i="8"/>
  <c r="I1563" i="8"/>
  <c r="J1562" i="8"/>
  <c r="I1562" i="8"/>
  <c r="J1561" i="8"/>
  <c r="I1561" i="8"/>
  <c r="J1560" i="8"/>
  <c r="I1560" i="8"/>
  <c r="J1559" i="8"/>
  <c r="I1559" i="8"/>
  <c r="J1558" i="8"/>
  <c r="I1558" i="8"/>
  <c r="J1557" i="8"/>
  <c r="I1557" i="8"/>
  <c r="J1556" i="8"/>
  <c r="I1556" i="8"/>
  <c r="J1555" i="8"/>
  <c r="I1555" i="8"/>
  <c r="J1554" i="8"/>
  <c r="I1554" i="8"/>
  <c r="J1553" i="8"/>
  <c r="I1553" i="8"/>
  <c r="J1552" i="8"/>
  <c r="I1552" i="8"/>
  <c r="J1551" i="8"/>
  <c r="I1551" i="8"/>
  <c r="J1550" i="8"/>
  <c r="I1550" i="8"/>
  <c r="J1549" i="8"/>
  <c r="I1549" i="8"/>
  <c r="J1548" i="8"/>
  <c r="I1548" i="8"/>
  <c r="J1547" i="8"/>
  <c r="I1547" i="8"/>
  <c r="J1546" i="8"/>
  <c r="I1546" i="8"/>
  <c r="J1545" i="8"/>
  <c r="I1545" i="8"/>
  <c r="J1544" i="8"/>
  <c r="I1544" i="8"/>
  <c r="J1543" i="8"/>
  <c r="I1543" i="8"/>
  <c r="J1542" i="8"/>
  <c r="I1542" i="8"/>
  <c r="J1541" i="8"/>
  <c r="I1541" i="8"/>
  <c r="J1540" i="8"/>
  <c r="I1540" i="8"/>
  <c r="J1539" i="8"/>
  <c r="I1539" i="8"/>
  <c r="J1538" i="8"/>
  <c r="I1538" i="8"/>
  <c r="J1537" i="8"/>
  <c r="I1537" i="8"/>
  <c r="J1536" i="8"/>
  <c r="I1536" i="8"/>
  <c r="J1535" i="8"/>
  <c r="I1535" i="8"/>
  <c r="J1534" i="8"/>
  <c r="I1534" i="8"/>
  <c r="J1533" i="8"/>
  <c r="I1533" i="8"/>
  <c r="J1532" i="8"/>
  <c r="I1532" i="8"/>
  <c r="J1531" i="8"/>
  <c r="I1531" i="8"/>
  <c r="J1530" i="8"/>
  <c r="I1530" i="8"/>
  <c r="J1529" i="8"/>
  <c r="I1529" i="8"/>
  <c r="J1528" i="8"/>
  <c r="I1528" i="8"/>
  <c r="J1527" i="8"/>
  <c r="I1527" i="8"/>
  <c r="J1526" i="8"/>
  <c r="I1526" i="8"/>
  <c r="J1525" i="8"/>
  <c r="I1525" i="8"/>
  <c r="J1524" i="8"/>
  <c r="I1524" i="8"/>
  <c r="J1523" i="8"/>
  <c r="I1523" i="8"/>
  <c r="J1522" i="8"/>
  <c r="I1522" i="8"/>
  <c r="J1521" i="8"/>
  <c r="I1521" i="8"/>
  <c r="J1520" i="8"/>
  <c r="I1520" i="8"/>
  <c r="J1519" i="8"/>
  <c r="I1519" i="8"/>
  <c r="J1518" i="8"/>
  <c r="I1518" i="8"/>
  <c r="J1517" i="8"/>
  <c r="I1517" i="8"/>
  <c r="J1516" i="8"/>
  <c r="I1516" i="8"/>
  <c r="J1515" i="8"/>
  <c r="I1515" i="8"/>
  <c r="J1514" i="8"/>
  <c r="I1514" i="8"/>
  <c r="J1513" i="8"/>
  <c r="I1513" i="8"/>
  <c r="J1512" i="8"/>
  <c r="I1512" i="8"/>
  <c r="J1511" i="8"/>
  <c r="I1511" i="8"/>
  <c r="J1510" i="8"/>
  <c r="I1510" i="8"/>
  <c r="J1509" i="8"/>
  <c r="I1509" i="8"/>
  <c r="J1508" i="8"/>
  <c r="I1508" i="8"/>
  <c r="J1507" i="8"/>
  <c r="I1507" i="8"/>
  <c r="J1506" i="8"/>
  <c r="I1506" i="8"/>
  <c r="J1505" i="8"/>
  <c r="I1505" i="8"/>
  <c r="J1504" i="8"/>
  <c r="I1504" i="8"/>
  <c r="J1503" i="8"/>
  <c r="I1503" i="8"/>
  <c r="J1502" i="8"/>
  <c r="I1502" i="8"/>
  <c r="J1501" i="8"/>
  <c r="I1501" i="8"/>
  <c r="J1500" i="8"/>
  <c r="I1500" i="8"/>
  <c r="J1499" i="8"/>
  <c r="I1499" i="8"/>
  <c r="J1498" i="8"/>
  <c r="I1498" i="8"/>
  <c r="J1497" i="8"/>
  <c r="I1497" i="8"/>
  <c r="J1496" i="8"/>
  <c r="I1496" i="8"/>
  <c r="J1495" i="8"/>
  <c r="I1495" i="8"/>
  <c r="J1494" i="8"/>
  <c r="I1494" i="8"/>
  <c r="J1493" i="8"/>
  <c r="I1493" i="8"/>
  <c r="J1492" i="8"/>
  <c r="I1492" i="8"/>
  <c r="J1491" i="8"/>
  <c r="I1491" i="8"/>
  <c r="J1490" i="8"/>
  <c r="I1490" i="8"/>
  <c r="J1489" i="8"/>
  <c r="I1489" i="8"/>
  <c r="J1488" i="8"/>
  <c r="I1488" i="8"/>
  <c r="J1487" i="8"/>
  <c r="I1487" i="8"/>
  <c r="J1486" i="8"/>
  <c r="I1486" i="8"/>
  <c r="J1485" i="8"/>
  <c r="I1485" i="8"/>
  <c r="J1484" i="8"/>
  <c r="I1484" i="8"/>
  <c r="J1483" i="8"/>
  <c r="I1483" i="8"/>
  <c r="J1482" i="8"/>
  <c r="I1482" i="8"/>
  <c r="J1481" i="8"/>
  <c r="I1481" i="8"/>
  <c r="J1480" i="8"/>
  <c r="I1480" i="8"/>
  <c r="J1479" i="8"/>
  <c r="I1479" i="8"/>
  <c r="J1478" i="8"/>
  <c r="I1478" i="8"/>
  <c r="J1477" i="8"/>
  <c r="I1477" i="8"/>
  <c r="J1476" i="8"/>
  <c r="I1476" i="8"/>
  <c r="J1475" i="8"/>
  <c r="I1475" i="8"/>
  <c r="J1474" i="8"/>
  <c r="I1474" i="8"/>
  <c r="J1473" i="8"/>
  <c r="I1473" i="8"/>
  <c r="J1472" i="8"/>
  <c r="I1472" i="8"/>
  <c r="J1471" i="8"/>
  <c r="I1471" i="8"/>
  <c r="J1470" i="8"/>
  <c r="I1470" i="8"/>
  <c r="J1469" i="8"/>
  <c r="I1469" i="8"/>
  <c r="J1468" i="8"/>
  <c r="I1468" i="8"/>
  <c r="J1467" i="8"/>
  <c r="I1467" i="8"/>
  <c r="J1466" i="8"/>
  <c r="I1466" i="8"/>
  <c r="J1465" i="8"/>
  <c r="I1465" i="8"/>
  <c r="J1464" i="8"/>
  <c r="I1464" i="8"/>
  <c r="J1463" i="8"/>
  <c r="I1463" i="8"/>
  <c r="J1462" i="8"/>
  <c r="I1462" i="8"/>
  <c r="J1461" i="8"/>
  <c r="I1461" i="8"/>
  <c r="J1460" i="8"/>
  <c r="I1460" i="8"/>
  <c r="J1459" i="8"/>
  <c r="I1459" i="8"/>
  <c r="J1458" i="8"/>
  <c r="I1458" i="8"/>
  <c r="J1457" i="8"/>
  <c r="I1457" i="8"/>
  <c r="J1456" i="8"/>
  <c r="I1456" i="8"/>
  <c r="J1455" i="8"/>
  <c r="I1455" i="8"/>
  <c r="J1454" i="8"/>
  <c r="I1454" i="8"/>
  <c r="J1453" i="8"/>
  <c r="I1453" i="8"/>
  <c r="J1452" i="8"/>
  <c r="I1452" i="8"/>
  <c r="J1451" i="8"/>
  <c r="I1451" i="8"/>
  <c r="J1450" i="8"/>
  <c r="I1450" i="8"/>
  <c r="J1449" i="8"/>
  <c r="I1449" i="8"/>
  <c r="J1448" i="8"/>
  <c r="I1448" i="8"/>
  <c r="J1447" i="8"/>
  <c r="I1447" i="8"/>
  <c r="J1446" i="8"/>
  <c r="I1446" i="8"/>
  <c r="J1445" i="8"/>
  <c r="I1445" i="8"/>
  <c r="J1444" i="8"/>
  <c r="I1444" i="8"/>
  <c r="J1443" i="8"/>
  <c r="I1443" i="8"/>
  <c r="J1442" i="8"/>
  <c r="I1442" i="8"/>
  <c r="J1441" i="8"/>
  <c r="I1441" i="8"/>
  <c r="J1440" i="8"/>
  <c r="I1440" i="8"/>
  <c r="J1439" i="8"/>
  <c r="I1439" i="8"/>
  <c r="J1438" i="8"/>
  <c r="I1438" i="8"/>
  <c r="J1437" i="8"/>
  <c r="I1437" i="8"/>
  <c r="J1436" i="8"/>
  <c r="I1436" i="8"/>
  <c r="J1435" i="8"/>
  <c r="I1435" i="8"/>
  <c r="J1434" i="8"/>
  <c r="I1434" i="8"/>
  <c r="J1433" i="8"/>
  <c r="I1433" i="8"/>
  <c r="J1432" i="8"/>
  <c r="I1432" i="8"/>
  <c r="J1431" i="8"/>
  <c r="I1431" i="8"/>
  <c r="J1430" i="8"/>
  <c r="I1430" i="8"/>
  <c r="J1429" i="8"/>
  <c r="I1429" i="8"/>
  <c r="J1428" i="8"/>
  <c r="I1428" i="8"/>
  <c r="J1427" i="8"/>
  <c r="I1427" i="8"/>
  <c r="J1426" i="8"/>
  <c r="I1426" i="8"/>
  <c r="J1425" i="8"/>
  <c r="I1425" i="8"/>
  <c r="J1424" i="8"/>
  <c r="I1424" i="8"/>
  <c r="J1423" i="8"/>
  <c r="I1423" i="8"/>
  <c r="J1422" i="8"/>
  <c r="I1422" i="8"/>
  <c r="J1421" i="8"/>
  <c r="I1421" i="8"/>
  <c r="J1420" i="8"/>
  <c r="I1420" i="8"/>
  <c r="J1419" i="8"/>
  <c r="I1419" i="8"/>
  <c r="J1418" i="8"/>
  <c r="I1418" i="8"/>
  <c r="J1417" i="8"/>
  <c r="I1417" i="8"/>
  <c r="J1416" i="8"/>
  <c r="I1416" i="8"/>
  <c r="J1415" i="8"/>
  <c r="I1415" i="8"/>
  <c r="J1414" i="8"/>
  <c r="I1414" i="8"/>
  <c r="J1413" i="8"/>
  <c r="I1413" i="8"/>
  <c r="J1412" i="8"/>
  <c r="I1412" i="8"/>
  <c r="J1411" i="8"/>
  <c r="I1411" i="8"/>
  <c r="J1410" i="8"/>
  <c r="I1410" i="8"/>
  <c r="J1409" i="8"/>
  <c r="I1409" i="8"/>
  <c r="J1408" i="8"/>
  <c r="I1408" i="8"/>
  <c r="J1407" i="8"/>
  <c r="I1407" i="8"/>
  <c r="J1406" i="8"/>
  <c r="I1406" i="8"/>
  <c r="J1405" i="8"/>
  <c r="I1405" i="8"/>
  <c r="J1404" i="8"/>
  <c r="I1404" i="8"/>
  <c r="J1403" i="8"/>
  <c r="I1403" i="8"/>
  <c r="J1402" i="8"/>
  <c r="I1402" i="8"/>
  <c r="J1401" i="8"/>
  <c r="I1401" i="8"/>
  <c r="J1400" i="8"/>
  <c r="I1400" i="8"/>
  <c r="J1399" i="8"/>
  <c r="I1399" i="8"/>
  <c r="J1398" i="8"/>
  <c r="I1398" i="8"/>
  <c r="J1397" i="8"/>
  <c r="I1397" i="8"/>
  <c r="J1396" i="8"/>
  <c r="I1396" i="8"/>
  <c r="J1395" i="8"/>
  <c r="I1395" i="8"/>
  <c r="J1394" i="8"/>
  <c r="I1394" i="8"/>
  <c r="J1393" i="8"/>
  <c r="I1393" i="8"/>
  <c r="J1392" i="8"/>
  <c r="I1392" i="8"/>
  <c r="J1391" i="8"/>
  <c r="I1391" i="8"/>
  <c r="J1390" i="8"/>
  <c r="I1390" i="8"/>
  <c r="J1389" i="8"/>
  <c r="I1389" i="8"/>
  <c r="J1388" i="8"/>
  <c r="I1388" i="8"/>
  <c r="J1387" i="8"/>
  <c r="I1387" i="8"/>
  <c r="J1386" i="8"/>
  <c r="I1386" i="8"/>
  <c r="J1385" i="8"/>
  <c r="I1385" i="8"/>
  <c r="J1384" i="8"/>
  <c r="I1384" i="8"/>
  <c r="J1383" i="8"/>
  <c r="I1383" i="8"/>
  <c r="J1382" i="8"/>
  <c r="I1382" i="8"/>
  <c r="J1381" i="8"/>
  <c r="I1381" i="8"/>
  <c r="J1380" i="8"/>
  <c r="I1380" i="8"/>
  <c r="J1379" i="8"/>
  <c r="I1379" i="8"/>
  <c r="J1378" i="8"/>
  <c r="I1378" i="8"/>
  <c r="J1377" i="8"/>
  <c r="I1377" i="8"/>
  <c r="J1376" i="8"/>
  <c r="I1376" i="8"/>
  <c r="J1375" i="8"/>
  <c r="I1375" i="8"/>
  <c r="J1374" i="8"/>
  <c r="I1374" i="8"/>
  <c r="J1373" i="8"/>
  <c r="I1373" i="8"/>
  <c r="J1372" i="8"/>
  <c r="I1372" i="8"/>
  <c r="J1371" i="8"/>
  <c r="I1371" i="8"/>
  <c r="J1370" i="8"/>
  <c r="I1370" i="8"/>
  <c r="J1369" i="8"/>
  <c r="I1369" i="8"/>
  <c r="J1368" i="8"/>
  <c r="I1368" i="8"/>
  <c r="J1367" i="8"/>
  <c r="I1367" i="8"/>
  <c r="J1366" i="8"/>
  <c r="I1366" i="8"/>
  <c r="J1365" i="8"/>
  <c r="I1365" i="8"/>
  <c r="J1364" i="8"/>
  <c r="I1364" i="8"/>
  <c r="J1363" i="8"/>
  <c r="I1363" i="8"/>
  <c r="J1362" i="8"/>
  <c r="I1362" i="8"/>
  <c r="J1361" i="8"/>
  <c r="I1361" i="8"/>
  <c r="J1360" i="8"/>
  <c r="I1360" i="8"/>
  <c r="J2692" i="8" l="1"/>
  <c r="I2692" i="8"/>
  <c r="J2691" i="8"/>
  <c r="I2691" i="8"/>
  <c r="J2687" i="8"/>
  <c r="I2687" i="8"/>
  <c r="J2685" i="8"/>
  <c r="I2685" i="8"/>
  <c r="J2682" i="8"/>
  <c r="I2682" i="8"/>
  <c r="J2680" i="8"/>
  <c r="I2680" i="8"/>
  <c r="J2676" i="8"/>
  <c r="I2676" i="8"/>
  <c r="J2674" i="8"/>
  <c r="I2674" i="8"/>
  <c r="J2673" i="8"/>
  <c r="I2673" i="8"/>
  <c r="J2671" i="8"/>
  <c r="I2671" i="8"/>
  <c r="J2669" i="8"/>
  <c r="I2669" i="8"/>
  <c r="J2668" i="8"/>
  <c r="I2668" i="8"/>
  <c r="H2224" i="8" l="1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1980" i="8"/>
  <c r="I362" i="8" l="1"/>
  <c r="J362" i="8"/>
  <c r="I363" i="8"/>
  <c r="J363" i="8"/>
  <c r="I364" i="8"/>
  <c r="J364" i="8"/>
  <c r="I365" i="8"/>
  <c r="J365" i="8"/>
  <c r="I366" i="8"/>
  <c r="J366" i="8"/>
  <c r="I367" i="8"/>
  <c r="J367" i="8"/>
  <c r="I368" i="8"/>
  <c r="J368" i="8"/>
  <c r="I369" i="8"/>
  <c r="J369" i="8"/>
  <c r="I370" i="8"/>
  <c r="J370" i="8"/>
  <c r="I371" i="8"/>
  <c r="J371" i="8"/>
  <c r="I372" i="8"/>
  <c r="J372" i="8"/>
  <c r="I373" i="8"/>
  <c r="J373" i="8"/>
  <c r="I374" i="8"/>
  <c r="J374" i="8"/>
  <c r="I375" i="8"/>
  <c r="J375" i="8"/>
  <c r="I376" i="8"/>
  <c r="J376" i="8"/>
  <c r="I377" i="8"/>
  <c r="J377" i="8"/>
  <c r="I378" i="8"/>
  <c r="J378" i="8"/>
  <c r="I379" i="8"/>
  <c r="J379" i="8"/>
  <c r="I380" i="8"/>
  <c r="J380" i="8"/>
  <c r="I381" i="8"/>
  <c r="J381" i="8"/>
  <c r="I382" i="8"/>
  <c r="J382" i="8"/>
  <c r="I383" i="8"/>
  <c r="J383" i="8"/>
  <c r="I384" i="8"/>
  <c r="J384" i="8"/>
  <c r="I385" i="8"/>
  <c r="J385" i="8"/>
  <c r="I386" i="8"/>
  <c r="J386" i="8"/>
  <c r="I387" i="8"/>
  <c r="J387" i="8"/>
  <c r="I388" i="8"/>
  <c r="J388" i="8"/>
  <c r="I389" i="8"/>
  <c r="J389" i="8"/>
  <c r="I390" i="8"/>
  <c r="J390" i="8"/>
  <c r="I391" i="8"/>
  <c r="J391" i="8"/>
  <c r="I392" i="8"/>
  <c r="J392" i="8"/>
  <c r="I393" i="8"/>
  <c r="J393" i="8"/>
  <c r="I394" i="8"/>
  <c r="J394" i="8"/>
  <c r="I395" i="8"/>
  <c r="J395" i="8"/>
  <c r="I396" i="8"/>
  <c r="J396" i="8"/>
  <c r="I397" i="8"/>
  <c r="J397" i="8"/>
  <c r="I398" i="8"/>
  <c r="J398" i="8"/>
  <c r="I399" i="8"/>
  <c r="J399" i="8"/>
  <c r="I400" i="8"/>
  <c r="J400" i="8"/>
  <c r="I401" i="8"/>
  <c r="J401" i="8"/>
  <c r="I402" i="8"/>
  <c r="J402" i="8"/>
  <c r="I403" i="8"/>
  <c r="J403" i="8"/>
  <c r="I404" i="8"/>
  <c r="J404" i="8"/>
  <c r="I405" i="8"/>
  <c r="J405" i="8"/>
  <c r="I406" i="8"/>
  <c r="J406" i="8"/>
  <c r="I407" i="8"/>
  <c r="J407" i="8"/>
  <c r="I408" i="8"/>
  <c r="J408" i="8"/>
  <c r="I409" i="8"/>
  <c r="J409" i="8"/>
  <c r="I410" i="8"/>
  <c r="J410" i="8"/>
  <c r="I411" i="8"/>
  <c r="J411" i="8"/>
  <c r="I412" i="8"/>
  <c r="J412" i="8"/>
  <c r="I413" i="8"/>
  <c r="J413" i="8"/>
  <c r="I414" i="8"/>
  <c r="J414" i="8"/>
  <c r="I415" i="8"/>
  <c r="J415" i="8"/>
  <c r="I416" i="8"/>
  <c r="J416" i="8"/>
  <c r="I417" i="8"/>
  <c r="J417" i="8"/>
  <c r="I418" i="8"/>
  <c r="J418" i="8"/>
  <c r="I419" i="8"/>
  <c r="J419" i="8"/>
  <c r="I420" i="8"/>
  <c r="J420" i="8"/>
  <c r="I421" i="8"/>
  <c r="J421" i="8"/>
  <c r="I422" i="8"/>
  <c r="J422" i="8"/>
  <c r="I423" i="8"/>
  <c r="J423" i="8"/>
  <c r="I424" i="8"/>
  <c r="J424" i="8"/>
  <c r="I425" i="8"/>
  <c r="J425" i="8"/>
  <c r="I426" i="8"/>
  <c r="J426" i="8"/>
  <c r="I427" i="8"/>
  <c r="J427" i="8"/>
  <c r="I428" i="8"/>
  <c r="J428" i="8"/>
  <c r="I429" i="8"/>
  <c r="J429" i="8"/>
  <c r="I430" i="8"/>
  <c r="J430" i="8"/>
  <c r="I431" i="8"/>
  <c r="J431" i="8"/>
  <c r="I432" i="8"/>
  <c r="J432" i="8"/>
  <c r="I433" i="8"/>
  <c r="J433" i="8"/>
  <c r="I434" i="8"/>
  <c r="J434" i="8"/>
  <c r="I435" i="8"/>
  <c r="J435" i="8"/>
  <c r="I436" i="8"/>
  <c r="J436" i="8"/>
  <c r="I437" i="8"/>
  <c r="J437" i="8"/>
  <c r="I438" i="8"/>
  <c r="J438" i="8"/>
  <c r="I439" i="8"/>
  <c r="J439" i="8"/>
  <c r="I440" i="8"/>
  <c r="J440" i="8"/>
  <c r="I441" i="8"/>
  <c r="J441" i="8"/>
  <c r="I442" i="8"/>
  <c r="J442" i="8"/>
  <c r="I443" i="8"/>
  <c r="J443" i="8"/>
  <c r="I444" i="8"/>
  <c r="J444" i="8"/>
  <c r="I445" i="8"/>
  <c r="J445" i="8"/>
  <c r="I446" i="8"/>
  <c r="J446" i="8"/>
  <c r="I447" i="8"/>
  <c r="J447" i="8"/>
  <c r="I448" i="8"/>
  <c r="J448" i="8"/>
  <c r="I449" i="8"/>
  <c r="J449" i="8"/>
  <c r="I450" i="8"/>
  <c r="J450" i="8"/>
  <c r="I451" i="8"/>
  <c r="J451" i="8"/>
  <c r="I452" i="8"/>
  <c r="J452" i="8"/>
  <c r="I453" i="8"/>
  <c r="J453" i="8"/>
  <c r="I454" i="8"/>
  <c r="J454" i="8"/>
  <c r="I455" i="8"/>
  <c r="J455" i="8"/>
  <c r="I456" i="8"/>
  <c r="J456" i="8"/>
  <c r="I457" i="8"/>
  <c r="J457" i="8"/>
  <c r="I458" i="8"/>
  <c r="J458" i="8"/>
  <c r="I459" i="8"/>
  <c r="J459" i="8"/>
  <c r="I460" i="8"/>
  <c r="J460" i="8"/>
  <c r="I461" i="8"/>
  <c r="J461" i="8"/>
  <c r="I462" i="8"/>
  <c r="J462" i="8"/>
  <c r="I463" i="8"/>
  <c r="J463" i="8"/>
  <c r="I464" i="8"/>
  <c r="J464" i="8"/>
  <c r="I465" i="8"/>
  <c r="J465" i="8"/>
  <c r="I466" i="8"/>
  <c r="J466" i="8"/>
  <c r="I467" i="8"/>
  <c r="J467" i="8"/>
  <c r="I468" i="8"/>
  <c r="J468" i="8"/>
  <c r="I469" i="8"/>
  <c r="J469" i="8"/>
  <c r="I470" i="8"/>
  <c r="J470" i="8"/>
  <c r="I471" i="8"/>
  <c r="J471" i="8"/>
  <c r="I472" i="8"/>
  <c r="J472" i="8"/>
  <c r="I473" i="8"/>
  <c r="J473" i="8"/>
  <c r="I474" i="8"/>
  <c r="J474" i="8"/>
  <c r="I475" i="8"/>
  <c r="J475" i="8"/>
  <c r="I476" i="8"/>
  <c r="J476" i="8"/>
  <c r="I477" i="8"/>
  <c r="J477" i="8"/>
  <c r="I478" i="8"/>
  <c r="J478" i="8"/>
  <c r="I479" i="8"/>
  <c r="J479" i="8"/>
  <c r="I480" i="8"/>
  <c r="J480" i="8"/>
  <c r="I481" i="8"/>
  <c r="J481" i="8"/>
  <c r="I482" i="8"/>
  <c r="J482" i="8"/>
  <c r="I483" i="8"/>
  <c r="J483" i="8"/>
  <c r="I484" i="8"/>
  <c r="J484" i="8"/>
  <c r="I485" i="8"/>
  <c r="J485" i="8"/>
  <c r="I486" i="8"/>
  <c r="J486" i="8"/>
  <c r="I487" i="8"/>
  <c r="J487" i="8"/>
  <c r="I488" i="8"/>
  <c r="J488" i="8"/>
  <c r="I489" i="8"/>
  <c r="J489" i="8"/>
  <c r="I490" i="8"/>
  <c r="J490" i="8"/>
  <c r="I491" i="8"/>
  <c r="J491" i="8"/>
  <c r="I492" i="8"/>
  <c r="J492" i="8"/>
  <c r="I493" i="8"/>
  <c r="J493" i="8"/>
  <c r="I494" i="8"/>
  <c r="J494" i="8"/>
  <c r="I495" i="8"/>
  <c r="J495" i="8"/>
  <c r="I496" i="8"/>
  <c r="J496" i="8"/>
  <c r="I497" i="8"/>
  <c r="J497" i="8"/>
  <c r="I498" i="8"/>
  <c r="J498" i="8"/>
  <c r="I499" i="8"/>
  <c r="J499" i="8"/>
  <c r="I500" i="8"/>
  <c r="J500" i="8"/>
  <c r="I501" i="8"/>
  <c r="J501" i="8"/>
  <c r="I502" i="8"/>
  <c r="J502" i="8"/>
  <c r="I503" i="8"/>
  <c r="J503" i="8"/>
  <c r="I504" i="8"/>
  <c r="J504" i="8"/>
  <c r="I505" i="8"/>
  <c r="J505" i="8"/>
  <c r="I506" i="8"/>
  <c r="J506" i="8"/>
  <c r="I507" i="8"/>
  <c r="J507" i="8"/>
  <c r="I508" i="8"/>
  <c r="J508" i="8"/>
  <c r="I509" i="8"/>
  <c r="J509" i="8"/>
  <c r="I510" i="8"/>
  <c r="J510" i="8"/>
  <c r="I511" i="8"/>
  <c r="J511" i="8"/>
  <c r="I512" i="8"/>
  <c r="J512" i="8"/>
  <c r="I513" i="8"/>
  <c r="J513" i="8"/>
  <c r="I514" i="8"/>
  <c r="J514" i="8"/>
  <c r="I515" i="8"/>
  <c r="J515" i="8"/>
  <c r="I516" i="8"/>
  <c r="J516" i="8"/>
  <c r="I517" i="8"/>
  <c r="J517" i="8"/>
  <c r="I518" i="8"/>
  <c r="J518" i="8"/>
  <c r="I519" i="8"/>
  <c r="J519" i="8"/>
  <c r="I520" i="8"/>
  <c r="J520" i="8"/>
  <c r="I521" i="8"/>
  <c r="J521" i="8"/>
  <c r="I522" i="8"/>
  <c r="J522" i="8"/>
  <c r="I523" i="8"/>
  <c r="J523" i="8"/>
  <c r="I524" i="8"/>
  <c r="J524" i="8"/>
  <c r="I525" i="8"/>
  <c r="J525" i="8"/>
  <c r="I526" i="8"/>
  <c r="J526" i="8"/>
  <c r="I527" i="8"/>
  <c r="J527" i="8"/>
  <c r="I528" i="8"/>
  <c r="J528" i="8"/>
  <c r="I529" i="8"/>
  <c r="J529" i="8"/>
  <c r="I530" i="8"/>
  <c r="J530" i="8"/>
  <c r="I531" i="8"/>
  <c r="J531" i="8"/>
  <c r="I532" i="8"/>
  <c r="J532" i="8"/>
  <c r="I533" i="8"/>
  <c r="J533" i="8"/>
  <c r="I534" i="8"/>
  <c r="J534" i="8"/>
  <c r="I535" i="8"/>
  <c r="J535" i="8"/>
  <c r="I536" i="8"/>
  <c r="J536" i="8"/>
  <c r="I537" i="8"/>
  <c r="J537" i="8"/>
  <c r="I538" i="8"/>
  <c r="J538" i="8"/>
  <c r="I539" i="8"/>
  <c r="J539" i="8"/>
  <c r="I540" i="8"/>
  <c r="J540" i="8"/>
  <c r="I541" i="8"/>
  <c r="J541" i="8"/>
  <c r="I542" i="8"/>
  <c r="J542" i="8"/>
  <c r="I543" i="8"/>
  <c r="J543" i="8"/>
  <c r="I544" i="8"/>
  <c r="J544" i="8"/>
  <c r="I545" i="8"/>
  <c r="J545" i="8"/>
  <c r="I546" i="8"/>
  <c r="J546" i="8"/>
  <c r="I547" i="8"/>
  <c r="J547" i="8"/>
  <c r="I548" i="8"/>
  <c r="J548" i="8"/>
  <c r="I549" i="8"/>
  <c r="J549" i="8"/>
  <c r="I550" i="8"/>
  <c r="J550" i="8"/>
  <c r="I551" i="8"/>
  <c r="J551" i="8"/>
  <c r="I552" i="8"/>
  <c r="J552" i="8"/>
  <c r="I553" i="8"/>
  <c r="J553" i="8"/>
  <c r="I554" i="8"/>
  <c r="J554" i="8"/>
  <c r="I555" i="8"/>
  <c r="J555" i="8"/>
  <c r="I556" i="8"/>
  <c r="J556" i="8"/>
  <c r="I557" i="8"/>
  <c r="J557" i="8"/>
  <c r="I558" i="8"/>
  <c r="J558" i="8"/>
  <c r="I559" i="8"/>
  <c r="J559" i="8"/>
  <c r="I560" i="8"/>
  <c r="J560" i="8"/>
  <c r="I561" i="8"/>
  <c r="J561" i="8"/>
  <c r="I562" i="8"/>
  <c r="J562" i="8"/>
  <c r="I563" i="8"/>
  <c r="J563" i="8"/>
  <c r="I564" i="8"/>
  <c r="J564" i="8"/>
  <c r="I565" i="8"/>
  <c r="J565" i="8"/>
  <c r="I566" i="8"/>
  <c r="J566" i="8"/>
  <c r="I567" i="8"/>
  <c r="J567" i="8"/>
  <c r="I568" i="8"/>
  <c r="J568" i="8"/>
  <c r="I569" i="8"/>
  <c r="J569" i="8"/>
  <c r="I570" i="8"/>
  <c r="J570" i="8"/>
  <c r="I571" i="8"/>
  <c r="J571" i="8"/>
  <c r="I572" i="8"/>
  <c r="J572" i="8"/>
  <c r="I573" i="8"/>
  <c r="J573" i="8"/>
  <c r="I574" i="8"/>
  <c r="J574" i="8"/>
  <c r="I575" i="8"/>
  <c r="J575" i="8"/>
  <c r="I576" i="8"/>
  <c r="J576" i="8"/>
  <c r="I577" i="8"/>
  <c r="J577" i="8"/>
  <c r="I578" i="8"/>
  <c r="J578" i="8"/>
  <c r="I579" i="8"/>
  <c r="J579" i="8"/>
  <c r="I580" i="8"/>
  <c r="J580" i="8"/>
  <c r="I581" i="8"/>
  <c r="J581" i="8"/>
  <c r="I582" i="8"/>
  <c r="J582" i="8"/>
  <c r="I583" i="8"/>
  <c r="J583" i="8"/>
  <c r="I584" i="8"/>
  <c r="J584" i="8"/>
  <c r="I585" i="8"/>
  <c r="J585" i="8"/>
  <c r="I586" i="8"/>
  <c r="J586" i="8"/>
  <c r="I587" i="8"/>
  <c r="J587" i="8"/>
  <c r="I588" i="8"/>
  <c r="J588" i="8"/>
  <c r="I589" i="8"/>
  <c r="J589" i="8"/>
  <c r="I590" i="8"/>
  <c r="J590" i="8"/>
  <c r="I591" i="8"/>
  <c r="J591" i="8"/>
  <c r="I592" i="8"/>
  <c r="J592" i="8"/>
  <c r="I593" i="8"/>
  <c r="J593" i="8"/>
  <c r="I594" i="8"/>
  <c r="J594" i="8"/>
  <c r="I595" i="8"/>
  <c r="J595" i="8"/>
  <c r="I596" i="8"/>
  <c r="J596" i="8"/>
  <c r="I597" i="8"/>
  <c r="J597" i="8"/>
  <c r="I598" i="8"/>
  <c r="J598" i="8"/>
  <c r="I599" i="8"/>
  <c r="J599" i="8"/>
  <c r="I600" i="8"/>
  <c r="J600" i="8"/>
  <c r="I601" i="8"/>
  <c r="J601" i="8"/>
  <c r="I602" i="8"/>
  <c r="J602" i="8"/>
  <c r="I603" i="8"/>
  <c r="J603" i="8"/>
  <c r="I604" i="8"/>
  <c r="J604" i="8"/>
  <c r="I605" i="8"/>
  <c r="J605" i="8"/>
  <c r="I606" i="8"/>
  <c r="J606" i="8"/>
  <c r="I607" i="8"/>
  <c r="J607" i="8"/>
  <c r="I608" i="8"/>
  <c r="J608" i="8"/>
  <c r="I609" i="8"/>
  <c r="J609" i="8"/>
  <c r="I610" i="8"/>
  <c r="J610" i="8"/>
  <c r="I611" i="8"/>
  <c r="J611" i="8"/>
  <c r="I612" i="8"/>
  <c r="J612" i="8"/>
  <c r="I613" i="8"/>
  <c r="J613" i="8"/>
  <c r="I614" i="8"/>
  <c r="J614" i="8"/>
  <c r="I615" i="8"/>
  <c r="J615" i="8"/>
  <c r="I616" i="8"/>
  <c r="J616" i="8"/>
  <c r="I617" i="8"/>
  <c r="J617" i="8"/>
  <c r="I618" i="8"/>
  <c r="J618" i="8"/>
  <c r="I619" i="8"/>
  <c r="J619" i="8"/>
  <c r="I620" i="8"/>
  <c r="J620" i="8"/>
  <c r="I621" i="8"/>
  <c r="J621" i="8"/>
  <c r="I622" i="8"/>
  <c r="J622" i="8"/>
  <c r="I623" i="8"/>
  <c r="J623" i="8"/>
  <c r="I624" i="8"/>
  <c r="J624" i="8"/>
  <c r="I625" i="8"/>
  <c r="J625" i="8"/>
  <c r="I626" i="8"/>
  <c r="J626" i="8"/>
  <c r="I627" i="8"/>
  <c r="J627" i="8"/>
  <c r="I628" i="8"/>
  <c r="J628" i="8"/>
  <c r="I629" i="8"/>
  <c r="J629" i="8"/>
  <c r="I630" i="8"/>
  <c r="J630" i="8"/>
  <c r="I631" i="8"/>
  <c r="J631" i="8"/>
  <c r="I632" i="8"/>
  <c r="J632" i="8"/>
  <c r="I633" i="8"/>
  <c r="J633" i="8"/>
  <c r="I634" i="8"/>
  <c r="J634" i="8"/>
  <c r="I635" i="8"/>
  <c r="J635" i="8"/>
  <c r="I636" i="8"/>
  <c r="J636" i="8"/>
  <c r="I637" i="8"/>
  <c r="J637" i="8"/>
  <c r="I638" i="8"/>
  <c r="J638" i="8"/>
  <c r="I639" i="8"/>
  <c r="J639" i="8"/>
  <c r="I640" i="8"/>
  <c r="J640" i="8"/>
  <c r="I641" i="8"/>
  <c r="J641" i="8"/>
  <c r="I642" i="8"/>
  <c r="J642" i="8"/>
  <c r="I643" i="8"/>
  <c r="J643" i="8"/>
  <c r="I644" i="8"/>
  <c r="J644" i="8"/>
  <c r="I645" i="8"/>
  <c r="J645" i="8"/>
  <c r="I646" i="8"/>
  <c r="J646" i="8"/>
  <c r="I647" i="8"/>
  <c r="J647" i="8"/>
  <c r="I648" i="8"/>
  <c r="J648" i="8"/>
  <c r="I649" i="8"/>
  <c r="J649" i="8"/>
  <c r="I650" i="8"/>
  <c r="J650" i="8"/>
  <c r="I651" i="8"/>
  <c r="J651" i="8"/>
  <c r="I652" i="8"/>
  <c r="J652" i="8"/>
  <c r="I653" i="8"/>
  <c r="J653" i="8"/>
  <c r="I654" i="8"/>
  <c r="J654" i="8"/>
  <c r="I655" i="8"/>
  <c r="J655" i="8"/>
  <c r="I656" i="8"/>
  <c r="J656" i="8"/>
  <c r="I657" i="8"/>
  <c r="J657" i="8"/>
  <c r="I658" i="8"/>
  <c r="J658" i="8"/>
  <c r="I659" i="8"/>
  <c r="J659" i="8"/>
  <c r="I660" i="8"/>
  <c r="J660" i="8"/>
  <c r="I661" i="8"/>
  <c r="J661" i="8"/>
  <c r="I662" i="8"/>
  <c r="J662" i="8"/>
  <c r="I663" i="8"/>
  <c r="J663" i="8"/>
  <c r="I664" i="8"/>
  <c r="J664" i="8"/>
  <c r="I665" i="8"/>
  <c r="J665" i="8"/>
  <c r="I666" i="8"/>
  <c r="J666" i="8"/>
  <c r="I667" i="8"/>
  <c r="J667" i="8"/>
  <c r="I668" i="8"/>
  <c r="J668" i="8"/>
  <c r="I669" i="8"/>
  <c r="J669" i="8"/>
  <c r="I670" i="8"/>
  <c r="J670" i="8"/>
  <c r="I671" i="8"/>
  <c r="J671" i="8"/>
  <c r="I672" i="8"/>
  <c r="J672" i="8"/>
  <c r="I673" i="8"/>
  <c r="J673" i="8"/>
  <c r="I674" i="8"/>
  <c r="J674" i="8"/>
  <c r="I675" i="8"/>
  <c r="J675" i="8"/>
  <c r="I676" i="8"/>
  <c r="J676" i="8"/>
  <c r="I677" i="8"/>
  <c r="J677" i="8"/>
  <c r="I678" i="8"/>
  <c r="J678" i="8"/>
  <c r="I679" i="8"/>
  <c r="J679" i="8"/>
  <c r="I680" i="8"/>
  <c r="J680" i="8"/>
  <c r="I681" i="8"/>
  <c r="J681" i="8"/>
  <c r="I682" i="8"/>
  <c r="J682" i="8"/>
  <c r="I683" i="8"/>
  <c r="J683" i="8"/>
  <c r="I684" i="8"/>
  <c r="J684" i="8"/>
  <c r="I685" i="8"/>
  <c r="J685" i="8"/>
  <c r="I686" i="8"/>
  <c r="J686" i="8"/>
  <c r="I687" i="8"/>
  <c r="J687" i="8"/>
  <c r="I688" i="8"/>
  <c r="J688" i="8"/>
  <c r="I689" i="8"/>
  <c r="J689" i="8"/>
  <c r="I690" i="8"/>
  <c r="J690" i="8"/>
  <c r="I691" i="8"/>
  <c r="J691" i="8"/>
  <c r="I692" i="8"/>
  <c r="J692" i="8"/>
  <c r="I693" i="8"/>
  <c r="J693" i="8"/>
  <c r="I694" i="8"/>
  <c r="J694" i="8"/>
  <c r="I695" i="8"/>
  <c r="J695" i="8"/>
  <c r="I696" i="8"/>
  <c r="J696" i="8"/>
  <c r="I697" i="8"/>
  <c r="J697" i="8"/>
  <c r="I698" i="8"/>
  <c r="J698" i="8"/>
  <c r="I699" i="8"/>
  <c r="J699" i="8"/>
  <c r="I700" i="8"/>
  <c r="J700" i="8"/>
  <c r="I701" i="8"/>
  <c r="J701" i="8"/>
  <c r="I702" i="8"/>
  <c r="J702" i="8"/>
  <c r="I703" i="8"/>
  <c r="J703" i="8"/>
  <c r="I704" i="8"/>
  <c r="J704" i="8"/>
  <c r="I705" i="8"/>
  <c r="J705" i="8"/>
  <c r="I706" i="8"/>
  <c r="J706" i="8"/>
  <c r="I707" i="8"/>
  <c r="J707" i="8"/>
  <c r="I708" i="8"/>
  <c r="J708" i="8"/>
  <c r="I709" i="8"/>
  <c r="J709" i="8"/>
  <c r="I710" i="8"/>
  <c r="J710" i="8"/>
  <c r="I711" i="8"/>
  <c r="J711" i="8"/>
  <c r="I712" i="8"/>
  <c r="J712" i="8"/>
  <c r="I713" i="8"/>
  <c r="J713" i="8"/>
  <c r="I714" i="8"/>
  <c r="J714" i="8"/>
  <c r="I715" i="8"/>
  <c r="J715" i="8"/>
  <c r="I716" i="8"/>
  <c r="J716" i="8"/>
  <c r="I717" i="8"/>
  <c r="J717" i="8"/>
  <c r="I718" i="8"/>
  <c r="J718" i="8"/>
  <c r="I719" i="8"/>
  <c r="J719" i="8"/>
  <c r="I720" i="8"/>
  <c r="J720" i="8"/>
  <c r="I721" i="8"/>
  <c r="J721" i="8"/>
  <c r="I722" i="8"/>
  <c r="J722" i="8"/>
  <c r="I723" i="8"/>
  <c r="J723" i="8"/>
  <c r="I724" i="8"/>
  <c r="J724" i="8"/>
  <c r="I725" i="8"/>
  <c r="J725" i="8"/>
  <c r="I726" i="8"/>
  <c r="J726" i="8"/>
  <c r="I727" i="8"/>
  <c r="J727" i="8"/>
  <c r="I728" i="8"/>
  <c r="J728" i="8"/>
  <c r="I729" i="8"/>
  <c r="J729" i="8"/>
  <c r="I730" i="8"/>
  <c r="J730" i="8"/>
  <c r="I731" i="8"/>
  <c r="J731" i="8"/>
  <c r="I732" i="8"/>
  <c r="J732" i="8"/>
  <c r="I733" i="8"/>
  <c r="J733" i="8"/>
  <c r="I734" i="8"/>
  <c r="J734" i="8"/>
  <c r="I735" i="8"/>
  <c r="J735" i="8"/>
  <c r="I736" i="8"/>
  <c r="J736" i="8"/>
  <c r="I737" i="8"/>
  <c r="J737" i="8"/>
  <c r="I738" i="8"/>
  <c r="J738" i="8"/>
  <c r="I739" i="8"/>
  <c r="J739" i="8"/>
  <c r="I740" i="8"/>
  <c r="J740" i="8"/>
  <c r="I741" i="8"/>
  <c r="J741" i="8"/>
  <c r="I742" i="8"/>
  <c r="J742" i="8"/>
  <c r="I743" i="8"/>
  <c r="J743" i="8"/>
  <c r="I744" i="8"/>
  <c r="J744" i="8"/>
  <c r="I745" i="8"/>
  <c r="J745" i="8"/>
  <c r="I746" i="8"/>
  <c r="J746" i="8"/>
  <c r="I747" i="8"/>
  <c r="J747" i="8"/>
  <c r="I748" i="8"/>
  <c r="J748" i="8"/>
  <c r="I749" i="8"/>
  <c r="J749" i="8"/>
  <c r="I750" i="8"/>
  <c r="J750" i="8"/>
  <c r="I751" i="8"/>
  <c r="J751" i="8"/>
  <c r="I752" i="8"/>
  <c r="J752" i="8"/>
  <c r="I753" i="8"/>
  <c r="J753" i="8"/>
  <c r="I754" i="8"/>
  <c r="J754" i="8"/>
  <c r="I755" i="8"/>
  <c r="J755" i="8"/>
  <c r="I756" i="8"/>
  <c r="J756" i="8"/>
  <c r="I757" i="8"/>
  <c r="J757" i="8"/>
  <c r="I758" i="8"/>
  <c r="J758" i="8"/>
  <c r="I759" i="8"/>
  <c r="J759" i="8"/>
  <c r="I760" i="8"/>
  <c r="J760" i="8"/>
  <c r="I761" i="8"/>
  <c r="J761" i="8"/>
  <c r="I762" i="8"/>
  <c r="J762" i="8"/>
  <c r="I763" i="8"/>
  <c r="J763" i="8"/>
  <c r="I764" i="8"/>
  <c r="J764" i="8"/>
  <c r="I765" i="8"/>
  <c r="J765" i="8"/>
  <c r="I766" i="8"/>
  <c r="J766" i="8"/>
  <c r="I767" i="8"/>
  <c r="J767" i="8"/>
  <c r="I768" i="8"/>
  <c r="J768" i="8"/>
  <c r="I769" i="8"/>
  <c r="J769" i="8"/>
  <c r="I770" i="8"/>
  <c r="J770" i="8"/>
  <c r="I771" i="8"/>
  <c r="J771" i="8"/>
  <c r="I772" i="8"/>
  <c r="J772" i="8"/>
  <c r="I773" i="8"/>
  <c r="J773" i="8"/>
  <c r="I774" i="8"/>
  <c r="J774" i="8"/>
  <c r="I775" i="8"/>
  <c r="J775" i="8"/>
  <c r="I776" i="8"/>
  <c r="J776" i="8"/>
  <c r="I777" i="8"/>
  <c r="J777" i="8"/>
  <c r="I778" i="8"/>
  <c r="J778" i="8"/>
  <c r="I779" i="8"/>
  <c r="J779" i="8"/>
  <c r="I780" i="8"/>
  <c r="J780" i="8"/>
  <c r="I781" i="8"/>
  <c r="J781" i="8"/>
  <c r="I782" i="8"/>
  <c r="J782" i="8"/>
  <c r="I783" i="8"/>
  <c r="J783" i="8"/>
  <c r="I784" i="8"/>
  <c r="J784" i="8"/>
  <c r="I785" i="8"/>
  <c r="J785" i="8"/>
  <c r="I786" i="8"/>
  <c r="J786" i="8"/>
  <c r="I787" i="8"/>
  <c r="J787" i="8"/>
  <c r="I788" i="8"/>
  <c r="J788" i="8"/>
  <c r="I789" i="8"/>
  <c r="J789" i="8"/>
  <c r="I790" i="8"/>
  <c r="J790" i="8"/>
  <c r="I791" i="8"/>
  <c r="J791" i="8"/>
  <c r="I792" i="8"/>
  <c r="J792" i="8"/>
  <c r="I793" i="8"/>
  <c r="J793" i="8"/>
  <c r="I794" i="8"/>
  <c r="J794" i="8"/>
  <c r="I795" i="8"/>
  <c r="J795" i="8"/>
  <c r="I796" i="8"/>
  <c r="J796" i="8"/>
  <c r="I797" i="8"/>
  <c r="J797" i="8"/>
  <c r="I798" i="8"/>
  <c r="J798" i="8"/>
  <c r="I799" i="8"/>
  <c r="J799" i="8"/>
  <c r="I800" i="8"/>
  <c r="J800" i="8"/>
  <c r="I801" i="8"/>
  <c r="J801" i="8"/>
  <c r="I802" i="8"/>
  <c r="J802" i="8"/>
  <c r="I803" i="8"/>
  <c r="J803" i="8"/>
  <c r="I804" i="8"/>
  <c r="J804" i="8"/>
  <c r="I805" i="8"/>
  <c r="J805" i="8"/>
  <c r="I806" i="8"/>
  <c r="J806" i="8"/>
  <c r="I807" i="8"/>
  <c r="J807" i="8"/>
  <c r="I808" i="8"/>
  <c r="J808" i="8"/>
  <c r="I809" i="8"/>
  <c r="J809" i="8"/>
  <c r="I810" i="8"/>
  <c r="J810" i="8"/>
  <c r="I811" i="8"/>
  <c r="J811" i="8"/>
  <c r="I812" i="8"/>
  <c r="J812" i="8"/>
  <c r="I813" i="8"/>
  <c r="J813" i="8"/>
  <c r="I814" i="8"/>
  <c r="J814" i="8"/>
  <c r="I815" i="8"/>
  <c r="J815" i="8"/>
  <c r="I816" i="8"/>
  <c r="J816" i="8"/>
  <c r="I817" i="8"/>
  <c r="J817" i="8"/>
  <c r="I818" i="8"/>
  <c r="J818" i="8"/>
  <c r="I819" i="8"/>
  <c r="J819" i="8"/>
  <c r="I820" i="8"/>
  <c r="J820" i="8"/>
  <c r="I821" i="8"/>
  <c r="J821" i="8"/>
  <c r="I822" i="8"/>
  <c r="J822" i="8"/>
  <c r="I823" i="8"/>
  <c r="J823" i="8"/>
  <c r="I824" i="8"/>
  <c r="J824" i="8"/>
  <c r="I825" i="8"/>
  <c r="J825" i="8"/>
  <c r="I826" i="8"/>
  <c r="J826" i="8"/>
  <c r="I827" i="8"/>
  <c r="J827" i="8"/>
  <c r="I828" i="8"/>
  <c r="J828" i="8"/>
  <c r="I829" i="8"/>
  <c r="J829" i="8"/>
  <c r="I830" i="8"/>
  <c r="J830" i="8"/>
  <c r="I831" i="8"/>
  <c r="J831" i="8"/>
  <c r="I832" i="8"/>
  <c r="J832" i="8"/>
  <c r="I833" i="8"/>
  <c r="J833" i="8"/>
  <c r="I834" i="8"/>
  <c r="J834" i="8"/>
  <c r="I835" i="8"/>
  <c r="J835" i="8"/>
  <c r="I836" i="8"/>
  <c r="J836" i="8"/>
  <c r="I837" i="8"/>
  <c r="J837" i="8"/>
  <c r="I838" i="8"/>
  <c r="J838" i="8"/>
  <c r="I839" i="8"/>
  <c r="J839" i="8"/>
  <c r="I840" i="8"/>
  <c r="J840" i="8"/>
  <c r="I841" i="8"/>
  <c r="J841" i="8"/>
  <c r="I842" i="8"/>
  <c r="J842" i="8"/>
  <c r="I843" i="8"/>
  <c r="J843" i="8"/>
  <c r="I844" i="8"/>
  <c r="J844" i="8"/>
  <c r="I845" i="8"/>
  <c r="J845" i="8"/>
  <c r="I846" i="8"/>
  <c r="J846" i="8"/>
  <c r="I847" i="8"/>
  <c r="J847" i="8"/>
  <c r="I848" i="8"/>
  <c r="J848" i="8"/>
  <c r="I849" i="8"/>
  <c r="J849" i="8"/>
  <c r="I850" i="8"/>
  <c r="J850" i="8"/>
  <c r="I851" i="8"/>
  <c r="J851" i="8"/>
  <c r="I852" i="8"/>
  <c r="J852" i="8"/>
  <c r="I853" i="8"/>
  <c r="J853" i="8"/>
  <c r="I854" i="8"/>
  <c r="J854" i="8"/>
  <c r="I855" i="8"/>
  <c r="J855" i="8"/>
  <c r="I856" i="8"/>
  <c r="J856" i="8"/>
  <c r="I857" i="8"/>
  <c r="J857" i="8"/>
  <c r="I858" i="8"/>
  <c r="J858" i="8"/>
  <c r="I859" i="8"/>
  <c r="J859" i="8"/>
  <c r="I860" i="8"/>
  <c r="J860" i="8"/>
  <c r="I861" i="8"/>
  <c r="J861" i="8"/>
  <c r="I862" i="8"/>
  <c r="J862" i="8"/>
  <c r="I863" i="8"/>
  <c r="J863" i="8"/>
  <c r="I864" i="8"/>
  <c r="J864" i="8"/>
  <c r="I865" i="8"/>
  <c r="J865" i="8"/>
  <c r="I866" i="8"/>
  <c r="J866" i="8"/>
  <c r="I867" i="8"/>
  <c r="J867" i="8"/>
  <c r="I868" i="8"/>
  <c r="J868" i="8"/>
  <c r="I869" i="8"/>
  <c r="J869" i="8"/>
  <c r="I870" i="8"/>
  <c r="J870" i="8"/>
  <c r="I871" i="8"/>
  <c r="J871" i="8"/>
  <c r="I872" i="8"/>
  <c r="J872" i="8"/>
  <c r="I873" i="8"/>
  <c r="J873" i="8"/>
  <c r="I874" i="8"/>
  <c r="J874" i="8"/>
  <c r="I875" i="8"/>
  <c r="J875" i="8"/>
  <c r="I876" i="8"/>
  <c r="J876" i="8"/>
  <c r="I877" i="8"/>
  <c r="J877" i="8"/>
  <c r="I878" i="8"/>
  <c r="J878" i="8"/>
  <c r="I879" i="8"/>
  <c r="J879" i="8"/>
  <c r="I880" i="8"/>
  <c r="J880" i="8"/>
  <c r="I881" i="8"/>
  <c r="J881" i="8"/>
  <c r="I882" i="8"/>
  <c r="J882" i="8"/>
  <c r="I883" i="8"/>
  <c r="J883" i="8"/>
  <c r="I884" i="8"/>
  <c r="J884" i="8"/>
  <c r="I885" i="8"/>
  <c r="J885" i="8"/>
  <c r="I886" i="8"/>
  <c r="J886" i="8"/>
  <c r="I887" i="8"/>
  <c r="J887" i="8"/>
  <c r="I888" i="8"/>
  <c r="J888" i="8"/>
  <c r="I889" i="8"/>
  <c r="J889" i="8"/>
  <c r="I890" i="8"/>
  <c r="J890" i="8"/>
  <c r="I891" i="8"/>
  <c r="J891" i="8"/>
  <c r="I892" i="8"/>
  <c r="J892" i="8"/>
  <c r="I893" i="8"/>
  <c r="J893" i="8"/>
  <c r="I894" i="8"/>
  <c r="J894" i="8"/>
  <c r="I895" i="8"/>
  <c r="J895" i="8"/>
  <c r="I896" i="8"/>
  <c r="J896" i="8"/>
  <c r="I897" i="8"/>
  <c r="J897" i="8"/>
  <c r="I898" i="8"/>
  <c r="J898" i="8"/>
  <c r="I899" i="8"/>
  <c r="J899" i="8"/>
  <c r="I900" i="8"/>
  <c r="J900" i="8"/>
  <c r="I901" i="8"/>
  <c r="J901" i="8"/>
  <c r="I902" i="8"/>
  <c r="J902" i="8"/>
  <c r="I903" i="8"/>
  <c r="J903" i="8"/>
  <c r="I904" i="8"/>
  <c r="J904" i="8"/>
  <c r="I905" i="8"/>
  <c r="J905" i="8"/>
  <c r="I906" i="8"/>
  <c r="J906" i="8"/>
  <c r="I907" i="8"/>
  <c r="J907" i="8"/>
  <c r="I908" i="8"/>
  <c r="J908" i="8"/>
  <c r="I909" i="8"/>
  <c r="J909" i="8"/>
  <c r="I910" i="8"/>
  <c r="J910" i="8"/>
  <c r="I911" i="8"/>
  <c r="J911" i="8"/>
  <c r="I912" i="8"/>
  <c r="J912" i="8"/>
  <c r="I913" i="8"/>
  <c r="J913" i="8"/>
  <c r="I914" i="8"/>
  <c r="J914" i="8"/>
  <c r="I915" i="8"/>
  <c r="J915" i="8"/>
  <c r="I916" i="8"/>
  <c r="J916" i="8"/>
  <c r="I917" i="8"/>
  <c r="J917" i="8"/>
  <c r="I918" i="8"/>
  <c r="J918" i="8"/>
  <c r="I919" i="8"/>
  <c r="J919" i="8"/>
  <c r="I920" i="8"/>
  <c r="J920" i="8"/>
  <c r="I921" i="8"/>
  <c r="J921" i="8"/>
  <c r="I922" i="8"/>
  <c r="J922" i="8"/>
  <c r="I923" i="8"/>
  <c r="J923" i="8"/>
  <c r="I924" i="8"/>
  <c r="J924" i="8"/>
  <c r="I925" i="8"/>
  <c r="J925" i="8"/>
  <c r="I926" i="8"/>
  <c r="J926" i="8"/>
  <c r="I927" i="8"/>
  <c r="J927" i="8"/>
  <c r="I928" i="8"/>
  <c r="J928" i="8"/>
  <c r="I929" i="8"/>
  <c r="J929" i="8"/>
  <c r="I930" i="8"/>
  <c r="J930" i="8"/>
  <c r="I931" i="8"/>
  <c r="J931" i="8"/>
  <c r="I932" i="8"/>
  <c r="J932" i="8"/>
  <c r="I933" i="8"/>
  <c r="J933" i="8"/>
  <c r="I934" i="8"/>
  <c r="J934" i="8"/>
  <c r="I935" i="8"/>
  <c r="J935" i="8"/>
  <c r="I936" i="8"/>
  <c r="J936" i="8"/>
  <c r="I937" i="8"/>
  <c r="J937" i="8"/>
  <c r="I938" i="8"/>
  <c r="J938" i="8"/>
  <c r="I939" i="8"/>
  <c r="J939" i="8"/>
  <c r="I940" i="8"/>
  <c r="J940" i="8"/>
  <c r="I941" i="8"/>
  <c r="J941" i="8"/>
  <c r="I942" i="8"/>
  <c r="J942" i="8"/>
  <c r="I943" i="8"/>
  <c r="J943" i="8"/>
  <c r="I944" i="8"/>
  <c r="J944" i="8"/>
  <c r="I945" i="8"/>
  <c r="J945" i="8"/>
  <c r="I946" i="8"/>
  <c r="J946" i="8"/>
  <c r="I947" i="8"/>
  <c r="J947" i="8"/>
  <c r="I948" i="8"/>
  <c r="J948" i="8"/>
  <c r="I949" i="8"/>
  <c r="J949" i="8"/>
  <c r="I950" i="8"/>
  <c r="J950" i="8"/>
  <c r="I951" i="8"/>
  <c r="J951" i="8"/>
  <c r="I952" i="8"/>
  <c r="J952" i="8"/>
  <c r="I953" i="8"/>
  <c r="J953" i="8"/>
  <c r="I954" i="8"/>
  <c r="J954" i="8"/>
  <c r="I955" i="8"/>
  <c r="J955" i="8"/>
  <c r="I956" i="8"/>
  <c r="J956" i="8"/>
  <c r="I957" i="8"/>
  <c r="J957" i="8"/>
  <c r="I958" i="8"/>
  <c r="J958" i="8"/>
  <c r="I959" i="8"/>
  <c r="J959" i="8"/>
  <c r="I960" i="8"/>
  <c r="J960" i="8"/>
  <c r="I961" i="8"/>
  <c r="J961" i="8"/>
  <c r="I962" i="8"/>
  <c r="J962" i="8"/>
  <c r="I963" i="8"/>
  <c r="J963" i="8"/>
  <c r="I964" i="8"/>
  <c r="J964" i="8"/>
  <c r="I965" i="8"/>
  <c r="J965" i="8"/>
  <c r="I966" i="8"/>
  <c r="J966" i="8"/>
  <c r="I967" i="8"/>
  <c r="J967" i="8"/>
  <c r="I968" i="8"/>
  <c r="J968" i="8"/>
  <c r="I969" i="8"/>
  <c r="J969" i="8"/>
  <c r="I970" i="8"/>
  <c r="J970" i="8"/>
  <c r="I971" i="8"/>
  <c r="J971" i="8"/>
  <c r="I972" i="8"/>
  <c r="J972" i="8"/>
  <c r="I973" i="8"/>
  <c r="J973" i="8"/>
  <c r="I974" i="8"/>
  <c r="J974" i="8"/>
  <c r="I975" i="8"/>
  <c r="J975" i="8"/>
  <c r="I976" i="8"/>
  <c r="J976" i="8"/>
  <c r="I977" i="8"/>
  <c r="J977" i="8"/>
  <c r="I978" i="8"/>
  <c r="J978" i="8"/>
  <c r="I979" i="8"/>
  <c r="J979" i="8"/>
  <c r="I980" i="8"/>
  <c r="J980" i="8"/>
  <c r="I981" i="8"/>
  <c r="J981" i="8"/>
  <c r="I982" i="8"/>
  <c r="J982" i="8"/>
  <c r="I983" i="8"/>
  <c r="J983" i="8"/>
  <c r="I984" i="8"/>
  <c r="J984" i="8"/>
  <c r="I985" i="8"/>
  <c r="J985" i="8"/>
  <c r="I986" i="8"/>
  <c r="J986" i="8"/>
  <c r="I987" i="8"/>
  <c r="J987" i="8"/>
  <c r="I988" i="8"/>
  <c r="J988" i="8"/>
  <c r="I989" i="8"/>
  <c r="J989" i="8"/>
  <c r="I990" i="8"/>
  <c r="J990" i="8"/>
  <c r="I991" i="8"/>
  <c r="J991" i="8"/>
  <c r="I992" i="8"/>
  <c r="J992" i="8"/>
  <c r="I993" i="8"/>
  <c r="J993" i="8"/>
  <c r="I994" i="8"/>
  <c r="J994" i="8"/>
  <c r="I995" i="8"/>
  <c r="J995" i="8"/>
  <c r="I996" i="8"/>
  <c r="J996" i="8"/>
  <c r="I997" i="8"/>
  <c r="J997" i="8"/>
  <c r="I998" i="8"/>
  <c r="J998" i="8"/>
  <c r="I999" i="8"/>
  <c r="J999" i="8"/>
  <c r="I1000" i="8"/>
  <c r="J1000" i="8"/>
  <c r="I1001" i="8"/>
  <c r="J1001" i="8"/>
  <c r="I1002" i="8"/>
  <c r="J1002" i="8"/>
  <c r="I1003" i="8"/>
  <c r="J1003" i="8"/>
  <c r="I1004" i="8"/>
  <c r="J1004" i="8"/>
  <c r="I1005" i="8"/>
  <c r="J1005" i="8"/>
  <c r="I1006" i="8"/>
  <c r="J1006" i="8"/>
  <c r="I1007" i="8"/>
  <c r="J1007" i="8"/>
  <c r="I1008" i="8"/>
  <c r="J1008" i="8"/>
  <c r="I1009" i="8"/>
  <c r="J1009" i="8"/>
  <c r="I1010" i="8"/>
  <c r="J1010" i="8"/>
  <c r="I1011" i="8"/>
  <c r="J1011" i="8"/>
  <c r="I1012" i="8"/>
  <c r="J1012" i="8"/>
  <c r="I1013" i="8"/>
  <c r="J1013" i="8"/>
  <c r="I1014" i="8"/>
  <c r="J1014" i="8"/>
  <c r="I1015" i="8"/>
  <c r="J1015" i="8"/>
  <c r="I1016" i="8"/>
  <c r="J1016" i="8"/>
  <c r="I1017" i="8"/>
  <c r="J1017" i="8"/>
  <c r="I1018" i="8"/>
  <c r="J1018" i="8"/>
  <c r="I1019" i="8"/>
  <c r="J1019" i="8"/>
  <c r="I1020" i="8"/>
  <c r="J1020" i="8"/>
  <c r="I1021" i="8"/>
  <c r="J1021" i="8"/>
  <c r="I1022" i="8"/>
  <c r="J1022" i="8"/>
  <c r="I1023" i="8"/>
  <c r="J1023" i="8"/>
  <c r="I1024" i="8"/>
  <c r="J1024" i="8"/>
  <c r="I1025" i="8"/>
  <c r="J1025" i="8"/>
  <c r="I1026" i="8"/>
  <c r="J1026" i="8"/>
  <c r="I1027" i="8"/>
  <c r="J1027" i="8"/>
  <c r="I1028" i="8"/>
  <c r="J1028" i="8"/>
  <c r="I1029" i="8"/>
  <c r="J1029" i="8"/>
  <c r="I1030" i="8"/>
  <c r="J1030" i="8"/>
  <c r="I1031" i="8"/>
  <c r="J1031" i="8"/>
  <c r="I1032" i="8"/>
  <c r="J1032" i="8"/>
  <c r="I1033" i="8"/>
  <c r="J1033" i="8"/>
  <c r="I1034" i="8"/>
  <c r="J1034" i="8"/>
  <c r="I1035" i="8"/>
  <c r="J1035" i="8"/>
  <c r="I1036" i="8"/>
  <c r="J1036" i="8"/>
  <c r="I1037" i="8"/>
  <c r="J1037" i="8"/>
  <c r="I1038" i="8"/>
  <c r="J1038" i="8"/>
  <c r="I1039" i="8"/>
  <c r="J1039" i="8"/>
  <c r="I1040" i="8"/>
  <c r="J1040" i="8"/>
  <c r="I1041" i="8"/>
  <c r="J1041" i="8"/>
  <c r="I1042" i="8"/>
  <c r="J1042" i="8"/>
  <c r="I1043" i="8"/>
  <c r="J1043" i="8"/>
  <c r="I1044" i="8"/>
  <c r="J1044" i="8"/>
  <c r="I1045" i="8"/>
  <c r="J1045" i="8"/>
  <c r="I1046" i="8"/>
  <c r="J1046" i="8"/>
  <c r="I1047" i="8"/>
  <c r="J1047" i="8"/>
  <c r="I1048" i="8"/>
  <c r="J1048" i="8"/>
  <c r="I1049" i="8"/>
  <c r="J1049" i="8"/>
  <c r="I1050" i="8"/>
  <c r="J1050" i="8"/>
  <c r="I1051" i="8"/>
  <c r="J1051" i="8"/>
  <c r="I1052" i="8"/>
  <c r="J1052" i="8"/>
  <c r="I1053" i="8"/>
  <c r="J1053" i="8"/>
  <c r="I1054" i="8"/>
  <c r="J1054" i="8"/>
  <c r="I1055" i="8"/>
  <c r="J1055" i="8"/>
  <c r="I1056" i="8"/>
  <c r="J1056" i="8"/>
  <c r="I1057" i="8"/>
  <c r="J1057" i="8"/>
  <c r="I1058" i="8"/>
  <c r="J1058" i="8"/>
  <c r="I1059" i="8"/>
  <c r="J1059" i="8"/>
  <c r="I1060" i="8"/>
  <c r="J1060" i="8"/>
  <c r="I1061" i="8"/>
  <c r="J1061" i="8"/>
  <c r="I1062" i="8"/>
  <c r="J1062" i="8"/>
  <c r="I1063" i="8"/>
  <c r="J1063" i="8"/>
  <c r="I1064" i="8"/>
  <c r="J1064" i="8"/>
  <c r="I1065" i="8"/>
  <c r="J1065" i="8"/>
  <c r="I1066" i="8"/>
  <c r="J1066" i="8"/>
  <c r="I1067" i="8"/>
  <c r="J1067" i="8"/>
  <c r="I1068" i="8"/>
  <c r="J1068" i="8"/>
  <c r="I1069" i="8"/>
  <c r="J1069" i="8"/>
  <c r="I1070" i="8"/>
  <c r="J1070" i="8"/>
  <c r="I1071" i="8"/>
  <c r="J1071" i="8"/>
  <c r="I1072" i="8"/>
  <c r="J1072" i="8"/>
  <c r="I1073" i="8"/>
  <c r="J1073" i="8"/>
  <c r="I1074" i="8"/>
  <c r="J1074" i="8"/>
  <c r="I1075" i="8"/>
  <c r="J1075" i="8"/>
  <c r="I1076" i="8"/>
  <c r="J1076" i="8"/>
  <c r="I1077" i="8"/>
  <c r="J1077" i="8"/>
  <c r="I1078" i="8"/>
  <c r="J1078" i="8"/>
  <c r="I1079" i="8"/>
  <c r="J1079" i="8"/>
  <c r="I1080" i="8"/>
  <c r="J1080" i="8"/>
  <c r="I1081" i="8"/>
  <c r="J1081" i="8"/>
  <c r="I1082" i="8"/>
  <c r="J1082" i="8"/>
  <c r="I1083" i="8"/>
  <c r="J1083" i="8"/>
  <c r="I1084" i="8"/>
  <c r="J1084" i="8"/>
  <c r="I1085" i="8"/>
  <c r="J1085" i="8"/>
  <c r="I1086" i="8"/>
  <c r="J1086" i="8"/>
  <c r="I1087" i="8"/>
  <c r="J1087" i="8"/>
  <c r="I1088" i="8"/>
  <c r="J1088" i="8"/>
  <c r="I1089" i="8"/>
  <c r="J1089" i="8"/>
  <c r="I1090" i="8"/>
  <c r="J1090" i="8"/>
  <c r="I1091" i="8"/>
  <c r="J1091" i="8"/>
  <c r="I1092" i="8"/>
  <c r="J1092" i="8"/>
  <c r="I1093" i="8"/>
  <c r="J1093" i="8"/>
  <c r="I1094" i="8"/>
  <c r="J1094" i="8"/>
  <c r="I1095" i="8"/>
  <c r="J1095" i="8"/>
  <c r="I1096" i="8"/>
  <c r="J1096" i="8"/>
  <c r="I1097" i="8"/>
  <c r="J1097" i="8"/>
  <c r="I1098" i="8"/>
  <c r="J1098" i="8"/>
  <c r="I1099" i="8"/>
  <c r="J1099" i="8"/>
  <c r="I1100" i="8"/>
  <c r="J1100" i="8"/>
  <c r="I1101" i="8"/>
  <c r="J1101" i="8"/>
  <c r="I1102" i="8"/>
  <c r="J1102" i="8"/>
  <c r="I1103" i="8"/>
  <c r="J1103" i="8"/>
  <c r="I1104" i="8"/>
  <c r="J1104" i="8"/>
  <c r="I1105" i="8"/>
  <c r="J1105" i="8"/>
  <c r="I1106" i="8"/>
  <c r="J1106" i="8"/>
  <c r="I1107" i="8"/>
  <c r="J1107" i="8"/>
  <c r="I1108" i="8"/>
  <c r="J1108" i="8"/>
  <c r="I1109" i="8"/>
  <c r="J1109" i="8"/>
  <c r="I1110" i="8"/>
  <c r="J1110" i="8"/>
  <c r="I1111" i="8"/>
  <c r="J1111" i="8"/>
  <c r="I1112" i="8"/>
  <c r="J1112" i="8"/>
  <c r="I1113" i="8"/>
  <c r="J1113" i="8"/>
  <c r="I1114" i="8"/>
  <c r="J1114" i="8"/>
  <c r="I1115" i="8"/>
  <c r="J1115" i="8"/>
  <c r="I1116" i="8"/>
  <c r="J1116" i="8"/>
  <c r="I1117" i="8"/>
  <c r="J1117" i="8"/>
  <c r="I1118" i="8"/>
  <c r="J1118" i="8"/>
  <c r="I1119" i="8"/>
  <c r="J1119" i="8"/>
  <c r="I1120" i="8"/>
  <c r="J1120" i="8"/>
  <c r="I1121" i="8"/>
  <c r="J1121" i="8"/>
  <c r="I1122" i="8"/>
  <c r="J1122" i="8"/>
  <c r="I1123" i="8"/>
  <c r="J1123" i="8"/>
  <c r="I1124" i="8"/>
  <c r="J1124" i="8"/>
  <c r="I1125" i="8"/>
  <c r="J1125" i="8"/>
  <c r="I1126" i="8"/>
  <c r="J1126" i="8"/>
  <c r="I1127" i="8"/>
  <c r="J1127" i="8"/>
  <c r="I1128" i="8"/>
  <c r="J1128" i="8"/>
  <c r="I1129" i="8"/>
  <c r="J1129" i="8"/>
  <c r="I1130" i="8"/>
  <c r="J1130" i="8"/>
  <c r="I1131" i="8"/>
  <c r="J1131" i="8"/>
  <c r="I1132" i="8"/>
  <c r="J1132" i="8"/>
  <c r="I1133" i="8"/>
  <c r="J1133" i="8"/>
  <c r="I1134" i="8"/>
  <c r="J1134" i="8"/>
  <c r="I1135" i="8"/>
  <c r="J1135" i="8"/>
  <c r="I1136" i="8"/>
  <c r="J1136" i="8"/>
  <c r="I1137" i="8"/>
  <c r="J1137" i="8"/>
  <c r="I1138" i="8"/>
  <c r="J1138" i="8"/>
  <c r="I1139" i="8"/>
  <c r="J1139" i="8"/>
  <c r="I1140" i="8"/>
  <c r="J1140" i="8"/>
  <c r="I1141" i="8"/>
  <c r="J1141" i="8"/>
  <c r="I1142" i="8"/>
  <c r="J1142" i="8"/>
  <c r="I1143" i="8"/>
  <c r="J1143" i="8"/>
  <c r="I1144" i="8"/>
  <c r="J1144" i="8"/>
  <c r="I1145" i="8"/>
  <c r="J1145" i="8"/>
  <c r="I1146" i="8"/>
  <c r="J1146" i="8"/>
  <c r="I1147" i="8"/>
  <c r="J1147" i="8"/>
  <c r="I1148" i="8"/>
  <c r="J1148" i="8"/>
  <c r="I1149" i="8"/>
  <c r="J1149" i="8"/>
  <c r="I1150" i="8"/>
  <c r="J1150" i="8"/>
  <c r="I1151" i="8"/>
  <c r="J1151" i="8"/>
  <c r="I1152" i="8"/>
  <c r="J1152" i="8"/>
  <c r="I1153" i="8"/>
  <c r="J1153" i="8"/>
  <c r="I1154" i="8"/>
  <c r="J1154" i="8"/>
  <c r="I1155" i="8"/>
  <c r="J1155" i="8"/>
  <c r="I1156" i="8"/>
  <c r="J1156" i="8"/>
  <c r="I1157" i="8"/>
  <c r="J1157" i="8"/>
  <c r="I1158" i="8"/>
  <c r="J1158" i="8"/>
  <c r="I1159" i="8"/>
  <c r="J1159" i="8"/>
  <c r="I1160" i="8"/>
  <c r="J1160" i="8"/>
  <c r="I1161" i="8"/>
  <c r="J1161" i="8"/>
  <c r="I1162" i="8"/>
  <c r="J1162" i="8"/>
  <c r="I1163" i="8"/>
  <c r="J1163" i="8"/>
  <c r="I1164" i="8"/>
  <c r="J1164" i="8"/>
  <c r="I1165" i="8"/>
  <c r="J1165" i="8"/>
  <c r="I1166" i="8"/>
  <c r="J1166" i="8"/>
  <c r="I1167" i="8"/>
  <c r="J1167" i="8"/>
  <c r="I1168" i="8"/>
  <c r="J1168" i="8"/>
  <c r="I1169" i="8"/>
  <c r="J1169" i="8"/>
  <c r="I1170" i="8"/>
  <c r="J1170" i="8"/>
  <c r="I1171" i="8"/>
  <c r="J1171" i="8"/>
  <c r="I1172" i="8"/>
  <c r="J1172" i="8"/>
  <c r="I1173" i="8"/>
  <c r="J1173" i="8"/>
  <c r="I1174" i="8"/>
  <c r="J1174" i="8"/>
  <c r="I1175" i="8"/>
  <c r="J1175" i="8"/>
  <c r="I1176" i="8"/>
  <c r="J1176" i="8"/>
  <c r="I1177" i="8"/>
  <c r="J1177" i="8"/>
  <c r="I1178" i="8"/>
  <c r="J1178" i="8"/>
  <c r="I1179" i="8"/>
  <c r="J1179" i="8"/>
  <c r="I1180" i="8"/>
  <c r="J1180" i="8"/>
  <c r="I1181" i="8"/>
  <c r="J1181" i="8"/>
  <c r="I1182" i="8"/>
  <c r="J1182" i="8"/>
  <c r="I1183" i="8"/>
  <c r="J1183" i="8"/>
  <c r="I1184" i="8"/>
  <c r="J1184" i="8"/>
  <c r="I1185" i="8"/>
  <c r="J1185" i="8"/>
  <c r="I1186" i="8"/>
  <c r="J1186" i="8"/>
  <c r="I1187" i="8"/>
  <c r="J1187" i="8"/>
  <c r="I1188" i="8"/>
  <c r="J1188" i="8"/>
  <c r="I1189" i="8"/>
  <c r="J1189" i="8"/>
  <c r="I1190" i="8"/>
  <c r="J1190" i="8"/>
  <c r="I1191" i="8"/>
  <c r="J1191" i="8"/>
  <c r="I1192" i="8"/>
  <c r="J1192" i="8"/>
  <c r="I1193" i="8"/>
  <c r="J1193" i="8"/>
  <c r="I1194" i="8"/>
  <c r="J1194" i="8"/>
  <c r="I1195" i="8"/>
  <c r="J1195" i="8"/>
  <c r="I1196" i="8"/>
  <c r="J1196" i="8"/>
  <c r="I1197" i="8"/>
  <c r="J1197" i="8"/>
  <c r="I1198" i="8"/>
  <c r="J1198" i="8"/>
  <c r="I1199" i="8"/>
  <c r="J1199" i="8"/>
  <c r="I1200" i="8"/>
  <c r="J1200" i="8"/>
  <c r="I1201" i="8"/>
  <c r="J1201" i="8"/>
  <c r="I1202" i="8"/>
  <c r="J1202" i="8"/>
  <c r="I1203" i="8"/>
  <c r="J1203" i="8"/>
  <c r="I1204" i="8"/>
  <c r="J1204" i="8"/>
  <c r="I1205" i="8"/>
  <c r="J1205" i="8"/>
  <c r="I1206" i="8"/>
  <c r="J1206" i="8"/>
  <c r="I1207" i="8"/>
  <c r="J1207" i="8"/>
  <c r="I1208" i="8"/>
  <c r="J1208" i="8"/>
  <c r="I1209" i="8"/>
  <c r="J1209" i="8"/>
  <c r="I1210" i="8"/>
  <c r="J1210" i="8"/>
  <c r="I1211" i="8"/>
  <c r="J1211" i="8"/>
  <c r="I1212" i="8"/>
  <c r="J1212" i="8"/>
  <c r="I1213" i="8"/>
  <c r="J1213" i="8"/>
  <c r="I1214" i="8"/>
  <c r="J1214" i="8"/>
  <c r="I1215" i="8"/>
  <c r="J1215" i="8"/>
  <c r="I1216" i="8"/>
  <c r="J1216" i="8"/>
  <c r="I1217" i="8"/>
  <c r="J1217" i="8"/>
  <c r="I1218" i="8"/>
  <c r="J1218" i="8"/>
  <c r="I1219" i="8"/>
  <c r="J1219" i="8"/>
  <c r="I1220" i="8"/>
  <c r="J1220" i="8"/>
  <c r="I1221" i="8"/>
  <c r="J1221" i="8"/>
  <c r="I1222" i="8"/>
  <c r="J1222" i="8"/>
  <c r="I1223" i="8"/>
  <c r="J1223" i="8"/>
  <c r="I1224" i="8"/>
  <c r="J1224" i="8"/>
  <c r="I1225" i="8"/>
  <c r="J1225" i="8"/>
  <c r="I1226" i="8"/>
  <c r="J1226" i="8"/>
  <c r="I1227" i="8"/>
  <c r="J1227" i="8"/>
  <c r="I1228" i="8"/>
  <c r="J1228" i="8"/>
  <c r="I1229" i="8"/>
  <c r="J1229" i="8"/>
  <c r="I1230" i="8"/>
  <c r="J1230" i="8"/>
  <c r="I1231" i="8"/>
  <c r="J1231" i="8"/>
  <c r="I1232" i="8"/>
  <c r="J1232" i="8"/>
  <c r="I1233" i="8"/>
  <c r="J1233" i="8"/>
  <c r="I1234" i="8"/>
  <c r="J1234" i="8"/>
  <c r="I1235" i="8"/>
  <c r="J1235" i="8"/>
  <c r="I1236" i="8"/>
  <c r="J1236" i="8"/>
  <c r="I1237" i="8"/>
  <c r="J1237" i="8"/>
  <c r="I1238" i="8"/>
  <c r="J1238" i="8"/>
  <c r="I1239" i="8"/>
  <c r="J1239" i="8"/>
  <c r="I1240" i="8"/>
  <c r="J1240" i="8"/>
  <c r="I1241" i="8"/>
  <c r="J1241" i="8"/>
  <c r="I1242" i="8"/>
  <c r="J1242" i="8"/>
  <c r="I1243" i="8"/>
  <c r="J1243" i="8"/>
  <c r="I1244" i="8"/>
  <c r="J1244" i="8"/>
  <c r="I1245" i="8"/>
  <c r="J1245" i="8"/>
  <c r="I1246" i="8"/>
  <c r="J1246" i="8"/>
  <c r="I1247" i="8"/>
  <c r="J1247" i="8"/>
  <c r="I1248" i="8"/>
  <c r="J1248" i="8"/>
  <c r="I1249" i="8"/>
  <c r="J1249" i="8"/>
  <c r="I1250" i="8"/>
  <c r="J1250" i="8"/>
  <c r="I1251" i="8"/>
  <c r="J1251" i="8"/>
  <c r="I1252" i="8"/>
  <c r="J1252" i="8"/>
  <c r="I1253" i="8"/>
  <c r="J1253" i="8"/>
  <c r="I1254" i="8"/>
  <c r="J1254" i="8"/>
  <c r="I1255" i="8"/>
  <c r="J1255" i="8"/>
  <c r="I1256" i="8"/>
  <c r="J1256" i="8"/>
  <c r="I1257" i="8"/>
  <c r="J1257" i="8"/>
  <c r="I1258" i="8"/>
  <c r="J1258" i="8"/>
  <c r="I1259" i="8"/>
  <c r="J1259" i="8"/>
  <c r="I1260" i="8"/>
  <c r="J1260" i="8"/>
  <c r="I1261" i="8"/>
  <c r="J1261" i="8"/>
  <c r="I1262" i="8"/>
  <c r="J1262" i="8"/>
  <c r="I1263" i="8"/>
  <c r="J1263" i="8"/>
  <c r="I1264" i="8"/>
  <c r="J1264" i="8"/>
  <c r="I1265" i="8"/>
  <c r="J1265" i="8"/>
  <c r="I1266" i="8"/>
  <c r="J1266" i="8"/>
  <c r="I1267" i="8"/>
  <c r="J1267" i="8"/>
  <c r="I1268" i="8"/>
  <c r="J1268" i="8"/>
  <c r="I1269" i="8"/>
  <c r="J1269" i="8"/>
  <c r="I1270" i="8"/>
  <c r="J1270" i="8"/>
  <c r="I1271" i="8"/>
  <c r="J1271" i="8"/>
  <c r="I1272" i="8"/>
  <c r="J1272" i="8"/>
  <c r="I1273" i="8"/>
  <c r="J1273" i="8"/>
  <c r="I1274" i="8"/>
  <c r="J1274" i="8"/>
  <c r="I1275" i="8"/>
  <c r="J1275" i="8"/>
  <c r="I1276" i="8"/>
  <c r="J1276" i="8"/>
  <c r="I1277" i="8"/>
  <c r="J1277" i="8"/>
  <c r="I1278" i="8"/>
  <c r="J1278" i="8"/>
  <c r="I1279" i="8"/>
  <c r="J1279" i="8"/>
  <c r="I1280" i="8"/>
  <c r="J1280" i="8"/>
  <c r="I1281" i="8"/>
  <c r="J1281" i="8"/>
  <c r="I1282" i="8"/>
  <c r="J1282" i="8"/>
  <c r="I1283" i="8"/>
  <c r="J1283" i="8"/>
  <c r="I1284" i="8"/>
  <c r="J1284" i="8"/>
  <c r="I1285" i="8"/>
  <c r="J1285" i="8"/>
  <c r="I1286" i="8"/>
  <c r="J1286" i="8"/>
  <c r="I1287" i="8"/>
  <c r="J1287" i="8"/>
  <c r="I1288" i="8"/>
  <c r="J1288" i="8"/>
  <c r="I1289" i="8"/>
  <c r="J1289" i="8"/>
  <c r="I1290" i="8"/>
  <c r="J1290" i="8"/>
  <c r="I1291" i="8"/>
  <c r="J1291" i="8"/>
  <c r="I1292" i="8"/>
  <c r="J1292" i="8"/>
  <c r="I1293" i="8"/>
  <c r="J1293" i="8"/>
  <c r="I1294" i="8"/>
  <c r="J1294" i="8"/>
  <c r="I1295" i="8"/>
  <c r="J1295" i="8"/>
  <c r="I1296" i="8"/>
  <c r="J1296" i="8"/>
  <c r="I1297" i="8"/>
  <c r="J1297" i="8"/>
  <c r="I1298" i="8"/>
  <c r="J1298" i="8"/>
  <c r="I1299" i="8"/>
  <c r="J1299" i="8"/>
  <c r="I1300" i="8"/>
  <c r="J1300" i="8"/>
  <c r="I1301" i="8"/>
  <c r="J1301" i="8"/>
  <c r="I1302" i="8"/>
  <c r="J1302" i="8"/>
  <c r="I1303" i="8"/>
  <c r="J1303" i="8"/>
  <c r="I1304" i="8"/>
  <c r="J1304" i="8"/>
  <c r="I1305" i="8"/>
  <c r="J1305" i="8"/>
  <c r="I1306" i="8"/>
  <c r="J1306" i="8"/>
  <c r="I1307" i="8"/>
  <c r="J1307" i="8"/>
  <c r="I1308" i="8"/>
  <c r="J1308" i="8"/>
  <c r="I1309" i="8"/>
  <c r="J1309" i="8"/>
  <c r="I1310" i="8"/>
  <c r="J1310" i="8"/>
  <c r="I1311" i="8"/>
  <c r="J1311" i="8"/>
  <c r="I1312" i="8"/>
  <c r="J1312" i="8"/>
  <c r="I1313" i="8"/>
  <c r="J1313" i="8"/>
  <c r="I1314" i="8"/>
  <c r="J1314" i="8"/>
  <c r="I1315" i="8"/>
  <c r="J1315" i="8"/>
  <c r="I1316" i="8"/>
  <c r="J1316" i="8"/>
  <c r="I1317" i="8"/>
  <c r="J1317" i="8"/>
  <c r="I1318" i="8"/>
  <c r="J1318" i="8"/>
  <c r="I1319" i="8"/>
  <c r="J1319" i="8"/>
  <c r="I1320" i="8"/>
  <c r="J1320" i="8"/>
  <c r="I1321" i="8"/>
  <c r="J1321" i="8"/>
  <c r="I1322" i="8"/>
  <c r="J1322" i="8"/>
  <c r="I1323" i="8"/>
  <c r="J1323" i="8"/>
  <c r="I1324" i="8"/>
  <c r="J1324" i="8"/>
  <c r="I1325" i="8"/>
  <c r="J1325" i="8"/>
  <c r="I1326" i="8"/>
  <c r="J1326" i="8"/>
  <c r="I1327" i="8"/>
  <c r="J1327" i="8"/>
  <c r="I1328" i="8"/>
  <c r="J1328" i="8"/>
  <c r="I1329" i="8"/>
  <c r="J1329" i="8"/>
  <c r="I1330" i="8"/>
  <c r="J1330" i="8"/>
  <c r="I1331" i="8"/>
  <c r="J1331" i="8"/>
  <c r="I1332" i="8"/>
  <c r="J1332" i="8"/>
  <c r="I1333" i="8"/>
  <c r="J1333" i="8"/>
  <c r="I1334" i="8"/>
  <c r="J1334" i="8"/>
  <c r="I1335" i="8"/>
  <c r="J1335" i="8"/>
  <c r="I1336" i="8"/>
  <c r="J1336" i="8"/>
  <c r="I1337" i="8"/>
  <c r="J1337" i="8"/>
  <c r="I1338" i="8"/>
  <c r="J1338" i="8"/>
  <c r="I1339" i="8"/>
  <c r="J1339" i="8"/>
  <c r="I1340" i="8"/>
  <c r="J1340" i="8"/>
  <c r="I1341" i="8"/>
  <c r="J1341" i="8"/>
  <c r="I1342" i="8"/>
  <c r="J1342" i="8"/>
  <c r="I1343" i="8"/>
  <c r="J1343" i="8"/>
  <c r="I1344" i="8"/>
  <c r="J1344" i="8"/>
  <c r="I1345" i="8"/>
  <c r="J1345" i="8"/>
  <c r="I1346" i="8"/>
  <c r="J1346" i="8"/>
  <c r="I1347" i="8"/>
  <c r="J1347" i="8"/>
  <c r="I1348" i="8"/>
  <c r="J1348" i="8"/>
  <c r="I1349" i="8"/>
  <c r="J1349" i="8"/>
  <c r="I1350" i="8"/>
  <c r="J1350" i="8"/>
  <c r="I1351" i="8"/>
  <c r="J1351" i="8"/>
  <c r="I1352" i="8"/>
  <c r="J1352" i="8"/>
  <c r="I1353" i="8"/>
  <c r="J1353" i="8"/>
  <c r="I1354" i="8"/>
  <c r="J1354" i="8"/>
  <c r="I1355" i="8"/>
  <c r="J1355" i="8"/>
  <c r="I1356" i="8"/>
  <c r="J1356" i="8"/>
  <c r="I1357" i="8"/>
  <c r="J1357" i="8"/>
  <c r="I1358" i="8"/>
  <c r="J1358" i="8"/>
  <c r="I1359" i="8"/>
  <c r="J1359" i="8"/>
  <c r="J361" i="8"/>
  <c r="I361" i="8"/>
  <c r="I2678" i="8" l="1"/>
  <c r="J2678" i="8"/>
  <c r="I2679" i="8"/>
  <c r="J2679" i="8"/>
  <c r="I2681" i="8"/>
  <c r="J2681" i="8"/>
  <c r="I2683" i="8"/>
  <c r="J2683" i="8"/>
  <c r="I2684" i="8"/>
  <c r="J2684" i="8"/>
  <c r="I2686" i="8"/>
  <c r="J2686" i="8"/>
  <c r="I2688" i="8"/>
  <c r="J2688" i="8"/>
  <c r="J2666" i="8" l="1"/>
  <c r="I2666" i="8"/>
  <c r="J2665" i="8"/>
  <c r="I2665" i="8"/>
  <c r="J2664" i="8"/>
  <c r="I2664" i="8"/>
  <c r="J2663" i="8"/>
  <c r="I2663" i="8"/>
  <c r="J2662" i="8"/>
  <c r="I2662" i="8"/>
  <c r="J2661" i="8"/>
  <c r="I2661" i="8"/>
  <c r="J2660" i="8"/>
  <c r="I2660" i="8"/>
  <c r="J2657" i="8"/>
  <c r="I2657" i="8"/>
  <c r="J2656" i="8" l="1"/>
  <c r="I2656" i="8"/>
  <c r="I2695" i="8"/>
  <c r="J2695" i="8"/>
  <c r="I2643" i="8"/>
  <c r="J2643" i="8"/>
  <c r="I2644" i="8"/>
  <c r="J2644" i="8"/>
  <c r="I2645" i="8"/>
  <c r="J2645" i="8"/>
  <c r="I2646" i="8"/>
  <c r="J2646" i="8"/>
  <c r="I2647" i="8"/>
  <c r="J2647" i="8"/>
  <c r="I2648" i="8"/>
  <c r="J2648" i="8"/>
  <c r="I2649" i="8"/>
  <c r="J2649" i="8"/>
  <c r="I2650" i="8"/>
  <c r="J2650" i="8"/>
  <c r="I2651" i="8"/>
  <c r="J2651" i="8"/>
  <c r="I2652" i="8"/>
  <c r="J2652" i="8"/>
  <c r="I2653" i="8"/>
  <c r="J2653" i="8"/>
  <c r="I2654" i="8"/>
  <c r="J2654" i="8"/>
  <c r="I2655" i="8"/>
  <c r="J2655" i="8"/>
  <c r="I2658" i="8"/>
  <c r="J2658" i="8"/>
  <c r="I2659" i="8"/>
  <c r="J2659" i="8"/>
  <c r="I2667" i="8"/>
  <c r="J2667" i="8"/>
  <c r="I2670" i="8"/>
  <c r="J2670" i="8"/>
  <c r="I2672" i="8"/>
  <c r="J2672" i="8"/>
  <c r="I2675" i="8"/>
  <c r="J2675" i="8"/>
  <c r="I2677" i="8"/>
  <c r="J2677" i="8"/>
  <c r="I2689" i="8"/>
  <c r="J2689" i="8"/>
  <c r="I2690" i="8"/>
  <c r="J2690" i="8"/>
  <c r="J2642" i="8"/>
  <c r="I2642" i="8"/>
  <c r="I1985" i="8" l="1"/>
  <c r="J1985" i="8" s="1"/>
  <c r="I1986" i="8"/>
  <c r="J1986" i="8" s="1"/>
  <c r="I1987" i="8"/>
  <c r="J1987" i="8" s="1"/>
  <c r="I1988" i="8"/>
  <c r="J1988" i="8" s="1"/>
  <c r="I1989" i="8"/>
  <c r="J1989" i="8" s="1"/>
  <c r="I1990" i="8"/>
  <c r="J1990" i="8" s="1"/>
  <c r="I1991" i="8"/>
  <c r="J1991" i="8" s="1"/>
  <c r="I1992" i="8"/>
  <c r="J1992" i="8" s="1"/>
  <c r="I1993" i="8"/>
  <c r="J1993" i="8" s="1"/>
  <c r="I1994" i="8"/>
  <c r="J1994" i="8" s="1"/>
  <c r="I1995" i="8"/>
  <c r="J1995" i="8" s="1"/>
  <c r="I1996" i="8"/>
  <c r="J1996" i="8" s="1"/>
  <c r="I1997" i="8"/>
  <c r="J1997" i="8" s="1"/>
  <c r="I1998" i="8"/>
  <c r="J1998" i="8" s="1"/>
  <c r="I1999" i="8"/>
  <c r="J1999" i="8" s="1"/>
  <c r="I2000" i="8"/>
  <c r="J2000" i="8" s="1"/>
  <c r="I2001" i="8"/>
  <c r="J2001" i="8" s="1"/>
  <c r="I2002" i="8"/>
  <c r="J2002" i="8" s="1"/>
  <c r="I2003" i="8"/>
  <c r="J2003" i="8" s="1"/>
  <c r="I2004" i="8"/>
  <c r="J2004" i="8" s="1"/>
  <c r="I2005" i="8"/>
  <c r="J2005" i="8" s="1"/>
  <c r="I2006" i="8"/>
  <c r="J2006" i="8" s="1"/>
  <c r="I2007" i="8"/>
  <c r="J2007" i="8" s="1"/>
  <c r="I2008" i="8"/>
  <c r="J2008" i="8" s="1"/>
  <c r="I2009" i="8"/>
  <c r="J2009" i="8" s="1"/>
  <c r="I2010" i="8"/>
  <c r="J2010" i="8" s="1"/>
  <c r="I2011" i="8"/>
  <c r="J2011" i="8" s="1"/>
  <c r="I2012" i="8"/>
  <c r="J2012" i="8" s="1"/>
  <c r="I2013" i="8"/>
  <c r="J2013" i="8" s="1"/>
  <c r="I2014" i="8"/>
  <c r="J2014" i="8" s="1"/>
  <c r="I2015" i="8"/>
  <c r="J2015" i="8" s="1"/>
  <c r="I2016" i="8"/>
  <c r="J2016" i="8" s="1"/>
  <c r="I2017" i="8"/>
  <c r="J2017" i="8" s="1"/>
  <c r="I2018" i="8"/>
  <c r="J2018" i="8" s="1"/>
  <c r="I2019" i="8"/>
  <c r="J2019" i="8" s="1"/>
  <c r="I2020" i="8"/>
  <c r="J2020" i="8" s="1"/>
  <c r="I2021" i="8"/>
  <c r="J2021" i="8" s="1"/>
  <c r="I2022" i="8"/>
  <c r="J2022" i="8" s="1"/>
  <c r="I2023" i="8"/>
  <c r="J2023" i="8" s="1"/>
  <c r="I2024" i="8"/>
  <c r="J2024" i="8" s="1"/>
  <c r="I2025" i="8"/>
  <c r="J2025" i="8" s="1"/>
  <c r="I2026" i="8"/>
  <c r="J2026" i="8" s="1"/>
  <c r="I2027" i="8"/>
  <c r="J2027" i="8" s="1"/>
  <c r="I2028" i="8"/>
  <c r="J2028" i="8" s="1"/>
  <c r="I2029" i="8"/>
  <c r="J2029" i="8" s="1"/>
  <c r="I2030" i="8"/>
  <c r="J2030" i="8" s="1"/>
  <c r="I2031" i="8"/>
  <c r="J2031" i="8" s="1"/>
  <c r="I2032" i="8"/>
  <c r="J2032" i="8" s="1"/>
  <c r="I2033" i="8"/>
  <c r="J2033" i="8" s="1"/>
  <c r="I2034" i="8"/>
  <c r="J2034" i="8" s="1"/>
  <c r="I2035" i="8"/>
  <c r="J2035" i="8" s="1"/>
  <c r="I2036" i="8"/>
  <c r="J2036" i="8" s="1"/>
  <c r="I2037" i="8"/>
  <c r="J2037" i="8" s="1"/>
  <c r="I2038" i="8"/>
  <c r="J2038" i="8" s="1"/>
  <c r="I2039" i="8"/>
  <c r="J2039" i="8" s="1"/>
  <c r="I2040" i="8"/>
  <c r="J2040" i="8" s="1"/>
  <c r="I2041" i="8"/>
  <c r="J2041" i="8" s="1"/>
  <c r="I2042" i="8"/>
  <c r="J2042" i="8" s="1"/>
  <c r="I2043" i="8"/>
  <c r="J2043" i="8" s="1"/>
  <c r="I2044" i="8"/>
  <c r="J2044" i="8" s="1"/>
  <c r="I2045" i="8"/>
  <c r="J2045" i="8" s="1"/>
  <c r="I2046" i="8"/>
  <c r="J2046" i="8" s="1"/>
  <c r="I2047" i="8"/>
  <c r="J2047" i="8" s="1"/>
  <c r="I2048" i="8"/>
  <c r="J2048" i="8" s="1"/>
  <c r="I2049" i="8"/>
  <c r="J2049" i="8" s="1"/>
  <c r="I2050" i="8"/>
  <c r="J2050" i="8" s="1"/>
  <c r="I2051" i="8"/>
  <c r="J2051" i="8" s="1"/>
  <c r="I2052" i="8"/>
  <c r="J2052" i="8" s="1"/>
  <c r="I2053" i="8"/>
  <c r="J2053" i="8" s="1"/>
  <c r="I2054" i="8"/>
  <c r="J2054" i="8" s="1"/>
  <c r="I2055" i="8"/>
  <c r="J2055" i="8" s="1"/>
  <c r="I2056" i="8"/>
  <c r="J2056" i="8" s="1"/>
  <c r="I2057" i="8"/>
  <c r="J2057" i="8" s="1"/>
  <c r="I2058" i="8"/>
  <c r="J2058" i="8" s="1"/>
  <c r="I2059" i="8"/>
  <c r="J2059" i="8" s="1"/>
  <c r="I2060" i="8"/>
  <c r="J2060" i="8" s="1"/>
  <c r="I2061" i="8"/>
  <c r="J2061" i="8" s="1"/>
  <c r="I2062" i="8"/>
  <c r="J2062" i="8" s="1"/>
  <c r="I2063" i="8"/>
  <c r="J2063" i="8" s="1"/>
  <c r="I2064" i="8"/>
  <c r="J2064" i="8" s="1"/>
  <c r="I2065" i="8"/>
  <c r="J2065" i="8" s="1"/>
  <c r="I2066" i="8"/>
  <c r="J2066" i="8" s="1"/>
  <c r="I2067" i="8"/>
  <c r="J2067" i="8" s="1"/>
  <c r="I2068" i="8"/>
  <c r="J2068" i="8" s="1"/>
  <c r="I2069" i="8"/>
  <c r="J2069" i="8" s="1"/>
  <c r="I2070" i="8"/>
  <c r="J2070" i="8" s="1"/>
  <c r="I2071" i="8"/>
  <c r="J2071" i="8" s="1"/>
  <c r="I2072" i="8"/>
  <c r="J2072" i="8" s="1"/>
  <c r="I2073" i="8"/>
  <c r="J2073" i="8" s="1"/>
  <c r="I2074" i="8"/>
  <c r="J2074" i="8" s="1"/>
  <c r="I2075" i="8"/>
  <c r="J2075" i="8" s="1"/>
  <c r="I2076" i="8"/>
  <c r="J2076" i="8" s="1"/>
  <c r="I2077" i="8"/>
  <c r="J2077" i="8" s="1"/>
  <c r="I2078" i="8"/>
  <c r="J2078" i="8" s="1"/>
  <c r="I2079" i="8"/>
  <c r="J2079" i="8" s="1"/>
  <c r="I2080" i="8"/>
  <c r="J2080" i="8" s="1"/>
  <c r="I2081" i="8"/>
  <c r="J2081" i="8" s="1"/>
  <c r="I2082" i="8"/>
  <c r="J2082" i="8" s="1"/>
  <c r="I2083" i="8"/>
  <c r="J2083" i="8" s="1"/>
  <c r="I2084" i="8"/>
  <c r="J2084" i="8" s="1"/>
  <c r="I2085" i="8"/>
  <c r="J2085" i="8" s="1"/>
  <c r="I2086" i="8"/>
  <c r="J2086" i="8" s="1"/>
  <c r="I2087" i="8"/>
  <c r="J2087" i="8" s="1"/>
  <c r="I2088" i="8"/>
  <c r="J2088" i="8" s="1"/>
  <c r="I2089" i="8"/>
  <c r="J2089" i="8" s="1"/>
  <c r="I2090" i="8"/>
  <c r="J2090" i="8" s="1"/>
  <c r="I2091" i="8"/>
  <c r="J2091" i="8" s="1"/>
  <c r="I2092" i="8"/>
  <c r="J2092" i="8" s="1"/>
  <c r="I2093" i="8"/>
  <c r="J2093" i="8" s="1"/>
  <c r="I2094" i="8"/>
  <c r="J2094" i="8" s="1"/>
  <c r="I2095" i="8"/>
  <c r="J2095" i="8" s="1"/>
  <c r="I2096" i="8"/>
  <c r="J2096" i="8" s="1"/>
  <c r="I2097" i="8"/>
  <c r="J2097" i="8" s="1"/>
  <c r="I2098" i="8"/>
  <c r="J2098" i="8" s="1"/>
  <c r="I2099" i="8"/>
  <c r="J2099" i="8" s="1"/>
  <c r="I2100" i="8"/>
  <c r="J2100" i="8" s="1"/>
  <c r="I2101" i="8"/>
  <c r="J2101" i="8" s="1"/>
  <c r="I2102" i="8"/>
  <c r="J2102" i="8" s="1"/>
  <c r="I2103" i="8"/>
  <c r="J2103" i="8" s="1"/>
  <c r="I2104" i="8"/>
  <c r="J2104" i="8" s="1"/>
  <c r="I2105" i="8"/>
  <c r="J2105" i="8" s="1"/>
  <c r="I2106" i="8"/>
  <c r="J2106" i="8" s="1"/>
  <c r="I2107" i="8"/>
  <c r="J2107" i="8" s="1"/>
  <c r="I2108" i="8"/>
  <c r="J2108" i="8" s="1"/>
  <c r="I2109" i="8"/>
  <c r="J2109" i="8" s="1"/>
  <c r="I2110" i="8"/>
  <c r="J2110" i="8" s="1"/>
  <c r="I2111" i="8"/>
  <c r="J2111" i="8" s="1"/>
  <c r="I2112" i="8"/>
  <c r="J2112" i="8" s="1"/>
  <c r="I2113" i="8"/>
  <c r="J2113" i="8" s="1"/>
  <c r="I2114" i="8"/>
  <c r="J2114" i="8" s="1"/>
  <c r="I2115" i="8"/>
  <c r="J2115" i="8" s="1"/>
  <c r="I2116" i="8"/>
  <c r="J2116" i="8" s="1"/>
  <c r="I2117" i="8"/>
  <c r="J2117" i="8" s="1"/>
  <c r="I2118" i="8"/>
  <c r="J2118" i="8" s="1"/>
  <c r="I2119" i="8"/>
  <c r="J2119" i="8" s="1"/>
  <c r="I2120" i="8"/>
  <c r="J2120" i="8" s="1"/>
  <c r="I2121" i="8"/>
  <c r="J2121" i="8" s="1"/>
  <c r="I2122" i="8"/>
  <c r="J2122" i="8" s="1"/>
  <c r="I2123" i="8"/>
  <c r="J2123" i="8" s="1"/>
  <c r="I2124" i="8"/>
  <c r="J2124" i="8" s="1"/>
  <c r="I2125" i="8"/>
  <c r="J2125" i="8" s="1"/>
  <c r="I2126" i="8"/>
  <c r="J2126" i="8" s="1"/>
  <c r="I2127" i="8"/>
  <c r="J2127" i="8" s="1"/>
  <c r="I2128" i="8"/>
  <c r="J2128" i="8" s="1"/>
  <c r="I2129" i="8"/>
  <c r="J2129" i="8" s="1"/>
  <c r="I2130" i="8"/>
  <c r="J2130" i="8" s="1"/>
  <c r="I2131" i="8"/>
  <c r="J2131" i="8" s="1"/>
  <c r="I2132" i="8"/>
  <c r="J2132" i="8" s="1"/>
  <c r="I2133" i="8"/>
  <c r="J2133" i="8" s="1"/>
  <c r="I2134" i="8"/>
  <c r="J2134" i="8" s="1"/>
  <c r="I2135" i="8"/>
  <c r="J2135" i="8" s="1"/>
  <c r="I2136" i="8"/>
  <c r="J2136" i="8" s="1"/>
  <c r="I2137" i="8"/>
  <c r="J2137" i="8" s="1"/>
  <c r="I2138" i="8"/>
  <c r="J2138" i="8" s="1"/>
  <c r="I2139" i="8"/>
  <c r="J2139" i="8" s="1"/>
  <c r="I2140" i="8"/>
  <c r="J2140" i="8" s="1"/>
  <c r="I2141" i="8"/>
  <c r="J2141" i="8" s="1"/>
  <c r="I2142" i="8"/>
  <c r="J2142" i="8" s="1"/>
  <c r="I2143" i="8"/>
  <c r="J2143" i="8" s="1"/>
  <c r="I2144" i="8"/>
  <c r="J2144" i="8" s="1"/>
  <c r="I2145" i="8"/>
  <c r="J2145" i="8" s="1"/>
  <c r="I2146" i="8"/>
  <c r="J2146" i="8" s="1"/>
  <c r="I2147" i="8"/>
  <c r="J2147" i="8" s="1"/>
  <c r="I2148" i="8"/>
  <c r="J2148" i="8" s="1"/>
  <c r="I2149" i="8"/>
  <c r="J2149" i="8" s="1"/>
  <c r="I2150" i="8"/>
  <c r="J2150" i="8" s="1"/>
  <c r="I2151" i="8"/>
  <c r="J2151" i="8" s="1"/>
  <c r="I2152" i="8"/>
  <c r="J2152" i="8" s="1"/>
  <c r="I2153" i="8"/>
  <c r="J2153" i="8" s="1"/>
  <c r="I2154" i="8"/>
  <c r="J2154" i="8" s="1"/>
  <c r="I2155" i="8"/>
  <c r="J2155" i="8" s="1"/>
  <c r="I2156" i="8"/>
  <c r="J2156" i="8" s="1"/>
  <c r="I2157" i="8"/>
  <c r="J2157" i="8" s="1"/>
  <c r="I2158" i="8"/>
  <c r="J2158" i="8" s="1"/>
  <c r="I2159" i="8"/>
  <c r="J2159" i="8" s="1"/>
  <c r="I2160" i="8"/>
  <c r="J2160" i="8" s="1"/>
  <c r="I2161" i="8"/>
  <c r="J2161" i="8" s="1"/>
  <c r="I2162" i="8"/>
  <c r="J2162" i="8" s="1"/>
  <c r="I2163" i="8"/>
  <c r="J2163" i="8" s="1"/>
  <c r="I2164" i="8"/>
  <c r="J2164" i="8" s="1"/>
  <c r="I2165" i="8"/>
  <c r="J2165" i="8" s="1"/>
  <c r="I2166" i="8"/>
  <c r="J2166" i="8" s="1"/>
  <c r="I2167" i="8"/>
  <c r="J2167" i="8" s="1"/>
  <c r="I2168" i="8"/>
  <c r="J2168" i="8" s="1"/>
  <c r="I2169" i="8"/>
  <c r="J2169" i="8" s="1"/>
  <c r="I2170" i="8"/>
  <c r="J2170" i="8" s="1"/>
  <c r="I2171" i="8"/>
  <c r="J2171" i="8" s="1"/>
  <c r="I2172" i="8"/>
  <c r="J2172" i="8" s="1"/>
  <c r="I2173" i="8"/>
  <c r="J2173" i="8" s="1"/>
  <c r="I2174" i="8"/>
  <c r="J2174" i="8" s="1"/>
  <c r="I2175" i="8"/>
  <c r="J2175" i="8" s="1"/>
  <c r="I2176" i="8"/>
  <c r="J2176" i="8" s="1"/>
  <c r="I2177" i="8"/>
  <c r="J2177" i="8" s="1"/>
  <c r="I2178" i="8"/>
  <c r="J2178" i="8" s="1"/>
  <c r="I2179" i="8"/>
  <c r="J2179" i="8" s="1"/>
  <c r="I2180" i="8"/>
  <c r="J2180" i="8" s="1"/>
  <c r="I2181" i="8"/>
  <c r="J2181" i="8" s="1"/>
  <c r="I2182" i="8"/>
  <c r="J2182" i="8" s="1"/>
  <c r="I2183" i="8"/>
  <c r="J2183" i="8" s="1"/>
  <c r="I2184" i="8"/>
  <c r="J2184" i="8" s="1"/>
  <c r="I2185" i="8"/>
  <c r="J2185" i="8" s="1"/>
  <c r="I2186" i="8"/>
  <c r="J2186" i="8" s="1"/>
  <c r="I2187" i="8"/>
  <c r="J2187" i="8" s="1"/>
  <c r="I2188" i="8"/>
  <c r="J2188" i="8" s="1"/>
  <c r="I2189" i="8"/>
  <c r="J2189" i="8" s="1"/>
  <c r="I2190" i="8"/>
  <c r="J2190" i="8" s="1"/>
  <c r="I2191" i="8"/>
  <c r="J2191" i="8" s="1"/>
  <c r="I2192" i="8"/>
  <c r="J2192" i="8" s="1"/>
  <c r="I2193" i="8"/>
  <c r="J2193" i="8" s="1"/>
  <c r="I2194" i="8"/>
  <c r="J2194" i="8" s="1"/>
  <c r="I2195" i="8"/>
  <c r="J2195" i="8" s="1"/>
  <c r="I2196" i="8"/>
  <c r="J2196" i="8" s="1"/>
  <c r="I2197" i="8"/>
  <c r="J2197" i="8" s="1"/>
  <c r="I2198" i="8"/>
  <c r="J2198" i="8" s="1"/>
  <c r="I2199" i="8"/>
  <c r="J2199" i="8" s="1"/>
  <c r="I2200" i="8"/>
  <c r="J2200" i="8" s="1"/>
  <c r="I2201" i="8"/>
  <c r="J2201" i="8" s="1"/>
  <c r="I2202" i="8"/>
  <c r="J2202" i="8" s="1"/>
  <c r="I2203" i="8"/>
  <c r="J2203" i="8" s="1"/>
  <c r="I2204" i="8"/>
  <c r="J2204" i="8" s="1"/>
  <c r="I2205" i="8"/>
  <c r="J2205" i="8" s="1"/>
  <c r="I2206" i="8"/>
  <c r="J2206" i="8" s="1"/>
  <c r="I2207" i="8"/>
  <c r="J2207" i="8" s="1"/>
  <c r="I2208" i="8"/>
  <c r="J2208" i="8" s="1"/>
  <c r="I2209" i="8"/>
  <c r="J2209" i="8" s="1"/>
  <c r="I2210" i="8"/>
  <c r="J2210" i="8" s="1"/>
  <c r="I2211" i="8"/>
  <c r="J2211" i="8" s="1"/>
  <c r="I2212" i="8"/>
  <c r="J2212" i="8" s="1"/>
  <c r="I2213" i="8"/>
  <c r="J2213" i="8" s="1"/>
  <c r="I2214" i="8"/>
  <c r="J2214" i="8" s="1"/>
  <c r="I2215" i="8"/>
  <c r="J2215" i="8" s="1"/>
  <c r="I2216" i="8"/>
  <c r="J2216" i="8" s="1"/>
  <c r="I2217" i="8"/>
  <c r="J2217" i="8" s="1"/>
  <c r="I2218" i="8"/>
  <c r="J2218" i="8" s="1"/>
  <c r="I2219" i="8"/>
  <c r="J2219" i="8" s="1"/>
  <c r="I2220" i="8"/>
  <c r="J2220" i="8" s="1"/>
  <c r="I2221" i="8"/>
  <c r="J2221" i="8" s="1"/>
  <c r="I2222" i="8"/>
  <c r="J2222" i="8" s="1"/>
  <c r="I2223" i="8"/>
  <c r="J2223" i="8" s="1"/>
  <c r="I2224" i="8"/>
  <c r="J2224" i="8" s="1"/>
  <c r="I2225" i="8"/>
  <c r="J2225" i="8" s="1"/>
  <c r="I2226" i="8"/>
  <c r="J2226" i="8" s="1"/>
  <c r="I2227" i="8"/>
  <c r="J2227" i="8" s="1"/>
  <c r="I2228" i="8"/>
  <c r="J2228" i="8" s="1"/>
  <c r="I2229" i="8"/>
  <c r="J2229" i="8" s="1"/>
  <c r="I2230" i="8"/>
  <c r="J2230" i="8" s="1"/>
  <c r="I2231" i="8"/>
  <c r="J2231" i="8" s="1"/>
  <c r="I2232" i="8"/>
  <c r="J2232" i="8" s="1"/>
  <c r="I2233" i="8"/>
  <c r="J2233" i="8" s="1"/>
  <c r="I2234" i="8"/>
  <c r="J2234" i="8" s="1"/>
  <c r="I2235" i="8"/>
  <c r="J2235" i="8" s="1"/>
  <c r="I2236" i="8"/>
  <c r="J2236" i="8" s="1"/>
  <c r="I2237" i="8"/>
  <c r="J2237" i="8" s="1"/>
  <c r="I2238" i="8"/>
  <c r="J2238" i="8" s="1"/>
  <c r="I2239" i="8"/>
  <c r="J2239" i="8" s="1"/>
  <c r="I2240" i="8"/>
  <c r="J2240" i="8" s="1"/>
  <c r="I2241" i="8"/>
  <c r="J2241" i="8" s="1"/>
  <c r="I2242" i="8"/>
  <c r="J2242" i="8" s="1"/>
  <c r="I2243" i="8"/>
  <c r="J2243" i="8" s="1"/>
  <c r="I2244" i="8"/>
  <c r="J2244" i="8" s="1"/>
  <c r="I2245" i="8"/>
  <c r="J2245" i="8" s="1"/>
  <c r="I2246" i="8"/>
  <c r="J2246" i="8" s="1"/>
  <c r="I2247" i="8"/>
  <c r="J2247" i="8" s="1"/>
  <c r="I2248" i="8"/>
  <c r="J2248" i="8" s="1"/>
  <c r="I2249" i="8"/>
  <c r="J2249" i="8" s="1"/>
  <c r="I2250" i="8"/>
  <c r="J2250" i="8" s="1"/>
  <c r="I2251" i="8"/>
  <c r="J2251" i="8" s="1"/>
  <c r="I2252" i="8"/>
  <c r="J2252" i="8" s="1"/>
  <c r="I2253" i="8"/>
  <c r="J2253" i="8" s="1"/>
  <c r="I2254" i="8"/>
  <c r="J2254" i="8" s="1"/>
  <c r="I2255" i="8"/>
  <c r="J2255" i="8" s="1"/>
  <c r="I2256" i="8"/>
  <c r="J2256" i="8" s="1"/>
  <c r="I2257" i="8"/>
  <c r="J2257" i="8" s="1"/>
  <c r="I2258" i="8"/>
  <c r="J2258" i="8" s="1"/>
  <c r="I2259" i="8"/>
  <c r="J2259" i="8" s="1"/>
  <c r="I2260" i="8"/>
  <c r="J2260" i="8" s="1"/>
  <c r="I2261" i="8"/>
  <c r="J2261" i="8" s="1"/>
  <c r="I2262" i="8"/>
  <c r="J2262" i="8" s="1"/>
  <c r="I2263" i="8"/>
  <c r="J2263" i="8" s="1"/>
  <c r="I2264" i="8"/>
  <c r="J2264" i="8" s="1"/>
  <c r="I2265" i="8"/>
  <c r="J2265" i="8" s="1"/>
  <c r="I2266" i="8"/>
  <c r="J2266" i="8" s="1"/>
  <c r="I2267" i="8"/>
  <c r="J2267" i="8" s="1"/>
  <c r="I2268" i="8"/>
  <c r="J2268" i="8" s="1"/>
  <c r="I2269" i="8"/>
  <c r="J2269" i="8" s="1"/>
  <c r="I2270" i="8"/>
  <c r="J2270" i="8" s="1"/>
  <c r="I2271" i="8"/>
  <c r="J2271" i="8" s="1"/>
  <c r="I2272" i="8"/>
  <c r="J2272" i="8" s="1"/>
  <c r="I2273" i="8"/>
  <c r="J2273" i="8" s="1"/>
  <c r="I2274" i="8"/>
  <c r="J2274" i="8" s="1"/>
  <c r="I2275" i="8"/>
  <c r="J2275" i="8" s="1"/>
  <c r="I2276" i="8"/>
  <c r="J2276" i="8" s="1"/>
  <c r="I2277" i="8"/>
  <c r="J2277" i="8" s="1"/>
  <c r="I2278" i="8"/>
  <c r="J2278" i="8" s="1"/>
  <c r="I2279" i="8"/>
  <c r="J2279" i="8" s="1"/>
  <c r="I2280" i="8"/>
  <c r="J2280" i="8" s="1"/>
  <c r="I2281" i="8"/>
  <c r="J2281" i="8" s="1"/>
  <c r="I2282" i="8"/>
  <c r="J2282" i="8" s="1"/>
  <c r="I2283" i="8"/>
  <c r="J2283" i="8" s="1"/>
  <c r="I2284" i="8"/>
  <c r="J2284" i="8" s="1"/>
  <c r="I2285" i="8"/>
  <c r="J2285" i="8" s="1"/>
  <c r="I2286" i="8"/>
  <c r="J2286" i="8" s="1"/>
  <c r="I2287" i="8"/>
  <c r="J2287" i="8" s="1"/>
  <c r="I2288" i="8"/>
  <c r="J2288" i="8" s="1"/>
  <c r="I2289" i="8"/>
  <c r="J2289" i="8" s="1"/>
  <c r="I2290" i="8"/>
  <c r="J2290" i="8" s="1"/>
  <c r="I2291" i="8"/>
  <c r="J2291" i="8" s="1"/>
  <c r="I2292" i="8"/>
  <c r="J2292" i="8" s="1"/>
  <c r="I2293" i="8"/>
  <c r="J2293" i="8" s="1"/>
  <c r="I2294" i="8"/>
  <c r="J2294" i="8" s="1"/>
  <c r="I2295" i="8"/>
  <c r="J2295" i="8" s="1"/>
  <c r="I2296" i="8"/>
  <c r="J2296" i="8" s="1"/>
  <c r="I2297" i="8"/>
  <c r="J2297" i="8" s="1"/>
  <c r="I2298" i="8"/>
  <c r="J2298" i="8" s="1"/>
  <c r="I2299" i="8"/>
  <c r="J2299" i="8" s="1"/>
  <c r="I2300" i="8"/>
  <c r="J2300" i="8" s="1"/>
  <c r="I2301" i="8"/>
  <c r="J2301" i="8" s="1"/>
  <c r="I2302" i="8"/>
  <c r="J2302" i="8" s="1"/>
  <c r="I2303" i="8"/>
  <c r="J2303" i="8" s="1"/>
  <c r="I2304" i="8"/>
  <c r="J2304" i="8" s="1"/>
  <c r="I2305" i="8"/>
  <c r="J2305" i="8" s="1"/>
  <c r="I2306" i="8"/>
  <c r="J2306" i="8" s="1"/>
  <c r="I2307" i="8"/>
  <c r="J2307" i="8" s="1"/>
  <c r="I2308" i="8"/>
  <c r="J2308" i="8" s="1"/>
  <c r="I2309" i="8"/>
  <c r="J2309" i="8" s="1"/>
  <c r="I2310" i="8"/>
  <c r="J2310" i="8" s="1"/>
  <c r="I2311" i="8"/>
  <c r="J2311" i="8" s="1"/>
  <c r="I2312" i="8"/>
  <c r="J2312" i="8" s="1"/>
  <c r="I2313" i="8"/>
  <c r="J2313" i="8" s="1"/>
  <c r="I2314" i="8"/>
  <c r="J2314" i="8" s="1"/>
  <c r="I2315" i="8"/>
  <c r="J2315" i="8" s="1"/>
  <c r="I2316" i="8"/>
  <c r="J2316" i="8" s="1"/>
  <c r="I2317" i="8"/>
  <c r="J2317" i="8" s="1"/>
  <c r="I2318" i="8"/>
  <c r="J2318" i="8" s="1"/>
  <c r="I2319" i="8"/>
  <c r="J2319" i="8" s="1"/>
  <c r="I2320" i="8"/>
  <c r="J2320" i="8" s="1"/>
  <c r="I2321" i="8"/>
  <c r="J2321" i="8" s="1"/>
  <c r="I2322" i="8"/>
  <c r="J2322" i="8" s="1"/>
  <c r="I2323" i="8"/>
  <c r="J2323" i="8" s="1"/>
  <c r="I2324" i="8"/>
  <c r="J2324" i="8" s="1"/>
  <c r="I2325" i="8"/>
  <c r="J2325" i="8" s="1"/>
  <c r="I2326" i="8"/>
  <c r="J2326" i="8" s="1"/>
  <c r="I2327" i="8"/>
  <c r="J2327" i="8" s="1"/>
  <c r="I2328" i="8"/>
  <c r="J2328" i="8" s="1"/>
  <c r="I2329" i="8"/>
  <c r="J2329" i="8" s="1"/>
  <c r="I2330" i="8"/>
  <c r="J2330" i="8" s="1"/>
  <c r="I2331" i="8"/>
  <c r="J2331" i="8" s="1"/>
  <c r="I2332" i="8"/>
  <c r="J2332" i="8" s="1"/>
  <c r="I2333" i="8"/>
  <c r="J2333" i="8" s="1"/>
  <c r="I2334" i="8"/>
  <c r="J2334" i="8" s="1"/>
  <c r="I2335" i="8"/>
  <c r="J2335" i="8" s="1"/>
  <c r="I2336" i="8"/>
  <c r="J2336" i="8" s="1"/>
  <c r="I2337" i="8"/>
  <c r="J2337" i="8" s="1"/>
  <c r="I2338" i="8"/>
  <c r="J2338" i="8" s="1"/>
  <c r="I2339" i="8"/>
  <c r="J2339" i="8" s="1"/>
  <c r="I2340" i="8"/>
  <c r="J2340" i="8" s="1"/>
  <c r="I2341" i="8"/>
  <c r="J2341" i="8" s="1"/>
  <c r="I2342" i="8"/>
  <c r="J2342" i="8" s="1"/>
  <c r="I2343" i="8"/>
  <c r="J2343" i="8" s="1"/>
  <c r="I2344" i="8"/>
  <c r="J2344" i="8" s="1"/>
  <c r="I2345" i="8"/>
  <c r="J2345" i="8" s="1"/>
  <c r="I2346" i="8"/>
  <c r="J2346" i="8" s="1"/>
  <c r="I2347" i="8"/>
  <c r="J2347" i="8" s="1"/>
  <c r="I2348" i="8"/>
  <c r="J2348" i="8" s="1"/>
  <c r="I2349" i="8"/>
  <c r="J2349" i="8" s="1"/>
  <c r="I2350" i="8"/>
  <c r="J2350" i="8" s="1"/>
  <c r="I2351" i="8"/>
  <c r="J2351" i="8" s="1"/>
  <c r="I2352" i="8"/>
  <c r="J2352" i="8" s="1"/>
  <c r="I2353" i="8"/>
  <c r="J2353" i="8" s="1"/>
  <c r="I2354" i="8"/>
  <c r="J2354" i="8" s="1"/>
  <c r="I2355" i="8"/>
  <c r="J2355" i="8" s="1"/>
  <c r="I2356" i="8"/>
  <c r="J2356" i="8" s="1"/>
  <c r="I2357" i="8"/>
  <c r="J2357" i="8" s="1"/>
  <c r="I2358" i="8"/>
  <c r="J2358" i="8" s="1"/>
  <c r="I2359" i="8"/>
  <c r="J2359" i="8" s="1"/>
  <c r="I2360" i="8"/>
  <c r="J2360" i="8" s="1"/>
  <c r="I2361" i="8"/>
  <c r="J2361" i="8" s="1"/>
  <c r="I2362" i="8"/>
  <c r="J2362" i="8" s="1"/>
  <c r="I2363" i="8"/>
  <c r="J2363" i="8" s="1"/>
  <c r="I2364" i="8"/>
  <c r="J2364" i="8" s="1"/>
  <c r="I2365" i="8"/>
  <c r="J2365" i="8" s="1"/>
  <c r="I2366" i="8"/>
  <c r="J2366" i="8" s="1"/>
  <c r="I2367" i="8"/>
  <c r="J2367" i="8" s="1"/>
  <c r="I2368" i="8"/>
  <c r="J2368" i="8" s="1"/>
  <c r="I2369" i="8"/>
  <c r="J2369" i="8" s="1"/>
  <c r="I2370" i="8"/>
  <c r="J2370" i="8" s="1"/>
  <c r="I2371" i="8"/>
  <c r="J2371" i="8" s="1"/>
  <c r="I2372" i="8"/>
  <c r="J2372" i="8" s="1"/>
  <c r="I2373" i="8"/>
  <c r="J2373" i="8" s="1"/>
  <c r="I2374" i="8"/>
  <c r="J2374" i="8" s="1"/>
  <c r="I2375" i="8"/>
  <c r="J2375" i="8" s="1"/>
  <c r="I2376" i="8"/>
  <c r="J2376" i="8" s="1"/>
  <c r="I2377" i="8"/>
  <c r="J2377" i="8" s="1"/>
  <c r="I2378" i="8"/>
  <c r="J2378" i="8" s="1"/>
  <c r="I2379" i="8"/>
  <c r="J2379" i="8" s="1"/>
  <c r="I2380" i="8"/>
  <c r="J2380" i="8" s="1"/>
  <c r="I2381" i="8"/>
  <c r="J2381" i="8" s="1"/>
  <c r="I2382" i="8"/>
  <c r="J2382" i="8" s="1"/>
  <c r="I2383" i="8"/>
  <c r="J2383" i="8" s="1"/>
  <c r="I2384" i="8"/>
  <c r="J2384" i="8" s="1"/>
  <c r="I2385" i="8"/>
  <c r="J2385" i="8" s="1"/>
  <c r="I2386" i="8"/>
  <c r="J2386" i="8" s="1"/>
  <c r="I2387" i="8"/>
  <c r="J2387" i="8" s="1"/>
  <c r="I2388" i="8"/>
  <c r="J2388" i="8" s="1"/>
  <c r="I2389" i="8"/>
  <c r="J2389" i="8" s="1"/>
  <c r="I2390" i="8"/>
  <c r="J2390" i="8" s="1"/>
  <c r="I2391" i="8"/>
  <c r="J2391" i="8" s="1"/>
  <c r="I2392" i="8"/>
  <c r="J2392" i="8" s="1"/>
  <c r="I2393" i="8"/>
  <c r="J2393" i="8" s="1"/>
  <c r="I2394" i="8"/>
  <c r="J2394" i="8" s="1"/>
  <c r="I2395" i="8"/>
  <c r="J2395" i="8" s="1"/>
  <c r="I2396" i="8"/>
  <c r="J2396" i="8" s="1"/>
  <c r="I2397" i="8"/>
  <c r="J2397" i="8" s="1"/>
  <c r="I2398" i="8"/>
  <c r="J2398" i="8" s="1"/>
  <c r="I2399" i="8"/>
  <c r="J2399" i="8" s="1"/>
  <c r="I2400" i="8"/>
  <c r="J2400" i="8" s="1"/>
  <c r="I2401" i="8"/>
  <c r="J2401" i="8" s="1"/>
  <c r="I2402" i="8"/>
  <c r="J2402" i="8" s="1"/>
  <c r="I2403" i="8"/>
  <c r="J2403" i="8" s="1"/>
  <c r="I2404" i="8"/>
  <c r="J2404" i="8" s="1"/>
  <c r="I2405" i="8"/>
  <c r="J2405" i="8" s="1"/>
  <c r="I2406" i="8"/>
  <c r="J2406" i="8" s="1"/>
  <c r="I2407" i="8"/>
  <c r="J2407" i="8" s="1"/>
  <c r="I2408" i="8"/>
  <c r="J2408" i="8" s="1"/>
  <c r="I2409" i="8"/>
  <c r="J2409" i="8" s="1"/>
  <c r="I2410" i="8"/>
  <c r="J2410" i="8" s="1"/>
  <c r="I2411" i="8"/>
  <c r="J2411" i="8" s="1"/>
  <c r="I2412" i="8"/>
  <c r="J2412" i="8" s="1"/>
  <c r="I2413" i="8"/>
  <c r="J2413" i="8" s="1"/>
  <c r="I2414" i="8"/>
  <c r="J2414" i="8" s="1"/>
  <c r="I2415" i="8"/>
  <c r="J2415" i="8" s="1"/>
  <c r="I2416" i="8"/>
  <c r="J2416" i="8" s="1"/>
  <c r="I2417" i="8"/>
  <c r="J2417" i="8" s="1"/>
  <c r="I2418" i="8"/>
  <c r="J2418" i="8" s="1"/>
  <c r="I2419" i="8"/>
  <c r="J2419" i="8" s="1"/>
  <c r="I2420" i="8"/>
  <c r="J2420" i="8" s="1"/>
  <c r="I2421" i="8"/>
  <c r="J2421" i="8" s="1"/>
  <c r="I2422" i="8"/>
  <c r="J2422" i="8" s="1"/>
  <c r="I2423" i="8"/>
  <c r="J2423" i="8" s="1"/>
  <c r="I2424" i="8"/>
  <c r="J2424" i="8" s="1"/>
  <c r="I2425" i="8"/>
  <c r="J2425" i="8" s="1"/>
  <c r="I2426" i="8"/>
  <c r="J2426" i="8" s="1"/>
  <c r="I2427" i="8"/>
  <c r="J2427" i="8" s="1"/>
  <c r="I2428" i="8"/>
  <c r="J2428" i="8" s="1"/>
  <c r="I2429" i="8"/>
  <c r="J2429" i="8" s="1"/>
  <c r="I2430" i="8"/>
  <c r="J2430" i="8" s="1"/>
  <c r="I2431" i="8"/>
  <c r="J2431" i="8" s="1"/>
  <c r="I2432" i="8"/>
  <c r="J2432" i="8" s="1"/>
  <c r="I2433" i="8"/>
  <c r="J2433" i="8" s="1"/>
  <c r="I2434" i="8"/>
  <c r="J2434" i="8" s="1"/>
  <c r="I2435" i="8"/>
  <c r="J2435" i="8" s="1"/>
  <c r="I2436" i="8"/>
  <c r="J2436" i="8" s="1"/>
  <c r="I2437" i="8"/>
  <c r="J2437" i="8" s="1"/>
  <c r="I2438" i="8"/>
  <c r="J2438" i="8" s="1"/>
  <c r="I2439" i="8"/>
  <c r="J2439" i="8" s="1"/>
  <c r="I2440" i="8"/>
  <c r="J2440" i="8" s="1"/>
  <c r="I2441" i="8"/>
  <c r="J2441" i="8" s="1"/>
  <c r="I2442" i="8"/>
  <c r="J2442" i="8" s="1"/>
  <c r="I2443" i="8"/>
  <c r="J2443" i="8" s="1"/>
  <c r="I2444" i="8"/>
  <c r="J2444" i="8" s="1"/>
  <c r="I2445" i="8"/>
  <c r="J2445" i="8" s="1"/>
  <c r="I2446" i="8"/>
  <c r="J2446" i="8" s="1"/>
  <c r="I2447" i="8"/>
  <c r="J2447" i="8" s="1"/>
  <c r="I2448" i="8"/>
  <c r="J2448" i="8" s="1"/>
  <c r="I2449" i="8"/>
  <c r="J2449" i="8" s="1"/>
  <c r="I2450" i="8"/>
  <c r="J2450" i="8" s="1"/>
  <c r="I2451" i="8"/>
  <c r="J2451" i="8" s="1"/>
  <c r="I2452" i="8"/>
  <c r="J2452" i="8" s="1"/>
  <c r="I2453" i="8"/>
  <c r="J2453" i="8" s="1"/>
  <c r="I2454" i="8"/>
  <c r="J2454" i="8" s="1"/>
  <c r="I2455" i="8"/>
  <c r="J2455" i="8" s="1"/>
  <c r="I2456" i="8"/>
  <c r="J2456" i="8" s="1"/>
  <c r="I2457" i="8"/>
  <c r="J2457" i="8" s="1"/>
  <c r="I2458" i="8"/>
  <c r="J2458" i="8" s="1"/>
  <c r="I2459" i="8"/>
  <c r="J2459" i="8" s="1"/>
  <c r="I2460" i="8"/>
  <c r="J2460" i="8" s="1"/>
  <c r="I2461" i="8"/>
  <c r="J2461" i="8" s="1"/>
  <c r="I2462" i="8"/>
  <c r="J2462" i="8" s="1"/>
  <c r="I2463" i="8"/>
  <c r="J2463" i="8" s="1"/>
  <c r="I2464" i="8"/>
  <c r="J2464" i="8" s="1"/>
  <c r="I2465" i="8"/>
  <c r="J2465" i="8" s="1"/>
  <c r="I2466" i="8"/>
  <c r="J2466" i="8" s="1"/>
  <c r="I2467" i="8"/>
  <c r="J2467" i="8" s="1"/>
  <c r="I2468" i="8"/>
  <c r="J2468" i="8" s="1"/>
  <c r="I2469" i="8"/>
  <c r="J2469" i="8" s="1"/>
  <c r="I2470" i="8"/>
  <c r="J2470" i="8" s="1"/>
  <c r="I2471" i="8"/>
  <c r="J2471" i="8" s="1"/>
  <c r="I2472" i="8"/>
  <c r="J2472" i="8" s="1"/>
  <c r="I2473" i="8"/>
  <c r="J2473" i="8" s="1"/>
  <c r="I2474" i="8"/>
  <c r="J2474" i="8" s="1"/>
  <c r="I2475" i="8"/>
  <c r="J2475" i="8" s="1"/>
  <c r="I2476" i="8"/>
  <c r="J2476" i="8" s="1"/>
  <c r="I2477" i="8"/>
  <c r="J2477" i="8" s="1"/>
  <c r="I2478" i="8"/>
  <c r="J2478" i="8" s="1"/>
  <c r="I2479" i="8"/>
  <c r="J2479" i="8" s="1"/>
  <c r="I2480" i="8"/>
  <c r="J2480" i="8" s="1"/>
  <c r="I2481" i="8"/>
  <c r="J2481" i="8" s="1"/>
  <c r="I2482" i="8"/>
  <c r="J2482" i="8" s="1"/>
  <c r="I2483" i="8"/>
  <c r="J2483" i="8" s="1"/>
  <c r="I2484" i="8"/>
  <c r="J2484" i="8" s="1"/>
  <c r="I2485" i="8"/>
  <c r="J2485" i="8" s="1"/>
  <c r="I2486" i="8"/>
  <c r="J2486" i="8" s="1"/>
  <c r="I2487" i="8"/>
  <c r="J2487" i="8" s="1"/>
  <c r="I2488" i="8"/>
  <c r="J2488" i="8" s="1"/>
  <c r="I2489" i="8"/>
  <c r="J2489" i="8" s="1"/>
  <c r="I2490" i="8"/>
  <c r="J2490" i="8" s="1"/>
  <c r="I2491" i="8"/>
  <c r="J2491" i="8" s="1"/>
  <c r="I2492" i="8"/>
  <c r="J2492" i="8" s="1"/>
  <c r="I2493" i="8"/>
  <c r="J2493" i="8" s="1"/>
  <c r="I2494" i="8"/>
  <c r="J2494" i="8" s="1"/>
  <c r="I2495" i="8"/>
  <c r="J2495" i="8" s="1"/>
  <c r="I2496" i="8"/>
  <c r="J2496" i="8" s="1"/>
  <c r="I2497" i="8"/>
  <c r="J2497" i="8" s="1"/>
  <c r="I2498" i="8"/>
  <c r="J2498" i="8" s="1"/>
  <c r="I2499" i="8"/>
  <c r="J2499" i="8" s="1"/>
  <c r="I2500" i="8"/>
  <c r="J2500" i="8" s="1"/>
  <c r="I2501" i="8"/>
  <c r="J2501" i="8" s="1"/>
  <c r="I2502" i="8"/>
  <c r="J2502" i="8" s="1"/>
  <c r="I2503" i="8"/>
  <c r="J2503" i="8" s="1"/>
  <c r="I2504" i="8"/>
  <c r="J2504" i="8" s="1"/>
  <c r="I2505" i="8"/>
  <c r="J2505" i="8" s="1"/>
  <c r="I2506" i="8"/>
  <c r="J2506" i="8" s="1"/>
  <c r="I2507" i="8"/>
  <c r="J2507" i="8" s="1"/>
  <c r="I1984" i="8"/>
  <c r="J1984" i="8" s="1"/>
  <c r="V14" i="11"/>
  <c r="V18" i="11"/>
  <c r="V22" i="11"/>
  <c r="V26" i="11"/>
  <c r="V30" i="11"/>
  <c r="V34" i="11"/>
  <c r="V38" i="11"/>
  <c r="V42" i="11"/>
  <c r="V46" i="11"/>
  <c r="V50" i="11"/>
  <c r="V54" i="11"/>
  <c r="V58" i="11"/>
  <c r="V62" i="11"/>
  <c r="V66" i="11"/>
  <c r="V70" i="11"/>
  <c r="V74" i="11"/>
  <c r="V78" i="11"/>
  <c r="V82" i="11"/>
  <c r="V86" i="11"/>
  <c r="V90" i="11"/>
  <c r="V94" i="11"/>
  <c r="V98" i="11"/>
  <c r="V102" i="11"/>
  <c r="V106" i="11"/>
  <c r="V110" i="11"/>
  <c r="V114" i="11"/>
  <c r="V118" i="11"/>
  <c r="V122" i="11"/>
  <c r="V126" i="11"/>
  <c r="V130" i="11"/>
  <c r="V134" i="11"/>
  <c r="V138" i="11"/>
  <c r="V142" i="11"/>
  <c r="V146" i="11"/>
  <c r="V150" i="11"/>
  <c r="V154" i="11"/>
  <c r="V158" i="11"/>
  <c r="V162" i="11"/>
  <c r="V166" i="11"/>
  <c r="V170" i="11"/>
  <c r="V174" i="11"/>
  <c r="V178" i="11"/>
  <c r="U11" i="11"/>
  <c r="V11" i="11" s="1"/>
  <c r="U12" i="11"/>
  <c r="V12" i="11" s="1"/>
  <c r="U13" i="11"/>
  <c r="V13" i="11" s="1"/>
  <c r="U14" i="11"/>
  <c r="U15" i="11"/>
  <c r="V15" i="11" s="1"/>
  <c r="U16" i="11"/>
  <c r="V16" i="11" s="1"/>
  <c r="U17" i="11"/>
  <c r="V17" i="11" s="1"/>
  <c r="U18" i="11"/>
  <c r="U19" i="11"/>
  <c r="V19" i="11" s="1"/>
  <c r="U20" i="11"/>
  <c r="V20" i="11" s="1"/>
  <c r="U21" i="11"/>
  <c r="V21" i="11" s="1"/>
  <c r="U22" i="11"/>
  <c r="U23" i="11"/>
  <c r="V23" i="11" s="1"/>
  <c r="U24" i="11"/>
  <c r="V24" i="11" s="1"/>
  <c r="U25" i="11"/>
  <c r="V25" i="11" s="1"/>
  <c r="U26" i="11"/>
  <c r="U27" i="11"/>
  <c r="V27" i="11" s="1"/>
  <c r="U28" i="11"/>
  <c r="V28" i="11" s="1"/>
  <c r="U29" i="11"/>
  <c r="V29" i="11" s="1"/>
  <c r="U30" i="11"/>
  <c r="U31" i="11"/>
  <c r="V31" i="11" s="1"/>
  <c r="U32" i="11"/>
  <c r="V32" i="11" s="1"/>
  <c r="U33" i="11"/>
  <c r="V33" i="11" s="1"/>
  <c r="U34" i="11"/>
  <c r="U35" i="11"/>
  <c r="V35" i="11" s="1"/>
  <c r="U36" i="11"/>
  <c r="V36" i="11" s="1"/>
  <c r="U37" i="11"/>
  <c r="V37" i="11" s="1"/>
  <c r="U38" i="11"/>
  <c r="U39" i="11"/>
  <c r="V39" i="11" s="1"/>
  <c r="U40" i="11"/>
  <c r="V40" i="11" s="1"/>
  <c r="U41" i="11"/>
  <c r="V41" i="11" s="1"/>
  <c r="U42" i="11"/>
  <c r="U43" i="11"/>
  <c r="V43" i="11" s="1"/>
  <c r="U44" i="11"/>
  <c r="V44" i="11" s="1"/>
  <c r="U45" i="11"/>
  <c r="V45" i="11" s="1"/>
  <c r="U46" i="11"/>
  <c r="U47" i="11"/>
  <c r="V47" i="11" s="1"/>
  <c r="U48" i="11"/>
  <c r="V48" i="11" s="1"/>
  <c r="U49" i="11"/>
  <c r="V49" i="11" s="1"/>
  <c r="U50" i="11"/>
  <c r="U51" i="11"/>
  <c r="V51" i="11" s="1"/>
  <c r="U52" i="11"/>
  <c r="V52" i="11" s="1"/>
  <c r="U53" i="11"/>
  <c r="V53" i="11" s="1"/>
  <c r="U54" i="11"/>
  <c r="U55" i="11"/>
  <c r="V55" i="11" s="1"/>
  <c r="U56" i="11"/>
  <c r="V56" i="11" s="1"/>
  <c r="U57" i="11"/>
  <c r="V57" i="11" s="1"/>
  <c r="U58" i="11"/>
  <c r="U59" i="11"/>
  <c r="V59" i="11" s="1"/>
  <c r="U60" i="11"/>
  <c r="V60" i="11" s="1"/>
  <c r="U61" i="11"/>
  <c r="V61" i="11" s="1"/>
  <c r="U62" i="11"/>
  <c r="U63" i="11"/>
  <c r="V63" i="11" s="1"/>
  <c r="U64" i="11"/>
  <c r="V64" i="11" s="1"/>
  <c r="U65" i="11"/>
  <c r="V65" i="11" s="1"/>
  <c r="U66" i="11"/>
  <c r="U67" i="11"/>
  <c r="V67" i="11" s="1"/>
  <c r="U68" i="11"/>
  <c r="V68" i="11" s="1"/>
  <c r="U69" i="11"/>
  <c r="V69" i="11" s="1"/>
  <c r="U70" i="11"/>
  <c r="U71" i="11"/>
  <c r="V71" i="11" s="1"/>
  <c r="U72" i="11"/>
  <c r="V72" i="11" s="1"/>
  <c r="U73" i="11"/>
  <c r="V73" i="11" s="1"/>
  <c r="U74" i="11"/>
  <c r="U75" i="11"/>
  <c r="V75" i="11" s="1"/>
  <c r="U76" i="11"/>
  <c r="V76" i="11" s="1"/>
  <c r="U77" i="11"/>
  <c r="V77" i="11" s="1"/>
  <c r="U78" i="11"/>
  <c r="U79" i="11"/>
  <c r="V79" i="11" s="1"/>
  <c r="U80" i="11"/>
  <c r="V80" i="11" s="1"/>
  <c r="U81" i="11"/>
  <c r="V81" i="11" s="1"/>
  <c r="U82" i="11"/>
  <c r="U83" i="11"/>
  <c r="V83" i="11" s="1"/>
  <c r="U84" i="11"/>
  <c r="V84" i="11" s="1"/>
  <c r="U85" i="11"/>
  <c r="V85" i="11" s="1"/>
  <c r="U86" i="11"/>
  <c r="U87" i="11"/>
  <c r="V87" i="11" s="1"/>
  <c r="U88" i="11"/>
  <c r="V88" i="11" s="1"/>
  <c r="U89" i="11"/>
  <c r="V89" i="11" s="1"/>
  <c r="U90" i="11"/>
  <c r="U91" i="11"/>
  <c r="V91" i="11" s="1"/>
  <c r="U92" i="11"/>
  <c r="V92" i="11" s="1"/>
  <c r="U93" i="11"/>
  <c r="V93" i="11" s="1"/>
  <c r="U94" i="11"/>
  <c r="U95" i="11"/>
  <c r="V95" i="11" s="1"/>
  <c r="U96" i="11"/>
  <c r="V96" i="11" s="1"/>
  <c r="U97" i="11"/>
  <c r="V97" i="11" s="1"/>
  <c r="U98" i="11"/>
  <c r="U99" i="11"/>
  <c r="V99" i="11" s="1"/>
  <c r="U100" i="11"/>
  <c r="V100" i="11" s="1"/>
  <c r="U101" i="11"/>
  <c r="V101" i="11" s="1"/>
  <c r="U102" i="11"/>
  <c r="U103" i="11"/>
  <c r="V103" i="11" s="1"/>
  <c r="U104" i="11"/>
  <c r="V104" i="11" s="1"/>
  <c r="U105" i="11"/>
  <c r="V105" i="11" s="1"/>
  <c r="U106" i="11"/>
  <c r="U107" i="11"/>
  <c r="V107" i="11" s="1"/>
  <c r="U108" i="11"/>
  <c r="V108" i="11" s="1"/>
  <c r="U109" i="11"/>
  <c r="V109" i="11" s="1"/>
  <c r="U110" i="11"/>
  <c r="U111" i="11"/>
  <c r="V111" i="11" s="1"/>
  <c r="U112" i="11"/>
  <c r="V112" i="11" s="1"/>
  <c r="U113" i="11"/>
  <c r="V113" i="11" s="1"/>
  <c r="U114" i="11"/>
  <c r="U115" i="11"/>
  <c r="V115" i="11" s="1"/>
  <c r="U116" i="11"/>
  <c r="V116" i="11" s="1"/>
  <c r="U117" i="11"/>
  <c r="V117" i="11" s="1"/>
  <c r="U118" i="11"/>
  <c r="U119" i="11"/>
  <c r="V119" i="11" s="1"/>
  <c r="U120" i="11"/>
  <c r="V120" i="11" s="1"/>
  <c r="U121" i="11"/>
  <c r="V121" i="11" s="1"/>
  <c r="U122" i="11"/>
  <c r="U123" i="11"/>
  <c r="V123" i="11" s="1"/>
  <c r="U124" i="11"/>
  <c r="V124" i="11" s="1"/>
  <c r="U125" i="11"/>
  <c r="V125" i="11" s="1"/>
  <c r="U126" i="11"/>
  <c r="U127" i="11"/>
  <c r="V127" i="11" s="1"/>
  <c r="U128" i="11"/>
  <c r="V128" i="11" s="1"/>
  <c r="U129" i="11"/>
  <c r="V129" i="11" s="1"/>
  <c r="U130" i="11"/>
  <c r="U131" i="11"/>
  <c r="V131" i="11" s="1"/>
  <c r="U132" i="11"/>
  <c r="V132" i="11" s="1"/>
  <c r="U133" i="11"/>
  <c r="V133" i="11" s="1"/>
  <c r="U134" i="11"/>
  <c r="U135" i="11"/>
  <c r="V135" i="11" s="1"/>
  <c r="U136" i="11"/>
  <c r="V136" i="11" s="1"/>
  <c r="U137" i="11"/>
  <c r="V137" i="11" s="1"/>
  <c r="U138" i="11"/>
  <c r="U139" i="11"/>
  <c r="V139" i="11" s="1"/>
  <c r="U140" i="11"/>
  <c r="V140" i="11" s="1"/>
  <c r="U141" i="11"/>
  <c r="V141" i="11" s="1"/>
  <c r="U142" i="11"/>
  <c r="U143" i="11"/>
  <c r="V143" i="11" s="1"/>
  <c r="U144" i="11"/>
  <c r="V144" i="11" s="1"/>
  <c r="U145" i="11"/>
  <c r="V145" i="11" s="1"/>
  <c r="U146" i="11"/>
  <c r="U147" i="11"/>
  <c r="V147" i="11" s="1"/>
  <c r="U148" i="11"/>
  <c r="V148" i="11" s="1"/>
  <c r="U149" i="11"/>
  <c r="V149" i="11" s="1"/>
  <c r="U150" i="11"/>
  <c r="U151" i="11"/>
  <c r="V151" i="11" s="1"/>
  <c r="U152" i="11"/>
  <c r="V152" i="11" s="1"/>
  <c r="U153" i="11"/>
  <c r="V153" i="11" s="1"/>
  <c r="U154" i="11"/>
  <c r="U155" i="11"/>
  <c r="V155" i="11" s="1"/>
  <c r="U156" i="11"/>
  <c r="V156" i="11" s="1"/>
  <c r="U157" i="11"/>
  <c r="V157" i="11" s="1"/>
  <c r="U158" i="11"/>
  <c r="U159" i="11"/>
  <c r="V159" i="11" s="1"/>
  <c r="U160" i="11"/>
  <c r="V160" i="11" s="1"/>
  <c r="U161" i="11"/>
  <c r="V161" i="11" s="1"/>
  <c r="U162" i="11"/>
  <c r="U163" i="11"/>
  <c r="V163" i="11" s="1"/>
  <c r="U164" i="11"/>
  <c r="V164" i="11" s="1"/>
  <c r="U165" i="11"/>
  <c r="V165" i="11" s="1"/>
  <c r="U166" i="11"/>
  <c r="U167" i="11"/>
  <c r="V167" i="11" s="1"/>
  <c r="U168" i="11"/>
  <c r="V168" i="11" s="1"/>
  <c r="U169" i="11"/>
  <c r="V169" i="11" s="1"/>
  <c r="U170" i="11"/>
  <c r="U171" i="11"/>
  <c r="V171" i="11" s="1"/>
  <c r="U172" i="11"/>
  <c r="V172" i="11" s="1"/>
  <c r="U173" i="11"/>
  <c r="V173" i="11" s="1"/>
  <c r="U174" i="11"/>
  <c r="U175" i="11"/>
  <c r="V175" i="11" s="1"/>
  <c r="U176" i="11"/>
  <c r="V176" i="11" s="1"/>
  <c r="U177" i="11"/>
  <c r="V177" i="11" s="1"/>
  <c r="U178" i="11"/>
  <c r="U179" i="11"/>
  <c r="V179" i="11" s="1"/>
  <c r="U180" i="11"/>
  <c r="V180" i="11" s="1"/>
  <c r="U181" i="11"/>
  <c r="V181" i="11" s="1"/>
  <c r="U182" i="11"/>
  <c r="V182" i="11" s="1"/>
  <c r="U183" i="11"/>
  <c r="V183" i="11" s="1"/>
  <c r="U184" i="11"/>
  <c r="V184" i="11" s="1"/>
  <c r="U185" i="11"/>
  <c r="V185" i="11" s="1"/>
  <c r="U186" i="11"/>
  <c r="V186" i="11" s="1"/>
  <c r="U187" i="11"/>
  <c r="V187" i="11" s="1"/>
  <c r="U188" i="11"/>
  <c r="V188" i="11" s="1"/>
  <c r="U189" i="11"/>
  <c r="V189" i="11" s="1"/>
  <c r="U190" i="11"/>
  <c r="V190" i="11" s="1"/>
  <c r="U191" i="11"/>
  <c r="V191" i="11" s="1"/>
  <c r="U192" i="11"/>
  <c r="V192" i="11" s="1"/>
  <c r="U193" i="11"/>
  <c r="V193" i="11" s="1"/>
  <c r="U194" i="11"/>
  <c r="V194" i="11" s="1"/>
  <c r="U195" i="11"/>
  <c r="V195" i="11" s="1"/>
  <c r="U196" i="11"/>
  <c r="V196" i="11" s="1"/>
  <c r="U197" i="11"/>
  <c r="V197" i="11" s="1"/>
  <c r="U198" i="11"/>
  <c r="V198" i="11" s="1"/>
  <c r="U199" i="11"/>
  <c r="V199" i="11" s="1"/>
  <c r="U200" i="11"/>
  <c r="V200" i="11" s="1"/>
  <c r="U201" i="11"/>
  <c r="V201" i="11" s="1"/>
  <c r="U202" i="11"/>
  <c r="V202" i="11" s="1"/>
  <c r="U203" i="11"/>
  <c r="V203" i="11" s="1"/>
  <c r="U204" i="11"/>
  <c r="V204" i="11" s="1"/>
  <c r="U205" i="11"/>
  <c r="V205" i="11" s="1"/>
  <c r="U206" i="11"/>
  <c r="V206" i="11" s="1"/>
  <c r="U207" i="11"/>
  <c r="V207" i="11" s="1"/>
  <c r="U208" i="11"/>
  <c r="V208" i="11" s="1"/>
  <c r="U209" i="11"/>
  <c r="V209" i="11" s="1"/>
  <c r="U210" i="11"/>
  <c r="V210" i="11" s="1"/>
  <c r="U211" i="11"/>
  <c r="V211" i="11" s="1"/>
  <c r="U212" i="11"/>
  <c r="V212" i="11" s="1"/>
  <c r="U213" i="11"/>
  <c r="V213" i="11" s="1"/>
  <c r="U214" i="11"/>
  <c r="V214" i="11" s="1"/>
  <c r="U215" i="11"/>
  <c r="V215" i="11" s="1"/>
  <c r="U216" i="11"/>
  <c r="V216" i="11" s="1"/>
  <c r="U217" i="11"/>
  <c r="V217" i="11" s="1"/>
  <c r="U218" i="11"/>
  <c r="V218" i="11" s="1"/>
  <c r="U219" i="11"/>
  <c r="V219" i="11" s="1"/>
  <c r="U220" i="11"/>
  <c r="V220" i="11" s="1"/>
  <c r="U221" i="11"/>
  <c r="V221" i="11" s="1"/>
  <c r="U222" i="11"/>
  <c r="V222" i="11" s="1"/>
  <c r="U223" i="11"/>
  <c r="V223" i="11" s="1"/>
  <c r="U224" i="11"/>
  <c r="V224" i="11" s="1"/>
  <c r="U225" i="11"/>
  <c r="V225" i="11" s="1"/>
  <c r="U226" i="11"/>
  <c r="V226" i="11" s="1"/>
  <c r="U227" i="11"/>
  <c r="V227" i="11" s="1"/>
  <c r="U228" i="11"/>
  <c r="V228" i="11" s="1"/>
  <c r="U229" i="11"/>
  <c r="V229" i="11" s="1"/>
  <c r="U230" i="11"/>
  <c r="V230" i="11" s="1"/>
  <c r="U231" i="11"/>
  <c r="V231" i="11" s="1"/>
  <c r="U232" i="11"/>
  <c r="V232" i="11" s="1"/>
  <c r="U233" i="11"/>
  <c r="V233" i="11" s="1"/>
  <c r="U234" i="11"/>
  <c r="V234" i="11" s="1"/>
  <c r="U235" i="11"/>
  <c r="V235" i="11" s="1"/>
  <c r="U236" i="11"/>
  <c r="V236" i="11" s="1"/>
  <c r="U237" i="11"/>
  <c r="V237" i="11" s="1"/>
  <c r="U238" i="11"/>
  <c r="V238" i="11" s="1"/>
  <c r="U239" i="11"/>
  <c r="V239" i="11" s="1"/>
  <c r="U240" i="11"/>
  <c r="V240" i="11" s="1"/>
  <c r="U241" i="11"/>
  <c r="V241" i="11" s="1"/>
  <c r="U242" i="11"/>
  <c r="V242" i="11" s="1"/>
  <c r="U243" i="11"/>
  <c r="V243" i="11" s="1"/>
  <c r="U244" i="11"/>
  <c r="V244" i="11" s="1"/>
  <c r="U245" i="11"/>
  <c r="V245" i="11" s="1"/>
  <c r="U246" i="11"/>
  <c r="V246" i="11" s="1"/>
  <c r="U247" i="11"/>
  <c r="V247" i="11" s="1"/>
  <c r="U248" i="11"/>
  <c r="V248" i="11" s="1"/>
  <c r="U249" i="11"/>
  <c r="V249" i="11" s="1"/>
  <c r="U250" i="11"/>
  <c r="V250" i="11" s="1"/>
  <c r="U251" i="11"/>
  <c r="V251" i="11" s="1"/>
  <c r="U252" i="11"/>
  <c r="V252" i="11" s="1"/>
  <c r="U253" i="11"/>
  <c r="V253" i="11" s="1"/>
  <c r="U254" i="11"/>
  <c r="V254" i="11" s="1"/>
  <c r="U255" i="11"/>
  <c r="V255" i="11" s="1"/>
  <c r="U256" i="11"/>
  <c r="V256" i="11" s="1"/>
  <c r="U257" i="11"/>
  <c r="V257" i="11" s="1"/>
  <c r="U258" i="11"/>
  <c r="V258" i="11" s="1"/>
  <c r="U259" i="11"/>
  <c r="V259" i="11" s="1"/>
  <c r="U260" i="11"/>
  <c r="V260" i="11" s="1"/>
  <c r="U261" i="11"/>
  <c r="V261" i="11" s="1"/>
  <c r="U262" i="11"/>
  <c r="V262" i="11" s="1"/>
  <c r="U263" i="11"/>
  <c r="V263" i="11" s="1"/>
  <c r="U264" i="11"/>
  <c r="V264" i="11" s="1"/>
  <c r="U265" i="11"/>
  <c r="V265" i="11" s="1"/>
  <c r="U266" i="11"/>
  <c r="V266" i="11" s="1"/>
  <c r="U267" i="11"/>
  <c r="V267" i="11" s="1"/>
  <c r="U268" i="11"/>
  <c r="V268" i="11" s="1"/>
  <c r="U269" i="11"/>
  <c r="V269" i="11" s="1"/>
  <c r="U270" i="11"/>
  <c r="V270" i="11" s="1"/>
  <c r="U271" i="11"/>
  <c r="V271" i="11" s="1"/>
  <c r="U272" i="11"/>
  <c r="V272" i="11" s="1"/>
  <c r="U273" i="11"/>
  <c r="V273" i="11" s="1"/>
  <c r="U274" i="11"/>
  <c r="V274" i="11" s="1"/>
  <c r="U275" i="11"/>
  <c r="V275" i="11" s="1"/>
  <c r="U276" i="11"/>
  <c r="V276" i="11" s="1"/>
  <c r="U277" i="11"/>
  <c r="V277" i="11" s="1"/>
  <c r="U278" i="11"/>
  <c r="V278" i="11" s="1"/>
  <c r="U279" i="11"/>
  <c r="V279" i="11" s="1"/>
  <c r="U280" i="11"/>
  <c r="V280" i="11" s="1"/>
  <c r="U281" i="11"/>
  <c r="V281" i="11" s="1"/>
  <c r="U282" i="11"/>
  <c r="V282" i="11" s="1"/>
  <c r="U283" i="11"/>
  <c r="V283" i="11" s="1"/>
  <c r="U284" i="11"/>
  <c r="V284" i="11" s="1"/>
  <c r="U285" i="11"/>
  <c r="V285" i="11" s="1"/>
  <c r="U286" i="11"/>
  <c r="V286" i="11" s="1"/>
  <c r="U287" i="11"/>
  <c r="V287" i="11" s="1"/>
  <c r="U288" i="11"/>
  <c r="V288" i="11" s="1"/>
  <c r="U289" i="11"/>
  <c r="V289" i="11" s="1"/>
  <c r="U290" i="11"/>
  <c r="V290" i="11" s="1"/>
  <c r="U291" i="11"/>
  <c r="V291" i="11" s="1"/>
  <c r="U292" i="11"/>
  <c r="V292" i="11" s="1"/>
  <c r="U293" i="11"/>
  <c r="V293" i="11" s="1"/>
  <c r="U294" i="11"/>
  <c r="V294" i="11" s="1"/>
  <c r="U295" i="11"/>
  <c r="V295" i="11" s="1"/>
  <c r="U296" i="11"/>
  <c r="V296" i="11" s="1"/>
  <c r="U297" i="11"/>
  <c r="V297" i="11" s="1"/>
  <c r="U298" i="11"/>
  <c r="V298" i="11" s="1"/>
  <c r="U299" i="11"/>
  <c r="V299" i="11" s="1"/>
  <c r="U300" i="11"/>
  <c r="V300" i="11" s="1"/>
  <c r="U301" i="11"/>
  <c r="V301" i="11" s="1"/>
  <c r="U302" i="11"/>
  <c r="V302" i="11" s="1"/>
  <c r="U303" i="11"/>
  <c r="V303" i="11" s="1"/>
  <c r="U304" i="11"/>
  <c r="V304" i="11" s="1"/>
  <c r="U305" i="11"/>
  <c r="V305" i="11" s="1"/>
  <c r="U306" i="11"/>
  <c r="V306" i="11" s="1"/>
  <c r="U307" i="11"/>
  <c r="V307" i="11" s="1"/>
  <c r="U308" i="11"/>
  <c r="V308" i="11" s="1"/>
  <c r="U309" i="11"/>
  <c r="V309" i="11" s="1"/>
  <c r="U310" i="11"/>
  <c r="V310" i="11" s="1"/>
  <c r="U311" i="11"/>
  <c r="V311" i="11" s="1"/>
  <c r="U312" i="11"/>
  <c r="V312" i="11" s="1"/>
  <c r="U313" i="11"/>
  <c r="V313" i="11" s="1"/>
  <c r="U314" i="11"/>
  <c r="V314" i="11" s="1"/>
  <c r="U315" i="11"/>
  <c r="V315" i="11" s="1"/>
  <c r="U316" i="11"/>
  <c r="V316" i="11" s="1"/>
  <c r="U317" i="11"/>
  <c r="V317" i="11" s="1"/>
  <c r="U318" i="11"/>
  <c r="V318" i="11" s="1"/>
  <c r="U319" i="11"/>
  <c r="V319" i="11" s="1"/>
  <c r="U320" i="11"/>
  <c r="V320" i="11" s="1"/>
  <c r="U321" i="11"/>
  <c r="V321" i="11" s="1"/>
  <c r="U322" i="11"/>
  <c r="V322" i="11" s="1"/>
  <c r="U323" i="11"/>
  <c r="V323" i="11" s="1"/>
  <c r="U324" i="11"/>
  <c r="V324" i="11" s="1"/>
  <c r="U325" i="11"/>
  <c r="V325" i="11" s="1"/>
  <c r="U326" i="11"/>
  <c r="V326" i="11" s="1"/>
  <c r="U327" i="11"/>
  <c r="V327" i="11" s="1"/>
  <c r="U328" i="11"/>
  <c r="V328" i="11" s="1"/>
  <c r="U329" i="11"/>
  <c r="V329" i="11" s="1"/>
  <c r="U330" i="11"/>
  <c r="V330" i="11" s="1"/>
  <c r="U331" i="11"/>
  <c r="V331" i="11" s="1"/>
  <c r="U332" i="11"/>
  <c r="V332" i="11" s="1"/>
  <c r="U333" i="11"/>
  <c r="V333" i="11" s="1"/>
  <c r="U334" i="11"/>
  <c r="V334" i="11" s="1"/>
  <c r="U335" i="11"/>
  <c r="V335" i="11" s="1"/>
  <c r="U336" i="11"/>
  <c r="V336" i="11" s="1"/>
  <c r="U337" i="11"/>
  <c r="V337" i="11" s="1"/>
  <c r="U338" i="11"/>
  <c r="V338" i="11" s="1"/>
  <c r="U339" i="11"/>
  <c r="V339" i="11" s="1"/>
  <c r="U340" i="11"/>
  <c r="V340" i="11" s="1"/>
  <c r="U341" i="11"/>
  <c r="V341" i="11" s="1"/>
  <c r="U342" i="11"/>
  <c r="V342" i="11" s="1"/>
  <c r="U343" i="11"/>
  <c r="V343" i="11" s="1"/>
  <c r="U344" i="11"/>
  <c r="V344" i="11" s="1"/>
  <c r="U345" i="11"/>
  <c r="V345" i="11" s="1"/>
  <c r="U10" i="11"/>
  <c r="V10" i="11" s="1"/>
  <c r="M7" i="9" l="1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6" i="9"/>
</calcChain>
</file>

<file path=xl/sharedStrings.xml><?xml version="1.0" encoding="utf-8"?>
<sst xmlns="http://schemas.openxmlformats.org/spreadsheetml/2006/main" count="3521" uniqueCount="3057">
  <si>
    <t>DropGroupID</t>
  </si>
  <si>
    <t>Enabled</t>
  </si>
  <si>
    <t>ModChanceByLevel</t>
  </si>
  <si>
    <t>Item</t>
  </si>
  <si>
    <t>Weight</t>
  </si>
  <si>
    <t>CountMin</t>
  </si>
  <si>
    <t>CountMax</t>
  </si>
  <si>
    <t>desc</t>
  </si>
  <si>
    <t>字段</t>
    <phoneticPr fontId="1" type="noConversion"/>
  </si>
  <si>
    <t>描述</t>
    <phoneticPr fontId="1" type="noConversion"/>
  </si>
  <si>
    <t>说明</t>
    <phoneticPr fontId="1" type="noConversion"/>
  </si>
  <si>
    <t>id</t>
    <phoneticPr fontId="1" type="noConversion"/>
  </si>
  <si>
    <t>是否有效</t>
    <phoneticPr fontId="1" type="noConversion"/>
  </si>
  <si>
    <t>设置为1</t>
    <phoneticPr fontId="1" type="noConversion"/>
  </si>
  <si>
    <t>1会衰减，0不会衰减</t>
    <phoneticPr fontId="1" type="noConversion"/>
  </si>
  <si>
    <t>等级衰减标志</t>
    <phoneticPr fontId="1" type="noConversion"/>
  </si>
  <si>
    <t>权重</t>
    <phoneticPr fontId="1" type="noConversion"/>
  </si>
  <si>
    <t>最小数量</t>
    <phoneticPr fontId="1" type="noConversion"/>
  </si>
  <si>
    <t>最大数量</t>
    <phoneticPr fontId="1" type="noConversion"/>
  </si>
  <si>
    <t>描述信息</t>
    <phoneticPr fontId="1" type="noConversion"/>
  </si>
  <si>
    <t>不会导入txt</t>
    <phoneticPr fontId="1" type="noConversion"/>
  </si>
  <si>
    <t>道具id</t>
    <phoneticPr fontId="1" type="noConversion"/>
  </si>
  <si>
    <t>doodad</t>
  </si>
  <si>
    <t>quest，monstor</t>
  </si>
  <si>
    <t>Client</t>
  </si>
  <si>
    <t>祝福油</t>
  </si>
  <si>
    <t>海族的武器</t>
  </si>
  <si>
    <t>疗伤草药</t>
  </si>
  <si>
    <t>货物</t>
  </si>
  <si>
    <t>疗毒草药</t>
  </si>
  <si>
    <t>元素精魄</t>
  </si>
  <si>
    <t>散落的货物</t>
  </si>
  <si>
    <t>黑暗晶体</t>
  </si>
  <si>
    <t>前线药剂箱</t>
  </si>
  <si>
    <t>腐烂的蚌肉</t>
  </si>
  <si>
    <t>香甜的蟹肉</t>
  </si>
  <si>
    <t>幻魔晶石</t>
  </si>
  <si>
    <t>库奇的地图</t>
  </si>
  <si>
    <t>发光的鳞片</t>
  </si>
  <si>
    <t>猛犸人的象牙</t>
  </si>
  <si>
    <t>黑鲛长矛</t>
  </si>
  <si>
    <t>遗物</t>
  </si>
  <si>
    <t>商人的货物</t>
  </si>
  <si>
    <t>治疗精神病古方的药物一</t>
  </si>
  <si>
    <t>治疗精神病古方的药物二</t>
  </si>
  <si>
    <t>操虫师的药引</t>
  </si>
  <si>
    <t>沙地金笋</t>
  </si>
  <si>
    <t>翔</t>
  </si>
  <si>
    <t>毒龙草</t>
  </si>
  <si>
    <t>奇异石头</t>
  </si>
  <si>
    <t>魔虫的翔</t>
  </si>
  <si>
    <t>蛇卵</t>
  </si>
  <si>
    <t>仙人掌瓣</t>
  </si>
  <si>
    <t>木材</t>
  </si>
  <si>
    <t>奇怪的矿石</t>
  </si>
  <si>
    <t>菱铁矿</t>
  </si>
  <si>
    <t>瘟疫的蔓延</t>
  </si>
  <si>
    <t>蟹螯</t>
  </si>
  <si>
    <t>地图碎片</t>
  </si>
  <si>
    <t>僵尸的腿骨粉末</t>
  </si>
  <si>
    <t>土灵核心</t>
  </si>
  <si>
    <t>食人蜥蜴的鳞片</t>
  </si>
  <si>
    <t>魔犬之血</t>
  </si>
  <si>
    <t>海蜥蜴人的鳞片</t>
  </si>
  <si>
    <t>法师袍子</t>
  </si>
  <si>
    <t>冷静药剂</t>
  </si>
  <si>
    <t>催化药剂</t>
  </si>
  <si>
    <t>剑齿虎皮套</t>
  </si>
  <si>
    <t>熊掌</t>
  </si>
  <si>
    <t>幼熊熊掌</t>
  </si>
  <si>
    <t>魔化之血</t>
  </si>
  <si>
    <t>冰魔之心</t>
  </si>
  <si>
    <t>雪精灵的心脏</t>
  </si>
  <si>
    <t>神秘的石盘</t>
  </si>
  <si>
    <t>冰冷的黑色晶核</t>
  </si>
  <si>
    <t>龙典</t>
  </si>
  <si>
    <t>装满火药的大桶</t>
  </si>
  <si>
    <t>石目的作战计划</t>
  </si>
  <si>
    <t>魔晶碎片</t>
  </si>
  <si>
    <t>灵能晶核</t>
  </si>
  <si>
    <t>红蛇的**</t>
  </si>
  <si>
    <t>黄蛇的**</t>
  </si>
  <si>
    <t>魔虫的**</t>
  </si>
  <si>
    <t>蛇胆</t>
  </si>
  <si>
    <t>魔树根</t>
  </si>
  <si>
    <t>蝙蝠爪</t>
  </si>
  <si>
    <t>蟹钳</t>
  </si>
  <si>
    <t>骷髅戒指</t>
  </si>
  <si>
    <t>碎裂的龟壳</t>
  </si>
  <si>
    <t>矿石</t>
  </si>
  <si>
    <t>魔魂草</t>
  </si>
  <si>
    <t>魔盔之卵</t>
  </si>
  <si>
    <t>恐蛇胆</t>
  </si>
  <si>
    <t>五龙卫之书</t>
  </si>
  <si>
    <t>迟来的真相</t>
  </si>
  <si>
    <t>矿工日记</t>
  </si>
  <si>
    <t>和尚日记</t>
  </si>
  <si>
    <t>副官日记（上）</t>
  </si>
  <si>
    <t>副官日记（下）</t>
  </si>
  <si>
    <t>玲月</t>
  </si>
  <si>
    <t>阿九</t>
  </si>
  <si>
    <t>南苍公</t>
  </si>
  <si>
    <t>铁牛的护身符（上）</t>
  </si>
  <si>
    <t>铁牛的护身符（中）</t>
  </si>
  <si>
    <t>铁牛的护身符（下）</t>
  </si>
  <si>
    <t>朴克手记</t>
  </si>
  <si>
    <t>永不凋谢的睡莲</t>
  </si>
  <si>
    <t>奇怪的石板</t>
  </si>
  <si>
    <t>鲜艳的花</t>
  </si>
  <si>
    <t>茂盛的绿叶植物</t>
  </si>
  <si>
    <t>甘绿草</t>
  </si>
  <si>
    <t>Both</t>
  </si>
  <si>
    <t>Server</t>
  </si>
  <si>
    <t>藏匿的宝贝</t>
  </si>
  <si>
    <t>海边的贝壳</t>
  </si>
  <si>
    <t>紫菀花</t>
  </si>
  <si>
    <t>特殊怪物掉落</t>
  </si>
  <si>
    <t>潘多拉/挖尸体</t>
  </si>
  <si>
    <t>强效金创药</t>
  </si>
  <si>
    <t>超级金创药</t>
  </si>
  <si>
    <t>狂热幻彩灵石1级</t>
  </si>
  <si>
    <t>狂热幻彩灵石2级</t>
  </si>
  <si>
    <t>狂热幻彩灵石3级</t>
  </si>
  <si>
    <t>狂热幻彩灵石4级</t>
  </si>
  <si>
    <t>狂热幻彩灵石5级</t>
  </si>
  <si>
    <t>狂热幻彩灵石6级</t>
  </si>
  <si>
    <t>狂热幻彩灵石7级</t>
  </si>
  <si>
    <t>狂热幻彩灵石8级</t>
  </si>
  <si>
    <t>狂热幻彩灵石9级</t>
  </si>
  <si>
    <t>狂热幻彩灵石10级</t>
  </si>
  <si>
    <t>公会回城石</t>
  </si>
  <si>
    <t>尖锐的长牙</t>
  </si>
  <si>
    <t>统御朱砂灵石2级卷轴</t>
  </si>
  <si>
    <t>统御朱砂灵石3级卷轴</t>
  </si>
  <si>
    <t>统御朱砂灵石4级卷轴</t>
  </si>
  <si>
    <t>统御朱砂灵石5级卷轴</t>
  </si>
  <si>
    <t>统御朱砂灵石6级卷轴</t>
  </si>
  <si>
    <t>统御朱砂灵石7级卷轴</t>
  </si>
  <si>
    <t>统御朱砂灵石8级卷轴</t>
  </si>
  <si>
    <t>统御朱砂灵石9级卷轴</t>
  </si>
  <si>
    <t>统御朱砂灵石10级卷轴</t>
  </si>
  <si>
    <t>强壮朱砂灵石2级卷轴</t>
  </si>
  <si>
    <t>强壮朱砂灵石3级卷轴</t>
  </si>
  <si>
    <t>强壮朱砂灵石4级卷轴</t>
  </si>
  <si>
    <t>强壮朱砂灵石5级卷轴</t>
  </si>
  <si>
    <t>强壮朱砂灵石6级卷轴</t>
  </si>
  <si>
    <t>强壮朱砂灵石7级卷轴</t>
  </si>
  <si>
    <t>强壮朱砂灵石8级卷轴</t>
  </si>
  <si>
    <t>强壮朱砂灵石9级卷轴</t>
  </si>
  <si>
    <t>强壮朱砂灵石10级卷轴</t>
  </si>
  <si>
    <t>致命日光灵石2级卷轴</t>
  </si>
  <si>
    <t>致命日光灵石3级卷轴</t>
  </si>
  <si>
    <t>致命日光灵石4级卷轴</t>
  </si>
  <si>
    <t>致命日光灵石5级卷轴</t>
  </si>
  <si>
    <t>致命日光灵石6级卷轴</t>
  </si>
  <si>
    <t>致命日光灵石7级卷轴</t>
  </si>
  <si>
    <t>致命日光灵石8级卷轴</t>
  </si>
  <si>
    <t>致命日光灵石9级卷轴</t>
  </si>
  <si>
    <t>致命日光灵石10级卷轴</t>
  </si>
  <si>
    <t>守护日光灵石2级卷轴</t>
  </si>
  <si>
    <t>守护日光灵石3级卷轴</t>
  </si>
  <si>
    <t>守护日光灵石4级卷轴</t>
  </si>
  <si>
    <t>守护日光灵石5级卷轴</t>
  </si>
  <si>
    <t>守护日光灵石6级卷轴</t>
  </si>
  <si>
    <t>守护日光灵石7级卷轴</t>
  </si>
  <si>
    <t>守护日光灵石8级卷轴</t>
  </si>
  <si>
    <t>守护日光灵石9级卷轴</t>
  </si>
  <si>
    <t>守护日光灵石10级卷轴</t>
  </si>
  <si>
    <t>准确蔚蓝灵石2级卷轴</t>
  </si>
  <si>
    <t>准确蔚蓝灵石3级卷轴</t>
  </si>
  <si>
    <t>准确蔚蓝灵石4级卷轴</t>
  </si>
  <si>
    <t>准确蔚蓝灵石5级卷轴</t>
  </si>
  <si>
    <t>准确蔚蓝灵石6级卷轴</t>
  </si>
  <si>
    <t>准确蔚蓝灵石7级卷轴</t>
  </si>
  <si>
    <t>准确蔚蓝灵石8级卷轴</t>
  </si>
  <si>
    <t>准确蔚蓝灵石9级卷轴</t>
  </si>
  <si>
    <t>准确蔚蓝灵石10级卷轴</t>
  </si>
  <si>
    <t>睿智蔚蓝灵石2级卷轴</t>
  </si>
  <si>
    <t>睿智蔚蓝灵石3级卷轴</t>
  </si>
  <si>
    <t>睿智蔚蓝灵石4级卷轴</t>
  </si>
  <si>
    <t>睿智蔚蓝灵石5级卷轴</t>
  </si>
  <si>
    <t>睿智蔚蓝灵石6级卷轴</t>
  </si>
  <si>
    <t>睿智蔚蓝灵石7级卷轴</t>
  </si>
  <si>
    <t>睿智蔚蓝灵石8级卷轴</t>
  </si>
  <si>
    <t>睿智蔚蓝灵石9级卷轴</t>
  </si>
  <si>
    <t>睿智蔚蓝灵石10级卷轴</t>
  </si>
  <si>
    <t>轻盈碧绿灵石2级卷轴</t>
  </si>
  <si>
    <t>轻盈碧绿灵石3级卷轴</t>
  </si>
  <si>
    <t>轻盈碧绿灵石4级卷轴</t>
  </si>
  <si>
    <t>轻盈碧绿灵石5级卷轴</t>
  </si>
  <si>
    <t>轻盈碧绿灵石6级卷轴</t>
  </si>
  <si>
    <t>轻盈碧绿灵石7级卷轴</t>
  </si>
  <si>
    <t>轻盈碧绿灵石8级卷轴</t>
  </si>
  <si>
    <t>轻盈碧绿灵石9级卷轴</t>
  </si>
  <si>
    <t>轻盈碧绿灵石10级卷轴</t>
  </si>
  <si>
    <t>强袭碧绿灵石2级卷轴</t>
  </si>
  <si>
    <t>强袭碧绿灵石3级卷轴</t>
  </si>
  <si>
    <t>强袭碧绿灵石4级卷轴</t>
  </si>
  <si>
    <t>强袭碧绿灵石5级卷轴</t>
  </si>
  <si>
    <t>强袭碧绿灵石6级卷轴</t>
  </si>
  <si>
    <t>强袭碧绿灵石7级卷轴</t>
  </si>
  <si>
    <t>强袭碧绿灵石8级卷轴</t>
  </si>
  <si>
    <t>强袭碧绿灵石9级卷轴</t>
  </si>
  <si>
    <t>强袭碧绿灵石10级卷轴</t>
  </si>
  <si>
    <t>坚韧暗紫灵石2级卷轴</t>
  </si>
  <si>
    <t>坚韧暗紫灵石3级卷轴</t>
  </si>
  <si>
    <t>坚韧暗紫灵石4级卷轴</t>
  </si>
  <si>
    <t>坚韧暗紫灵石5级卷轴</t>
  </si>
  <si>
    <t>坚韧暗紫灵石6级卷轴</t>
  </si>
  <si>
    <t>坚韧暗紫灵石7级卷轴</t>
  </si>
  <si>
    <t>坚韧暗紫灵石8级卷轴</t>
  </si>
  <si>
    <t>坚韧暗紫灵石9级卷轴</t>
  </si>
  <si>
    <t>坚韧暗紫灵石10级卷轴</t>
  </si>
  <si>
    <t>纯洁暗紫灵石2级卷轴</t>
  </si>
  <si>
    <t>纯洁暗紫灵石3级卷轴</t>
  </si>
  <si>
    <t>纯洁暗紫灵石4级卷轴</t>
  </si>
  <si>
    <t>纯洁暗紫灵石5级卷轴</t>
  </si>
  <si>
    <t>纯洁暗紫灵石6级卷轴</t>
  </si>
  <si>
    <t>纯洁暗紫灵石7级卷轴</t>
  </si>
  <si>
    <t>纯洁暗紫灵石8级卷轴</t>
  </si>
  <si>
    <t>纯洁暗紫灵石9级卷轴</t>
  </si>
  <si>
    <t>纯洁暗紫灵石10级卷轴</t>
  </si>
  <si>
    <t>进击幻彩灵石2级卷轴</t>
  </si>
  <si>
    <t>进击幻彩灵石3级卷轴</t>
  </si>
  <si>
    <t>进击幻彩灵石4级卷轴</t>
  </si>
  <si>
    <t>进击幻彩灵石5级卷轴</t>
  </si>
  <si>
    <t>进击幻彩灵石6级卷轴</t>
  </si>
  <si>
    <t>进击幻彩灵石7级卷轴</t>
  </si>
  <si>
    <t>进击幻彩灵石8级卷轴</t>
  </si>
  <si>
    <t>进击幻彩灵石9级卷轴</t>
  </si>
  <si>
    <t>进击幻彩灵石10级卷轴</t>
  </si>
  <si>
    <t>抵御幻彩灵石2级卷轴</t>
  </si>
  <si>
    <t>抵御幻彩灵石3级卷轴</t>
  </si>
  <si>
    <t>抵御幻彩灵石4级卷轴</t>
  </si>
  <si>
    <t>抵御幻彩灵石5级卷轴</t>
  </si>
  <si>
    <t>抵御幻彩灵石6级卷轴</t>
  </si>
  <si>
    <t>抵御幻彩灵石7级卷轴</t>
  </si>
  <si>
    <t>抵御幻彩灵石8级卷轴</t>
  </si>
  <si>
    <t>抵御幻彩灵石9级卷轴</t>
  </si>
  <si>
    <t>抵御幻彩灵石10级卷轴</t>
  </si>
  <si>
    <t>狂热幻彩灵石2级卷轴</t>
  </si>
  <si>
    <t>狂热幻彩灵石3级卷轴</t>
  </si>
  <si>
    <t>狂热幻彩灵石4级卷轴</t>
  </si>
  <si>
    <t>狂热幻彩灵石5级卷轴</t>
  </si>
  <si>
    <t>狂热幻彩灵石6级卷轴</t>
  </si>
  <si>
    <t>狂热幻彩灵石7级卷轴</t>
  </si>
  <si>
    <t>狂热幻彩灵石8级卷轴</t>
  </si>
  <si>
    <t>狂热幻彩灵石9级卷轴</t>
  </si>
  <si>
    <t>狂热幻彩灵石10级卷轴</t>
  </si>
  <si>
    <t>传奇七星草</t>
  </si>
  <si>
    <t>金创药(小量)</t>
  </si>
  <si>
    <t>金创药(中量)</t>
  </si>
  <si>
    <t>小金创药(绑定)</t>
  </si>
  <si>
    <t>中金创药(绑定)</t>
  </si>
  <si>
    <t>魔法药(小量)</t>
  </si>
  <si>
    <t>魔法药(中量)</t>
  </si>
  <si>
    <t>新手药水(绑定)</t>
  </si>
  <si>
    <t>金创药(小)包</t>
  </si>
  <si>
    <t>金创药(中)包</t>
  </si>
  <si>
    <t>魔法药(小)包</t>
  </si>
  <si>
    <t>魔法药(中)包</t>
  </si>
  <si>
    <t>灰色药粉(少量)</t>
  </si>
  <si>
    <t>灰色药粉(中量)</t>
  </si>
  <si>
    <t>灰色药粉(大量)</t>
  </si>
  <si>
    <t>黄色药粉(少量)</t>
  </si>
  <si>
    <t>黄色药粉(中量)</t>
  </si>
  <si>
    <t>黄色药粉(大量)</t>
  </si>
  <si>
    <t>护身符(大)</t>
  </si>
  <si>
    <t>初级攻城车</t>
  </si>
  <si>
    <t>中级攻城车</t>
  </si>
  <si>
    <t>高级攻城车</t>
  </si>
  <si>
    <t>道士日记</t>
  </si>
  <si>
    <t>副官日记(上)</t>
  </si>
  <si>
    <t>副官日记(下)</t>
  </si>
  <si>
    <t>铁牛的护身符(上)</t>
  </si>
  <si>
    <t>铁牛的护身符(中)</t>
  </si>
  <si>
    <t>铁牛的护身符(下)</t>
  </si>
  <si>
    <t>复活丹</t>
  </si>
  <si>
    <t>赎罪符03</t>
  </si>
  <si>
    <t>赎罪符04</t>
  </si>
  <si>
    <t>木剑</t>
  </si>
  <si>
    <t>匕首</t>
  </si>
  <si>
    <t>乌木剑</t>
  </si>
  <si>
    <t>青铜剑</t>
  </si>
  <si>
    <t>短剑</t>
  </si>
  <si>
    <t>铁剑</t>
  </si>
  <si>
    <t>鹤嘴锄</t>
  </si>
  <si>
    <t>青铜斧</t>
  </si>
  <si>
    <t>海魂</t>
  </si>
  <si>
    <t>八荒</t>
  </si>
  <si>
    <t>半月</t>
  </si>
  <si>
    <t>凌风</t>
  </si>
  <si>
    <t>偃月</t>
  </si>
  <si>
    <t>破魂</t>
  </si>
  <si>
    <t>降魔</t>
  </si>
  <si>
    <t>斩马刀</t>
  </si>
  <si>
    <t>修罗</t>
  </si>
  <si>
    <t>魔杖</t>
  </si>
  <si>
    <t>炼狱</t>
  </si>
  <si>
    <t>凝霜</t>
  </si>
  <si>
    <t>银蛇</t>
  </si>
  <si>
    <t>井中月</t>
  </si>
  <si>
    <t>血饮</t>
  </si>
  <si>
    <t>无极棍</t>
  </si>
  <si>
    <t>裁决</t>
  </si>
  <si>
    <t>屠龙</t>
  </si>
  <si>
    <t>龙纹剑</t>
  </si>
  <si>
    <t>骨玉权杖</t>
  </si>
  <si>
    <t>嗜魂法杖</t>
  </si>
  <si>
    <t>命运之刃</t>
  </si>
  <si>
    <t>逍遥扇</t>
  </si>
  <si>
    <t>怒斩</t>
  </si>
  <si>
    <t>龙牙</t>
  </si>
  <si>
    <t>祈祷之刃</t>
  </si>
  <si>
    <t>金项链</t>
  </si>
  <si>
    <t>传统项链</t>
  </si>
  <si>
    <t>黄色水晶项链</t>
  </si>
  <si>
    <t>黑檀项链</t>
  </si>
  <si>
    <t>黑色水晶项链</t>
  </si>
  <si>
    <t>白金项链</t>
  </si>
  <si>
    <t>白色虎齿项链</t>
  </si>
  <si>
    <t>灯笼项链</t>
  </si>
  <si>
    <t>琥珀项链</t>
  </si>
  <si>
    <t>魔鬼项链</t>
  </si>
  <si>
    <t>凤凰明珠</t>
  </si>
  <si>
    <t>蓝翡翠项链</t>
  </si>
  <si>
    <t>竹笛</t>
  </si>
  <si>
    <t>放大镜</t>
  </si>
  <si>
    <t>幽灵项链</t>
  </si>
  <si>
    <t>绿色项链</t>
  </si>
  <si>
    <t>灵魂项链</t>
  </si>
  <si>
    <t>恶魔铃铛</t>
  </si>
  <si>
    <t>生命项链</t>
  </si>
  <si>
    <t>天珠项链</t>
  </si>
  <si>
    <t>技巧项链</t>
  </si>
  <si>
    <t>探测项链</t>
  </si>
  <si>
    <t>狂风项链</t>
  </si>
  <si>
    <t>记忆项链</t>
  </si>
  <si>
    <t>祈祷项链</t>
  </si>
  <si>
    <t>古铜戒指</t>
  </si>
  <si>
    <t>玻璃戒指</t>
  </si>
  <si>
    <t>六角戒指</t>
  </si>
  <si>
    <t>牛角戒指</t>
  </si>
  <si>
    <t>蓝色水晶戒指</t>
  </si>
  <si>
    <t>生铁戒指</t>
  </si>
  <si>
    <t>珍珠戒指</t>
  </si>
  <si>
    <t>黑色水晶戒指</t>
  </si>
  <si>
    <t>蛇眼戒指</t>
  </si>
  <si>
    <t>金戒指</t>
  </si>
  <si>
    <t>道德戒指</t>
  </si>
  <si>
    <t>魅力戒指</t>
  </si>
  <si>
    <t>降妖除魔戒指</t>
  </si>
  <si>
    <t>铂金戒指</t>
  </si>
  <si>
    <t>珊瑚戒指</t>
  </si>
  <si>
    <t>红宝石戒指</t>
  </si>
  <si>
    <t>龙之戒指</t>
  </si>
  <si>
    <t>力量戒指</t>
  </si>
  <si>
    <t>紫碧螺</t>
  </si>
  <si>
    <t>泰坦戒指</t>
  </si>
  <si>
    <t>狂风戒指</t>
  </si>
  <si>
    <t>传送戒指</t>
  </si>
  <si>
    <t>护身戒指</t>
  </si>
  <si>
    <t>防御戒指</t>
  </si>
  <si>
    <t>麻痹戒指</t>
  </si>
  <si>
    <t>超负载戒指</t>
  </si>
  <si>
    <t>火焰戒指</t>
  </si>
  <si>
    <t>复活戒指</t>
  </si>
  <si>
    <t>隐身戒指</t>
  </si>
  <si>
    <t>记忆戒指</t>
  </si>
  <si>
    <t>祈祷戒指</t>
  </si>
  <si>
    <t>铁手镯</t>
  </si>
  <si>
    <t>小手镯</t>
  </si>
  <si>
    <t>银手镯</t>
  </si>
  <si>
    <t>大手镯</t>
  </si>
  <si>
    <t>钢手镯</t>
  </si>
  <si>
    <t>魔法手镯</t>
  </si>
  <si>
    <t>道士手镯</t>
  </si>
  <si>
    <t>黑檀手镯</t>
  </si>
  <si>
    <t>金手镯</t>
  </si>
  <si>
    <t>三眼手镯</t>
  </si>
  <si>
    <t>思贝儿手镯</t>
  </si>
  <si>
    <t>骑士手镯</t>
  </si>
  <si>
    <t>辟邪手镯</t>
  </si>
  <si>
    <t>心灵手镯</t>
  </si>
  <si>
    <t>龙之手镯</t>
  </si>
  <si>
    <t>皮制手套</t>
  </si>
  <si>
    <t>坚固手套</t>
  </si>
  <si>
    <t>死神手套</t>
  </si>
  <si>
    <t>幽灵手套</t>
  </si>
  <si>
    <t>阎罗手套</t>
  </si>
  <si>
    <t>记忆手镯</t>
  </si>
  <si>
    <t>祈祷手镯</t>
  </si>
  <si>
    <t>轻型盔甲</t>
  </si>
  <si>
    <t>中型盔甲</t>
  </si>
  <si>
    <t>重盔甲</t>
  </si>
  <si>
    <t>战神盔甲</t>
  </si>
  <si>
    <t>强效魔法药</t>
  </si>
  <si>
    <t>太阳水</t>
  </si>
  <si>
    <t>强效太阳水</t>
  </si>
  <si>
    <t>疗伤药</t>
  </si>
  <si>
    <t>超级魔法药</t>
  </si>
  <si>
    <t>太阳水包</t>
  </si>
  <si>
    <t>强效太阳水包</t>
  </si>
  <si>
    <t>气血石</t>
  </si>
  <si>
    <t>幻魔石</t>
  </si>
  <si>
    <t>魔血石</t>
  </si>
  <si>
    <t>肉</t>
  </si>
  <si>
    <t>鹿血</t>
  </si>
  <si>
    <t>基本剑术</t>
  </si>
  <si>
    <t>攻杀剑术</t>
  </si>
  <si>
    <t>刺杀剑术</t>
  </si>
  <si>
    <t>半月弯刀</t>
  </si>
  <si>
    <t>野蛮冲撞</t>
  </si>
  <si>
    <t>烈火剑法</t>
  </si>
  <si>
    <t>狮子吼</t>
  </si>
  <si>
    <t>逐日剑法</t>
  </si>
  <si>
    <t>火球术</t>
  </si>
  <si>
    <t>抗拒火环</t>
  </si>
  <si>
    <t>诱惑之光</t>
  </si>
  <si>
    <t>地狱火</t>
  </si>
  <si>
    <t>雷电术</t>
  </si>
  <si>
    <t>瞬息移动</t>
  </si>
  <si>
    <t>爆裂火焰</t>
  </si>
  <si>
    <t>火墙</t>
  </si>
  <si>
    <t>疾光电影</t>
  </si>
  <si>
    <t>地狱雷光</t>
  </si>
  <si>
    <t>魔法盾</t>
  </si>
  <si>
    <t>圣言术</t>
  </si>
  <si>
    <t>冰咆哮</t>
  </si>
  <si>
    <t>寒冰掌</t>
  </si>
  <si>
    <t>大火球</t>
  </si>
  <si>
    <t>灭天火</t>
  </si>
  <si>
    <t>流星火雨</t>
  </si>
  <si>
    <t>治愈术</t>
  </si>
  <si>
    <t>精神力战法</t>
  </si>
  <si>
    <t>施毒术</t>
  </si>
  <si>
    <t>灵魂火符</t>
  </si>
  <si>
    <t>隐身术</t>
  </si>
  <si>
    <t>集体隐身术</t>
  </si>
  <si>
    <t>幽灵盾</t>
  </si>
  <si>
    <t>神圣战甲术</t>
  </si>
  <si>
    <t>困魔咒</t>
  </si>
  <si>
    <t>气功波</t>
  </si>
  <si>
    <t>群体治愈术</t>
  </si>
  <si>
    <t>召唤神兽</t>
  </si>
  <si>
    <t>无极真气</t>
  </si>
  <si>
    <t>噬血术</t>
  </si>
  <si>
    <t>超级灰色药粉</t>
  </si>
  <si>
    <t>超级黄色药粉</t>
  </si>
  <si>
    <t>护身符</t>
  </si>
  <si>
    <t>超级护身符</t>
  </si>
  <si>
    <t>比奇回城卷</t>
  </si>
  <si>
    <t>沃玛号角</t>
  </si>
  <si>
    <t>随机传送卷</t>
  </si>
  <si>
    <t>比奇回城卷包</t>
  </si>
  <si>
    <t>随机传送卷包</t>
  </si>
  <si>
    <t>朴小克手记</t>
  </si>
  <si>
    <t>攻杀印2级卷轴01</t>
  </si>
  <si>
    <t>森罗印2级卷轴01</t>
  </si>
  <si>
    <t>巨力印2级卷轴01</t>
  </si>
  <si>
    <t>速攻印2级卷轴01</t>
  </si>
  <si>
    <t>宝石包</t>
    <phoneticPr fontId="1" type="noConversion"/>
  </si>
  <si>
    <t>黑铁包</t>
    <phoneticPr fontId="1" type="noConversion"/>
  </si>
  <si>
    <t>RandomDur</t>
    <phoneticPr fontId="1" type="noConversion"/>
  </si>
  <si>
    <t>Server</t>
    <phoneticPr fontId="1" type="noConversion"/>
  </si>
  <si>
    <t>祈祷头盔</t>
    <phoneticPr fontId="1" type="noConversion"/>
  </si>
  <si>
    <t>记忆头盔</t>
    <phoneticPr fontId="1" type="noConversion"/>
  </si>
  <si>
    <t>青铜头盔</t>
    <phoneticPr fontId="1" type="noConversion"/>
  </si>
  <si>
    <t>魔法头盔</t>
    <phoneticPr fontId="1" type="noConversion"/>
  </si>
  <si>
    <t>骷髅头盔</t>
    <phoneticPr fontId="1" type="noConversion"/>
  </si>
  <si>
    <t>道士头盔</t>
    <phoneticPr fontId="1" type="noConversion"/>
  </si>
  <si>
    <t>黑铁头盔</t>
    <phoneticPr fontId="1" type="noConversion"/>
  </si>
  <si>
    <t>圣战头盔</t>
    <phoneticPr fontId="1" type="noConversion"/>
  </si>
  <si>
    <t>法神头盔</t>
    <phoneticPr fontId="1" type="noConversion"/>
  </si>
  <si>
    <t>天尊头盔</t>
    <phoneticPr fontId="1" type="noConversion"/>
  </si>
  <si>
    <t>布衣</t>
    <phoneticPr fontId="1" type="noConversion"/>
  </si>
  <si>
    <t>布衣</t>
    <phoneticPr fontId="1" type="noConversion"/>
  </si>
  <si>
    <t>魔法长袍</t>
    <phoneticPr fontId="1" type="noConversion"/>
  </si>
  <si>
    <t>灵魂战衣</t>
    <phoneticPr fontId="1" type="noConversion"/>
  </si>
  <si>
    <t>恶魔长袍</t>
  </si>
  <si>
    <t>幽灵战衣</t>
  </si>
  <si>
    <t>圣战宝甲</t>
  </si>
  <si>
    <t>霓裳羽衣</t>
  </si>
  <si>
    <t>天师长袍</t>
  </si>
  <si>
    <t>圣战项链</t>
  </si>
  <si>
    <t>法神项链</t>
  </si>
  <si>
    <t>天尊项链</t>
  </si>
  <si>
    <t>魔血项链</t>
  </si>
  <si>
    <t>虹魔项链</t>
  </si>
  <si>
    <t>圣战戒指</t>
  </si>
  <si>
    <t>法神戒指</t>
  </si>
  <si>
    <t>天尊戒指</t>
  </si>
  <si>
    <t>魔血戒指</t>
  </si>
  <si>
    <t>虹魔戒指</t>
  </si>
  <si>
    <t>圣战手镯</t>
  </si>
  <si>
    <t>法神手镯</t>
  </si>
  <si>
    <t>天尊手镯</t>
  </si>
  <si>
    <t>魔力手镯</t>
  </si>
  <si>
    <t>魔血手镯</t>
  </si>
  <si>
    <t>虹魔手镯</t>
  </si>
  <si>
    <t>兽皮腰带</t>
    <phoneticPr fontId="1" type="noConversion"/>
  </si>
  <si>
    <t>铁腰带</t>
    <phoneticPr fontId="1" type="noConversion"/>
  </si>
  <si>
    <t>青铜腰带</t>
    <phoneticPr fontId="1" type="noConversion"/>
  </si>
  <si>
    <t>钢铁腰带</t>
    <phoneticPr fontId="1" type="noConversion"/>
  </si>
  <si>
    <t>布鞋</t>
    <phoneticPr fontId="1" type="noConversion"/>
  </si>
  <si>
    <t>鹿皮靴</t>
    <phoneticPr fontId="1" type="noConversion"/>
  </si>
  <si>
    <t>紫绸靴</t>
    <phoneticPr fontId="1" type="noConversion"/>
  </si>
  <si>
    <t>避魂靴</t>
    <phoneticPr fontId="1" type="noConversion"/>
  </si>
  <si>
    <t>天魔神甲</t>
  </si>
  <si>
    <t>法神披风</t>
  </si>
  <si>
    <t>天尊道袍</t>
  </si>
  <si>
    <t>矿石种类</t>
  </si>
  <si>
    <t>矿产率</t>
  </si>
  <si>
    <t>矿渣数量</t>
  </si>
  <si>
    <t>1级灵石概率</t>
  </si>
  <si>
    <t>2级灵石概率</t>
  </si>
  <si>
    <t>铭文石概率</t>
  </si>
  <si>
    <t>矿渣概率</t>
  </si>
  <si>
    <t>铜3</t>
  </si>
  <si>
    <t>铜4</t>
  </si>
  <si>
    <t>铜5</t>
  </si>
  <si>
    <t>铜6</t>
  </si>
  <si>
    <t>铜7</t>
  </si>
  <si>
    <t>铜8</t>
  </si>
  <si>
    <t>铜9</t>
  </si>
  <si>
    <t>铜10</t>
  </si>
  <si>
    <t>铜11</t>
  </si>
  <si>
    <t>铜12</t>
  </si>
  <si>
    <t>铜13</t>
  </si>
  <si>
    <t>铜14</t>
  </si>
  <si>
    <t>铜15</t>
  </si>
  <si>
    <t>铜16</t>
  </si>
  <si>
    <t>铜17</t>
  </si>
  <si>
    <t>铜18</t>
  </si>
  <si>
    <t>铜19</t>
  </si>
  <si>
    <t>铜20</t>
  </si>
  <si>
    <t>铜21</t>
  </si>
  <si>
    <t>铜22</t>
  </si>
  <si>
    <t>铜23</t>
  </si>
  <si>
    <t>铜24</t>
  </si>
  <si>
    <t>铜25</t>
  </si>
  <si>
    <t>铜26</t>
  </si>
  <si>
    <t>铁3</t>
  </si>
  <si>
    <t>铁4</t>
  </si>
  <si>
    <t>铁5</t>
  </si>
  <si>
    <t>铁6</t>
  </si>
  <si>
    <t>铁7</t>
  </si>
  <si>
    <t>铁8</t>
  </si>
  <si>
    <t>铁9</t>
  </si>
  <si>
    <t>铁10</t>
  </si>
  <si>
    <t>铁11</t>
  </si>
  <si>
    <t>铁12</t>
  </si>
  <si>
    <t>铁13</t>
  </si>
  <si>
    <t>铁14</t>
  </si>
  <si>
    <t>铁15</t>
  </si>
  <si>
    <t>铁16</t>
  </si>
  <si>
    <t>铁17</t>
  </si>
  <si>
    <t>铁18</t>
  </si>
  <si>
    <t>铁19</t>
  </si>
  <si>
    <t>铁20</t>
  </si>
  <si>
    <t>铁21</t>
  </si>
  <si>
    <t>铁22</t>
  </si>
  <si>
    <t>铁23</t>
  </si>
  <si>
    <t>铁24</t>
  </si>
  <si>
    <t>铁25</t>
  </si>
  <si>
    <t>铁26</t>
  </si>
  <si>
    <t>银3</t>
  </si>
  <si>
    <t>银4</t>
  </si>
  <si>
    <t>银5</t>
  </si>
  <si>
    <t>银6</t>
  </si>
  <si>
    <t>银7</t>
  </si>
  <si>
    <t>银8</t>
  </si>
  <si>
    <t>银9</t>
  </si>
  <si>
    <t>银10</t>
  </si>
  <si>
    <t>银11</t>
  </si>
  <si>
    <t>银12</t>
  </si>
  <si>
    <t>银13</t>
  </si>
  <si>
    <t>银14</t>
  </si>
  <si>
    <t>银15</t>
  </si>
  <si>
    <t>银16</t>
  </si>
  <si>
    <t>银17</t>
  </si>
  <si>
    <t>银18</t>
  </si>
  <si>
    <t>银19</t>
  </si>
  <si>
    <t>银20</t>
  </si>
  <si>
    <t>银21</t>
  </si>
  <si>
    <t>银22</t>
  </si>
  <si>
    <t>银23</t>
  </si>
  <si>
    <t>银24</t>
  </si>
  <si>
    <t>银25</t>
  </si>
  <si>
    <t>银26</t>
  </si>
  <si>
    <t>金3</t>
  </si>
  <si>
    <t>金4</t>
  </si>
  <si>
    <t>金5</t>
  </si>
  <si>
    <t>金6</t>
  </si>
  <si>
    <t>金7</t>
  </si>
  <si>
    <t>金8</t>
  </si>
  <si>
    <t>金9</t>
  </si>
  <si>
    <t>金10</t>
  </si>
  <si>
    <t>金11</t>
  </si>
  <si>
    <t>金12</t>
  </si>
  <si>
    <t>金13</t>
  </si>
  <si>
    <t>金14</t>
  </si>
  <si>
    <t>金15</t>
  </si>
  <si>
    <t>金16</t>
  </si>
  <si>
    <t>金17</t>
  </si>
  <si>
    <t>金18</t>
  </si>
  <si>
    <t>金19</t>
  </si>
  <si>
    <t>金20</t>
  </si>
  <si>
    <t>金21</t>
  </si>
  <si>
    <t>金22</t>
  </si>
  <si>
    <t>金23</t>
  </si>
  <si>
    <t>金24</t>
  </si>
  <si>
    <t>金25</t>
  </si>
  <si>
    <t>金26</t>
  </si>
  <si>
    <t>道具ID</t>
    <phoneticPr fontId="1" type="noConversion"/>
  </si>
  <si>
    <t>躲避项链</t>
  </si>
  <si>
    <t>夏普儿手镯</t>
  </si>
  <si>
    <t>布衣</t>
  </si>
  <si>
    <t>布衣6</t>
  </si>
  <si>
    <t>轻型盔甲6</t>
  </si>
  <si>
    <t>中型盔甲6</t>
  </si>
  <si>
    <t>重盔甲6</t>
  </si>
  <si>
    <t>魔法长袍</t>
  </si>
  <si>
    <t>魔法长袍6</t>
  </si>
  <si>
    <t>灵魂战衣</t>
  </si>
  <si>
    <t>灵魂战衣6</t>
  </si>
  <si>
    <t>战神盔甲6</t>
  </si>
  <si>
    <t>恶魔长袍6</t>
  </si>
  <si>
    <t>幽灵战衣6</t>
  </si>
  <si>
    <t>青铜头盔</t>
  </si>
  <si>
    <t>魔法头盔</t>
  </si>
  <si>
    <t>骷髅头盔</t>
  </si>
  <si>
    <t>道士头盔</t>
  </si>
  <si>
    <t>黑铁头盔</t>
  </si>
  <si>
    <t>记忆头盔</t>
  </si>
  <si>
    <t>祈祷头盔</t>
  </si>
  <si>
    <t>肉干</t>
  </si>
  <si>
    <t>先祖典籍</t>
  </si>
  <si>
    <t>魂瓶</t>
  </si>
  <si>
    <t>龙卫灵匣</t>
  </si>
  <si>
    <t>聚灵匣</t>
  </si>
  <si>
    <t>白银VIP</t>
  </si>
  <si>
    <t>黄金VIP</t>
  </si>
  <si>
    <t>钻石VIP</t>
  </si>
  <si>
    <t>千里传音</t>
  </si>
  <si>
    <t>蛋糕烟花</t>
  </si>
  <si>
    <t>礼花</t>
  </si>
  <si>
    <t>驭朱灵石1级</t>
  </si>
  <si>
    <t>驭朱灵石2级</t>
  </si>
  <si>
    <t>驭朱灵石3级</t>
  </si>
  <si>
    <t>驭朱灵石4级</t>
  </si>
  <si>
    <t>驭朱灵石5级</t>
  </si>
  <si>
    <t>驭朱灵石6级</t>
  </si>
  <si>
    <t>驭朱灵石7级</t>
  </si>
  <si>
    <t>驭朱灵石8级</t>
  </si>
  <si>
    <t>驭朱灵石9级</t>
  </si>
  <si>
    <t>驭朱灵石10级</t>
  </si>
  <si>
    <t>命朱灵石1级</t>
  </si>
  <si>
    <t>命朱灵石2级</t>
  </si>
  <si>
    <t>命朱灵石3级</t>
  </si>
  <si>
    <t>命朱灵石4级</t>
  </si>
  <si>
    <t>命朱灵石5级</t>
  </si>
  <si>
    <t>命朱灵石6级</t>
  </si>
  <si>
    <t>命朱灵石7级</t>
  </si>
  <si>
    <t>命朱灵石8级</t>
  </si>
  <si>
    <t>命朱灵石9级</t>
  </si>
  <si>
    <t>命朱灵石10级</t>
  </si>
  <si>
    <t>透蓝灵石1级</t>
  </si>
  <si>
    <t>透蓝灵石2级</t>
  </si>
  <si>
    <t>透蓝灵石3级</t>
  </si>
  <si>
    <t>透蓝灵石4级</t>
  </si>
  <si>
    <t>透蓝灵石5级</t>
  </si>
  <si>
    <t>透蓝灵石6级</t>
  </si>
  <si>
    <t>透蓝灵石7级</t>
  </si>
  <si>
    <t>透蓝灵石8级</t>
  </si>
  <si>
    <t>透蓝灵石9级</t>
  </si>
  <si>
    <t>透蓝灵石10级</t>
  </si>
  <si>
    <t>蔚蓝灵石1级</t>
  </si>
  <si>
    <t>蔚蓝灵石2级</t>
  </si>
  <si>
    <t>蔚蓝灵石3级</t>
  </si>
  <si>
    <t>蔚蓝灵石4级</t>
  </si>
  <si>
    <t>蔚蓝灵石5级</t>
  </si>
  <si>
    <t>蔚蓝灵石6级</t>
  </si>
  <si>
    <t>蔚蓝灵石7级</t>
  </si>
  <si>
    <t>蔚蓝灵石8级</t>
  </si>
  <si>
    <t>蔚蓝灵石9级</t>
  </si>
  <si>
    <t>蔚蓝灵石10级</t>
  </si>
  <si>
    <t>盈绿灵石1级</t>
  </si>
  <si>
    <t>盈绿灵石2级</t>
  </si>
  <si>
    <t>盈绿灵石3级</t>
  </si>
  <si>
    <t>盈绿灵石4级</t>
  </si>
  <si>
    <t>盈绿灵石5级</t>
  </si>
  <si>
    <t>盈绿灵石6级</t>
  </si>
  <si>
    <t>盈绿灵石7级</t>
  </si>
  <si>
    <t>盈绿灵石8级</t>
  </si>
  <si>
    <t>盈绿灵石9级</t>
  </si>
  <si>
    <t>盈绿灵石10级</t>
  </si>
  <si>
    <t>精绿灵石1级</t>
  </si>
  <si>
    <t>精绿灵石2级</t>
  </si>
  <si>
    <t>精绿灵石3级</t>
  </si>
  <si>
    <t>精绿灵石4级</t>
  </si>
  <si>
    <t>精绿灵石5级</t>
  </si>
  <si>
    <t>精绿灵石6级</t>
  </si>
  <si>
    <t>精绿灵石7级</t>
  </si>
  <si>
    <t>精绿灵石8级</t>
  </si>
  <si>
    <t>精绿灵石9级</t>
  </si>
  <si>
    <t>精绿灵石10级</t>
  </si>
  <si>
    <t>韧紫灵石1级</t>
  </si>
  <si>
    <t>韧紫灵石2级</t>
  </si>
  <si>
    <t>韧紫灵石3级</t>
  </si>
  <si>
    <t>韧紫灵石4级</t>
  </si>
  <si>
    <t>韧紫灵石5级</t>
  </si>
  <si>
    <t>韧紫灵石6级</t>
  </si>
  <si>
    <t>韧紫灵石7级</t>
  </si>
  <si>
    <t>韧紫灵石8级</t>
  </si>
  <si>
    <t>韧紫灵石9级</t>
  </si>
  <si>
    <t>韧紫灵石10级</t>
  </si>
  <si>
    <t>纯紫灵石1级</t>
  </si>
  <si>
    <t>纯紫灵石2级</t>
  </si>
  <si>
    <t>纯紫灵石3级</t>
  </si>
  <si>
    <t>纯紫灵石4级</t>
  </si>
  <si>
    <t>纯紫灵石5级</t>
  </si>
  <si>
    <t>纯紫灵石6级</t>
  </si>
  <si>
    <t>纯紫灵石7级</t>
  </si>
  <si>
    <t>纯紫灵石8级</t>
  </si>
  <si>
    <t>纯紫灵石9级</t>
  </si>
  <si>
    <t>纯紫灵石10级</t>
  </si>
  <si>
    <t>战士铭文石</t>
  </si>
  <si>
    <t>法师铭文石</t>
  </si>
  <si>
    <t>道士铭文石</t>
  </si>
  <si>
    <t>沙巴克回城卷</t>
  </si>
  <si>
    <t>沙巴克回城卷包</t>
  </si>
  <si>
    <t>比奇回城石</t>
  </si>
  <si>
    <t>盟重回城石</t>
  </si>
  <si>
    <t>圣战遗书</t>
  </si>
  <si>
    <t>法神遗书</t>
  </si>
  <si>
    <t>天尊遗书</t>
  </si>
  <si>
    <t>石身残片</t>
  </si>
  <si>
    <t>夜明珠</t>
  </si>
  <si>
    <t>琉璃珠</t>
  </si>
  <si>
    <t>鱼人法器</t>
  </si>
  <si>
    <t>初级红名符</t>
  </si>
  <si>
    <t>中级红名符</t>
  </si>
  <si>
    <t>高级红名符</t>
  </si>
  <si>
    <t>蚕丝</t>
  </si>
  <si>
    <t>粮食包</t>
  </si>
  <si>
    <t>木材包</t>
  </si>
  <si>
    <t>石料包</t>
  </si>
  <si>
    <t>铁料包</t>
  </si>
  <si>
    <t>战时粮食包</t>
  </si>
  <si>
    <t>战时木材包</t>
  </si>
  <si>
    <t>战时石料包</t>
  </si>
  <si>
    <t>战时铁料包</t>
  </si>
  <si>
    <t>魔牙战麾·华美卷轴</t>
  </si>
  <si>
    <t>魔牙战麾·耀眼卷轴</t>
  </si>
  <si>
    <t>魔牙战麾·燃烧级卷轴</t>
  </si>
  <si>
    <t>魔法斗篷·华美卷轴</t>
  </si>
  <si>
    <t>魔法斗篷·耀眼卷轴</t>
  </si>
  <si>
    <t>魔法斗篷·燃烧卷轴</t>
  </si>
  <si>
    <t>霜焰披风·华美卷轴</t>
  </si>
  <si>
    <t>霜焰披风·耀眼卷轴</t>
  </si>
  <si>
    <t>霜焰披风·燃烧卷轴</t>
  </si>
  <si>
    <t>罗刹</t>
  </si>
  <si>
    <t>赤血魔剑</t>
  </si>
  <si>
    <t>开天</t>
  </si>
  <si>
    <t>玄天</t>
  </si>
  <si>
    <t>镇天</t>
  </si>
  <si>
    <t>开石刀</t>
  </si>
  <si>
    <t>雷霆项链</t>
  </si>
  <si>
    <t>烈焰项链</t>
  </si>
  <si>
    <t>光芒项链</t>
  </si>
  <si>
    <t>雷霆戒指</t>
  </si>
  <si>
    <t>烈焰魔戒</t>
  </si>
  <si>
    <t>光芒道戒</t>
  </si>
  <si>
    <t>雷霆护腕</t>
  </si>
  <si>
    <t>烈焰护腕</t>
  </si>
  <si>
    <t>光芒护腕</t>
  </si>
  <si>
    <t>雷霆战甲</t>
  </si>
  <si>
    <t>雷霆战甲6</t>
  </si>
  <si>
    <t>烈焰魔衣</t>
  </si>
  <si>
    <t>烈焰魔衣6</t>
  </si>
  <si>
    <t>光芒道袍</t>
  </si>
  <si>
    <t>光芒道袍6</t>
  </si>
  <si>
    <t>雷霆腰带</t>
  </si>
  <si>
    <t>烈焰腰带</t>
  </si>
  <si>
    <t>光芒腰带</t>
  </si>
  <si>
    <t>雷霆战靴</t>
  </si>
  <si>
    <t>烈焰魔靴</t>
  </si>
  <si>
    <t>光芒道靴</t>
  </si>
  <si>
    <t>装备碎片1</t>
    <phoneticPr fontId="1" type="noConversion"/>
  </si>
  <si>
    <t>装备碎片2</t>
    <phoneticPr fontId="1" type="noConversion"/>
  </si>
  <si>
    <t>装备碎片3</t>
  </si>
  <si>
    <t>装备碎片4</t>
  </si>
  <si>
    <t>装备碎片5</t>
  </si>
  <si>
    <t>装备碎片6</t>
  </si>
  <si>
    <t>装备碎片7</t>
  </si>
  <si>
    <t>装备碎片8</t>
  </si>
  <si>
    <t>装备碎片9</t>
  </si>
  <si>
    <t>装备碎片10</t>
  </si>
  <si>
    <t>装备碎片11</t>
  </si>
  <si>
    <t>装备碎片12</t>
  </si>
  <si>
    <t>装备碎片13</t>
  </si>
  <si>
    <t>装备碎片14</t>
  </si>
  <si>
    <t>装备碎片15</t>
  </si>
  <si>
    <t>装备碎片16</t>
  </si>
  <si>
    <t>装备碎片17</t>
  </si>
  <si>
    <t>装备碎片18</t>
  </si>
  <si>
    <t>装备碎片19</t>
  </si>
  <si>
    <t>装备碎片20</t>
  </si>
  <si>
    <t>装备碎片21</t>
  </si>
  <si>
    <t>装备碎片22</t>
  </si>
  <si>
    <t>装备碎片23</t>
  </si>
  <si>
    <t>装备碎片24</t>
  </si>
  <si>
    <t>装备碎片25</t>
  </si>
  <si>
    <t>装备碎片26</t>
  </si>
  <si>
    <t>装备碎片27</t>
  </si>
  <si>
    <t>装备碎片28</t>
  </si>
  <si>
    <t>装备碎片29</t>
  </si>
  <si>
    <t>装备碎片30</t>
  </si>
  <si>
    <t>装备碎片31</t>
  </si>
  <si>
    <t>装备碎片32</t>
  </si>
  <si>
    <t>装备碎片33</t>
  </si>
  <si>
    <t>装备碎片34</t>
  </si>
  <si>
    <t>装备碎片35</t>
  </si>
  <si>
    <t>装备碎片36</t>
  </si>
  <si>
    <t>装备碎片37</t>
  </si>
  <si>
    <t>装备碎片38</t>
  </si>
  <si>
    <t>装备碎片39</t>
  </si>
  <si>
    <t>装备碎片40</t>
  </si>
  <si>
    <t>装备碎片41</t>
  </si>
  <si>
    <t>装备碎片42</t>
  </si>
  <si>
    <t>装备碎片43</t>
  </si>
  <si>
    <t>装备碎片44</t>
  </si>
  <si>
    <t>装备碎片45</t>
  </si>
  <si>
    <t>装备碎片46</t>
  </si>
  <si>
    <t>装备碎片47</t>
  </si>
  <si>
    <t>装备碎片48</t>
  </si>
  <si>
    <t>装备碎片49</t>
  </si>
  <si>
    <t>装备碎片50</t>
  </si>
  <si>
    <t>装备碎片51</t>
  </si>
  <si>
    <t>装备碎片52</t>
  </si>
  <si>
    <t>装备碎片53</t>
  </si>
  <si>
    <t>装备碎片54</t>
  </si>
  <si>
    <t>装备碎片55</t>
  </si>
  <si>
    <t>装备碎片56</t>
  </si>
  <si>
    <t>装备碎片57</t>
  </si>
  <si>
    <t>装备碎片58</t>
  </si>
  <si>
    <t>装备碎片59</t>
  </si>
  <si>
    <t>装备碎片60</t>
  </si>
  <si>
    <t>装备碎片61</t>
  </si>
  <si>
    <t>装备碎片62</t>
  </si>
  <si>
    <t>装备碎片63</t>
  </si>
  <si>
    <t>装备碎片64</t>
  </si>
  <si>
    <t>装备碎片65</t>
  </si>
  <si>
    <t>装备碎片66</t>
  </si>
  <si>
    <t>装备碎片67</t>
  </si>
  <si>
    <t>装备碎片68</t>
  </si>
  <si>
    <t>装备碎片69</t>
  </si>
  <si>
    <t>装备碎片70</t>
  </si>
  <si>
    <t>装备碎片71</t>
  </si>
  <si>
    <t>装备碎片72</t>
  </si>
  <si>
    <t>装备碎片73</t>
  </si>
  <si>
    <t>装备碎片74</t>
  </si>
  <si>
    <t>装备碎片75</t>
  </si>
  <si>
    <t>装备碎片76</t>
  </si>
  <si>
    <t>装备碎片77</t>
  </si>
  <si>
    <t>装备碎片78</t>
  </si>
  <si>
    <t>装备碎片79</t>
  </si>
  <si>
    <t>装备碎片80</t>
  </si>
  <si>
    <t>装备碎片81</t>
  </si>
  <si>
    <t>装备碎片82</t>
  </si>
  <si>
    <t>装备碎片83</t>
  </si>
  <si>
    <t>装备碎片84</t>
  </si>
  <si>
    <t>装备碎片85</t>
  </si>
  <si>
    <t>装备碎片86</t>
  </si>
  <si>
    <t>装备碎片87</t>
  </si>
  <si>
    <t>装备碎片88</t>
  </si>
  <si>
    <t>装备碎片89</t>
  </si>
  <si>
    <t>装备碎片90</t>
  </si>
  <si>
    <t>装备碎片91</t>
  </si>
  <si>
    <t>装备碎片92</t>
  </si>
  <si>
    <t>装备碎片93</t>
  </si>
  <si>
    <t>装备碎片94</t>
  </si>
  <si>
    <t>装备碎片95</t>
  </si>
  <si>
    <t>装备碎片96</t>
  </si>
  <si>
    <t>装备碎片97</t>
  </si>
  <si>
    <t>装备碎片98</t>
  </si>
  <si>
    <t>装备碎片99</t>
  </si>
  <si>
    <t>装备碎片100</t>
  </si>
  <si>
    <t>装备碎片101</t>
  </si>
  <si>
    <t>装备碎片102</t>
  </si>
  <si>
    <t>装备碎片103</t>
  </si>
  <si>
    <t>装备碎片104</t>
  </si>
  <si>
    <t>装备碎片105</t>
  </si>
  <si>
    <t>装备碎片106</t>
  </si>
  <si>
    <t>装备碎片107</t>
  </si>
  <si>
    <t>装备碎片108</t>
  </si>
  <si>
    <t>装备碎片109</t>
  </si>
  <si>
    <t>装备碎片110</t>
  </si>
  <si>
    <t>装备碎片111</t>
  </si>
  <si>
    <t>装备碎片112</t>
  </si>
  <si>
    <t>装备碎片113</t>
  </si>
  <si>
    <t>装备碎片114</t>
  </si>
  <si>
    <t>装备碎片115</t>
  </si>
  <si>
    <t>装备碎片116</t>
  </si>
  <si>
    <t>装备碎片117</t>
  </si>
  <si>
    <t>装备碎片118</t>
  </si>
  <si>
    <t>装备碎片119</t>
  </si>
  <si>
    <t>装备碎片120</t>
  </si>
  <si>
    <t>装备碎片121</t>
  </si>
  <si>
    <t>装备碎片122</t>
  </si>
  <si>
    <t>装备碎片123</t>
  </si>
  <si>
    <t>装备碎片124</t>
  </si>
  <si>
    <t>装备碎片125</t>
  </si>
  <si>
    <t>装备碎片126</t>
  </si>
  <si>
    <t>装备碎片127</t>
  </si>
  <si>
    <t>装备碎片128</t>
  </si>
  <si>
    <t>装备碎片129</t>
  </si>
  <si>
    <t>装备碎片130</t>
  </si>
  <si>
    <t>装备碎片131</t>
  </si>
  <si>
    <t>装备碎片132</t>
  </si>
  <si>
    <t>装备碎片133</t>
  </si>
  <si>
    <t>装备碎片134</t>
  </si>
  <si>
    <t>装备碎片135</t>
  </si>
  <si>
    <t>装备碎片136</t>
  </si>
  <si>
    <t>装备碎片137</t>
  </si>
  <si>
    <t>装备碎片138</t>
  </si>
  <si>
    <t>装备碎片139</t>
  </si>
  <si>
    <t>装备碎片140</t>
  </si>
  <si>
    <t>装备碎片141</t>
  </si>
  <si>
    <t>装备碎片142</t>
  </si>
  <si>
    <t>装备碎片143</t>
  </si>
  <si>
    <t>装备碎片144</t>
  </si>
  <si>
    <t>装备碎片145</t>
  </si>
  <si>
    <t>装备碎片146</t>
  </si>
  <si>
    <t>装备碎片147</t>
  </si>
  <si>
    <t>装备碎片148</t>
  </si>
  <si>
    <t>装备碎片149</t>
  </si>
  <si>
    <t>装备碎片150</t>
  </si>
  <si>
    <t>装备碎片151</t>
  </si>
  <si>
    <t>装备碎片152</t>
  </si>
  <si>
    <t>装备碎片153</t>
  </si>
  <si>
    <t>装备碎片154</t>
  </si>
  <si>
    <t>装备碎片155</t>
  </si>
  <si>
    <t>装备碎片156</t>
  </si>
  <si>
    <t>装备碎片157</t>
  </si>
  <si>
    <t>装备碎片158</t>
  </si>
  <si>
    <t>装备碎片159</t>
  </si>
  <si>
    <t>装备碎片160</t>
  </si>
  <si>
    <t>装备碎片161</t>
  </si>
  <si>
    <t>装备碎片162</t>
  </si>
  <si>
    <t>装备碎片163</t>
  </si>
  <si>
    <t>装备碎片164</t>
  </si>
  <si>
    <t>装备碎片165</t>
  </si>
  <si>
    <t>装备碎片166</t>
  </si>
  <si>
    <t>装备碎片167</t>
  </si>
  <si>
    <t>装备碎片168</t>
  </si>
  <si>
    <t>装备碎片169</t>
  </si>
  <si>
    <t>装备碎片170</t>
  </si>
  <si>
    <t>装备碎片171</t>
  </si>
  <si>
    <t>装备碎片172</t>
  </si>
  <si>
    <t>装备碎片173</t>
  </si>
  <si>
    <t>装备碎片174</t>
  </si>
  <si>
    <t>装备碎片175</t>
  </si>
  <si>
    <t>装备碎片176</t>
  </si>
  <si>
    <t>装备碎片177</t>
  </si>
  <si>
    <t>装备碎片178</t>
  </si>
  <si>
    <t>装备碎片179</t>
  </si>
  <si>
    <t>装备碎片180</t>
  </si>
  <si>
    <t>装备碎片181</t>
  </si>
  <si>
    <t>装备碎片182</t>
  </si>
  <si>
    <t>装备碎片183</t>
  </si>
  <si>
    <t>装备碎片184</t>
  </si>
  <si>
    <t>装备碎片185</t>
  </si>
  <si>
    <t>装备碎片186</t>
  </si>
  <si>
    <t>装备碎片187</t>
  </si>
  <si>
    <t>装备碎片188</t>
  </si>
  <si>
    <t>装备碎片189</t>
  </si>
  <si>
    <t>装备碎片190</t>
  </si>
  <si>
    <t>装备碎片191</t>
  </si>
  <si>
    <t>装备碎片192</t>
  </si>
  <si>
    <t>装备碎片193</t>
  </si>
  <si>
    <t>装备碎片194</t>
  </si>
  <si>
    <t>装备碎片195</t>
  </si>
  <si>
    <t>装备碎片196</t>
  </si>
  <si>
    <t>装备碎片197</t>
  </si>
  <si>
    <t>装备碎片198</t>
  </si>
  <si>
    <t>装备碎片199</t>
  </si>
  <si>
    <t>装备碎片200</t>
  </si>
  <si>
    <t>装备碎片201</t>
  </si>
  <si>
    <t>装备碎片202</t>
  </si>
  <si>
    <t>装备碎片203</t>
  </si>
  <si>
    <t>装备碎片204</t>
  </si>
  <si>
    <t>装备碎片205</t>
  </si>
  <si>
    <t>装备碎片206</t>
  </si>
  <si>
    <t>装备碎片207</t>
  </si>
  <si>
    <t>装备碎片208</t>
  </si>
  <si>
    <t>装备碎片209</t>
  </si>
  <si>
    <t>装备碎片210</t>
  </si>
  <si>
    <t>装备碎片211</t>
  </si>
  <si>
    <t>装备碎片212</t>
  </si>
  <si>
    <t>装备碎片213</t>
  </si>
  <si>
    <t>装备碎片214</t>
  </si>
  <si>
    <t>装备碎片215</t>
  </si>
  <si>
    <t>装备碎片216</t>
  </si>
  <si>
    <t>装备碎片217</t>
  </si>
  <si>
    <t>装备碎片218</t>
  </si>
  <si>
    <t>装备碎片219</t>
  </si>
  <si>
    <t>装备碎片220</t>
  </si>
  <si>
    <t>装备碎片221</t>
  </si>
  <si>
    <t>装备碎片222</t>
  </si>
  <si>
    <t>装备碎片223</t>
  </si>
  <si>
    <t>装备碎片224</t>
  </si>
  <si>
    <t>装备碎片225</t>
  </si>
  <si>
    <t>装备碎片226</t>
  </si>
  <si>
    <t>装备碎片227</t>
  </si>
  <si>
    <t>装备碎片228</t>
  </si>
  <si>
    <t>装备碎片229</t>
  </si>
  <si>
    <t>装备碎片230</t>
  </si>
  <si>
    <t>装备碎片231</t>
  </si>
  <si>
    <t>装备碎片232</t>
  </si>
  <si>
    <t>装备碎片233</t>
  </si>
  <si>
    <t>装备碎片234</t>
  </si>
  <si>
    <t>装备碎片235</t>
  </si>
  <si>
    <t>装备碎片236</t>
  </si>
  <si>
    <t>装备碎片237</t>
  </si>
  <si>
    <t>装备碎片238</t>
  </si>
  <si>
    <t>装备碎片239</t>
  </si>
  <si>
    <t>装备碎片240</t>
  </si>
  <si>
    <t>装备碎片241</t>
  </si>
  <si>
    <t>装备碎片242</t>
  </si>
  <si>
    <t>装备碎片243</t>
  </si>
  <si>
    <t>装备碎片244</t>
  </si>
  <si>
    <t>装备碎片245</t>
  </si>
  <si>
    <t>装备碎片246</t>
  </si>
  <si>
    <t>装备碎片247</t>
  </si>
  <si>
    <t>装备碎片248</t>
  </si>
  <si>
    <t>装备碎片249</t>
  </si>
  <si>
    <t>装备碎片250</t>
  </si>
  <si>
    <t>装备碎片251</t>
  </si>
  <si>
    <t>装备碎片252</t>
  </si>
  <si>
    <t>装备碎片253</t>
  </si>
  <si>
    <t>装备碎片254</t>
  </si>
  <si>
    <t>装备碎片255</t>
  </si>
  <si>
    <t>装备碎片256</t>
  </si>
  <si>
    <t>装备碎片257</t>
  </si>
  <si>
    <t>装备碎片258</t>
  </si>
  <si>
    <t>装备碎片259</t>
  </si>
  <si>
    <t>装备碎片260</t>
  </si>
  <si>
    <t>装备碎片261</t>
  </si>
  <si>
    <t>装备碎片262</t>
  </si>
  <si>
    <t>装备碎片263</t>
  </si>
  <si>
    <t>装备碎片264</t>
  </si>
  <si>
    <t>装备碎片265</t>
  </si>
  <si>
    <t>装备碎片266</t>
  </si>
  <si>
    <t>装备碎片267</t>
  </si>
  <si>
    <t>装备碎片268</t>
  </si>
  <si>
    <t>装备碎片269</t>
  </si>
  <si>
    <t>装备碎片270</t>
  </si>
  <si>
    <t>装备碎片271</t>
  </si>
  <si>
    <t>装备碎片272</t>
  </si>
  <si>
    <t>装备碎片273</t>
  </si>
  <si>
    <t>装备碎片274</t>
  </si>
  <si>
    <t>装备碎片275</t>
  </si>
  <si>
    <t>装备碎片276</t>
  </si>
  <si>
    <t>装备碎片277</t>
  </si>
  <si>
    <t>装备碎片278</t>
  </si>
  <si>
    <t>装备碎片279</t>
  </si>
  <si>
    <t>装备碎片280</t>
  </si>
  <si>
    <t>装备碎片281</t>
  </si>
  <si>
    <t>装备碎片282</t>
  </si>
  <si>
    <t>装备碎片283</t>
  </si>
  <si>
    <t>装备碎片284</t>
  </si>
  <si>
    <t>装备碎片285</t>
  </si>
  <si>
    <t>装备碎片286</t>
  </si>
  <si>
    <t>装备碎片287</t>
  </si>
  <si>
    <t>装备碎片288</t>
  </si>
  <si>
    <t>装备碎片289</t>
  </si>
  <si>
    <t>装备碎片290</t>
  </si>
  <si>
    <t>装备碎片291</t>
  </si>
  <si>
    <t>装备碎片292</t>
  </si>
  <si>
    <t>装备碎片293</t>
  </si>
  <si>
    <t>装备碎片294</t>
  </si>
  <si>
    <t>装备碎片295</t>
  </si>
  <si>
    <t>装备碎片296</t>
  </si>
  <si>
    <t>装备碎片297</t>
  </si>
  <si>
    <t>装备碎片298</t>
  </si>
  <si>
    <t>装备碎片299</t>
  </si>
  <si>
    <t>装备碎片300</t>
  </si>
  <si>
    <t>装备碎片301</t>
  </si>
  <si>
    <t>装备碎片302</t>
  </si>
  <si>
    <t>装备碎片303</t>
  </si>
  <si>
    <t>装备碎片304</t>
  </si>
  <si>
    <t>装备碎片305</t>
  </si>
  <si>
    <t>装备碎片306</t>
  </si>
  <si>
    <t>装备碎片307</t>
  </si>
  <si>
    <t>装备碎片308</t>
  </si>
  <si>
    <t>装备碎片309</t>
  </si>
  <si>
    <t>装备碎片310</t>
  </si>
  <si>
    <t>装备碎片311</t>
  </si>
  <si>
    <t>装备碎片312</t>
  </si>
  <si>
    <t>装备碎片313</t>
  </si>
  <si>
    <t>装备碎片314</t>
  </si>
  <si>
    <t>装备碎片315</t>
  </si>
  <si>
    <t>装备碎片316</t>
  </si>
  <si>
    <t>装备碎片317</t>
  </si>
  <si>
    <t>装备碎片318</t>
  </si>
  <si>
    <t>装备碎片319</t>
  </si>
  <si>
    <t>装备碎片320</t>
  </si>
  <si>
    <t>装备碎片321</t>
  </si>
  <si>
    <t>装备碎片322</t>
  </si>
  <si>
    <t>装备碎片323</t>
  </si>
  <si>
    <t>装备碎片324</t>
  </si>
  <si>
    <t>装备碎片325</t>
  </si>
  <si>
    <t>装备碎片326</t>
  </si>
  <si>
    <t>装备碎片327</t>
  </si>
  <si>
    <t>装备碎片328</t>
  </si>
  <si>
    <t>装备碎片329</t>
  </si>
  <si>
    <t>装备碎片330</t>
  </si>
  <si>
    <t>装备碎片331</t>
  </si>
  <si>
    <t>装备碎片332</t>
  </si>
  <si>
    <t>装备碎片333</t>
  </si>
  <si>
    <t>装备碎片334</t>
  </si>
  <si>
    <t>装备碎片335</t>
  </si>
  <si>
    <t>装备碎片336</t>
  </si>
  <si>
    <t>装备碎片337</t>
  </si>
  <si>
    <t>装备碎片338</t>
  </si>
  <si>
    <t>装备碎片339</t>
  </si>
  <si>
    <t>装备碎片340</t>
  </si>
  <si>
    <t>装备碎片341</t>
  </si>
  <si>
    <t>装备碎片342</t>
  </si>
  <si>
    <t>装备碎片343</t>
  </si>
  <si>
    <t>装备碎片344</t>
  </si>
  <si>
    <t>装备碎片345</t>
  </si>
  <si>
    <t>装备碎片346</t>
  </si>
  <si>
    <t>装备碎片347</t>
  </si>
  <si>
    <t>装备碎片348</t>
  </si>
  <si>
    <t>装备碎片349</t>
  </si>
  <si>
    <t>装备碎片350</t>
  </si>
  <si>
    <t>装备碎片351</t>
  </si>
  <si>
    <t>装备碎片352</t>
  </si>
  <si>
    <t>装备碎片353</t>
  </si>
  <si>
    <t>装备碎片354</t>
  </si>
  <si>
    <t>装备碎片355</t>
  </si>
  <si>
    <t>装备碎片356</t>
  </si>
  <si>
    <t>装备碎片357</t>
  </si>
  <si>
    <t>装备碎片358</t>
  </si>
  <si>
    <t>装备碎片359</t>
  </si>
  <si>
    <t>装备碎片360</t>
  </si>
  <si>
    <t>装备碎片361</t>
  </si>
  <si>
    <t>装备碎片362</t>
  </si>
  <si>
    <t>装备碎片363</t>
  </si>
  <si>
    <t>装备碎片364</t>
  </si>
  <si>
    <t>装备碎片365</t>
  </si>
  <si>
    <t>装备碎片366</t>
  </si>
  <si>
    <t>装备碎片367</t>
  </si>
  <si>
    <t>装备碎片368</t>
  </si>
  <si>
    <t>装备碎片369</t>
  </si>
  <si>
    <t>装备碎片370</t>
  </si>
  <si>
    <t>装备碎片371</t>
  </si>
  <si>
    <t>装备碎片372</t>
  </si>
  <si>
    <t>装备碎片373</t>
  </si>
  <si>
    <t>装备碎片374</t>
  </si>
  <si>
    <t>装备碎片375</t>
  </si>
  <si>
    <t>装备碎片376</t>
  </si>
  <si>
    <t>装备碎片377</t>
  </si>
  <si>
    <t>装备碎片378</t>
  </si>
  <si>
    <t>装备碎片379</t>
  </si>
  <si>
    <t>装备碎片380</t>
  </si>
  <si>
    <t>装备碎片381</t>
  </si>
  <si>
    <t>装备碎片382</t>
  </si>
  <si>
    <t>装备碎片383</t>
  </si>
  <si>
    <t>装备碎片384</t>
  </si>
  <si>
    <t>装备碎片385</t>
  </si>
  <si>
    <t>装备碎片386</t>
  </si>
  <si>
    <t>装备碎片387</t>
  </si>
  <si>
    <t>装备碎片388</t>
  </si>
  <si>
    <t>装备碎片389</t>
  </si>
  <si>
    <t>装备碎片390</t>
  </si>
  <si>
    <t>装备碎片391</t>
  </si>
  <si>
    <t>装备碎片392</t>
  </si>
  <si>
    <t>装备碎片393</t>
  </si>
  <si>
    <t>装备碎片394</t>
  </si>
  <si>
    <t>装备碎片395</t>
  </si>
  <si>
    <t>装备碎片396</t>
  </si>
  <si>
    <t>装备碎片397</t>
  </si>
  <si>
    <t>装备碎片398</t>
  </si>
  <si>
    <t>装备碎片399</t>
  </si>
  <si>
    <t>装备碎片400</t>
  </si>
  <si>
    <t>装备碎片401</t>
  </si>
  <si>
    <t>装备碎片402</t>
  </si>
  <si>
    <t>装备碎片403</t>
  </si>
  <si>
    <t>装备碎片404</t>
  </si>
  <si>
    <t>装备碎片405</t>
  </si>
  <si>
    <t>装备碎片406</t>
  </si>
  <si>
    <t>装备碎片407</t>
  </si>
  <si>
    <t>装备碎片408</t>
  </si>
  <si>
    <t>装备碎片409</t>
  </si>
  <si>
    <t>装备碎片410</t>
  </si>
  <si>
    <t>装备碎片411</t>
  </si>
  <si>
    <t>装备碎片412</t>
  </si>
  <si>
    <t>装备碎片413</t>
  </si>
  <si>
    <t>装备碎片414</t>
  </si>
  <si>
    <t>装备碎片415</t>
  </si>
  <si>
    <t>装备碎片416</t>
  </si>
  <si>
    <t>装备碎片417</t>
  </si>
  <si>
    <t>装备碎片418</t>
  </si>
  <si>
    <t>装备碎片419</t>
  </si>
  <si>
    <t>装备碎片420</t>
  </si>
  <si>
    <t>装备碎片421</t>
  </si>
  <si>
    <t>装备碎片422</t>
  </si>
  <si>
    <t>装备碎片423</t>
  </si>
  <si>
    <t>装备碎片424</t>
  </si>
  <si>
    <t>装备碎片425</t>
  </si>
  <si>
    <t>装备碎片426</t>
  </si>
  <si>
    <t>装备碎片427</t>
  </si>
  <si>
    <t>装备碎片428</t>
  </si>
  <si>
    <t>装备碎片429</t>
  </si>
  <si>
    <t>装备碎片430</t>
  </si>
  <si>
    <t>装备碎片431</t>
  </si>
  <si>
    <t>装备碎片432</t>
  </si>
  <si>
    <t>装备碎片433</t>
  </si>
  <si>
    <t>装备碎片434</t>
  </si>
  <si>
    <t>装备碎片435</t>
  </si>
  <si>
    <t>装备碎片436</t>
  </si>
  <si>
    <t>装备碎片437</t>
  </si>
  <si>
    <t>装备碎片438</t>
  </si>
  <si>
    <t>装备碎片439</t>
  </si>
  <si>
    <t>装备碎片440</t>
  </si>
  <si>
    <t>装备碎片441</t>
  </si>
  <si>
    <t>装备碎片442</t>
  </si>
  <si>
    <t>装备碎片443</t>
  </si>
  <si>
    <t>装备碎片444</t>
  </si>
  <si>
    <t>装备碎片445</t>
  </si>
  <si>
    <t>装备碎片446</t>
  </si>
  <si>
    <t>装备碎片447</t>
  </si>
  <si>
    <t>装备碎片448</t>
  </si>
  <si>
    <t>装备碎片449</t>
  </si>
  <si>
    <t>装备碎片450</t>
  </si>
  <si>
    <t>装备碎片451</t>
  </si>
  <si>
    <t>装备碎片452</t>
  </si>
  <si>
    <t>装备碎片453</t>
  </si>
  <si>
    <t>装备碎片454</t>
  </si>
  <si>
    <t>装备碎片455</t>
  </si>
  <si>
    <t>装备碎片456</t>
  </si>
  <si>
    <t>装备碎片457</t>
  </si>
  <si>
    <t>装备碎片458</t>
  </si>
  <si>
    <t>装备碎片459</t>
  </si>
  <si>
    <t>装备碎片460</t>
  </si>
  <si>
    <t>装备碎片461</t>
  </si>
  <si>
    <t>装备碎片462</t>
  </si>
  <si>
    <t>装备碎片463</t>
  </si>
  <si>
    <t>装备碎片464</t>
  </si>
  <si>
    <t>装备碎片465</t>
  </si>
  <si>
    <t>装备碎片466</t>
  </si>
  <si>
    <t>装备碎片467</t>
  </si>
  <si>
    <t>装备碎片468</t>
  </si>
  <si>
    <t>装备碎片469</t>
  </si>
  <si>
    <t>装备碎片470</t>
  </si>
  <si>
    <t>装备碎片471</t>
  </si>
  <si>
    <t>装备碎片472</t>
  </si>
  <si>
    <t>装备碎片473</t>
  </si>
  <si>
    <t>装备碎片474</t>
  </si>
  <si>
    <t>装备碎片475</t>
  </si>
  <si>
    <t>装备碎片476</t>
  </si>
  <si>
    <t>装备碎片477</t>
  </si>
  <si>
    <t>装备碎片478</t>
  </si>
  <si>
    <t>装备碎片479</t>
  </si>
  <si>
    <t>装备碎片480</t>
  </si>
  <si>
    <t>装备碎片481</t>
  </si>
  <si>
    <t>装备碎片482</t>
  </si>
  <si>
    <t>装备碎片483</t>
  </si>
  <si>
    <t>装备碎片484</t>
  </si>
  <si>
    <t>装备碎片485</t>
  </si>
  <si>
    <t>装备碎片486</t>
  </si>
  <si>
    <t>装备碎片487</t>
  </si>
  <si>
    <t>装备碎片488</t>
  </si>
  <si>
    <t>装备碎片489</t>
  </si>
  <si>
    <t>装备碎片490</t>
  </si>
  <si>
    <t>装备碎片491</t>
  </si>
  <si>
    <t>装备碎片492</t>
  </si>
  <si>
    <t>装备碎片493</t>
  </si>
  <si>
    <t>装备碎片494</t>
  </si>
  <si>
    <t>装备碎片495</t>
  </si>
  <si>
    <t>装备碎片496</t>
  </si>
  <si>
    <t>装备碎片497</t>
  </si>
  <si>
    <t>装备碎片498</t>
  </si>
  <si>
    <t>装备碎片499</t>
  </si>
  <si>
    <t>装备碎片500</t>
  </si>
  <si>
    <t>装备碎片501</t>
  </si>
  <si>
    <t>装备碎片502</t>
  </si>
  <si>
    <t>装备碎片503</t>
  </si>
  <si>
    <t>装备碎片504</t>
  </si>
  <si>
    <t>装备碎片505</t>
  </si>
  <si>
    <t>装备碎片506</t>
  </si>
  <si>
    <t>装备碎片507</t>
  </si>
  <si>
    <t>装备碎片508</t>
  </si>
  <si>
    <t>装备碎片509</t>
  </si>
  <si>
    <t>装备碎片510</t>
  </si>
  <si>
    <t>装备碎片511</t>
  </si>
  <si>
    <t>装备碎片512</t>
  </si>
  <si>
    <t>装备碎片513</t>
  </si>
  <si>
    <t>装备碎片514</t>
  </si>
  <si>
    <t>装备碎片515</t>
  </si>
  <si>
    <t>装备碎片516</t>
  </si>
  <si>
    <t>装备碎片517</t>
  </si>
  <si>
    <t>装备碎片518</t>
  </si>
  <si>
    <t>装备碎片519</t>
  </si>
  <si>
    <t>装备碎片520</t>
  </si>
  <si>
    <t>装备碎片521</t>
  </si>
  <si>
    <t>装备碎片522</t>
  </si>
  <si>
    <t>装备碎片523</t>
  </si>
  <si>
    <t>装备碎片524</t>
  </si>
  <si>
    <t>装备碎片525</t>
  </si>
  <si>
    <t>装备碎片526</t>
  </si>
  <si>
    <t>装备碎片527</t>
  </si>
  <si>
    <t>装备碎片528</t>
  </si>
  <si>
    <t>装备碎片529</t>
  </si>
  <si>
    <t>装备碎片530</t>
  </si>
  <si>
    <t>装备碎片531</t>
  </si>
  <si>
    <t>装备碎片532</t>
  </si>
  <si>
    <t>装备碎片533</t>
  </si>
  <si>
    <t>装备碎片534</t>
  </si>
  <si>
    <t>装备碎片535</t>
  </si>
  <si>
    <t>装备碎片536</t>
  </si>
  <si>
    <t>装备碎片537</t>
  </si>
  <si>
    <t>装备碎片538</t>
  </si>
  <si>
    <t>装备碎片539</t>
  </si>
  <si>
    <t>装备碎片540</t>
  </si>
  <si>
    <t>装备碎片541</t>
  </si>
  <si>
    <t>装备碎片542</t>
  </si>
  <si>
    <t>装备碎片543</t>
  </si>
  <si>
    <t>装备碎片544</t>
  </si>
  <si>
    <t>装备碎片545</t>
  </si>
  <si>
    <t>装备碎片546</t>
  </si>
  <si>
    <t>装备碎片547</t>
  </si>
  <si>
    <t>装备碎片548</t>
  </si>
  <si>
    <t>装备碎片549</t>
  </si>
  <si>
    <t>装备碎片550</t>
  </si>
  <si>
    <t>装备碎片551</t>
  </si>
  <si>
    <t>装备碎片552</t>
  </si>
  <si>
    <t>装备碎片553</t>
  </si>
  <si>
    <t>装备碎片554</t>
  </si>
  <si>
    <t>装备碎片555</t>
  </si>
  <si>
    <t>装备碎片556</t>
  </si>
  <si>
    <t>装备碎片557</t>
  </si>
  <si>
    <t>装备碎片558</t>
  </si>
  <si>
    <t>装备碎片559</t>
  </si>
  <si>
    <t>装备碎片560</t>
  </si>
  <si>
    <t>装备碎片561</t>
  </si>
  <si>
    <t>装备碎片562</t>
  </si>
  <si>
    <t>装备碎片563</t>
  </si>
  <si>
    <t>装备碎片564</t>
  </si>
  <si>
    <t>装备碎片565</t>
  </si>
  <si>
    <t>装备碎片566</t>
  </si>
  <si>
    <t>装备碎片567</t>
  </si>
  <si>
    <t>装备碎片568</t>
  </si>
  <si>
    <t>装备碎片569</t>
  </si>
  <si>
    <t>装备碎片570</t>
  </si>
  <si>
    <t>装备碎片571</t>
  </si>
  <si>
    <t>装备碎片572</t>
  </si>
  <si>
    <t>装备碎片573</t>
  </si>
  <si>
    <t>装备碎片574</t>
  </si>
  <si>
    <t>装备碎片575</t>
  </si>
  <si>
    <t>装备碎片576</t>
  </si>
  <si>
    <t>装备碎片577</t>
  </si>
  <si>
    <t>装备碎片578</t>
  </si>
  <si>
    <t>装备碎片579</t>
  </si>
  <si>
    <t>装备碎片580</t>
  </si>
  <si>
    <t>装备碎片581</t>
  </si>
  <si>
    <t>装备碎片582</t>
  </si>
  <si>
    <t>装备碎片583</t>
  </si>
  <si>
    <t>装备碎片584</t>
  </si>
  <si>
    <t>装备碎片585</t>
  </si>
  <si>
    <t>装备碎片586</t>
  </si>
  <si>
    <t>装备碎片587</t>
  </si>
  <si>
    <t>装备碎片588</t>
  </si>
  <si>
    <t>装备碎片589</t>
  </si>
  <si>
    <t>装备碎片590</t>
  </si>
  <si>
    <t>装备碎片591</t>
  </si>
  <si>
    <t>装备碎片592</t>
  </si>
  <si>
    <t>装备碎片593</t>
  </si>
  <si>
    <t>装备碎片594</t>
  </si>
  <si>
    <t>装备碎片595</t>
  </si>
  <si>
    <t>装备碎片596</t>
  </si>
  <si>
    <t>装备碎片597</t>
  </si>
  <si>
    <t>装备碎片598</t>
  </si>
  <si>
    <t>装备碎片599</t>
  </si>
  <si>
    <t>装备碎片600</t>
  </si>
  <si>
    <t>装备碎片601</t>
  </si>
  <si>
    <t>装备碎片602</t>
  </si>
  <si>
    <t>装备碎片603</t>
  </si>
  <si>
    <t>装备碎片604</t>
  </si>
  <si>
    <t>装备碎片605</t>
  </si>
  <si>
    <t>装备碎片606</t>
  </si>
  <si>
    <t>装备碎片607</t>
  </si>
  <si>
    <t>装备碎片608</t>
  </si>
  <si>
    <t>装备碎片609</t>
  </si>
  <si>
    <t>装备碎片610</t>
  </si>
  <si>
    <t>装备碎片611</t>
  </si>
  <si>
    <t>装备碎片612</t>
  </si>
  <si>
    <t>装备碎片613</t>
  </si>
  <si>
    <t>装备碎片614</t>
  </si>
  <si>
    <t>装备碎片615</t>
  </si>
  <si>
    <t>装备碎片616</t>
  </si>
  <si>
    <t>装备碎片617</t>
  </si>
  <si>
    <t>装备碎片618</t>
  </si>
  <si>
    <t>装备碎片619</t>
  </si>
  <si>
    <t>装备碎片620</t>
  </si>
  <si>
    <t>装备碎片621</t>
  </si>
  <si>
    <t>装备碎片622</t>
  </si>
  <si>
    <t>装备碎片623</t>
  </si>
  <si>
    <t>装备碎片624</t>
  </si>
  <si>
    <t>装备碎片625</t>
  </si>
  <si>
    <t>装备碎片626</t>
  </si>
  <si>
    <t>装备碎片627</t>
  </si>
  <si>
    <t>装备碎片628</t>
  </si>
  <si>
    <t>装备碎片629</t>
  </si>
  <si>
    <t>装备碎片630</t>
  </si>
  <si>
    <t>装备碎片631</t>
  </si>
  <si>
    <t>装备碎片632</t>
  </si>
  <si>
    <t>装备碎片633</t>
  </si>
  <si>
    <t>装备碎片634</t>
  </si>
  <si>
    <t>装备碎片635</t>
  </si>
  <si>
    <t>装备碎片636</t>
  </si>
  <si>
    <t>装备碎片637</t>
  </si>
  <si>
    <t>装备碎片638</t>
  </si>
  <si>
    <t>装备碎片639</t>
  </si>
  <si>
    <t>装备碎片640</t>
  </si>
  <si>
    <t>装备碎片641</t>
  </si>
  <si>
    <t>装备碎片642</t>
  </si>
  <si>
    <t>装备碎片643</t>
  </si>
  <si>
    <t>装备碎片644</t>
  </si>
  <si>
    <t>装备碎片645</t>
  </si>
  <si>
    <t>装备碎片646</t>
  </si>
  <si>
    <t>装备碎片647</t>
  </si>
  <si>
    <t>装备碎片648</t>
  </si>
  <si>
    <t>装备碎片649</t>
  </si>
  <si>
    <t>装备碎片650</t>
  </si>
  <si>
    <t>装备碎片651</t>
  </si>
  <si>
    <t>装备碎片652</t>
  </si>
  <si>
    <t>装备碎片653</t>
  </si>
  <si>
    <t>装备碎片654</t>
  </si>
  <si>
    <t>装备碎片655</t>
  </si>
  <si>
    <t>装备碎片656</t>
  </si>
  <si>
    <t>装备碎片657</t>
  </si>
  <si>
    <t>装备碎片658</t>
  </si>
  <si>
    <t>装备碎片659</t>
  </si>
  <si>
    <t>装备碎片660</t>
  </si>
  <si>
    <t>装备碎片661</t>
  </si>
  <si>
    <t>装备碎片662</t>
  </si>
  <si>
    <t>装备碎片663</t>
  </si>
  <si>
    <t>装备碎片664</t>
  </si>
  <si>
    <t>装备碎片665</t>
  </si>
  <si>
    <t>装备碎片666</t>
  </si>
  <si>
    <t>装备碎片667</t>
  </si>
  <si>
    <t>装备碎片668</t>
  </si>
  <si>
    <t>装备碎片669</t>
  </si>
  <si>
    <t>装备碎片670</t>
  </si>
  <si>
    <t>装备碎片671</t>
  </si>
  <si>
    <t>装备碎片672</t>
  </si>
  <si>
    <t>装备碎片673</t>
  </si>
  <si>
    <t>装备碎片674</t>
  </si>
  <si>
    <t>装备碎片675</t>
  </si>
  <si>
    <t>装备碎片676</t>
  </si>
  <si>
    <t>装备碎片677</t>
  </si>
  <si>
    <t>装备碎片678</t>
  </si>
  <si>
    <t>装备碎片679</t>
  </si>
  <si>
    <t>装备碎片680</t>
  </si>
  <si>
    <t>装备碎片681</t>
  </si>
  <si>
    <t>装备碎片682</t>
  </si>
  <si>
    <t>装备碎片683</t>
  </si>
  <si>
    <t>装备碎片684</t>
  </si>
  <si>
    <t>装备碎片685</t>
  </si>
  <si>
    <t>装备碎片686</t>
  </si>
  <si>
    <t>装备碎片687</t>
  </si>
  <si>
    <t>装备碎片688</t>
  </si>
  <si>
    <t>装备碎片689</t>
  </si>
  <si>
    <t>装备碎片690</t>
  </si>
  <si>
    <t>装备碎片691</t>
  </si>
  <si>
    <t>装备碎片692</t>
  </si>
  <si>
    <t>装备碎片693</t>
  </si>
  <si>
    <t>装备碎片694</t>
  </si>
  <si>
    <t>装备碎片695</t>
  </si>
  <si>
    <t>装备碎片696</t>
  </si>
  <si>
    <t>装备碎片697</t>
  </si>
  <si>
    <t>装备碎片698</t>
  </si>
  <si>
    <t>装备碎片699</t>
  </si>
  <si>
    <t>装备碎片700</t>
  </si>
  <si>
    <t>装备碎片701</t>
  </si>
  <si>
    <t>装备碎片702</t>
  </si>
  <si>
    <t>装备碎片703</t>
  </si>
  <si>
    <t>装备碎片704</t>
  </si>
  <si>
    <t>装备碎片705</t>
  </si>
  <si>
    <t>装备碎片706</t>
  </si>
  <si>
    <t>装备碎片707</t>
  </si>
  <si>
    <t>装备碎片708</t>
  </si>
  <si>
    <t>装备碎片709</t>
  </si>
  <si>
    <t>装备碎片710</t>
  </si>
  <si>
    <t>装备碎片711</t>
  </si>
  <si>
    <t>装备碎片712</t>
  </si>
  <si>
    <t>装备碎片713</t>
  </si>
  <si>
    <t>装备碎片714</t>
  </si>
  <si>
    <t>装备碎片715</t>
  </si>
  <si>
    <t>装备碎片716</t>
  </si>
  <si>
    <t>装备碎片717</t>
  </si>
  <si>
    <t>装备碎片718</t>
  </si>
  <si>
    <t>装备碎片719</t>
  </si>
  <si>
    <t>装备碎片720</t>
  </si>
  <si>
    <t>装备碎片721</t>
  </si>
  <si>
    <t>装备碎片722</t>
  </si>
  <si>
    <t>装备碎片723</t>
  </si>
  <si>
    <t>装备碎片724</t>
  </si>
  <si>
    <t>装备碎片725</t>
  </si>
  <si>
    <t>装备碎片726</t>
  </si>
  <si>
    <t>装备碎片727</t>
  </si>
  <si>
    <t>装备碎片728</t>
  </si>
  <si>
    <t>装备碎片729</t>
  </si>
  <si>
    <t>装备碎片730</t>
  </si>
  <si>
    <t>装备碎片731</t>
  </si>
  <si>
    <t>装备碎片732</t>
  </si>
  <si>
    <t>装备碎片733</t>
  </si>
  <si>
    <t>装备碎片734</t>
  </si>
  <si>
    <t>装备碎片735</t>
  </si>
  <si>
    <t>装备碎片736</t>
  </si>
  <si>
    <t>装备碎片737</t>
  </si>
  <si>
    <t>装备碎片738</t>
  </si>
  <si>
    <t>装备碎片739</t>
  </si>
  <si>
    <t>装备碎片740</t>
  </si>
  <si>
    <t>装备碎片741</t>
  </si>
  <si>
    <t>装备碎片742</t>
  </si>
  <si>
    <t>装备碎片743</t>
  </si>
  <si>
    <t>装备碎片744</t>
  </si>
  <si>
    <t>装备碎片745</t>
  </si>
  <si>
    <t>装备碎片746</t>
  </si>
  <si>
    <t>装备碎片747</t>
  </si>
  <si>
    <t>装备碎片748</t>
  </si>
  <si>
    <t>装备碎片749</t>
  </si>
  <si>
    <t>装备碎片750</t>
  </si>
  <si>
    <t>装备碎片751</t>
  </si>
  <si>
    <t>装备碎片752</t>
  </si>
  <si>
    <t>装备碎片753</t>
  </si>
  <si>
    <t>装备碎片754</t>
  </si>
  <si>
    <t>装备碎片755</t>
  </si>
  <si>
    <t>装备碎片756</t>
  </si>
  <si>
    <t>装备碎片757</t>
  </si>
  <si>
    <t>装备碎片758</t>
  </si>
  <si>
    <t>装备碎片759</t>
  </si>
  <si>
    <t>装备碎片760</t>
  </si>
  <si>
    <t>装备碎片761</t>
  </si>
  <si>
    <t>装备碎片762</t>
  </si>
  <si>
    <t>装备碎片763</t>
  </si>
  <si>
    <t>装备碎片764</t>
  </si>
  <si>
    <t>装备碎片765</t>
  </si>
  <si>
    <t>装备碎片766</t>
  </si>
  <si>
    <t>装备碎片767</t>
  </si>
  <si>
    <t>装备碎片768</t>
  </si>
  <si>
    <t>装备碎片769</t>
  </si>
  <si>
    <t>装备碎片770</t>
  </si>
  <si>
    <t>装备碎片771</t>
  </si>
  <si>
    <t>装备碎片772</t>
  </si>
  <si>
    <t>装备碎片773</t>
  </si>
  <si>
    <t>装备碎片774</t>
  </si>
  <si>
    <t>装备碎片775</t>
  </si>
  <si>
    <t>装备碎片776</t>
  </si>
  <si>
    <t>装备碎片777</t>
  </si>
  <si>
    <t>装备碎片778</t>
  </si>
  <si>
    <t>装备碎片779</t>
  </si>
  <si>
    <t>装备碎片780</t>
  </si>
  <si>
    <t>装备碎片781</t>
  </si>
  <si>
    <t>装备碎片782</t>
  </si>
  <si>
    <t>装备碎片783</t>
  </si>
  <si>
    <t>装备碎片784</t>
  </si>
  <si>
    <t>装备碎片785</t>
  </si>
  <si>
    <t>装备碎片786</t>
  </si>
  <si>
    <t>装备碎片787</t>
  </si>
  <si>
    <t>装备碎片788</t>
  </si>
  <si>
    <t>装备碎片789</t>
  </si>
  <si>
    <t>装备碎片790</t>
  </si>
  <si>
    <t>装备碎片791</t>
  </si>
  <si>
    <t>装备碎片792</t>
  </si>
  <si>
    <t>装备碎片793</t>
  </si>
  <si>
    <t>装备碎片794</t>
  </si>
  <si>
    <t>装备碎片795</t>
  </si>
  <si>
    <t>装备碎片796</t>
  </si>
  <si>
    <t>装备碎片797</t>
  </si>
  <si>
    <t>装备碎片798</t>
  </si>
  <si>
    <t>装备碎片799</t>
  </si>
  <si>
    <t>装备碎片800</t>
  </si>
  <si>
    <t>装备碎片801</t>
  </si>
  <si>
    <t>装备碎片802</t>
  </si>
  <si>
    <t>装备碎片803</t>
  </si>
  <si>
    <t>装备碎片804</t>
  </si>
  <si>
    <t>装备碎片805</t>
  </si>
  <si>
    <t>装备碎片806</t>
  </si>
  <si>
    <t>装备碎片807</t>
  </si>
  <si>
    <t>装备碎片808</t>
  </si>
  <si>
    <t>装备碎片809</t>
  </si>
  <si>
    <t>装备碎片810</t>
  </si>
  <si>
    <t>装备碎片811</t>
  </si>
  <si>
    <t>装备碎片812</t>
  </si>
  <si>
    <t>装备碎片813</t>
  </si>
  <si>
    <t>装备碎片814</t>
  </si>
  <si>
    <t>装备碎片815</t>
  </si>
  <si>
    <t>装备碎片816</t>
  </si>
  <si>
    <t>装备碎片817</t>
  </si>
  <si>
    <t>装备碎片818</t>
  </si>
  <si>
    <t>装备碎片819</t>
  </si>
  <si>
    <t>装备碎片820</t>
  </si>
  <si>
    <t>装备碎片821</t>
  </si>
  <si>
    <t>装备碎片822</t>
  </si>
  <si>
    <t>装备碎片823</t>
  </si>
  <si>
    <t>装备碎片824</t>
  </si>
  <si>
    <t>装备碎片825</t>
  </si>
  <si>
    <t>装备碎片826</t>
  </si>
  <si>
    <t>装备碎片827</t>
  </si>
  <si>
    <t>装备碎片828</t>
  </si>
  <si>
    <t>装备碎片829</t>
  </si>
  <si>
    <t>装备碎片830</t>
  </si>
  <si>
    <t>装备碎片831</t>
  </si>
  <si>
    <t>装备碎片832</t>
  </si>
  <si>
    <t>装备碎片833</t>
  </si>
  <si>
    <t>装备碎片834</t>
  </si>
  <si>
    <t>装备碎片835</t>
  </si>
  <si>
    <t>装备碎片836</t>
  </si>
  <si>
    <t>装备碎片837</t>
  </si>
  <si>
    <t>装备碎片838</t>
  </si>
  <si>
    <t>装备碎片839</t>
  </si>
  <si>
    <t>装备碎片840</t>
  </si>
  <si>
    <t>装备碎片841</t>
  </si>
  <si>
    <t>装备碎片842</t>
  </si>
  <si>
    <t>装备碎片843</t>
  </si>
  <si>
    <t>装备碎片844</t>
  </si>
  <si>
    <t>装备碎片845</t>
  </si>
  <si>
    <t>装备碎片846</t>
  </si>
  <si>
    <t>装备碎片847</t>
  </si>
  <si>
    <t>装备碎片848</t>
  </si>
  <si>
    <t>装备碎片849</t>
  </si>
  <si>
    <t>装备碎片850</t>
  </si>
  <si>
    <t>装备碎片851</t>
  </si>
  <si>
    <t>装备碎片852</t>
  </si>
  <si>
    <t>装备碎片853</t>
  </si>
  <si>
    <t>装备碎片854</t>
  </si>
  <si>
    <t>装备碎片855</t>
  </si>
  <si>
    <t>装备碎片856</t>
  </si>
  <si>
    <t>装备碎片857</t>
  </si>
  <si>
    <t>装备碎片858</t>
  </si>
  <si>
    <t>装备碎片859</t>
  </si>
  <si>
    <t>装备碎片860</t>
  </si>
  <si>
    <t>装备碎片861</t>
  </si>
  <si>
    <t>装备碎片862</t>
  </si>
  <si>
    <t>装备碎片863</t>
  </si>
  <si>
    <t>装备碎片864</t>
  </si>
  <si>
    <t>装备碎片865</t>
  </si>
  <si>
    <t>装备碎片866</t>
  </si>
  <si>
    <t>装备碎片867</t>
  </si>
  <si>
    <t>装备碎片868</t>
  </si>
  <si>
    <t>装备碎片869</t>
  </si>
  <si>
    <t>装备碎片870</t>
  </si>
  <si>
    <t>装备碎片871</t>
  </si>
  <si>
    <t>装备碎片872</t>
  </si>
  <si>
    <t>装备碎片873</t>
  </si>
  <si>
    <t>装备碎片874</t>
  </si>
  <si>
    <t>装备碎片875</t>
  </si>
  <si>
    <t>装备碎片876</t>
  </si>
  <si>
    <t>装备碎片877</t>
  </si>
  <si>
    <t>装备碎片878</t>
  </si>
  <si>
    <t>装备碎片879</t>
  </si>
  <si>
    <t>装备碎片880</t>
  </si>
  <si>
    <t>装备碎片881</t>
  </si>
  <si>
    <t>装备碎片882</t>
  </si>
  <si>
    <t>装备碎片883</t>
  </si>
  <si>
    <t>装备碎片884</t>
  </si>
  <si>
    <t>装备碎片885</t>
  </si>
  <si>
    <t>装备碎片886</t>
  </si>
  <si>
    <t>装备碎片887</t>
  </si>
  <si>
    <t>装备碎片888</t>
  </si>
  <si>
    <t>装备碎片889</t>
  </si>
  <si>
    <t>装备碎片890</t>
  </si>
  <si>
    <t>装备碎片891</t>
  </si>
  <si>
    <t>装备碎片892</t>
  </si>
  <si>
    <t>装备碎片893</t>
  </si>
  <si>
    <t>装备碎片894</t>
  </si>
  <si>
    <t>装备碎片895</t>
  </si>
  <si>
    <t>装备碎片896</t>
  </si>
  <si>
    <t>装备碎片897</t>
  </si>
  <si>
    <t>装备碎片898</t>
  </si>
  <si>
    <t>装备碎片899</t>
  </si>
  <si>
    <t>装备碎片900</t>
  </si>
  <si>
    <t>装备碎片901</t>
  </si>
  <si>
    <t>装备碎片902</t>
  </si>
  <si>
    <t>装备碎片903</t>
  </si>
  <si>
    <t>装备碎片904</t>
  </si>
  <si>
    <t>装备碎片905</t>
  </si>
  <si>
    <t>装备碎片906</t>
  </si>
  <si>
    <t>装备碎片907</t>
  </si>
  <si>
    <t>装备碎片908</t>
  </si>
  <si>
    <t>装备碎片909</t>
  </si>
  <si>
    <t>装备碎片910</t>
  </si>
  <si>
    <t>装备碎片911</t>
  </si>
  <si>
    <t>装备碎片912</t>
  </si>
  <si>
    <t>装备碎片913</t>
  </si>
  <si>
    <t>装备碎片914</t>
  </si>
  <si>
    <t>装备碎片915</t>
  </si>
  <si>
    <t>装备碎片916</t>
  </si>
  <si>
    <t>装备碎片917</t>
  </si>
  <si>
    <t>装备碎片918</t>
  </si>
  <si>
    <t>装备碎片919</t>
  </si>
  <si>
    <t>装备碎片920</t>
  </si>
  <si>
    <t>装备碎片921</t>
  </si>
  <si>
    <t>装备碎片922</t>
  </si>
  <si>
    <t>装备碎片923</t>
  </si>
  <si>
    <t>装备碎片924</t>
  </si>
  <si>
    <t>装备碎片925</t>
  </si>
  <si>
    <t>装备碎片926</t>
  </si>
  <si>
    <t>装备碎片927</t>
  </si>
  <si>
    <t>装备碎片928</t>
  </si>
  <si>
    <t>装备碎片929</t>
  </si>
  <si>
    <t>装备碎片930</t>
  </si>
  <si>
    <t>装备碎片931</t>
  </si>
  <si>
    <t>装备碎片932</t>
  </si>
  <si>
    <t>装备碎片933</t>
  </si>
  <si>
    <t>装备碎片934</t>
  </si>
  <si>
    <t>装备碎片935</t>
  </si>
  <si>
    <t>装备碎片936</t>
  </si>
  <si>
    <t>装备碎片937</t>
  </si>
  <si>
    <t>装备碎片938</t>
  </si>
  <si>
    <t>装备碎片939</t>
  </si>
  <si>
    <t>装备碎片940</t>
  </si>
  <si>
    <t>装备碎片941</t>
  </si>
  <si>
    <t>装备碎片942</t>
  </si>
  <si>
    <t>装备碎片943</t>
  </si>
  <si>
    <t>装备碎片944</t>
  </si>
  <si>
    <t>装备碎片945</t>
  </si>
  <si>
    <t>装备碎片946</t>
  </si>
  <si>
    <t>装备碎片947</t>
  </si>
  <si>
    <t>装备碎片948</t>
  </si>
  <si>
    <t>装备碎片949</t>
  </si>
  <si>
    <t>装备碎片950</t>
  </si>
  <si>
    <t>装备碎片951</t>
  </si>
  <si>
    <t>装备碎片952</t>
  </si>
  <si>
    <t>装备碎片953</t>
  </si>
  <si>
    <t>装备碎片954</t>
  </si>
  <si>
    <t>装备碎片955</t>
  </si>
  <si>
    <t>装备碎片956</t>
  </si>
  <si>
    <t>装备碎片957</t>
  </si>
  <si>
    <t>装备碎片958</t>
  </si>
  <si>
    <t>装备碎片959</t>
  </si>
  <si>
    <t>装备碎片960</t>
  </si>
  <si>
    <t>装备碎片961</t>
  </si>
  <si>
    <t>装备碎片962</t>
  </si>
  <si>
    <t>装备碎片963</t>
  </si>
  <si>
    <t>装备碎片964</t>
  </si>
  <si>
    <t>装备碎片965</t>
  </si>
  <si>
    <t>装备碎片966</t>
  </si>
  <si>
    <t>装备碎片967</t>
  </si>
  <si>
    <t>装备碎片968</t>
  </si>
  <si>
    <t>装备碎片969</t>
  </si>
  <si>
    <t>装备碎片970</t>
  </si>
  <si>
    <t>装备碎片971</t>
  </si>
  <si>
    <t>装备碎片972</t>
  </si>
  <si>
    <t>装备碎片973</t>
  </si>
  <si>
    <t>装备碎片974</t>
  </si>
  <si>
    <t>装备碎片975</t>
  </si>
  <si>
    <t>装备碎片976</t>
  </si>
  <si>
    <t>装备碎片977</t>
  </si>
  <si>
    <t>装备碎片978</t>
  </si>
  <si>
    <t>装备碎片979</t>
  </si>
  <si>
    <t>装备碎片980</t>
  </si>
  <si>
    <t>装备碎片981</t>
  </si>
  <si>
    <t>装备碎片982</t>
  </si>
  <si>
    <t>装备碎片983</t>
  </si>
  <si>
    <t>装备碎片984</t>
  </si>
  <si>
    <t>装备碎片985</t>
  </si>
  <si>
    <t>装备碎片986</t>
  </si>
  <si>
    <t>装备碎片987</t>
  </si>
  <si>
    <t>装备碎片988</t>
  </si>
  <si>
    <t>装备碎片989</t>
  </si>
  <si>
    <t>装备碎片990</t>
  </si>
  <si>
    <t>装备碎片991</t>
  </si>
  <si>
    <t>装备碎片992</t>
  </si>
  <si>
    <t>装备碎片993</t>
  </si>
  <si>
    <t>装备碎片994</t>
  </si>
  <si>
    <t>装备碎片995</t>
  </si>
  <si>
    <t>装备碎片996</t>
  </si>
  <si>
    <t>装备碎片997</t>
  </si>
  <si>
    <t>装备碎片998</t>
  </si>
  <si>
    <t>装备碎片999</t>
  </si>
  <si>
    <t>挖矿1</t>
    <phoneticPr fontId="1" type="noConversion"/>
  </si>
  <si>
    <t>挖矿2</t>
    <phoneticPr fontId="1" type="noConversion"/>
  </si>
  <si>
    <t>挖矿3</t>
  </si>
  <si>
    <t>挖矿4</t>
  </si>
  <si>
    <t>挖矿5</t>
  </si>
  <si>
    <t>挖矿6</t>
  </si>
  <si>
    <t>挖矿7</t>
  </si>
  <si>
    <t>挖矿8</t>
  </si>
  <si>
    <t>挖矿9</t>
  </si>
  <si>
    <t>挖矿10</t>
  </si>
  <si>
    <t>挖矿11</t>
  </si>
  <si>
    <t>挖矿12</t>
  </si>
  <si>
    <t>挖矿13</t>
  </si>
  <si>
    <t>挖矿14</t>
  </si>
  <si>
    <t>挖矿15</t>
  </si>
  <si>
    <t>挖矿16</t>
  </si>
  <si>
    <t>挖矿17</t>
  </si>
  <si>
    <t>挖矿18</t>
  </si>
  <si>
    <t>挖矿19</t>
  </si>
  <si>
    <t>挖矿20</t>
  </si>
  <si>
    <t>挖矿21</t>
  </si>
  <si>
    <t>挖矿22</t>
  </si>
  <si>
    <t>挖矿23</t>
  </si>
  <si>
    <t>挖矿24</t>
  </si>
  <si>
    <t>挖矿25</t>
  </si>
  <si>
    <t>挖矿26</t>
  </si>
  <si>
    <t>挖矿27</t>
  </si>
  <si>
    <t>挖矿28</t>
  </si>
  <si>
    <t>挖矿29</t>
  </si>
  <si>
    <t>挖矿30</t>
  </si>
  <si>
    <t>挖矿31</t>
  </si>
  <si>
    <t>挖矿32</t>
  </si>
  <si>
    <t>挖矿33</t>
  </si>
  <si>
    <t>挖矿34</t>
  </si>
  <si>
    <t>挖矿35</t>
  </si>
  <si>
    <t>挖矿36</t>
  </si>
  <si>
    <t>挖矿37</t>
  </si>
  <si>
    <t>挖矿38</t>
  </si>
  <si>
    <t>挖矿39</t>
  </si>
  <si>
    <t>挖矿40</t>
  </si>
  <si>
    <t>挖矿41</t>
  </si>
  <si>
    <t>挖矿42</t>
  </si>
  <si>
    <t>挖矿43</t>
  </si>
  <si>
    <t>挖矿44</t>
  </si>
  <si>
    <t>挖矿45</t>
  </si>
  <si>
    <t>挖矿46</t>
  </si>
  <si>
    <t>挖矿47</t>
  </si>
  <si>
    <t>挖矿48</t>
  </si>
  <si>
    <t>挖矿49</t>
  </si>
  <si>
    <t>挖矿50</t>
  </si>
  <si>
    <t>挖矿51</t>
  </si>
  <si>
    <t>挖矿52</t>
  </si>
  <si>
    <t>挖矿53</t>
  </si>
  <si>
    <t>挖矿54</t>
  </si>
  <si>
    <t>挖矿55</t>
  </si>
  <si>
    <t>挖矿56</t>
  </si>
  <si>
    <t>挖矿57</t>
  </si>
  <si>
    <t>挖矿58</t>
  </si>
  <si>
    <t>挖矿59</t>
  </si>
  <si>
    <t>挖矿60</t>
  </si>
  <si>
    <t>挖矿61</t>
  </si>
  <si>
    <t>挖矿62</t>
  </si>
  <si>
    <t>挖矿63</t>
  </si>
  <si>
    <t>挖矿64</t>
  </si>
  <si>
    <t>挖矿65</t>
  </si>
  <si>
    <t>挖矿66</t>
  </si>
  <si>
    <t>挖矿67</t>
  </si>
  <si>
    <t>挖矿68</t>
  </si>
  <si>
    <t>挖矿69</t>
  </si>
  <si>
    <t>挖矿70</t>
  </si>
  <si>
    <t>挖矿71</t>
  </si>
  <si>
    <t>挖矿72</t>
  </si>
  <si>
    <t>挖矿73</t>
  </si>
  <si>
    <t>挖矿74</t>
  </si>
  <si>
    <t>挖矿75</t>
  </si>
  <si>
    <t>挖矿76</t>
  </si>
  <si>
    <t>挖矿77</t>
  </si>
  <si>
    <t>挖矿78</t>
  </si>
  <si>
    <t>挖矿79</t>
  </si>
  <si>
    <t>挖矿80</t>
  </si>
  <si>
    <t>挖矿81</t>
  </si>
  <si>
    <t>挖矿82</t>
  </si>
  <si>
    <t>挖矿83</t>
  </si>
  <si>
    <t>挖矿84</t>
  </si>
  <si>
    <t>挖矿85</t>
  </si>
  <si>
    <t>挖矿86</t>
  </si>
  <si>
    <t>挖矿87</t>
  </si>
  <si>
    <t>挖矿88</t>
  </si>
  <si>
    <t>挖矿89</t>
  </si>
  <si>
    <t>挖矿90</t>
  </si>
  <si>
    <t>挖矿91</t>
  </si>
  <si>
    <t>挖矿92</t>
  </si>
  <si>
    <t>挖矿93</t>
  </si>
  <si>
    <t>挖矿94</t>
  </si>
  <si>
    <t>挖矿95</t>
  </si>
  <si>
    <t>挖矿96</t>
  </si>
  <si>
    <t>挖矿97</t>
  </si>
  <si>
    <t>挖矿98</t>
  </si>
  <si>
    <t>挖矿99</t>
  </si>
  <si>
    <t>挖矿100</t>
  </si>
  <si>
    <t>挖矿101</t>
  </si>
  <si>
    <t>挖矿102</t>
  </si>
  <si>
    <t>挖矿103</t>
  </si>
  <si>
    <t>挖矿104</t>
  </si>
  <si>
    <t>挖矿105</t>
  </si>
  <si>
    <t>挖矿106</t>
  </si>
  <si>
    <t>挖矿107</t>
  </si>
  <si>
    <t>挖矿108</t>
  </si>
  <si>
    <t>挖矿109</t>
  </si>
  <si>
    <t>挖矿110</t>
  </si>
  <si>
    <t>挖矿111</t>
  </si>
  <si>
    <t>挖矿112</t>
  </si>
  <si>
    <t>挖矿113</t>
  </si>
  <si>
    <t>挖矿114</t>
  </si>
  <si>
    <t>挖矿115</t>
  </si>
  <si>
    <t>挖矿116</t>
  </si>
  <si>
    <t>挖矿117</t>
  </si>
  <si>
    <t>挖矿118</t>
  </si>
  <si>
    <t>挖矿119</t>
  </si>
  <si>
    <t>挖矿120</t>
  </si>
  <si>
    <t>洗矿1</t>
    <phoneticPr fontId="1" type="noConversion"/>
  </si>
  <si>
    <t>洗矿2</t>
    <phoneticPr fontId="1" type="noConversion"/>
  </si>
  <si>
    <t>洗矿3</t>
  </si>
  <si>
    <t>洗矿4</t>
  </si>
  <si>
    <t>洗矿5</t>
  </si>
  <si>
    <t>洗矿6</t>
  </si>
  <si>
    <t>洗矿7</t>
  </si>
  <si>
    <t>洗矿8</t>
  </si>
  <si>
    <t>洗矿9</t>
  </si>
  <si>
    <t>洗矿10</t>
  </si>
  <si>
    <t>洗矿11</t>
  </si>
  <si>
    <t>洗矿12</t>
  </si>
  <si>
    <t>洗矿13</t>
  </si>
  <si>
    <t>洗矿14</t>
  </si>
  <si>
    <t>洗矿15</t>
  </si>
  <si>
    <t>洗矿16</t>
  </si>
  <si>
    <t>洗矿17</t>
  </si>
  <si>
    <t>洗矿18</t>
  </si>
  <si>
    <t>洗矿19</t>
  </si>
  <si>
    <t>洗矿20</t>
  </si>
  <si>
    <t>洗矿21</t>
  </si>
  <si>
    <t>洗矿22</t>
  </si>
  <si>
    <t>洗矿23</t>
  </si>
  <si>
    <t>洗矿24</t>
  </si>
  <si>
    <t>洗矿25</t>
  </si>
  <si>
    <t>洗矿26</t>
  </si>
  <si>
    <t>洗矿27</t>
  </si>
  <si>
    <t>洗矿28</t>
  </si>
  <si>
    <t>洗矿29</t>
  </si>
  <si>
    <t>洗矿30</t>
  </si>
  <si>
    <t>洗矿31</t>
  </si>
  <si>
    <t>洗矿32</t>
  </si>
  <si>
    <t>洗矿33</t>
  </si>
  <si>
    <t>洗矿34</t>
  </si>
  <si>
    <t>洗矿35</t>
  </si>
  <si>
    <t>洗矿36</t>
  </si>
  <si>
    <t>洗矿37</t>
  </si>
  <si>
    <t>洗矿38</t>
  </si>
  <si>
    <t>洗矿39</t>
  </si>
  <si>
    <t>洗矿40</t>
  </si>
  <si>
    <t>洗矿41</t>
  </si>
  <si>
    <t>洗矿42</t>
  </si>
  <si>
    <t>洗矿43</t>
  </si>
  <si>
    <t>洗矿44</t>
  </si>
  <si>
    <t>洗矿45</t>
  </si>
  <si>
    <t>洗矿46</t>
  </si>
  <si>
    <t>洗矿47</t>
  </si>
  <si>
    <t>洗矿48</t>
  </si>
  <si>
    <t>洗矿49</t>
  </si>
  <si>
    <t>洗矿50</t>
  </si>
  <si>
    <t>洗矿51</t>
  </si>
  <si>
    <t>洗矿52</t>
  </si>
  <si>
    <t>洗矿53</t>
  </si>
  <si>
    <t>洗矿54</t>
  </si>
  <si>
    <t>洗矿55</t>
  </si>
  <si>
    <t>洗矿56</t>
  </si>
  <si>
    <t>洗矿57</t>
  </si>
  <si>
    <t>洗矿58</t>
  </si>
  <si>
    <t>洗矿59</t>
  </si>
  <si>
    <t>洗矿60</t>
  </si>
  <si>
    <t>洗矿61</t>
  </si>
  <si>
    <t>洗矿62</t>
  </si>
  <si>
    <t>洗矿63</t>
  </si>
  <si>
    <t>洗矿64</t>
  </si>
  <si>
    <t>洗矿65</t>
  </si>
  <si>
    <t>洗矿66</t>
  </si>
  <si>
    <t>洗矿67</t>
  </si>
  <si>
    <t>洗矿68</t>
  </si>
  <si>
    <t>洗矿69</t>
  </si>
  <si>
    <t>洗矿70</t>
  </si>
  <si>
    <t>洗矿71</t>
  </si>
  <si>
    <t>洗矿72</t>
  </si>
  <si>
    <t>洗矿73</t>
  </si>
  <si>
    <t>洗矿74</t>
  </si>
  <si>
    <t>洗矿75</t>
  </si>
  <si>
    <t>洗矿76</t>
  </si>
  <si>
    <t>洗矿77</t>
  </si>
  <si>
    <t>洗矿78</t>
  </si>
  <si>
    <t>洗矿79</t>
  </si>
  <si>
    <t>洗矿80</t>
  </si>
  <si>
    <t>洗矿81</t>
  </si>
  <si>
    <t>洗矿82</t>
  </si>
  <si>
    <t>洗矿83</t>
  </si>
  <si>
    <t>洗矿84</t>
  </si>
  <si>
    <t>洗矿85</t>
  </si>
  <si>
    <t>洗矿86</t>
  </si>
  <si>
    <t>洗矿87</t>
  </si>
  <si>
    <t>洗矿88</t>
  </si>
  <si>
    <t>洗矿89</t>
  </si>
  <si>
    <t>洗矿90</t>
  </si>
  <si>
    <t>洗矿91</t>
  </si>
  <si>
    <t>洗矿92</t>
  </si>
  <si>
    <t>洗矿93</t>
  </si>
  <si>
    <t>洗矿94</t>
  </si>
  <si>
    <t>洗矿95</t>
  </si>
  <si>
    <t>洗矿96</t>
  </si>
  <si>
    <t>洗矿97</t>
  </si>
  <si>
    <t>洗矿98</t>
  </si>
  <si>
    <t>洗矿99</t>
  </si>
  <si>
    <t>洗矿100</t>
  </si>
  <si>
    <t>洗矿101</t>
  </si>
  <si>
    <t>洗矿102</t>
  </si>
  <si>
    <t>洗矿103</t>
  </si>
  <si>
    <t>洗矿104</t>
  </si>
  <si>
    <t>洗矿105</t>
  </si>
  <si>
    <t>洗矿106</t>
  </si>
  <si>
    <t>洗矿107</t>
  </si>
  <si>
    <t>洗矿108</t>
  </si>
  <si>
    <t>洗矿109</t>
  </si>
  <si>
    <t>洗矿110</t>
  </si>
  <si>
    <t>洗矿111</t>
  </si>
  <si>
    <t>洗矿112</t>
  </si>
  <si>
    <t>洗矿113</t>
  </si>
  <si>
    <t>洗矿114</t>
  </si>
  <si>
    <t>洗矿115</t>
  </si>
  <si>
    <t>洗矿116</t>
  </si>
  <si>
    <t>洗矿117</t>
  </si>
  <si>
    <t>洗矿118</t>
  </si>
  <si>
    <t>洗矿119</t>
  </si>
  <si>
    <t>洗矿120</t>
  </si>
  <si>
    <t>洗矿121</t>
  </si>
  <si>
    <t>洗矿122</t>
  </si>
  <si>
    <t>洗矿123</t>
  </si>
  <si>
    <t>洗矿124</t>
  </si>
  <si>
    <t>洗矿125</t>
  </si>
  <si>
    <t>洗矿126</t>
  </si>
  <si>
    <t>洗矿127</t>
  </si>
  <si>
    <t>洗矿128</t>
  </si>
  <si>
    <t>洗矿129</t>
  </si>
  <si>
    <t>洗矿130</t>
  </si>
  <si>
    <t>洗矿131</t>
  </si>
  <si>
    <t>洗矿132</t>
  </si>
  <si>
    <t>洗矿133</t>
  </si>
  <si>
    <t>洗矿134</t>
  </si>
  <si>
    <t>洗矿135</t>
  </si>
  <si>
    <t>洗矿136</t>
  </si>
  <si>
    <t>洗矿137</t>
  </si>
  <si>
    <t>洗矿138</t>
  </si>
  <si>
    <t>洗矿139</t>
  </si>
  <si>
    <t>洗矿140</t>
  </si>
  <si>
    <t>洗矿141</t>
  </si>
  <si>
    <t>洗矿142</t>
  </si>
  <si>
    <t>洗矿143</t>
  </si>
  <si>
    <t>洗矿144</t>
  </si>
  <si>
    <t>洗矿145</t>
  </si>
  <si>
    <t>洗矿146</t>
  </si>
  <si>
    <t>洗矿147</t>
  </si>
  <si>
    <t>洗矿148</t>
  </si>
  <si>
    <t>洗矿149</t>
  </si>
  <si>
    <t>洗矿150</t>
  </si>
  <si>
    <t>洗矿151</t>
  </si>
  <si>
    <t>洗矿152</t>
  </si>
  <si>
    <t>洗矿153</t>
  </si>
  <si>
    <t>洗矿154</t>
  </si>
  <si>
    <t>洗矿155</t>
  </si>
  <si>
    <t>洗矿156</t>
  </si>
  <si>
    <t>洗矿157</t>
  </si>
  <si>
    <t>洗矿158</t>
  </si>
  <si>
    <t>洗矿159</t>
  </si>
  <si>
    <t>洗矿160</t>
  </si>
  <si>
    <t>洗矿161</t>
  </si>
  <si>
    <t>洗矿162</t>
  </si>
  <si>
    <t>洗矿163</t>
  </si>
  <si>
    <t>洗矿164</t>
  </si>
  <si>
    <t>洗矿165</t>
  </si>
  <si>
    <t>洗矿166</t>
  </si>
  <si>
    <t>洗矿167</t>
  </si>
  <si>
    <t>洗矿168</t>
  </si>
  <si>
    <t>洗矿169</t>
  </si>
  <si>
    <t>洗矿170</t>
  </si>
  <si>
    <t>洗矿171</t>
  </si>
  <si>
    <t>洗矿172</t>
  </si>
  <si>
    <t>洗矿173</t>
  </si>
  <si>
    <t>洗矿174</t>
  </si>
  <si>
    <t>洗矿175</t>
  </si>
  <si>
    <t>洗矿176</t>
  </si>
  <si>
    <t>洗矿177</t>
  </si>
  <si>
    <t>洗矿178</t>
  </si>
  <si>
    <t>洗矿179</t>
  </si>
  <si>
    <t>洗矿180</t>
  </si>
  <si>
    <t>洗矿181</t>
  </si>
  <si>
    <t>洗矿182</t>
  </si>
  <si>
    <t>洗矿183</t>
  </si>
  <si>
    <t>洗矿184</t>
  </si>
  <si>
    <t>洗矿185</t>
  </si>
  <si>
    <t>洗矿186</t>
  </si>
  <si>
    <t>洗矿187</t>
  </si>
  <si>
    <t>洗矿188</t>
  </si>
  <si>
    <t>洗矿189</t>
  </si>
  <si>
    <t>洗矿190</t>
  </si>
  <si>
    <t>洗矿191</t>
  </si>
  <si>
    <t>洗矿192</t>
  </si>
  <si>
    <t>洗矿193</t>
  </si>
  <si>
    <t>洗矿194</t>
  </si>
  <si>
    <t>洗矿195</t>
  </si>
  <si>
    <t>洗矿196</t>
  </si>
  <si>
    <t>洗矿197</t>
  </si>
  <si>
    <t>洗矿198</t>
  </si>
  <si>
    <t>洗矿199</t>
  </si>
  <si>
    <t>洗矿200</t>
  </si>
  <si>
    <t>洗矿201</t>
  </si>
  <si>
    <t>洗矿202</t>
  </si>
  <si>
    <t>洗矿203</t>
  </si>
  <si>
    <t>洗矿204</t>
  </si>
  <si>
    <t>洗矿205</t>
  </si>
  <si>
    <t>洗矿206</t>
  </si>
  <si>
    <t>洗矿207</t>
  </si>
  <si>
    <t>洗矿208</t>
  </si>
  <si>
    <t>洗矿209</t>
  </si>
  <si>
    <t>洗矿210</t>
  </si>
  <si>
    <t>洗矿211</t>
  </si>
  <si>
    <t>洗矿212</t>
  </si>
  <si>
    <t>洗矿213</t>
  </si>
  <si>
    <t>洗矿214</t>
  </si>
  <si>
    <t>洗矿215</t>
  </si>
  <si>
    <t>洗矿216</t>
  </si>
  <si>
    <t>洗矿217</t>
  </si>
  <si>
    <t>洗矿218</t>
  </si>
  <si>
    <t>洗矿219</t>
  </si>
  <si>
    <t>洗矿220</t>
  </si>
  <si>
    <t>洗矿221</t>
  </si>
  <si>
    <t>洗矿222</t>
  </si>
  <si>
    <t>洗矿223</t>
  </si>
  <si>
    <t>洗矿224</t>
  </si>
  <si>
    <t>洗矿225</t>
  </si>
  <si>
    <t>洗矿226</t>
  </si>
  <si>
    <t>洗矿227</t>
  </si>
  <si>
    <t>洗矿228</t>
  </si>
  <si>
    <t>洗矿229</t>
  </si>
  <si>
    <t>洗矿230</t>
  </si>
  <si>
    <t>洗矿231</t>
  </si>
  <si>
    <t>洗矿232</t>
  </si>
  <si>
    <t>洗矿233</t>
  </si>
  <si>
    <t>洗矿234</t>
  </si>
  <si>
    <t>洗矿235</t>
  </si>
  <si>
    <t>洗矿236</t>
  </si>
  <si>
    <t>洗矿237</t>
  </si>
  <si>
    <t>洗矿238</t>
  </si>
  <si>
    <t>洗矿239</t>
  </si>
  <si>
    <t>洗矿240</t>
  </si>
  <si>
    <t>洗矿241</t>
  </si>
  <si>
    <t>洗矿242</t>
  </si>
  <si>
    <t>洗矿243</t>
  </si>
  <si>
    <t>洗矿244</t>
  </si>
  <si>
    <t>洗矿245</t>
  </si>
  <si>
    <t>洗矿246</t>
  </si>
  <si>
    <t>洗矿247</t>
  </si>
  <si>
    <t>洗矿248</t>
  </si>
  <si>
    <t>洗矿249</t>
  </si>
  <si>
    <t>洗矿250</t>
  </si>
  <si>
    <t>洗矿251</t>
  </si>
  <si>
    <t>洗矿252</t>
  </si>
  <si>
    <t>洗矿253</t>
  </si>
  <si>
    <t>洗矿254</t>
  </si>
  <si>
    <t>洗矿255</t>
  </si>
  <si>
    <t>洗矿256</t>
  </si>
  <si>
    <t>洗矿257</t>
  </si>
  <si>
    <t>洗矿258</t>
  </si>
  <si>
    <t>洗矿259</t>
  </si>
  <si>
    <t>洗矿260</t>
  </si>
  <si>
    <t>洗矿261</t>
  </si>
  <si>
    <t>洗矿262</t>
  </si>
  <si>
    <t>洗矿263</t>
  </si>
  <si>
    <t>洗矿264</t>
  </si>
  <si>
    <t>洗矿265</t>
  </si>
  <si>
    <t>洗矿266</t>
  </si>
  <si>
    <t>洗矿267</t>
  </si>
  <si>
    <t>洗矿268</t>
  </si>
  <si>
    <t>洗矿269</t>
  </si>
  <si>
    <t>洗矿270</t>
  </si>
  <si>
    <t>洗矿271</t>
  </si>
  <si>
    <t>洗矿272</t>
  </si>
  <si>
    <t>洗矿273</t>
  </si>
  <si>
    <t>洗矿274</t>
  </si>
  <si>
    <t>洗矿275</t>
  </si>
  <si>
    <t>洗矿276</t>
  </si>
  <si>
    <t>洗矿277</t>
  </si>
  <si>
    <t>洗矿278</t>
  </si>
  <si>
    <t>洗矿279</t>
  </si>
  <si>
    <t>洗矿280</t>
  </si>
  <si>
    <t>洗矿281</t>
  </si>
  <si>
    <t>洗矿282</t>
  </si>
  <si>
    <t>洗矿283</t>
  </si>
  <si>
    <t>洗矿284</t>
  </si>
  <si>
    <t>洗矿285</t>
  </si>
  <si>
    <t>洗矿286</t>
  </si>
  <si>
    <t>洗矿287</t>
  </si>
  <si>
    <t>洗矿288</t>
  </si>
  <si>
    <t>洗矿289</t>
  </si>
  <si>
    <t>洗矿290</t>
  </si>
  <si>
    <t>洗矿291</t>
  </si>
  <si>
    <t>洗矿292</t>
  </si>
  <si>
    <t>洗矿293</t>
  </si>
  <si>
    <t>洗矿294</t>
  </si>
  <si>
    <t>洗矿295</t>
  </si>
  <si>
    <t>洗矿296</t>
  </si>
  <si>
    <t>洗矿297</t>
  </si>
  <si>
    <t>洗矿298</t>
  </si>
  <si>
    <t>洗矿299</t>
  </si>
  <si>
    <t>洗矿300</t>
  </si>
  <si>
    <t>洗矿301</t>
  </si>
  <si>
    <t>洗矿302</t>
  </si>
  <si>
    <t>洗矿303</t>
  </si>
  <si>
    <t>洗矿304</t>
  </si>
  <si>
    <t>洗矿305</t>
  </si>
  <si>
    <t>洗矿306</t>
  </si>
  <si>
    <t>洗矿307</t>
  </si>
  <si>
    <t>洗矿308</t>
  </si>
  <si>
    <t>洗矿309</t>
  </si>
  <si>
    <t>洗矿310</t>
  </si>
  <si>
    <t>洗矿311</t>
  </si>
  <si>
    <t>洗矿312</t>
  </si>
  <si>
    <t>洗矿313</t>
  </si>
  <si>
    <t>洗矿314</t>
  </si>
  <si>
    <t>洗矿315</t>
  </si>
  <si>
    <t>洗矿316</t>
  </si>
  <si>
    <t>洗矿317</t>
  </si>
  <si>
    <t>洗矿318</t>
  </si>
  <si>
    <t>洗矿319</t>
  </si>
  <si>
    <t>洗矿320</t>
  </si>
  <si>
    <t>洗矿321</t>
  </si>
  <si>
    <t>洗矿322</t>
  </si>
  <si>
    <t>洗矿323</t>
  </si>
  <si>
    <t>洗矿324</t>
  </si>
  <si>
    <t>洗矿325</t>
  </si>
  <si>
    <t>洗矿326</t>
  </si>
  <si>
    <t>洗矿327</t>
  </si>
  <si>
    <t>洗矿328</t>
  </si>
  <si>
    <t>洗矿329</t>
  </si>
  <si>
    <t>洗矿330</t>
  </si>
  <si>
    <t>洗矿331</t>
  </si>
  <si>
    <t>洗矿332</t>
  </si>
  <si>
    <t>洗矿333</t>
  </si>
  <si>
    <t>洗矿334</t>
  </si>
  <si>
    <t>洗矿335</t>
  </si>
  <si>
    <t>洗矿336</t>
  </si>
  <si>
    <t>洗矿337</t>
  </si>
  <si>
    <t>洗矿338</t>
  </si>
  <si>
    <t>洗矿339</t>
  </si>
  <si>
    <t>洗矿340</t>
  </si>
  <si>
    <t>洗矿341</t>
  </si>
  <si>
    <t>洗矿342</t>
  </si>
  <si>
    <t>洗矿343</t>
  </si>
  <si>
    <t>洗矿344</t>
  </si>
  <si>
    <t>洗矿345</t>
  </si>
  <si>
    <t>洗矿346</t>
  </si>
  <si>
    <t>洗矿347</t>
  </si>
  <si>
    <t>洗矿348</t>
  </si>
  <si>
    <t>洗矿349</t>
  </si>
  <si>
    <t>洗矿350</t>
  </si>
  <si>
    <t>洗矿351</t>
  </si>
  <si>
    <t>洗矿352</t>
  </si>
  <si>
    <t>洗矿353</t>
  </si>
  <si>
    <t>洗矿354</t>
  </si>
  <si>
    <t>洗矿355</t>
  </si>
  <si>
    <t>洗矿356</t>
  </si>
  <si>
    <t>洗矿357</t>
  </si>
  <si>
    <t>洗矿358</t>
  </si>
  <si>
    <t>洗矿359</t>
  </si>
  <si>
    <t>洗矿360</t>
  </si>
  <si>
    <t>洗矿361</t>
  </si>
  <si>
    <t>洗矿362</t>
  </si>
  <si>
    <t>洗矿363</t>
  </si>
  <si>
    <t>洗矿364</t>
  </si>
  <si>
    <t>洗矿365</t>
  </si>
  <si>
    <t>洗矿366</t>
  </si>
  <si>
    <t>洗矿367</t>
  </si>
  <si>
    <t>洗矿368</t>
  </si>
  <si>
    <t>洗矿369</t>
  </si>
  <si>
    <t>洗矿370</t>
  </si>
  <si>
    <t>洗矿371</t>
  </si>
  <si>
    <t>洗矿372</t>
  </si>
  <si>
    <t>洗矿373</t>
  </si>
  <si>
    <t>洗矿374</t>
  </si>
  <si>
    <t>洗矿375</t>
  </si>
  <si>
    <t>洗矿376</t>
  </si>
  <si>
    <t>洗矿377</t>
  </si>
  <si>
    <t>洗矿378</t>
  </si>
  <si>
    <t>洗矿379</t>
  </si>
  <si>
    <t>洗矿380</t>
  </si>
  <si>
    <t>洗矿381</t>
  </si>
  <si>
    <t>洗矿382</t>
  </si>
  <si>
    <t>洗矿383</t>
  </si>
  <si>
    <t>洗矿384</t>
  </si>
  <si>
    <t>洗矿385</t>
  </si>
  <si>
    <t>洗矿386</t>
  </si>
  <si>
    <t>洗矿387</t>
  </si>
  <si>
    <t>洗矿388</t>
  </si>
  <si>
    <t>洗矿389</t>
  </si>
  <si>
    <t>洗矿390</t>
  </si>
  <si>
    <t>洗矿391</t>
  </si>
  <si>
    <t>洗矿392</t>
  </si>
  <si>
    <t>洗矿393</t>
  </si>
  <si>
    <t>洗矿394</t>
  </si>
  <si>
    <t>洗矿395</t>
  </si>
  <si>
    <t>洗矿396</t>
  </si>
  <si>
    <t>洗矿397</t>
  </si>
  <si>
    <t>洗矿398</t>
  </si>
  <si>
    <t>洗矿399</t>
  </si>
  <si>
    <t>洗矿400</t>
  </si>
  <si>
    <t>洗矿401</t>
  </si>
  <si>
    <t>洗矿402</t>
  </si>
  <si>
    <t>洗矿403</t>
  </si>
  <si>
    <t>洗矿404</t>
  </si>
  <si>
    <t>洗矿405</t>
  </si>
  <si>
    <t>洗矿406</t>
  </si>
  <si>
    <t>洗矿407</t>
  </si>
  <si>
    <t>洗矿408</t>
  </si>
  <si>
    <t>洗矿409</t>
  </si>
  <si>
    <t>洗矿410</t>
  </si>
  <si>
    <t>洗矿411</t>
  </si>
  <si>
    <t>洗矿412</t>
  </si>
  <si>
    <t>洗矿413</t>
  </si>
  <si>
    <t>洗矿414</t>
  </si>
  <si>
    <t>洗矿415</t>
  </si>
  <si>
    <t>洗矿416</t>
  </si>
  <si>
    <t>洗矿417</t>
  </si>
  <si>
    <t>洗矿418</t>
  </si>
  <si>
    <t>洗矿419</t>
  </si>
  <si>
    <t>洗矿420</t>
  </si>
  <si>
    <t>洗矿421</t>
  </si>
  <si>
    <t>洗矿422</t>
  </si>
  <si>
    <t>洗矿423</t>
  </si>
  <si>
    <t>洗矿424</t>
  </si>
  <si>
    <t>洗矿425</t>
  </si>
  <si>
    <t>洗矿426</t>
  </si>
  <si>
    <t>洗矿427</t>
  </si>
  <si>
    <t>洗矿428</t>
  </si>
  <si>
    <t>洗矿429</t>
  </si>
  <si>
    <t>洗矿430</t>
  </si>
  <si>
    <t>洗矿431</t>
  </si>
  <si>
    <t>洗矿432</t>
  </si>
  <si>
    <t>洗矿433</t>
  </si>
  <si>
    <t>洗矿434</t>
  </si>
  <si>
    <t>洗矿435</t>
  </si>
  <si>
    <t>洗矿436</t>
  </si>
  <si>
    <t>洗矿437</t>
  </si>
  <si>
    <t>洗矿438</t>
  </si>
  <si>
    <t>洗矿439</t>
  </si>
  <si>
    <t>洗矿440</t>
  </si>
  <si>
    <t>洗矿441</t>
  </si>
  <si>
    <t>洗矿442</t>
  </si>
  <si>
    <t>洗矿443</t>
  </si>
  <si>
    <t>洗矿444</t>
  </si>
  <si>
    <t>洗矿445</t>
  </si>
  <si>
    <t>洗矿446</t>
  </si>
  <si>
    <t>洗矿447</t>
  </si>
  <si>
    <t>洗矿448</t>
  </si>
  <si>
    <t>洗矿449</t>
  </si>
  <si>
    <t>洗矿450</t>
  </si>
  <si>
    <t>洗矿451</t>
  </si>
  <si>
    <t>洗矿452</t>
  </si>
  <si>
    <t>洗矿453</t>
  </si>
  <si>
    <t>洗矿454</t>
  </si>
  <si>
    <t>洗矿455</t>
  </si>
  <si>
    <t>洗矿456</t>
  </si>
  <si>
    <t>洗矿457</t>
  </si>
  <si>
    <t>洗矿458</t>
  </si>
  <si>
    <t>洗矿459</t>
  </si>
  <si>
    <t>洗矿460</t>
  </si>
  <si>
    <t>洗矿461</t>
  </si>
  <si>
    <t>洗矿462</t>
  </si>
  <si>
    <t>洗矿463</t>
  </si>
  <si>
    <t>洗矿464</t>
  </si>
  <si>
    <t>洗矿465</t>
  </si>
  <si>
    <t>洗矿466</t>
  </si>
  <si>
    <t>洗矿467</t>
  </si>
  <si>
    <t>洗矿468</t>
  </si>
  <si>
    <t>洗矿469</t>
  </si>
  <si>
    <t>洗矿470</t>
  </si>
  <si>
    <t>洗矿471</t>
  </si>
  <si>
    <t>洗矿472</t>
  </si>
  <si>
    <t>洗矿473</t>
  </si>
  <si>
    <t>洗矿474</t>
  </si>
  <si>
    <t>洗矿475</t>
  </si>
  <si>
    <t>洗矿476</t>
  </si>
  <si>
    <t>洗矿477</t>
  </si>
  <si>
    <t>洗矿478</t>
  </si>
  <si>
    <t>洗矿479</t>
  </si>
  <si>
    <t>洗矿480</t>
  </si>
  <si>
    <t>洗矿481</t>
  </si>
  <si>
    <t>洗矿482</t>
  </si>
  <si>
    <t>洗矿483</t>
  </si>
  <si>
    <t>洗矿484</t>
  </si>
  <si>
    <t>洗矿485</t>
  </si>
  <si>
    <t>洗矿486</t>
  </si>
  <si>
    <t>洗矿487</t>
  </si>
  <si>
    <t>洗矿488</t>
  </si>
  <si>
    <t>洗矿489</t>
  </si>
  <si>
    <t>洗矿490</t>
  </si>
  <si>
    <t>洗矿491</t>
  </si>
  <si>
    <t>洗矿492</t>
  </si>
  <si>
    <t>洗矿493</t>
  </si>
  <si>
    <t>洗矿494</t>
  </si>
  <si>
    <t>洗矿495</t>
  </si>
  <si>
    <t>洗矿496</t>
  </si>
  <si>
    <t>洗矿497</t>
  </si>
  <si>
    <t>洗矿498</t>
  </si>
  <si>
    <t>洗矿499</t>
  </si>
  <si>
    <t>洗矿500</t>
  </si>
  <si>
    <t>洗矿501</t>
  </si>
  <si>
    <t>洗矿502</t>
  </si>
  <si>
    <t>洗矿503</t>
  </si>
  <si>
    <t>洗矿504</t>
  </si>
  <si>
    <t>洗矿505</t>
  </si>
  <si>
    <t>洗矿506</t>
  </si>
  <si>
    <t>洗矿507</t>
  </si>
  <si>
    <t>洗矿508</t>
  </si>
  <si>
    <t>洗矿509</t>
  </si>
  <si>
    <t>洗矿510</t>
  </si>
  <si>
    <t>洗矿511</t>
  </si>
  <si>
    <t>洗矿512</t>
  </si>
  <si>
    <t>洗矿513</t>
  </si>
  <si>
    <t>洗矿514</t>
  </si>
  <si>
    <t>洗矿515</t>
  </si>
  <si>
    <t>洗矿516</t>
  </si>
  <si>
    <t>洗矿517</t>
  </si>
  <si>
    <t>洗矿518</t>
  </si>
  <si>
    <t>洗矿519</t>
  </si>
  <si>
    <t>洗矿520</t>
  </si>
  <si>
    <t>洗矿521</t>
  </si>
  <si>
    <t>洗矿522</t>
  </si>
  <si>
    <t>洗矿523</t>
  </si>
  <si>
    <t>洗矿524</t>
  </si>
  <si>
    <t>洗矿525</t>
  </si>
  <si>
    <t>洗矿526</t>
  </si>
  <si>
    <t>洗矿527</t>
  </si>
  <si>
    <t>洗矿528</t>
  </si>
  <si>
    <t>攻击神水</t>
  </si>
  <si>
    <t>魔力神水</t>
  </si>
  <si>
    <t>精神神水</t>
  </si>
  <si>
    <t>极速神水</t>
  </si>
  <si>
    <t>体力强效神水</t>
  </si>
  <si>
    <t>魔力强效神水</t>
  </si>
  <si>
    <t>魂石</t>
  </si>
  <si>
    <t>恶魔印记</t>
  </si>
  <si>
    <t>鱼人法器碎片</t>
  </si>
  <si>
    <t>海魔符文碎片</t>
  </si>
  <si>
    <t>魂石碎片</t>
  </si>
  <si>
    <t>恶魔印记碎片</t>
  </si>
  <si>
    <t>技能书碎片1</t>
  </si>
  <si>
    <t>技能书碎片2</t>
  </si>
  <si>
    <t>技能书碎片3</t>
  </si>
  <si>
    <t>技能书碎片4</t>
  </si>
  <si>
    <t>技能书碎片5</t>
  </si>
  <si>
    <t>技能书碎片6</t>
  </si>
  <si>
    <t>技能书碎片7</t>
  </si>
  <si>
    <t>技能书碎片8</t>
  </si>
  <si>
    <t>技能书碎片9</t>
  </si>
  <si>
    <t>技能书碎片10</t>
  </si>
  <si>
    <t>技能书碎片11</t>
  </si>
  <si>
    <t>技能书碎片12</t>
  </si>
  <si>
    <t>技能书碎片13</t>
  </si>
  <si>
    <t>技能书碎片14</t>
  </si>
  <si>
    <t>技能书碎片15</t>
  </si>
  <si>
    <t>技能书碎片16</t>
  </si>
  <si>
    <t>技能书碎片17</t>
  </si>
  <si>
    <t>技能书碎片18</t>
  </si>
  <si>
    <t>技能书碎片19</t>
  </si>
  <si>
    <t>技能书碎片20</t>
  </si>
  <si>
    <t>技能书碎片21</t>
  </si>
  <si>
    <t>技能书碎片22</t>
  </si>
  <si>
    <t>技能书碎片23</t>
  </si>
  <si>
    <t>技能书碎片24</t>
  </si>
  <si>
    <t>技能书碎片25</t>
  </si>
  <si>
    <t>技能书碎片26</t>
  </si>
  <si>
    <t>技能书碎片27</t>
  </si>
  <si>
    <t>技能书碎片28</t>
  </si>
  <si>
    <t>技能书碎片29</t>
  </si>
  <si>
    <t>技能书碎片30</t>
  </si>
  <si>
    <t>技能书碎片31</t>
  </si>
  <si>
    <t>技能书碎片32</t>
  </si>
  <si>
    <t>技能书碎片33</t>
  </si>
  <si>
    <t>技能书碎片34</t>
  </si>
  <si>
    <t>技能书碎片35</t>
  </si>
  <si>
    <t>技能书碎片36</t>
  </si>
  <si>
    <t>技能书碎片37</t>
  </si>
  <si>
    <t>技能书碎片38</t>
  </si>
  <si>
    <t>技能书碎片39</t>
  </si>
  <si>
    <t>技能书碎片40</t>
  </si>
  <si>
    <t>技能书碎片41</t>
  </si>
  <si>
    <t>技能书碎片42</t>
  </si>
  <si>
    <t>技能书碎片43</t>
  </si>
  <si>
    <t>技能书碎片44</t>
  </si>
  <si>
    <t>技能书碎片45</t>
  </si>
  <si>
    <t>技能书碎片46</t>
  </si>
  <si>
    <t>技能书碎片47</t>
  </si>
  <si>
    <t>技能书碎片48</t>
  </si>
  <si>
    <t>技能书碎片49</t>
  </si>
  <si>
    <t>技能书碎片50</t>
  </si>
  <si>
    <t>技能书碎片51</t>
  </si>
  <si>
    <t>技能书碎片52</t>
  </si>
  <si>
    <t>技能书碎片53</t>
  </si>
  <si>
    <t>技能书碎片54</t>
  </si>
  <si>
    <t>技能书碎片55</t>
  </si>
  <si>
    <t>技能书碎片56</t>
  </si>
  <si>
    <t>技能书碎片57</t>
  </si>
  <si>
    <t>技能书碎片58</t>
  </si>
  <si>
    <t>技能书碎片59</t>
  </si>
  <si>
    <t>技能书碎片60</t>
  </si>
  <si>
    <t>技能书碎片61</t>
  </si>
  <si>
    <t>技能书碎片62</t>
  </si>
  <si>
    <t>技能书碎片63</t>
  </si>
  <si>
    <t>技能书碎片64</t>
  </si>
  <si>
    <t>技能书碎片65</t>
  </si>
  <si>
    <t>技能书碎片66</t>
  </si>
  <si>
    <t>技能书碎片67</t>
  </si>
  <si>
    <t>技能书碎片68</t>
  </si>
  <si>
    <t>技能书碎片69</t>
  </si>
  <si>
    <t>技能书碎片70</t>
  </si>
  <si>
    <t>技能书碎片71</t>
  </si>
  <si>
    <t>技能书碎片72</t>
  </si>
  <si>
    <t>技能书碎片73</t>
  </si>
  <si>
    <t>技能书碎片74</t>
  </si>
  <si>
    <t>技能书碎片75</t>
  </si>
  <si>
    <t>技能书碎片76</t>
  </si>
  <si>
    <t>技能书碎片77</t>
  </si>
  <si>
    <t>技能书碎片78</t>
  </si>
  <si>
    <t>技能书碎片79</t>
  </si>
  <si>
    <t>技能书碎片80</t>
  </si>
  <si>
    <t>技能书碎片81</t>
  </si>
  <si>
    <t>技能书碎片82</t>
  </si>
  <si>
    <t>技能书碎片83</t>
  </si>
  <si>
    <t>技能书碎片84</t>
  </si>
  <si>
    <t>技能书碎片85</t>
  </si>
  <si>
    <t>技能书碎片86</t>
  </si>
  <si>
    <t>技能书碎片87</t>
  </si>
  <si>
    <t>技能书碎片88</t>
  </si>
  <si>
    <t>技能书碎片89</t>
  </si>
  <si>
    <t>技能书碎片90</t>
  </si>
  <si>
    <t>技能书碎片91</t>
  </si>
  <si>
    <t>技能书碎片92</t>
  </si>
  <si>
    <t>技能书碎片93</t>
  </si>
  <si>
    <t>技能书碎片94</t>
  </si>
  <si>
    <t>技能书碎片95</t>
  </si>
  <si>
    <t>技能书碎片96</t>
  </si>
  <si>
    <t>技能书碎片97</t>
  </si>
  <si>
    <t>技能书碎片98</t>
  </si>
  <si>
    <t>技能书碎片99</t>
  </si>
  <si>
    <t>技能书碎片100</t>
  </si>
  <si>
    <t>技能书碎片101</t>
  </si>
  <si>
    <t>技能书碎片102</t>
  </si>
  <si>
    <t>技能书碎片103</t>
  </si>
  <si>
    <t>技能书碎片104</t>
  </si>
  <si>
    <t>技能书碎片105</t>
  </si>
  <si>
    <t>技能书碎片106</t>
  </si>
  <si>
    <t>技能书碎片107</t>
  </si>
  <si>
    <t>技能书碎片108</t>
  </si>
  <si>
    <t>技能书碎片109</t>
  </si>
  <si>
    <t>技能书碎片110</t>
  </si>
  <si>
    <t>技能书碎片111</t>
  </si>
  <si>
    <t>技能书碎片112</t>
  </si>
  <si>
    <t>技能书碎片113</t>
  </si>
  <si>
    <t>技能书碎片114</t>
  </si>
  <si>
    <t>技能书碎片115</t>
  </si>
  <si>
    <t>技能书碎片116</t>
  </si>
  <si>
    <t>技能书碎片117</t>
  </si>
  <si>
    <t>技能书碎片118</t>
  </si>
  <si>
    <t>技能书碎片119</t>
  </si>
  <si>
    <t>技能书碎片120</t>
  </si>
  <si>
    <t>技能书碎片121</t>
  </si>
  <si>
    <t>技能书碎片122</t>
  </si>
  <si>
    <t>技能书碎片123</t>
  </si>
  <si>
    <t>技能书碎片124</t>
  </si>
  <si>
    <t>技能书碎片125</t>
  </si>
  <si>
    <t>技能书碎片126</t>
  </si>
  <si>
    <t>技能书碎片127</t>
  </si>
  <si>
    <t>技能书碎片128</t>
  </si>
  <si>
    <t>技能书碎片129</t>
  </si>
  <si>
    <t>技能书碎片130</t>
  </si>
  <si>
    <t>技能书碎片131</t>
  </si>
  <si>
    <t>技能书碎片132</t>
  </si>
  <si>
    <t>技能书碎片133</t>
  </si>
  <si>
    <t>技能书碎片134</t>
  </si>
  <si>
    <t>技能书碎片135</t>
  </si>
  <si>
    <t>技能书碎片136</t>
  </si>
  <si>
    <t>技能书碎片137</t>
  </si>
  <si>
    <t>技能书碎片138</t>
  </si>
  <si>
    <t>技能书碎片139</t>
  </si>
  <si>
    <t>技能书碎片140</t>
  </si>
  <si>
    <t>技能书碎片141</t>
  </si>
  <si>
    <t>技能书碎片142</t>
  </si>
  <si>
    <t>技能书碎片143</t>
  </si>
  <si>
    <t>技能书碎片144</t>
  </si>
  <si>
    <t>技能书碎片145</t>
  </si>
  <si>
    <t>技能书碎片146</t>
  </si>
  <si>
    <t>技能书碎片147</t>
  </si>
  <si>
    <t>技能书碎片148</t>
  </si>
  <si>
    <t>技能书碎片149</t>
  </si>
  <si>
    <t>技能书碎片150</t>
  </si>
  <si>
    <t>技能书碎片151</t>
  </si>
  <si>
    <t>技能书碎片152</t>
  </si>
  <si>
    <t>技能书碎片153</t>
  </si>
  <si>
    <t>技能书碎片154</t>
  </si>
  <si>
    <t>技能书碎片155</t>
  </si>
  <si>
    <t>技能书碎片156</t>
  </si>
  <si>
    <t>技能书碎片157</t>
  </si>
  <si>
    <t>技能书碎片158</t>
  </si>
  <si>
    <t>技能书碎片159</t>
  </si>
  <si>
    <t>技能书碎片160</t>
  </si>
  <si>
    <t>技能书碎片161</t>
  </si>
  <si>
    <t>技能书碎片162</t>
  </si>
  <si>
    <t>技能书碎片163</t>
  </si>
  <si>
    <t>技能书碎片164</t>
  </si>
  <si>
    <t>技能书碎片165</t>
  </si>
  <si>
    <t>技能书碎片166</t>
  </si>
  <si>
    <t>技能书碎片167</t>
  </si>
  <si>
    <t>技能书碎片168</t>
  </si>
  <si>
    <t>技能书碎片169</t>
  </si>
  <si>
    <t>技能书碎片170</t>
  </si>
  <si>
    <t>技能书碎片171</t>
  </si>
  <si>
    <t>技能书碎片172</t>
  </si>
  <si>
    <t>技能书碎片173</t>
  </si>
  <si>
    <t>技能书碎片174</t>
  </si>
  <si>
    <t>技能书碎片175</t>
  </si>
  <si>
    <t>技能书碎片176</t>
  </si>
  <si>
    <t>技能书碎片177</t>
  </si>
  <si>
    <t>技能书碎片178</t>
  </si>
  <si>
    <t>技能书碎片179</t>
  </si>
  <si>
    <t>技能书碎片180</t>
  </si>
  <si>
    <t>技能书碎片181</t>
  </si>
  <si>
    <t>技能书碎片182</t>
  </si>
  <si>
    <t>技能书碎片183</t>
  </si>
  <si>
    <t>技能书碎片184</t>
  </si>
  <si>
    <t>技能书碎片185</t>
  </si>
  <si>
    <t>技能书碎片186</t>
  </si>
  <si>
    <t>技能书碎片187</t>
  </si>
  <si>
    <t>技能书碎片188</t>
  </si>
  <si>
    <t>技能书碎片189</t>
  </si>
  <si>
    <t>技能书碎片190</t>
  </si>
  <si>
    <t>技能书碎片191</t>
  </si>
  <si>
    <t>技能书碎片192</t>
  </si>
  <si>
    <t>技能书碎片193</t>
  </si>
  <si>
    <t>技能书碎片194</t>
  </si>
  <si>
    <t>技能书碎片195</t>
  </si>
  <si>
    <t>技能书碎片196</t>
  </si>
  <si>
    <t>技能书碎片197</t>
  </si>
  <si>
    <t>技能书碎片198</t>
  </si>
  <si>
    <t>技能书碎片199</t>
  </si>
  <si>
    <t>技能书碎片200</t>
  </si>
  <si>
    <t>技能书碎片201</t>
  </si>
  <si>
    <t>技能书碎片202</t>
  </si>
  <si>
    <t>技能书碎片203</t>
  </si>
  <si>
    <t>技能书碎片204</t>
  </si>
  <si>
    <t>技能书碎片205</t>
  </si>
  <si>
    <t>技能书碎片206</t>
  </si>
  <si>
    <t>技能书碎片207</t>
  </si>
  <si>
    <t>技能书碎片208</t>
  </si>
  <si>
    <t>技能书碎片209</t>
  </si>
  <si>
    <t>技能书碎片210</t>
  </si>
  <si>
    <t>技能书碎片211</t>
  </si>
  <si>
    <t>技能书碎片212</t>
  </si>
  <si>
    <t>技能书碎片213</t>
  </si>
  <si>
    <t>技能书碎片214</t>
  </si>
  <si>
    <t>技能书碎片215</t>
  </si>
  <si>
    <t>技能书碎片216</t>
  </si>
  <si>
    <t>技能书碎片217</t>
  </si>
  <si>
    <t>技能书碎片218</t>
  </si>
  <si>
    <t>技能书碎片219</t>
  </si>
  <si>
    <t>技能书碎片220</t>
  </si>
  <si>
    <t>技能书碎片221</t>
  </si>
  <si>
    <t>技能书碎片222</t>
  </si>
  <si>
    <t>技能书碎片223</t>
  </si>
  <si>
    <t>技能书碎片224</t>
  </si>
  <si>
    <t>技能书碎片225</t>
  </si>
  <si>
    <t>技能书碎片226</t>
  </si>
  <si>
    <t>技能书碎片227</t>
  </si>
  <si>
    <t>技能书碎片228</t>
  </si>
  <si>
    <t>技能书碎片229</t>
  </si>
  <si>
    <t>技能书碎片230</t>
  </si>
  <si>
    <t>技能书碎片231</t>
  </si>
  <si>
    <t>技能书碎片232</t>
  </si>
  <si>
    <t>技能书碎片233</t>
  </si>
  <si>
    <t>技能书碎片234</t>
  </si>
  <si>
    <t>技能书碎片235</t>
  </si>
  <si>
    <t>技能书碎片236</t>
  </si>
  <si>
    <t>技能书碎片237</t>
  </si>
  <si>
    <t>技能书碎片238</t>
  </si>
  <si>
    <t>技能书碎片239</t>
  </si>
  <si>
    <t>技能书碎片240</t>
  </si>
  <si>
    <t>技能书碎片241</t>
  </si>
  <si>
    <t>技能书碎片242</t>
  </si>
  <si>
    <t>技能书碎片243</t>
  </si>
  <si>
    <t>技能书碎片244</t>
  </si>
  <si>
    <t>技能书碎片245</t>
  </si>
  <si>
    <t>技能书碎片246</t>
  </si>
  <si>
    <t>技能书碎片247</t>
  </si>
  <si>
    <t>技能书碎片248</t>
  </si>
  <si>
    <t>技能书碎片249</t>
  </si>
  <si>
    <t>技能书碎片250</t>
  </si>
  <si>
    <t>技能书碎片251</t>
  </si>
  <si>
    <t>技能书碎片252</t>
  </si>
  <si>
    <t>技能书碎片253</t>
  </si>
  <si>
    <t>技能书碎片254</t>
  </si>
  <si>
    <t>技能书碎片255</t>
  </si>
  <si>
    <t>技能书碎片256</t>
  </si>
  <si>
    <t>技能书碎片257</t>
  </si>
  <si>
    <t>技能书碎片258</t>
  </si>
  <si>
    <t>技能书碎片259</t>
  </si>
  <si>
    <t>技能书碎片260</t>
  </si>
  <si>
    <t>技能书碎片261</t>
  </si>
  <si>
    <t>技能书碎片262</t>
  </si>
  <si>
    <t>技能书碎片263</t>
  </si>
  <si>
    <t>技能书碎片264</t>
  </si>
  <si>
    <t>技能书碎片265</t>
  </si>
  <si>
    <t>技能书碎片266</t>
  </si>
  <si>
    <t>技能书碎片267</t>
  </si>
  <si>
    <t>技能书碎片268</t>
  </si>
  <si>
    <t>技能书碎片269</t>
  </si>
  <si>
    <t>技能书碎片270</t>
  </si>
  <si>
    <t>技能书碎片271</t>
  </si>
  <si>
    <t>技能书碎片272</t>
  </si>
  <si>
    <t>技能书碎片273</t>
  </si>
  <si>
    <t>技能书碎片274</t>
  </si>
  <si>
    <t>技能书碎片275</t>
  </si>
  <si>
    <t>技能书碎片276</t>
  </si>
  <si>
    <t>技能书碎片277</t>
  </si>
  <si>
    <t>技能书碎片278</t>
  </si>
  <si>
    <t>技能书碎片279</t>
  </si>
  <si>
    <t>技能书碎片280</t>
  </si>
  <si>
    <t>技能书碎片281</t>
  </si>
  <si>
    <t>技能书碎片282</t>
  </si>
  <si>
    <t>技能书碎片283</t>
  </si>
  <si>
    <t>技能书碎片284</t>
  </si>
  <si>
    <t>技能书碎片285</t>
  </si>
  <si>
    <t>技能书碎片286</t>
  </si>
  <si>
    <t>技能书碎片287</t>
  </si>
  <si>
    <t>技能书碎片288</t>
  </si>
  <si>
    <t>技能书碎片289</t>
  </si>
  <si>
    <t>技能书碎片290</t>
  </si>
  <si>
    <t>技能书碎片291</t>
  </si>
  <si>
    <t>技能书碎片292</t>
  </si>
  <si>
    <t>技能书碎片293</t>
  </si>
  <si>
    <t>技能书碎片294</t>
  </si>
  <si>
    <t>技能书碎片295</t>
  </si>
  <si>
    <t>技能书碎片296</t>
  </si>
  <si>
    <t>技能书碎片297</t>
  </si>
  <si>
    <t>技能书碎片298</t>
  </si>
  <si>
    <t>技能书碎片299</t>
  </si>
  <si>
    <t>技能书碎片300</t>
  </si>
  <si>
    <t>技能书碎片301</t>
  </si>
  <si>
    <t>技能书碎片302</t>
  </si>
  <si>
    <t>技能书碎片303</t>
  </si>
  <si>
    <t>技能书碎片304</t>
  </si>
  <si>
    <t>技能书碎片305</t>
  </si>
  <si>
    <t>技能书碎片306</t>
  </si>
  <si>
    <t>技能书碎片307</t>
  </si>
  <si>
    <t>技能书碎片308</t>
  </si>
  <si>
    <t>技能书碎片309</t>
  </si>
  <si>
    <t>技能书碎片310</t>
  </si>
  <si>
    <t>技能书碎片311</t>
  </si>
  <si>
    <t>技能书碎片312</t>
  </si>
  <si>
    <t>技能书碎片313</t>
  </si>
  <si>
    <t>技能书碎片314</t>
  </si>
  <si>
    <t>技能书碎片315</t>
  </si>
  <si>
    <t>技能书碎片316</t>
  </si>
  <si>
    <t>技能书碎片317</t>
  </si>
  <si>
    <t>技能书碎片318</t>
  </si>
  <si>
    <t>技能书碎片319</t>
  </si>
  <si>
    <t>技能书碎片320</t>
  </si>
  <si>
    <t>技能书碎片321</t>
  </si>
  <si>
    <t>技能书碎片322</t>
  </si>
  <si>
    <t>技能书碎片323</t>
  </si>
  <si>
    <t>技能书碎片324</t>
  </si>
  <si>
    <t>技能书碎片325</t>
  </si>
  <si>
    <t>技能书碎片326</t>
  </si>
  <si>
    <t>技能书碎片327</t>
  </si>
  <si>
    <t>技能书碎片328</t>
  </si>
  <si>
    <t>技能书碎片329</t>
  </si>
  <si>
    <t>技能书碎片330</t>
  </si>
  <si>
    <t>技能书碎片331</t>
  </si>
  <si>
    <t>技能书碎片332</t>
  </si>
  <si>
    <t>技能书碎片333</t>
  </si>
  <si>
    <t>技能书碎片334</t>
  </si>
  <si>
    <t>技能书碎片335</t>
  </si>
  <si>
    <t>技能书碎片336</t>
  </si>
  <si>
    <t>技能书碎片337</t>
  </si>
  <si>
    <t>技能书碎片338</t>
  </si>
  <si>
    <t>技能书碎片339</t>
  </si>
  <si>
    <t>技能书碎片340</t>
  </si>
  <si>
    <t>技能书碎片341</t>
  </si>
  <si>
    <t>技能书碎片342</t>
  </si>
  <si>
    <t>技能书碎片343</t>
  </si>
  <si>
    <t>技能书碎片344</t>
  </si>
  <si>
    <t>技能书碎片345</t>
  </si>
  <si>
    <t>技能书碎片346</t>
  </si>
  <si>
    <t>技能书碎片347</t>
  </si>
  <si>
    <t>技能书碎片348</t>
  </si>
  <si>
    <t>技能书碎片349</t>
  </si>
  <si>
    <t>技能书碎片350</t>
  </si>
  <si>
    <t>技能书碎片351</t>
  </si>
  <si>
    <t>技能书碎片352</t>
  </si>
  <si>
    <t>技能书碎片353</t>
  </si>
  <si>
    <t>技能书碎片354</t>
  </si>
  <si>
    <t>技能书碎片355</t>
  </si>
  <si>
    <t>技能书碎片356</t>
  </si>
  <si>
    <t>技能书碎片357</t>
  </si>
  <si>
    <t>技能书碎片358</t>
  </si>
  <si>
    <t>技能书碎片359</t>
  </si>
  <si>
    <t>技能书碎片360</t>
  </si>
  <si>
    <t>技能书碎片361</t>
  </si>
  <si>
    <t>技能书碎片362</t>
  </si>
  <si>
    <t>技能书碎片363</t>
  </si>
  <si>
    <t>技能书碎片364</t>
  </si>
  <si>
    <t>技能书碎片365</t>
  </si>
  <si>
    <t>技能书碎片366</t>
  </si>
  <si>
    <t>技能书碎片367</t>
  </si>
  <si>
    <t>技能书碎片368</t>
  </si>
  <si>
    <t>技能书碎片369</t>
  </si>
  <si>
    <t>技能书碎片370</t>
  </si>
  <si>
    <t>技能书碎片371</t>
  </si>
  <si>
    <t>技能书碎片372</t>
  </si>
  <si>
    <t>技能书碎片373</t>
  </si>
  <si>
    <t>技能书碎片374</t>
  </si>
  <si>
    <t>技能书碎片375</t>
  </si>
  <si>
    <t>技能书碎片376</t>
  </si>
  <si>
    <t>技能书碎片377</t>
  </si>
  <si>
    <t>技能书碎片378</t>
  </si>
  <si>
    <t>技能书碎片379</t>
  </si>
  <si>
    <t>技能书碎片380</t>
  </si>
  <si>
    <t>技能书碎片381</t>
  </si>
  <si>
    <t>技能书碎片382</t>
  </si>
  <si>
    <t>技能书碎片383</t>
  </si>
  <si>
    <t>技能书碎片384</t>
  </si>
  <si>
    <t>技能书碎片385</t>
  </si>
  <si>
    <t>技能书碎片386</t>
  </si>
  <si>
    <t>技能书碎片387</t>
  </si>
  <si>
    <t>技能书碎片388</t>
  </si>
  <si>
    <t>技能书碎片389</t>
  </si>
  <si>
    <t>技能书碎片390</t>
  </si>
  <si>
    <t>技能书碎片391</t>
  </si>
  <si>
    <t>技能书碎片392</t>
  </si>
  <si>
    <t>技能书碎片393</t>
  </si>
  <si>
    <t>技能书碎片394</t>
  </si>
  <si>
    <t>技能书碎片395</t>
  </si>
  <si>
    <t>技能书碎片396</t>
  </si>
  <si>
    <t>技能书碎片397</t>
  </si>
  <si>
    <t>技能书碎片398</t>
  </si>
  <si>
    <t>技能书碎片399</t>
  </si>
  <si>
    <t>技能书碎片400</t>
  </si>
  <si>
    <t>技能书碎片401</t>
  </si>
  <si>
    <t>技能书碎片402</t>
  </si>
  <si>
    <t>技能书碎片403</t>
  </si>
  <si>
    <t>技能书碎片404</t>
  </si>
  <si>
    <t>技能书碎片405</t>
  </si>
  <si>
    <t>技能书碎片406</t>
  </si>
  <si>
    <t>技能书碎片407</t>
  </si>
  <si>
    <t>技能书碎片408</t>
  </si>
  <si>
    <t>技能书碎片409</t>
  </si>
  <si>
    <t>技能书碎片410</t>
  </si>
  <si>
    <t>技能书碎片411</t>
  </si>
  <si>
    <t>技能书碎片412</t>
  </si>
  <si>
    <t>技能书碎片413</t>
  </si>
  <si>
    <t>技能书碎片414</t>
  </si>
  <si>
    <t>技能书碎片415</t>
  </si>
  <si>
    <t>技能书碎片416</t>
  </si>
  <si>
    <t>技能书碎片417</t>
  </si>
  <si>
    <t>技能书碎片418</t>
  </si>
  <si>
    <t>技能书碎片419</t>
  </si>
  <si>
    <t>技能书碎片420</t>
  </si>
  <si>
    <t>技能书碎片421</t>
  </si>
  <si>
    <t>技能书碎片422</t>
  </si>
  <si>
    <t>技能书碎片423</t>
  </si>
  <si>
    <t>技能书碎片424</t>
  </si>
  <si>
    <t>技能书碎片425</t>
  </si>
  <si>
    <t>技能书碎片426</t>
  </si>
  <si>
    <t>技能书碎片427</t>
  </si>
  <si>
    <t>技能书碎片428</t>
  </si>
  <si>
    <t>技能书碎片429</t>
  </si>
  <si>
    <t>技能书碎片430</t>
  </si>
  <si>
    <t>技能书碎片431</t>
  </si>
  <si>
    <t>技能书碎片432</t>
  </si>
  <si>
    <t>技能书碎片433</t>
  </si>
  <si>
    <t>技能书碎片434</t>
  </si>
  <si>
    <t>技能书碎片435</t>
  </si>
  <si>
    <t>技能书碎片436</t>
  </si>
  <si>
    <t>技能书碎片437</t>
  </si>
  <si>
    <t>技能书碎片438</t>
  </si>
  <si>
    <t>技能书碎片439</t>
  </si>
  <si>
    <t>技能书碎片440</t>
  </si>
  <si>
    <t>技能书碎片441</t>
  </si>
  <si>
    <t>技能书碎片442</t>
  </si>
  <si>
    <t>技能书碎片443</t>
  </si>
  <si>
    <t>技能书碎片444</t>
  </si>
  <si>
    <t>技能书碎片445</t>
  </si>
  <si>
    <t>技能书碎片446</t>
  </si>
  <si>
    <t>技能书碎片447</t>
  </si>
  <si>
    <t>技能书碎片448</t>
  </si>
  <si>
    <t>技能书碎片449</t>
  </si>
  <si>
    <t>技能书碎片450</t>
  </si>
  <si>
    <t>技能书碎片451</t>
  </si>
  <si>
    <t>技能书碎片452</t>
  </si>
  <si>
    <t>技能书碎片453</t>
  </si>
  <si>
    <t>技能书碎片454</t>
  </si>
  <si>
    <t>技能书碎片455</t>
  </si>
  <si>
    <t>技能书碎片456</t>
  </si>
  <si>
    <t>技能书碎片457</t>
  </si>
  <si>
    <t>技能书碎片458</t>
  </si>
  <si>
    <t>技能书碎片459</t>
  </si>
  <si>
    <t>技能书碎片460</t>
  </si>
  <si>
    <t>技能书碎片461</t>
  </si>
  <si>
    <t>技能书碎片462</t>
  </si>
  <si>
    <t>技能书碎片463</t>
  </si>
  <si>
    <t>技能书碎片464</t>
  </si>
  <si>
    <t>技能书碎片465</t>
  </si>
  <si>
    <t>技能书碎片466</t>
  </si>
  <si>
    <t>技能书碎片467</t>
  </si>
  <si>
    <t>技能书碎片468</t>
  </si>
  <si>
    <t>技能书碎片469</t>
  </si>
  <si>
    <t>技能书碎片470</t>
  </si>
  <si>
    <t>技能书碎片471</t>
  </si>
  <si>
    <t>技能书碎片472</t>
  </si>
  <si>
    <t>技能书碎片473</t>
  </si>
  <si>
    <t>技能书碎片474</t>
  </si>
  <si>
    <t>技能书碎片475</t>
  </si>
  <si>
    <t>技能书碎片476</t>
  </si>
  <si>
    <t>技能书碎片477</t>
  </si>
  <si>
    <t>技能书碎片478</t>
  </si>
  <si>
    <t>技能书碎片479</t>
  </si>
  <si>
    <t>技能书碎片480</t>
  </si>
  <si>
    <t>技能书碎片481</t>
  </si>
  <si>
    <t>技能书碎片482</t>
  </si>
  <si>
    <t>技能书碎片483</t>
  </si>
  <si>
    <t>技能书碎片484</t>
  </si>
  <si>
    <t>技能书碎片485</t>
  </si>
  <si>
    <t>技能书碎片486</t>
  </si>
  <si>
    <t>技能书碎片487</t>
  </si>
  <si>
    <t>技能书碎片488</t>
  </si>
  <si>
    <t>技能书碎片489</t>
  </si>
  <si>
    <t>技能书碎片490</t>
  </si>
  <si>
    <t>技能书碎片491</t>
  </si>
  <si>
    <t>技能书碎片492</t>
  </si>
  <si>
    <t>技能书碎片493</t>
  </si>
  <si>
    <t>技能书碎片494</t>
  </si>
  <si>
    <t>技能书碎片495</t>
  </si>
  <si>
    <t>技能书碎片496</t>
  </si>
  <si>
    <t>技能书碎片497</t>
  </si>
  <si>
    <t>技能书碎片498</t>
  </si>
  <si>
    <t>技能书碎片499</t>
  </si>
  <si>
    <t>技能书碎片500</t>
  </si>
  <si>
    <t>DropLimitType</t>
    <phoneticPr fontId="1" type="noConversion"/>
  </si>
  <si>
    <t>CheckDropLimit</t>
    <phoneticPr fontId="1" type="noConversion"/>
  </si>
  <si>
    <t>Server</t>
    <phoneticPr fontId="1" type="noConversion"/>
  </si>
  <si>
    <t>影之虚空·华美</t>
  </si>
  <si>
    <t>影之虚空·耀眼</t>
  </si>
  <si>
    <t>召唤骷髅</t>
  </si>
  <si>
    <t>烈火剑法残卷</t>
    <phoneticPr fontId="1" type="noConversion"/>
  </si>
  <si>
    <t>冰咆哮残卷</t>
    <phoneticPr fontId="1" type="noConversion"/>
  </si>
  <si>
    <t>召唤神兽残卷</t>
    <phoneticPr fontId="1" type="noConversion"/>
  </si>
  <si>
    <t>超强金创药（占位）</t>
  </si>
  <si>
    <t>金创药（占位）</t>
  </si>
  <si>
    <t>超强魔法药(占位）</t>
  </si>
  <si>
    <t>新阳灵石1级</t>
  </si>
  <si>
    <t>新阳灵石2级</t>
  </si>
  <si>
    <t>新阳灵石3级</t>
  </si>
  <si>
    <t>新阳灵石4级</t>
  </si>
  <si>
    <t>新阳灵石5级</t>
  </si>
  <si>
    <t>新阳灵石6级</t>
  </si>
  <si>
    <t>新阳灵石7级</t>
  </si>
  <si>
    <t>新阳灵石8级</t>
  </si>
  <si>
    <t>新阳灵石9级</t>
  </si>
  <si>
    <t>新阳灵石10级</t>
  </si>
  <si>
    <t>守阳灵石1级</t>
  </si>
  <si>
    <t>守阳灵石2级</t>
  </si>
  <si>
    <t>守阳灵石3级</t>
  </si>
  <si>
    <t>守阳灵石4级</t>
  </si>
  <si>
    <t>守阳灵石5级</t>
  </si>
  <si>
    <t>守阳灵石6级</t>
  </si>
  <si>
    <t>守阳灵石7级</t>
  </si>
  <si>
    <t>守阳灵石8级</t>
  </si>
  <si>
    <t>守阳灵石9级</t>
  </si>
  <si>
    <t>守阳灵石10级</t>
  </si>
  <si>
    <t>盟重回城卷</t>
  </si>
  <si>
    <t>盟重回城卷包</t>
  </si>
  <si>
    <t>玲月传</t>
  </si>
  <si>
    <t>阿九传</t>
  </si>
  <si>
    <t>南苍公传</t>
  </si>
  <si>
    <t>茂盛绿叶植物</t>
  </si>
  <si>
    <t>尸王之泪</t>
  </si>
  <si>
    <t>沃玛教主之牙</t>
  </si>
  <si>
    <t>触龙神之足</t>
  </si>
  <si>
    <t>古旧命运之刃</t>
  </si>
  <si>
    <t>祖玛头像</t>
  </si>
  <si>
    <t>鹿肉</t>
  </si>
  <si>
    <t>海魔符文</t>
  </si>
  <si>
    <t>初级技能书页</t>
  </si>
  <si>
    <t>恶魔之心</t>
  </si>
  <si>
    <t>战士中级技能书页</t>
  </si>
  <si>
    <t>法师中级技能书页</t>
  </si>
  <si>
    <t>道士中级技能书页</t>
  </si>
  <si>
    <t>传</t>
  </si>
  <si>
    <t>奇</t>
  </si>
  <si>
    <t>永</t>
  </si>
  <si>
    <t>恒</t>
  </si>
  <si>
    <t>英雄帖</t>
  </si>
  <si>
    <t>沃玛令牌(小)</t>
  </si>
  <si>
    <t>沃玛令牌(大)</t>
  </si>
  <si>
    <t>草药</t>
  </si>
  <si>
    <t>夏普儿手镯</t>
    <phoneticPr fontId="1" type="noConversion"/>
  </si>
  <si>
    <t>躲避项链</t>
    <phoneticPr fontId="1" type="noConversion"/>
  </si>
  <si>
    <t>进击幻彩灵石1级</t>
  </si>
  <si>
    <t>进击幻彩灵石2级</t>
  </si>
  <si>
    <t>进击幻彩灵石3级</t>
  </si>
  <si>
    <t>进击幻彩灵石4级</t>
  </si>
  <si>
    <t>进击幻彩灵石5级</t>
  </si>
  <si>
    <t>进击幻彩灵石6级</t>
  </si>
  <si>
    <t>进击幻彩灵石7级</t>
  </si>
  <si>
    <t>进击幻彩灵石8级</t>
  </si>
  <si>
    <t>进击幻彩灵石9级</t>
  </si>
  <si>
    <t>进击幻彩灵石10级</t>
  </si>
  <si>
    <t>抵御幻彩灵石1级</t>
  </si>
  <si>
    <t>抵御幻彩灵石2级</t>
  </si>
  <si>
    <t>抵御幻彩灵石3级</t>
  </si>
  <si>
    <t>抵御幻彩灵石4级</t>
  </si>
  <si>
    <t>抵御幻彩灵石5级</t>
  </si>
  <si>
    <t>抵御幻彩灵石6级</t>
  </si>
  <si>
    <t>抵御幻彩灵石7级</t>
  </si>
  <si>
    <t>抵御幻彩灵石8级</t>
  </si>
  <si>
    <t>抵御幻彩灵石9级</t>
  </si>
  <si>
    <t>抵御幻彩灵石10级</t>
  </si>
  <si>
    <t>半兽人宝藏残片一</t>
  </si>
  <si>
    <t>半兽人宝藏残片二</t>
  </si>
  <si>
    <t>半兽人宝藏残片三</t>
  </si>
  <si>
    <t>半兽人宝藏残片四</t>
  </si>
  <si>
    <t>半兽人藏宝图</t>
  </si>
  <si>
    <t>京东卡</t>
  </si>
  <si>
    <t>幽冥海入场券</t>
  </si>
  <si>
    <t>礼品粽子</t>
  </si>
  <si>
    <t>我1</t>
    <phoneticPr fontId="1" type="noConversion"/>
  </si>
  <si>
    <t>爱1</t>
    <phoneticPr fontId="1" type="noConversion"/>
  </si>
  <si>
    <t>传1</t>
    <phoneticPr fontId="1" type="noConversion"/>
  </si>
  <si>
    <t>奇1</t>
    <phoneticPr fontId="1" type="noConversion"/>
  </si>
  <si>
    <t>永1</t>
    <phoneticPr fontId="1" type="noConversion"/>
  </si>
  <si>
    <t>恒1</t>
    <phoneticPr fontId="1" type="noConversion"/>
  </si>
  <si>
    <t>游戏周边凭证</t>
    <phoneticPr fontId="1" type="noConversion"/>
  </si>
  <si>
    <t>魔法盾</t>
    <phoneticPr fontId="1" type="noConversion"/>
  </si>
  <si>
    <t>装备碎片*50</t>
  </si>
  <si>
    <t>布鞋</t>
  </si>
  <si>
    <t>鹿皮靴</t>
  </si>
  <si>
    <t>兽皮腰带</t>
  </si>
  <si>
    <t>铁腰带</t>
    <phoneticPr fontId="1" type="noConversion"/>
  </si>
  <si>
    <t>兽皮腰带</t>
    <phoneticPr fontId="1" type="noConversion"/>
  </si>
  <si>
    <t>祖玛令牌(小)</t>
    <phoneticPr fontId="1" type="noConversion"/>
  </si>
  <si>
    <t>祖玛令牌(大)</t>
    <phoneticPr fontId="1" type="noConversion"/>
  </si>
  <si>
    <t>赤月令牌(小)</t>
    <phoneticPr fontId="1" type="noConversion"/>
  </si>
  <si>
    <t>赤月令牌(大)</t>
    <phoneticPr fontId="1" type="noConversion"/>
  </si>
  <si>
    <t>烈火剑法残卷</t>
  </si>
  <si>
    <t>冰咆哮残卷</t>
  </si>
  <si>
    <t>召唤神兽残卷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</si>
</sst>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49" applyAlignment="1">
      <alignment horizontal="left" vertical="center"/>
    </xf>
    <xf numFmtId="0" fontId="3" fillId="0" borderId="0" xfId="2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20" fillId="0" borderId="0" xfId="0" applyFont="1">
      <alignment vertical="center"/>
    </xf>
  </cellXfs>
  <cellStyles count="106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常规 10" xfId="74"/>
    <cellStyle name="常规 11" xfId="75"/>
    <cellStyle name="常规 12" xfId="76"/>
    <cellStyle name="常规 13" xfId="77"/>
    <cellStyle name="常规 14" xfId="78"/>
    <cellStyle name="常规 15" xfId="79"/>
    <cellStyle name="常规 16" xfId="80"/>
    <cellStyle name="常规 17" xfId="81"/>
    <cellStyle name="常规 18" xfId="82"/>
    <cellStyle name="常规 19" xfId="83"/>
    <cellStyle name="常规 2" xfId="1"/>
    <cellStyle name="常规 2 2" xfId="49"/>
    <cellStyle name="常规 2 2 2" xfId="46"/>
    <cellStyle name="常规 2 2 2 2" xfId="57"/>
    <cellStyle name="常规 2 2 2 2 2" xfId="54"/>
    <cellStyle name="常规 2 2 2 3" xfId="55"/>
    <cellStyle name="常规 2 2 3" xfId="63"/>
    <cellStyle name="常规 2 3" xfId="47"/>
    <cellStyle name="常规 2 4" xfId="48"/>
    <cellStyle name="常规 2 5" xfId="50"/>
    <cellStyle name="常规 2 5 2" xfId="58"/>
    <cellStyle name="常规 2 5 3" xfId="64"/>
    <cellStyle name="常规 2 6" xfId="51"/>
    <cellStyle name="常规 2 6 2" xfId="59"/>
    <cellStyle name="常规 2 6 3" xfId="65"/>
    <cellStyle name="常规 2 7" xfId="43"/>
    <cellStyle name="常规 20" xfId="84"/>
    <cellStyle name="常规 21" xfId="85"/>
    <cellStyle name="常规 22" xfId="90"/>
    <cellStyle name="常规 23" xfId="91"/>
    <cellStyle name="常规 24" xfId="96"/>
    <cellStyle name="常规 25" xfId="101"/>
    <cellStyle name="常规 3" xfId="2"/>
    <cellStyle name="常规 3 2" xfId="60"/>
    <cellStyle name="常规 3 3" xfId="66"/>
    <cellStyle name="常规 3 4" xfId="69"/>
    <cellStyle name="常规 3 5" xfId="86"/>
    <cellStyle name="常规 3 6" xfId="95"/>
    <cellStyle name="常规 3 7" xfId="100"/>
    <cellStyle name="常规 3 8" xfId="105"/>
    <cellStyle name="常规 3 9" xfId="52"/>
    <cellStyle name="常规 4" xfId="53"/>
    <cellStyle name="常规 4 2" xfId="61"/>
    <cellStyle name="常规 4 3" xfId="67"/>
    <cellStyle name="常规 4 4" xfId="70"/>
    <cellStyle name="常规 4 5" xfId="87"/>
    <cellStyle name="常规 4 6" xfId="94"/>
    <cellStyle name="常规 4 7" xfId="99"/>
    <cellStyle name="常规 4 8" xfId="104"/>
    <cellStyle name="常规 5" xfId="44"/>
    <cellStyle name="常规 6" xfId="56"/>
    <cellStyle name="常规 7" xfId="62"/>
    <cellStyle name="常规 7 2" xfId="71"/>
    <cellStyle name="常规 7 3" xfId="88"/>
    <cellStyle name="常规 7 4" xfId="93"/>
    <cellStyle name="常规 7 5" xfId="98"/>
    <cellStyle name="常规 7 6" xfId="103"/>
    <cellStyle name="常规 8" xfId="68"/>
    <cellStyle name="常规 8 2" xfId="72"/>
    <cellStyle name="常规 8 3" xfId="89"/>
    <cellStyle name="常规 8 4" xfId="92"/>
    <cellStyle name="常规 8 5" xfId="97"/>
    <cellStyle name="常规 8 6" xfId="102"/>
    <cellStyle name="常规 9" xfId="73"/>
    <cellStyle name="好" xfId="8" builtinId="26" customBuiltin="1"/>
    <cellStyle name="汇总" xfId="18" builtinId="25" customBuiltin="1"/>
    <cellStyle name="计算" xfId="13" builtinId="22" customBuiltin="1"/>
    <cellStyle name="检查单元格" xfId="15" builtinId="23" customBuiltin="1"/>
    <cellStyle name="解释性文本" xfId="17" builtinId="53" customBuiltin="1"/>
    <cellStyle name="警告文本" xfId="16" builtinId="11" customBuiltin="1"/>
    <cellStyle name="链接单元格" xfId="14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10" builtinId="28" customBuiltin="1"/>
    <cellStyle name="输出" xfId="12" builtinId="21" customBuiltin="1"/>
    <cellStyle name="输入" xfId="11" builtinId="20" customBuiltin="1"/>
    <cellStyle name="注释 2" xfId="4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31"/>
  <sheetViews>
    <sheetView tabSelected="1" topLeftCell="A233" workbookViewId="0">
      <selection activeCell="E248" sqref="E248"/>
    </sheetView>
  </sheetViews>
  <sheetFormatPr defaultRowHeight="13.5"/>
  <cols>
    <col min="1" max="1" width="10.5" bestFit="1" customWidth="1"/>
    <col min="4" max="6" width="9" style="4"/>
    <col min="7" max="7" width="9.5" bestFit="1" customWidth="1"/>
    <col min="11" max="11" width="16.875" customWidth="1"/>
  </cols>
  <sheetData>
    <row r="1" spans="1:11">
      <c r="A1" t="s">
        <v>0</v>
      </c>
      <c r="B1" t="s">
        <v>1</v>
      </c>
      <c r="C1" t="s">
        <v>2</v>
      </c>
      <c r="D1" s="4" t="s">
        <v>463</v>
      </c>
      <c r="E1" s="4" t="s">
        <v>2948</v>
      </c>
      <c r="F1" s="4" t="s">
        <v>2949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>
      <c r="A2" t="s">
        <v>111</v>
      </c>
      <c r="B2" t="s">
        <v>111</v>
      </c>
      <c r="C2" t="s">
        <v>112</v>
      </c>
      <c r="D2" s="4" t="s">
        <v>464</v>
      </c>
      <c r="E2" s="4" t="s">
        <v>2950</v>
      </c>
      <c r="F2" s="4" t="s">
        <v>2950</v>
      </c>
      <c r="G2" t="s">
        <v>111</v>
      </c>
      <c r="H2" t="s">
        <v>111</v>
      </c>
      <c r="I2" t="s">
        <v>111</v>
      </c>
      <c r="J2" t="s">
        <v>111</v>
      </c>
      <c r="K2" t="s">
        <v>24</v>
      </c>
    </row>
    <row r="3" spans="1:11">
      <c r="A3">
        <v>0</v>
      </c>
      <c r="B3">
        <v>0</v>
      </c>
      <c r="C3">
        <v>1</v>
      </c>
      <c r="D3" s="4">
        <v>1</v>
      </c>
      <c r="E3" s="4">
        <v>0</v>
      </c>
      <c r="F3" s="4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301</v>
      </c>
      <c r="B4">
        <v>1</v>
      </c>
      <c r="C4">
        <v>1</v>
      </c>
      <c r="D4" s="4">
        <v>0</v>
      </c>
      <c r="E4" s="4">
        <v>0</v>
      </c>
      <c r="F4" s="4">
        <v>1</v>
      </c>
      <c r="G4">
        <v>301</v>
      </c>
      <c r="H4">
        <v>1</v>
      </c>
      <c r="I4">
        <v>1</v>
      </c>
      <c r="J4">
        <v>1</v>
      </c>
      <c r="K4" t="s">
        <v>250</v>
      </c>
    </row>
    <row r="5" spans="1:11">
      <c r="A5">
        <v>302</v>
      </c>
      <c r="B5">
        <v>1</v>
      </c>
      <c r="C5">
        <v>1</v>
      </c>
      <c r="D5" s="4">
        <v>0</v>
      </c>
      <c r="E5" s="4">
        <v>0</v>
      </c>
      <c r="F5" s="4">
        <v>1</v>
      </c>
      <c r="G5">
        <v>302</v>
      </c>
      <c r="H5">
        <v>1</v>
      </c>
      <c r="I5">
        <v>1</v>
      </c>
      <c r="J5">
        <v>1</v>
      </c>
      <c r="K5" t="s">
        <v>251</v>
      </c>
    </row>
    <row r="6" spans="1:11">
      <c r="A6">
        <v>303</v>
      </c>
      <c r="B6">
        <v>1</v>
      </c>
      <c r="C6">
        <v>1</v>
      </c>
      <c r="D6" s="4">
        <v>0</v>
      </c>
      <c r="E6" s="4">
        <v>0</v>
      </c>
      <c r="F6" s="4">
        <v>1</v>
      </c>
      <c r="G6">
        <v>303</v>
      </c>
      <c r="H6">
        <v>1</v>
      </c>
      <c r="I6">
        <v>1</v>
      </c>
      <c r="J6">
        <v>1</v>
      </c>
      <c r="K6" t="s">
        <v>118</v>
      </c>
    </row>
    <row r="7" spans="1:11">
      <c r="A7">
        <v>304</v>
      </c>
      <c r="B7">
        <v>1</v>
      </c>
      <c r="C7">
        <v>1</v>
      </c>
      <c r="D7" s="4">
        <v>0</v>
      </c>
      <c r="E7" s="4">
        <v>0</v>
      </c>
      <c r="F7" s="4">
        <v>1</v>
      </c>
      <c r="G7">
        <v>304</v>
      </c>
      <c r="H7">
        <v>1</v>
      </c>
      <c r="I7">
        <v>1</v>
      </c>
      <c r="J7">
        <v>1</v>
      </c>
      <c r="K7" t="s">
        <v>2957</v>
      </c>
    </row>
    <row r="8" spans="1:11">
      <c r="A8">
        <v>305</v>
      </c>
      <c r="B8">
        <v>1</v>
      </c>
      <c r="C8">
        <v>1</v>
      </c>
      <c r="D8" s="4">
        <v>0</v>
      </c>
      <c r="E8" s="4">
        <v>0</v>
      </c>
      <c r="F8" s="4">
        <v>1</v>
      </c>
      <c r="G8">
        <v>305</v>
      </c>
      <c r="H8">
        <v>1</v>
      </c>
      <c r="I8">
        <v>1</v>
      </c>
      <c r="J8">
        <v>1</v>
      </c>
      <c r="K8" t="s">
        <v>2958</v>
      </c>
    </row>
    <row r="9" spans="1:11">
      <c r="A9">
        <v>311</v>
      </c>
      <c r="B9">
        <v>1</v>
      </c>
      <c r="C9">
        <v>1</v>
      </c>
      <c r="D9" s="4">
        <v>0</v>
      </c>
      <c r="E9" s="4">
        <v>0</v>
      </c>
      <c r="F9" s="4">
        <v>1</v>
      </c>
      <c r="G9">
        <v>311</v>
      </c>
      <c r="H9">
        <v>1</v>
      </c>
      <c r="I9">
        <v>1</v>
      </c>
      <c r="J9">
        <v>1</v>
      </c>
      <c r="K9" t="s">
        <v>252</v>
      </c>
    </row>
    <row r="10" spans="1:11">
      <c r="A10">
        <v>312</v>
      </c>
      <c r="B10">
        <v>1</v>
      </c>
      <c r="C10">
        <v>1</v>
      </c>
      <c r="D10" s="4">
        <v>0</v>
      </c>
      <c r="E10" s="4">
        <v>0</v>
      </c>
      <c r="F10" s="4">
        <v>1</v>
      </c>
      <c r="G10">
        <v>312</v>
      </c>
      <c r="H10">
        <v>1</v>
      </c>
      <c r="I10">
        <v>1</v>
      </c>
      <c r="J10">
        <v>1</v>
      </c>
      <c r="K10" t="s">
        <v>253</v>
      </c>
    </row>
    <row r="11" spans="1:11">
      <c r="A11">
        <v>321</v>
      </c>
      <c r="B11">
        <v>1</v>
      </c>
      <c r="C11">
        <v>1</v>
      </c>
      <c r="D11" s="4">
        <v>0</v>
      </c>
      <c r="E11" s="4">
        <v>0</v>
      </c>
      <c r="F11" s="4">
        <v>1</v>
      </c>
      <c r="G11">
        <v>321</v>
      </c>
      <c r="H11">
        <v>1</v>
      </c>
      <c r="I11">
        <v>1</v>
      </c>
      <c r="J11">
        <v>1</v>
      </c>
      <c r="K11" t="s">
        <v>254</v>
      </c>
    </row>
    <row r="12" spans="1:11">
      <c r="A12">
        <v>322</v>
      </c>
      <c r="B12">
        <v>1</v>
      </c>
      <c r="C12">
        <v>1</v>
      </c>
      <c r="D12" s="4">
        <v>0</v>
      </c>
      <c r="E12" s="4">
        <v>0</v>
      </c>
      <c r="F12" s="4">
        <v>1</v>
      </c>
      <c r="G12">
        <v>322</v>
      </c>
      <c r="H12">
        <v>1</v>
      </c>
      <c r="I12">
        <v>1</v>
      </c>
      <c r="J12">
        <v>1</v>
      </c>
      <c r="K12" t="s">
        <v>255</v>
      </c>
    </row>
    <row r="13" spans="1:11">
      <c r="A13">
        <v>323</v>
      </c>
      <c r="B13">
        <v>1</v>
      </c>
      <c r="C13">
        <v>1</v>
      </c>
      <c r="D13" s="4">
        <v>0</v>
      </c>
      <c r="E13" s="4">
        <v>0</v>
      </c>
      <c r="F13" s="4">
        <v>1</v>
      </c>
      <c r="G13">
        <v>323</v>
      </c>
      <c r="H13">
        <v>1</v>
      </c>
      <c r="I13">
        <v>1</v>
      </c>
      <c r="J13">
        <v>1</v>
      </c>
      <c r="K13" t="s">
        <v>396</v>
      </c>
    </row>
    <row r="14" spans="1:11">
      <c r="A14">
        <v>324</v>
      </c>
      <c r="B14">
        <v>1</v>
      </c>
      <c r="C14">
        <v>1</v>
      </c>
      <c r="D14" s="4">
        <v>0</v>
      </c>
      <c r="E14" s="4">
        <v>0</v>
      </c>
      <c r="F14" s="4">
        <v>1</v>
      </c>
      <c r="G14">
        <v>324</v>
      </c>
      <c r="H14">
        <v>1</v>
      </c>
      <c r="I14">
        <v>1</v>
      </c>
      <c r="J14">
        <v>1</v>
      </c>
      <c r="K14" t="s">
        <v>2959</v>
      </c>
    </row>
    <row r="15" spans="1:11">
      <c r="A15">
        <v>331</v>
      </c>
      <c r="B15">
        <v>1</v>
      </c>
      <c r="C15">
        <v>1</v>
      </c>
      <c r="D15" s="4">
        <v>0</v>
      </c>
      <c r="E15" s="4">
        <v>0</v>
      </c>
      <c r="F15" s="4">
        <v>1</v>
      </c>
      <c r="G15">
        <v>331</v>
      </c>
      <c r="H15">
        <v>1</v>
      </c>
      <c r="I15">
        <v>1</v>
      </c>
      <c r="J15">
        <v>1</v>
      </c>
      <c r="K15" t="s">
        <v>256</v>
      </c>
    </row>
    <row r="16" spans="1:11">
      <c r="A16">
        <v>351</v>
      </c>
      <c r="B16">
        <v>1</v>
      </c>
      <c r="C16">
        <v>1</v>
      </c>
      <c r="D16" s="4">
        <v>0</v>
      </c>
      <c r="E16" s="4">
        <v>0</v>
      </c>
      <c r="F16" s="4">
        <v>1</v>
      </c>
      <c r="G16">
        <v>351</v>
      </c>
      <c r="H16">
        <v>1</v>
      </c>
      <c r="I16">
        <v>1</v>
      </c>
      <c r="J16">
        <v>1</v>
      </c>
      <c r="K16" t="s">
        <v>397</v>
      </c>
    </row>
    <row r="17" spans="1:11">
      <c r="A17">
        <v>352</v>
      </c>
      <c r="B17">
        <v>1</v>
      </c>
      <c r="C17">
        <v>1</v>
      </c>
      <c r="D17" s="4">
        <v>0</v>
      </c>
      <c r="E17" s="4">
        <v>0</v>
      </c>
      <c r="F17" s="4">
        <v>1</v>
      </c>
      <c r="G17">
        <v>352</v>
      </c>
      <c r="H17">
        <v>1</v>
      </c>
      <c r="I17">
        <v>1</v>
      </c>
      <c r="J17">
        <v>1</v>
      </c>
      <c r="K17" t="s">
        <v>398</v>
      </c>
    </row>
    <row r="18" spans="1:11">
      <c r="A18">
        <v>353</v>
      </c>
      <c r="B18">
        <v>1</v>
      </c>
      <c r="C18">
        <v>1</v>
      </c>
      <c r="D18" s="4">
        <v>0</v>
      </c>
      <c r="E18" s="4">
        <v>0</v>
      </c>
      <c r="F18" s="4">
        <v>1</v>
      </c>
      <c r="G18">
        <v>353</v>
      </c>
      <c r="H18">
        <v>1</v>
      </c>
      <c r="I18">
        <v>1</v>
      </c>
      <c r="J18">
        <v>1</v>
      </c>
      <c r="K18" t="s">
        <v>399</v>
      </c>
    </row>
    <row r="19" spans="1:11">
      <c r="A19">
        <v>361</v>
      </c>
      <c r="B19">
        <v>1</v>
      </c>
      <c r="C19">
        <v>1</v>
      </c>
      <c r="D19" s="4">
        <v>0</v>
      </c>
      <c r="E19" s="4">
        <v>0</v>
      </c>
      <c r="F19" s="4">
        <v>1</v>
      </c>
      <c r="G19">
        <v>361</v>
      </c>
      <c r="H19">
        <v>1</v>
      </c>
      <c r="I19">
        <v>1</v>
      </c>
      <c r="J19">
        <v>1</v>
      </c>
      <c r="K19" t="s">
        <v>257</v>
      </c>
    </row>
    <row r="20" spans="1:11">
      <c r="A20">
        <v>362</v>
      </c>
      <c r="B20">
        <v>1</v>
      </c>
      <c r="C20">
        <v>1</v>
      </c>
      <c r="D20" s="4">
        <v>0</v>
      </c>
      <c r="E20" s="4">
        <v>0</v>
      </c>
      <c r="F20" s="4">
        <v>1</v>
      </c>
      <c r="G20">
        <v>362</v>
      </c>
      <c r="H20">
        <v>1</v>
      </c>
      <c r="I20">
        <v>1</v>
      </c>
      <c r="J20">
        <v>1</v>
      </c>
      <c r="K20" t="s">
        <v>258</v>
      </c>
    </row>
    <row r="21" spans="1:11">
      <c r="A21">
        <v>363</v>
      </c>
      <c r="B21">
        <v>1</v>
      </c>
      <c r="C21">
        <v>1</v>
      </c>
      <c r="D21" s="4">
        <v>0</v>
      </c>
      <c r="E21" s="4">
        <v>0</v>
      </c>
      <c r="F21" s="4">
        <v>1</v>
      </c>
      <c r="G21">
        <v>363</v>
      </c>
      <c r="H21">
        <v>1</v>
      </c>
      <c r="I21">
        <v>1</v>
      </c>
      <c r="J21">
        <v>1</v>
      </c>
      <c r="K21" t="s">
        <v>119</v>
      </c>
    </row>
    <row r="22" spans="1:11">
      <c r="A22">
        <v>371</v>
      </c>
      <c r="B22">
        <v>1</v>
      </c>
      <c r="C22">
        <v>1</v>
      </c>
      <c r="D22" s="4">
        <v>0</v>
      </c>
      <c r="E22" s="4">
        <v>0</v>
      </c>
      <c r="F22" s="4">
        <v>1</v>
      </c>
      <c r="G22">
        <v>371</v>
      </c>
      <c r="H22">
        <v>1</v>
      </c>
      <c r="I22">
        <v>1</v>
      </c>
      <c r="J22">
        <v>1</v>
      </c>
      <c r="K22" t="s">
        <v>259</v>
      </c>
    </row>
    <row r="23" spans="1:11">
      <c r="A23">
        <v>372</v>
      </c>
      <c r="B23">
        <v>1</v>
      </c>
      <c r="C23">
        <v>1</v>
      </c>
      <c r="D23" s="4">
        <v>0</v>
      </c>
      <c r="E23" s="4">
        <v>0</v>
      </c>
      <c r="F23" s="4">
        <v>1</v>
      </c>
      <c r="G23">
        <v>372</v>
      </c>
      <c r="H23">
        <v>1</v>
      </c>
      <c r="I23">
        <v>1</v>
      </c>
      <c r="J23">
        <v>1</v>
      </c>
      <c r="K23" t="s">
        <v>260</v>
      </c>
    </row>
    <row r="24" spans="1:11">
      <c r="A24">
        <v>373</v>
      </c>
      <c r="B24">
        <v>1</v>
      </c>
      <c r="C24">
        <v>1</v>
      </c>
      <c r="D24" s="4">
        <v>0</v>
      </c>
      <c r="E24" s="4">
        <v>0</v>
      </c>
      <c r="F24" s="4">
        <v>1</v>
      </c>
      <c r="G24">
        <v>373</v>
      </c>
      <c r="H24">
        <v>1</v>
      </c>
      <c r="I24">
        <v>1</v>
      </c>
      <c r="J24">
        <v>1</v>
      </c>
      <c r="K24" t="s">
        <v>400</v>
      </c>
    </row>
    <row r="25" spans="1:11">
      <c r="A25">
        <v>381</v>
      </c>
      <c r="B25">
        <v>1</v>
      </c>
      <c r="C25">
        <v>1</v>
      </c>
      <c r="D25" s="4">
        <v>0</v>
      </c>
      <c r="E25" s="4">
        <v>0</v>
      </c>
      <c r="F25" s="4">
        <v>1</v>
      </c>
      <c r="G25">
        <v>381</v>
      </c>
      <c r="H25">
        <v>1</v>
      </c>
      <c r="I25">
        <v>1</v>
      </c>
      <c r="J25">
        <v>1</v>
      </c>
      <c r="K25" t="s">
        <v>401</v>
      </c>
    </row>
    <row r="26" spans="1:11">
      <c r="A26">
        <v>382</v>
      </c>
      <c r="B26">
        <v>1</v>
      </c>
      <c r="C26">
        <v>1</v>
      </c>
      <c r="D26" s="4">
        <v>0</v>
      </c>
      <c r="E26" s="4">
        <v>0</v>
      </c>
      <c r="F26" s="4">
        <v>1</v>
      </c>
      <c r="G26">
        <v>382</v>
      </c>
      <c r="H26">
        <v>1</v>
      </c>
      <c r="I26">
        <v>1</v>
      </c>
      <c r="J26">
        <v>1</v>
      </c>
      <c r="K26" t="s">
        <v>402</v>
      </c>
    </row>
    <row r="27" spans="1:11">
      <c r="A27">
        <v>383</v>
      </c>
      <c r="B27">
        <v>1</v>
      </c>
      <c r="C27">
        <v>1</v>
      </c>
      <c r="D27" s="4">
        <v>0</v>
      </c>
      <c r="E27" s="4">
        <v>0</v>
      </c>
      <c r="F27" s="4">
        <v>1</v>
      </c>
      <c r="G27">
        <v>383</v>
      </c>
      <c r="H27">
        <v>1</v>
      </c>
      <c r="I27">
        <v>1</v>
      </c>
      <c r="J27">
        <v>1</v>
      </c>
      <c r="K27" t="s">
        <v>402</v>
      </c>
    </row>
    <row r="28" spans="1:11">
      <c r="A28">
        <v>401</v>
      </c>
      <c r="B28">
        <v>1</v>
      </c>
      <c r="C28">
        <v>1</v>
      </c>
      <c r="D28" s="4">
        <v>0</v>
      </c>
      <c r="E28" s="4">
        <v>0</v>
      </c>
      <c r="F28" s="4">
        <v>1</v>
      </c>
      <c r="G28">
        <v>401</v>
      </c>
      <c r="H28">
        <v>1</v>
      </c>
      <c r="I28">
        <v>1</v>
      </c>
      <c r="J28">
        <v>1</v>
      </c>
      <c r="K28" t="s">
        <v>403</v>
      </c>
    </row>
    <row r="29" spans="1:11">
      <c r="A29">
        <v>411</v>
      </c>
      <c r="B29">
        <v>1</v>
      </c>
      <c r="C29">
        <v>1</v>
      </c>
      <c r="D29" s="4">
        <v>0</v>
      </c>
      <c r="E29" s="4">
        <v>0</v>
      </c>
      <c r="F29" s="4">
        <v>1</v>
      </c>
      <c r="G29">
        <v>411</v>
      </c>
      <c r="H29">
        <v>1</v>
      </c>
      <c r="I29">
        <v>1</v>
      </c>
      <c r="J29">
        <v>1</v>
      </c>
      <c r="K29" t="s">
        <v>404</v>
      </c>
    </row>
    <row r="30" spans="1:11">
      <c r="A30">
        <v>421</v>
      </c>
      <c r="B30">
        <v>1</v>
      </c>
      <c r="C30">
        <v>1</v>
      </c>
      <c r="D30" s="4">
        <v>0</v>
      </c>
      <c r="E30" s="4">
        <v>0</v>
      </c>
      <c r="F30" s="4">
        <v>1</v>
      </c>
      <c r="G30">
        <v>421</v>
      </c>
      <c r="H30">
        <v>1</v>
      </c>
      <c r="I30">
        <v>1</v>
      </c>
      <c r="J30">
        <v>1</v>
      </c>
      <c r="K30" t="s">
        <v>405</v>
      </c>
    </row>
    <row r="31" spans="1:11">
      <c r="A31">
        <v>501</v>
      </c>
      <c r="B31">
        <v>1</v>
      </c>
      <c r="C31">
        <v>1</v>
      </c>
      <c r="D31" s="4">
        <v>0</v>
      </c>
      <c r="E31" s="4">
        <v>0</v>
      </c>
      <c r="F31" s="4">
        <v>1</v>
      </c>
      <c r="G31">
        <v>501</v>
      </c>
      <c r="H31">
        <v>1</v>
      </c>
      <c r="I31">
        <v>1</v>
      </c>
      <c r="J31">
        <v>1</v>
      </c>
      <c r="K31" t="s">
        <v>406</v>
      </c>
    </row>
    <row r="32" spans="1:11">
      <c r="A32">
        <v>502</v>
      </c>
      <c r="B32">
        <v>1</v>
      </c>
      <c r="C32">
        <v>1</v>
      </c>
      <c r="D32" s="4">
        <v>0</v>
      </c>
      <c r="E32" s="4">
        <v>0</v>
      </c>
      <c r="F32" s="4">
        <v>1</v>
      </c>
      <c r="G32">
        <v>502</v>
      </c>
      <c r="H32">
        <v>1</v>
      </c>
      <c r="I32">
        <v>1</v>
      </c>
      <c r="J32">
        <v>1</v>
      </c>
      <c r="K32" t="s">
        <v>407</v>
      </c>
    </row>
    <row r="33" spans="1:11" s="4" customFormat="1">
      <c r="A33" s="4">
        <v>601</v>
      </c>
      <c r="B33" s="4">
        <v>1</v>
      </c>
      <c r="C33" s="4">
        <v>1</v>
      </c>
      <c r="D33" s="4">
        <v>0</v>
      </c>
      <c r="E33" s="4">
        <v>0</v>
      </c>
      <c r="F33" s="4">
        <v>1</v>
      </c>
      <c r="G33" s="4">
        <v>601</v>
      </c>
      <c r="H33" s="4">
        <v>1</v>
      </c>
      <c r="I33" s="4">
        <v>1</v>
      </c>
      <c r="J33" s="4">
        <v>1</v>
      </c>
      <c r="K33" s="4" t="s">
        <v>636</v>
      </c>
    </row>
    <row r="34" spans="1:11" s="4" customFormat="1">
      <c r="A34" s="4">
        <v>701</v>
      </c>
      <c r="B34" s="4">
        <v>1</v>
      </c>
      <c r="C34" s="4">
        <v>1</v>
      </c>
      <c r="D34" s="4">
        <v>0</v>
      </c>
      <c r="E34" s="4">
        <v>0</v>
      </c>
      <c r="F34" s="4">
        <v>1</v>
      </c>
      <c r="G34" s="4">
        <v>701</v>
      </c>
      <c r="H34" s="4">
        <v>1</v>
      </c>
      <c r="I34" s="4">
        <v>1</v>
      </c>
      <c r="J34" s="4">
        <v>1</v>
      </c>
      <c r="K34" s="4" t="s">
        <v>2436</v>
      </c>
    </row>
    <row r="35" spans="1:11" s="4" customFormat="1">
      <c r="A35" s="4">
        <v>702</v>
      </c>
      <c r="B35" s="4">
        <v>1</v>
      </c>
      <c r="C35" s="4">
        <v>1</v>
      </c>
      <c r="D35" s="4">
        <v>0</v>
      </c>
      <c r="E35" s="4">
        <v>0</v>
      </c>
      <c r="F35" s="4">
        <v>1</v>
      </c>
      <c r="G35" s="4">
        <v>702</v>
      </c>
      <c r="H35" s="4">
        <v>1</v>
      </c>
      <c r="I35" s="4">
        <v>1</v>
      </c>
      <c r="J35" s="4">
        <v>1</v>
      </c>
      <c r="K35" s="4" t="s">
        <v>2437</v>
      </c>
    </row>
    <row r="36" spans="1:11" s="4" customFormat="1">
      <c r="A36" s="4">
        <v>703</v>
      </c>
      <c r="B36" s="4">
        <v>1</v>
      </c>
      <c r="C36" s="4">
        <v>1</v>
      </c>
      <c r="D36" s="4">
        <v>0</v>
      </c>
      <c r="E36" s="4">
        <v>0</v>
      </c>
      <c r="F36" s="4">
        <v>1</v>
      </c>
      <c r="G36" s="4">
        <v>703</v>
      </c>
      <c r="H36" s="4">
        <v>1</v>
      </c>
      <c r="I36" s="4">
        <v>1</v>
      </c>
      <c r="J36" s="4">
        <v>1</v>
      </c>
      <c r="K36" s="4" t="s">
        <v>2438</v>
      </c>
    </row>
    <row r="37" spans="1:11" s="4" customFormat="1">
      <c r="A37" s="4">
        <v>704</v>
      </c>
      <c r="B37" s="4">
        <v>1</v>
      </c>
      <c r="C37" s="4">
        <v>1</v>
      </c>
      <c r="D37" s="4">
        <v>0</v>
      </c>
      <c r="E37" s="4">
        <v>0</v>
      </c>
      <c r="F37" s="4">
        <v>1</v>
      </c>
      <c r="G37" s="4">
        <v>704</v>
      </c>
      <c r="H37" s="4">
        <v>1</v>
      </c>
      <c r="I37" s="4">
        <v>1</v>
      </c>
      <c r="J37" s="4">
        <v>1</v>
      </c>
      <c r="K37" s="4" t="s">
        <v>2439</v>
      </c>
    </row>
    <row r="38" spans="1:11" s="4" customFormat="1">
      <c r="A38" s="4">
        <v>705</v>
      </c>
      <c r="B38" s="4">
        <v>1</v>
      </c>
      <c r="C38" s="4">
        <v>1</v>
      </c>
      <c r="D38" s="4">
        <v>0</v>
      </c>
      <c r="E38" s="4">
        <v>0</v>
      </c>
      <c r="F38" s="4">
        <v>1</v>
      </c>
      <c r="G38" s="4">
        <v>705</v>
      </c>
      <c r="H38" s="4">
        <v>1</v>
      </c>
      <c r="I38" s="4">
        <v>1</v>
      </c>
      <c r="J38" s="4">
        <v>1</v>
      </c>
      <c r="K38" s="4" t="s">
        <v>2440</v>
      </c>
    </row>
    <row r="39" spans="1:11" s="4" customFormat="1">
      <c r="A39" s="4">
        <v>706</v>
      </c>
      <c r="B39" s="4">
        <v>1</v>
      </c>
      <c r="C39" s="4">
        <v>1</v>
      </c>
      <c r="D39" s="4">
        <v>0</v>
      </c>
      <c r="E39" s="4">
        <v>0</v>
      </c>
      <c r="F39" s="4">
        <v>1</v>
      </c>
      <c r="G39" s="4">
        <v>706</v>
      </c>
      <c r="H39" s="4">
        <v>1</v>
      </c>
      <c r="I39" s="4">
        <v>1</v>
      </c>
      <c r="J39" s="4">
        <v>1</v>
      </c>
      <c r="K39" s="4" t="s">
        <v>2441</v>
      </c>
    </row>
    <row r="40" spans="1:11" s="4" customFormat="1">
      <c r="A40" s="4">
        <v>1201</v>
      </c>
      <c r="B40" s="4">
        <v>1</v>
      </c>
      <c r="C40" s="4">
        <v>1</v>
      </c>
      <c r="D40" s="4">
        <v>0</v>
      </c>
      <c r="E40" s="4">
        <v>0</v>
      </c>
      <c r="F40" s="4">
        <v>1</v>
      </c>
      <c r="G40" s="4">
        <v>1201</v>
      </c>
      <c r="H40" s="4">
        <v>1</v>
      </c>
      <c r="I40" s="4">
        <v>1</v>
      </c>
      <c r="J40" s="4">
        <v>1</v>
      </c>
      <c r="K40" s="4" t="s">
        <v>637</v>
      </c>
    </row>
    <row r="41" spans="1:11" s="4" customFormat="1">
      <c r="A41" s="4">
        <v>2001</v>
      </c>
      <c r="B41" s="4">
        <v>1</v>
      </c>
      <c r="C41" s="4">
        <v>1</v>
      </c>
      <c r="D41" s="4">
        <v>0</v>
      </c>
      <c r="E41" s="4">
        <v>0</v>
      </c>
      <c r="F41" s="4">
        <v>1</v>
      </c>
      <c r="G41" s="4">
        <v>2001</v>
      </c>
      <c r="H41" s="4">
        <v>1</v>
      </c>
      <c r="I41" s="4">
        <v>1</v>
      </c>
      <c r="J41" s="4">
        <v>1</v>
      </c>
      <c r="K41" s="4" t="s">
        <v>638</v>
      </c>
    </row>
    <row r="42" spans="1:11" s="4" customFormat="1">
      <c r="A42" s="4">
        <v>2011</v>
      </c>
      <c r="B42" s="4">
        <v>1</v>
      </c>
      <c r="C42" s="4">
        <v>1</v>
      </c>
      <c r="D42" s="4">
        <v>0</v>
      </c>
      <c r="E42" s="4">
        <v>0</v>
      </c>
      <c r="F42" s="4">
        <v>1</v>
      </c>
      <c r="G42" s="4">
        <v>2011</v>
      </c>
      <c r="H42" s="4">
        <v>1</v>
      </c>
      <c r="I42" s="4">
        <v>1</v>
      </c>
      <c r="J42" s="4">
        <v>1</v>
      </c>
      <c r="K42" s="4" t="s">
        <v>639</v>
      </c>
    </row>
    <row r="43" spans="1:11" s="4" customFormat="1">
      <c r="A43" s="4">
        <v>2012</v>
      </c>
      <c r="B43" s="4">
        <v>1</v>
      </c>
      <c r="C43" s="4">
        <v>1</v>
      </c>
      <c r="D43" s="4">
        <v>0</v>
      </c>
      <c r="E43" s="4">
        <v>0</v>
      </c>
      <c r="F43" s="4">
        <v>1</v>
      </c>
      <c r="G43" s="4">
        <v>2012</v>
      </c>
      <c r="H43" s="4">
        <v>1</v>
      </c>
      <c r="I43" s="4">
        <v>1</v>
      </c>
      <c r="J43" s="4">
        <v>1</v>
      </c>
      <c r="K43" s="4" t="s">
        <v>640</v>
      </c>
    </row>
    <row r="44" spans="1:11" s="4" customFormat="1">
      <c r="A44" s="4">
        <v>2101</v>
      </c>
      <c r="B44" s="4">
        <v>1</v>
      </c>
      <c r="C44" s="4">
        <v>1</v>
      </c>
      <c r="D44" s="4">
        <v>0</v>
      </c>
      <c r="E44" s="4">
        <v>0</v>
      </c>
      <c r="F44" s="4">
        <v>1</v>
      </c>
      <c r="G44" s="4">
        <v>2101</v>
      </c>
      <c r="H44" s="4">
        <v>1</v>
      </c>
      <c r="I44" s="4">
        <v>1</v>
      </c>
      <c r="J44" s="4">
        <v>1</v>
      </c>
      <c r="K44" s="4" t="s">
        <v>641</v>
      </c>
    </row>
    <row r="45" spans="1:11" s="4" customFormat="1">
      <c r="A45" s="4">
        <v>2102</v>
      </c>
      <c r="B45" s="4">
        <v>1</v>
      </c>
      <c r="C45" s="4">
        <v>1</v>
      </c>
      <c r="D45" s="4">
        <v>0</v>
      </c>
      <c r="E45" s="4">
        <v>0</v>
      </c>
      <c r="F45" s="4">
        <v>1</v>
      </c>
      <c r="G45" s="4">
        <v>2102</v>
      </c>
      <c r="H45" s="4">
        <v>1</v>
      </c>
      <c r="I45" s="4">
        <v>1</v>
      </c>
      <c r="J45" s="4">
        <v>1</v>
      </c>
      <c r="K45" s="4" t="s">
        <v>642</v>
      </c>
    </row>
    <row r="46" spans="1:11" s="4" customFormat="1">
      <c r="A46" s="4">
        <v>2103</v>
      </c>
      <c r="B46" s="4">
        <v>1</v>
      </c>
      <c r="C46" s="4">
        <v>1</v>
      </c>
      <c r="D46" s="4">
        <v>0</v>
      </c>
      <c r="E46" s="4">
        <v>0</v>
      </c>
      <c r="F46" s="4">
        <v>1</v>
      </c>
      <c r="G46" s="4">
        <v>2103</v>
      </c>
      <c r="H46" s="4">
        <v>1</v>
      </c>
      <c r="I46" s="4">
        <v>1</v>
      </c>
      <c r="J46" s="4">
        <v>1</v>
      </c>
      <c r="K46" s="4" t="s">
        <v>643</v>
      </c>
    </row>
    <row r="47" spans="1:11" s="4" customFormat="1">
      <c r="A47" s="4">
        <v>2201</v>
      </c>
      <c r="B47" s="4">
        <v>1</v>
      </c>
      <c r="C47" s="4">
        <v>1</v>
      </c>
      <c r="D47" s="4">
        <v>0</v>
      </c>
      <c r="E47" s="4">
        <v>0</v>
      </c>
      <c r="F47" s="4">
        <v>1</v>
      </c>
      <c r="G47" s="4">
        <v>2201</v>
      </c>
      <c r="H47" s="4">
        <v>1</v>
      </c>
      <c r="I47" s="4">
        <v>1</v>
      </c>
      <c r="J47" s="4">
        <v>1</v>
      </c>
      <c r="K47" s="4" t="s">
        <v>644</v>
      </c>
    </row>
    <row r="48" spans="1:11" s="4" customFormat="1">
      <c r="A48" s="4">
        <v>2211</v>
      </c>
      <c r="B48" s="4">
        <v>1</v>
      </c>
      <c r="C48" s="4">
        <v>1</v>
      </c>
      <c r="D48" s="4">
        <v>0</v>
      </c>
      <c r="E48" s="4">
        <v>0</v>
      </c>
      <c r="F48" s="4">
        <v>1</v>
      </c>
      <c r="G48" s="4">
        <v>2211</v>
      </c>
      <c r="H48" s="4">
        <v>1</v>
      </c>
      <c r="I48" s="4">
        <v>1</v>
      </c>
      <c r="J48" s="4">
        <v>1</v>
      </c>
      <c r="K48" s="4" t="s">
        <v>645</v>
      </c>
    </row>
    <row r="49" spans="1:11" s="4" customFormat="1">
      <c r="A49" s="4">
        <v>2212</v>
      </c>
      <c r="B49" s="4">
        <v>1</v>
      </c>
      <c r="C49" s="4">
        <v>1</v>
      </c>
      <c r="D49" s="4">
        <v>0</v>
      </c>
      <c r="E49" s="4">
        <v>0</v>
      </c>
      <c r="F49" s="4">
        <v>1</v>
      </c>
      <c r="G49" s="4">
        <v>2212</v>
      </c>
      <c r="H49" s="4">
        <v>1</v>
      </c>
      <c r="I49" s="4">
        <v>1</v>
      </c>
      <c r="J49" s="4">
        <v>1</v>
      </c>
      <c r="K49" s="4" t="s">
        <v>646</v>
      </c>
    </row>
    <row r="50" spans="1:11">
      <c r="A50">
        <v>10110</v>
      </c>
      <c r="B50">
        <v>1</v>
      </c>
      <c r="C50">
        <v>1</v>
      </c>
      <c r="D50" s="4">
        <v>0</v>
      </c>
      <c r="E50" s="4">
        <v>0</v>
      </c>
      <c r="F50" s="4">
        <v>1</v>
      </c>
      <c r="G50">
        <v>10110</v>
      </c>
      <c r="H50">
        <v>1</v>
      </c>
      <c r="I50">
        <v>1</v>
      </c>
      <c r="J50">
        <v>1</v>
      </c>
      <c r="K50" t="s">
        <v>647</v>
      </c>
    </row>
    <row r="51" spans="1:11">
      <c r="A51">
        <v>10111</v>
      </c>
      <c r="B51">
        <v>1</v>
      </c>
      <c r="C51">
        <v>1</v>
      </c>
      <c r="D51" s="4">
        <v>0</v>
      </c>
      <c r="E51" s="4">
        <v>0</v>
      </c>
      <c r="F51" s="4">
        <v>1</v>
      </c>
      <c r="G51">
        <v>10111</v>
      </c>
      <c r="H51">
        <v>1</v>
      </c>
      <c r="I51">
        <v>1</v>
      </c>
      <c r="J51">
        <v>1</v>
      </c>
      <c r="K51" t="s">
        <v>648</v>
      </c>
    </row>
    <row r="52" spans="1:11">
      <c r="A52">
        <v>10112</v>
      </c>
      <c r="B52">
        <v>1</v>
      </c>
      <c r="C52">
        <v>1</v>
      </c>
      <c r="D52" s="4">
        <v>0</v>
      </c>
      <c r="E52" s="4">
        <v>0</v>
      </c>
      <c r="F52" s="4">
        <v>1</v>
      </c>
      <c r="G52">
        <v>10112</v>
      </c>
      <c r="H52">
        <v>1</v>
      </c>
      <c r="I52">
        <v>1</v>
      </c>
      <c r="J52">
        <v>1</v>
      </c>
      <c r="K52" t="s">
        <v>649</v>
      </c>
    </row>
    <row r="53" spans="1:11">
      <c r="A53">
        <v>10113</v>
      </c>
      <c r="B53">
        <v>1</v>
      </c>
      <c r="C53">
        <v>1</v>
      </c>
      <c r="D53" s="4">
        <v>0</v>
      </c>
      <c r="E53" s="4">
        <v>0</v>
      </c>
      <c r="F53" s="4">
        <v>1</v>
      </c>
      <c r="G53">
        <v>10113</v>
      </c>
      <c r="H53">
        <v>1</v>
      </c>
      <c r="I53">
        <v>1</v>
      </c>
      <c r="J53">
        <v>1</v>
      </c>
      <c r="K53" t="s">
        <v>650</v>
      </c>
    </row>
    <row r="54" spans="1:11">
      <c r="A54">
        <v>10114</v>
      </c>
      <c r="B54">
        <v>1</v>
      </c>
      <c r="C54">
        <v>1</v>
      </c>
      <c r="D54" s="4">
        <v>0</v>
      </c>
      <c r="E54" s="4">
        <v>0</v>
      </c>
      <c r="F54" s="4">
        <v>1</v>
      </c>
      <c r="G54">
        <v>10114</v>
      </c>
      <c r="H54">
        <v>1</v>
      </c>
      <c r="I54">
        <v>1</v>
      </c>
      <c r="J54">
        <v>1</v>
      </c>
      <c r="K54" t="s">
        <v>651</v>
      </c>
    </row>
    <row r="55" spans="1:11">
      <c r="A55">
        <v>10115</v>
      </c>
      <c r="B55">
        <v>1</v>
      </c>
      <c r="C55">
        <v>1</v>
      </c>
      <c r="D55" s="4">
        <v>0</v>
      </c>
      <c r="E55" s="4">
        <v>0</v>
      </c>
      <c r="F55" s="4">
        <v>1</v>
      </c>
      <c r="G55">
        <v>10115</v>
      </c>
      <c r="H55">
        <v>1</v>
      </c>
      <c r="I55">
        <v>1</v>
      </c>
      <c r="J55">
        <v>1</v>
      </c>
      <c r="K55" t="s">
        <v>652</v>
      </c>
    </row>
    <row r="56" spans="1:11">
      <c r="A56">
        <v>10116</v>
      </c>
      <c r="B56">
        <v>1</v>
      </c>
      <c r="C56">
        <v>1</v>
      </c>
      <c r="D56" s="4">
        <v>0</v>
      </c>
      <c r="E56" s="4">
        <v>0</v>
      </c>
      <c r="F56" s="4">
        <v>1</v>
      </c>
      <c r="G56">
        <v>10116</v>
      </c>
      <c r="H56">
        <v>1</v>
      </c>
      <c r="I56">
        <v>1</v>
      </c>
      <c r="J56">
        <v>1</v>
      </c>
      <c r="K56" t="s">
        <v>653</v>
      </c>
    </row>
    <row r="57" spans="1:11">
      <c r="A57">
        <v>10117</v>
      </c>
      <c r="B57">
        <v>1</v>
      </c>
      <c r="C57">
        <v>1</v>
      </c>
      <c r="D57" s="4">
        <v>0</v>
      </c>
      <c r="E57" s="4">
        <v>0</v>
      </c>
      <c r="F57" s="4">
        <v>1</v>
      </c>
      <c r="G57">
        <v>10117</v>
      </c>
      <c r="H57">
        <v>1</v>
      </c>
      <c r="I57">
        <v>1</v>
      </c>
      <c r="J57">
        <v>1</v>
      </c>
      <c r="K57" t="s">
        <v>654</v>
      </c>
    </row>
    <row r="58" spans="1:11">
      <c r="A58">
        <v>10118</v>
      </c>
      <c r="B58">
        <v>1</v>
      </c>
      <c r="C58">
        <v>1</v>
      </c>
      <c r="D58" s="4">
        <v>0</v>
      </c>
      <c r="E58" s="4">
        <v>0</v>
      </c>
      <c r="F58" s="4">
        <v>1</v>
      </c>
      <c r="G58">
        <v>10118</v>
      </c>
      <c r="H58">
        <v>1</v>
      </c>
      <c r="I58">
        <v>1</v>
      </c>
      <c r="J58">
        <v>1</v>
      </c>
      <c r="K58" t="s">
        <v>655</v>
      </c>
    </row>
    <row r="59" spans="1:11">
      <c r="A59">
        <v>10119</v>
      </c>
      <c r="B59">
        <v>1</v>
      </c>
      <c r="C59">
        <v>1</v>
      </c>
      <c r="D59" s="4">
        <v>0</v>
      </c>
      <c r="E59" s="4">
        <v>0</v>
      </c>
      <c r="F59" s="4">
        <v>1</v>
      </c>
      <c r="G59">
        <v>10119</v>
      </c>
      <c r="H59">
        <v>1</v>
      </c>
      <c r="I59">
        <v>1</v>
      </c>
      <c r="J59">
        <v>1</v>
      </c>
      <c r="K59" t="s">
        <v>656</v>
      </c>
    </row>
    <row r="60" spans="1:11">
      <c r="A60">
        <v>10120</v>
      </c>
      <c r="B60">
        <v>1</v>
      </c>
      <c r="C60">
        <v>1</v>
      </c>
      <c r="D60" s="4">
        <v>0</v>
      </c>
      <c r="E60" s="4">
        <v>0</v>
      </c>
      <c r="F60" s="4">
        <v>1</v>
      </c>
      <c r="G60">
        <v>10120</v>
      </c>
      <c r="H60">
        <v>1</v>
      </c>
      <c r="I60">
        <v>1</v>
      </c>
      <c r="J60">
        <v>1</v>
      </c>
      <c r="K60" t="s">
        <v>657</v>
      </c>
    </row>
    <row r="61" spans="1:11">
      <c r="A61">
        <v>10121</v>
      </c>
      <c r="B61">
        <v>1</v>
      </c>
      <c r="C61">
        <v>1</v>
      </c>
      <c r="D61" s="4">
        <v>0</v>
      </c>
      <c r="E61" s="4">
        <v>0</v>
      </c>
      <c r="F61" s="4">
        <v>1</v>
      </c>
      <c r="G61">
        <v>10121</v>
      </c>
      <c r="H61">
        <v>1</v>
      </c>
      <c r="I61">
        <v>1</v>
      </c>
      <c r="J61">
        <v>1</v>
      </c>
      <c r="K61" t="s">
        <v>658</v>
      </c>
    </row>
    <row r="62" spans="1:11">
      <c r="A62">
        <v>10122</v>
      </c>
      <c r="B62">
        <v>1</v>
      </c>
      <c r="C62">
        <v>1</v>
      </c>
      <c r="D62" s="4">
        <v>0</v>
      </c>
      <c r="E62" s="4">
        <v>0</v>
      </c>
      <c r="F62" s="4">
        <v>1</v>
      </c>
      <c r="G62">
        <v>10122</v>
      </c>
      <c r="H62">
        <v>1</v>
      </c>
      <c r="I62">
        <v>1</v>
      </c>
      <c r="J62">
        <v>1</v>
      </c>
      <c r="K62" t="s">
        <v>659</v>
      </c>
    </row>
    <row r="63" spans="1:11">
      <c r="A63">
        <v>10123</v>
      </c>
      <c r="B63">
        <v>1</v>
      </c>
      <c r="C63">
        <v>1</v>
      </c>
      <c r="D63" s="4">
        <v>0</v>
      </c>
      <c r="E63" s="4">
        <v>0</v>
      </c>
      <c r="F63" s="4">
        <v>1</v>
      </c>
      <c r="G63">
        <v>10123</v>
      </c>
      <c r="H63">
        <v>1</v>
      </c>
      <c r="I63">
        <v>1</v>
      </c>
      <c r="J63">
        <v>1</v>
      </c>
      <c r="K63" t="s">
        <v>660</v>
      </c>
    </row>
    <row r="64" spans="1:11">
      <c r="A64">
        <v>10124</v>
      </c>
      <c r="B64">
        <v>1</v>
      </c>
      <c r="C64">
        <v>1</v>
      </c>
      <c r="D64" s="4">
        <v>0</v>
      </c>
      <c r="E64" s="4">
        <v>0</v>
      </c>
      <c r="F64" s="4">
        <v>1</v>
      </c>
      <c r="G64">
        <v>10124</v>
      </c>
      <c r="H64">
        <v>1</v>
      </c>
      <c r="I64">
        <v>1</v>
      </c>
      <c r="J64">
        <v>1</v>
      </c>
      <c r="K64" t="s">
        <v>661</v>
      </c>
    </row>
    <row r="65" spans="1:11">
      <c r="A65">
        <v>10125</v>
      </c>
      <c r="B65">
        <v>1</v>
      </c>
      <c r="C65">
        <v>1</v>
      </c>
      <c r="D65" s="4">
        <v>0</v>
      </c>
      <c r="E65" s="4">
        <v>0</v>
      </c>
      <c r="F65" s="4">
        <v>1</v>
      </c>
      <c r="G65">
        <v>10125</v>
      </c>
      <c r="H65">
        <v>1</v>
      </c>
      <c r="I65">
        <v>1</v>
      </c>
      <c r="J65">
        <v>1</v>
      </c>
      <c r="K65" t="s">
        <v>662</v>
      </c>
    </row>
    <row r="66" spans="1:11">
      <c r="A66">
        <v>10126</v>
      </c>
      <c r="B66">
        <v>1</v>
      </c>
      <c r="C66">
        <v>1</v>
      </c>
      <c r="D66" s="4">
        <v>0</v>
      </c>
      <c r="E66" s="4">
        <v>0</v>
      </c>
      <c r="F66" s="4">
        <v>1</v>
      </c>
      <c r="G66">
        <v>10126</v>
      </c>
      <c r="H66">
        <v>1</v>
      </c>
      <c r="I66">
        <v>1</v>
      </c>
      <c r="J66">
        <v>1</v>
      </c>
      <c r="K66" t="s">
        <v>663</v>
      </c>
    </row>
    <row r="67" spans="1:11">
      <c r="A67">
        <v>10127</v>
      </c>
      <c r="B67">
        <v>1</v>
      </c>
      <c r="C67">
        <v>1</v>
      </c>
      <c r="D67" s="4">
        <v>0</v>
      </c>
      <c r="E67" s="4">
        <v>0</v>
      </c>
      <c r="F67" s="4">
        <v>1</v>
      </c>
      <c r="G67">
        <v>10127</v>
      </c>
      <c r="H67">
        <v>1</v>
      </c>
      <c r="I67">
        <v>1</v>
      </c>
      <c r="J67">
        <v>1</v>
      </c>
      <c r="K67" t="s">
        <v>664</v>
      </c>
    </row>
    <row r="68" spans="1:11">
      <c r="A68">
        <v>10128</v>
      </c>
      <c r="B68">
        <v>1</v>
      </c>
      <c r="C68">
        <v>1</v>
      </c>
      <c r="D68" s="4">
        <v>0</v>
      </c>
      <c r="E68" s="4">
        <v>0</v>
      </c>
      <c r="F68" s="4">
        <v>1</v>
      </c>
      <c r="G68">
        <v>10128</v>
      </c>
      <c r="H68">
        <v>1</v>
      </c>
      <c r="I68">
        <v>1</v>
      </c>
      <c r="J68">
        <v>1</v>
      </c>
      <c r="K68" t="s">
        <v>665</v>
      </c>
    </row>
    <row r="69" spans="1:11">
      <c r="A69">
        <v>10129</v>
      </c>
      <c r="B69">
        <v>1</v>
      </c>
      <c r="C69">
        <v>1</v>
      </c>
      <c r="D69" s="4">
        <v>0</v>
      </c>
      <c r="E69" s="4">
        <v>0</v>
      </c>
      <c r="F69" s="4">
        <v>1</v>
      </c>
      <c r="G69">
        <v>10129</v>
      </c>
      <c r="H69">
        <v>1</v>
      </c>
      <c r="I69">
        <v>1</v>
      </c>
      <c r="J69">
        <v>1</v>
      </c>
      <c r="K69" t="s">
        <v>666</v>
      </c>
    </row>
    <row r="70" spans="1:11">
      <c r="A70">
        <v>10210</v>
      </c>
      <c r="B70">
        <v>1</v>
      </c>
      <c r="C70">
        <v>1</v>
      </c>
      <c r="D70" s="4">
        <v>0</v>
      </c>
      <c r="E70" s="4">
        <v>0</v>
      </c>
      <c r="F70" s="4">
        <v>1</v>
      </c>
      <c r="G70">
        <v>10210</v>
      </c>
      <c r="H70">
        <v>1</v>
      </c>
      <c r="I70">
        <v>1</v>
      </c>
      <c r="J70">
        <v>1</v>
      </c>
      <c r="K70" t="s">
        <v>2960</v>
      </c>
    </row>
    <row r="71" spans="1:11">
      <c r="A71">
        <v>10211</v>
      </c>
      <c r="B71">
        <v>1</v>
      </c>
      <c r="C71">
        <v>1</v>
      </c>
      <c r="D71" s="4">
        <v>0</v>
      </c>
      <c r="E71" s="4">
        <v>0</v>
      </c>
      <c r="F71" s="4">
        <v>1</v>
      </c>
      <c r="G71">
        <v>10211</v>
      </c>
      <c r="H71">
        <v>1</v>
      </c>
      <c r="I71">
        <v>1</v>
      </c>
      <c r="J71">
        <v>1</v>
      </c>
      <c r="K71" t="s">
        <v>2961</v>
      </c>
    </row>
    <row r="72" spans="1:11">
      <c r="A72">
        <v>10212</v>
      </c>
      <c r="B72">
        <v>1</v>
      </c>
      <c r="C72">
        <v>1</v>
      </c>
      <c r="D72" s="4">
        <v>0</v>
      </c>
      <c r="E72" s="4">
        <v>0</v>
      </c>
      <c r="F72" s="4">
        <v>1</v>
      </c>
      <c r="G72">
        <v>10212</v>
      </c>
      <c r="H72">
        <v>1</v>
      </c>
      <c r="I72">
        <v>1</v>
      </c>
      <c r="J72">
        <v>1</v>
      </c>
      <c r="K72" t="s">
        <v>2962</v>
      </c>
    </row>
    <row r="73" spans="1:11">
      <c r="A73">
        <v>10213</v>
      </c>
      <c r="B73">
        <v>1</v>
      </c>
      <c r="C73">
        <v>1</v>
      </c>
      <c r="D73" s="4">
        <v>0</v>
      </c>
      <c r="E73" s="4">
        <v>0</v>
      </c>
      <c r="F73" s="4">
        <v>1</v>
      </c>
      <c r="G73">
        <v>10213</v>
      </c>
      <c r="H73">
        <v>1</v>
      </c>
      <c r="I73">
        <v>1</v>
      </c>
      <c r="J73">
        <v>1</v>
      </c>
      <c r="K73" t="s">
        <v>2963</v>
      </c>
    </row>
    <row r="74" spans="1:11">
      <c r="A74">
        <v>10214</v>
      </c>
      <c r="B74">
        <v>1</v>
      </c>
      <c r="C74">
        <v>1</v>
      </c>
      <c r="D74" s="4">
        <v>0</v>
      </c>
      <c r="E74" s="4">
        <v>0</v>
      </c>
      <c r="F74" s="4">
        <v>1</v>
      </c>
      <c r="G74">
        <v>10214</v>
      </c>
      <c r="H74">
        <v>1</v>
      </c>
      <c r="I74">
        <v>1</v>
      </c>
      <c r="J74">
        <v>1</v>
      </c>
      <c r="K74" t="s">
        <v>2964</v>
      </c>
    </row>
    <row r="75" spans="1:11">
      <c r="A75">
        <v>10215</v>
      </c>
      <c r="B75">
        <v>1</v>
      </c>
      <c r="C75">
        <v>1</v>
      </c>
      <c r="D75" s="4">
        <v>0</v>
      </c>
      <c r="E75" s="4">
        <v>0</v>
      </c>
      <c r="F75" s="4">
        <v>1</v>
      </c>
      <c r="G75">
        <v>10215</v>
      </c>
      <c r="H75">
        <v>1</v>
      </c>
      <c r="I75">
        <v>1</v>
      </c>
      <c r="J75">
        <v>1</v>
      </c>
      <c r="K75" t="s">
        <v>2965</v>
      </c>
    </row>
    <row r="76" spans="1:11">
      <c r="A76">
        <v>10216</v>
      </c>
      <c r="B76">
        <v>1</v>
      </c>
      <c r="C76">
        <v>1</v>
      </c>
      <c r="D76" s="4">
        <v>0</v>
      </c>
      <c r="E76" s="4">
        <v>0</v>
      </c>
      <c r="F76" s="4">
        <v>1</v>
      </c>
      <c r="G76">
        <v>10216</v>
      </c>
      <c r="H76">
        <v>1</v>
      </c>
      <c r="I76">
        <v>1</v>
      </c>
      <c r="J76">
        <v>1</v>
      </c>
      <c r="K76" t="s">
        <v>2966</v>
      </c>
    </row>
    <row r="77" spans="1:11">
      <c r="A77">
        <v>10217</v>
      </c>
      <c r="B77">
        <v>1</v>
      </c>
      <c r="C77">
        <v>1</v>
      </c>
      <c r="D77" s="4">
        <v>0</v>
      </c>
      <c r="E77" s="4">
        <v>0</v>
      </c>
      <c r="F77" s="4">
        <v>1</v>
      </c>
      <c r="G77">
        <v>10217</v>
      </c>
      <c r="H77">
        <v>1</v>
      </c>
      <c r="I77">
        <v>1</v>
      </c>
      <c r="J77">
        <v>1</v>
      </c>
      <c r="K77" t="s">
        <v>2967</v>
      </c>
    </row>
    <row r="78" spans="1:11">
      <c r="A78">
        <v>10218</v>
      </c>
      <c r="B78">
        <v>1</v>
      </c>
      <c r="C78">
        <v>1</v>
      </c>
      <c r="D78" s="4">
        <v>0</v>
      </c>
      <c r="E78" s="4">
        <v>0</v>
      </c>
      <c r="F78" s="4">
        <v>1</v>
      </c>
      <c r="G78">
        <v>10218</v>
      </c>
      <c r="H78">
        <v>1</v>
      </c>
      <c r="I78">
        <v>1</v>
      </c>
      <c r="J78">
        <v>1</v>
      </c>
      <c r="K78" t="s">
        <v>2968</v>
      </c>
    </row>
    <row r="79" spans="1:11">
      <c r="A79">
        <v>10219</v>
      </c>
      <c r="B79">
        <v>1</v>
      </c>
      <c r="C79">
        <v>1</v>
      </c>
      <c r="D79" s="4">
        <v>0</v>
      </c>
      <c r="E79" s="4">
        <v>0</v>
      </c>
      <c r="F79" s="4">
        <v>1</v>
      </c>
      <c r="G79">
        <v>10219</v>
      </c>
      <c r="H79">
        <v>1</v>
      </c>
      <c r="I79">
        <v>1</v>
      </c>
      <c r="J79">
        <v>1</v>
      </c>
      <c r="K79" t="s">
        <v>2969</v>
      </c>
    </row>
    <row r="80" spans="1:11">
      <c r="A80">
        <v>10220</v>
      </c>
      <c r="B80">
        <v>1</v>
      </c>
      <c r="C80">
        <v>1</v>
      </c>
      <c r="D80" s="4">
        <v>0</v>
      </c>
      <c r="E80" s="4">
        <v>0</v>
      </c>
      <c r="F80" s="4">
        <v>1</v>
      </c>
      <c r="G80">
        <v>10220</v>
      </c>
      <c r="H80">
        <v>1</v>
      </c>
      <c r="I80">
        <v>1</v>
      </c>
      <c r="J80">
        <v>1</v>
      </c>
      <c r="K80" t="s">
        <v>2970</v>
      </c>
    </row>
    <row r="81" spans="1:11">
      <c r="A81">
        <v>10221</v>
      </c>
      <c r="B81">
        <v>1</v>
      </c>
      <c r="C81">
        <v>1</v>
      </c>
      <c r="D81" s="4">
        <v>0</v>
      </c>
      <c r="E81" s="4">
        <v>0</v>
      </c>
      <c r="F81" s="4">
        <v>1</v>
      </c>
      <c r="G81">
        <v>10221</v>
      </c>
      <c r="H81">
        <v>1</v>
      </c>
      <c r="I81">
        <v>1</v>
      </c>
      <c r="J81">
        <v>1</v>
      </c>
      <c r="K81" t="s">
        <v>2971</v>
      </c>
    </row>
    <row r="82" spans="1:11">
      <c r="A82">
        <v>10222</v>
      </c>
      <c r="B82">
        <v>1</v>
      </c>
      <c r="C82">
        <v>1</v>
      </c>
      <c r="D82" s="4">
        <v>0</v>
      </c>
      <c r="E82" s="4">
        <v>0</v>
      </c>
      <c r="F82" s="4">
        <v>1</v>
      </c>
      <c r="G82">
        <v>10222</v>
      </c>
      <c r="H82">
        <v>1</v>
      </c>
      <c r="I82">
        <v>1</v>
      </c>
      <c r="J82">
        <v>1</v>
      </c>
      <c r="K82" t="s">
        <v>2972</v>
      </c>
    </row>
    <row r="83" spans="1:11">
      <c r="A83">
        <v>10223</v>
      </c>
      <c r="B83">
        <v>1</v>
      </c>
      <c r="C83">
        <v>1</v>
      </c>
      <c r="D83" s="4">
        <v>0</v>
      </c>
      <c r="E83" s="4">
        <v>0</v>
      </c>
      <c r="F83" s="4">
        <v>1</v>
      </c>
      <c r="G83">
        <v>10223</v>
      </c>
      <c r="H83">
        <v>1</v>
      </c>
      <c r="I83">
        <v>1</v>
      </c>
      <c r="J83">
        <v>1</v>
      </c>
      <c r="K83" t="s">
        <v>2973</v>
      </c>
    </row>
    <row r="84" spans="1:11">
      <c r="A84">
        <v>10224</v>
      </c>
      <c r="B84">
        <v>1</v>
      </c>
      <c r="C84">
        <v>1</v>
      </c>
      <c r="D84" s="4">
        <v>0</v>
      </c>
      <c r="E84" s="4">
        <v>0</v>
      </c>
      <c r="F84" s="4">
        <v>1</v>
      </c>
      <c r="G84">
        <v>10224</v>
      </c>
      <c r="H84">
        <v>1</v>
      </c>
      <c r="I84">
        <v>1</v>
      </c>
      <c r="J84">
        <v>1</v>
      </c>
      <c r="K84" t="s">
        <v>2974</v>
      </c>
    </row>
    <row r="85" spans="1:11">
      <c r="A85">
        <v>10225</v>
      </c>
      <c r="B85">
        <v>1</v>
      </c>
      <c r="C85">
        <v>1</v>
      </c>
      <c r="D85" s="4">
        <v>0</v>
      </c>
      <c r="E85" s="4">
        <v>0</v>
      </c>
      <c r="F85" s="4">
        <v>1</v>
      </c>
      <c r="G85">
        <v>10225</v>
      </c>
      <c r="H85">
        <v>1</v>
      </c>
      <c r="I85">
        <v>1</v>
      </c>
      <c r="J85">
        <v>1</v>
      </c>
      <c r="K85" t="s">
        <v>2975</v>
      </c>
    </row>
    <row r="86" spans="1:11">
      <c r="A86">
        <v>10226</v>
      </c>
      <c r="B86">
        <v>1</v>
      </c>
      <c r="C86">
        <v>1</v>
      </c>
      <c r="D86" s="4">
        <v>0</v>
      </c>
      <c r="E86" s="4">
        <v>0</v>
      </c>
      <c r="F86" s="4">
        <v>1</v>
      </c>
      <c r="G86">
        <v>10226</v>
      </c>
      <c r="H86">
        <v>1</v>
      </c>
      <c r="I86">
        <v>1</v>
      </c>
      <c r="J86">
        <v>1</v>
      </c>
      <c r="K86" t="s">
        <v>2976</v>
      </c>
    </row>
    <row r="87" spans="1:11">
      <c r="A87">
        <v>10227</v>
      </c>
      <c r="B87">
        <v>1</v>
      </c>
      <c r="C87">
        <v>1</v>
      </c>
      <c r="D87" s="4">
        <v>0</v>
      </c>
      <c r="E87" s="4">
        <v>0</v>
      </c>
      <c r="F87" s="4">
        <v>1</v>
      </c>
      <c r="G87">
        <v>10227</v>
      </c>
      <c r="H87">
        <v>1</v>
      </c>
      <c r="I87">
        <v>1</v>
      </c>
      <c r="J87">
        <v>1</v>
      </c>
      <c r="K87" t="s">
        <v>2977</v>
      </c>
    </row>
    <row r="88" spans="1:11">
      <c r="A88">
        <v>10228</v>
      </c>
      <c r="B88">
        <v>1</v>
      </c>
      <c r="C88">
        <v>1</v>
      </c>
      <c r="D88" s="4">
        <v>0</v>
      </c>
      <c r="E88" s="4">
        <v>0</v>
      </c>
      <c r="F88" s="4">
        <v>1</v>
      </c>
      <c r="G88">
        <v>10228</v>
      </c>
      <c r="H88">
        <v>1</v>
      </c>
      <c r="I88">
        <v>1</v>
      </c>
      <c r="J88">
        <v>1</v>
      </c>
      <c r="K88" t="s">
        <v>2978</v>
      </c>
    </row>
    <row r="89" spans="1:11">
      <c r="A89">
        <v>10229</v>
      </c>
      <c r="B89">
        <v>1</v>
      </c>
      <c r="C89">
        <v>1</v>
      </c>
      <c r="D89" s="4">
        <v>0</v>
      </c>
      <c r="E89" s="4">
        <v>0</v>
      </c>
      <c r="F89" s="4">
        <v>1</v>
      </c>
      <c r="G89">
        <v>10229</v>
      </c>
      <c r="H89">
        <v>1</v>
      </c>
      <c r="I89">
        <v>1</v>
      </c>
      <c r="J89">
        <v>1</v>
      </c>
      <c r="K89" t="s">
        <v>2979</v>
      </c>
    </row>
    <row r="90" spans="1:11">
      <c r="A90">
        <v>10310</v>
      </c>
      <c r="B90">
        <v>1</v>
      </c>
      <c r="C90">
        <v>1</v>
      </c>
      <c r="D90" s="4">
        <v>0</v>
      </c>
      <c r="E90" s="4">
        <v>0</v>
      </c>
      <c r="F90" s="4">
        <v>1</v>
      </c>
      <c r="G90">
        <v>10310</v>
      </c>
      <c r="H90">
        <v>1</v>
      </c>
      <c r="I90">
        <v>1</v>
      </c>
      <c r="J90">
        <v>1</v>
      </c>
      <c r="K90" t="s">
        <v>667</v>
      </c>
    </row>
    <row r="91" spans="1:11">
      <c r="A91">
        <v>10311</v>
      </c>
      <c r="B91">
        <v>1</v>
      </c>
      <c r="C91">
        <v>1</v>
      </c>
      <c r="D91" s="4">
        <v>0</v>
      </c>
      <c r="E91" s="4">
        <v>0</v>
      </c>
      <c r="F91" s="4">
        <v>1</v>
      </c>
      <c r="G91">
        <v>10311</v>
      </c>
      <c r="H91">
        <v>1</v>
      </c>
      <c r="I91">
        <v>1</v>
      </c>
      <c r="J91">
        <v>1</v>
      </c>
      <c r="K91" t="s">
        <v>668</v>
      </c>
    </row>
    <row r="92" spans="1:11">
      <c r="A92">
        <v>10312</v>
      </c>
      <c r="B92">
        <v>1</v>
      </c>
      <c r="C92">
        <v>1</v>
      </c>
      <c r="D92" s="4">
        <v>0</v>
      </c>
      <c r="E92" s="4">
        <v>0</v>
      </c>
      <c r="F92" s="4">
        <v>1</v>
      </c>
      <c r="G92">
        <v>10312</v>
      </c>
      <c r="H92">
        <v>1</v>
      </c>
      <c r="I92">
        <v>1</v>
      </c>
      <c r="J92">
        <v>1</v>
      </c>
      <c r="K92" t="s">
        <v>669</v>
      </c>
    </row>
    <row r="93" spans="1:11">
      <c r="A93">
        <v>10313</v>
      </c>
      <c r="B93">
        <v>1</v>
      </c>
      <c r="C93">
        <v>1</v>
      </c>
      <c r="D93" s="4">
        <v>0</v>
      </c>
      <c r="E93" s="4">
        <v>0</v>
      </c>
      <c r="F93" s="4">
        <v>1</v>
      </c>
      <c r="G93">
        <v>10313</v>
      </c>
      <c r="H93">
        <v>1</v>
      </c>
      <c r="I93">
        <v>1</v>
      </c>
      <c r="J93">
        <v>1</v>
      </c>
      <c r="K93" t="s">
        <v>670</v>
      </c>
    </row>
    <row r="94" spans="1:11">
      <c r="A94">
        <v>10314</v>
      </c>
      <c r="B94">
        <v>1</v>
      </c>
      <c r="C94">
        <v>1</v>
      </c>
      <c r="D94" s="4">
        <v>0</v>
      </c>
      <c r="E94" s="4">
        <v>0</v>
      </c>
      <c r="F94" s="4">
        <v>1</v>
      </c>
      <c r="G94">
        <v>10314</v>
      </c>
      <c r="H94">
        <v>1</v>
      </c>
      <c r="I94">
        <v>1</v>
      </c>
      <c r="J94">
        <v>1</v>
      </c>
      <c r="K94" t="s">
        <v>671</v>
      </c>
    </row>
    <row r="95" spans="1:11">
      <c r="A95">
        <v>10315</v>
      </c>
      <c r="B95">
        <v>1</v>
      </c>
      <c r="C95">
        <v>1</v>
      </c>
      <c r="D95" s="4">
        <v>0</v>
      </c>
      <c r="E95" s="4">
        <v>0</v>
      </c>
      <c r="F95" s="4">
        <v>1</v>
      </c>
      <c r="G95">
        <v>10315</v>
      </c>
      <c r="H95">
        <v>1</v>
      </c>
      <c r="I95">
        <v>1</v>
      </c>
      <c r="J95">
        <v>1</v>
      </c>
      <c r="K95" t="s">
        <v>672</v>
      </c>
    </row>
    <row r="96" spans="1:11">
      <c r="A96">
        <v>10316</v>
      </c>
      <c r="B96">
        <v>1</v>
      </c>
      <c r="C96">
        <v>1</v>
      </c>
      <c r="D96" s="4">
        <v>0</v>
      </c>
      <c r="E96" s="4">
        <v>0</v>
      </c>
      <c r="F96" s="4">
        <v>1</v>
      </c>
      <c r="G96">
        <v>10316</v>
      </c>
      <c r="H96">
        <v>1</v>
      </c>
      <c r="I96">
        <v>1</v>
      </c>
      <c r="J96">
        <v>1</v>
      </c>
      <c r="K96" t="s">
        <v>673</v>
      </c>
    </row>
    <row r="97" spans="1:11">
      <c r="A97">
        <v>10317</v>
      </c>
      <c r="B97">
        <v>1</v>
      </c>
      <c r="C97">
        <v>1</v>
      </c>
      <c r="D97" s="4">
        <v>0</v>
      </c>
      <c r="E97" s="4">
        <v>0</v>
      </c>
      <c r="F97" s="4">
        <v>1</v>
      </c>
      <c r="G97">
        <v>10317</v>
      </c>
      <c r="H97">
        <v>1</v>
      </c>
      <c r="I97">
        <v>1</v>
      </c>
      <c r="J97">
        <v>1</v>
      </c>
      <c r="K97" t="s">
        <v>674</v>
      </c>
    </row>
    <row r="98" spans="1:11">
      <c r="A98">
        <v>10318</v>
      </c>
      <c r="B98">
        <v>1</v>
      </c>
      <c r="C98">
        <v>1</v>
      </c>
      <c r="D98" s="4">
        <v>0</v>
      </c>
      <c r="E98" s="4">
        <v>0</v>
      </c>
      <c r="F98" s="4">
        <v>1</v>
      </c>
      <c r="G98">
        <v>10318</v>
      </c>
      <c r="H98">
        <v>1</v>
      </c>
      <c r="I98">
        <v>1</v>
      </c>
      <c r="J98">
        <v>1</v>
      </c>
      <c r="K98" t="s">
        <v>675</v>
      </c>
    </row>
    <row r="99" spans="1:11">
      <c r="A99">
        <v>10319</v>
      </c>
      <c r="B99">
        <v>1</v>
      </c>
      <c r="C99">
        <v>1</v>
      </c>
      <c r="D99" s="4">
        <v>0</v>
      </c>
      <c r="E99" s="4">
        <v>0</v>
      </c>
      <c r="F99" s="4">
        <v>1</v>
      </c>
      <c r="G99">
        <v>10319</v>
      </c>
      <c r="H99">
        <v>1</v>
      </c>
      <c r="I99">
        <v>1</v>
      </c>
      <c r="J99">
        <v>1</v>
      </c>
      <c r="K99" t="s">
        <v>676</v>
      </c>
    </row>
    <row r="100" spans="1:11">
      <c r="A100">
        <v>10320</v>
      </c>
      <c r="B100">
        <v>1</v>
      </c>
      <c r="C100">
        <v>1</v>
      </c>
      <c r="D100" s="4">
        <v>0</v>
      </c>
      <c r="E100" s="4">
        <v>0</v>
      </c>
      <c r="F100" s="4">
        <v>1</v>
      </c>
      <c r="G100">
        <v>10320</v>
      </c>
      <c r="H100">
        <v>1</v>
      </c>
      <c r="I100">
        <v>1</v>
      </c>
      <c r="J100">
        <v>1</v>
      </c>
      <c r="K100" t="s">
        <v>677</v>
      </c>
    </row>
    <row r="101" spans="1:11">
      <c r="A101">
        <v>10321</v>
      </c>
      <c r="B101">
        <v>1</v>
      </c>
      <c r="C101">
        <v>1</v>
      </c>
      <c r="D101" s="4">
        <v>0</v>
      </c>
      <c r="E101" s="4">
        <v>0</v>
      </c>
      <c r="F101" s="4">
        <v>1</v>
      </c>
      <c r="G101">
        <v>10321</v>
      </c>
      <c r="H101">
        <v>1</v>
      </c>
      <c r="I101">
        <v>1</v>
      </c>
      <c r="J101">
        <v>1</v>
      </c>
      <c r="K101" t="s">
        <v>678</v>
      </c>
    </row>
    <row r="102" spans="1:11">
      <c r="A102">
        <v>10322</v>
      </c>
      <c r="B102">
        <v>1</v>
      </c>
      <c r="C102">
        <v>1</v>
      </c>
      <c r="D102" s="4">
        <v>0</v>
      </c>
      <c r="E102" s="4">
        <v>0</v>
      </c>
      <c r="F102" s="4">
        <v>1</v>
      </c>
      <c r="G102">
        <v>10322</v>
      </c>
      <c r="H102">
        <v>1</v>
      </c>
      <c r="I102">
        <v>1</v>
      </c>
      <c r="J102">
        <v>1</v>
      </c>
      <c r="K102" t="s">
        <v>679</v>
      </c>
    </row>
    <row r="103" spans="1:11">
      <c r="A103">
        <v>10323</v>
      </c>
      <c r="B103">
        <v>1</v>
      </c>
      <c r="C103">
        <v>1</v>
      </c>
      <c r="D103" s="4">
        <v>0</v>
      </c>
      <c r="E103" s="4">
        <v>0</v>
      </c>
      <c r="F103" s="4">
        <v>1</v>
      </c>
      <c r="G103">
        <v>10323</v>
      </c>
      <c r="H103">
        <v>1</v>
      </c>
      <c r="I103">
        <v>1</v>
      </c>
      <c r="J103">
        <v>1</v>
      </c>
      <c r="K103" t="s">
        <v>680</v>
      </c>
    </row>
    <row r="104" spans="1:11">
      <c r="A104">
        <v>10324</v>
      </c>
      <c r="B104">
        <v>1</v>
      </c>
      <c r="C104">
        <v>1</v>
      </c>
      <c r="D104" s="4">
        <v>0</v>
      </c>
      <c r="E104" s="4">
        <v>0</v>
      </c>
      <c r="F104" s="4">
        <v>1</v>
      </c>
      <c r="G104">
        <v>10324</v>
      </c>
      <c r="H104">
        <v>1</v>
      </c>
      <c r="I104">
        <v>1</v>
      </c>
      <c r="J104">
        <v>1</v>
      </c>
      <c r="K104" t="s">
        <v>681</v>
      </c>
    </row>
    <row r="105" spans="1:11">
      <c r="A105">
        <v>10325</v>
      </c>
      <c r="B105">
        <v>1</v>
      </c>
      <c r="C105">
        <v>1</v>
      </c>
      <c r="D105" s="4">
        <v>0</v>
      </c>
      <c r="E105" s="4">
        <v>0</v>
      </c>
      <c r="F105" s="4">
        <v>1</v>
      </c>
      <c r="G105">
        <v>10325</v>
      </c>
      <c r="H105">
        <v>1</v>
      </c>
      <c r="I105">
        <v>1</v>
      </c>
      <c r="J105">
        <v>1</v>
      </c>
      <c r="K105" t="s">
        <v>682</v>
      </c>
    </row>
    <row r="106" spans="1:11">
      <c r="A106">
        <v>10326</v>
      </c>
      <c r="B106">
        <v>1</v>
      </c>
      <c r="C106">
        <v>1</v>
      </c>
      <c r="D106" s="4">
        <v>0</v>
      </c>
      <c r="E106" s="4">
        <v>0</v>
      </c>
      <c r="F106" s="4">
        <v>1</v>
      </c>
      <c r="G106">
        <v>10326</v>
      </c>
      <c r="H106">
        <v>1</v>
      </c>
      <c r="I106">
        <v>1</v>
      </c>
      <c r="J106">
        <v>1</v>
      </c>
      <c r="K106" t="s">
        <v>683</v>
      </c>
    </row>
    <row r="107" spans="1:11">
      <c r="A107">
        <v>10327</v>
      </c>
      <c r="B107">
        <v>1</v>
      </c>
      <c r="C107">
        <v>1</v>
      </c>
      <c r="D107" s="4">
        <v>0</v>
      </c>
      <c r="E107" s="4">
        <v>0</v>
      </c>
      <c r="F107" s="4">
        <v>1</v>
      </c>
      <c r="G107">
        <v>10327</v>
      </c>
      <c r="H107">
        <v>1</v>
      </c>
      <c r="I107">
        <v>1</v>
      </c>
      <c r="J107">
        <v>1</v>
      </c>
      <c r="K107" t="s">
        <v>684</v>
      </c>
    </row>
    <row r="108" spans="1:11">
      <c r="A108">
        <v>10328</v>
      </c>
      <c r="B108">
        <v>1</v>
      </c>
      <c r="C108">
        <v>1</v>
      </c>
      <c r="D108" s="4">
        <v>0</v>
      </c>
      <c r="E108" s="4">
        <v>0</v>
      </c>
      <c r="F108" s="4">
        <v>1</v>
      </c>
      <c r="G108">
        <v>10328</v>
      </c>
      <c r="H108">
        <v>1</v>
      </c>
      <c r="I108">
        <v>1</v>
      </c>
      <c r="J108">
        <v>1</v>
      </c>
      <c r="K108" t="s">
        <v>685</v>
      </c>
    </row>
    <row r="109" spans="1:11">
      <c r="A109">
        <v>10329</v>
      </c>
      <c r="B109">
        <v>1</v>
      </c>
      <c r="C109">
        <v>1</v>
      </c>
      <c r="D109" s="4">
        <v>0</v>
      </c>
      <c r="E109" s="4">
        <v>0</v>
      </c>
      <c r="F109" s="4">
        <v>1</v>
      </c>
      <c r="G109">
        <v>10329</v>
      </c>
      <c r="H109">
        <v>1</v>
      </c>
      <c r="I109">
        <v>1</v>
      </c>
      <c r="J109">
        <v>1</v>
      </c>
      <c r="K109" t="s">
        <v>686</v>
      </c>
    </row>
    <row r="110" spans="1:11">
      <c r="A110">
        <v>10410</v>
      </c>
      <c r="B110">
        <v>1</v>
      </c>
      <c r="C110">
        <v>1</v>
      </c>
      <c r="D110" s="4">
        <v>0</v>
      </c>
      <c r="E110" s="4">
        <v>0</v>
      </c>
      <c r="F110" s="4">
        <v>1</v>
      </c>
      <c r="G110">
        <v>10410</v>
      </c>
      <c r="H110">
        <v>1</v>
      </c>
      <c r="I110">
        <v>1</v>
      </c>
      <c r="J110">
        <v>1</v>
      </c>
      <c r="K110" t="s">
        <v>687</v>
      </c>
    </row>
    <row r="111" spans="1:11">
      <c r="A111">
        <v>10411</v>
      </c>
      <c r="B111">
        <v>1</v>
      </c>
      <c r="C111">
        <v>1</v>
      </c>
      <c r="D111" s="4">
        <v>0</v>
      </c>
      <c r="E111" s="4">
        <v>0</v>
      </c>
      <c r="F111" s="4">
        <v>1</v>
      </c>
      <c r="G111">
        <v>10411</v>
      </c>
      <c r="H111">
        <v>1</v>
      </c>
      <c r="I111">
        <v>1</v>
      </c>
      <c r="J111">
        <v>1</v>
      </c>
      <c r="K111" t="s">
        <v>688</v>
      </c>
    </row>
    <row r="112" spans="1:11">
      <c r="A112">
        <v>10412</v>
      </c>
      <c r="B112">
        <v>1</v>
      </c>
      <c r="C112">
        <v>1</v>
      </c>
      <c r="D112" s="4">
        <v>0</v>
      </c>
      <c r="E112" s="4">
        <v>0</v>
      </c>
      <c r="F112" s="4">
        <v>1</v>
      </c>
      <c r="G112">
        <v>10412</v>
      </c>
      <c r="H112">
        <v>1</v>
      </c>
      <c r="I112">
        <v>1</v>
      </c>
      <c r="J112">
        <v>1</v>
      </c>
      <c r="K112" t="s">
        <v>689</v>
      </c>
    </row>
    <row r="113" spans="1:11">
      <c r="A113">
        <v>10413</v>
      </c>
      <c r="B113">
        <v>1</v>
      </c>
      <c r="C113">
        <v>1</v>
      </c>
      <c r="D113" s="4">
        <v>0</v>
      </c>
      <c r="E113" s="4">
        <v>0</v>
      </c>
      <c r="F113" s="4">
        <v>1</v>
      </c>
      <c r="G113">
        <v>10413</v>
      </c>
      <c r="H113">
        <v>1</v>
      </c>
      <c r="I113">
        <v>1</v>
      </c>
      <c r="J113">
        <v>1</v>
      </c>
      <c r="K113" t="s">
        <v>690</v>
      </c>
    </row>
    <row r="114" spans="1:11">
      <c r="A114">
        <v>10414</v>
      </c>
      <c r="B114">
        <v>1</v>
      </c>
      <c r="C114">
        <v>1</v>
      </c>
      <c r="D114" s="4">
        <v>0</v>
      </c>
      <c r="E114" s="4">
        <v>0</v>
      </c>
      <c r="F114" s="4">
        <v>1</v>
      </c>
      <c r="G114">
        <v>10414</v>
      </c>
      <c r="H114">
        <v>1</v>
      </c>
      <c r="I114">
        <v>1</v>
      </c>
      <c r="J114">
        <v>1</v>
      </c>
      <c r="K114" t="s">
        <v>691</v>
      </c>
    </row>
    <row r="115" spans="1:11">
      <c r="A115">
        <v>10415</v>
      </c>
      <c r="B115">
        <v>1</v>
      </c>
      <c r="C115">
        <v>1</v>
      </c>
      <c r="D115" s="4">
        <v>0</v>
      </c>
      <c r="E115" s="4">
        <v>0</v>
      </c>
      <c r="F115" s="4">
        <v>1</v>
      </c>
      <c r="G115">
        <v>10415</v>
      </c>
      <c r="H115">
        <v>1</v>
      </c>
      <c r="I115">
        <v>1</v>
      </c>
      <c r="J115">
        <v>1</v>
      </c>
      <c r="K115" t="s">
        <v>692</v>
      </c>
    </row>
    <row r="116" spans="1:11">
      <c r="A116">
        <v>10416</v>
      </c>
      <c r="B116">
        <v>1</v>
      </c>
      <c r="C116">
        <v>1</v>
      </c>
      <c r="D116" s="4">
        <v>0</v>
      </c>
      <c r="E116" s="4">
        <v>0</v>
      </c>
      <c r="F116" s="4">
        <v>1</v>
      </c>
      <c r="G116">
        <v>10416</v>
      </c>
      <c r="H116">
        <v>1</v>
      </c>
      <c r="I116">
        <v>1</v>
      </c>
      <c r="J116">
        <v>1</v>
      </c>
      <c r="K116" t="s">
        <v>693</v>
      </c>
    </row>
    <row r="117" spans="1:11">
      <c r="A117">
        <v>10417</v>
      </c>
      <c r="B117">
        <v>1</v>
      </c>
      <c r="C117">
        <v>1</v>
      </c>
      <c r="D117" s="4">
        <v>0</v>
      </c>
      <c r="E117" s="4">
        <v>0</v>
      </c>
      <c r="F117" s="4">
        <v>1</v>
      </c>
      <c r="G117">
        <v>10417</v>
      </c>
      <c r="H117">
        <v>1</v>
      </c>
      <c r="I117">
        <v>1</v>
      </c>
      <c r="J117">
        <v>1</v>
      </c>
      <c r="K117" t="s">
        <v>694</v>
      </c>
    </row>
    <row r="118" spans="1:11">
      <c r="A118">
        <v>10418</v>
      </c>
      <c r="B118">
        <v>1</v>
      </c>
      <c r="C118">
        <v>1</v>
      </c>
      <c r="D118" s="4">
        <v>0</v>
      </c>
      <c r="E118" s="4">
        <v>0</v>
      </c>
      <c r="F118" s="4">
        <v>1</v>
      </c>
      <c r="G118">
        <v>10418</v>
      </c>
      <c r="H118">
        <v>1</v>
      </c>
      <c r="I118">
        <v>1</v>
      </c>
      <c r="J118">
        <v>1</v>
      </c>
      <c r="K118" t="s">
        <v>695</v>
      </c>
    </row>
    <row r="119" spans="1:11">
      <c r="A119">
        <v>10419</v>
      </c>
      <c r="B119">
        <v>1</v>
      </c>
      <c r="C119">
        <v>1</v>
      </c>
      <c r="D119" s="4">
        <v>0</v>
      </c>
      <c r="E119" s="4">
        <v>0</v>
      </c>
      <c r="F119" s="4">
        <v>1</v>
      </c>
      <c r="G119">
        <v>10419</v>
      </c>
      <c r="H119">
        <v>1</v>
      </c>
      <c r="I119">
        <v>1</v>
      </c>
      <c r="J119">
        <v>1</v>
      </c>
      <c r="K119" t="s">
        <v>696</v>
      </c>
    </row>
    <row r="120" spans="1:11">
      <c r="A120">
        <v>10420</v>
      </c>
      <c r="B120">
        <v>1</v>
      </c>
      <c r="C120">
        <v>1</v>
      </c>
      <c r="D120" s="4">
        <v>0</v>
      </c>
      <c r="E120" s="4">
        <v>0</v>
      </c>
      <c r="F120" s="4">
        <v>1</v>
      </c>
      <c r="G120">
        <v>10420</v>
      </c>
      <c r="H120">
        <v>1</v>
      </c>
      <c r="I120">
        <v>1</v>
      </c>
      <c r="J120">
        <v>1</v>
      </c>
      <c r="K120" t="s">
        <v>697</v>
      </c>
    </row>
    <row r="121" spans="1:11">
      <c r="A121">
        <v>10421</v>
      </c>
      <c r="B121">
        <v>1</v>
      </c>
      <c r="C121">
        <v>1</v>
      </c>
      <c r="D121" s="4">
        <v>0</v>
      </c>
      <c r="E121" s="4">
        <v>0</v>
      </c>
      <c r="F121" s="4">
        <v>1</v>
      </c>
      <c r="G121">
        <v>10421</v>
      </c>
      <c r="H121">
        <v>1</v>
      </c>
      <c r="I121">
        <v>1</v>
      </c>
      <c r="J121">
        <v>1</v>
      </c>
      <c r="K121" t="s">
        <v>698</v>
      </c>
    </row>
    <row r="122" spans="1:11">
      <c r="A122">
        <v>10422</v>
      </c>
      <c r="B122">
        <v>1</v>
      </c>
      <c r="C122">
        <v>1</v>
      </c>
      <c r="D122" s="4">
        <v>0</v>
      </c>
      <c r="E122" s="4">
        <v>0</v>
      </c>
      <c r="F122" s="4">
        <v>1</v>
      </c>
      <c r="G122">
        <v>10422</v>
      </c>
      <c r="H122">
        <v>1</v>
      </c>
      <c r="I122">
        <v>1</v>
      </c>
      <c r="J122">
        <v>1</v>
      </c>
      <c r="K122" t="s">
        <v>699</v>
      </c>
    </row>
    <row r="123" spans="1:11">
      <c r="A123">
        <v>10423</v>
      </c>
      <c r="B123">
        <v>1</v>
      </c>
      <c r="C123">
        <v>1</v>
      </c>
      <c r="D123" s="4">
        <v>0</v>
      </c>
      <c r="E123" s="4">
        <v>0</v>
      </c>
      <c r="F123" s="4">
        <v>1</v>
      </c>
      <c r="G123">
        <v>10423</v>
      </c>
      <c r="H123">
        <v>1</v>
      </c>
      <c r="I123">
        <v>1</v>
      </c>
      <c r="J123">
        <v>1</v>
      </c>
      <c r="K123" t="s">
        <v>700</v>
      </c>
    </row>
    <row r="124" spans="1:11">
      <c r="A124">
        <v>10424</v>
      </c>
      <c r="B124">
        <v>1</v>
      </c>
      <c r="C124">
        <v>1</v>
      </c>
      <c r="D124" s="4">
        <v>0</v>
      </c>
      <c r="E124" s="4">
        <v>0</v>
      </c>
      <c r="F124" s="4">
        <v>1</v>
      </c>
      <c r="G124">
        <v>10424</v>
      </c>
      <c r="H124">
        <v>1</v>
      </c>
      <c r="I124">
        <v>1</v>
      </c>
      <c r="J124">
        <v>1</v>
      </c>
      <c r="K124" t="s">
        <v>701</v>
      </c>
    </row>
    <row r="125" spans="1:11">
      <c r="A125">
        <v>10425</v>
      </c>
      <c r="B125">
        <v>1</v>
      </c>
      <c r="C125">
        <v>1</v>
      </c>
      <c r="D125" s="4">
        <v>0</v>
      </c>
      <c r="E125" s="4">
        <v>0</v>
      </c>
      <c r="F125" s="4">
        <v>1</v>
      </c>
      <c r="G125">
        <v>10425</v>
      </c>
      <c r="H125">
        <v>1</v>
      </c>
      <c r="I125">
        <v>1</v>
      </c>
      <c r="J125">
        <v>1</v>
      </c>
      <c r="K125" t="s">
        <v>702</v>
      </c>
    </row>
    <row r="126" spans="1:11">
      <c r="A126">
        <v>10426</v>
      </c>
      <c r="B126">
        <v>1</v>
      </c>
      <c r="C126">
        <v>1</v>
      </c>
      <c r="D126" s="4">
        <v>0</v>
      </c>
      <c r="E126" s="4">
        <v>0</v>
      </c>
      <c r="F126" s="4">
        <v>1</v>
      </c>
      <c r="G126">
        <v>10426</v>
      </c>
      <c r="H126">
        <v>1</v>
      </c>
      <c r="I126">
        <v>1</v>
      </c>
      <c r="J126">
        <v>1</v>
      </c>
      <c r="K126" t="s">
        <v>703</v>
      </c>
    </row>
    <row r="127" spans="1:11">
      <c r="A127">
        <v>10427</v>
      </c>
      <c r="B127">
        <v>1</v>
      </c>
      <c r="C127">
        <v>1</v>
      </c>
      <c r="D127" s="4">
        <v>0</v>
      </c>
      <c r="E127" s="4">
        <v>0</v>
      </c>
      <c r="F127" s="4">
        <v>1</v>
      </c>
      <c r="G127">
        <v>10427</v>
      </c>
      <c r="H127">
        <v>1</v>
      </c>
      <c r="I127">
        <v>1</v>
      </c>
      <c r="J127">
        <v>1</v>
      </c>
      <c r="K127" t="s">
        <v>704</v>
      </c>
    </row>
    <row r="128" spans="1:11">
      <c r="A128">
        <v>10428</v>
      </c>
      <c r="B128">
        <v>1</v>
      </c>
      <c r="C128">
        <v>1</v>
      </c>
      <c r="D128" s="4">
        <v>0</v>
      </c>
      <c r="E128" s="4">
        <v>0</v>
      </c>
      <c r="F128" s="4">
        <v>1</v>
      </c>
      <c r="G128">
        <v>10428</v>
      </c>
      <c r="H128">
        <v>1</v>
      </c>
      <c r="I128">
        <v>1</v>
      </c>
      <c r="J128">
        <v>1</v>
      </c>
      <c r="K128" t="s">
        <v>705</v>
      </c>
    </row>
    <row r="129" spans="1:11">
      <c r="A129">
        <v>10429</v>
      </c>
      <c r="B129">
        <v>1</v>
      </c>
      <c r="C129">
        <v>1</v>
      </c>
      <c r="D129" s="4">
        <v>0</v>
      </c>
      <c r="E129" s="4">
        <v>0</v>
      </c>
      <c r="F129" s="4">
        <v>1</v>
      </c>
      <c r="G129">
        <v>10429</v>
      </c>
      <c r="H129">
        <v>1</v>
      </c>
      <c r="I129">
        <v>1</v>
      </c>
      <c r="J129">
        <v>1</v>
      </c>
      <c r="K129" t="s">
        <v>706</v>
      </c>
    </row>
    <row r="130" spans="1:11">
      <c r="A130">
        <v>10510</v>
      </c>
      <c r="B130">
        <v>1</v>
      </c>
      <c r="C130">
        <v>1</v>
      </c>
      <c r="D130" s="4">
        <v>0</v>
      </c>
      <c r="E130" s="4">
        <v>0</v>
      </c>
      <c r="F130" s="4">
        <v>1</v>
      </c>
      <c r="G130">
        <v>10510</v>
      </c>
      <c r="H130">
        <v>1</v>
      </c>
      <c r="I130">
        <v>1</v>
      </c>
      <c r="J130">
        <v>1</v>
      </c>
      <c r="K130" t="s">
        <v>707</v>
      </c>
    </row>
    <row r="131" spans="1:11">
      <c r="A131">
        <v>10511</v>
      </c>
      <c r="B131">
        <v>1</v>
      </c>
      <c r="C131">
        <v>1</v>
      </c>
      <c r="D131" s="4">
        <v>0</v>
      </c>
      <c r="E131" s="4">
        <v>0</v>
      </c>
      <c r="F131" s="4">
        <v>1</v>
      </c>
      <c r="G131">
        <v>10511</v>
      </c>
      <c r="H131">
        <v>1</v>
      </c>
      <c r="I131">
        <v>1</v>
      </c>
      <c r="J131">
        <v>1</v>
      </c>
      <c r="K131" t="s">
        <v>708</v>
      </c>
    </row>
    <row r="132" spans="1:11">
      <c r="A132">
        <v>10512</v>
      </c>
      <c r="B132">
        <v>1</v>
      </c>
      <c r="C132">
        <v>1</v>
      </c>
      <c r="D132" s="4">
        <v>0</v>
      </c>
      <c r="E132" s="4">
        <v>0</v>
      </c>
      <c r="F132" s="4">
        <v>1</v>
      </c>
      <c r="G132">
        <v>10512</v>
      </c>
      <c r="H132">
        <v>1</v>
      </c>
      <c r="I132">
        <v>1</v>
      </c>
      <c r="J132">
        <v>1</v>
      </c>
      <c r="K132" t="s">
        <v>709</v>
      </c>
    </row>
    <row r="133" spans="1:11">
      <c r="A133">
        <v>10513</v>
      </c>
      <c r="B133">
        <v>1</v>
      </c>
      <c r="C133">
        <v>1</v>
      </c>
      <c r="D133" s="4">
        <v>0</v>
      </c>
      <c r="E133" s="4">
        <v>0</v>
      </c>
      <c r="F133" s="4">
        <v>1</v>
      </c>
      <c r="G133">
        <v>10513</v>
      </c>
      <c r="H133">
        <v>1</v>
      </c>
      <c r="I133">
        <v>1</v>
      </c>
      <c r="J133">
        <v>1</v>
      </c>
      <c r="K133" t="s">
        <v>710</v>
      </c>
    </row>
    <row r="134" spans="1:11">
      <c r="A134">
        <v>10514</v>
      </c>
      <c r="B134">
        <v>1</v>
      </c>
      <c r="C134">
        <v>1</v>
      </c>
      <c r="D134" s="4">
        <v>0</v>
      </c>
      <c r="E134" s="4">
        <v>0</v>
      </c>
      <c r="F134" s="4">
        <v>1</v>
      </c>
      <c r="G134">
        <v>10514</v>
      </c>
      <c r="H134">
        <v>1</v>
      </c>
      <c r="I134">
        <v>1</v>
      </c>
      <c r="J134">
        <v>1</v>
      </c>
      <c r="K134" t="s">
        <v>711</v>
      </c>
    </row>
    <row r="135" spans="1:11">
      <c r="A135">
        <v>10515</v>
      </c>
      <c r="B135">
        <v>1</v>
      </c>
      <c r="C135">
        <v>1</v>
      </c>
      <c r="D135" s="4">
        <v>0</v>
      </c>
      <c r="E135" s="4">
        <v>0</v>
      </c>
      <c r="F135" s="4">
        <v>1</v>
      </c>
      <c r="G135">
        <v>10515</v>
      </c>
      <c r="H135">
        <v>1</v>
      </c>
      <c r="I135">
        <v>1</v>
      </c>
      <c r="J135">
        <v>1</v>
      </c>
      <c r="K135" t="s">
        <v>712</v>
      </c>
    </row>
    <row r="136" spans="1:11">
      <c r="A136">
        <v>10516</v>
      </c>
      <c r="B136">
        <v>1</v>
      </c>
      <c r="C136">
        <v>1</v>
      </c>
      <c r="D136" s="4">
        <v>0</v>
      </c>
      <c r="E136" s="4">
        <v>0</v>
      </c>
      <c r="F136" s="4">
        <v>1</v>
      </c>
      <c r="G136">
        <v>10516</v>
      </c>
      <c r="H136">
        <v>1</v>
      </c>
      <c r="I136">
        <v>1</v>
      </c>
      <c r="J136">
        <v>1</v>
      </c>
      <c r="K136" t="s">
        <v>713</v>
      </c>
    </row>
    <row r="137" spans="1:11">
      <c r="A137">
        <v>10517</v>
      </c>
      <c r="B137">
        <v>1</v>
      </c>
      <c r="C137">
        <v>1</v>
      </c>
      <c r="D137" s="4">
        <v>0</v>
      </c>
      <c r="E137" s="4">
        <v>0</v>
      </c>
      <c r="F137" s="4">
        <v>1</v>
      </c>
      <c r="G137">
        <v>10517</v>
      </c>
      <c r="H137">
        <v>1</v>
      </c>
      <c r="I137">
        <v>1</v>
      </c>
      <c r="J137">
        <v>1</v>
      </c>
      <c r="K137" t="s">
        <v>714</v>
      </c>
    </row>
    <row r="138" spans="1:11">
      <c r="A138">
        <v>10518</v>
      </c>
      <c r="B138">
        <v>1</v>
      </c>
      <c r="C138">
        <v>1</v>
      </c>
      <c r="D138" s="4">
        <v>0</v>
      </c>
      <c r="E138" s="4">
        <v>0</v>
      </c>
      <c r="F138" s="4">
        <v>1</v>
      </c>
      <c r="G138">
        <v>10518</v>
      </c>
      <c r="H138">
        <v>1</v>
      </c>
      <c r="I138">
        <v>1</v>
      </c>
      <c r="J138">
        <v>1</v>
      </c>
      <c r="K138" t="s">
        <v>715</v>
      </c>
    </row>
    <row r="139" spans="1:11">
      <c r="A139">
        <v>10519</v>
      </c>
      <c r="B139">
        <v>1</v>
      </c>
      <c r="C139">
        <v>1</v>
      </c>
      <c r="D139" s="4">
        <v>0</v>
      </c>
      <c r="E139" s="4">
        <v>0</v>
      </c>
      <c r="F139" s="4">
        <v>1</v>
      </c>
      <c r="G139">
        <v>10519</v>
      </c>
      <c r="H139">
        <v>1</v>
      </c>
      <c r="I139">
        <v>1</v>
      </c>
      <c r="J139">
        <v>1</v>
      </c>
      <c r="K139" t="s">
        <v>716</v>
      </c>
    </row>
    <row r="140" spans="1:11">
      <c r="A140">
        <v>10520</v>
      </c>
      <c r="B140">
        <v>1</v>
      </c>
      <c r="C140">
        <v>1</v>
      </c>
      <c r="D140" s="4">
        <v>0</v>
      </c>
      <c r="E140" s="4">
        <v>0</v>
      </c>
      <c r="F140" s="4">
        <v>1</v>
      </c>
      <c r="G140">
        <v>10520</v>
      </c>
      <c r="H140">
        <v>1</v>
      </c>
      <c r="I140">
        <v>1</v>
      </c>
      <c r="J140">
        <v>1</v>
      </c>
      <c r="K140" t="s">
        <v>717</v>
      </c>
    </row>
    <row r="141" spans="1:11">
      <c r="A141">
        <v>10521</v>
      </c>
      <c r="B141">
        <v>1</v>
      </c>
      <c r="C141">
        <v>1</v>
      </c>
      <c r="D141" s="4">
        <v>0</v>
      </c>
      <c r="E141" s="4">
        <v>0</v>
      </c>
      <c r="F141" s="4">
        <v>1</v>
      </c>
      <c r="G141">
        <v>10521</v>
      </c>
      <c r="H141">
        <v>1</v>
      </c>
      <c r="I141">
        <v>1</v>
      </c>
      <c r="J141">
        <v>1</v>
      </c>
      <c r="K141" t="s">
        <v>718</v>
      </c>
    </row>
    <row r="142" spans="1:11">
      <c r="A142">
        <v>10522</v>
      </c>
      <c r="B142">
        <v>1</v>
      </c>
      <c r="C142">
        <v>1</v>
      </c>
      <c r="D142" s="4">
        <v>0</v>
      </c>
      <c r="E142" s="4">
        <v>0</v>
      </c>
      <c r="F142" s="4">
        <v>1</v>
      </c>
      <c r="G142">
        <v>10522</v>
      </c>
      <c r="H142">
        <v>1</v>
      </c>
      <c r="I142">
        <v>1</v>
      </c>
      <c r="J142">
        <v>1</v>
      </c>
      <c r="K142" t="s">
        <v>719</v>
      </c>
    </row>
    <row r="143" spans="1:11">
      <c r="A143">
        <v>10523</v>
      </c>
      <c r="B143">
        <v>1</v>
      </c>
      <c r="C143">
        <v>1</v>
      </c>
      <c r="D143" s="4">
        <v>0</v>
      </c>
      <c r="E143" s="4">
        <v>0</v>
      </c>
      <c r="F143" s="4">
        <v>1</v>
      </c>
      <c r="G143">
        <v>10523</v>
      </c>
      <c r="H143">
        <v>1</v>
      </c>
      <c r="I143">
        <v>1</v>
      </c>
      <c r="J143">
        <v>1</v>
      </c>
      <c r="K143" t="s">
        <v>720</v>
      </c>
    </row>
    <row r="144" spans="1:11">
      <c r="A144">
        <v>10524</v>
      </c>
      <c r="B144">
        <v>1</v>
      </c>
      <c r="C144">
        <v>1</v>
      </c>
      <c r="D144" s="4">
        <v>0</v>
      </c>
      <c r="E144" s="4">
        <v>0</v>
      </c>
      <c r="F144" s="4">
        <v>1</v>
      </c>
      <c r="G144">
        <v>10524</v>
      </c>
      <c r="H144">
        <v>1</v>
      </c>
      <c r="I144">
        <v>1</v>
      </c>
      <c r="J144">
        <v>1</v>
      </c>
      <c r="K144" t="s">
        <v>721</v>
      </c>
    </row>
    <row r="145" spans="1:11">
      <c r="A145">
        <v>10525</v>
      </c>
      <c r="B145">
        <v>1</v>
      </c>
      <c r="C145">
        <v>1</v>
      </c>
      <c r="D145" s="4">
        <v>0</v>
      </c>
      <c r="E145" s="4">
        <v>0</v>
      </c>
      <c r="F145" s="4">
        <v>1</v>
      </c>
      <c r="G145">
        <v>10525</v>
      </c>
      <c r="H145">
        <v>1</v>
      </c>
      <c r="I145">
        <v>1</v>
      </c>
      <c r="J145">
        <v>1</v>
      </c>
      <c r="K145" t="s">
        <v>722</v>
      </c>
    </row>
    <row r="146" spans="1:11">
      <c r="A146">
        <v>10526</v>
      </c>
      <c r="B146">
        <v>1</v>
      </c>
      <c r="C146">
        <v>1</v>
      </c>
      <c r="D146" s="4">
        <v>0</v>
      </c>
      <c r="E146" s="4">
        <v>0</v>
      </c>
      <c r="F146" s="4">
        <v>1</v>
      </c>
      <c r="G146">
        <v>10526</v>
      </c>
      <c r="H146">
        <v>1</v>
      </c>
      <c r="I146">
        <v>1</v>
      </c>
      <c r="J146">
        <v>1</v>
      </c>
      <c r="K146" t="s">
        <v>723</v>
      </c>
    </row>
    <row r="147" spans="1:11">
      <c r="A147">
        <v>10527</v>
      </c>
      <c r="B147">
        <v>1</v>
      </c>
      <c r="C147">
        <v>1</v>
      </c>
      <c r="D147" s="4">
        <v>0</v>
      </c>
      <c r="E147" s="4">
        <v>0</v>
      </c>
      <c r="F147" s="4">
        <v>1</v>
      </c>
      <c r="G147">
        <v>10527</v>
      </c>
      <c r="H147">
        <v>1</v>
      </c>
      <c r="I147">
        <v>1</v>
      </c>
      <c r="J147">
        <v>1</v>
      </c>
      <c r="K147" t="s">
        <v>724</v>
      </c>
    </row>
    <row r="148" spans="1:11">
      <c r="A148">
        <v>10528</v>
      </c>
      <c r="B148">
        <v>1</v>
      </c>
      <c r="C148">
        <v>1</v>
      </c>
      <c r="D148" s="4">
        <v>0</v>
      </c>
      <c r="E148" s="4">
        <v>0</v>
      </c>
      <c r="F148" s="4">
        <v>1</v>
      </c>
      <c r="G148">
        <v>10528</v>
      </c>
      <c r="H148">
        <v>1</v>
      </c>
      <c r="I148">
        <v>1</v>
      </c>
      <c r="J148">
        <v>1</v>
      </c>
      <c r="K148" t="s">
        <v>725</v>
      </c>
    </row>
    <row r="149" spans="1:11">
      <c r="A149">
        <v>10529</v>
      </c>
      <c r="B149">
        <v>1</v>
      </c>
      <c r="C149">
        <v>1</v>
      </c>
      <c r="D149" s="4">
        <v>0</v>
      </c>
      <c r="E149" s="4">
        <v>0</v>
      </c>
      <c r="F149" s="4">
        <v>1</v>
      </c>
      <c r="G149">
        <v>10529</v>
      </c>
      <c r="H149">
        <v>1</v>
      </c>
      <c r="I149">
        <v>1</v>
      </c>
      <c r="J149">
        <v>1</v>
      </c>
      <c r="K149" t="s">
        <v>726</v>
      </c>
    </row>
    <row r="150" spans="1:11">
      <c r="A150">
        <v>10900</v>
      </c>
      <c r="B150">
        <v>1</v>
      </c>
      <c r="C150">
        <v>1</v>
      </c>
      <c r="D150" s="4">
        <v>0</v>
      </c>
      <c r="E150" s="4">
        <v>0</v>
      </c>
      <c r="F150" s="4">
        <v>1</v>
      </c>
      <c r="G150">
        <v>10900</v>
      </c>
      <c r="H150">
        <v>1</v>
      </c>
      <c r="I150">
        <v>1</v>
      </c>
      <c r="J150">
        <v>1</v>
      </c>
      <c r="K150" t="s">
        <v>3008</v>
      </c>
    </row>
    <row r="151" spans="1:11">
      <c r="A151">
        <v>10901</v>
      </c>
      <c r="B151">
        <v>1</v>
      </c>
      <c r="C151">
        <v>1</v>
      </c>
      <c r="D151" s="4">
        <v>0</v>
      </c>
      <c r="E151" s="4">
        <v>0</v>
      </c>
      <c r="F151" s="4">
        <v>1</v>
      </c>
      <c r="G151">
        <v>10901</v>
      </c>
      <c r="H151">
        <v>1</v>
      </c>
      <c r="I151">
        <v>1</v>
      </c>
      <c r="J151">
        <v>1</v>
      </c>
      <c r="K151" t="s">
        <v>3009</v>
      </c>
    </row>
    <row r="152" spans="1:11">
      <c r="A152">
        <v>10902</v>
      </c>
      <c r="B152">
        <v>1</v>
      </c>
      <c r="C152">
        <v>1</v>
      </c>
      <c r="D152" s="4">
        <v>0</v>
      </c>
      <c r="E152" s="4">
        <v>0</v>
      </c>
      <c r="F152" s="4">
        <v>1</v>
      </c>
      <c r="G152">
        <v>10902</v>
      </c>
      <c r="H152">
        <v>1</v>
      </c>
      <c r="I152">
        <v>1</v>
      </c>
      <c r="J152">
        <v>1</v>
      </c>
      <c r="K152" t="s">
        <v>3010</v>
      </c>
    </row>
    <row r="153" spans="1:11">
      <c r="A153">
        <v>10903</v>
      </c>
      <c r="B153">
        <v>1</v>
      </c>
      <c r="C153">
        <v>1</v>
      </c>
      <c r="D153" s="4">
        <v>0</v>
      </c>
      <c r="E153" s="4">
        <v>0</v>
      </c>
      <c r="F153" s="4">
        <v>1</v>
      </c>
      <c r="G153">
        <v>10903</v>
      </c>
      <c r="H153">
        <v>1</v>
      </c>
      <c r="I153">
        <v>1</v>
      </c>
      <c r="J153">
        <v>1</v>
      </c>
      <c r="K153" t="s">
        <v>3011</v>
      </c>
    </row>
    <row r="154" spans="1:11">
      <c r="A154">
        <v>10904</v>
      </c>
      <c r="B154">
        <v>1</v>
      </c>
      <c r="C154">
        <v>1</v>
      </c>
      <c r="D154" s="4">
        <v>0</v>
      </c>
      <c r="E154" s="4">
        <v>0</v>
      </c>
      <c r="F154" s="4">
        <v>1</v>
      </c>
      <c r="G154">
        <v>10904</v>
      </c>
      <c r="H154">
        <v>1</v>
      </c>
      <c r="I154">
        <v>1</v>
      </c>
      <c r="J154">
        <v>1</v>
      </c>
      <c r="K154" t="s">
        <v>3012</v>
      </c>
    </row>
    <row r="155" spans="1:11">
      <c r="A155">
        <v>10905</v>
      </c>
      <c r="B155">
        <v>1</v>
      </c>
      <c r="C155">
        <v>1</v>
      </c>
      <c r="D155" s="4">
        <v>0</v>
      </c>
      <c r="E155" s="4">
        <v>0</v>
      </c>
      <c r="F155" s="4">
        <v>1</v>
      </c>
      <c r="G155">
        <v>10905</v>
      </c>
      <c r="H155">
        <v>1</v>
      </c>
      <c r="I155">
        <v>1</v>
      </c>
      <c r="J155">
        <v>1</v>
      </c>
      <c r="K155" t="s">
        <v>3013</v>
      </c>
    </row>
    <row r="156" spans="1:11">
      <c r="A156">
        <v>10906</v>
      </c>
      <c r="B156">
        <v>1</v>
      </c>
      <c r="C156">
        <v>1</v>
      </c>
      <c r="D156" s="4">
        <v>0</v>
      </c>
      <c r="E156" s="4">
        <v>0</v>
      </c>
      <c r="F156" s="4">
        <v>1</v>
      </c>
      <c r="G156">
        <v>10906</v>
      </c>
      <c r="H156">
        <v>1</v>
      </c>
      <c r="I156">
        <v>1</v>
      </c>
      <c r="J156">
        <v>1</v>
      </c>
      <c r="K156" t="s">
        <v>3014</v>
      </c>
    </row>
    <row r="157" spans="1:11">
      <c r="A157">
        <v>10907</v>
      </c>
      <c r="B157">
        <v>1</v>
      </c>
      <c r="C157">
        <v>1</v>
      </c>
      <c r="D157" s="4">
        <v>0</v>
      </c>
      <c r="E157" s="4">
        <v>0</v>
      </c>
      <c r="F157" s="4">
        <v>1</v>
      </c>
      <c r="G157">
        <v>10907</v>
      </c>
      <c r="H157">
        <v>1</v>
      </c>
      <c r="I157">
        <v>1</v>
      </c>
      <c r="J157">
        <v>1</v>
      </c>
      <c r="K157" t="s">
        <v>3015</v>
      </c>
    </row>
    <row r="158" spans="1:11">
      <c r="A158">
        <v>10908</v>
      </c>
      <c r="B158">
        <v>1</v>
      </c>
      <c r="C158">
        <v>1</v>
      </c>
      <c r="D158" s="4">
        <v>0</v>
      </c>
      <c r="E158" s="4">
        <v>0</v>
      </c>
      <c r="F158" s="4">
        <v>1</v>
      </c>
      <c r="G158">
        <v>10908</v>
      </c>
      <c r="H158">
        <v>1</v>
      </c>
      <c r="I158">
        <v>1</v>
      </c>
      <c r="J158">
        <v>1</v>
      </c>
      <c r="K158" t="s">
        <v>3016</v>
      </c>
    </row>
    <row r="159" spans="1:11">
      <c r="A159">
        <v>10909</v>
      </c>
      <c r="B159">
        <v>1</v>
      </c>
      <c r="C159">
        <v>1</v>
      </c>
      <c r="D159" s="4">
        <v>0</v>
      </c>
      <c r="E159" s="4">
        <v>0</v>
      </c>
      <c r="F159" s="4">
        <v>1</v>
      </c>
      <c r="G159">
        <v>10909</v>
      </c>
      <c r="H159">
        <v>1</v>
      </c>
      <c r="I159">
        <v>1</v>
      </c>
      <c r="J159">
        <v>1</v>
      </c>
      <c r="K159" t="s">
        <v>3017</v>
      </c>
    </row>
    <row r="160" spans="1:11">
      <c r="A160">
        <v>10910</v>
      </c>
      <c r="B160">
        <v>1</v>
      </c>
      <c r="C160">
        <v>1</v>
      </c>
      <c r="D160" s="4">
        <v>0</v>
      </c>
      <c r="E160" s="4">
        <v>0</v>
      </c>
      <c r="F160" s="4">
        <v>1</v>
      </c>
      <c r="G160">
        <v>10910</v>
      </c>
      <c r="H160">
        <v>1</v>
      </c>
      <c r="I160">
        <v>1</v>
      </c>
      <c r="J160">
        <v>1</v>
      </c>
      <c r="K160" t="s">
        <v>3018</v>
      </c>
    </row>
    <row r="161" spans="1:11">
      <c r="A161">
        <v>10911</v>
      </c>
      <c r="B161">
        <v>1</v>
      </c>
      <c r="C161">
        <v>1</v>
      </c>
      <c r="D161" s="4">
        <v>0</v>
      </c>
      <c r="E161" s="4">
        <v>0</v>
      </c>
      <c r="F161" s="4">
        <v>1</v>
      </c>
      <c r="G161">
        <v>10911</v>
      </c>
      <c r="H161">
        <v>1</v>
      </c>
      <c r="I161">
        <v>1</v>
      </c>
      <c r="J161">
        <v>1</v>
      </c>
      <c r="K161" t="s">
        <v>3019</v>
      </c>
    </row>
    <row r="162" spans="1:11">
      <c r="A162">
        <v>10912</v>
      </c>
      <c r="B162">
        <v>1</v>
      </c>
      <c r="C162">
        <v>1</v>
      </c>
      <c r="D162" s="4">
        <v>0</v>
      </c>
      <c r="E162" s="4">
        <v>0</v>
      </c>
      <c r="F162" s="4">
        <v>1</v>
      </c>
      <c r="G162">
        <v>10912</v>
      </c>
      <c r="H162">
        <v>1</v>
      </c>
      <c r="I162">
        <v>1</v>
      </c>
      <c r="J162">
        <v>1</v>
      </c>
      <c r="K162" t="s">
        <v>3020</v>
      </c>
    </row>
    <row r="163" spans="1:11">
      <c r="A163">
        <v>10913</v>
      </c>
      <c r="B163">
        <v>1</v>
      </c>
      <c r="C163">
        <v>1</v>
      </c>
      <c r="D163" s="4">
        <v>0</v>
      </c>
      <c r="E163" s="4">
        <v>0</v>
      </c>
      <c r="F163" s="4">
        <v>1</v>
      </c>
      <c r="G163">
        <v>10913</v>
      </c>
      <c r="H163">
        <v>1</v>
      </c>
      <c r="I163">
        <v>1</v>
      </c>
      <c r="J163">
        <v>1</v>
      </c>
      <c r="K163" t="s">
        <v>3021</v>
      </c>
    </row>
    <row r="164" spans="1:11">
      <c r="A164">
        <v>10914</v>
      </c>
      <c r="B164">
        <v>1</v>
      </c>
      <c r="C164">
        <v>1</v>
      </c>
      <c r="D164" s="4">
        <v>0</v>
      </c>
      <c r="E164" s="4">
        <v>0</v>
      </c>
      <c r="F164" s="4">
        <v>1</v>
      </c>
      <c r="G164">
        <v>10914</v>
      </c>
      <c r="H164">
        <v>1</v>
      </c>
      <c r="I164">
        <v>1</v>
      </c>
      <c r="J164">
        <v>1</v>
      </c>
      <c r="K164" t="s">
        <v>3022</v>
      </c>
    </row>
    <row r="165" spans="1:11">
      <c r="A165">
        <v>10915</v>
      </c>
      <c r="B165">
        <v>1</v>
      </c>
      <c r="C165">
        <v>1</v>
      </c>
      <c r="D165" s="4">
        <v>0</v>
      </c>
      <c r="E165" s="4">
        <v>0</v>
      </c>
      <c r="F165" s="4">
        <v>1</v>
      </c>
      <c r="G165">
        <v>10915</v>
      </c>
      <c r="H165">
        <v>1</v>
      </c>
      <c r="I165">
        <v>1</v>
      </c>
      <c r="J165">
        <v>1</v>
      </c>
      <c r="K165" t="s">
        <v>3023</v>
      </c>
    </row>
    <row r="166" spans="1:11">
      <c r="A166">
        <v>10916</v>
      </c>
      <c r="B166">
        <v>1</v>
      </c>
      <c r="C166">
        <v>1</v>
      </c>
      <c r="D166" s="4">
        <v>0</v>
      </c>
      <c r="E166" s="4">
        <v>0</v>
      </c>
      <c r="F166" s="4">
        <v>1</v>
      </c>
      <c r="G166">
        <v>10916</v>
      </c>
      <c r="H166">
        <v>1</v>
      </c>
      <c r="I166">
        <v>1</v>
      </c>
      <c r="J166">
        <v>1</v>
      </c>
      <c r="K166" t="s">
        <v>3024</v>
      </c>
    </row>
    <row r="167" spans="1:11">
      <c r="A167">
        <v>10917</v>
      </c>
      <c r="B167">
        <v>1</v>
      </c>
      <c r="C167">
        <v>1</v>
      </c>
      <c r="D167" s="4">
        <v>0</v>
      </c>
      <c r="E167" s="4">
        <v>0</v>
      </c>
      <c r="F167" s="4">
        <v>1</v>
      </c>
      <c r="G167">
        <v>10917</v>
      </c>
      <c r="H167">
        <v>1</v>
      </c>
      <c r="I167">
        <v>1</v>
      </c>
      <c r="J167">
        <v>1</v>
      </c>
      <c r="K167" t="s">
        <v>3025</v>
      </c>
    </row>
    <row r="168" spans="1:11">
      <c r="A168">
        <v>10918</v>
      </c>
      <c r="B168">
        <v>1</v>
      </c>
      <c r="C168">
        <v>1</v>
      </c>
      <c r="D168" s="4">
        <v>0</v>
      </c>
      <c r="E168" s="4">
        <v>0</v>
      </c>
      <c r="F168" s="4">
        <v>1</v>
      </c>
      <c r="G168">
        <v>10918</v>
      </c>
      <c r="H168">
        <v>1</v>
      </c>
      <c r="I168">
        <v>1</v>
      </c>
      <c r="J168">
        <v>1</v>
      </c>
      <c r="K168" t="s">
        <v>3026</v>
      </c>
    </row>
    <row r="169" spans="1:11">
      <c r="A169">
        <v>10919</v>
      </c>
      <c r="B169">
        <v>1</v>
      </c>
      <c r="C169">
        <v>1</v>
      </c>
      <c r="D169" s="4">
        <v>0</v>
      </c>
      <c r="E169" s="4">
        <v>0</v>
      </c>
      <c r="F169" s="4">
        <v>1</v>
      </c>
      <c r="G169">
        <v>10919</v>
      </c>
      <c r="H169">
        <v>1</v>
      </c>
      <c r="I169">
        <v>1</v>
      </c>
      <c r="J169">
        <v>1</v>
      </c>
      <c r="K169" t="s">
        <v>3027</v>
      </c>
    </row>
    <row r="170" spans="1:11">
      <c r="A170">
        <v>10920</v>
      </c>
      <c r="B170">
        <v>1</v>
      </c>
      <c r="C170">
        <v>1</v>
      </c>
      <c r="D170" s="4">
        <v>0</v>
      </c>
      <c r="E170" s="4">
        <v>0</v>
      </c>
      <c r="F170" s="4">
        <v>1</v>
      </c>
      <c r="G170">
        <v>10920</v>
      </c>
      <c r="H170">
        <v>1</v>
      </c>
      <c r="I170">
        <v>1</v>
      </c>
      <c r="J170">
        <v>1</v>
      </c>
      <c r="K170" t="s">
        <v>120</v>
      </c>
    </row>
    <row r="171" spans="1:11">
      <c r="A171">
        <v>10921</v>
      </c>
      <c r="B171">
        <v>1</v>
      </c>
      <c r="C171">
        <v>1</v>
      </c>
      <c r="D171" s="4">
        <v>0</v>
      </c>
      <c r="E171" s="4">
        <v>0</v>
      </c>
      <c r="F171" s="4">
        <v>1</v>
      </c>
      <c r="G171">
        <v>10921</v>
      </c>
      <c r="H171">
        <v>1</v>
      </c>
      <c r="I171">
        <v>1</v>
      </c>
      <c r="J171">
        <v>1</v>
      </c>
      <c r="K171" t="s">
        <v>121</v>
      </c>
    </row>
    <row r="172" spans="1:11">
      <c r="A172">
        <v>10922</v>
      </c>
      <c r="B172">
        <v>1</v>
      </c>
      <c r="C172">
        <v>1</v>
      </c>
      <c r="D172" s="4">
        <v>0</v>
      </c>
      <c r="E172" s="4">
        <v>0</v>
      </c>
      <c r="F172" s="4">
        <v>1</v>
      </c>
      <c r="G172">
        <v>10922</v>
      </c>
      <c r="H172">
        <v>1</v>
      </c>
      <c r="I172">
        <v>1</v>
      </c>
      <c r="J172">
        <v>1</v>
      </c>
      <c r="K172" t="s">
        <v>122</v>
      </c>
    </row>
    <row r="173" spans="1:11">
      <c r="A173">
        <v>10923</v>
      </c>
      <c r="B173">
        <v>1</v>
      </c>
      <c r="C173">
        <v>1</v>
      </c>
      <c r="D173" s="4">
        <v>0</v>
      </c>
      <c r="E173" s="4">
        <v>0</v>
      </c>
      <c r="F173" s="4">
        <v>1</v>
      </c>
      <c r="G173">
        <v>10923</v>
      </c>
      <c r="H173">
        <v>1</v>
      </c>
      <c r="I173">
        <v>1</v>
      </c>
      <c r="J173">
        <v>1</v>
      </c>
      <c r="K173" t="s">
        <v>123</v>
      </c>
    </row>
    <row r="174" spans="1:11">
      <c r="A174">
        <v>10924</v>
      </c>
      <c r="B174">
        <v>1</v>
      </c>
      <c r="C174">
        <v>1</v>
      </c>
      <c r="D174" s="4">
        <v>0</v>
      </c>
      <c r="E174" s="4">
        <v>0</v>
      </c>
      <c r="F174" s="4">
        <v>1</v>
      </c>
      <c r="G174">
        <v>10924</v>
      </c>
      <c r="H174">
        <v>1</v>
      </c>
      <c r="I174">
        <v>1</v>
      </c>
      <c r="J174">
        <v>1</v>
      </c>
      <c r="K174" t="s">
        <v>124</v>
      </c>
    </row>
    <row r="175" spans="1:11">
      <c r="A175">
        <v>10925</v>
      </c>
      <c r="B175">
        <v>1</v>
      </c>
      <c r="C175">
        <v>1</v>
      </c>
      <c r="D175" s="4">
        <v>0</v>
      </c>
      <c r="E175" s="4">
        <v>0</v>
      </c>
      <c r="F175" s="4">
        <v>1</v>
      </c>
      <c r="G175">
        <v>10925</v>
      </c>
      <c r="H175">
        <v>1</v>
      </c>
      <c r="I175">
        <v>1</v>
      </c>
      <c r="J175">
        <v>1</v>
      </c>
      <c r="K175" t="s">
        <v>125</v>
      </c>
    </row>
    <row r="176" spans="1:11">
      <c r="A176">
        <v>10926</v>
      </c>
      <c r="B176">
        <v>1</v>
      </c>
      <c r="C176">
        <v>1</v>
      </c>
      <c r="D176" s="4">
        <v>0</v>
      </c>
      <c r="E176" s="4">
        <v>0</v>
      </c>
      <c r="F176" s="4">
        <v>1</v>
      </c>
      <c r="G176">
        <v>10926</v>
      </c>
      <c r="H176">
        <v>1</v>
      </c>
      <c r="I176">
        <v>1</v>
      </c>
      <c r="J176">
        <v>1</v>
      </c>
      <c r="K176" t="s">
        <v>126</v>
      </c>
    </row>
    <row r="177" spans="1:11">
      <c r="A177">
        <v>10927</v>
      </c>
      <c r="B177">
        <v>1</v>
      </c>
      <c r="C177">
        <v>1</v>
      </c>
      <c r="D177" s="4">
        <v>0</v>
      </c>
      <c r="E177" s="4">
        <v>0</v>
      </c>
      <c r="F177" s="4">
        <v>1</v>
      </c>
      <c r="G177">
        <v>10927</v>
      </c>
      <c r="H177">
        <v>1</v>
      </c>
      <c r="I177">
        <v>1</v>
      </c>
      <c r="J177">
        <v>1</v>
      </c>
      <c r="K177" t="s">
        <v>127</v>
      </c>
    </row>
    <row r="178" spans="1:11">
      <c r="A178">
        <v>10928</v>
      </c>
      <c r="B178">
        <v>1</v>
      </c>
      <c r="C178">
        <v>1</v>
      </c>
      <c r="D178" s="4">
        <v>0</v>
      </c>
      <c r="E178" s="4">
        <v>0</v>
      </c>
      <c r="F178" s="4">
        <v>1</v>
      </c>
      <c r="G178">
        <v>10928</v>
      </c>
      <c r="H178">
        <v>1</v>
      </c>
      <c r="I178">
        <v>1</v>
      </c>
      <c r="J178">
        <v>1</v>
      </c>
      <c r="K178" t="s">
        <v>128</v>
      </c>
    </row>
    <row r="179" spans="1:11">
      <c r="A179">
        <v>10929</v>
      </c>
      <c r="B179">
        <v>1</v>
      </c>
      <c r="C179">
        <v>1</v>
      </c>
      <c r="D179" s="4">
        <v>0</v>
      </c>
      <c r="E179" s="4">
        <v>0</v>
      </c>
      <c r="F179" s="4">
        <v>1</v>
      </c>
      <c r="G179">
        <v>10929</v>
      </c>
      <c r="H179">
        <v>1</v>
      </c>
      <c r="I179">
        <v>1</v>
      </c>
      <c r="J179">
        <v>1</v>
      </c>
      <c r="K179" t="s">
        <v>129</v>
      </c>
    </row>
    <row r="180" spans="1:11">
      <c r="A180">
        <v>21001</v>
      </c>
      <c r="B180">
        <v>1</v>
      </c>
      <c r="C180">
        <v>1</v>
      </c>
      <c r="D180" s="4">
        <v>0</v>
      </c>
      <c r="E180" s="4">
        <v>1</v>
      </c>
      <c r="F180" s="4">
        <v>1</v>
      </c>
      <c r="G180">
        <v>21001</v>
      </c>
      <c r="H180">
        <v>1</v>
      </c>
      <c r="I180">
        <v>1</v>
      </c>
      <c r="J180">
        <v>1</v>
      </c>
      <c r="K180" s="4" t="s">
        <v>727</v>
      </c>
    </row>
    <row r="181" spans="1:11" s="4" customFormat="1">
      <c r="A181" s="4">
        <v>21002</v>
      </c>
      <c r="B181" s="4">
        <v>1</v>
      </c>
      <c r="C181" s="4">
        <v>1</v>
      </c>
      <c r="D181" s="4">
        <v>0</v>
      </c>
      <c r="E181" s="4">
        <v>1</v>
      </c>
      <c r="F181" s="4">
        <v>1</v>
      </c>
      <c r="G181" s="4">
        <v>21002</v>
      </c>
      <c r="H181" s="4">
        <v>1</v>
      </c>
      <c r="I181" s="4">
        <v>1</v>
      </c>
      <c r="J181" s="4">
        <v>1</v>
      </c>
      <c r="K181" s="4" t="s">
        <v>728</v>
      </c>
    </row>
    <row r="182" spans="1:11" s="4" customFormat="1">
      <c r="A182" s="4">
        <v>21003</v>
      </c>
      <c r="B182" s="4">
        <v>1</v>
      </c>
      <c r="C182" s="4">
        <v>1</v>
      </c>
      <c r="D182" s="4">
        <v>0</v>
      </c>
      <c r="E182" s="4">
        <v>1</v>
      </c>
      <c r="F182" s="4">
        <v>1</v>
      </c>
      <c r="G182" s="4">
        <v>21003</v>
      </c>
      <c r="H182" s="4">
        <v>1</v>
      </c>
      <c r="I182" s="4">
        <v>1</v>
      </c>
      <c r="J182" s="4">
        <v>1</v>
      </c>
      <c r="K182" s="4" t="s">
        <v>729</v>
      </c>
    </row>
    <row r="183" spans="1:11">
      <c r="A183">
        <v>31031</v>
      </c>
      <c r="B183">
        <v>1</v>
      </c>
      <c r="C183">
        <v>1</v>
      </c>
      <c r="D183" s="4">
        <v>0</v>
      </c>
      <c r="E183" s="4">
        <v>0</v>
      </c>
      <c r="F183" s="4">
        <v>1</v>
      </c>
      <c r="G183">
        <v>31031</v>
      </c>
      <c r="H183">
        <v>1</v>
      </c>
      <c r="I183">
        <v>1</v>
      </c>
      <c r="J183">
        <v>1</v>
      </c>
      <c r="K183" t="s">
        <v>408</v>
      </c>
    </row>
    <row r="184" spans="1:11">
      <c r="A184">
        <v>31032</v>
      </c>
      <c r="B184">
        <v>1</v>
      </c>
      <c r="C184">
        <v>1</v>
      </c>
      <c r="D184" s="4">
        <v>0</v>
      </c>
      <c r="E184" s="4">
        <v>0</v>
      </c>
      <c r="F184" s="4">
        <v>1</v>
      </c>
      <c r="G184">
        <v>31032</v>
      </c>
      <c r="H184">
        <v>1</v>
      </c>
      <c r="I184">
        <v>1</v>
      </c>
      <c r="J184">
        <v>1</v>
      </c>
      <c r="K184" t="s">
        <v>409</v>
      </c>
    </row>
    <row r="185" spans="1:11">
      <c r="A185">
        <v>31033</v>
      </c>
      <c r="B185">
        <v>1</v>
      </c>
      <c r="C185">
        <v>1</v>
      </c>
      <c r="D185" s="4">
        <v>0</v>
      </c>
      <c r="E185" s="4">
        <v>0</v>
      </c>
      <c r="F185" s="4">
        <v>1</v>
      </c>
      <c r="G185">
        <v>31033</v>
      </c>
      <c r="H185">
        <v>1</v>
      </c>
      <c r="I185">
        <v>1</v>
      </c>
      <c r="J185">
        <v>1</v>
      </c>
      <c r="K185" t="s">
        <v>410</v>
      </c>
    </row>
    <row r="186" spans="1:11">
      <c r="A186">
        <v>3103400</v>
      </c>
      <c r="B186">
        <v>1</v>
      </c>
      <c r="C186">
        <v>1</v>
      </c>
      <c r="D186" s="4">
        <v>0</v>
      </c>
      <c r="E186" s="4">
        <v>0</v>
      </c>
      <c r="F186" s="4">
        <v>1</v>
      </c>
      <c r="G186">
        <v>31034</v>
      </c>
      <c r="H186">
        <v>1</v>
      </c>
      <c r="I186">
        <v>1</v>
      </c>
      <c r="J186">
        <v>1</v>
      </c>
      <c r="K186" t="s">
        <v>411</v>
      </c>
    </row>
    <row r="187" spans="1:11" s="4" customFormat="1">
      <c r="A187" s="4">
        <v>3103401</v>
      </c>
      <c r="B187" s="4">
        <v>1</v>
      </c>
      <c r="C187" s="4">
        <v>1</v>
      </c>
      <c r="D187" s="4">
        <v>0</v>
      </c>
      <c r="E187" s="4">
        <v>1</v>
      </c>
      <c r="F187" s="4">
        <v>1</v>
      </c>
      <c r="G187" s="4">
        <v>31034</v>
      </c>
      <c r="H187" s="4">
        <v>1</v>
      </c>
      <c r="I187" s="4">
        <v>1</v>
      </c>
      <c r="J187" s="4">
        <v>1</v>
      </c>
      <c r="K187" s="4" t="s">
        <v>411</v>
      </c>
    </row>
    <row r="188" spans="1:11">
      <c r="A188">
        <v>3103500</v>
      </c>
      <c r="B188">
        <v>1</v>
      </c>
      <c r="C188">
        <v>1</v>
      </c>
      <c r="D188" s="4">
        <v>0</v>
      </c>
      <c r="E188" s="4">
        <v>0</v>
      </c>
      <c r="F188" s="4">
        <v>1</v>
      </c>
      <c r="G188">
        <v>31035</v>
      </c>
      <c r="H188">
        <v>1</v>
      </c>
      <c r="I188">
        <v>1</v>
      </c>
      <c r="J188">
        <v>1</v>
      </c>
      <c r="K188" t="s">
        <v>412</v>
      </c>
    </row>
    <row r="189" spans="1:11" s="4" customFormat="1">
      <c r="A189" s="4">
        <v>3103501</v>
      </c>
      <c r="B189" s="4">
        <v>1</v>
      </c>
      <c r="C189" s="4">
        <v>1</v>
      </c>
      <c r="D189" s="4">
        <v>0</v>
      </c>
      <c r="E189" s="4">
        <v>1</v>
      </c>
      <c r="F189" s="4">
        <v>1</v>
      </c>
      <c r="G189" s="4">
        <v>31035</v>
      </c>
      <c r="H189" s="4">
        <v>1</v>
      </c>
      <c r="I189" s="4">
        <v>1</v>
      </c>
      <c r="J189" s="4">
        <v>1</v>
      </c>
      <c r="K189" s="4" t="s">
        <v>412</v>
      </c>
    </row>
    <row r="190" spans="1:11">
      <c r="A190">
        <v>3103600</v>
      </c>
      <c r="B190">
        <v>1</v>
      </c>
      <c r="C190">
        <v>1</v>
      </c>
      <c r="D190" s="4">
        <v>0</v>
      </c>
      <c r="E190" s="4">
        <v>0</v>
      </c>
      <c r="F190" s="4">
        <v>1</v>
      </c>
      <c r="G190">
        <v>31036</v>
      </c>
      <c r="H190">
        <v>1</v>
      </c>
      <c r="I190">
        <v>1</v>
      </c>
      <c r="J190">
        <v>1</v>
      </c>
      <c r="K190" t="s">
        <v>413</v>
      </c>
    </row>
    <row r="191" spans="1:11" s="4" customFormat="1">
      <c r="A191" s="4">
        <v>3103601</v>
      </c>
      <c r="B191" s="4">
        <v>1</v>
      </c>
      <c r="C191" s="4">
        <v>1</v>
      </c>
      <c r="D191" s="4">
        <v>0</v>
      </c>
      <c r="E191" s="4">
        <v>1</v>
      </c>
      <c r="F191" s="4">
        <v>1</v>
      </c>
      <c r="G191" s="4">
        <v>31036</v>
      </c>
      <c r="H191" s="4">
        <v>1</v>
      </c>
      <c r="I191" s="4">
        <v>1</v>
      </c>
      <c r="J191" s="4">
        <v>1</v>
      </c>
      <c r="K191" s="4" t="s">
        <v>413</v>
      </c>
    </row>
    <row r="192" spans="1:11">
      <c r="A192">
        <v>3103700</v>
      </c>
      <c r="B192">
        <v>1</v>
      </c>
      <c r="C192">
        <v>1</v>
      </c>
      <c r="D192" s="4">
        <v>0</v>
      </c>
      <c r="E192" s="4">
        <v>0</v>
      </c>
      <c r="F192" s="4">
        <v>1</v>
      </c>
      <c r="G192">
        <v>31037</v>
      </c>
      <c r="H192">
        <v>1</v>
      </c>
      <c r="I192">
        <v>1</v>
      </c>
      <c r="J192">
        <v>1</v>
      </c>
      <c r="K192" t="s">
        <v>414</v>
      </c>
    </row>
    <row r="193" spans="1:11" s="4" customFormat="1">
      <c r="A193" s="4">
        <v>3103701</v>
      </c>
      <c r="B193" s="4">
        <v>1</v>
      </c>
      <c r="C193" s="4">
        <v>1</v>
      </c>
      <c r="D193" s="4">
        <v>0</v>
      </c>
      <c r="E193" s="4">
        <v>1</v>
      </c>
      <c r="F193" s="4">
        <v>1</v>
      </c>
      <c r="G193" s="4">
        <v>31037</v>
      </c>
      <c r="H193" s="4">
        <v>1</v>
      </c>
      <c r="I193" s="4">
        <v>1</v>
      </c>
      <c r="J193" s="4">
        <v>1</v>
      </c>
      <c r="K193" s="4" t="s">
        <v>414</v>
      </c>
    </row>
    <row r="194" spans="1:11">
      <c r="A194">
        <v>3103800</v>
      </c>
      <c r="B194">
        <v>1</v>
      </c>
      <c r="C194">
        <v>1</v>
      </c>
      <c r="D194" s="4">
        <v>0</v>
      </c>
      <c r="E194" s="4">
        <v>0</v>
      </c>
      <c r="F194" s="4">
        <v>1</v>
      </c>
      <c r="G194">
        <v>31038</v>
      </c>
      <c r="H194">
        <v>1</v>
      </c>
      <c r="I194">
        <v>1</v>
      </c>
      <c r="J194">
        <v>1</v>
      </c>
      <c r="K194" t="s">
        <v>415</v>
      </c>
    </row>
    <row r="195" spans="1:11" s="4" customFormat="1">
      <c r="A195" s="4">
        <v>3103801</v>
      </c>
      <c r="B195" s="4">
        <v>1</v>
      </c>
      <c r="C195" s="4">
        <v>1</v>
      </c>
      <c r="D195" s="4">
        <v>0</v>
      </c>
      <c r="E195" s="4">
        <v>1</v>
      </c>
      <c r="F195" s="4">
        <v>1</v>
      </c>
      <c r="G195" s="4">
        <v>31038</v>
      </c>
      <c r="H195" s="4">
        <v>1</v>
      </c>
      <c r="I195" s="4">
        <v>1</v>
      </c>
      <c r="J195" s="4">
        <v>1</v>
      </c>
      <c r="K195" s="4" t="s">
        <v>415</v>
      </c>
    </row>
    <row r="196" spans="1:11">
      <c r="A196">
        <v>32531</v>
      </c>
      <c r="B196">
        <v>1</v>
      </c>
      <c r="C196">
        <v>1</v>
      </c>
      <c r="D196" s="4">
        <v>0</v>
      </c>
      <c r="E196" s="4">
        <v>0</v>
      </c>
      <c r="F196" s="4">
        <v>1</v>
      </c>
      <c r="G196">
        <v>32531</v>
      </c>
      <c r="H196">
        <v>1</v>
      </c>
      <c r="I196">
        <v>1</v>
      </c>
      <c r="J196">
        <v>1</v>
      </c>
      <c r="K196" t="s">
        <v>416</v>
      </c>
    </row>
    <row r="197" spans="1:11">
      <c r="A197">
        <v>32532</v>
      </c>
      <c r="B197">
        <v>1</v>
      </c>
      <c r="C197">
        <v>1</v>
      </c>
      <c r="D197" s="4">
        <v>0</v>
      </c>
      <c r="E197" s="4">
        <v>0</v>
      </c>
      <c r="F197" s="4">
        <v>1</v>
      </c>
      <c r="G197">
        <v>32532</v>
      </c>
      <c r="H197">
        <v>1</v>
      </c>
      <c r="I197">
        <v>1</v>
      </c>
      <c r="J197">
        <v>1</v>
      </c>
      <c r="K197" t="s">
        <v>417</v>
      </c>
    </row>
    <row r="198" spans="1:11">
      <c r="A198">
        <v>32541</v>
      </c>
      <c r="B198">
        <v>1</v>
      </c>
      <c r="C198">
        <v>1</v>
      </c>
      <c r="D198" s="4">
        <v>0</v>
      </c>
      <c r="E198" s="4">
        <v>0</v>
      </c>
      <c r="F198" s="4">
        <v>1</v>
      </c>
      <c r="G198">
        <v>32541</v>
      </c>
      <c r="H198">
        <v>1</v>
      </c>
      <c r="I198">
        <v>1</v>
      </c>
      <c r="J198">
        <v>1</v>
      </c>
      <c r="K198" t="s">
        <v>418</v>
      </c>
    </row>
    <row r="199" spans="1:11">
      <c r="A199">
        <v>32544</v>
      </c>
      <c r="B199">
        <v>1</v>
      </c>
      <c r="C199">
        <v>1</v>
      </c>
      <c r="D199" s="4">
        <v>0</v>
      </c>
      <c r="E199" s="4">
        <v>0</v>
      </c>
      <c r="F199" s="4">
        <v>1</v>
      </c>
      <c r="G199">
        <v>32544</v>
      </c>
      <c r="H199">
        <v>1</v>
      </c>
      <c r="I199">
        <v>1</v>
      </c>
      <c r="J199">
        <v>1</v>
      </c>
      <c r="K199" t="s">
        <v>419</v>
      </c>
    </row>
    <row r="200" spans="1:11">
      <c r="A200">
        <v>32533</v>
      </c>
      <c r="B200">
        <v>1</v>
      </c>
      <c r="C200">
        <v>1</v>
      </c>
      <c r="D200" s="4">
        <v>0</v>
      </c>
      <c r="E200" s="4">
        <v>0</v>
      </c>
      <c r="F200" s="4">
        <v>1</v>
      </c>
      <c r="G200">
        <v>32533</v>
      </c>
      <c r="H200">
        <v>1</v>
      </c>
      <c r="I200">
        <v>1</v>
      </c>
      <c r="J200">
        <v>1</v>
      </c>
      <c r="K200" t="s">
        <v>420</v>
      </c>
    </row>
    <row r="201" spans="1:11">
      <c r="A201">
        <v>32538</v>
      </c>
      <c r="B201">
        <v>1</v>
      </c>
      <c r="C201">
        <v>1</v>
      </c>
      <c r="D201" s="4">
        <v>0</v>
      </c>
      <c r="E201" s="4">
        <v>0</v>
      </c>
      <c r="F201" s="4">
        <v>1</v>
      </c>
      <c r="G201">
        <v>32538</v>
      </c>
      <c r="H201">
        <v>1</v>
      </c>
      <c r="I201">
        <v>1</v>
      </c>
      <c r="J201">
        <v>1</v>
      </c>
      <c r="K201" t="s">
        <v>421</v>
      </c>
    </row>
    <row r="202" spans="1:11">
      <c r="A202">
        <v>32545</v>
      </c>
      <c r="B202">
        <v>1</v>
      </c>
      <c r="C202">
        <v>1</v>
      </c>
      <c r="D202" s="4">
        <v>0</v>
      </c>
      <c r="E202" s="4">
        <v>0</v>
      </c>
      <c r="F202" s="4">
        <v>1</v>
      </c>
      <c r="G202">
        <v>32545</v>
      </c>
      <c r="H202">
        <v>1</v>
      </c>
      <c r="I202">
        <v>1</v>
      </c>
      <c r="J202">
        <v>1</v>
      </c>
      <c r="K202" t="s">
        <v>422</v>
      </c>
    </row>
    <row r="203" spans="1:11">
      <c r="A203">
        <v>32534</v>
      </c>
      <c r="B203">
        <v>1</v>
      </c>
      <c r="C203">
        <v>1</v>
      </c>
      <c r="D203" s="4">
        <v>0</v>
      </c>
      <c r="E203" s="4">
        <v>0</v>
      </c>
      <c r="F203" s="4">
        <v>1</v>
      </c>
      <c r="G203">
        <v>32534</v>
      </c>
      <c r="H203">
        <v>1</v>
      </c>
      <c r="I203">
        <v>1</v>
      </c>
      <c r="J203">
        <v>1</v>
      </c>
      <c r="K203" t="s">
        <v>423</v>
      </c>
    </row>
    <row r="204" spans="1:11">
      <c r="A204">
        <v>32536</v>
      </c>
      <c r="B204">
        <v>1</v>
      </c>
      <c r="C204">
        <v>1</v>
      </c>
      <c r="D204" s="4">
        <v>0</v>
      </c>
      <c r="E204" s="4">
        <v>0</v>
      </c>
      <c r="F204" s="4">
        <v>1</v>
      </c>
      <c r="G204">
        <v>32536</v>
      </c>
      <c r="H204">
        <v>1</v>
      </c>
      <c r="I204">
        <v>1</v>
      </c>
      <c r="J204">
        <v>1</v>
      </c>
      <c r="K204" t="s">
        <v>424</v>
      </c>
    </row>
    <row r="205" spans="1:11">
      <c r="A205">
        <v>3254600</v>
      </c>
      <c r="B205">
        <v>1</v>
      </c>
      <c r="C205">
        <v>1</v>
      </c>
      <c r="D205" s="4">
        <v>0</v>
      </c>
      <c r="E205" s="4">
        <v>0</v>
      </c>
      <c r="F205" s="4">
        <v>1</v>
      </c>
      <c r="G205">
        <v>32546</v>
      </c>
      <c r="H205">
        <v>1</v>
      </c>
      <c r="I205">
        <v>1</v>
      </c>
      <c r="J205">
        <v>1</v>
      </c>
      <c r="K205" t="s">
        <v>425</v>
      </c>
    </row>
    <row r="206" spans="1:11" s="4" customFormat="1">
      <c r="A206" s="4">
        <v>3254601</v>
      </c>
      <c r="B206" s="4">
        <v>1</v>
      </c>
      <c r="C206" s="4">
        <v>1</v>
      </c>
      <c r="D206" s="4">
        <v>0</v>
      </c>
      <c r="E206" s="4">
        <v>1</v>
      </c>
      <c r="F206" s="4">
        <v>1</v>
      </c>
      <c r="G206" s="4">
        <v>32546</v>
      </c>
      <c r="H206" s="4">
        <v>1</v>
      </c>
      <c r="I206" s="4">
        <v>1</v>
      </c>
      <c r="J206" s="4">
        <v>1</v>
      </c>
      <c r="K206" s="4" t="s">
        <v>425</v>
      </c>
    </row>
    <row r="207" spans="1:11">
      <c r="A207">
        <v>3253500</v>
      </c>
      <c r="B207">
        <v>1</v>
      </c>
      <c r="C207">
        <v>1</v>
      </c>
      <c r="D207" s="4">
        <v>0</v>
      </c>
      <c r="E207" s="4">
        <v>0</v>
      </c>
      <c r="F207" s="4">
        <v>1</v>
      </c>
      <c r="G207">
        <v>32535</v>
      </c>
      <c r="H207">
        <v>1</v>
      </c>
      <c r="I207">
        <v>1</v>
      </c>
      <c r="J207">
        <v>1</v>
      </c>
      <c r="K207" t="s">
        <v>426</v>
      </c>
    </row>
    <row r="208" spans="1:11" s="4" customFormat="1">
      <c r="A208" s="4">
        <v>3253501</v>
      </c>
      <c r="B208" s="4">
        <v>1</v>
      </c>
      <c r="C208" s="4">
        <v>1</v>
      </c>
      <c r="D208" s="4">
        <v>0</v>
      </c>
      <c r="E208" s="4">
        <v>1</v>
      </c>
      <c r="F208" s="4">
        <v>1</v>
      </c>
      <c r="G208" s="4">
        <v>32535</v>
      </c>
      <c r="H208" s="4">
        <v>1</v>
      </c>
      <c r="I208" s="4">
        <v>1</v>
      </c>
      <c r="J208" s="4">
        <v>1</v>
      </c>
      <c r="K208" s="4" t="s">
        <v>426</v>
      </c>
    </row>
    <row r="209" spans="1:11">
      <c r="A209">
        <v>3254700</v>
      </c>
      <c r="B209">
        <v>1</v>
      </c>
      <c r="C209">
        <v>1</v>
      </c>
      <c r="D209" s="4">
        <v>0</v>
      </c>
      <c r="E209" s="4">
        <v>0</v>
      </c>
      <c r="F209" s="4">
        <v>1</v>
      </c>
      <c r="G209">
        <v>32547</v>
      </c>
      <c r="H209">
        <v>1</v>
      </c>
      <c r="I209">
        <v>1</v>
      </c>
      <c r="J209">
        <v>1</v>
      </c>
      <c r="K209" t="s">
        <v>427</v>
      </c>
    </row>
    <row r="210" spans="1:11" s="4" customFormat="1">
      <c r="A210" s="4">
        <v>3254701</v>
      </c>
      <c r="B210" s="4">
        <v>1</v>
      </c>
      <c r="C210" s="4">
        <v>1</v>
      </c>
      <c r="D210" s="4">
        <v>0</v>
      </c>
      <c r="E210" s="4">
        <v>1</v>
      </c>
      <c r="F210" s="4">
        <v>1</v>
      </c>
      <c r="G210" s="4">
        <v>32547</v>
      </c>
      <c r="H210" s="4">
        <v>1</v>
      </c>
      <c r="I210" s="4">
        <v>1</v>
      </c>
      <c r="J210" s="4">
        <v>1</v>
      </c>
      <c r="K210" s="4" t="s">
        <v>427</v>
      </c>
    </row>
    <row r="211" spans="1:11">
      <c r="A211">
        <v>3253700</v>
      </c>
      <c r="B211">
        <v>1</v>
      </c>
      <c r="C211">
        <v>1</v>
      </c>
      <c r="D211" s="4">
        <v>0</v>
      </c>
      <c r="E211" s="4">
        <v>0</v>
      </c>
      <c r="F211" s="4">
        <v>1</v>
      </c>
      <c r="G211">
        <v>32537</v>
      </c>
      <c r="H211">
        <v>1</v>
      </c>
      <c r="I211">
        <v>1</v>
      </c>
      <c r="J211">
        <v>1</v>
      </c>
      <c r="K211" t="s">
        <v>428</v>
      </c>
    </row>
    <row r="212" spans="1:11" s="4" customFormat="1">
      <c r="A212" s="4">
        <v>3253701</v>
      </c>
      <c r="B212" s="4">
        <v>1</v>
      </c>
      <c r="C212" s="4">
        <v>1</v>
      </c>
      <c r="D212" s="4">
        <v>0</v>
      </c>
      <c r="E212" s="4">
        <v>1</v>
      </c>
      <c r="F212" s="4">
        <v>1</v>
      </c>
      <c r="G212" s="4">
        <v>32537</v>
      </c>
      <c r="H212" s="4">
        <v>1</v>
      </c>
      <c r="I212" s="4">
        <v>1</v>
      </c>
      <c r="J212" s="4">
        <v>1</v>
      </c>
      <c r="K212" s="4" t="s">
        <v>428</v>
      </c>
    </row>
    <row r="213" spans="1:11">
      <c r="A213">
        <v>3255000</v>
      </c>
      <c r="B213">
        <v>1</v>
      </c>
      <c r="C213">
        <v>1</v>
      </c>
      <c r="D213" s="4">
        <v>0</v>
      </c>
      <c r="E213" s="4">
        <v>0</v>
      </c>
      <c r="F213" s="4">
        <v>1</v>
      </c>
      <c r="G213">
        <v>32550</v>
      </c>
      <c r="H213">
        <v>1</v>
      </c>
      <c r="I213">
        <v>1</v>
      </c>
      <c r="J213">
        <v>1</v>
      </c>
      <c r="K213" t="s">
        <v>429</v>
      </c>
    </row>
    <row r="214" spans="1:11" s="4" customFormat="1">
      <c r="A214" s="4">
        <v>3255001</v>
      </c>
      <c r="B214" s="4">
        <v>1</v>
      </c>
      <c r="C214" s="4">
        <v>1</v>
      </c>
      <c r="D214" s="4">
        <v>0</v>
      </c>
      <c r="E214" s="4">
        <v>1</v>
      </c>
      <c r="F214" s="4">
        <v>1</v>
      </c>
      <c r="G214" s="4">
        <v>32550</v>
      </c>
      <c r="H214" s="4">
        <v>1</v>
      </c>
      <c r="I214" s="4">
        <v>1</v>
      </c>
      <c r="J214" s="4">
        <v>1</v>
      </c>
      <c r="K214" s="4" t="s">
        <v>429</v>
      </c>
    </row>
    <row r="215" spans="1:11">
      <c r="A215">
        <v>32549</v>
      </c>
      <c r="B215">
        <v>1</v>
      </c>
      <c r="C215">
        <v>1</v>
      </c>
      <c r="D215" s="4">
        <v>0</v>
      </c>
      <c r="E215" s="4">
        <v>0</v>
      </c>
      <c r="F215" s="4">
        <v>1</v>
      </c>
      <c r="G215">
        <v>32549</v>
      </c>
      <c r="H215">
        <v>1</v>
      </c>
      <c r="I215">
        <v>1</v>
      </c>
      <c r="J215">
        <v>1</v>
      </c>
      <c r="K215" t="s">
        <v>430</v>
      </c>
    </row>
    <row r="216" spans="1:11">
      <c r="A216">
        <v>3253900</v>
      </c>
      <c r="B216">
        <v>1</v>
      </c>
      <c r="C216">
        <v>1</v>
      </c>
      <c r="D216" s="4">
        <v>0</v>
      </c>
      <c r="E216" s="4">
        <v>0</v>
      </c>
      <c r="F216" s="4">
        <v>1</v>
      </c>
      <c r="G216">
        <v>32539</v>
      </c>
      <c r="H216">
        <v>1</v>
      </c>
      <c r="I216">
        <v>1</v>
      </c>
      <c r="J216">
        <v>1</v>
      </c>
      <c r="K216" t="s">
        <v>431</v>
      </c>
    </row>
    <row r="217" spans="1:11" s="4" customFormat="1">
      <c r="A217" s="4">
        <v>3253901</v>
      </c>
      <c r="B217" s="4">
        <v>1</v>
      </c>
      <c r="C217" s="4">
        <v>1</v>
      </c>
      <c r="D217" s="4">
        <v>0</v>
      </c>
      <c r="E217" s="4">
        <v>1</v>
      </c>
      <c r="F217" s="4">
        <v>1</v>
      </c>
      <c r="G217" s="4">
        <v>32539</v>
      </c>
      <c r="H217" s="4">
        <v>1</v>
      </c>
      <c r="I217" s="4">
        <v>1</v>
      </c>
      <c r="J217" s="4">
        <v>1</v>
      </c>
      <c r="K217" s="4" t="s">
        <v>431</v>
      </c>
    </row>
    <row r="218" spans="1:11">
      <c r="A218">
        <v>3254000</v>
      </c>
      <c r="B218">
        <v>1</v>
      </c>
      <c r="C218">
        <v>1</v>
      </c>
      <c r="D218" s="4">
        <v>0</v>
      </c>
      <c r="E218" s="4">
        <v>0</v>
      </c>
      <c r="F218" s="4">
        <v>1</v>
      </c>
      <c r="G218">
        <v>32540</v>
      </c>
      <c r="H218">
        <v>1</v>
      </c>
      <c r="I218">
        <v>1</v>
      </c>
      <c r="J218">
        <v>1</v>
      </c>
      <c r="K218" t="s">
        <v>432</v>
      </c>
    </row>
    <row r="219" spans="1:11" s="4" customFormat="1">
      <c r="A219" s="4">
        <v>3254001</v>
      </c>
      <c r="B219" s="4">
        <v>1</v>
      </c>
      <c r="C219" s="4">
        <v>1</v>
      </c>
      <c r="D219" s="4">
        <v>0</v>
      </c>
      <c r="E219" s="4">
        <v>1</v>
      </c>
      <c r="F219" s="4">
        <v>1</v>
      </c>
      <c r="G219" s="4">
        <v>32540</v>
      </c>
      <c r="H219" s="4">
        <v>1</v>
      </c>
      <c r="I219" s="4">
        <v>1</v>
      </c>
      <c r="J219" s="4">
        <v>1</v>
      </c>
      <c r="K219" s="4" t="s">
        <v>432</v>
      </c>
    </row>
    <row r="220" spans="1:11">
      <c r="A220">
        <v>33002</v>
      </c>
      <c r="B220">
        <v>1</v>
      </c>
      <c r="C220">
        <v>1</v>
      </c>
      <c r="D220" s="4">
        <v>0</v>
      </c>
      <c r="E220" s="4">
        <v>0</v>
      </c>
      <c r="F220" s="4">
        <v>1</v>
      </c>
      <c r="G220">
        <v>33002</v>
      </c>
      <c r="H220">
        <v>1</v>
      </c>
      <c r="I220">
        <v>1</v>
      </c>
      <c r="J220">
        <v>1</v>
      </c>
      <c r="K220" t="s">
        <v>433</v>
      </c>
    </row>
    <row r="221" spans="1:11">
      <c r="A221">
        <v>33001</v>
      </c>
      <c r="B221">
        <v>1</v>
      </c>
      <c r="C221">
        <v>1</v>
      </c>
      <c r="D221" s="4">
        <v>0</v>
      </c>
      <c r="E221" s="4">
        <v>0</v>
      </c>
      <c r="F221" s="4">
        <v>1</v>
      </c>
      <c r="G221">
        <v>33001</v>
      </c>
      <c r="H221">
        <v>1</v>
      </c>
      <c r="I221">
        <v>1</v>
      </c>
      <c r="J221">
        <v>1</v>
      </c>
      <c r="K221" t="s">
        <v>434</v>
      </c>
    </row>
    <row r="222" spans="1:11">
      <c r="A222">
        <v>33004</v>
      </c>
      <c r="B222">
        <v>1</v>
      </c>
      <c r="C222">
        <v>1</v>
      </c>
      <c r="D222" s="4">
        <v>0</v>
      </c>
      <c r="E222" s="4">
        <v>0</v>
      </c>
      <c r="F222" s="4">
        <v>1</v>
      </c>
      <c r="G222">
        <v>33004</v>
      </c>
      <c r="H222">
        <v>1</v>
      </c>
      <c r="I222">
        <v>1</v>
      </c>
      <c r="J222">
        <v>1</v>
      </c>
      <c r="K222" t="s">
        <v>435</v>
      </c>
    </row>
    <row r="223" spans="1:11">
      <c r="A223">
        <v>33005</v>
      </c>
      <c r="B223">
        <v>1</v>
      </c>
      <c r="C223">
        <v>1</v>
      </c>
      <c r="D223" s="4">
        <v>0</v>
      </c>
      <c r="E223" s="4">
        <v>0</v>
      </c>
      <c r="F223" s="4">
        <v>1</v>
      </c>
      <c r="G223">
        <v>33005</v>
      </c>
      <c r="H223">
        <v>1</v>
      </c>
      <c r="I223">
        <v>1</v>
      </c>
      <c r="J223">
        <v>1</v>
      </c>
      <c r="K223" t="s">
        <v>436</v>
      </c>
    </row>
    <row r="224" spans="1:11">
      <c r="A224">
        <v>33003</v>
      </c>
      <c r="B224">
        <v>1</v>
      </c>
      <c r="C224">
        <v>1</v>
      </c>
      <c r="D224" s="4">
        <v>0</v>
      </c>
      <c r="E224" s="4">
        <v>0</v>
      </c>
      <c r="F224" s="4">
        <v>1</v>
      </c>
      <c r="G224">
        <v>33003</v>
      </c>
      <c r="H224">
        <v>1</v>
      </c>
      <c r="I224">
        <v>1</v>
      </c>
      <c r="J224">
        <v>1</v>
      </c>
      <c r="K224" t="s">
        <v>2953</v>
      </c>
    </row>
    <row r="225" spans="1:11">
      <c r="A225">
        <v>33009</v>
      </c>
      <c r="B225">
        <v>1</v>
      </c>
      <c r="C225">
        <v>1</v>
      </c>
      <c r="D225" s="4">
        <v>0</v>
      </c>
      <c r="E225" s="4">
        <v>0</v>
      </c>
      <c r="F225" s="4">
        <v>1</v>
      </c>
      <c r="G225">
        <v>33009</v>
      </c>
      <c r="H225">
        <v>1</v>
      </c>
      <c r="I225">
        <v>1</v>
      </c>
      <c r="J225">
        <v>1</v>
      </c>
      <c r="K225" t="s">
        <v>437</v>
      </c>
    </row>
    <row r="226" spans="1:11">
      <c r="A226">
        <v>33014</v>
      </c>
      <c r="B226">
        <v>1</v>
      </c>
      <c r="C226">
        <v>1</v>
      </c>
      <c r="D226" s="4">
        <v>0</v>
      </c>
      <c r="E226" s="4">
        <v>0</v>
      </c>
      <c r="F226" s="4">
        <v>1</v>
      </c>
      <c r="G226">
        <v>33014</v>
      </c>
      <c r="H226">
        <v>1</v>
      </c>
      <c r="I226">
        <v>1</v>
      </c>
      <c r="J226">
        <v>1</v>
      </c>
      <c r="K226" t="s">
        <v>438</v>
      </c>
    </row>
    <row r="227" spans="1:11">
      <c r="A227">
        <v>33006</v>
      </c>
      <c r="B227">
        <v>1</v>
      </c>
      <c r="C227">
        <v>1</v>
      </c>
      <c r="D227" s="4">
        <v>0</v>
      </c>
      <c r="E227" s="4">
        <v>0</v>
      </c>
      <c r="F227" s="4">
        <v>1</v>
      </c>
      <c r="G227">
        <v>33006</v>
      </c>
      <c r="H227">
        <v>1</v>
      </c>
      <c r="I227">
        <v>1</v>
      </c>
      <c r="J227">
        <v>1</v>
      </c>
      <c r="K227" t="s">
        <v>439</v>
      </c>
    </row>
    <row r="228" spans="1:11">
      <c r="A228">
        <v>33007</v>
      </c>
      <c r="B228">
        <v>1</v>
      </c>
      <c r="C228">
        <v>1</v>
      </c>
      <c r="D228" s="4">
        <v>0</v>
      </c>
      <c r="E228" s="4">
        <v>0</v>
      </c>
      <c r="F228" s="4">
        <v>1</v>
      </c>
      <c r="G228">
        <v>33007</v>
      </c>
      <c r="H228">
        <v>1</v>
      </c>
      <c r="I228">
        <v>1</v>
      </c>
      <c r="J228">
        <v>1</v>
      </c>
      <c r="K228" t="s">
        <v>440</v>
      </c>
    </row>
    <row r="229" spans="1:11">
      <c r="A229">
        <v>3301100</v>
      </c>
      <c r="B229">
        <v>1</v>
      </c>
      <c r="C229">
        <v>1</v>
      </c>
      <c r="D229" s="4">
        <v>0</v>
      </c>
      <c r="E229" s="4">
        <v>0</v>
      </c>
      <c r="F229" s="4">
        <v>1</v>
      </c>
      <c r="G229">
        <v>33011</v>
      </c>
      <c r="H229">
        <v>1</v>
      </c>
      <c r="I229">
        <v>1</v>
      </c>
      <c r="J229">
        <v>1</v>
      </c>
      <c r="K229" t="s">
        <v>441</v>
      </c>
    </row>
    <row r="230" spans="1:11" s="4" customFormat="1">
      <c r="A230" s="4">
        <v>3301101</v>
      </c>
      <c r="B230" s="4">
        <v>1</v>
      </c>
      <c r="C230" s="4">
        <v>1</v>
      </c>
      <c r="D230" s="4">
        <v>0</v>
      </c>
      <c r="E230" s="4">
        <v>1</v>
      </c>
      <c r="F230" s="4">
        <v>1</v>
      </c>
      <c r="G230" s="4">
        <v>33011</v>
      </c>
      <c r="H230" s="4">
        <v>1</v>
      </c>
      <c r="I230" s="4">
        <v>1</v>
      </c>
      <c r="J230" s="4">
        <v>1</v>
      </c>
      <c r="K230" s="4" t="s">
        <v>441</v>
      </c>
    </row>
    <row r="231" spans="1:11">
      <c r="A231">
        <v>3301800</v>
      </c>
      <c r="B231">
        <v>1</v>
      </c>
      <c r="C231">
        <v>1</v>
      </c>
      <c r="D231" s="4">
        <v>0</v>
      </c>
      <c r="E231" s="4">
        <v>0</v>
      </c>
      <c r="F231" s="4">
        <v>1</v>
      </c>
      <c r="G231">
        <v>33018</v>
      </c>
      <c r="H231">
        <v>1</v>
      </c>
      <c r="I231">
        <v>1</v>
      </c>
      <c r="J231">
        <v>1</v>
      </c>
      <c r="K231" t="s">
        <v>442</v>
      </c>
    </row>
    <row r="232" spans="1:11" s="4" customFormat="1">
      <c r="A232" s="4">
        <v>3301801</v>
      </c>
      <c r="B232" s="4">
        <v>1</v>
      </c>
      <c r="C232" s="4">
        <v>1</v>
      </c>
      <c r="D232" s="4">
        <v>0</v>
      </c>
      <c r="E232" s="4">
        <v>1</v>
      </c>
      <c r="F232" s="4">
        <v>1</v>
      </c>
      <c r="G232" s="4">
        <v>33018</v>
      </c>
      <c r="H232" s="4">
        <v>1</v>
      </c>
      <c r="I232" s="4">
        <v>1</v>
      </c>
      <c r="J232" s="4">
        <v>1</v>
      </c>
      <c r="K232" s="4" t="s">
        <v>442</v>
      </c>
    </row>
    <row r="233" spans="1:11">
      <c r="A233">
        <v>3301200</v>
      </c>
      <c r="B233">
        <v>1</v>
      </c>
      <c r="C233">
        <v>1</v>
      </c>
      <c r="D233" s="4">
        <v>0</v>
      </c>
      <c r="E233" s="4">
        <v>0</v>
      </c>
      <c r="F233" s="4">
        <v>1</v>
      </c>
      <c r="G233">
        <v>33012</v>
      </c>
      <c r="H233">
        <v>1</v>
      </c>
      <c r="I233">
        <v>1</v>
      </c>
      <c r="J233">
        <v>1</v>
      </c>
      <c r="K233" t="s">
        <v>443</v>
      </c>
    </row>
    <row r="234" spans="1:11" s="4" customFormat="1">
      <c r="A234" s="4">
        <v>3301201</v>
      </c>
      <c r="B234" s="4">
        <v>1</v>
      </c>
      <c r="C234" s="4">
        <v>1</v>
      </c>
      <c r="D234" s="4">
        <v>0</v>
      </c>
      <c r="E234" s="4">
        <v>1</v>
      </c>
      <c r="F234" s="4">
        <v>1</v>
      </c>
      <c r="G234" s="4">
        <v>33012</v>
      </c>
      <c r="H234" s="4">
        <v>1</v>
      </c>
      <c r="I234" s="4">
        <v>1</v>
      </c>
      <c r="J234" s="4">
        <v>1</v>
      </c>
      <c r="K234" s="4" t="s">
        <v>443</v>
      </c>
    </row>
    <row r="235" spans="1:11">
      <c r="A235">
        <v>3300800</v>
      </c>
      <c r="B235">
        <v>1</v>
      </c>
      <c r="C235">
        <v>1</v>
      </c>
      <c r="D235" s="4">
        <v>0</v>
      </c>
      <c r="E235" s="4">
        <v>0</v>
      </c>
      <c r="F235" s="4">
        <v>1</v>
      </c>
      <c r="G235">
        <v>33008</v>
      </c>
      <c r="H235">
        <v>1</v>
      </c>
      <c r="I235">
        <v>1</v>
      </c>
      <c r="J235">
        <v>1</v>
      </c>
      <c r="K235" t="s">
        <v>444</v>
      </c>
    </row>
    <row r="236" spans="1:11" s="4" customFormat="1">
      <c r="A236" s="4">
        <v>3300801</v>
      </c>
      <c r="B236" s="4">
        <v>1</v>
      </c>
      <c r="C236" s="4">
        <v>1</v>
      </c>
      <c r="D236" s="4">
        <v>0</v>
      </c>
      <c r="E236" s="4">
        <v>1</v>
      </c>
      <c r="F236" s="4">
        <v>1</v>
      </c>
      <c r="G236" s="4">
        <v>33008</v>
      </c>
      <c r="H236" s="4">
        <v>1</v>
      </c>
      <c r="I236" s="4">
        <v>1</v>
      </c>
      <c r="J236" s="4">
        <v>1</v>
      </c>
      <c r="K236" s="4" t="s">
        <v>444</v>
      </c>
    </row>
    <row r="237" spans="1:11">
      <c r="A237">
        <v>3301500</v>
      </c>
      <c r="B237">
        <v>1</v>
      </c>
      <c r="C237">
        <v>1</v>
      </c>
      <c r="D237" s="4">
        <v>0</v>
      </c>
      <c r="E237" s="4">
        <v>0</v>
      </c>
      <c r="F237" s="4">
        <v>1</v>
      </c>
      <c r="G237">
        <v>33015</v>
      </c>
      <c r="H237">
        <v>1</v>
      </c>
      <c r="I237">
        <v>1</v>
      </c>
      <c r="J237">
        <v>1</v>
      </c>
      <c r="K237" t="s">
        <v>445</v>
      </c>
    </row>
    <row r="238" spans="1:11" s="4" customFormat="1">
      <c r="A238" s="4">
        <v>3301501</v>
      </c>
      <c r="B238" s="4">
        <v>1</v>
      </c>
      <c r="C238" s="4">
        <v>1</v>
      </c>
      <c r="D238" s="4">
        <v>0</v>
      </c>
      <c r="E238" s="4">
        <v>1</v>
      </c>
      <c r="F238" s="4">
        <v>1</v>
      </c>
      <c r="G238" s="4">
        <v>33015</v>
      </c>
      <c r="H238" s="4">
        <v>1</v>
      </c>
      <c r="I238" s="4">
        <v>1</v>
      </c>
      <c r="J238" s="4">
        <v>1</v>
      </c>
      <c r="K238" s="4" t="s">
        <v>445</v>
      </c>
    </row>
    <row r="239" spans="1:11">
      <c r="A239">
        <v>3301000</v>
      </c>
      <c r="B239">
        <v>1</v>
      </c>
      <c r="C239">
        <v>1</v>
      </c>
      <c r="D239" s="4">
        <v>0</v>
      </c>
      <c r="E239" s="4">
        <v>0</v>
      </c>
      <c r="F239" s="4">
        <v>1</v>
      </c>
      <c r="G239">
        <v>33010</v>
      </c>
      <c r="H239">
        <v>1</v>
      </c>
      <c r="I239">
        <v>1</v>
      </c>
      <c r="J239">
        <v>1</v>
      </c>
      <c r="K239" t="s">
        <v>446</v>
      </c>
    </row>
    <row r="240" spans="1:11" s="4" customFormat="1">
      <c r="A240" s="4">
        <v>3301001</v>
      </c>
      <c r="B240" s="4">
        <v>1</v>
      </c>
      <c r="C240" s="4">
        <v>1</v>
      </c>
      <c r="D240" s="4">
        <v>0</v>
      </c>
      <c r="E240" s="4">
        <v>1</v>
      </c>
      <c r="F240" s="4">
        <v>1</v>
      </c>
      <c r="G240" s="4">
        <v>33010</v>
      </c>
      <c r="H240" s="4">
        <v>1</v>
      </c>
      <c r="I240" s="4">
        <v>1</v>
      </c>
      <c r="J240" s="4">
        <v>1</v>
      </c>
      <c r="K240" s="4" t="s">
        <v>446</v>
      </c>
    </row>
    <row r="241" spans="1:11">
      <c r="A241">
        <v>40001</v>
      </c>
      <c r="B241">
        <v>1</v>
      </c>
      <c r="C241">
        <v>1</v>
      </c>
      <c r="D241" s="4">
        <v>0</v>
      </c>
      <c r="E241" s="4">
        <v>0</v>
      </c>
      <c r="F241" s="4">
        <v>1</v>
      </c>
      <c r="G241">
        <v>40001</v>
      </c>
      <c r="H241">
        <v>1</v>
      </c>
      <c r="I241">
        <v>1</v>
      </c>
      <c r="J241">
        <v>1</v>
      </c>
      <c r="K241" t="s">
        <v>261</v>
      </c>
    </row>
    <row r="242" spans="1:11">
      <c r="A242">
        <v>40002</v>
      </c>
      <c r="B242">
        <v>1</v>
      </c>
      <c r="C242">
        <v>1</v>
      </c>
      <c r="D242" s="4">
        <v>0</v>
      </c>
      <c r="E242" s="4">
        <v>0</v>
      </c>
      <c r="F242" s="4">
        <v>1</v>
      </c>
      <c r="G242">
        <v>40002</v>
      </c>
      <c r="H242">
        <v>1</v>
      </c>
      <c r="I242">
        <v>1</v>
      </c>
      <c r="J242">
        <v>1</v>
      </c>
      <c r="K242" t="s">
        <v>262</v>
      </c>
    </row>
    <row r="243" spans="1:11">
      <c r="A243">
        <v>40003</v>
      </c>
      <c r="B243">
        <v>1</v>
      </c>
      <c r="C243">
        <v>1</v>
      </c>
      <c r="D243" s="4">
        <v>0</v>
      </c>
      <c r="E243" s="4">
        <v>0</v>
      </c>
      <c r="F243" s="4">
        <v>1</v>
      </c>
      <c r="G243">
        <v>40003</v>
      </c>
      <c r="H243">
        <v>1</v>
      </c>
      <c r="I243">
        <v>1</v>
      </c>
      <c r="J243">
        <v>1</v>
      </c>
      <c r="K243" t="s">
        <v>263</v>
      </c>
    </row>
    <row r="244" spans="1:11">
      <c r="A244">
        <v>40004</v>
      </c>
      <c r="B244">
        <v>1</v>
      </c>
      <c r="C244">
        <v>1</v>
      </c>
      <c r="D244" s="4">
        <v>0</v>
      </c>
      <c r="E244" s="4">
        <v>0</v>
      </c>
      <c r="F244" s="4">
        <v>1</v>
      </c>
      <c r="G244">
        <v>40004</v>
      </c>
      <c r="H244">
        <v>1</v>
      </c>
      <c r="I244">
        <v>1</v>
      </c>
      <c r="J244">
        <v>1</v>
      </c>
      <c r="K244" t="s">
        <v>447</v>
      </c>
    </row>
    <row r="245" spans="1:11">
      <c r="A245">
        <v>40011</v>
      </c>
      <c r="B245">
        <v>1</v>
      </c>
      <c r="C245">
        <v>1</v>
      </c>
      <c r="D245" s="4">
        <v>0</v>
      </c>
      <c r="E245" s="4">
        <v>0</v>
      </c>
      <c r="F245" s="4">
        <v>1</v>
      </c>
      <c r="G245">
        <v>40011</v>
      </c>
      <c r="H245">
        <v>1</v>
      </c>
      <c r="I245">
        <v>1</v>
      </c>
      <c r="J245">
        <v>1</v>
      </c>
      <c r="K245" t="s">
        <v>264</v>
      </c>
    </row>
    <row r="246" spans="1:11">
      <c r="A246">
        <v>40012</v>
      </c>
      <c r="B246">
        <v>1</v>
      </c>
      <c r="C246">
        <v>1</v>
      </c>
      <c r="D246" s="4">
        <v>0</v>
      </c>
      <c r="E246" s="4">
        <v>0</v>
      </c>
      <c r="F246" s="4">
        <v>1</v>
      </c>
      <c r="G246">
        <v>40012</v>
      </c>
      <c r="H246">
        <v>1</v>
      </c>
      <c r="I246">
        <v>1</v>
      </c>
      <c r="J246">
        <v>1</v>
      </c>
      <c r="K246" t="s">
        <v>265</v>
      </c>
    </row>
    <row r="247" spans="1:11">
      <c r="A247">
        <v>40013</v>
      </c>
      <c r="B247">
        <v>1</v>
      </c>
      <c r="C247">
        <v>1</v>
      </c>
      <c r="D247" s="4">
        <v>0</v>
      </c>
      <c r="E247" s="4">
        <v>0</v>
      </c>
      <c r="F247" s="4">
        <v>1</v>
      </c>
      <c r="G247">
        <v>40013</v>
      </c>
      <c r="H247">
        <v>1</v>
      </c>
      <c r="I247">
        <v>1</v>
      </c>
      <c r="J247">
        <v>1</v>
      </c>
      <c r="K247" t="s">
        <v>266</v>
      </c>
    </row>
    <row r="248" spans="1:11">
      <c r="A248">
        <v>40014</v>
      </c>
      <c r="B248">
        <v>1</v>
      </c>
      <c r="C248">
        <v>1</v>
      </c>
      <c r="D248" s="4">
        <v>0</v>
      </c>
      <c r="E248" s="4">
        <v>0</v>
      </c>
      <c r="F248" s="4">
        <v>1</v>
      </c>
      <c r="G248">
        <v>40014</v>
      </c>
      <c r="H248">
        <v>1</v>
      </c>
      <c r="I248">
        <v>1</v>
      </c>
      <c r="J248">
        <v>1</v>
      </c>
      <c r="K248" t="s">
        <v>448</v>
      </c>
    </row>
    <row r="249" spans="1:11">
      <c r="A249">
        <v>40101</v>
      </c>
      <c r="B249">
        <v>1</v>
      </c>
      <c r="C249">
        <v>1</v>
      </c>
      <c r="D249" s="4">
        <v>0</v>
      </c>
      <c r="E249" s="4">
        <v>0</v>
      </c>
      <c r="F249" s="4">
        <v>1</v>
      </c>
      <c r="G249">
        <v>40101</v>
      </c>
      <c r="H249">
        <v>1</v>
      </c>
      <c r="I249">
        <v>1</v>
      </c>
      <c r="J249">
        <v>1</v>
      </c>
      <c r="K249" t="s">
        <v>449</v>
      </c>
    </row>
    <row r="250" spans="1:11">
      <c r="A250">
        <v>40102</v>
      </c>
      <c r="B250">
        <v>1</v>
      </c>
      <c r="C250">
        <v>1</v>
      </c>
      <c r="D250" s="4">
        <v>0</v>
      </c>
      <c r="E250" s="4">
        <v>0</v>
      </c>
      <c r="F250" s="4">
        <v>1</v>
      </c>
      <c r="G250">
        <v>40102</v>
      </c>
      <c r="H250">
        <v>1</v>
      </c>
      <c r="I250">
        <v>1</v>
      </c>
      <c r="J250">
        <v>1</v>
      </c>
      <c r="K250" t="s">
        <v>267</v>
      </c>
    </row>
    <row r="251" spans="1:11">
      <c r="A251">
        <v>40103</v>
      </c>
      <c r="B251">
        <v>1</v>
      </c>
      <c r="C251">
        <v>1</v>
      </c>
      <c r="D251" s="4">
        <v>0</v>
      </c>
      <c r="E251" s="4">
        <v>0</v>
      </c>
      <c r="F251" s="4">
        <v>1</v>
      </c>
      <c r="G251">
        <v>40103</v>
      </c>
      <c r="H251">
        <v>1</v>
      </c>
      <c r="I251">
        <v>1</v>
      </c>
      <c r="J251">
        <v>1</v>
      </c>
      <c r="K251" t="s">
        <v>450</v>
      </c>
    </row>
    <row r="252" spans="1:11">
      <c r="A252">
        <v>80001</v>
      </c>
      <c r="B252">
        <v>1</v>
      </c>
      <c r="C252">
        <v>1</v>
      </c>
      <c r="D252" s="4">
        <v>0</v>
      </c>
      <c r="E252" s="4">
        <v>0</v>
      </c>
      <c r="F252" s="4">
        <v>1</v>
      </c>
      <c r="G252">
        <v>80001</v>
      </c>
      <c r="H252">
        <v>1</v>
      </c>
      <c r="I252">
        <v>1</v>
      </c>
      <c r="J252">
        <v>1</v>
      </c>
      <c r="K252" t="s">
        <v>451</v>
      </c>
    </row>
    <row r="253" spans="1:11">
      <c r="A253">
        <v>80002</v>
      </c>
      <c r="B253">
        <v>1</v>
      </c>
      <c r="C253">
        <v>1</v>
      </c>
      <c r="D253" s="4">
        <v>0</v>
      </c>
      <c r="E253" s="4">
        <v>0</v>
      </c>
      <c r="F253" s="4">
        <v>1</v>
      </c>
      <c r="G253">
        <v>80002</v>
      </c>
      <c r="H253">
        <v>1</v>
      </c>
      <c r="I253">
        <v>1</v>
      </c>
      <c r="J253">
        <v>1</v>
      </c>
      <c r="K253" t="s">
        <v>452</v>
      </c>
    </row>
    <row r="254" spans="1:11">
      <c r="A254">
        <v>80003</v>
      </c>
      <c r="B254">
        <v>1</v>
      </c>
      <c r="C254">
        <v>1</v>
      </c>
      <c r="D254" s="4">
        <v>0</v>
      </c>
      <c r="E254" s="4">
        <v>0</v>
      </c>
      <c r="F254" s="4">
        <v>1</v>
      </c>
      <c r="G254">
        <v>80003</v>
      </c>
      <c r="H254">
        <v>1</v>
      </c>
      <c r="I254">
        <v>1</v>
      </c>
      <c r="J254">
        <v>1</v>
      </c>
      <c r="K254" t="s">
        <v>25</v>
      </c>
    </row>
    <row r="255" spans="1:11" s="4" customFormat="1">
      <c r="A255" s="4">
        <v>8000301</v>
      </c>
      <c r="B255" s="4">
        <v>1</v>
      </c>
      <c r="C255" s="4">
        <v>1</v>
      </c>
      <c r="D255" s="4">
        <v>0</v>
      </c>
      <c r="E255" s="4">
        <v>1</v>
      </c>
      <c r="F255" s="4">
        <v>1</v>
      </c>
      <c r="G255" s="4">
        <v>80003</v>
      </c>
      <c r="H255" s="4">
        <v>1</v>
      </c>
      <c r="I255" s="4">
        <v>1</v>
      </c>
      <c r="J255" s="4">
        <v>1</v>
      </c>
      <c r="K255" s="4" t="s">
        <v>25</v>
      </c>
    </row>
    <row r="256" spans="1:11">
      <c r="A256">
        <v>80004</v>
      </c>
      <c r="B256">
        <v>1</v>
      </c>
      <c r="C256">
        <v>1</v>
      </c>
      <c r="D256" s="4">
        <v>0</v>
      </c>
      <c r="E256" s="4">
        <v>0</v>
      </c>
      <c r="F256" s="4">
        <v>1</v>
      </c>
      <c r="G256">
        <v>80004</v>
      </c>
      <c r="H256">
        <v>1</v>
      </c>
      <c r="I256">
        <v>1</v>
      </c>
      <c r="J256">
        <v>1</v>
      </c>
      <c r="K256" t="s">
        <v>130</v>
      </c>
    </row>
    <row r="257" spans="1:11">
      <c r="A257">
        <v>80005</v>
      </c>
      <c r="B257">
        <v>1</v>
      </c>
      <c r="C257">
        <v>1</v>
      </c>
      <c r="D257" s="4">
        <v>0</v>
      </c>
      <c r="E257" s="4">
        <v>0</v>
      </c>
      <c r="F257" s="4">
        <v>1</v>
      </c>
      <c r="G257">
        <v>80005</v>
      </c>
      <c r="H257">
        <v>1</v>
      </c>
      <c r="I257">
        <v>1</v>
      </c>
      <c r="J257">
        <v>1</v>
      </c>
      <c r="K257" t="s">
        <v>453</v>
      </c>
    </row>
    <row r="258" spans="1:11">
      <c r="A258">
        <v>80007</v>
      </c>
      <c r="B258">
        <v>1</v>
      </c>
      <c r="C258">
        <v>1</v>
      </c>
      <c r="D258" s="4">
        <v>0</v>
      </c>
      <c r="E258" s="4">
        <v>0</v>
      </c>
      <c r="F258" s="4">
        <v>1</v>
      </c>
      <c r="G258">
        <v>80007</v>
      </c>
      <c r="H258">
        <v>1</v>
      </c>
      <c r="I258">
        <v>1</v>
      </c>
      <c r="J258">
        <v>1</v>
      </c>
      <c r="K258" t="s">
        <v>2980</v>
      </c>
    </row>
    <row r="259" spans="1:11" s="4" customFormat="1">
      <c r="A259" s="4">
        <v>80008</v>
      </c>
      <c r="B259" s="4">
        <v>1</v>
      </c>
      <c r="C259" s="4">
        <v>1</v>
      </c>
      <c r="D259" s="4">
        <v>0</v>
      </c>
      <c r="E259" s="4">
        <v>0</v>
      </c>
      <c r="F259" s="4">
        <v>1</v>
      </c>
      <c r="G259" s="4">
        <v>80008</v>
      </c>
      <c r="H259" s="4">
        <v>1</v>
      </c>
      <c r="I259" s="4">
        <v>1</v>
      </c>
      <c r="J259" s="4">
        <v>1</v>
      </c>
      <c r="K259" s="4" t="s">
        <v>730</v>
      </c>
    </row>
    <row r="260" spans="1:11">
      <c r="A260">
        <v>80101</v>
      </c>
      <c r="B260">
        <v>1</v>
      </c>
      <c r="C260">
        <v>1</v>
      </c>
      <c r="D260" s="4">
        <v>0</v>
      </c>
      <c r="E260" s="4">
        <v>0</v>
      </c>
      <c r="F260" s="4">
        <v>1</v>
      </c>
      <c r="G260">
        <v>80101</v>
      </c>
      <c r="H260">
        <v>1</v>
      </c>
      <c r="I260">
        <v>1</v>
      </c>
      <c r="J260">
        <v>1</v>
      </c>
      <c r="K260" t="s">
        <v>454</v>
      </c>
    </row>
    <row r="261" spans="1:11">
      <c r="A261">
        <v>80105</v>
      </c>
      <c r="B261">
        <v>1</v>
      </c>
      <c r="C261">
        <v>1</v>
      </c>
      <c r="D261" s="4">
        <v>0</v>
      </c>
      <c r="E261" s="4">
        <v>0</v>
      </c>
      <c r="F261" s="4">
        <v>1</v>
      </c>
      <c r="G261">
        <v>80105</v>
      </c>
      <c r="H261">
        <v>1</v>
      </c>
      <c r="I261">
        <v>1</v>
      </c>
      <c r="J261">
        <v>1</v>
      </c>
      <c r="K261" t="s">
        <v>455</v>
      </c>
    </row>
    <row r="262" spans="1:11">
      <c r="A262">
        <v>80107</v>
      </c>
      <c r="B262">
        <v>1</v>
      </c>
      <c r="C262">
        <v>1</v>
      </c>
      <c r="D262" s="4">
        <v>0</v>
      </c>
      <c r="E262" s="4">
        <v>0</v>
      </c>
      <c r="F262" s="4">
        <v>1</v>
      </c>
      <c r="G262">
        <v>80107</v>
      </c>
      <c r="H262">
        <v>1</v>
      </c>
      <c r="I262">
        <v>1</v>
      </c>
      <c r="J262">
        <v>1</v>
      </c>
      <c r="K262" t="s">
        <v>2981</v>
      </c>
    </row>
    <row r="263" spans="1:11" s="4" customFormat="1">
      <c r="A263" s="4">
        <v>80108</v>
      </c>
      <c r="B263" s="4">
        <v>1</v>
      </c>
      <c r="C263" s="4">
        <v>1</v>
      </c>
      <c r="D263" s="4">
        <v>0</v>
      </c>
      <c r="E263" s="4">
        <v>0</v>
      </c>
      <c r="F263" s="4">
        <v>1</v>
      </c>
      <c r="G263" s="4">
        <v>80108</v>
      </c>
      <c r="H263" s="4">
        <v>1</v>
      </c>
      <c r="I263" s="4">
        <v>1</v>
      </c>
      <c r="J263" s="4">
        <v>1</v>
      </c>
      <c r="K263" s="4" t="s">
        <v>731</v>
      </c>
    </row>
    <row r="264" spans="1:11" s="4" customFormat="1">
      <c r="A264" s="4">
        <v>80201</v>
      </c>
      <c r="B264" s="4">
        <v>1</v>
      </c>
      <c r="C264" s="4">
        <v>1</v>
      </c>
      <c r="D264" s="4">
        <v>0</v>
      </c>
      <c r="E264" s="4">
        <v>0</v>
      </c>
      <c r="F264" s="4">
        <v>1</v>
      </c>
      <c r="G264" s="4">
        <v>80201</v>
      </c>
      <c r="H264" s="4">
        <v>1</v>
      </c>
      <c r="I264" s="4">
        <v>1</v>
      </c>
      <c r="J264" s="4">
        <v>1</v>
      </c>
      <c r="K264" s="4" t="s">
        <v>732</v>
      </c>
    </row>
    <row r="265" spans="1:11" s="4" customFormat="1">
      <c r="A265" s="4">
        <v>80202</v>
      </c>
      <c r="B265" s="4">
        <v>1</v>
      </c>
      <c r="C265" s="4">
        <v>1</v>
      </c>
      <c r="D265" s="4">
        <v>0</v>
      </c>
      <c r="E265" s="4">
        <v>0</v>
      </c>
      <c r="F265" s="4">
        <v>1</v>
      </c>
      <c r="G265" s="4">
        <v>80202</v>
      </c>
      <c r="H265" s="4">
        <v>1</v>
      </c>
      <c r="I265" s="4">
        <v>1</v>
      </c>
      <c r="J265" s="4">
        <v>1</v>
      </c>
      <c r="K265" s="4" t="s">
        <v>733</v>
      </c>
    </row>
    <row r="266" spans="1:11">
      <c r="A266">
        <v>81001</v>
      </c>
      <c r="B266">
        <v>1</v>
      </c>
      <c r="C266">
        <v>1</v>
      </c>
      <c r="D266" s="4">
        <v>0</v>
      </c>
      <c r="E266" s="4">
        <v>0</v>
      </c>
      <c r="F266" s="4">
        <v>1</v>
      </c>
      <c r="G266">
        <v>81001</v>
      </c>
      <c r="H266">
        <v>1</v>
      </c>
      <c r="I266">
        <v>1</v>
      </c>
      <c r="J266">
        <v>1</v>
      </c>
      <c r="K266" t="s">
        <v>268</v>
      </c>
    </row>
    <row r="267" spans="1:11">
      <c r="A267">
        <v>81002</v>
      </c>
      <c r="B267">
        <v>1</v>
      </c>
      <c r="C267">
        <v>1</v>
      </c>
      <c r="D267" s="4">
        <v>0</v>
      </c>
      <c r="E267" s="4">
        <v>0</v>
      </c>
      <c r="F267" s="4">
        <v>1</v>
      </c>
      <c r="G267">
        <v>81002</v>
      </c>
      <c r="H267">
        <v>1</v>
      </c>
      <c r="I267">
        <v>1</v>
      </c>
      <c r="J267">
        <v>1</v>
      </c>
      <c r="K267" t="s">
        <v>269</v>
      </c>
    </row>
    <row r="268" spans="1:11">
      <c r="A268">
        <v>81003</v>
      </c>
      <c r="B268">
        <v>1</v>
      </c>
      <c r="C268">
        <v>1</v>
      </c>
      <c r="D268" s="4">
        <v>0</v>
      </c>
      <c r="E268" s="4">
        <v>0</v>
      </c>
      <c r="F268" s="4">
        <v>1</v>
      </c>
      <c r="G268">
        <v>81003</v>
      </c>
      <c r="H268">
        <v>1</v>
      </c>
      <c r="I268">
        <v>1</v>
      </c>
      <c r="J268">
        <v>1</v>
      </c>
      <c r="K268" t="s">
        <v>270</v>
      </c>
    </row>
    <row r="269" spans="1:11">
      <c r="A269">
        <v>90166</v>
      </c>
      <c r="B269">
        <v>1</v>
      </c>
      <c r="C269">
        <v>1</v>
      </c>
      <c r="D269" s="4">
        <v>0</v>
      </c>
      <c r="E269" s="4">
        <v>0</v>
      </c>
      <c r="F269" s="4">
        <v>1</v>
      </c>
      <c r="G269">
        <v>90166</v>
      </c>
      <c r="H269">
        <v>1</v>
      </c>
      <c r="I269">
        <v>1</v>
      </c>
      <c r="J269">
        <v>1</v>
      </c>
      <c r="K269" t="s">
        <v>93</v>
      </c>
    </row>
    <row r="270" spans="1:11">
      <c r="A270">
        <v>90167</v>
      </c>
      <c r="B270">
        <v>1</v>
      </c>
      <c r="C270">
        <v>1</v>
      </c>
      <c r="D270" s="4">
        <v>0</v>
      </c>
      <c r="E270" s="4">
        <v>0</v>
      </c>
      <c r="F270" s="4">
        <v>1</v>
      </c>
      <c r="G270">
        <v>90167</v>
      </c>
      <c r="H270">
        <v>1</v>
      </c>
      <c r="I270">
        <v>1</v>
      </c>
      <c r="J270">
        <v>1</v>
      </c>
      <c r="K270" t="s">
        <v>56</v>
      </c>
    </row>
    <row r="271" spans="1:11">
      <c r="A271">
        <v>90168</v>
      </c>
      <c r="B271">
        <v>1</v>
      </c>
      <c r="C271">
        <v>1</v>
      </c>
      <c r="D271" s="4">
        <v>0</v>
      </c>
      <c r="E271" s="4">
        <v>0</v>
      </c>
      <c r="F271" s="4">
        <v>1</v>
      </c>
      <c r="G271">
        <v>90168</v>
      </c>
      <c r="H271">
        <v>1</v>
      </c>
      <c r="I271">
        <v>1</v>
      </c>
      <c r="J271">
        <v>1</v>
      </c>
      <c r="K271" t="s">
        <v>94</v>
      </c>
    </row>
    <row r="272" spans="1:11">
      <c r="A272">
        <v>90169</v>
      </c>
      <c r="B272">
        <v>1</v>
      </c>
      <c r="C272">
        <v>1</v>
      </c>
      <c r="D272" s="4">
        <v>0</v>
      </c>
      <c r="E272" s="4">
        <v>0</v>
      </c>
      <c r="F272" s="4">
        <v>1</v>
      </c>
      <c r="G272">
        <v>90169</v>
      </c>
      <c r="H272">
        <v>1</v>
      </c>
      <c r="I272">
        <v>1</v>
      </c>
      <c r="J272">
        <v>1</v>
      </c>
      <c r="K272" t="s">
        <v>95</v>
      </c>
    </row>
    <row r="273" spans="1:11">
      <c r="A273">
        <v>90170</v>
      </c>
      <c r="B273">
        <v>1</v>
      </c>
      <c r="C273">
        <v>1</v>
      </c>
      <c r="D273" s="4">
        <v>0</v>
      </c>
      <c r="E273" s="4">
        <v>0</v>
      </c>
      <c r="F273" s="4">
        <v>1</v>
      </c>
      <c r="G273">
        <v>90170</v>
      </c>
      <c r="H273">
        <v>1</v>
      </c>
      <c r="I273">
        <v>1</v>
      </c>
      <c r="J273">
        <v>1</v>
      </c>
      <c r="K273" t="s">
        <v>96</v>
      </c>
    </row>
    <row r="274" spans="1:11">
      <c r="A274">
        <v>90171</v>
      </c>
      <c r="B274">
        <v>1</v>
      </c>
      <c r="C274">
        <v>1</v>
      </c>
      <c r="D274" s="4">
        <v>0</v>
      </c>
      <c r="E274" s="4">
        <v>0</v>
      </c>
      <c r="F274" s="4">
        <v>1</v>
      </c>
      <c r="G274">
        <v>90171</v>
      </c>
      <c r="H274">
        <v>1</v>
      </c>
      <c r="I274">
        <v>1</v>
      </c>
      <c r="J274">
        <v>1</v>
      </c>
      <c r="K274" t="s">
        <v>271</v>
      </c>
    </row>
    <row r="275" spans="1:11">
      <c r="A275">
        <v>90172</v>
      </c>
      <c r="B275">
        <v>1</v>
      </c>
      <c r="C275">
        <v>1</v>
      </c>
      <c r="D275" s="4">
        <v>0</v>
      </c>
      <c r="E275" s="4">
        <v>0</v>
      </c>
      <c r="F275" s="4">
        <v>1</v>
      </c>
      <c r="G275">
        <v>90172</v>
      </c>
      <c r="H275">
        <v>1</v>
      </c>
      <c r="I275">
        <v>1</v>
      </c>
      <c r="J275">
        <v>1</v>
      </c>
      <c r="K275" t="s">
        <v>272</v>
      </c>
    </row>
    <row r="276" spans="1:11">
      <c r="A276">
        <v>90173</v>
      </c>
      <c r="B276">
        <v>1</v>
      </c>
      <c r="C276">
        <v>1</v>
      </c>
      <c r="D276" s="4">
        <v>0</v>
      </c>
      <c r="E276" s="4">
        <v>0</v>
      </c>
      <c r="F276" s="4">
        <v>1</v>
      </c>
      <c r="G276">
        <v>90173</v>
      </c>
      <c r="H276">
        <v>1</v>
      </c>
      <c r="I276">
        <v>1</v>
      </c>
      <c r="J276">
        <v>1</v>
      </c>
      <c r="K276" t="s">
        <v>273</v>
      </c>
    </row>
    <row r="277" spans="1:11">
      <c r="A277">
        <v>90174</v>
      </c>
      <c r="B277">
        <v>1</v>
      </c>
      <c r="C277">
        <v>1</v>
      </c>
      <c r="D277" s="4">
        <v>0</v>
      </c>
      <c r="E277" s="4">
        <v>0</v>
      </c>
      <c r="F277" s="4">
        <v>1</v>
      </c>
      <c r="G277">
        <v>90174</v>
      </c>
      <c r="H277">
        <v>1</v>
      </c>
      <c r="I277">
        <v>1</v>
      </c>
      <c r="J277">
        <v>1</v>
      </c>
      <c r="K277" t="s">
        <v>55</v>
      </c>
    </row>
    <row r="278" spans="1:11">
      <c r="A278">
        <v>90175</v>
      </c>
      <c r="B278">
        <v>1</v>
      </c>
      <c r="C278">
        <v>1</v>
      </c>
      <c r="D278" s="4">
        <v>0</v>
      </c>
      <c r="E278" s="4">
        <v>0</v>
      </c>
      <c r="F278" s="4">
        <v>1</v>
      </c>
      <c r="G278">
        <v>90175</v>
      </c>
      <c r="H278">
        <v>1</v>
      </c>
      <c r="I278">
        <v>1</v>
      </c>
      <c r="J278">
        <v>1</v>
      </c>
      <c r="K278" t="s">
        <v>131</v>
      </c>
    </row>
    <row r="279" spans="1:11">
      <c r="A279">
        <v>90176</v>
      </c>
      <c r="B279">
        <v>1</v>
      </c>
      <c r="C279">
        <v>1</v>
      </c>
      <c r="D279" s="4">
        <v>0</v>
      </c>
      <c r="E279" s="4">
        <v>0</v>
      </c>
      <c r="F279" s="4">
        <v>1</v>
      </c>
      <c r="G279">
        <v>90176</v>
      </c>
      <c r="H279">
        <v>1</v>
      </c>
      <c r="I279">
        <v>1</v>
      </c>
      <c r="J279">
        <v>1</v>
      </c>
      <c r="K279" t="s">
        <v>2982</v>
      </c>
    </row>
    <row r="280" spans="1:11">
      <c r="A280">
        <v>90177</v>
      </c>
      <c r="B280">
        <v>1</v>
      </c>
      <c r="C280">
        <v>1</v>
      </c>
      <c r="D280" s="4">
        <v>0</v>
      </c>
      <c r="E280" s="4">
        <v>0</v>
      </c>
      <c r="F280" s="4">
        <v>1</v>
      </c>
      <c r="G280">
        <v>90177</v>
      </c>
      <c r="H280">
        <v>1</v>
      </c>
      <c r="I280">
        <v>1</v>
      </c>
      <c r="J280">
        <v>1</v>
      </c>
      <c r="K280" t="s">
        <v>2983</v>
      </c>
    </row>
    <row r="281" spans="1:11">
      <c r="A281">
        <v>90178</v>
      </c>
      <c r="B281">
        <v>1</v>
      </c>
      <c r="C281">
        <v>1</v>
      </c>
      <c r="D281" s="4">
        <v>0</v>
      </c>
      <c r="E281" s="4">
        <v>0</v>
      </c>
      <c r="F281" s="4">
        <v>1</v>
      </c>
      <c r="G281">
        <v>90178</v>
      </c>
      <c r="H281">
        <v>1</v>
      </c>
      <c r="I281">
        <v>1</v>
      </c>
      <c r="J281">
        <v>1</v>
      </c>
      <c r="K281" t="s">
        <v>2984</v>
      </c>
    </row>
    <row r="282" spans="1:11">
      <c r="A282">
        <v>90179</v>
      </c>
      <c r="B282">
        <v>1</v>
      </c>
      <c r="C282">
        <v>1</v>
      </c>
      <c r="D282" s="4">
        <v>0</v>
      </c>
      <c r="E282" s="4">
        <v>0</v>
      </c>
      <c r="F282" s="4">
        <v>1</v>
      </c>
      <c r="G282">
        <v>90179</v>
      </c>
      <c r="H282">
        <v>1</v>
      </c>
      <c r="I282">
        <v>1</v>
      </c>
      <c r="J282">
        <v>1</v>
      </c>
      <c r="K282" t="s">
        <v>274</v>
      </c>
    </row>
    <row r="283" spans="1:11">
      <c r="A283">
        <v>90180</v>
      </c>
      <c r="B283">
        <v>1</v>
      </c>
      <c r="C283">
        <v>1</v>
      </c>
      <c r="D283" s="4">
        <v>0</v>
      </c>
      <c r="E283" s="4">
        <v>0</v>
      </c>
      <c r="F283" s="4">
        <v>1</v>
      </c>
      <c r="G283">
        <v>90180</v>
      </c>
      <c r="H283">
        <v>1</v>
      </c>
      <c r="I283">
        <v>1</v>
      </c>
      <c r="J283">
        <v>1</v>
      </c>
      <c r="K283" t="s">
        <v>275</v>
      </c>
    </row>
    <row r="284" spans="1:11">
      <c r="A284">
        <v>90181</v>
      </c>
      <c r="B284">
        <v>1</v>
      </c>
      <c r="C284">
        <v>1</v>
      </c>
      <c r="D284" s="4">
        <v>0</v>
      </c>
      <c r="E284" s="4">
        <v>0</v>
      </c>
      <c r="F284" s="4">
        <v>1</v>
      </c>
      <c r="G284">
        <v>90181</v>
      </c>
      <c r="H284">
        <v>1</v>
      </c>
      <c r="I284">
        <v>1</v>
      </c>
      <c r="J284">
        <v>1</v>
      </c>
      <c r="K284" t="s">
        <v>276</v>
      </c>
    </row>
    <row r="285" spans="1:11">
      <c r="A285">
        <v>90182</v>
      </c>
      <c r="B285">
        <v>1</v>
      </c>
      <c r="C285">
        <v>1</v>
      </c>
      <c r="D285" s="4">
        <v>0</v>
      </c>
      <c r="E285" s="4">
        <v>0</v>
      </c>
      <c r="F285" s="4">
        <v>1</v>
      </c>
      <c r="G285">
        <v>90182</v>
      </c>
      <c r="H285">
        <v>1</v>
      </c>
      <c r="I285">
        <v>1</v>
      </c>
      <c r="J285">
        <v>1</v>
      </c>
      <c r="K285" t="s">
        <v>456</v>
      </c>
    </row>
    <row r="286" spans="1:11">
      <c r="A286">
        <v>90183</v>
      </c>
      <c r="B286">
        <v>1</v>
      </c>
      <c r="C286">
        <v>1</v>
      </c>
      <c r="D286" s="4">
        <v>0</v>
      </c>
      <c r="E286" s="4">
        <v>0</v>
      </c>
      <c r="F286" s="4">
        <v>1</v>
      </c>
      <c r="G286">
        <v>90183</v>
      </c>
      <c r="H286">
        <v>1</v>
      </c>
      <c r="I286">
        <v>1</v>
      </c>
      <c r="J286">
        <v>1</v>
      </c>
      <c r="K286" t="s">
        <v>113</v>
      </c>
    </row>
    <row r="287" spans="1:11">
      <c r="A287">
        <v>90184</v>
      </c>
      <c r="B287">
        <v>1</v>
      </c>
      <c r="C287">
        <v>1</v>
      </c>
      <c r="D287" s="4">
        <v>0</v>
      </c>
      <c r="E287" s="4">
        <v>0</v>
      </c>
      <c r="F287" s="4">
        <v>1</v>
      </c>
      <c r="G287">
        <v>90184</v>
      </c>
      <c r="H287">
        <v>1</v>
      </c>
      <c r="I287">
        <v>1</v>
      </c>
      <c r="J287">
        <v>1</v>
      </c>
      <c r="K287" t="s">
        <v>114</v>
      </c>
    </row>
    <row r="288" spans="1:11">
      <c r="A288">
        <v>90185</v>
      </c>
      <c r="B288">
        <v>1</v>
      </c>
      <c r="C288">
        <v>1</v>
      </c>
      <c r="D288" s="4">
        <v>0</v>
      </c>
      <c r="E288" s="4">
        <v>0</v>
      </c>
      <c r="F288" s="4">
        <v>1</v>
      </c>
      <c r="G288">
        <v>90185</v>
      </c>
      <c r="H288">
        <v>1</v>
      </c>
      <c r="I288">
        <v>1</v>
      </c>
      <c r="J288">
        <v>1</v>
      </c>
      <c r="K288" t="s">
        <v>106</v>
      </c>
    </row>
    <row r="289" spans="1:11">
      <c r="A289">
        <v>90186</v>
      </c>
      <c r="B289">
        <v>1</v>
      </c>
      <c r="C289">
        <v>1</v>
      </c>
      <c r="D289" s="4">
        <v>0</v>
      </c>
      <c r="E289" s="4">
        <v>0</v>
      </c>
      <c r="F289" s="4">
        <v>1</v>
      </c>
      <c r="G289">
        <v>90186</v>
      </c>
      <c r="H289">
        <v>1</v>
      </c>
      <c r="I289">
        <v>1</v>
      </c>
      <c r="J289">
        <v>1</v>
      </c>
      <c r="K289" t="s">
        <v>107</v>
      </c>
    </row>
    <row r="290" spans="1:11">
      <c r="A290">
        <v>90187</v>
      </c>
      <c r="B290">
        <v>1</v>
      </c>
      <c r="C290">
        <v>1</v>
      </c>
      <c r="D290" s="4">
        <v>0</v>
      </c>
      <c r="E290" s="4">
        <v>0</v>
      </c>
      <c r="F290" s="4">
        <v>1</v>
      </c>
      <c r="G290">
        <v>90187</v>
      </c>
      <c r="H290">
        <v>1</v>
      </c>
      <c r="I290">
        <v>1</v>
      </c>
      <c r="J290">
        <v>1</v>
      </c>
      <c r="K290" t="s">
        <v>108</v>
      </c>
    </row>
    <row r="291" spans="1:11">
      <c r="A291">
        <v>90188</v>
      </c>
      <c r="B291">
        <v>1</v>
      </c>
      <c r="C291">
        <v>1</v>
      </c>
      <c r="D291" s="4">
        <v>0</v>
      </c>
      <c r="E291" s="4">
        <v>0</v>
      </c>
      <c r="F291" s="4">
        <v>1</v>
      </c>
      <c r="G291">
        <v>90188</v>
      </c>
      <c r="H291">
        <v>1</v>
      </c>
      <c r="I291">
        <v>1</v>
      </c>
      <c r="J291">
        <v>1</v>
      </c>
      <c r="K291" t="s">
        <v>2985</v>
      </c>
    </row>
    <row r="292" spans="1:11">
      <c r="A292">
        <v>90189</v>
      </c>
      <c r="B292">
        <v>1</v>
      </c>
      <c r="C292">
        <v>1</v>
      </c>
      <c r="D292" s="4">
        <v>0</v>
      </c>
      <c r="E292" s="4">
        <v>0</v>
      </c>
      <c r="F292" s="4">
        <v>1</v>
      </c>
      <c r="G292">
        <v>90189</v>
      </c>
      <c r="H292">
        <v>1</v>
      </c>
      <c r="I292">
        <v>1</v>
      </c>
      <c r="J292">
        <v>1</v>
      </c>
      <c r="K292" t="s">
        <v>115</v>
      </c>
    </row>
    <row r="293" spans="1:11">
      <c r="A293">
        <v>90190</v>
      </c>
      <c r="B293">
        <v>1</v>
      </c>
      <c r="C293">
        <v>1</v>
      </c>
      <c r="D293" s="4">
        <v>0</v>
      </c>
      <c r="E293" s="4">
        <v>0</v>
      </c>
      <c r="F293" s="4">
        <v>1</v>
      </c>
      <c r="G293">
        <v>90190</v>
      </c>
      <c r="H293">
        <v>1</v>
      </c>
      <c r="I293">
        <v>1</v>
      </c>
      <c r="J293">
        <v>1</v>
      </c>
      <c r="K293" t="s">
        <v>110</v>
      </c>
    </row>
    <row r="294" spans="1:11">
      <c r="A294">
        <v>90191</v>
      </c>
      <c r="B294">
        <v>1</v>
      </c>
      <c r="C294">
        <v>1</v>
      </c>
      <c r="D294" s="4">
        <v>0</v>
      </c>
      <c r="E294" s="4">
        <v>0</v>
      </c>
      <c r="F294" s="4">
        <v>1</v>
      </c>
      <c r="G294">
        <v>90191</v>
      </c>
      <c r="H294">
        <v>1</v>
      </c>
      <c r="I294">
        <v>1</v>
      </c>
      <c r="J294">
        <v>1</v>
      </c>
      <c r="K294" t="s">
        <v>249</v>
      </c>
    </row>
    <row r="295" spans="1:11" s="4" customFormat="1">
      <c r="A295" s="4">
        <v>90192</v>
      </c>
      <c r="B295" s="4">
        <v>1</v>
      </c>
      <c r="C295" s="4">
        <v>1</v>
      </c>
      <c r="D295" s="4">
        <v>0</v>
      </c>
      <c r="E295" s="4">
        <v>0</v>
      </c>
      <c r="F295" s="4">
        <v>1</v>
      </c>
      <c r="G295" s="4">
        <v>90192</v>
      </c>
      <c r="H295" s="4">
        <v>1</v>
      </c>
      <c r="I295" s="4">
        <v>1</v>
      </c>
      <c r="J295" s="4">
        <v>1</v>
      </c>
      <c r="K295" s="4" t="s">
        <v>2986</v>
      </c>
    </row>
    <row r="296" spans="1:11" s="4" customFormat="1">
      <c r="A296" s="4">
        <v>90193</v>
      </c>
      <c r="B296" s="4">
        <v>1</v>
      </c>
      <c r="C296" s="4">
        <v>1</v>
      </c>
      <c r="D296" s="4">
        <v>0</v>
      </c>
      <c r="E296" s="4">
        <v>0</v>
      </c>
      <c r="F296" s="4">
        <v>1</v>
      </c>
      <c r="G296" s="4">
        <v>90193</v>
      </c>
      <c r="H296" s="4">
        <v>1</v>
      </c>
      <c r="I296" s="4">
        <v>1</v>
      </c>
      <c r="J296" s="4">
        <v>1</v>
      </c>
      <c r="K296" s="4" t="s">
        <v>2987</v>
      </c>
    </row>
    <row r="297" spans="1:11" s="4" customFormat="1">
      <c r="A297" s="4">
        <v>90194</v>
      </c>
      <c r="B297" s="4">
        <v>1</v>
      </c>
      <c r="C297" s="4">
        <v>1</v>
      </c>
      <c r="D297" s="4">
        <v>0</v>
      </c>
      <c r="E297" s="4">
        <v>0</v>
      </c>
      <c r="F297" s="4">
        <v>1</v>
      </c>
      <c r="G297" s="4">
        <v>90194</v>
      </c>
      <c r="H297" s="4">
        <v>1</v>
      </c>
      <c r="I297" s="4">
        <v>1</v>
      </c>
      <c r="J297" s="4">
        <v>1</v>
      </c>
      <c r="K297" s="4" t="s">
        <v>2988</v>
      </c>
    </row>
    <row r="298" spans="1:11" s="4" customFormat="1">
      <c r="A298" s="4">
        <v>90195</v>
      </c>
      <c r="B298" s="4">
        <v>1</v>
      </c>
      <c r="C298" s="4">
        <v>1</v>
      </c>
      <c r="D298" s="4">
        <v>0</v>
      </c>
      <c r="E298" s="4">
        <v>0</v>
      </c>
      <c r="F298" s="4">
        <v>1</v>
      </c>
      <c r="G298" s="4">
        <v>90195</v>
      </c>
      <c r="H298" s="4">
        <v>1</v>
      </c>
      <c r="I298" s="4">
        <v>1</v>
      </c>
      <c r="J298" s="4">
        <v>1</v>
      </c>
      <c r="K298" s="4" t="s">
        <v>2989</v>
      </c>
    </row>
    <row r="299" spans="1:11" s="4" customFormat="1">
      <c r="A299" s="4">
        <v>90196</v>
      </c>
      <c r="B299" s="4">
        <v>1</v>
      </c>
      <c r="C299" s="4">
        <v>1</v>
      </c>
      <c r="D299" s="4">
        <v>0</v>
      </c>
      <c r="E299" s="4">
        <v>0</v>
      </c>
      <c r="F299" s="4">
        <v>1</v>
      </c>
      <c r="G299" s="4">
        <v>90196</v>
      </c>
      <c r="H299" s="4">
        <v>1</v>
      </c>
      <c r="I299" s="4">
        <v>1</v>
      </c>
      <c r="J299" s="4">
        <v>1</v>
      </c>
      <c r="K299" s="4" t="s">
        <v>2990</v>
      </c>
    </row>
    <row r="300" spans="1:11" s="4" customFormat="1">
      <c r="A300" s="4">
        <v>90197</v>
      </c>
      <c r="B300" s="4">
        <v>1</v>
      </c>
      <c r="C300" s="4">
        <v>1</v>
      </c>
      <c r="D300" s="4">
        <v>0</v>
      </c>
      <c r="E300" s="4">
        <v>0</v>
      </c>
      <c r="F300" s="4">
        <v>1</v>
      </c>
      <c r="G300" s="4">
        <v>90197</v>
      </c>
      <c r="H300" s="4">
        <v>1</v>
      </c>
      <c r="I300" s="4">
        <v>1</v>
      </c>
      <c r="J300" s="4">
        <v>1</v>
      </c>
      <c r="K300" s="4" t="s">
        <v>2991</v>
      </c>
    </row>
    <row r="301" spans="1:11" s="4" customFormat="1">
      <c r="A301" s="4">
        <v>90198</v>
      </c>
      <c r="B301" s="4">
        <v>1</v>
      </c>
      <c r="C301" s="4">
        <v>1</v>
      </c>
      <c r="D301" s="4">
        <v>0</v>
      </c>
      <c r="E301" s="4">
        <v>0</v>
      </c>
      <c r="F301" s="4">
        <v>1</v>
      </c>
      <c r="G301" s="4">
        <v>90198</v>
      </c>
      <c r="H301" s="4">
        <v>1</v>
      </c>
      <c r="I301" s="4">
        <v>1</v>
      </c>
      <c r="J301" s="4">
        <v>1</v>
      </c>
      <c r="K301" s="4" t="s">
        <v>734</v>
      </c>
    </row>
    <row r="302" spans="1:11" s="4" customFormat="1">
      <c r="A302" s="4">
        <v>90199</v>
      </c>
      <c r="B302" s="4">
        <v>1</v>
      </c>
      <c r="C302" s="4">
        <v>1</v>
      </c>
      <c r="D302" s="4">
        <v>0</v>
      </c>
      <c r="E302" s="4">
        <v>0</v>
      </c>
      <c r="F302" s="4">
        <v>1</v>
      </c>
      <c r="G302" s="4">
        <v>90199</v>
      </c>
      <c r="H302" s="4">
        <v>1</v>
      </c>
      <c r="I302" s="4">
        <v>1</v>
      </c>
      <c r="J302" s="4">
        <v>1</v>
      </c>
      <c r="K302" s="4" t="s">
        <v>735</v>
      </c>
    </row>
    <row r="303" spans="1:11" s="4" customFormat="1">
      <c r="A303" s="4">
        <v>90200</v>
      </c>
      <c r="B303" s="4">
        <v>1</v>
      </c>
      <c r="C303" s="4">
        <v>1</v>
      </c>
      <c r="D303" s="4">
        <v>0</v>
      </c>
      <c r="E303" s="4">
        <v>0</v>
      </c>
      <c r="F303" s="4">
        <v>1</v>
      </c>
      <c r="G303" s="4">
        <v>90200</v>
      </c>
      <c r="H303" s="4">
        <v>1</v>
      </c>
      <c r="I303" s="4">
        <v>1</v>
      </c>
      <c r="J303" s="4">
        <v>1</v>
      </c>
      <c r="K303" s="4" t="s">
        <v>736</v>
      </c>
    </row>
    <row r="304" spans="1:11" s="4" customFormat="1">
      <c r="A304" s="4">
        <v>90201</v>
      </c>
      <c r="B304" s="4">
        <v>1</v>
      </c>
      <c r="C304" s="4">
        <v>1</v>
      </c>
      <c r="D304" s="4">
        <v>0</v>
      </c>
      <c r="E304" s="4">
        <v>0</v>
      </c>
      <c r="F304" s="4">
        <v>1</v>
      </c>
      <c r="G304" s="4">
        <v>90201</v>
      </c>
      <c r="H304" s="4">
        <v>1</v>
      </c>
      <c r="I304" s="4">
        <v>1</v>
      </c>
      <c r="J304" s="4">
        <v>1</v>
      </c>
      <c r="K304" s="4" t="s">
        <v>737</v>
      </c>
    </row>
    <row r="305" spans="1:11" s="4" customFormat="1">
      <c r="A305" s="4">
        <v>90202</v>
      </c>
      <c r="B305" s="4">
        <v>1</v>
      </c>
      <c r="C305" s="4">
        <v>1</v>
      </c>
      <c r="D305" s="4">
        <v>0</v>
      </c>
      <c r="E305" s="4">
        <v>0</v>
      </c>
      <c r="F305" s="4">
        <v>1</v>
      </c>
      <c r="G305" s="4">
        <v>90202</v>
      </c>
      <c r="H305" s="4">
        <v>1</v>
      </c>
      <c r="I305" s="4">
        <v>1</v>
      </c>
      <c r="J305" s="4">
        <v>1</v>
      </c>
      <c r="K305" s="4" t="s">
        <v>738</v>
      </c>
    </row>
    <row r="306" spans="1:11" s="4" customFormat="1">
      <c r="A306" s="4">
        <v>90203</v>
      </c>
      <c r="B306" s="4">
        <v>1</v>
      </c>
      <c r="C306" s="4">
        <v>1</v>
      </c>
      <c r="D306" s="4">
        <v>0</v>
      </c>
      <c r="E306" s="4">
        <v>0</v>
      </c>
      <c r="F306" s="4">
        <v>1</v>
      </c>
      <c r="G306" s="4">
        <v>90203</v>
      </c>
      <c r="H306" s="4">
        <v>1</v>
      </c>
      <c r="I306" s="4">
        <v>1</v>
      </c>
      <c r="J306" s="4">
        <v>1</v>
      </c>
      <c r="K306" s="4" t="s">
        <v>739</v>
      </c>
    </row>
    <row r="307" spans="1:11" s="4" customFormat="1">
      <c r="A307" s="4">
        <v>90204</v>
      </c>
      <c r="B307" s="4">
        <v>1</v>
      </c>
      <c r="C307" s="4">
        <v>1</v>
      </c>
      <c r="D307" s="4">
        <v>0</v>
      </c>
      <c r="E307" s="4">
        <v>0</v>
      </c>
      <c r="F307" s="4">
        <v>1</v>
      </c>
      <c r="G307" s="4">
        <v>90204</v>
      </c>
      <c r="H307" s="4">
        <v>1</v>
      </c>
      <c r="I307" s="4">
        <v>1</v>
      </c>
      <c r="J307" s="4">
        <v>1</v>
      </c>
      <c r="K307" s="4" t="s">
        <v>740</v>
      </c>
    </row>
    <row r="308" spans="1:11" s="4" customFormat="1">
      <c r="A308" s="4">
        <v>90205</v>
      </c>
      <c r="B308" s="4">
        <v>1</v>
      </c>
      <c r="C308" s="4">
        <v>1</v>
      </c>
      <c r="D308" s="4">
        <v>0</v>
      </c>
      <c r="E308" s="4">
        <v>0</v>
      </c>
      <c r="F308" s="4">
        <v>1</v>
      </c>
      <c r="G308" s="4">
        <v>90205</v>
      </c>
      <c r="H308" s="4">
        <v>1</v>
      </c>
      <c r="I308" s="4">
        <v>1</v>
      </c>
      <c r="J308" s="4">
        <v>1</v>
      </c>
      <c r="K308" s="4" t="s">
        <v>2992</v>
      </c>
    </row>
    <row r="309" spans="1:11" s="4" customFormat="1">
      <c r="A309" s="4">
        <v>90206</v>
      </c>
      <c r="B309" s="4">
        <v>1</v>
      </c>
      <c r="C309" s="4">
        <v>1</v>
      </c>
      <c r="D309" s="4">
        <v>0</v>
      </c>
      <c r="E309" s="4">
        <v>0</v>
      </c>
      <c r="F309" s="4">
        <v>1</v>
      </c>
      <c r="G309" s="4">
        <v>90206</v>
      </c>
      <c r="H309" s="4">
        <v>1</v>
      </c>
      <c r="I309" s="4">
        <v>1</v>
      </c>
      <c r="J309" s="4">
        <v>1</v>
      </c>
      <c r="K309" s="4" t="s">
        <v>2442</v>
      </c>
    </row>
    <row r="310" spans="1:11" s="4" customFormat="1">
      <c r="A310" s="4">
        <v>90207</v>
      </c>
      <c r="B310" s="4">
        <v>1</v>
      </c>
      <c r="C310" s="4">
        <v>1</v>
      </c>
      <c r="D310" s="4">
        <v>0</v>
      </c>
      <c r="E310" s="4">
        <v>0</v>
      </c>
      <c r="F310" s="4">
        <v>1</v>
      </c>
      <c r="G310" s="4">
        <v>90207</v>
      </c>
      <c r="H310" s="4">
        <v>1</v>
      </c>
      <c r="I310" s="4">
        <v>1</v>
      </c>
      <c r="J310" s="4">
        <v>1</v>
      </c>
      <c r="K310" s="4" t="s">
        <v>2443</v>
      </c>
    </row>
    <row r="311" spans="1:11" s="4" customFormat="1">
      <c r="A311" s="4">
        <v>90208</v>
      </c>
      <c r="B311" s="4">
        <v>1</v>
      </c>
      <c r="C311" s="4">
        <v>1</v>
      </c>
      <c r="D311" s="4">
        <v>0</v>
      </c>
      <c r="E311" s="4">
        <v>0</v>
      </c>
      <c r="F311" s="4">
        <v>1</v>
      </c>
      <c r="G311" s="4">
        <v>90208</v>
      </c>
      <c r="H311" s="4">
        <v>1</v>
      </c>
      <c r="I311" s="4">
        <v>1</v>
      </c>
      <c r="J311" s="4">
        <v>1</v>
      </c>
      <c r="K311" s="4" t="s">
        <v>2444</v>
      </c>
    </row>
    <row r="312" spans="1:11" s="4" customFormat="1">
      <c r="A312" s="4">
        <v>90209</v>
      </c>
      <c r="B312" s="4">
        <v>1</v>
      </c>
      <c r="C312" s="4">
        <v>1</v>
      </c>
      <c r="D312" s="4">
        <v>0</v>
      </c>
      <c r="E312" s="4">
        <v>0</v>
      </c>
      <c r="F312" s="4">
        <v>1</v>
      </c>
      <c r="G312" s="4">
        <v>90209</v>
      </c>
      <c r="H312" s="4">
        <v>1</v>
      </c>
      <c r="I312" s="4">
        <v>1</v>
      </c>
      <c r="J312" s="4">
        <v>1</v>
      </c>
      <c r="K312" s="4" t="s">
        <v>2445</v>
      </c>
    </row>
    <row r="313" spans="1:11" s="4" customFormat="1">
      <c r="A313" s="4">
        <v>90210</v>
      </c>
      <c r="B313" s="4">
        <v>1</v>
      </c>
      <c r="C313" s="4">
        <v>1</v>
      </c>
      <c r="D313" s="4">
        <v>0</v>
      </c>
      <c r="E313" s="4">
        <v>0</v>
      </c>
      <c r="F313" s="4">
        <v>1</v>
      </c>
      <c r="G313" s="4">
        <v>90210</v>
      </c>
      <c r="H313" s="4">
        <v>1</v>
      </c>
      <c r="I313" s="4">
        <v>1</v>
      </c>
      <c r="J313" s="4">
        <v>1</v>
      </c>
      <c r="K313" s="4" t="s">
        <v>2446</v>
      </c>
    </row>
    <row r="314" spans="1:11" s="4" customFormat="1">
      <c r="A314" s="4">
        <v>90211</v>
      </c>
      <c r="B314" s="4">
        <v>1</v>
      </c>
      <c r="C314" s="4">
        <v>1</v>
      </c>
      <c r="D314" s="4">
        <v>0</v>
      </c>
      <c r="E314" s="4">
        <v>0</v>
      </c>
      <c r="F314" s="4">
        <v>1</v>
      </c>
      <c r="G314" s="4">
        <v>90211</v>
      </c>
      <c r="H314" s="4">
        <v>1</v>
      </c>
      <c r="I314" s="4">
        <v>1</v>
      </c>
      <c r="J314" s="4">
        <v>1</v>
      </c>
      <c r="K314" s="4" t="s">
        <v>2447</v>
      </c>
    </row>
    <row r="315" spans="1:11" s="4" customFormat="1">
      <c r="A315" s="4">
        <v>90212</v>
      </c>
      <c r="B315" s="4">
        <v>1</v>
      </c>
      <c r="C315" s="4">
        <v>1</v>
      </c>
      <c r="D315" s="4">
        <v>0</v>
      </c>
      <c r="E315" s="4">
        <v>0</v>
      </c>
      <c r="F315" s="4">
        <v>1</v>
      </c>
      <c r="G315" s="4">
        <v>90212</v>
      </c>
      <c r="H315" s="4">
        <v>1</v>
      </c>
      <c r="I315" s="4">
        <v>1</v>
      </c>
      <c r="J315" s="4">
        <v>1</v>
      </c>
      <c r="K315" s="4" t="s">
        <v>2993</v>
      </c>
    </row>
    <row r="316" spans="1:11" s="4" customFormat="1">
      <c r="A316" s="4">
        <v>90213</v>
      </c>
      <c r="B316" s="4">
        <v>1</v>
      </c>
      <c r="C316" s="4">
        <v>1</v>
      </c>
      <c r="D316" s="4">
        <v>0</v>
      </c>
      <c r="E316" s="4">
        <v>0</v>
      </c>
      <c r="F316" s="4">
        <v>1</v>
      </c>
      <c r="G316" s="4">
        <v>90213</v>
      </c>
      <c r="H316" s="4">
        <v>1</v>
      </c>
      <c r="I316" s="4">
        <v>1</v>
      </c>
      <c r="J316" s="4">
        <v>1</v>
      </c>
      <c r="K316" s="4" t="s">
        <v>2994</v>
      </c>
    </row>
    <row r="317" spans="1:11" s="4" customFormat="1">
      <c r="A317" s="4">
        <v>90214</v>
      </c>
      <c r="B317" s="4">
        <v>1</v>
      </c>
      <c r="C317" s="4">
        <v>1</v>
      </c>
      <c r="D317" s="4">
        <v>0</v>
      </c>
      <c r="E317" s="4">
        <v>0</v>
      </c>
      <c r="F317" s="4">
        <v>1</v>
      </c>
      <c r="G317" s="4">
        <v>90214</v>
      </c>
      <c r="H317" s="4">
        <v>1</v>
      </c>
      <c r="I317" s="4">
        <v>1</v>
      </c>
      <c r="J317" s="4">
        <v>1</v>
      </c>
      <c r="K317" s="4" t="s">
        <v>2995</v>
      </c>
    </row>
    <row r="318" spans="1:11" s="4" customFormat="1">
      <c r="A318" s="4">
        <v>90215</v>
      </c>
      <c r="B318" s="4">
        <v>1</v>
      </c>
      <c r="C318" s="4">
        <v>1</v>
      </c>
      <c r="D318" s="4">
        <v>0</v>
      </c>
      <c r="E318" s="4">
        <v>0</v>
      </c>
      <c r="F318" s="4">
        <v>1</v>
      </c>
      <c r="G318" s="4">
        <v>90215</v>
      </c>
      <c r="H318" s="4">
        <v>1</v>
      </c>
      <c r="I318" s="4">
        <v>1</v>
      </c>
      <c r="J318" s="4">
        <v>1</v>
      </c>
      <c r="K318" s="4" t="s">
        <v>2996</v>
      </c>
    </row>
    <row r="319" spans="1:11" s="4" customFormat="1">
      <c r="A319" s="4">
        <v>90216</v>
      </c>
      <c r="B319" s="4">
        <v>1</v>
      </c>
      <c r="C319" s="4">
        <v>1</v>
      </c>
      <c r="D319" s="4">
        <v>0</v>
      </c>
      <c r="E319" s="4">
        <v>0</v>
      </c>
      <c r="F319" s="4">
        <v>1</v>
      </c>
      <c r="G319" s="4">
        <v>90216</v>
      </c>
      <c r="H319" s="4">
        <v>1</v>
      </c>
      <c r="I319" s="4">
        <v>1</v>
      </c>
      <c r="J319" s="4">
        <v>1</v>
      </c>
      <c r="K319" s="4" t="s">
        <v>2997</v>
      </c>
    </row>
    <row r="320" spans="1:11" s="4" customFormat="1">
      <c r="A320" s="4">
        <v>90217</v>
      </c>
      <c r="B320" s="4">
        <v>1</v>
      </c>
      <c r="C320" s="4">
        <v>1</v>
      </c>
      <c r="D320" s="4">
        <v>0</v>
      </c>
      <c r="E320" s="4">
        <v>0</v>
      </c>
      <c r="F320" s="4">
        <v>1</v>
      </c>
      <c r="G320" s="4">
        <v>90217</v>
      </c>
      <c r="H320" s="4">
        <v>1</v>
      </c>
      <c r="I320" s="4">
        <v>1</v>
      </c>
      <c r="J320" s="4">
        <v>1</v>
      </c>
      <c r="K320" s="4" t="s">
        <v>3054</v>
      </c>
    </row>
    <row r="321" spans="1:11" s="4" customFormat="1">
      <c r="A321" s="4">
        <v>90218</v>
      </c>
      <c r="B321" s="4">
        <v>1</v>
      </c>
      <c r="C321" s="4">
        <v>1</v>
      </c>
      <c r="D321" s="4">
        <v>0</v>
      </c>
      <c r="E321" s="4">
        <v>0</v>
      </c>
      <c r="F321" s="4">
        <v>1</v>
      </c>
      <c r="G321" s="4">
        <v>90218</v>
      </c>
      <c r="H321" s="4">
        <v>1</v>
      </c>
      <c r="I321" s="4">
        <v>1</v>
      </c>
      <c r="J321" s="4">
        <v>1</v>
      </c>
      <c r="K321" s="4" t="s">
        <v>3055</v>
      </c>
    </row>
    <row r="322" spans="1:11" s="4" customFormat="1">
      <c r="A322" s="4">
        <v>90219</v>
      </c>
      <c r="B322" s="4">
        <v>1</v>
      </c>
      <c r="C322" s="4">
        <v>1</v>
      </c>
      <c r="D322" s="4">
        <v>0</v>
      </c>
      <c r="E322" s="4">
        <v>0</v>
      </c>
      <c r="F322" s="4">
        <v>1</v>
      </c>
      <c r="G322" s="4">
        <v>90219</v>
      </c>
      <c r="H322" s="4">
        <v>1</v>
      </c>
      <c r="I322" s="4">
        <v>1</v>
      </c>
      <c r="J322" s="4">
        <v>1</v>
      </c>
      <c r="K322" s="4" t="s">
        <v>3056</v>
      </c>
    </row>
    <row r="323" spans="1:11" s="4" customFormat="1">
      <c r="A323" s="4">
        <v>91001</v>
      </c>
      <c r="B323" s="4">
        <v>1</v>
      </c>
      <c r="C323" s="4">
        <v>1</v>
      </c>
      <c r="D323" s="4">
        <v>0</v>
      </c>
      <c r="E323" s="4">
        <v>0</v>
      </c>
      <c r="F323" s="4">
        <v>1</v>
      </c>
      <c r="G323" s="4">
        <v>91001</v>
      </c>
      <c r="H323" s="4">
        <v>1</v>
      </c>
      <c r="I323" s="4">
        <v>1</v>
      </c>
      <c r="J323" s="4">
        <v>1</v>
      </c>
      <c r="K323" s="4" t="s">
        <v>3036</v>
      </c>
    </row>
    <row r="324" spans="1:11" s="4" customFormat="1">
      <c r="A324" s="4">
        <v>91002</v>
      </c>
      <c r="B324" s="4">
        <v>1</v>
      </c>
      <c r="C324" s="4">
        <v>1</v>
      </c>
      <c r="D324" s="4">
        <v>0</v>
      </c>
      <c r="E324" s="4">
        <v>0</v>
      </c>
      <c r="F324" s="4">
        <v>1</v>
      </c>
      <c r="G324" s="4">
        <v>91002</v>
      </c>
      <c r="H324" s="4">
        <v>1</v>
      </c>
      <c r="I324" s="4">
        <v>1</v>
      </c>
      <c r="J324" s="4">
        <v>1</v>
      </c>
      <c r="K324" s="4" t="s">
        <v>3037</v>
      </c>
    </row>
    <row r="325" spans="1:11" s="4" customFormat="1">
      <c r="A325" s="4">
        <v>91003</v>
      </c>
      <c r="B325" s="4">
        <v>1</v>
      </c>
      <c r="C325" s="4">
        <v>1</v>
      </c>
      <c r="D325" s="4">
        <v>0</v>
      </c>
      <c r="E325" s="4">
        <v>0</v>
      </c>
      <c r="F325" s="4">
        <v>1</v>
      </c>
      <c r="G325" s="4">
        <v>91003</v>
      </c>
      <c r="H325" s="4">
        <v>1</v>
      </c>
      <c r="I325" s="4">
        <v>1</v>
      </c>
      <c r="J325" s="4">
        <v>1</v>
      </c>
      <c r="K325" s="4" t="s">
        <v>3038</v>
      </c>
    </row>
    <row r="326" spans="1:11" s="4" customFormat="1">
      <c r="A326" s="4">
        <v>91004</v>
      </c>
      <c r="B326" s="4">
        <v>1</v>
      </c>
      <c r="C326" s="4">
        <v>1</v>
      </c>
      <c r="D326" s="4">
        <v>0</v>
      </c>
      <c r="E326" s="4">
        <v>0</v>
      </c>
      <c r="F326" s="4">
        <v>1</v>
      </c>
      <c r="G326" s="4">
        <v>91004</v>
      </c>
      <c r="H326" s="4">
        <v>1</v>
      </c>
      <c r="I326" s="4">
        <v>1</v>
      </c>
      <c r="J326" s="4">
        <v>1</v>
      </c>
      <c r="K326" s="4" t="s">
        <v>3039</v>
      </c>
    </row>
    <row r="327" spans="1:11" s="4" customFormat="1">
      <c r="A327" s="4">
        <v>91005</v>
      </c>
      <c r="B327" s="4">
        <v>1</v>
      </c>
      <c r="C327" s="4">
        <v>1</v>
      </c>
      <c r="D327" s="4">
        <v>0</v>
      </c>
      <c r="E327" s="4">
        <v>0</v>
      </c>
      <c r="F327" s="4">
        <v>1</v>
      </c>
      <c r="G327" s="4">
        <v>91005</v>
      </c>
      <c r="H327" s="4">
        <v>1</v>
      </c>
      <c r="I327" s="4">
        <v>1</v>
      </c>
      <c r="J327" s="4">
        <v>1</v>
      </c>
      <c r="K327" s="4" t="s">
        <v>3040</v>
      </c>
    </row>
    <row r="328" spans="1:11" s="4" customFormat="1">
      <c r="A328" s="4">
        <v>91006</v>
      </c>
      <c r="B328" s="4">
        <v>1</v>
      </c>
      <c r="C328" s="4">
        <v>1</v>
      </c>
      <c r="D328" s="4">
        <v>0</v>
      </c>
      <c r="E328" s="4">
        <v>0</v>
      </c>
      <c r="F328" s="4">
        <v>1</v>
      </c>
      <c r="G328" s="4">
        <v>91006</v>
      </c>
      <c r="H328" s="4">
        <v>1</v>
      </c>
      <c r="I328" s="4">
        <v>1</v>
      </c>
      <c r="J328" s="4">
        <v>1</v>
      </c>
      <c r="K328" s="4" t="s">
        <v>3041</v>
      </c>
    </row>
    <row r="329" spans="1:11" s="4" customFormat="1">
      <c r="A329" s="4">
        <v>91011</v>
      </c>
      <c r="B329" s="4">
        <v>1</v>
      </c>
      <c r="C329" s="4">
        <v>1</v>
      </c>
      <c r="D329" s="4">
        <v>0</v>
      </c>
      <c r="E329" s="4">
        <v>0</v>
      </c>
      <c r="F329" s="4">
        <v>1</v>
      </c>
      <c r="G329" s="4">
        <v>91011</v>
      </c>
      <c r="H329" s="4">
        <v>1</v>
      </c>
      <c r="I329" s="4">
        <v>1</v>
      </c>
      <c r="J329" s="4">
        <v>1</v>
      </c>
      <c r="K329" s="4" t="s">
        <v>2998</v>
      </c>
    </row>
    <row r="330" spans="1:11" s="4" customFormat="1">
      <c r="A330" s="4">
        <v>91012</v>
      </c>
      <c r="B330" s="4">
        <v>1</v>
      </c>
      <c r="C330" s="4">
        <v>1</v>
      </c>
      <c r="D330" s="4">
        <v>0</v>
      </c>
      <c r="E330" s="4">
        <v>0</v>
      </c>
      <c r="F330" s="4">
        <v>1</v>
      </c>
      <c r="G330" s="4">
        <v>91012</v>
      </c>
      <c r="H330" s="4">
        <v>1</v>
      </c>
      <c r="I330" s="4">
        <v>1</v>
      </c>
      <c r="J330" s="4">
        <v>1</v>
      </c>
      <c r="K330" s="4" t="s">
        <v>2999</v>
      </c>
    </row>
    <row r="331" spans="1:11" s="4" customFormat="1">
      <c r="A331" s="4">
        <v>91013</v>
      </c>
      <c r="B331" s="4">
        <v>1</v>
      </c>
      <c r="C331" s="4">
        <v>1</v>
      </c>
      <c r="D331" s="4">
        <v>0</v>
      </c>
      <c r="E331" s="4">
        <v>0</v>
      </c>
      <c r="F331" s="4">
        <v>1</v>
      </c>
      <c r="G331" s="4">
        <v>91013</v>
      </c>
      <c r="H331" s="4">
        <v>1</v>
      </c>
      <c r="I331" s="4">
        <v>1</v>
      </c>
      <c r="J331" s="4">
        <v>1</v>
      </c>
      <c r="K331" s="4" t="s">
        <v>3000</v>
      </c>
    </row>
    <row r="332" spans="1:11" s="4" customFormat="1">
      <c r="A332" s="4">
        <v>91014</v>
      </c>
      <c r="B332" s="4">
        <v>1</v>
      </c>
      <c r="C332" s="4">
        <v>1</v>
      </c>
      <c r="D332" s="4">
        <v>0</v>
      </c>
      <c r="E332" s="4">
        <v>0</v>
      </c>
      <c r="F332" s="4">
        <v>1</v>
      </c>
      <c r="G332" s="4">
        <v>91014</v>
      </c>
      <c r="H332" s="4">
        <v>1</v>
      </c>
      <c r="I332" s="4">
        <v>1</v>
      </c>
      <c r="J332" s="4">
        <v>1</v>
      </c>
      <c r="K332" s="4" t="s">
        <v>3001</v>
      </c>
    </row>
    <row r="333" spans="1:11" s="4" customFormat="1">
      <c r="A333" s="4">
        <v>91021</v>
      </c>
      <c r="B333" s="4">
        <v>1</v>
      </c>
      <c r="C333" s="4">
        <v>1</v>
      </c>
      <c r="D333" s="4">
        <v>0</v>
      </c>
      <c r="E333" s="4">
        <v>0</v>
      </c>
      <c r="F333" s="4">
        <v>1</v>
      </c>
      <c r="G333" s="4">
        <v>91021</v>
      </c>
      <c r="H333" s="4">
        <v>1</v>
      </c>
      <c r="I333" s="4">
        <v>1</v>
      </c>
      <c r="J333" s="4">
        <v>1</v>
      </c>
      <c r="K333" s="4" t="s">
        <v>3028</v>
      </c>
    </row>
    <row r="334" spans="1:11" s="4" customFormat="1">
      <c r="A334" s="4">
        <v>91022</v>
      </c>
      <c r="B334" s="4">
        <v>1</v>
      </c>
      <c r="C334" s="4">
        <v>1</v>
      </c>
      <c r="D334" s="4">
        <v>0</v>
      </c>
      <c r="E334" s="4">
        <v>0</v>
      </c>
      <c r="F334" s="4">
        <v>1</v>
      </c>
      <c r="G334" s="4">
        <v>91022</v>
      </c>
      <c r="H334" s="4">
        <v>1</v>
      </c>
      <c r="I334" s="4">
        <v>1</v>
      </c>
      <c r="J334" s="4">
        <v>1</v>
      </c>
      <c r="K334" s="4" t="s">
        <v>3029</v>
      </c>
    </row>
    <row r="335" spans="1:11" s="4" customFormat="1">
      <c r="A335" s="4">
        <v>91023</v>
      </c>
      <c r="B335" s="4">
        <v>1</v>
      </c>
      <c r="C335" s="4">
        <v>1</v>
      </c>
      <c r="D335" s="4">
        <v>0</v>
      </c>
      <c r="E335" s="4">
        <v>0</v>
      </c>
      <c r="F335" s="4">
        <v>1</v>
      </c>
      <c r="G335" s="4">
        <v>91023</v>
      </c>
      <c r="H335" s="4">
        <v>1</v>
      </c>
      <c r="I335" s="4">
        <v>1</v>
      </c>
      <c r="J335" s="4">
        <v>1</v>
      </c>
      <c r="K335" s="4" t="s">
        <v>3030</v>
      </c>
    </row>
    <row r="336" spans="1:11" s="4" customFormat="1">
      <c r="A336" s="4">
        <v>91024</v>
      </c>
      <c r="B336" s="4">
        <v>1</v>
      </c>
      <c r="C336" s="4">
        <v>1</v>
      </c>
      <c r="D336" s="4">
        <v>0</v>
      </c>
      <c r="E336" s="4">
        <v>0</v>
      </c>
      <c r="F336" s="4">
        <v>1</v>
      </c>
      <c r="G336" s="4">
        <v>91024</v>
      </c>
      <c r="H336" s="4">
        <v>1</v>
      </c>
      <c r="I336" s="4">
        <v>1</v>
      </c>
      <c r="J336" s="4">
        <v>1</v>
      </c>
      <c r="K336" s="4" t="s">
        <v>3031</v>
      </c>
    </row>
    <row r="337" spans="1:11" s="4" customFormat="1">
      <c r="A337" s="4">
        <v>91025</v>
      </c>
      <c r="B337" s="4">
        <v>1</v>
      </c>
      <c r="C337" s="4">
        <v>1</v>
      </c>
      <c r="D337" s="4">
        <v>0</v>
      </c>
      <c r="E337" s="4">
        <v>0</v>
      </c>
      <c r="F337" s="4">
        <v>1</v>
      </c>
      <c r="G337" s="4">
        <v>91025</v>
      </c>
      <c r="H337" s="4">
        <v>1</v>
      </c>
      <c r="I337" s="4">
        <v>1</v>
      </c>
      <c r="J337" s="4">
        <v>1</v>
      </c>
      <c r="K337" s="4" t="s">
        <v>3032</v>
      </c>
    </row>
    <row r="338" spans="1:11" s="4" customFormat="1">
      <c r="A338" s="4">
        <v>91101</v>
      </c>
      <c r="B338" s="4">
        <v>1</v>
      </c>
      <c r="C338" s="4">
        <v>1</v>
      </c>
      <c r="D338" s="4">
        <v>0</v>
      </c>
      <c r="E338" s="4">
        <v>0</v>
      </c>
      <c r="F338" s="4">
        <v>1</v>
      </c>
      <c r="G338" s="4">
        <v>91101</v>
      </c>
      <c r="H338" s="4">
        <v>1</v>
      </c>
      <c r="I338" s="4">
        <v>1</v>
      </c>
      <c r="J338" s="4">
        <v>1</v>
      </c>
      <c r="K338" s="4" t="s">
        <v>3033</v>
      </c>
    </row>
    <row r="339" spans="1:11" s="4" customFormat="1">
      <c r="A339" s="4">
        <v>91102</v>
      </c>
      <c r="B339" s="4">
        <v>1</v>
      </c>
      <c r="C339" s="4">
        <v>1</v>
      </c>
      <c r="D339" s="4">
        <v>0</v>
      </c>
      <c r="E339" s="4">
        <v>0</v>
      </c>
      <c r="F339" s="4">
        <v>1</v>
      </c>
      <c r="G339" s="4">
        <v>91102</v>
      </c>
      <c r="H339" s="4">
        <v>1</v>
      </c>
      <c r="I339" s="4">
        <v>1</v>
      </c>
      <c r="J339" s="4">
        <v>1</v>
      </c>
      <c r="K339" s="4" t="s">
        <v>3034</v>
      </c>
    </row>
    <row r="340" spans="1:11" s="4" customFormat="1">
      <c r="A340" s="4">
        <v>91103</v>
      </c>
      <c r="B340" s="4">
        <v>1</v>
      </c>
      <c r="C340" s="4">
        <v>1</v>
      </c>
      <c r="D340" s="4">
        <v>0</v>
      </c>
      <c r="E340" s="4">
        <v>0</v>
      </c>
      <c r="F340" s="4">
        <v>1</v>
      </c>
      <c r="G340" s="4">
        <v>91103</v>
      </c>
      <c r="H340" s="4">
        <v>1</v>
      </c>
      <c r="I340" s="4">
        <v>1</v>
      </c>
      <c r="J340" s="4">
        <v>1</v>
      </c>
      <c r="K340" s="4" t="s">
        <v>3035</v>
      </c>
    </row>
    <row r="341" spans="1:11" s="4" customFormat="1">
      <c r="A341" s="4">
        <v>91104</v>
      </c>
      <c r="B341" s="4">
        <v>1</v>
      </c>
      <c r="C341" s="4">
        <v>1</v>
      </c>
      <c r="D341" s="4">
        <v>0</v>
      </c>
      <c r="E341" s="4">
        <v>0</v>
      </c>
      <c r="F341" s="4">
        <v>1</v>
      </c>
      <c r="G341" s="4">
        <v>91104</v>
      </c>
      <c r="H341" s="4">
        <v>1</v>
      </c>
      <c r="I341" s="4">
        <v>1</v>
      </c>
      <c r="J341" s="4">
        <v>1</v>
      </c>
      <c r="K341" s="4" t="s">
        <v>3042</v>
      </c>
    </row>
    <row r="342" spans="1:11">
      <c r="A342">
        <v>92001</v>
      </c>
      <c r="B342">
        <v>1</v>
      </c>
      <c r="C342">
        <v>1</v>
      </c>
      <c r="D342" s="4">
        <v>0</v>
      </c>
      <c r="E342" s="4">
        <v>0</v>
      </c>
      <c r="F342" s="4">
        <v>1</v>
      </c>
      <c r="G342">
        <v>92001</v>
      </c>
      <c r="H342">
        <v>1</v>
      </c>
      <c r="I342">
        <v>1</v>
      </c>
      <c r="J342">
        <v>1</v>
      </c>
      <c r="K342" t="s">
        <v>457</v>
      </c>
    </row>
    <row r="343" spans="1:11">
      <c r="A343">
        <v>92002</v>
      </c>
      <c r="B343">
        <v>1</v>
      </c>
      <c r="C343">
        <v>1</v>
      </c>
      <c r="D343" s="4">
        <v>0</v>
      </c>
      <c r="E343" s="4">
        <v>0</v>
      </c>
      <c r="F343" s="4">
        <v>1</v>
      </c>
      <c r="G343">
        <v>92002</v>
      </c>
      <c r="H343">
        <v>1</v>
      </c>
      <c r="I343">
        <v>1</v>
      </c>
      <c r="J343">
        <v>1</v>
      </c>
      <c r="K343" t="s">
        <v>458</v>
      </c>
    </row>
    <row r="344" spans="1:11">
      <c r="A344">
        <v>92003</v>
      </c>
      <c r="B344">
        <v>1</v>
      </c>
      <c r="C344">
        <v>1</v>
      </c>
      <c r="D344" s="4">
        <v>0</v>
      </c>
      <c r="E344" s="4">
        <v>0</v>
      </c>
      <c r="F344" s="4">
        <v>1</v>
      </c>
      <c r="G344">
        <v>92003</v>
      </c>
      <c r="H344">
        <v>1</v>
      </c>
      <c r="I344">
        <v>1</v>
      </c>
      <c r="J344">
        <v>1</v>
      </c>
      <c r="K344" t="s">
        <v>459</v>
      </c>
    </row>
    <row r="345" spans="1:11">
      <c r="A345">
        <v>92004</v>
      </c>
      <c r="B345">
        <v>1</v>
      </c>
      <c r="C345">
        <v>1</v>
      </c>
      <c r="D345" s="4">
        <v>0</v>
      </c>
      <c r="E345" s="4">
        <v>0</v>
      </c>
      <c r="F345" s="4">
        <v>1</v>
      </c>
      <c r="G345">
        <v>92004</v>
      </c>
      <c r="H345">
        <v>1</v>
      </c>
      <c r="I345">
        <v>1</v>
      </c>
      <c r="J345">
        <v>1</v>
      </c>
      <c r="K345" t="s">
        <v>460</v>
      </c>
    </row>
    <row r="346" spans="1:11" s="4" customFormat="1">
      <c r="A346" s="4">
        <v>93002</v>
      </c>
      <c r="B346" s="4">
        <v>1</v>
      </c>
      <c r="C346" s="4">
        <v>1</v>
      </c>
      <c r="D346" s="4">
        <v>0</v>
      </c>
      <c r="E346" s="4">
        <v>0</v>
      </c>
      <c r="F346" s="4">
        <v>1</v>
      </c>
      <c r="G346" s="4">
        <v>93002</v>
      </c>
      <c r="H346" s="4">
        <v>1</v>
      </c>
      <c r="I346" s="4">
        <v>1</v>
      </c>
      <c r="J346" s="4">
        <v>1</v>
      </c>
      <c r="K346" s="4" t="s">
        <v>3002</v>
      </c>
    </row>
    <row r="347" spans="1:11" s="4" customFormat="1">
      <c r="A347" s="4">
        <v>94001</v>
      </c>
      <c r="B347" s="4">
        <v>1</v>
      </c>
      <c r="C347" s="4">
        <v>1</v>
      </c>
      <c r="D347" s="4">
        <v>0</v>
      </c>
      <c r="E347" s="4">
        <v>0</v>
      </c>
      <c r="F347" s="4">
        <v>1</v>
      </c>
      <c r="G347" s="4">
        <v>94001</v>
      </c>
      <c r="H347" s="4">
        <v>1</v>
      </c>
      <c r="I347" s="4">
        <v>1</v>
      </c>
      <c r="J347" s="4">
        <v>1</v>
      </c>
      <c r="K347" s="4" t="s">
        <v>3003</v>
      </c>
    </row>
    <row r="348" spans="1:11" s="4" customFormat="1">
      <c r="A348" s="4">
        <v>94002</v>
      </c>
      <c r="B348" s="4">
        <v>1</v>
      </c>
      <c r="C348" s="4">
        <v>1</v>
      </c>
      <c r="D348" s="4">
        <v>0</v>
      </c>
      <c r="E348" s="4">
        <v>0</v>
      </c>
      <c r="F348" s="4">
        <v>1</v>
      </c>
      <c r="G348" s="4">
        <v>94002</v>
      </c>
      <c r="H348" s="4">
        <v>1</v>
      </c>
      <c r="I348" s="4">
        <v>1</v>
      </c>
      <c r="J348" s="4">
        <v>1</v>
      </c>
      <c r="K348" s="4" t="s">
        <v>3004</v>
      </c>
    </row>
    <row r="349" spans="1:11" s="4" customFormat="1">
      <c r="A349" s="4">
        <v>94003</v>
      </c>
      <c r="B349" s="4">
        <v>1</v>
      </c>
      <c r="C349" s="4">
        <v>1</v>
      </c>
      <c r="D349" s="4">
        <v>0</v>
      </c>
      <c r="E349" s="4">
        <v>0</v>
      </c>
      <c r="F349" s="4">
        <v>1</v>
      </c>
      <c r="G349" s="4">
        <v>94003</v>
      </c>
      <c r="H349" s="4">
        <v>1</v>
      </c>
      <c r="I349" s="4">
        <v>1</v>
      </c>
      <c r="J349" s="4">
        <v>1</v>
      </c>
      <c r="K349" s="4" t="s">
        <v>3050</v>
      </c>
    </row>
    <row r="350" spans="1:11" s="4" customFormat="1">
      <c r="A350" s="4">
        <v>94004</v>
      </c>
      <c r="B350" s="4">
        <v>1</v>
      </c>
      <c r="C350" s="4">
        <v>1</v>
      </c>
      <c r="D350" s="4">
        <v>0</v>
      </c>
      <c r="E350" s="4">
        <v>0</v>
      </c>
      <c r="F350" s="4">
        <v>1</v>
      </c>
      <c r="G350" s="4">
        <v>94004</v>
      </c>
      <c r="H350" s="4">
        <v>1</v>
      </c>
      <c r="I350" s="4">
        <v>1</v>
      </c>
      <c r="J350" s="4">
        <v>1</v>
      </c>
      <c r="K350" s="4" t="s">
        <v>3051</v>
      </c>
    </row>
    <row r="351" spans="1:11" s="4" customFormat="1">
      <c r="A351" s="4">
        <v>94005</v>
      </c>
      <c r="B351" s="4">
        <v>1</v>
      </c>
      <c r="C351" s="4">
        <v>1</v>
      </c>
      <c r="D351" s="4">
        <v>0</v>
      </c>
      <c r="E351" s="4">
        <v>0</v>
      </c>
      <c r="F351" s="4">
        <v>1</v>
      </c>
      <c r="G351" s="4">
        <v>94005</v>
      </c>
      <c r="H351" s="4">
        <v>1</v>
      </c>
      <c r="I351" s="4">
        <v>1</v>
      </c>
      <c r="J351" s="4">
        <v>1</v>
      </c>
      <c r="K351" s="4" t="s">
        <v>3052</v>
      </c>
    </row>
    <row r="352" spans="1:11" s="4" customFormat="1">
      <c r="A352" s="4">
        <v>94006</v>
      </c>
      <c r="B352" s="4">
        <v>1</v>
      </c>
      <c r="C352" s="4">
        <v>1</v>
      </c>
      <c r="D352" s="4">
        <v>0</v>
      </c>
      <c r="E352" s="4">
        <v>0</v>
      </c>
      <c r="F352" s="4">
        <v>1</v>
      </c>
      <c r="G352" s="4">
        <v>94006</v>
      </c>
      <c r="H352" s="4">
        <v>1</v>
      </c>
      <c r="I352" s="4">
        <v>1</v>
      </c>
      <c r="J352" s="4">
        <v>1</v>
      </c>
      <c r="K352" s="4" t="s">
        <v>3053</v>
      </c>
    </row>
    <row r="353" spans="1:11">
      <c r="A353">
        <v>100001</v>
      </c>
      <c r="B353">
        <v>1</v>
      </c>
      <c r="C353">
        <v>1</v>
      </c>
      <c r="D353" s="4">
        <v>0</v>
      </c>
      <c r="E353" s="4">
        <v>0</v>
      </c>
      <c r="F353" s="4">
        <v>1</v>
      </c>
      <c r="G353">
        <v>100001</v>
      </c>
      <c r="H353">
        <v>1</v>
      </c>
      <c r="I353">
        <v>1</v>
      </c>
      <c r="J353">
        <v>1</v>
      </c>
      <c r="K353" t="s">
        <v>277</v>
      </c>
    </row>
    <row r="354" spans="1:11">
      <c r="A354">
        <v>100002</v>
      </c>
      <c r="B354">
        <v>1</v>
      </c>
      <c r="C354">
        <v>1</v>
      </c>
      <c r="D354" s="4">
        <v>0</v>
      </c>
      <c r="E354" s="4">
        <v>0</v>
      </c>
      <c r="F354" s="4">
        <v>1</v>
      </c>
      <c r="G354">
        <v>100002</v>
      </c>
      <c r="H354">
        <v>1</v>
      </c>
      <c r="I354">
        <v>1</v>
      </c>
      <c r="J354">
        <v>1</v>
      </c>
      <c r="K354" s="4" t="s">
        <v>741</v>
      </c>
    </row>
    <row r="355" spans="1:11">
      <c r="A355">
        <v>100003</v>
      </c>
      <c r="B355">
        <v>1</v>
      </c>
      <c r="C355">
        <v>1</v>
      </c>
      <c r="D355" s="4">
        <v>0</v>
      </c>
      <c r="E355" s="4">
        <v>0</v>
      </c>
      <c r="F355" s="4">
        <v>1</v>
      </c>
      <c r="G355">
        <v>100003</v>
      </c>
      <c r="H355">
        <v>1</v>
      </c>
      <c r="I355">
        <v>1</v>
      </c>
      <c r="J355">
        <v>1</v>
      </c>
      <c r="K355" s="4" t="s">
        <v>742</v>
      </c>
    </row>
    <row r="356" spans="1:11">
      <c r="A356">
        <v>100004</v>
      </c>
      <c r="B356">
        <v>1</v>
      </c>
      <c r="C356">
        <v>1</v>
      </c>
      <c r="D356" s="4">
        <v>0</v>
      </c>
      <c r="E356" s="4">
        <v>0</v>
      </c>
      <c r="F356" s="4">
        <v>1</v>
      </c>
      <c r="G356">
        <v>100004</v>
      </c>
      <c r="H356">
        <v>1</v>
      </c>
      <c r="I356">
        <v>1</v>
      </c>
      <c r="J356">
        <v>1</v>
      </c>
      <c r="K356" s="4" t="s">
        <v>743</v>
      </c>
    </row>
    <row r="357" spans="1:11">
      <c r="A357">
        <v>100005</v>
      </c>
      <c r="B357">
        <v>1</v>
      </c>
      <c r="C357">
        <v>1</v>
      </c>
      <c r="D357" s="4">
        <v>0</v>
      </c>
      <c r="E357" s="4">
        <v>0</v>
      </c>
      <c r="F357" s="4">
        <v>1</v>
      </c>
      <c r="G357">
        <v>100005</v>
      </c>
      <c r="H357">
        <v>1</v>
      </c>
      <c r="I357">
        <v>1</v>
      </c>
      <c r="J357">
        <v>1</v>
      </c>
      <c r="K357" t="s">
        <v>278</v>
      </c>
    </row>
    <row r="358" spans="1:11">
      <c r="A358">
        <v>100006</v>
      </c>
      <c r="B358">
        <v>1</v>
      </c>
      <c r="C358">
        <v>1</v>
      </c>
      <c r="D358" s="4">
        <v>0</v>
      </c>
      <c r="E358" s="4">
        <v>0</v>
      </c>
      <c r="F358" s="4">
        <v>1</v>
      </c>
      <c r="G358">
        <v>100006</v>
      </c>
      <c r="H358">
        <v>1</v>
      </c>
      <c r="I358">
        <v>1</v>
      </c>
      <c r="J358">
        <v>1</v>
      </c>
      <c r="K358" t="s">
        <v>279</v>
      </c>
    </row>
    <row r="359" spans="1:11" s="4" customFormat="1">
      <c r="A359" s="7">
        <v>110000</v>
      </c>
      <c r="B359" s="4">
        <v>1</v>
      </c>
      <c r="C359" s="4">
        <v>1</v>
      </c>
      <c r="D359" s="4">
        <v>0</v>
      </c>
      <c r="E359" s="4">
        <v>0</v>
      </c>
      <c r="F359" s="4">
        <v>1</v>
      </c>
      <c r="G359" s="7">
        <v>111002</v>
      </c>
      <c r="H359" s="4">
        <v>1</v>
      </c>
      <c r="I359" s="4">
        <v>1</v>
      </c>
      <c r="J359" s="4">
        <v>1</v>
      </c>
      <c r="K359" s="4" t="s">
        <v>744</v>
      </c>
    </row>
    <row r="360" spans="1:11" s="4" customFormat="1">
      <c r="A360" s="7">
        <v>110001</v>
      </c>
      <c r="B360" s="4">
        <v>1</v>
      </c>
      <c r="C360" s="4">
        <v>1</v>
      </c>
      <c r="D360" s="4">
        <v>0</v>
      </c>
      <c r="E360" s="4">
        <v>0</v>
      </c>
      <c r="F360" s="4">
        <v>1</v>
      </c>
      <c r="G360" s="7">
        <v>111004</v>
      </c>
      <c r="H360" s="4">
        <v>1</v>
      </c>
      <c r="I360" s="4">
        <v>1</v>
      </c>
      <c r="J360" s="4">
        <v>1</v>
      </c>
      <c r="K360" s="4" t="s">
        <v>3005</v>
      </c>
    </row>
    <row r="361" spans="1:11">
      <c r="A361">
        <v>111001</v>
      </c>
      <c r="B361">
        <v>1</v>
      </c>
      <c r="C361">
        <v>1</v>
      </c>
      <c r="D361" s="4">
        <v>0</v>
      </c>
      <c r="E361" s="4">
        <v>0</v>
      </c>
      <c r="F361" s="4">
        <v>1</v>
      </c>
      <c r="G361">
        <v>111001</v>
      </c>
      <c r="H361">
        <v>1</v>
      </c>
      <c r="I361">
        <f>ROUND(RIGHT(A361,3)*80%,0)</f>
        <v>1</v>
      </c>
      <c r="J361">
        <f>ROUND(RIGHT(A361,3)*120%,0)</f>
        <v>1</v>
      </c>
      <c r="K361" t="s">
        <v>789</v>
      </c>
    </row>
    <row r="362" spans="1:11">
      <c r="A362">
        <v>111002</v>
      </c>
      <c r="B362">
        <v>1</v>
      </c>
      <c r="C362">
        <v>1</v>
      </c>
      <c r="D362" s="4">
        <v>0</v>
      </c>
      <c r="E362" s="4">
        <v>0</v>
      </c>
      <c r="F362" s="4">
        <v>1</v>
      </c>
      <c r="G362">
        <v>111001</v>
      </c>
      <c r="H362">
        <v>1</v>
      </c>
      <c r="I362" s="4">
        <f t="shared" ref="I362:I425" si="0">ROUND(RIGHT(A362,3)*80%,0)</f>
        <v>2</v>
      </c>
      <c r="J362" s="4">
        <f t="shared" ref="J362:J425" si="1">ROUND(RIGHT(A362,3)*120%,0)</f>
        <v>2</v>
      </c>
      <c r="K362" s="4" t="s">
        <v>790</v>
      </c>
    </row>
    <row r="363" spans="1:11">
      <c r="A363" s="4">
        <v>111003</v>
      </c>
      <c r="B363">
        <v>1</v>
      </c>
      <c r="C363">
        <v>1</v>
      </c>
      <c r="D363" s="4">
        <v>0</v>
      </c>
      <c r="E363" s="4">
        <v>0</v>
      </c>
      <c r="F363" s="4">
        <v>1</v>
      </c>
      <c r="G363">
        <v>111001</v>
      </c>
      <c r="H363">
        <v>1</v>
      </c>
      <c r="I363" s="4">
        <f t="shared" si="0"/>
        <v>2</v>
      </c>
      <c r="J363" s="4">
        <f t="shared" si="1"/>
        <v>4</v>
      </c>
      <c r="K363" s="4" t="s">
        <v>791</v>
      </c>
    </row>
    <row r="364" spans="1:11">
      <c r="A364" s="4">
        <v>111004</v>
      </c>
      <c r="B364">
        <v>1</v>
      </c>
      <c r="C364">
        <v>1</v>
      </c>
      <c r="D364" s="4">
        <v>0</v>
      </c>
      <c r="E364" s="4">
        <v>0</v>
      </c>
      <c r="F364" s="4">
        <v>1</v>
      </c>
      <c r="G364">
        <v>111001</v>
      </c>
      <c r="H364">
        <v>1</v>
      </c>
      <c r="I364" s="4">
        <f t="shared" si="0"/>
        <v>3</v>
      </c>
      <c r="J364" s="4">
        <f t="shared" si="1"/>
        <v>5</v>
      </c>
      <c r="K364" s="4" t="s">
        <v>792</v>
      </c>
    </row>
    <row r="365" spans="1:11">
      <c r="A365" s="4">
        <v>111005</v>
      </c>
      <c r="B365">
        <v>1</v>
      </c>
      <c r="C365">
        <v>1</v>
      </c>
      <c r="D365" s="4">
        <v>0</v>
      </c>
      <c r="E365" s="4">
        <v>0</v>
      </c>
      <c r="F365" s="4">
        <v>1</v>
      </c>
      <c r="G365">
        <v>111001</v>
      </c>
      <c r="H365">
        <v>1</v>
      </c>
      <c r="I365" s="4">
        <f t="shared" si="0"/>
        <v>4</v>
      </c>
      <c r="J365" s="4">
        <f t="shared" si="1"/>
        <v>6</v>
      </c>
      <c r="K365" s="4" t="s">
        <v>793</v>
      </c>
    </row>
    <row r="366" spans="1:11" s="4" customFormat="1">
      <c r="A366" s="4">
        <v>111006</v>
      </c>
      <c r="B366" s="4">
        <v>1</v>
      </c>
      <c r="C366" s="4">
        <v>1</v>
      </c>
      <c r="D366" s="4">
        <v>0</v>
      </c>
      <c r="E366" s="4">
        <v>0</v>
      </c>
      <c r="F366" s="4">
        <v>1</v>
      </c>
      <c r="G366" s="4">
        <v>111001</v>
      </c>
      <c r="H366" s="4">
        <v>1</v>
      </c>
      <c r="I366" s="4">
        <f t="shared" si="0"/>
        <v>5</v>
      </c>
      <c r="J366" s="4">
        <f t="shared" si="1"/>
        <v>7</v>
      </c>
      <c r="K366" s="4" t="s">
        <v>794</v>
      </c>
    </row>
    <row r="367" spans="1:11" s="4" customFormat="1">
      <c r="A367" s="4">
        <v>111007</v>
      </c>
      <c r="B367" s="4">
        <v>1</v>
      </c>
      <c r="C367" s="4">
        <v>1</v>
      </c>
      <c r="D367" s="4">
        <v>0</v>
      </c>
      <c r="E367" s="4">
        <v>0</v>
      </c>
      <c r="F367" s="4">
        <v>1</v>
      </c>
      <c r="G367" s="4">
        <v>111001</v>
      </c>
      <c r="H367" s="4">
        <v>1</v>
      </c>
      <c r="I367" s="4">
        <f t="shared" si="0"/>
        <v>6</v>
      </c>
      <c r="J367" s="4">
        <f t="shared" si="1"/>
        <v>8</v>
      </c>
      <c r="K367" s="4" t="s">
        <v>795</v>
      </c>
    </row>
    <row r="368" spans="1:11" s="4" customFormat="1">
      <c r="A368" s="4">
        <v>111008</v>
      </c>
      <c r="B368" s="4">
        <v>1</v>
      </c>
      <c r="C368" s="4">
        <v>1</v>
      </c>
      <c r="D368" s="4">
        <v>0</v>
      </c>
      <c r="E368" s="4">
        <v>0</v>
      </c>
      <c r="F368" s="4">
        <v>1</v>
      </c>
      <c r="G368" s="4">
        <v>111001</v>
      </c>
      <c r="H368" s="4">
        <v>1</v>
      </c>
      <c r="I368" s="4">
        <f t="shared" si="0"/>
        <v>6</v>
      </c>
      <c r="J368" s="4">
        <f t="shared" si="1"/>
        <v>10</v>
      </c>
      <c r="K368" s="4" t="s">
        <v>796</v>
      </c>
    </row>
    <row r="369" spans="1:11" s="4" customFormat="1">
      <c r="A369" s="4">
        <v>111009</v>
      </c>
      <c r="B369" s="4">
        <v>1</v>
      </c>
      <c r="C369" s="4">
        <v>1</v>
      </c>
      <c r="D369" s="4">
        <v>0</v>
      </c>
      <c r="E369" s="4">
        <v>0</v>
      </c>
      <c r="F369" s="4">
        <v>1</v>
      </c>
      <c r="G369" s="4">
        <v>111001</v>
      </c>
      <c r="H369" s="4">
        <v>1</v>
      </c>
      <c r="I369" s="4">
        <f t="shared" si="0"/>
        <v>7</v>
      </c>
      <c r="J369" s="4">
        <f t="shared" si="1"/>
        <v>11</v>
      </c>
      <c r="K369" s="4" t="s">
        <v>797</v>
      </c>
    </row>
    <row r="370" spans="1:11" s="4" customFormat="1">
      <c r="A370" s="4">
        <v>111010</v>
      </c>
      <c r="B370" s="4">
        <v>1</v>
      </c>
      <c r="C370" s="4">
        <v>1</v>
      </c>
      <c r="D370" s="4">
        <v>0</v>
      </c>
      <c r="E370" s="4">
        <v>0</v>
      </c>
      <c r="F370" s="4">
        <v>1</v>
      </c>
      <c r="G370" s="4">
        <v>111001</v>
      </c>
      <c r="H370" s="4">
        <v>1</v>
      </c>
      <c r="I370" s="4">
        <f t="shared" si="0"/>
        <v>8</v>
      </c>
      <c r="J370" s="4">
        <f t="shared" si="1"/>
        <v>12</v>
      </c>
      <c r="K370" s="4" t="s">
        <v>798</v>
      </c>
    </row>
    <row r="371" spans="1:11" s="4" customFormat="1">
      <c r="A371" s="4">
        <v>111011</v>
      </c>
      <c r="B371" s="4">
        <v>1</v>
      </c>
      <c r="C371" s="4">
        <v>1</v>
      </c>
      <c r="D371" s="4">
        <v>0</v>
      </c>
      <c r="E371" s="4">
        <v>0</v>
      </c>
      <c r="F371" s="4">
        <v>1</v>
      </c>
      <c r="G371" s="4">
        <v>111001</v>
      </c>
      <c r="H371" s="4">
        <v>1</v>
      </c>
      <c r="I371" s="4">
        <f t="shared" si="0"/>
        <v>9</v>
      </c>
      <c r="J371" s="4">
        <f t="shared" si="1"/>
        <v>13</v>
      </c>
      <c r="K371" s="4" t="s">
        <v>799</v>
      </c>
    </row>
    <row r="372" spans="1:11" s="4" customFormat="1">
      <c r="A372" s="4">
        <v>111012</v>
      </c>
      <c r="B372" s="4">
        <v>1</v>
      </c>
      <c r="C372" s="4">
        <v>1</v>
      </c>
      <c r="D372" s="4">
        <v>0</v>
      </c>
      <c r="E372" s="4">
        <v>0</v>
      </c>
      <c r="F372" s="4">
        <v>1</v>
      </c>
      <c r="G372" s="4">
        <v>111001</v>
      </c>
      <c r="H372" s="4">
        <v>1</v>
      </c>
      <c r="I372" s="4">
        <f t="shared" si="0"/>
        <v>10</v>
      </c>
      <c r="J372" s="4">
        <f t="shared" si="1"/>
        <v>14</v>
      </c>
      <c r="K372" s="4" t="s">
        <v>800</v>
      </c>
    </row>
    <row r="373" spans="1:11" s="4" customFormat="1">
      <c r="A373" s="4">
        <v>111013</v>
      </c>
      <c r="B373" s="4">
        <v>1</v>
      </c>
      <c r="C373" s="4">
        <v>1</v>
      </c>
      <c r="D373" s="4">
        <v>0</v>
      </c>
      <c r="E373" s="4">
        <v>0</v>
      </c>
      <c r="F373" s="4">
        <v>1</v>
      </c>
      <c r="G373" s="4">
        <v>111001</v>
      </c>
      <c r="H373" s="4">
        <v>1</v>
      </c>
      <c r="I373" s="4">
        <f t="shared" si="0"/>
        <v>10</v>
      </c>
      <c r="J373" s="4">
        <f t="shared" si="1"/>
        <v>16</v>
      </c>
      <c r="K373" s="4" t="s">
        <v>801</v>
      </c>
    </row>
    <row r="374" spans="1:11" s="4" customFormat="1">
      <c r="A374" s="4">
        <v>111014</v>
      </c>
      <c r="B374" s="4">
        <v>1</v>
      </c>
      <c r="C374" s="4">
        <v>1</v>
      </c>
      <c r="D374" s="4">
        <v>0</v>
      </c>
      <c r="E374" s="4">
        <v>0</v>
      </c>
      <c r="F374" s="4">
        <v>1</v>
      </c>
      <c r="G374" s="4">
        <v>111001</v>
      </c>
      <c r="H374" s="4">
        <v>1</v>
      </c>
      <c r="I374" s="4">
        <f t="shared" si="0"/>
        <v>11</v>
      </c>
      <c r="J374" s="4">
        <f t="shared" si="1"/>
        <v>17</v>
      </c>
      <c r="K374" s="4" t="s">
        <v>802</v>
      </c>
    </row>
    <row r="375" spans="1:11" s="4" customFormat="1">
      <c r="A375" s="4">
        <v>111015</v>
      </c>
      <c r="B375" s="4">
        <v>1</v>
      </c>
      <c r="C375" s="4">
        <v>1</v>
      </c>
      <c r="D375" s="4">
        <v>0</v>
      </c>
      <c r="E375" s="4">
        <v>0</v>
      </c>
      <c r="F375" s="4">
        <v>1</v>
      </c>
      <c r="G375" s="4">
        <v>111001</v>
      </c>
      <c r="H375" s="4">
        <v>1</v>
      </c>
      <c r="I375" s="4">
        <f t="shared" si="0"/>
        <v>12</v>
      </c>
      <c r="J375" s="4">
        <f t="shared" si="1"/>
        <v>18</v>
      </c>
      <c r="K375" s="4" t="s">
        <v>803</v>
      </c>
    </row>
    <row r="376" spans="1:11" s="4" customFormat="1">
      <c r="A376" s="4">
        <v>111016</v>
      </c>
      <c r="B376" s="4">
        <v>1</v>
      </c>
      <c r="C376" s="4">
        <v>1</v>
      </c>
      <c r="D376" s="4">
        <v>0</v>
      </c>
      <c r="E376" s="4">
        <v>0</v>
      </c>
      <c r="F376" s="4">
        <v>1</v>
      </c>
      <c r="G376" s="4">
        <v>111001</v>
      </c>
      <c r="H376" s="4">
        <v>1</v>
      </c>
      <c r="I376" s="4">
        <f t="shared" si="0"/>
        <v>13</v>
      </c>
      <c r="J376" s="4">
        <f t="shared" si="1"/>
        <v>19</v>
      </c>
      <c r="K376" s="4" t="s">
        <v>804</v>
      </c>
    </row>
    <row r="377" spans="1:11" s="4" customFormat="1">
      <c r="A377" s="4">
        <v>111017</v>
      </c>
      <c r="B377" s="4">
        <v>1</v>
      </c>
      <c r="C377" s="4">
        <v>1</v>
      </c>
      <c r="D377" s="4">
        <v>0</v>
      </c>
      <c r="E377" s="4">
        <v>0</v>
      </c>
      <c r="F377" s="4">
        <v>1</v>
      </c>
      <c r="G377" s="4">
        <v>111001</v>
      </c>
      <c r="H377" s="4">
        <v>1</v>
      </c>
      <c r="I377" s="4">
        <f t="shared" si="0"/>
        <v>14</v>
      </c>
      <c r="J377" s="4">
        <f t="shared" si="1"/>
        <v>20</v>
      </c>
      <c r="K377" s="4" t="s">
        <v>805</v>
      </c>
    </row>
    <row r="378" spans="1:11" s="4" customFormat="1">
      <c r="A378" s="4">
        <v>111018</v>
      </c>
      <c r="B378" s="4">
        <v>1</v>
      </c>
      <c r="C378" s="4">
        <v>1</v>
      </c>
      <c r="D378" s="4">
        <v>0</v>
      </c>
      <c r="E378" s="4">
        <v>0</v>
      </c>
      <c r="F378" s="4">
        <v>1</v>
      </c>
      <c r="G378" s="4">
        <v>111001</v>
      </c>
      <c r="H378" s="4">
        <v>1</v>
      </c>
      <c r="I378" s="4">
        <f t="shared" si="0"/>
        <v>14</v>
      </c>
      <c r="J378" s="4">
        <f t="shared" si="1"/>
        <v>22</v>
      </c>
      <c r="K378" s="4" t="s">
        <v>806</v>
      </c>
    </row>
    <row r="379" spans="1:11" s="4" customFormat="1">
      <c r="A379" s="4">
        <v>111019</v>
      </c>
      <c r="B379" s="4">
        <v>1</v>
      </c>
      <c r="C379" s="4">
        <v>1</v>
      </c>
      <c r="D379" s="4">
        <v>0</v>
      </c>
      <c r="E379" s="4">
        <v>0</v>
      </c>
      <c r="F379" s="4">
        <v>1</v>
      </c>
      <c r="G379" s="4">
        <v>111001</v>
      </c>
      <c r="H379" s="4">
        <v>1</v>
      </c>
      <c r="I379" s="4">
        <f t="shared" si="0"/>
        <v>15</v>
      </c>
      <c r="J379" s="4">
        <f t="shared" si="1"/>
        <v>23</v>
      </c>
      <c r="K379" s="4" t="s">
        <v>807</v>
      </c>
    </row>
    <row r="380" spans="1:11" s="4" customFormat="1">
      <c r="A380" s="4">
        <v>111020</v>
      </c>
      <c r="B380" s="4">
        <v>1</v>
      </c>
      <c r="C380" s="4">
        <v>1</v>
      </c>
      <c r="D380" s="4">
        <v>0</v>
      </c>
      <c r="E380" s="4">
        <v>0</v>
      </c>
      <c r="F380" s="4">
        <v>1</v>
      </c>
      <c r="G380" s="4">
        <v>111001</v>
      </c>
      <c r="H380" s="4">
        <v>1</v>
      </c>
      <c r="I380" s="4">
        <f t="shared" si="0"/>
        <v>16</v>
      </c>
      <c r="J380" s="4">
        <f t="shared" si="1"/>
        <v>24</v>
      </c>
      <c r="K380" s="4" t="s">
        <v>808</v>
      </c>
    </row>
    <row r="381" spans="1:11" s="4" customFormat="1">
      <c r="A381" s="4">
        <v>111021</v>
      </c>
      <c r="B381" s="4">
        <v>1</v>
      </c>
      <c r="C381" s="4">
        <v>1</v>
      </c>
      <c r="D381" s="4">
        <v>0</v>
      </c>
      <c r="E381" s="4">
        <v>0</v>
      </c>
      <c r="F381" s="4">
        <v>1</v>
      </c>
      <c r="G381" s="4">
        <v>111001</v>
      </c>
      <c r="H381" s="4">
        <v>1</v>
      </c>
      <c r="I381" s="4">
        <f t="shared" si="0"/>
        <v>17</v>
      </c>
      <c r="J381" s="4">
        <f t="shared" si="1"/>
        <v>25</v>
      </c>
      <c r="K381" s="4" t="s">
        <v>809</v>
      </c>
    </row>
    <row r="382" spans="1:11" s="4" customFormat="1">
      <c r="A382" s="4">
        <v>111022</v>
      </c>
      <c r="B382" s="4">
        <v>1</v>
      </c>
      <c r="C382" s="4">
        <v>1</v>
      </c>
      <c r="D382" s="4">
        <v>0</v>
      </c>
      <c r="E382" s="4">
        <v>0</v>
      </c>
      <c r="F382" s="4">
        <v>1</v>
      </c>
      <c r="G382" s="4">
        <v>111001</v>
      </c>
      <c r="H382" s="4">
        <v>1</v>
      </c>
      <c r="I382" s="4">
        <f t="shared" si="0"/>
        <v>18</v>
      </c>
      <c r="J382" s="4">
        <f t="shared" si="1"/>
        <v>26</v>
      </c>
      <c r="K382" s="4" t="s">
        <v>810</v>
      </c>
    </row>
    <row r="383" spans="1:11" s="4" customFormat="1">
      <c r="A383" s="4">
        <v>111023</v>
      </c>
      <c r="B383" s="4">
        <v>1</v>
      </c>
      <c r="C383" s="4">
        <v>1</v>
      </c>
      <c r="D383" s="4">
        <v>0</v>
      </c>
      <c r="E383" s="4">
        <v>0</v>
      </c>
      <c r="F383" s="4">
        <v>1</v>
      </c>
      <c r="G383" s="4">
        <v>111001</v>
      </c>
      <c r="H383" s="4">
        <v>1</v>
      </c>
      <c r="I383" s="4">
        <f t="shared" si="0"/>
        <v>18</v>
      </c>
      <c r="J383" s="4">
        <f t="shared" si="1"/>
        <v>28</v>
      </c>
      <c r="K383" s="4" t="s">
        <v>811</v>
      </c>
    </row>
    <row r="384" spans="1:11" s="4" customFormat="1">
      <c r="A384" s="4">
        <v>111024</v>
      </c>
      <c r="B384" s="4">
        <v>1</v>
      </c>
      <c r="C384" s="4">
        <v>1</v>
      </c>
      <c r="D384" s="4">
        <v>0</v>
      </c>
      <c r="E384" s="4">
        <v>0</v>
      </c>
      <c r="F384" s="4">
        <v>1</v>
      </c>
      <c r="G384" s="4">
        <v>111001</v>
      </c>
      <c r="H384" s="4">
        <v>1</v>
      </c>
      <c r="I384" s="4">
        <f t="shared" si="0"/>
        <v>19</v>
      </c>
      <c r="J384" s="4">
        <f t="shared" si="1"/>
        <v>29</v>
      </c>
      <c r="K384" s="4" t="s">
        <v>812</v>
      </c>
    </row>
    <row r="385" spans="1:11" s="4" customFormat="1">
      <c r="A385" s="4">
        <v>111025</v>
      </c>
      <c r="B385" s="4">
        <v>1</v>
      </c>
      <c r="C385" s="4">
        <v>1</v>
      </c>
      <c r="D385" s="4">
        <v>0</v>
      </c>
      <c r="E385" s="4">
        <v>0</v>
      </c>
      <c r="F385" s="4">
        <v>1</v>
      </c>
      <c r="G385" s="4">
        <v>111001</v>
      </c>
      <c r="H385" s="4">
        <v>1</v>
      </c>
      <c r="I385" s="4">
        <f t="shared" si="0"/>
        <v>20</v>
      </c>
      <c r="J385" s="4">
        <f t="shared" si="1"/>
        <v>30</v>
      </c>
      <c r="K385" s="4" t="s">
        <v>813</v>
      </c>
    </row>
    <row r="386" spans="1:11" s="4" customFormat="1">
      <c r="A386" s="4">
        <v>111026</v>
      </c>
      <c r="B386" s="4">
        <v>1</v>
      </c>
      <c r="C386" s="4">
        <v>1</v>
      </c>
      <c r="D386" s="4">
        <v>0</v>
      </c>
      <c r="E386" s="4">
        <v>0</v>
      </c>
      <c r="F386" s="4">
        <v>1</v>
      </c>
      <c r="G386" s="4">
        <v>111001</v>
      </c>
      <c r="H386" s="4">
        <v>1</v>
      </c>
      <c r="I386" s="4">
        <f t="shared" si="0"/>
        <v>21</v>
      </c>
      <c r="J386" s="4">
        <f t="shared" si="1"/>
        <v>31</v>
      </c>
      <c r="K386" s="4" t="s">
        <v>814</v>
      </c>
    </row>
    <row r="387" spans="1:11" s="4" customFormat="1">
      <c r="A387" s="4">
        <v>111027</v>
      </c>
      <c r="B387" s="4">
        <v>1</v>
      </c>
      <c r="C387" s="4">
        <v>1</v>
      </c>
      <c r="D387" s="4">
        <v>0</v>
      </c>
      <c r="E387" s="4">
        <v>0</v>
      </c>
      <c r="F387" s="4">
        <v>1</v>
      </c>
      <c r="G387" s="4">
        <v>111001</v>
      </c>
      <c r="H387" s="4">
        <v>1</v>
      </c>
      <c r="I387" s="4">
        <f t="shared" si="0"/>
        <v>22</v>
      </c>
      <c r="J387" s="4">
        <f t="shared" si="1"/>
        <v>32</v>
      </c>
      <c r="K387" s="4" t="s">
        <v>815</v>
      </c>
    </row>
    <row r="388" spans="1:11" s="4" customFormat="1">
      <c r="A388" s="4">
        <v>111028</v>
      </c>
      <c r="B388" s="4">
        <v>1</v>
      </c>
      <c r="C388" s="4">
        <v>1</v>
      </c>
      <c r="D388" s="4">
        <v>0</v>
      </c>
      <c r="E388" s="4">
        <v>0</v>
      </c>
      <c r="F388" s="4">
        <v>1</v>
      </c>
      <c r="G388" s="4">
        <v>111001</v>
      </c>
      <c r="H388" s="4">
        <v>1</v>
      </c>
      <c r="I388" s="4">
        <f t="shared" si="0"/>
        <v>22</v>
      </c>
      <c r="J388" s="4">
        <f t="shared" si="1"/>
        <v>34</v>
      </c>
      <c r="K388" s="4" t="s">
        <v>816</v>
      </c>
    </row>
    <row r="389" spans="1:11" s="4" customFormat="1">
      <c r="A389" s="4">
        <v>111029</v>
      </c>
      <c r="B389" s="4">
        <v>1</v>
      </c>
      <c r="C389" s="4">
        <v>1</v>
      </c>
      <c r="D389" s="4">
        <v>0</v>
      </c>
      <c r="E389" s="4">
        <v>0</v>
      </c>
      <c r="F389" s="4">
        <v>1</v>
      </c>
      <c r="G389" s="4">
        <v>111001</v>
      </c>
      <c r="H389" s="4">
        <v>1</v>
      </c>
      <c r="I389" s="4">
        <f t="shared" si="0"/>
        <v>23</v>
      </c>
      <c r="J389" s="4">
        <f t="shared" si="1"/>
        <v>35</v>
      </c>
      <c r="K389" s="4" t="s">
        <v>817</v>
      </c>
    </row>
    <row r="390" spans="1:11" s="4" customFormat="1">
      <c r="A390" s="4">
        <v>111030</v>
      </c>
      <c r="B390" s="4">
        <v>1</v>
      </c>
      <c r="C390" s="4">
        <v>1</v>
      </c>
      <c r="D390" s="4">
        <v>0</v>
      </c>
      <c r="E390" s="4">
        <v>0</v>
      </c>
      <c r="F390" s="4">
        <v>1</v>
      </c>
      <c r="G390" s="4">
        <v>111001</v>
      </c>
      <c r="H390" s="4">
        <v>1</v>
      </c>
      <c r="I390" s="4">
        <f t="shared" si="0"/>
        <v>24</v>
      </c>
      <c r="J390" s="4">
        <f t="shared" si="1"/>
        <v>36</v>
      </c>
      <c r="K390" s="4" t="s">
        <v>818</v>
      </c>
    </row>
    <row r="391" spans="1:11" s="4" customFormat="1">
      <c r="A391" s="4">
        <v>111031</v>
      </c>
      <c r="B391" s="4">
        <v>1</v>
      </c>
      <c r="C391" s="4">
        <v>1</v>
      </c>
      <c r="D391" s="4">
        <v>0</v>
      </c>
      <c r="E391" s="4">
        <v>0</v>
      </c>
      <c r="F391" s="4">
        <v>1</v>
      </c>
      <c r="G391" s="4">
        <v>111001</v>
      </c>
      <c r="H391" s="4">
        <v>1</v>
      </c>
      <c r="I391" s="4">
        <f t="shared" si="0"/>
        <v>25</v>
      </c>
      <c r="J391" s="4">
        <f t="shared" si="1"/>
        <v>37</v>
      </c>
      <c r="K391" s="4" t="s">
        <v>819</v>
      </c>
    </row>
    <row r="392" spans="1:11" s="4" customFormat="1">
      <c r="A392" s="4">
        <v>111032</v>
      </c>
      <c r="B392" s="4">
        <v>1</v>
      </c>
      <c r="C392" s="4">
        <v>1</v>
      </c>
      <c r="D392" s="4">
        <v>0</v>
      </c>
      <c r="E392" s="4">
        <v>0</v>
      </c>
      <c r="F392" s="4">
        <v>1</v>
      </c>
      <c r="G392" s="4">
        <v>111001</v>
      </c>
      <c r="H392" s="4">
        <v>1</v>
      </c>
      <c r="I392" s="4">
        <f t="shared" si="0"/>
        <v>26</v>
      </c>
      <c r="J392" s="4">
        <f t="shared" si="1"/>
        <v>38</v>
      </c>
      <c r="K392" s="4" t="s">
        <v>820</v>
      </c>
    </row>
    <row r="393" spans="1:11" s="4" customFormat="1">
      <c r="A393" s="4">
        <v>111033</v>
      </c>
      <c r="B393" s="4">
        <v>1</v>
      </c>
      <c r="C393" s="4">
        <v>1</v>
      </c>
      <c r="D393" s="4">
        <v>0</v>
      </c>
      <c r="E393" s="4">
        <v>0</v>
      </c>
      <c r="F393" s="4">
        <v>1</v>
      </c>
      <c r="G393" s="4">
        <v>111001</v>
      </c>
      <c r="H393" s="4">
        <v>1</v>
      </c>
      <c r="I393" s="4">
        <f t="shared" si="0"/>
        <v>26</v>
      </c>
      <c r="J393" s="4">
        <f t="shared" si="1"/>
        <v>40</v>
      </c>
      <c r="K393" s="4" t="s">
        <v>821</v>
      </c>
    </row>
    <row r="394" spans="1:11" s="4" customFormat="1">
      <c r="A394" s="4">
        <v>111034</v>
      </c>
      <c r="B394" s="4">
        <v>1</v>
      </c>
      <c r="C394" s="4">
        <v>1</v>
      </c>
      <c r="D394" s="4">
        <v>0</v>
      </c>
      <c r="E394" s="4">
        <v>0</v>
      </c>
      <c r="F394" s="4">
        <v>1</v>
      </c>
      <c r="G394" s="4">
        <v>111001</v>
      </c>
      <c r="H394" s="4">
        <v>1</v>
      </c>
      <c r="I394" s="4">
        <f t="shared" si="0"/>
        <v>27</v>
      </c>
      <c r="J394" s="4">
        <f t="shared" si="1"/>
        <v>41</v>
      </c>
      <c r="K394" s="4" t="s">
        <v>822</v>
      </c>
    </row>
    <row r="395" spans="1:11" s="4" customFormat="1">
      <c r="A395" s="4">
        <v>111035</v>
      </c>
      <c r="B395" s="4">
        <v>1</v>
      </c>
      <c r="C395" s="4">
        <v>1</v>
      </c>
      <c r="D395" s="4">
        <v>0</v>
      </c>
      <c r="E395" s="4">
        <v>0</v>
      </c>
      <c r="F395" s="4">
        <v>1</v>
      </c>
      <c r="G395" s="4">
        <v>111001</v>
      </c>
      <c r="H395" s="4">
        <v>1</v>
      </c>
      <c r="I395" s="4">
        <f t="shared" si="0"/>
        <v>28</v>
      </c>
      <c r="J395" s="4">
        <f t="shared" si="1"/>
        <v>42</v>
      </c>
      <c r="K395" s="4" t="s">
        <v>823</v>
      </c>
    </row>
    <row r="396" spans="1:11" s="4" customFormat="1">
      <c r="A396" s="4">
        <v>111036</v>
      </c>
      <c r="B396" s="4">
        <v>1</v>
      </c>
      <c r="C396" s="4">
        <v>1</v>
      </c>
      <c r="D396" s="4">
        <v>0</v>
      </c>
      <c r="E396" s="4">
        <v>0</v>
      </c>
      <c r="F396" s="4">
        <v>1</v>
      </c>
      <c r="G396" s="4">
        <v>111001</v>
      </c>
      <c r="H396" s="4">
        <v>1</v>
      </c>
      <c r="I396" s="4">
        <f t="shared" si="0"/>
        <v>29</v>
      </c>
      <c r="J396" s="4">
        <f t="shared" si="1"/>
        <v>43</v>
      </c>
      <c r="K396" s="4" t="s">
        <v>824</v>
      </c>
    </row>
    <row r="397" spans="1:11" s="4" customFormat="1">
      <c r="A397" s="4">
        <v>111037</v>
      </c>
      <c r="B397" s="4">
        <v>1</v>
      </c>
      <c r="C397" s="4">
        <v>1</v>
      </c>
      <c r="D397" s="4">
        <v>0</v>
      </c>
      <c r="E397" s="4">
        <v>0</v>
      </c>
      <c r="F397" s="4">
        <v>1</v>
      </c>
      <c r="G397" s="4">
        <v>111001</v>
      </c>
      <c r="H397" s="4">
        <v>1</v>
      </c>
      <c r="I397" s="4">
        <f t="shared" si="0"/>
        <v>30</v>
      </c>
      <c r="J397" s="4">
        <f t="shared" si="1"/>
        <v>44</v>
      </c>
      <c r="K397" s="4" t="s">
        <v>825</v>
      </c>
    </row>
    <row r="398" spans="1:11" s="4" customFormat="1">
      <c r="A398" s="4">
        <v>111038</v>
      </c>
      <c r="B398" s="4">
        <v>1</v>
      </c>
      <c r="C398" s="4">
        <v>1</v>
      </c>
      <c r="D398" s="4">
        <v>0</v>
      </c>
      <c r="E398" s="4">
        <v>0</v>
      </c>
      <c r="F398" s="4">
        <v>1</v>
      </c>
      <c r="G398" s="4">
        <v>111001</v>
      </c>
      <c r="H398" s="4">
        <v>1</v>
      </c>
      <c r="I398" s="4">
        <f t="shared" si="0"/>
        <v>30</v>
      </c>
      <c r="J398" s="4">
        <f t="shared" si="1"/>
        <v>46</v>
      </c>
      <c r="K398" s="4" t="s">
        <v>826</v>
      </c>
    </row>
    <row r="399" spans="1:11" s="4" customFormat="1">
      <c r="A399" s="4">
        <v>111039</v>
      </c>
      <c r="B399" s="4">
        <v>1</v>
      </c>
      <c r="C399" s="4">
        <v>1</v>
      </c>
      <c r="D399" s="4">
        <v>0</v>
      </c>
      <c r="E399" s="4">
        <v>0</v>
      </c>
      <c r="F399" s="4">
        <v>1</v>
      </c>
      <c r="G399" s="4">
        <v>111001</v>
      </c>
      <c r="H399" s="4">
        <v>1</v>
      </c>
      <c r="I399" s="4">
        <f t="shared" si="0"/>
        <v>31</v>
      </c>
      <c r="J399" s="4">
        <f t="shared" si="1"/>
        <v>47</v>
      </c>
      <c r="K399" s="4" t="s">
        <v>827</v>
      </c>
    </row>
    <row r="400" spans="1:11" s="4" customFormat="1">
      <c r="A400" s="4">
        <v>111040</v>
      </c>
      <c r="B400" s="4">
        <v>1</v>
      </c>
      <c r="C400" s="4">
        <v>1</v>
      </c>
      <c r="D400" s="4">
        <v>0</v>
      </c>
      <c r="E400" s="4">
        <v>0</v>
      </c>
      <c r="F400" s="4">
        <v>1</v>
      </c>
      <c r="G400" s="4">
        <v>111001</v>
      </c>
      <c r="H400" s="4">
        <v>1</v>
      </c>
      <c r="I400" s="4">
        <f t="shared" si="0"/>
        <v>32</v>
      </c>
      <c r="J400" s="4">
        <f t="shared" si="1"/>
        <v>48</v>
      </c>
      <c r="K400" s="4" t="s">
        <v>828</v>
      </c>
    </row>
    <row r="401" spans="1:11" s="4" customFormat="1">
      <c r="A401" s="4">
        <v>111041</v>
      </c>
      <c r="B401" s="4">
        <v>1</v>
      </c>
      <c r="C401" s="4">
        <v>1</v>
      </c>
      <c r="D401" s="4">
        <v>0</v>
      </c>
      <c r="E401" s="4">
        <v>0</v>
      </c>
      <c r="F401" s="4">
        <v>1</v>
      </c>
      <c r="G401" s="4">
        <v>111001</v>
      </c>
      <c r="H401" s="4">
        <v>1</v>
      </c>
      <c r="I401" s="4">
        <f t="shared" si="0"/>
        <v>33</v>
      </c>
      <c r="J401" s="4">
        <f t="shared" si="1"/>
        <v>49</v>
      </c>
      <c r="K401" s="4" t="s">
        <v>829</v>
      </c>
    </row>
    <row r="402" spans="1:11" s="4" customFormat="1">
      <c r="A402" s="4">
        <v>111042</v>
      </c>
      <c r="B402" s="4">
        <v>1</v>
      </c>
      <c r="C402" s="4">
        <v>1</v>
      </c>
      <c r="D402" s="4">
        <v>0</v>
      </c>
      <c r="E402" s="4">
        <v>0</v>
      </c>
      <c r="F402" s="4">
        <v>1</v>
      </c>
      <c r="G402" s="4">
        <v>111001</v>
      </c>
      <c r="H402" s="4">
        <v>1</v>
      </c>
      <c r="I402" s="4">
        <f t="shared" si="0"/>
        <v>34</v>
      </c>
      <c r="J402" s="4">
        <f t="shared" si="1"/>
        <v>50</v>
      </c>
      <c r="K402" s="4" t="s">
        <v>830</v>
      </c>
    </row>
    <row r="403" spans="1:11" s="4" customFormat="1">
      <c r="A403" s="4">
        <v>111043</v>
      </c>
      <c r="B403" s="4">
        <v>1</v>
      </c>
      <c r="C403" s="4">
        <v>1</v>
      </c>
      <c r="D403" s="4">
        <v>0</v>
      </c>
      <c r="E403" s="4">
        <v>0</v>
      </c>
      <c r="F403" s="4">
        <v>1</v>
      </c>
      <c r="G403" s="4">
        <v>111001</v>
      </c>
      <c r="H403" s="4">
        <v>1</v>
      </c>
      <c r="I403" s="4">
        <f t="shared" si="0"/>
        <v>34</v>
      </c>
      <c r="J403" s="4">
        <f t="shared" si="1"/>
        <v>52</v>
      </c>
      <c r="K403" s="4" t="s">
        <v>831</v>
      </c>
    </row>
    <row r="404" spans="1:11" s="4" customFormat="1">
      <c r="A404" s="4">
        <v>111044</v>
      </c>
      <c r="B404" s="4">
        <v>1</v>
      </c>
      <c r="C404" s="4">
        <v>1</v>
      </c>
      <c r="D404" s="4">
        <v>0</v>
      </c>
      <c r="E404" s="4">
        <v>0</v>
      </c>
      <c r="F404" s="4">
        <v>1</v>
      </c>
      <c r="G404" s="4">
        <v>111001</v>
      </c>
      <c r="H404" s="4">
        <v>1</v>
      </c>
      <c r="I404" s="4">
        <f t="shared" si="0"/>
        <v>35</v>
      </c>
      <c r="J404" s="4">
        <f t="shared" si="1"/>
        <v>53</v>
      </c>
      <c r="K404" s="4" t="s">
        <v>832</v>
      </c>
    </row>
    <row r="405" spans="1:11" s="4" customFormat="1">
      <c r="A405" s="4">
        <v>111045</v>
      </c>
      <c r="B405" s="4">
        <v>1</v>
      </c>
      <c r="C405" s="4">
        <v>1</v>
      </c>
      <c r="D405" s="4">
        <v>0</v>
      </c>
      <c r="E405" s="4">
        <v>0</v>
      </c>
      <c r="F405" s="4">
        <v>1</v>
      </c>
      <c r="G405" s="4">
        <v>111001</v>
      </c>
      <c r="H405" s="4">
        <v>1</v>
      </c>
      <c r="I405" s="4">
        <f t="shared" si="0"/>
        <v>36</v>
      </c>
      <c r="J405" s="4">
        <f t="shared" si="1"/>
        <v>54</v>
      </c>
      <c r="K405" s="4" t="s">
        <v>833</v>
      </c>
    </row>
    <row r="406" spans="1:11" s="4" customFormat="1">
      <c r="A406" s="4">
        <v>111046</v>
      </c>
      <c r="B406" s="4">
        <v>1</v>
      </c>
      <c r="C406" s="4">
        <v>1</v>
      </c>
      <c r="D406" s="4">
        <v>0</v>
      </c>
      <c r="E406" s="4">
        <v>0</v>
      </c>
      <c r="F406" s="4">
        <v>1</v>
      </c>
      <c r="G406" s="4">
        <v>111001</v>
      </c>
      <c r="H406" s="4">
        <v>1</v>
      </c>
      <c r="I406" s="4">
        <f t="shared" si="0"/>
        <v>37</v>
      </c>
      <c r="J406" s="4">
        <f t="shared" si="1"/>
        <v>55</v>
      </c>
      <c r="K406" s="4" t="s">
        <v>834</v>
      </c>
    </row>
    <row r="407" spans="1:11" s="4" customFormat="1">
      <c r="A407" s="4">
        <v>111047</v>
      </c>
      <c r="B407" s="4">
        <v>1</v>
      </c>
      <c r="C407" s="4">
        <v>1</v>
      </c>
      <c r="D407" s="4">
        <v>0</v>
      </c>
      <c r="E407" s="4">
        <v>0</v>
      </c>
      <c r="F407" s="4">
        <v>1</v>
      </c>
      <c r="G407" s="4">
        <v>111001</v>
      </c>
      <c r="H407" s="4">
        <v>1</v>
      </c>
      <c r="I407" s="4">
        <f t="shared" si="0"/>
        <v>38</v>
      </c>
      <c r="J407" s="4">
        <f t="shared" si="1"/>
        <v>56</v>
      </c>
      <c r="K407" s="4" t="s">
        <v>835</v>
      </c>
    </row>
    <row r="408" spans="1:11" s="4" customFormat="1">
      <c r="A408" s="4">
        <v>111048</v>
      </c>
      <c r="B408" s="4">
        <v>1</v>
      </c>
      <c r="C408" s="4">
        <v>1</v>
      </c>
      <c r="D408" s="4">
        <v>0</v>
      </c>
      <c r="E408" s="4">
        <v>0</v>
      </c>
      <c r="F408" s="4">
        <v>1</v>
      </c>
      <c r="G408" s="4">
        <v>111001</v>
      </c>
      <c r="H408" s="4">
        <v>1</v>
      </c>
      <c r="I408" s="4">
        <f t="shared" si="0"/>
        <v>38</v>
      </c>
      <c r="J408" s="4">
        <f t="shared" si="1"/>
        <v>58</v>
      </c>
      <c r="K408" s="4" t="s">
        <v>836</v>
      </c>
    </row>
    <row r="409" spans="1:11" s="4" customFormat="1">
      <c r="A409" s="4">
        <v>111049</v>
      </c>
      <c r="B409" s="4">
        <v>1</v>
      </c>
      <c r="C409" s="4">
        <v>1</v>
      </c>
      <c r="D409" s="4">
        <v>0</v>
      </c>
      <c r="E409" s="4">
        <v>0</v>
      </c>
      <c r="F409" s="4">
        <v>1</v>
      </c>
      <c r="G409" s="4">
        <v>111001</v>
      </c>
      <c r="H409" s="4">
        <v>1</v>
      </c>
      <c r="I409" s="4">
        <f t="shared" si="0"/>
        <v>39</v>
      </c>
      <c r="J409" s="4">
        <f t="shared" si="1"/>
        <v>59</v>
      </c>
      <c r="K409" s="4" t="s">
        <v>837</v>
      </c>
    </row>
    <row r="410" spans="1:11" s="4" customFormat="1">
      <c r="A410" s="4">
        <v>111050</v>
      </c>
      <c r="B410" s="4">
        <v>1</v>
      </c>
      <c r="C410" s="4">
        <v>1</v>
      </c>
      <c r="D410" s="4">
        <v>0</v>
      </c>
      <c r="E410" s="4">
        <v>0</v>
      </c>
      <c r="F410" s="4">
        <v>1</v>
      </c>
      <c r="G410" s="4">
        <v>111001</v>
      </c>
      <c r="H410" s="4">
        <v>1</v>
      </c>
      <c r="I410" s="4">
        <f t="shared" si="0"/>
        <v>40</v>
      </c>
      <c r="J410" s="4">
        <f t="shared" si="1"/>
        <v>60</v>
      </c>
      <c r="K410" s="4" t="s">
        <v>838</v>
      </c>
    </row>
    <row r="411" spans="1:11" s="4" customFormat="1">
      <c r="A411" s="4">
        <v>111051</v>
      </c>
      <c r="B411" s="4">
        <v>1</v>
      </c>
      <c r="C411" s="4">
        <v>1</v>
      </c>
      <c r="D411" s="4">
        <v>0</v>
      </c>
      <c r="E411" s="4">
        <v>0</v>
      </c>
      <c r="F411" s="4">
        <v>1</v>
      </c>
      <c r="G411" s="4">
        <v>111001</v>
      </c>
      <c r="H411" s="4">
        <v>1</v>
      </c>
      <c r="I411" s="4">
        <f t="shared" si="0"/>
        <v>41</v>
      </c>
      <c r="J411" s="4">
        <f t="shared" si="1"/>
        <v>61</v>
      </c>
      <c r="K411" s="4" t="s">
        <v>839</v>
      </c>
    </row>
    <row r="412" spans="1:11" s="4" customFormat="1">
      <c r="A412" s="4">
        <v>111052</v>
      </c>
      <c r="B412" s="4">
        <v>1</v>
      </c>
      <c r="C412" s="4">
        <v>1</v>
      </c>
      <c r="D412" s="4">
        <v>0</v>
      </c>
      <c r="E412" s="4">
        <v>0</v>
      </c>
      <c r="F412" s="4">
        <v>1</v>
      </c>
      <c r="G412" s="4">
        <v>111001</v>
      </c>
      <c r="H412" s="4">
        <v>1</v>
      </c>
      <c r="I412" s="4">
        <f t="shared" si="0"/>
        <v>42</v>
      </c>
      <c r="J412" s="4">
        <f t="shared" si="1"/>
        <v>62</v>
      </c>
      <c r="K412" s="4" t="s">
        <v>840</v>
      </c>
    </row>
    <row r="413" spans="1:11" s="4" customFormat="1">
      <c r="A413" s="4">
        <v>111053</v>
      </c>
      <c r="B413" s="4">
        <v>1</v>
      </c>
      <c r="C413" s="4">
        <v>1</v>
      </c>
      <c r="D413" s="4">
        <v>0</v>
      </c>
      <c r="E413" s="4">
        <v>0</v>
      </c>
      <c r="F413" s="4">
        <v>1</v>
      </c>
      <c r="G413" s="4">
        <v>111001</v>
      </c>
      <c r="H413" s="4">
        <v>1</v>
      </c>
      <c r="I413" s="4">
        <f t="shared" si="0"/>
        <v>42</v>
      </c>
      <c r="J413" s="4">
        <f t="shared" si="1"/>
        <v>64</v>
      </c>
      <c r="K413" s="4" t="s">
        <v>841</v>
      </c>
    </row>
    <row r="414" spans="1:11" s="4" customFormat="1">
      <c r="A414" s="4">
        <v>111054</v>
      </c>
      <c r="B414" s="4">
        <v>1</v>
      </c>
      <c r="C414" s="4">
        <v>1</v>
      </c>
      <c r="D414" s="4">
        <v>0</v>
      </c>
      <c r="E414" s="4">
        <v>0</v>
      </c>
      <c r="F414" s="4">
        <v>1</v>
      </c>
      <c r="G414" s="4">
        <v>111001</v>
      </c>
      <c r="H414" s="4">
        <v>1</v>
      </c>
      <c r="I414" s="4">
        <f t="shared" si="0"/>
        <v>43</v>
      </c>
      <c r="J414" s="4">
        <f t="shared" si="1"/>
        <v>65</v>
      </c>
      <c r="K414" s="4" t="s">
        <v>842</v>
      </c>
    </row>
    <row r="415" spans="1:11" s="4" customFormat="1">
      <c r="A415" s="4">
        <v>111055</v>
      </c>
      <c r="B415" s="4">
        <v>1</v>
      </c>
      <c r="C415" s="4">
        <v>1</v>
      </c>
      <c r="D415" s="4">
        <v>0</v>
      </c>
      <c r="E415" s="4">
        <v>0</v>
      </c>
      <c r="F415" s="4">
        <v>1</v>
      </c>
      <c r="G415" s="4">
        <v>111001</v>
      </c>
      <c r="H415" s="4">
        <v>1</v>
      </c>
      <c r="I415" s="4">
        <f t="shared" si="0"/>
        <v>44</v>
      </c>
      <c r="J415" s="4">
        <f t="shared" si="1"/>
        <v>66</v>
      </c>
      <c r="K415" s="4" t="s">
        <v>843</v>
      </c>
    </row>
    <row r="416" spans="1:11" s="4" customFormat="1">
      <c r="A416" s="4">
        <v>111056</v>
      </c>
      <c r="B416" s="4">
        <v>1</v>
      </c>
      <c r="C416" s="4">
        <v>1</v>
      </c>
      <c r="D416" s="4">
        <v>0</v>
      </c>
      <c r="E416" s="4">
        <v>0</v>
      </c>
      <c r="F416" s="4">
        <v>1</v>
      </c>
      <c r="G416" s="4">
        <v>111001</v>
      </c>
      <c r="H416" s="4">
        <v>1</v>
      </c>
      <c r="I416" s="4">
        <f t="shared" si="0"/>
        <v>45</v>
      </c>
      <c r="J416" s="4">
        <f t="shared" si="1"/>
        <v>67</v>
      </c>
      <c r="K416" s="4" t="s">
        <v>844</v>
      </c>
    </row>
    <row r="417" spans="1:11" s="4" customFormat="1">
      <c r="A417" s="4">
        <v>111057</v>
      </c>
      <c r="B417" s="4">
        <v>1</v>
      </c>
      <c r="C417" s="4">
        <v>1</v>
      </c>
      <c r="D417" s="4">
        <v>0</v>
      </c>
      <c r="E417" s="4">
        <v>0</v>
      </c>
      <c r="F417" s="4">
        <v>1</v>
      </c>
      <c r="G417" s="4">
        <v>111001</v>
      </c>
      <c r="H417" s="4">
        <v>1</v>
      </c>
      <c r="I417" s="4">
        <f t="shared" si="0"/>
        <v>46</v>
      </c>
      <c r="J417" s="4">
        <f t="shared" si="1"/>
        <v>68</v>
      </c>
      <c r="K417" s="4" t="s">
        <v>845</v>
      </c>
    </row>
    <row r="418" spans="1:11" s="4" customFormat="1">
      <c r="A418" s="4">
        <v>111058</v>
      </c>
      <c r="B418" s="4">
        <v>1</v>
      </c>
      <c r="C418" s="4">
        <v>1</v>
      </c>
      <c r="D418" s="4">
        <v>0</v>
      </c>
      <c r="E418" s="4">
        <v>0</v>
      </c>
      <c r="F418" s="4">
        <v>1</v>
      </c>
      <c r="G418" s="4">
        <v>111001</v>
      </c>
      <c r="H418" s="4">
        <v>1</v>
      </c>
      <c r="I418" s="4">
        <f t="shared" si="0"/>
        <v>46</v>
      </c>
      <c r="J418" s="4">
        <f t="shared" si="1"/>
        <v>70</v>
      </c>
      <c r="K418" s="4" t="s">
        <v>846</v>
      </c>
    </row>
    <row r="419" spans="1:11" s="4" customFormat="1">
      <c r="A419" s="4">
        <v>111059</v>
      </c>
      <c r="B419" s="4">
        <v>1</v>
      </c>
      <c r="C419" s="4">
        <v>1</v>
      </c>
      <c r="D419" s="4">
        <v>0</v>
      </c>
      <c r="E419" s="4">
        <v>0</v>
      </c>
      <c r="F419" s="4">
        <v>1</v>
      </c>
      <c r="G419" s="4">
        <v>111001</v>
      </c>
      <c r="H419" s="4">
        <v>1</v>
      </c>
      <c r="I419" s="4">
        <f t="shared" si="0"/>
        <v>47</v>
      </c>
      <c r="J419" s="4">
        <f t="shared" si="1"/>
        <v>71</v>
      </c>
      <c r="K419" s="4" t="s">
        <v>847</v>
      </c>
    </row>
    <row r="420" spans="1:11" s="4" customFormat="1">
      <c r="A420" s="4">
        <v>111060</v>
      </c>
      <c r="B420" s="4">
        <v>1</v>
      </c>
      <c r="C420" s="4">
        <v>1</v>
      </c>
      <c r="D420" s="4">
        <v>0</v>
      </c>
      <c r="E420" s="4">
        <v>0</v>
      </c>
      <c r="F420" s="4">
        <v>1</v>
      </c>
      <c r="G420" s="4">
        <v>111001</v>
      </c>
      <c r="H420" s="4">
        <v>1</v>
      </c>
      <c r="I420" s="4">
        <f t="shared" si="0"/>
        <v>48</v>
      </c>
      <c r="J420" s="4">
        <f t="shared" si="1"/>
        <v>72</v>
      </c>
      <c r="K420" s="4" t="s">
        <v>848</v>
      </c>
    </row>
    <row r="421" spans="1:11" s="4" customFormat="1">
      <c r="A421" s="4">
        <v>111061</v>
      </c>
      <c r="B421" s="4">
        <v>1</v>
      </c>
      <c r="C421" s="4">
        <v>1</v>
      </c>
      <c r="D421" s="4">
        <v>0</v>
      </c>
      <c r="E421" s="4">
        <v>0</v>
      </c>
      <c r="F421" s="4">
        <v>1</v>
      </c>
      <c r="G421" s="4">
        <v>111001</v>
      </c>
      <c r="H421" s="4">
        <v>1</v>
      </c>
      <c r="I421" s="4">
        <f t="shared" si="0"/>
        <v>49</v>
      </c>
      <c r="J421" s="4">
        <f t="shared" si="1"/>
        <v>73</v>
      </c>
      <c r="K421" s="4" t="s">
        <v>849</v>
      </c>
    </row>
    <row r="422" spans="1:11" s="4" customFormat="1">
      <c r="A422" s="4">
        <v>111062</v>
      </c>
      <c r="B422" s="4">
        <v>1</v>
      </c>
      <c r="C422" s="4">
        <v>1</v>
      </c>
      <c r="D422" s="4">
        <v>0</v>
      </c>
      <c r="E422" s="4">
        <v>0</v>
      </c>
      <c r="F422" s="4">
        <v>1</v>
      </c>
      <c r="G422" s="4">
        <v>111001</v>
      </c>
      <c r="H422" s="4">
        <v>1</v>
      </c>
      <c r="I422" s="4">
        <f t="shared" si="0"/>
        <v>50</v>
      </c>
      <c r="J422" s="4">
        <f t="shared" si="1"/>
        <v>74</v>
      </c>
      <c r="K422" s="4" t="s">
        <v>850</v>
      </c>
    </row>
    <row r="423" spans="1:11" s="4" customFormat="1">
      <c r="A423" s="4">
        <v>111063</v>
      </c>
      <c r="B423" s="4">
        <v>1</v>
      </c>
      <c r="C423" s="4">
        <v>1</v>
      </c>
      <c r="D423" s="4">
        <v>0</v>
      </c>
      <c r="E423" s="4">
        <v>0</v>
      </c>
      <c r="F423" s="4">
        <v>1</v>
      </c>
      <c r="G423" s="4">
        <v>111001</v>
      </c>
      <c r="H423" s="4">
        <v>1</v>
      </c>
      <c r="I423" s="4">
        <f t="shared" si="0"/>
        <v>50</v>
      </c>
      <c r="J423" s="4">
        <f t="shared" si="1"/>
        <v>76</v>
      </c>
      <c r="K423" s="4" t="s">
        <v>851</v>
      </c>
    </row>
    <row r="424" spans="1:11" s="4" customFormat="1">
      <c r="A424" s="4">
        <v>111064</v>
      </c>
      <c r="B424" s="4">
        <v>1</v>
      </c>
      <c r="C424" s="4">
        <v>1</v>
      </c>
      <c r="D424" s="4">
        <v>0</v>
      </c>
      <c r="E424" s="4">
        <v>0</v>
      </c>
      <c r="F424" s="4">
        <v>1</v>
      </c>
      <c r="G424" s="4">
        <v>111001</v>
      </c>
      <c r="H424" s="4">
        <v>1</v>
      </c>
      <c r="I424" s="4">
        <f t="shared" si="0"/>
        <v>51</v>
      </c>
      <c r="J424" s="4">
        <f t="shared" si="1"/>
        <v>77</v>
      </c>
      <c r="K424" s="4" t="s">
        <v>852</v>
      </c>
    </row>
    <row r="425" spans="1:11" s="4" customFormat="1">
      <c r="A425" s="4">
        <v>111065</v>
      </c>
      <c r="B425" s="4">
        <v>1</v>
      </c>
      <c r="C425" s="4">
        <v>1</v>
      </c>
      <c r="D425" s="4">
        <v>0</v>
      </c>
      <c r="E425" s="4">
        <v>0</v>
      </c>
      <c r="F425" s="4">
        <v>1</v>
      </c>
      <c r="G425" s="4">
        <v>111001</v>
      </c>
      <c r="H425" s="4">
        <v>1</v>
      </c>
      <c r="I425" s="4">
        <f t="shared" si="0"/>
        <v>52</v>
      </c>
      <c r="J425" s="4">
        <f t="shared" si="1"/>
        <v>78</v>
      </c>
      <c r="K425" s="4" t="s">
        <v>853</v>
      </c>
    </row>
    <row r="426" spans="1:11" s="4" customFormat="1">
      <c r="A426" s="4">
        <v>111066</v>
      </c>
      <c r="B426" s="4">
        <v>1</v>
      </c>
      <c r="C426" s="4">
        <v>1</v>
      </c>
      <c r="D426" s="4">
        <v>0</v>
      </c>
      <c r="E426" s="4">
        <v>0</v>
      </c>
      <c r="F426" s="4">
        <v>1</v>
      </c>
      <c r="G426" s="4">
        <v>111001</v>
      </c>
      <c r="H426" s="4">
        <v>1</v>
      </c>
      <c r="I426" s="4">
        <f t="shared" ref="I426:I489" si="2">ROUND(RIGHT(A426,3)*80%,0)</f>
        <v>53</v>
      </c>
      <c r="J426" s="4">
        <f t="shared" ref="J426:J489" si="3">ROUND(RIGHT(A426,3)*120%,0)</f>
        <v>79</v>
      </c>
      <c r="K426" s="4" t="s">
        <v>854</v>
      </c>
    </row>
    <row r="427" spans="1:11" s="4" customFormat="1">
      <c r="A427" s="4">
        <v>111067</v>
      </c>
      <c r="B427" s="4">
        <v>1</v>
      </c>
      <c r="C427" s="4">
        <v>1</v>
      </c>
      <c r="D427" s="4">
        <v>0</v>
      </c>
      <c r="E427" s="4">
        <v>0</v>
      </c>
      <c r="F427" s="4">
        <v>1</v>
      </c>
      <c r="G427" s="4">
        <v>111001</v>
      </c>
      <c r="H427" s="4">
        <v>1</v>
      </c>
      <c r="I427" s="4">
        <f t="shared" si="2"/>
        <v>54</v>
      </c>
      <c r="J427" s="4">
        <f t="shared" si="3"/>
        <v>80</v>
      </c>
      <c r="K427" s="4" t="s">
        <v>855</v>
      </c>
    </row>
    <row r="428" spans="1:11" s="4" customFormat="1">
      <c r="A428" s="4">
        <v>111068</v>
      </c>
      <c r="B428" s="4">
        <v>1</v>
      </c>
      <c r="C428" s="4">
        <v>1</v>
      </c>
      <c r="D428" s="4">
        <v>0</v>
      </c>
      <c r="E428" s="4">
        <v>0</v>
      </c>
      <c r="F428" s="4">
        <v>1</v>
      </c>
      <c r="G428" s="4">
        <v>111001</v>
      </c>
      <c r="H428" s="4">
        <v>1</v>
      </c>
      <c r="I428" s="4">
        <f t="shared" si="2"/>
        <v>54</v>
      </c>
      <c r="J428" s="4">
        <f t="shared" si="3"/>
        <v>82</v>
      </c>
      <c r="K428" s="4" t="s">
        <v>856</v>
      </c>
    </row>
    <row r="429" spans="1:11" s="4" customFormat="1">
      <c r="A429" s="4">
        <v>111069</v>
      </c>
      <c r="B429" s="4">
        <v>1</v>
      </c>
      <c r="C429" s="4">
        <v>1</v>
      </c>
      <c r="D429" s="4">
        <v>0</v>
      </c>
      <c r="E429" s="4">
        <v>0</v>
      </c>
      <c r="F429" s="4">
        <v>1</v>
      </c>
      <c r="G429" s="4">
        <v>111001</v>
      </c>
      <c r="H429" s="4">
        <v>1</v>
      </c>
      <c r="I429" s="4">
        <f t="shared" si="2"/>
        <v>55</v>
      </c>
      <c r="J429" s="4">
        <f t="shared" si="3"/>
        <v>83</v>
      </c>
      <c r="K429" s="4" t="s">
        <v>857</v>
      </c>
    </row>
    <row r="430" spans="1:11" s="4" customFormat="1">
      <c r="A430" s="4">
        <v>111070</v>
      </c>
      <c r="B430" s="4">
        <v>1</v>
      </c>
      <c r="C430" s="4">
        <v>1</v>
      </c>
      <c r="D430" s="4">
        <v>0</v>
      </c>
      <c r="E430" s="4">
        <v>0</v>
      </c>
      <c r="F430" s="4">
        <v>1</v>
      </c>
      <c r="G430" s="4">
        <v>111001</v>
      </c>
      <c r="H430" s="4">
        <v>1</v>
      </c>
      <c r="I430" s="4">
        <f t="shared" si="2"/>
        <v>56</v>
      </c>
      <c r="J430" s="4">
        <f t="shared" si="3"/>
        <v>84</v>
      </c>
      <c r="K430" s="4" t="s">
        <v>858</v>
      </c>
    </row>
    <row r="431" spans="1:11" s="4" customFormat="1">
      <c r="A431" s="4">
        <v>111071</v>
      </c>
      <c r="B431" s="4">
        <v>1</v>
      </c>
      <c r="C431" s="4">
        <v>1</v>
      </c>
      <c r="D431" s="4">
        <v>0</v>
      </c>
      <c r="E431" s="4">
        <v>0</v>
      </c>
      <c r="F431" s="4">
        <v>1</v>
      </c>
      <c r="G431" s="4">
        <v>111001</v>
      </c>
      <c r="H431" s="4">
        <v>1</v>
      </c>
      <c r="I431" s="4">
        <f t="shared" si="2"/>
        <v>57</v>
      </c>
      <c r="J431" s="4">
        <f t="shared" si="3"/>
        <v>85</v>
      </c>
      <c r="K431" s="4" t="s">
        <v>859</v>
      </c>
    </row>
    <row r="432" spans="1:11" s="4" customFormat="1">
      <c r="A432" s="4">
        <v>111072</v>
      </c>
      <c r="B432" s="4">
        <v>1</v>
      </c>
      <c r="C432" s="4">
        <v>1</v>
      </c>
      <c r="D432" s="4">
        <v>0</v>
      </c>
      <c r="E432" s="4">
        <v>0</v>
      </c>
      <c r="F432" s="4">
        <v>1</v>
      </c>
      <c r="G432" s="4">
        <v>111001</v>
      </c>
      <c r="H432" s="4">
        <v>1</v>
      </c>
      <c r="I432" s="4">
        <f t="shared" si="2"/>
        <v>58</v>
      </c>
      <c r="J432" s="4">
        <f t="shared" si="3"/>
        <v>86</v>
      </c>
      <c r="K432" s="4" t="s">
        <v>860</v>
      </c>
    </row>
    <row r="433" spans="1:11" s="4" customFormat="1">
      <c r="A433" s="4">
        <v>111073</v>
      </c>
      <c r="B433" s="4">
        <v>1</v>
      </c>
      <c r="C433" s="4">
        <v>1</v>
      </c>
      <c r="D433" s="4">
        <v>0</v>
      </c>
      <c r="E433" s="4">
        <v>0</v>
      </c>
      <c r="F433" s="4">
        <v>1</v>
      </c>
      <c r="G433" s="4">
        <v>111001</v>
      </c>
      <c r="H433" s="4">
        <v>1</v>
      </c>
      <c r="I433" s="4">
        <f t="shared" si="2"/>
        <v>58</v>
      </c>
      <c r="J433" s="4">
        <f t="shared" si="3"/>
        <v>88</v>
      </c>
      <c r="K433" s="4" t="s">
        <v>861</v>
      </c>
    </row>
    <row r="434" spans="1:11" s="4" customFormat="1">
      <c r="A434" s="4">
        <v>111074</v>
      </c>
      <c r="B434" s="4">
        <v>1</v>
      </c>
      <c r="C434" s="4">
        <v>1</v>
      </c>
      <c r="D434" s="4">
        <v>0</v>
      </c>
      <c r="E434" s="4">
        <v>0</v>
      </c>
      <c r="F434" s="4">
        <v>1</v>
      </c>
      <c r="G434" s="4">
        <v>111001</v>
      </c>
      <c r="H434" s="4">
        <v>1</v>
      </c>
      <c r="I434" s="4">
        <f t="shared" si="2"/>
        <v>59</v>
      </c>
      <c r="J434" s="4">
        <f t="shared" si="3"/>
        <v>89</v>
      </c>
      <c r="K434" s="4" t="s">
        <v>862</v>
      </c>
    </row>
    <row r="435" spans="1:11" s="4" customFormat="1">
      <c r="A435" s="4">
        <v>111075</v>
      </c>
      <c r="B435" s="4">
        <v>1</v>
      </c>
      <c r="C435" s="4">
        <v>1</v>
      </c>
      <c r="D435" s="4">
        <v>0</v>
      </c>
      <c r="E435" s="4">
        <v>0</v>
      </c>
      <c r="F435" s="4">
        <v>1</v>
      </c>
      <c r="G435" s="4">
        <v>111001</v>
      </c>
      <c r="H435" s="4">
        <v>1</v>
      </c>
      <c r="I435" s="4">
        <f t="shared" si="2"/>
        <v>60</v>
      </c>
      <c r="J435" s="4">
        <f t="shared" si="3"/>
        <v>90</v>
      </c>
      <c r="K435" s="4" t="s">
        <v>863</v>
      </c>
    </row>
    <row r="436" spans="1:11" s="4" customFormat="1">
      <c r="A436" s="4">
        <v>111076</v>
      </c>
      <c r="B436" s="4">
        <v>1</v>
      </c>
      <c r="C436" s="4">
        <v>1</v>
      </c>
      <c r="D436" s="4">
        <v>0</v>
      </c>
      <c r="E436" s="4">
        <v>0</v>
      </c>
      <c r="F436" s="4">
        <v>1</v>
      </c>
      <c r="G436" s="4">
        <v>111001</v>
      </c>
      <c r="H436" s="4">
        <v>1</v>
      </c>
      <c r="I436" s="4">
        <f t="shared" si="2"/>
        <v>61</v>
      </c>
      <c r="J436" s="4">
        <f t="shared" si="3"/>
        <v>91</v>
      </c>
      <c r="K436" s="4" t="s">
        <v>864</v>
      </c>
    </row>
    <row r="437" spans="1:11" s="4" customFormat="1">
      <c r="A437" s="4">
        <v>111077</v>
      </c>
      <c r="B437" s="4">
        <v>1</v>
      </c>
      <c r="C437" s="4">
        <v>1</v>
      </c>
      <c r="D437" s="4">
        <v>0</v>
      </c>
      <c r="E437" s="4">
        <v>0</v>
      </c>
      <c r="F437" s="4">
        <v>1</v>
      </c>
      <c r="G437" s="4">
        <v>111001</v>
      </c>
      <c r="H437" s="4">
        <v>1</v>
      </c>
      <c r="I437" s="4">
        <f t="shared" si="2"/>
        <v>62</v>
      </c>
      <c r="J437" s="4">
        <f t="shared" si="3"/>
        <v>92</v>
      </c>
      <c r="K437" s="4" t="s">
        <v>865</v>
      </c>
    </row>
    <row r="438" spans="1:11" s="4" customFormat="1">
      <c r="A438" s="4">
        <v>111078</v>
      </c>
      <c r="B438" s="4">
        <v>1</v>
      </c>
      <c r="C438" s="4">
        <v>1</v>
      </c>
      <c r="D438" s="4">
        <v>0</v>
      </c>
      <c r="E438" s="4">
        <v>0</v>
      </c>
      <c r="F438" s="4">
        <v>1</v>
      </c>
      <c r="G438" s="4">
        <v>111001</v>
      </c>
      <c r="H438" s="4">
        <v>1</v>
      </c>
      <c r="I438" s="4">
        <f t="shared" si="2"/>
        <v>62</v>
      </c>
      <c r="J438" s="4">
        <f t="shared" si="3"/>
        <v>94</v>
      </c>
      <c r="K438" s="4" t="s">
        <v>866</v>
      </c>
    </row>
    <row r="439" spans="1:11" s="4" customFormat="1">
      <c r="A439" s="4">
        <v>111079</v>
      </c>
      <c r="B439" s="4">
        <v>1</v>
      </c>
      <c r="C439" s="4">
        <v>1</v>
      </c>
      <c r="D439" s="4">
        <v>0</v>
      </c>
      <c r="E439" s="4">
        <v>0</v>
      </c>
      <c r="F439" s="4">
        <v>1</v>
      </c>
      <c r="G439" s="4">
        <v>111001</v>
      </c>
      <c r="H439" s="4">
        <v>1</v>
      </c>
      <c r="I439" s="4">
        <f t="shared" si="2"/>
        <v>63</v>
      </c>
      <c r="J439" s="4">
        <f t="shared" si="3"/>
        <v>95</v>
      </c>
      <c r="K439" s="4" t="s">
        <v>867</v>
      </c>
    </row>
    <row r="440" spans="1:11" s="4" customFormat="1">
      <c r="A440" s="4">
        <v>111080</v>
      </c>
      <c r="B440" s="4">
        <v>1</v>
      </c>
      <c r="C440" s="4">
        <v>1</v>
      </c>
      <c r="D440" s="4">
        <v>0</v>
      </c>
      <c r="E440" s="4">
        <v>0</v>
      </c>
      <c r="F440" s="4">
        <v>1</v>
      </c>
      <c r="G440" s="4">
        <v>111001</v>
      </c>
      <c r="H440" s="4">
        <v>1</v>
      </c>
      <c r="I440" s="4">
        <f t="shared" si="2"/>
        <v>64</v>
      </c>
      <c r="J440" s="4">
        <f t="shared" si="3"/>
        <v>96</v>
      </c>
      <c r="K440" s="4" t="s">
        <v>868</v>
      </c>
    </row>
    <row r="441" spans="1:11" s="4" customFormat="1">
      <c r="A441" s="4">
        <v>111081</v>
      </c>
      <c r="B441" s="4">
        <v>1</v>
      </c>
      <c r="C441" s="4">
        <v>1</v>
      </c>
      <c r="D441" s="4">
        <v>0</v>
      </c>
      <c r="E441" s="4">
        <v>0</v>
      </c>
      <c r="F441" s="4">
        <v>1</v>
      </c>
      <c r="G441" s="4">
        <v>111001</v>
      </c>
      <c r="H441" s="4">
        <v>1</v>
      </c>
      <c r="I441" s="4">
        <f t="shared" si="2"/>
        <v>65</v>
      </c>
      <c r="J441" s="4">
        <f t="shared" si="3"/>
        <v>97</v>
      </c>
      <c r="K441" s="4" t="s">
        <v>869</v>
      </c>
    </row>
    <row r="442" spans="1:11" s="4" customFormat="1">
      <c r="A442" s="4">
        <v>111082</v>
      </c>
      <c r="B442" s="4">
        <v>1</v>
      </c>
      <c r="C442" s="4">
        <v>1</v>
      </c>
      <c r="D442" s="4">
        <v>0</v>
      </c>
      <c r="E442" s="4">
        <v>0</v>
      </c>
      <c r="F442" s="4">
        <v>1</v>
      </c>
      <c r="G442" s="4">
        <v>111001</v>
      </c>
      <c r="H442" s="4">
        <v>1</v>
      </c>
      <c r="I442" s="4">
        <f t="shared" si="2"/>
        <v>66</v>
      </c>
      <c r="J442" s="4">
        <f t="shared" si="3"/>
        <v>98</v>
      </c>
      <c r="K442" s="4" t="s">
        <v>870</v>
      </c>
    </row>
    <row r="443" spans="1:11" s="4" customFormat="1">
      <c r="A443" s="4">
        <v>111083</v>
      </c>
      <c r="B443" s="4">
        <v>1</v>
      </c>
      <c r="C443" s="4">
        <v>1</v>
      </c>
      <c r="D443" s="4">
        <v>0</v>
      </c>
      <c r="E443" s="4">
        <v>0</v>
      </c>
      <c r="F443" s="4">
        <v>1</v>
      </c>
      <c r="G443" s="4">
        <v>111001</v>
      </c>
      <c r="H443" s="4">
        <v>1</v>
      </c>
      <c r="I443" s="4">
        <f t="shared" si="2"/>
        <v>66</v>
      </c>
      <c r="J443" s="4">
        <f t="shared" si="3"/>
        <v>100</v>
      </c>
      <c r="K443" s="4" t="s">
        <v>871</v>
      </c>
    </row>
    <row r="444" spans="1:11" s="4" customFormat="1">
      <c r="A444" s="4">
        <v>111084</v>
      </c>
      <c r="B444" s="4">
        <v>1</v>
      </c>
      <c r="C444" s="4">
        <v>1</v>
      </c>
      <c r="D444" s="4">
        <v>0</v>
      </c>
      <c r="E444" s="4">
        <v>0</v>
      </c>
      <c r="F444" s="4">
        <v>1</v>
      </c>
      <c r="G444" s="4">
        <v>111001</v>
      </c>
      <c r="H444" s="4">
        <v>1</v>
      </c>
      <c r="I444" s="4">
        <f t="shared" si="2"/>
        <v>67</v>
      </c>
      <c r="J444" s="4">
        <f t="shared" si="3"/>
        <v>101</v>
      </c>
      <c r="K444" s="4" t="s">
        <v>872</v>
      </c>
    </row>
    <row r="445" spans="1:11" s="4" customFormat="1">
      <c r="A445" s="4">
        <v>111085</v>
      </c>
      <c r="B445" s="4">
        <v>1</v>
      </c>
      <c r="C445" s="4">
        <v>1</v>
      </c>
      <c r="D445" s="4">
        <v>0</v>
      </c>
      <c r="E445" s="4">
        <v>0</v>
      </c>
      <c r="F445" s="4">
        <v>1</v>
      </c>
      <c r="G445" s="4">
        <v>111001</v>
      </c>
      <c r="H445" s="4">
        <v>1</v>
      </c>
      <c r="I445" s="4">
        <f t="shared" si="2"/>
        <v>68</v>
      </c>
      <c r="J445" s="4">
        <f t="shared" si="3"/>
        <v>102</v>
      </c>
      <c r="K445" s="4" t="s">
        <v>873</v>
      </c>
    </row>
    <row r="446" spans="1:11" s="4" customFormat="1">
      <c r="A446" s="4">
        <v>111086</v>
      </c>
      <c r="B446" s="4">
        <v>1</v>
      </c>
      <c r="C446" s="4">
        <v>1</v>
      </c>
      <c r="D446" s="4">
        <v>0</v>
      </c>
      <c r="E446" s="4">
        <v>0</v>
      </c>
      <c r="F446" s="4">
        <v>1</v>
      </c>
      <c r="G446" s="4">
        <v>111001</v>
      </c>
      <c r="H446" s="4">
        <v>1</v>
      </c>
      <c r="I446" s="4">
        <f t="shared" si="2"/>
        <v>69</v>
      </c>
      <c r="J446" s="4">
        <f t="shared" si="3"/>
        <v>103</v>
      </c>
      <c r="K446" s="4" t="s">
        <v>874</v>
      </c>
    </row>
    <row r="447" spans="1:11" s="4" customFormat="1">
      <c r="A447" s="4">
        <v>111087</v>
      </c>
      <c r="B447" s="4">
        <v>1</v>
      </c>
      <c r="C447" s="4">
        <v>1</v>
      </c>
      <c r="D447" s="4">
        <v>0</v>
      </c>
      <c r="E447" s="4">
        <v>0</v>
      </c>
      <c r="F447" s="4">
        <v>1</v>
      </c>
      <c r="G447" s="4">
        <v>111001</v>
      </c>
      <c r="H447" s="4">
        <v>1</v>
      </c>
      <c r="I447" s="4">
        <f t="shared" si="2"/>
        <v>70</v>
      </c>
      <c r="J447" s="4">
        <f t="shared" si="3"/>
        <v>104</v>
      </c>
      <c r="K447" s="4" t="s">
        <v>875</v>
      </c>
    </row>
    <row r="448" spans="1:11" s="4" customFormat="1">
      <c r="A448" s="4">
        <v>111088</v>
      </c>
      <c r="B448" s="4">
        <v>1</v>
      </c>
      <c r="C448" s="4">
        <v>1</v>
      </c>
      <c r="D448" s="4">
        <v>0</v>
      </c>
      <c r="E448" s="4">
        <v>0</v>
      </c>
      <c r="F448" s="4">
        <v>1</v>
      </c>
      <c r="G448" s="4">
        <v>111001</v>
      </c>
      <c r="H448" s="4">
        <v>1</v>
      </c>
      <c r="I448" s="4">
        <f t="shared" si="2"/>
        <v>70</v>
      </c>
      <c r="J448" s="4">
        <f t="shared" si="3"/>
        <v>106</v>
      </c>
      <c r="K448" s="4" t="s">
        <v>876</v>
      </c>
    </row>
    <row r="449" spans="1:11" s="4" customFormat="1">
      <c r="A449" s="4">
        <v>111089</v>
      </c>
      <c r="B449" s="4">
        <v>1</v>
      </c>
      <c r="C449" s="4">
        <v>1</v>
      </c>
      <c r="D449" s="4">
        <v>0</v>
      </c>
      <c r="E449" s="4">
        <v>0</v>
      </c>
      <c r="F449" s="4">
        <v>1</v>
      </c>
      <c r="G449" s="4">
        <v>111001</v>
      </c>
      <c r="H449" s="4">
        <v>1</v>
      </c>
      <c r="I449" s="4">
        <f t="shared" si="2"/>
        <v>71</v>
      </c>
      <c r="J449" s="4">
        <f t="shared" si="3"/>
        <v>107</v>
      </c>
      <c r="K449" s="4" t="s">
        <v>877</v>
      </c>
    </row>
    <row r="450" spans="1:11" s="4" customFormat="1">
      <c r="A450" s="4">
        <v>111090</v>
      </c>
      <c r="B450" s="4">
        <v>1</v>
      </c>
      <c r="C450" s="4">
        <v>1</v>
      </c>
      <c r="D450" s="4">
        <v>0</v>
      </c>
      <c r="E450" s="4">
        <v>0</v>
      </c>
      <c r="F450" s="4">
        <v>1</v>
      </c>
      <c r="G450" s="4">
        <v>111001</v>
      </c>
      <c r="H450" s="4">
        <v>1</v>
      </c>
      <c r="I450" s="4">
        <f t="shared" si="2"/>
        <v>72</v>
      </c>
      <c r="J450" s="4">
        <f t="shared" si="3"/>
        <v>108</v>
      </c>
      <c r="K450" s="4" t="s">
        <v>878</v>
      </c>
    </row>
    <row r="451" spans="1:11" s="4" customFormat="1">
      <c r="A451" s="4">
        <v>111091</v>
      </c>
      <c r="B451" s="4">
        <v>1</v>
      </c>
      <c r="C451" s="4">
        <v>1</v>
      </c>
      <c r="D451" s="4">
        <v>0</v>
      </c>
      <c r="E451" s="4">
        <v>0</v>
      </c>
      <c r="F451" s="4">
        <v>1</v>
      </c>
      <c r="G451" s="4">
        <v>111001</v>
      </c>
      <c r="H451" s="4">
        <v>1</v>
      </c>
      <c r="I451" s="4">
        <f t="shared" si="2"/>
        <v>73</v>
      </c>
      <c r="J451" s="4">
        <f t="shared" si="3"/>
        <v>109</v>
      </c>
      <c r="K451" s="4" t="s">
        <v>879</v>
      </c>
    </row>
    <row r="452" spans="1:11" s="4" customFormat="1">
      <c r="A452" s="4">
        <v>111092</v>
      </c>
      <c r="B452" s="4">
        <v>1</v>
      </c>
      <c r="C452" s="4">
        <v>1</v>
      </c>
      <c r="D452" s="4">
        <v>0</v>
      </c>
      <c r="E452" s="4">
        <v>0</v>
      </c>
      <c r="F452" s="4">
        <v>1</v>
      </c>
      <c r="G452" s="4">
        <v>111001</v>
      </c>
      <c r="H452" s="4">
        <v>1</v>
      </c>
      <c r="I452" s="4">
        <f t="shared" si="2"/>
        <v>74</v>
      </c>
      <c r="J452" s="4">
        <f t="shared" si="3"/>
        <v>110</v>
      </c>
      <c r="K452" s="4" t="s">
        <v>880</v>
      </c>
    </row>
    <row r="453" spans="1:11" s="4" customFormat="1">
      <c r="A453" s="4">
        <v>111093</v>
      </c>
      <c r="B453" s="4">
        <v>1</v>
      </c>
      <c r="C453" s="4">
        <v>1</v>
      </c>
      <c r="D453" s="4">
        <v>0</v>
      </c>
      <c r="E453" s="4">
        <v>0</v>
      </c>
      <c r="F453" s="4">
        <v>1</v>
      </c>
      <c r="G453" s="4">
        <v>111001</v>
      </c>
      <c r="H453" s="4">
        <v>1</v>
      </c>
      <c r="I453" s="4">
        <f t="shared" si="2"/>
        <v>74</v>
      </c>
      <c r="J453" s="4">
        <f t="shared" si="3"/>
        <v>112</v>
      </c>
      <c r="K453" s="4" t="s">
        <v>881</v>
      </c>
    </row>
    <row r="454" spans="1:11" s="4" customFormat="1">
      <c r="A454" s="4">
        <v>111094</v>
      </c>
      <c r="B454" s="4">
        <v>1</v>
      </c>
      <c r="C454" s="4">
        <v>1</v>
      </c>
      <c r="D454" s="4">
        <v>0</v>
      </c>
      <c r="E454" s="4">
        <v>0</v>
      </c>
      <c r="F454" s="4">
        <v>1</v>
      </c>
      <c r="G454" s="4">
        <v>111001</v>
      </c>
      <c r="H454" s="4">
        <v>1</v>
      </c>
      <c r="I454" s="4">
        <f t="shared" si="2"/>
        <v>75</v>
      </c>
      <c r="J454" s="4">
        <f t="shared" si="3"/>
        <v>113</v>
      </c>
      <c r="K454" s="4" t="s">
        <v>882</v>
      </c>
    </row>
    <row r="455" spans="1:11" s="4" customFormat="1">
      <c r="A455" s="4">
        <v>111095</v>
      </c>
      <c r="B455" s="4">
        <v>1</v>
      </c>
      <c r="C455" s="4">
        <v>1</v>
      </c>
      <c r="D455" s="4">
        <v>0</v>
      </c>
      <c r="E455" s="4">
        <v>0</v>
      </c>
      <c r="F455" s="4">
        <v>1</v>
      </c>
      <c r="G455" s="4">
        <v>111001</v>
      </c>
      <c r="H455" s="4">
        <v>1</v>
      </c>
      <c r="I455" s="4">
        <f t="shared" si="2"/>
        <v>76</v>
      </c>
      <c r="J455" s="4">
        <f t="shared" si="3"/>
        <v>114</v>
      </c>
      <c r="K455" s="4" t="s">
        <v>883</v>
      </c>
    </row>
    <row r="456" spans="1:11" s="4" customFormat="1">
      <c r="A456" s="4">
        <v>111096</v>
      </c>
      <c r="B456" s="4">
        <v>1</v>
      </c>
      <c r="C456" s="4">
        <v>1</v>
      </c>
      <c r="D456" s="4">
        <v>0</v>
      </c>
      <c r="E456" s="4">
        <v>0</v>
      </c>
      <c r="F456" s="4">
        <v>1</v>
      </c>
      <c r="G456" s="4">
        <v>111001</v>
      </c>
      <c r="H456" s="4">
        <v>1</v>
      </c>
      <c r="I456" s="4">
        <f t="shared" si="2"/>
        <v>77</v>
      </c>
      <c r="J456" s="4">
        <f t="shared" si="3"/>
        <v>115</v>
      </c>
      <c r="K456" s="4" t="s">
        <v>884</v>
      </c>
    </row>
    <row r="457" spans="1:11" s="4" customFormat="1">
      <c r="A457" s="4">
        <v>111097</v>
      </c>
      <c r="B457" s="4">
        <v>1</v>
      </c>
      <c r="C457" s="4">
        <v>1</v>
      </c>
      <c r="D457" s="4">
        <v>0</v>
      </c>
      <c r="E457" s="4">
        <v>0</v>
      </c>
      <c r="F457" s="4">
        <v>1</v>
      </c>
      <c r="G457" s="4">
        <v>111001</v>
      </c>
      <c r="H457" s="4">
        <v>1</v>
      </c>
      <c r="I457" s="4">
        <f t="shared" si="2"/>
        <v>78</v>
      </c>
      <c r="J457" s="4">
        <f t="shared" si="3"/>
        <v>116</v>
      </c>
      <c r="K457" s="4" t="s">
        <v>885</v>
      </c>
    </row>
    <row r="458" spans="1:11" s="4" customFormat="1">
      <c r="A458" s="4">
        <v>111098</v>
      </c>
      <c r="B458" s="4">
        <v>1</v>
      </c>
      <c r="C458" s="4">
        <v>1</v>
      </c>
      <c r="D458" s="4">
        <v>0</v>
      </c>
      <c r="E458" s="4">
        <v>0</v>
      </c>
      <c r="F458" s="4">
        <v>1</v>
      </c>
      <c r="G458" s="4">
        <v>111001</v>
      </c>
      <c r="H458" s="4">
        <v>1</v>
      </c>
      <c r="I458" s="4">
        <f t="shared" si="2"/>
        <v>78</v>
      </c>
      <c r="J458" s="4">
        <f t="shared" si="3"/>
        <v>118</v>
      </c>
      <c r="K458" s="4" t="s">
        <v>886</v>
      </c>
    </row>
    <row r="459" spans="1:11" s="4" customFormat="1">
      <c r="A459" s="4">
        <v>111099</v>
      </c>
      <c r="B459" s="4">
        <v>1</v>
      </c>
      <c r="C459" s="4">
        <v>1</v>
      </c>
      <c r="D459" s="4">
        <v>0</v>
      </c>
      <c r="E459" s="4">
        <v>0</v>
      </c>
      <c r="F459" s="4">
        <v>1</v>
      </c>
      <c r="G459" s="4">
        <v>111001</v>
      </c>
      <c r="H459" s="4">
        <v>1</v>
      </c>
      <c r="I459" s="4">
        <f t="shared" si="2"/>
        <v>79</v>
      </c>
      <c r="J459" s="4">
        <f t="shared" si="3"/>
        <v>119</v>
      </c>
      <c r="K459" s="4" t="s">
        <v>887</v>
      </c>
    </row>
    <row r="460" spans="1:11" s="4" customFormat="1">
      <c r="A460" s="4">
        <v>111100</v>
      </c>
      <c r="B460" s="4">
        <v>1</v>
      </c>
      <c r="C460" s="4">
        <v>1</v>
      </c>
      <c r="D460" s="4">
        <v>0</v>
      </c>
      <c r="E460" s="4">
        <v>0</v>
      </c>
      <c r="F460" s="4">
        <v>1</v>
      </c>
      <c r="G460" s="4">
        <v>111001</v>
      </c>
      <c r="H460" s="4">
        <v>1</v>
      </c>
      <c r="I460" s="4">
        <f t="shared" si="2"/>
        <v>80</v>
      </c>
      <c r="J460" s="4">
        <f t="shared" si="3"/>
        <v>120</v>
      </c>
      <c r="K460" s="4" t="s">
        <v>888</v>
      </c>
    </row>
    <row r="461" spans="1:11" s="4" customFormat="1">
      <c r="A461" s="4">
        <v>111101</v>
      </c>
      <c r="B461" s="4">
        <v>1</v>
      </c>
      <c r="C461" s="4">
        <v>1</v>
      </c>
      <c r="D461" s="4">
        <v>0</v>
      </c>
      <c r="E461" s="4">
        <v>0</v>
      </c>
      <c r="F461" s="4">
        <v>1</v>
      </c>
      <c r="G461" s="4">
        <v>111001</v>
      </c>
      <c r="H461" s="4">
        <v>1</v>
      </c>
      <c r="I461" s="4">
        <f t="shared" si="2"/>
        <v>81</v>
      </c>
      <c r="J461" s="4">
        <f t="shared" si="3"/>
        <v>121</v>
      </c>
      <c r="K461" s="4" t="s">
        <v>889</v>
      </c>
    </row>
    <row r="462" spans="1:11" s="4" customFormat="1">
      <c r="A462" s="4">
        <v>111102</v>
      </c>
      <c r="B462" s="4">
        <v>1</v>
      </c>
      <c r="C462" s="4">
        <v>1</v>
      </c>
      <c r="D462" s="4">
        <v>0</v>
      </c>
      <c r="E462" s="4">
        <v>0</v>
      </c>
      <c r="F462" s="4">
        <v>1</v>
      </c>
      <c r="G462" s="4">
        <v>111001</v>
      </c>
      <c r="H462" s="4">
        <v>1</v>
      </c>
      <c r="I462" s="4">
        <f t="shared" si="2"/>
        <v>82</v>
      </c>
      <c r="J462" s="4">
        <f t="shared" si="3"/>
        <v>122</v>
      </c>
      <c r="K462" s="4" t="s">
        <v>890</v>
      </c>
    </row>
    <row r="463" spans="1:11" s="4" customFormat="1">
      <c r="A463" s="4">
        <v>111103</v>
      </c>
      <c r="B463" s="4">
        <v>1</v>
      </c>
      <c r="C463" s="4">
        <v>1</v>
      </c>
      <c r="D463" s="4">
        <v>0</v>
      </c>
      <c r="E463" s="4">
        <v>0</v>
      </c>
      <c r="F463" s="4">
        <v>1</v>
      </c>
      <c r="G463" s="4">
        <v>111001</v>
      </c>
      <c r="H463" s="4">
        <v>1</v>
      </c>
      <c r="I463" s="4">
        <f t="shared" si="2"/>
        <v>82</v>
      </c>
      <c r="J463" s="4">
        <f t="shared" si="3"/>
        <v>124</v>
      </c>
      <c r="K463" s="4" t="s">
        <v>891</v>
      </c>
    </row>
    <row r="464" spans="1:11" s="4" customFormat="1">
      <c r="A464" s="4">
        <v>111104</v>
      </c>
      <c r="B464" s="4">
        <v>1</v>
      </c>
      <c r="C464" s="4">
        <v>1</v>
      </c>
      <c r="D464" s="4">
        <v>0</v>
      </c>
      <c r="E464" s="4">
        <v>0</v>
      </c>
      <c r="F464" s="4">
        <v>1</v>
      </c>
      <c r="G464" s="4">
        <v>111001</v>
      </c>
      <c r="H464" s="4">
        <v>1</v>
      </c>
      <c r="I464" s="4">
        <f t="shared" si="2"/>
        <v>83</v>
      </c>
      <c r="J464" s="4">
        <f t="shared" si="3"/>
        <v>125</v>
      </c>
      <c r="K464" s="4" t="s">
        <v>892</v>
      </c>
    </row>
    <row r="465" spans="1:11" s="4" customFormat="1">
      <c r="A465" s="4">
        <v>111105</v>
      </c>
      <c r="B465" s="4">
        <v>1</v>
      </c>
      <c r="C465" s="4">
        <v>1</v>
      </c>
      <c r="D465" s="4">
        <v>0</v>
      </c>
      <c r="E465" s="4">
        <v>0</v>
      </c>
      <c r="F465" s="4">
        <v>1</v>
      </c>
      <c r="G465" s="4">
        <v>111001</v>
      </c>
      <c r="H465" s="4">
        <v>1</v>
      </c>
      <c r="I465" s="4">
        <f t="shared" si="2"/>
        <v>84</v>
      </c>
      <c r="J465" s="4">
        <f t="shared" si="3"/>
        <v>126</v>
      </c>
      <c r="K465" s="4" t="s">
        <v>893</v>
      </c>
    </row>
    <row r="466" spans="1:11" s="4" customFormat="1">
      <c r="A466" s="4">
        <v>111106</v>
      </c>
      <c r="B466" s="4">
        <v>1</v>
      </c>
      <c r="C466" s="4">
        <v>1</v>
      </c>
      <c r="D466" s="4">
        <v>0</v>
      </c>
      <c r="E466" s="4">
        <v>0</v>
      </c>
      <c r="F466" s="4">
        <v>1</v>
      </c>
      <c r="G466" s="4">
        <v>111001</v>
      </c>
      <c r="H466" s="4">
        <v>1</v>
      </c>
      <c r="I466" s="4">
        <f t="shared" si="2"/>
        <v>85</v>
      </c>
      <c r="J466" s="4">
        <f t="shared" si="3"/>
        <v>127</v>
      </c>
      <c r="K466" s="4" t="s">
        <v>894</v>
      </c>
    </row>
    <row r="467" spans="1:11" s="4" customFormat="1">
      <c r="A467" s="4">
        <v>111107</v>
      </c>
      <c r="B467" s="4">
        <v>1</v>
      </c>
      <c r="C467" s="4">
        <v>1</v>
      </c>
      <c r="D467" s="4">
        <v>0</v>
      </c>
      <c r="E467" s="4">
        <v>0</v>
      </c>
      <c r="F467" s="4">
        <v>1</v>
      </c>
      <c r="G467" s="4">
        <v>111001</v>
      </c>
      <c r="H467" s="4">
        <v>1</v>
      </c>
      <c r="I467" s="4">
        <f t="shared" si="2"/>
        <v>86</v>
      </c>
      <c r="J467" s="4">
        <f t="shared" si="3"/>
        <v>128</v>
      </c>
      <c r="K467" s="4" t="s">
        <v>895</v>
      </c>
    </row>
    <row r="468" spans="1:11" s="4" customFormat="1">
      <c r="A468" s="4">
        <v>111108</v>
      </c>
      <c r="B468" s="4">
        <v>1</v>
      </c>
      <c r="C468" s="4">
        <v>1</v>
      </c>
      <c r="D468" s="4">
        <v>0</v>
      </c>
      <c r="E468" s="4">
        <v>0</v>
      </c>
      <c r="F468" s="4">
        <v>1</v>
      </c>
      <c r="G468" s="4">
        <v>111001</v>
      </c>
      <c r="H468" s="4">
        <v>1</v>
      </c>
      <c r="I468" s="4">
        <f t="shared" si="2"/>
        <v>86</v>
      </c>
      <c r="J468" s="4">
        <f t="shared" si="3"/>
        <v>130</v>
      </c>
      <c r="K468" s="4" t="s">
        <v>896</v>
      </c>
    </row>
    <row r="469" spans="1:11" s="4" customFormat="1">
      <c r="A469" s="4">
        <v>111109</v>
      </c>
      <c r="B469" s="4">
        <v>1</v>
      </c>
      <c r="C469" s="4">
        <v>1</v>
      </c>
      <c r="D469" s="4">
        <v>0</v>
      </c>
      <c r="E469" s="4">
        <v>0</v>
      </c>
      <c r="F469" s="4">
        <v>1</v>
      </c>
      <c r="G469" s="4">
        <v>111001</v>
      </c>
      <c r="H469" s="4">
        <v>1</v>
      </c>
      <c r="I469" s="4">
        <f t="shared" si="2"/>
        <v>87</v>
      </c>
      <c r="J469" s="4">
        <f t="shared" si="3"/>
        <v>131</v>
      </c>
      <c r="K469" s="4" t="s">
        <v>897</v>
      </c>
    </row>
    <row r="470" spans="1:11" s="4" customFormat="1">
      <c r="A470" s="4">
        <v>111110</v>
      </c>
      <c r="B470" s="4">
        <v>1</v>
      </c>
      <c r="C470" s="4">
        <v>1</v>
      </c>
      <c r="D470" s="4">
        <v>0</v>
      </c>
      <c r="E470" s="4">
        <v>0</v>
      </c>
      <c r="F470" s="4">
        <v>1</v>
      </c>
      <c r="G470" s="4">
        <v>111001</v>
      </c>
      <c r="H470" s="4">
        <v>1</v>
      </c>
      <c r="I470" s="4">
        <f t="shared" si="2"/>
        <v>88</v>
      </c>
      <c r="J470" s="4">
        <f t="shared" si="3"/>
        <v>132</v>
      </c>
      <c r="K470" s="4" t="s">
        <v>898</v>
      </c>
    </row>
    <row r="471" spans="1:11" s="4" customFormat="1">
      <c r="A471" s="4">
        <v>111111</v>
      </c>
      <c r="B471" s="4">
        <v>1</v>
      </c>
      <c r="C471" s="4">
        <v>1</v>
      </c>
      <c r="D471" s="4">
        <v>0</v>
      </c>
      <c r="E471" s="4">
        <v>0</v>
      </c>
      <c r="F471" s="4">
        <v>1</v>
      </c>
      <c r="G471" s="4">
        <v>111001</v>
      </c>
      <c r="H471" s="4">
        <v>1</v>
      </c>
      <c r="I471" s="4">
        <f t="shared" si="2"/>
        <v>89</v>
      </c>
      <c r="J471" s="4">
        <f t="shared" si="3"/>
        <v>133</v>
      </c>
      <c r="K471" s="4" t="s">
        <v>899</v>
      </c>
    </row>
    <row r="472" spans="1:11" s="4" customFormat="1">
      <c r="A472" s="4">
        <v>111112</v>
      </c>
      <c r="B472" s="4">
        <v>1</v>
      </c>
      <c r="C472" s="4">
        <v>1</v>
      </c>
      <c r="D472" s="4">
        <v>0</v>
      </c>
      <c r="E472" s="4">
        <v>0</v>
      </c>
      <c r="F472" s="4">
        <v>1</v>
      </c>
      <c r="G472" s="4">
        <v>111001</v>
      </c>
      <c r="H472" s="4">
        <v>1</v>
      </c>
      <c r="I472" s="4">
        <f t="shared" si="2"/>
        <v>90</v>
      </c>
      <c r="J472" s="4">
        <f t="shared" si="3"/>
        <v>134</v>
      </c>
      <c r="K472" s="4" t="s">
        <v>900</v>
      </c>
    </row>
    <row r="473" spans="1:11" s="4" customFormat="1">
      <c r="A473" s="4">
        <v>111113</v>
      </c>
      <c r="B473" s="4">
        <v>1</v>
      </c>
      <c r="C473" s="4">
        <v>1</v>
      </c>
      <c r="D473" s="4">
        <v>0</v>
      </c>
      <c r="E473" s="4">
        <v>0</v>
      </c>
      <c r="F473" s="4">
        <v>1</v>
      </c>
      <c r="G473" s="4">
        <v>111001</v>
      </c>
      <c r="H473" s="4">
        <v>1</v>
      </c>
      <c r="I473" s="4">
        <f t="shared" si="2"/>
        <v>90</v>
      </c>
      <c r="J473" s="4">
        <f t="shared" si="3"/>
        <v>136</v>
      </c>
      <c r="K473" s="4" t="s">
        <v>901</v>
      </c>
    </row>
    <row r="474" spans="1:11" s="4" customFormat="1">
      <c r="A474" s="4">
        <v>111114</v>
      </c>
      <c r="B474" s="4">
        <v>1</v>
      </c>
      <c r="C474" s="4">
        <v>1</v>
      </c>
      <c r="D474" s="4">
        <v>0</v>
      </c>
      <c r="E474" s="4">
        <v>0</v>
      </c>
      <c r="F474" s="4">
        <v>1</v>
      </c>
      <c r="G474" s="4">
        <v>111001</v>
      </c>
      <c r="H474" s="4">
        <v>1</v>
      </c>
      <c r="I474" s="4">
        <f t="shared" si="2"/>
        <v>91</v>
      </c>
      <c r="J474" s="4">
        <f t="shared" si="3"/>
        <v>137</v>
      </c>
      <c r="K474" s="4" t="s">
        <v>902</v>
      </c>
    </row>
    <row r="475" spans="1:11" s="4" customFormat="1">
      <c r="A475" s="4">
        <v>111115</v>
      </c>
      <c r="B475" s="4">
        <v>1</v>
      </c>
      <c r="C475" s="4">
        <v>1</v>
      </c>
      <c r="D475" s="4">
        <v>0</v>
      </c>
      <c r="E475" s="4">
        <v>0</v>
      </c>
      <c r="F475" s="4">
        <v>1</v>
      </c>
      <c r="G475" s="4">
        <v>111001</v>
      </c>
      <c r="H475" s="4">
        <v>1</v>
      </c>
      <c r="I475" s="4">
        <f t="shared" si="2"/>
        <v>92</v>
      </c>
      <c r="J475" s="4">
        <f t="shared" si="3"/>
        <v>138</v>
      </c>
      <c r="K475" s="4" t="s">
        <v>903</v>
      </c>
    </row>
    <row r="476" spans="1:11" s="4" customFormat="1">
      <c r="A476" s="4">
        <v>111116</v>
      </c>
      <c r="B476" s="4">
        <v>1</v>
      </c>
      <c r="C476" s="4">
        <v>1</v>
      </c>
      <c r="D476" s="4">
        <v>0</v>
      </c>
      <c r="E476" s="4">
        <v>0</v>
      </c>
      <c r="F476" s="4">
        <v>1</v>
      </c>
      <c r="G476" s="4">
        <v>111001</v>
      </c>
      <c r="H476" s="4">
        <v>1</v>
      </c>
      <c r="I476" s="4">
        <f t="shared" si="2"/>
        <v>93</v>
      </c>
      <c r="J476" s="4">
        <f t="shared" si="3"/>
        <v>139</v>
      </c>
      <c r="K476" s="4" t="s">
        <v>904</v>
      </c>
    </row>
    <row r="477" spans="1:11" s="4" customFormat="1">
      <c r="A477" s="4">
        <v>111117</v>
      </c>
      <c r="B477" s="4">
        <v>1</v>
      </c>
      <c r="C477" s="4">
        <v>1</v>
      </c>
      <c r="D477" s="4">
        <v>0</v>
      </c>
      <c r="E477" s="4">
        <v>0</v>
      </c>
      <c r="F477" s="4">
        <v>1</v>
      </c>
      <c r="G477" s="4">
        <v>111001</v>
      </c>
      <c r="H477" s="4">
        <v>1</v>
      </c>
      <c r="I477" s="4">
        <f t="shared" si="2"/>
        <v>94</v>
      </c>
      <c r="J477" s="4">
        <f t="shared" si="3"/>
        <v>140</v>
      </c>
      <c r="K477" s="4" t="s">
        <v>905</v>
      </c>
    </row>
    <row r="478" spans="1:11" s="4" customFormat="1">
      <c r="A478" s="4">
        <v>111118</v>
      </c>
      <c r="B478" s="4">
        <v>1</v>
      </c>
      <c r="C478" s="4">
        <v>1</v>
      </c>
      <c r="D478" s="4">
        <v>0</v>
      </c>
      <c r="E478" s="4">
        <v>0</v>
      </c>
      <c r="F478" s="4">
        <v>1</v>
      </c>
      <c r="G478" s="4">
        <v>111001</v>
      </c>
      <c r="H478" s="4">
        <v>1</v>
      </c>
      <c r="I478" s="4">
        <f t="shared" si="2"/>
        <v>94</v>
      </c>
      <c r="J478" s="4">
        <f t="shared" si="3"/>
        <v>142</v>
      </c>
      <c r="K478" s="4" t="s">
        <v>906</v>
      </c>
    </row>
    <row r="479" spans="1:11" s="4" customFormat="1">
      <c r="A479" s="4">
        <v>111119</v>
      </c>
      <c r="B479" s="4">
        <v>1</v>
      </c>
      <c r="C479" s="4">
        <v>1</v>
      </c>
      <c r="D479" s="4">
        <v>0</v>
      </c>
      <c r="E479" s="4">
        <v>0</v>
      </c>
      <c r="F479" s="4">
        <v>1</v>
      </c>
      <c r="G479" s="4">
        <v>111001</v>
      </c>
      <c r="H479" s="4">
        <v>1</v>
      </c>
      <c r="I479" s="4">
        <f t="shared" si="2"/>
        <v>95</v>
      </c>
      <c r="J479" s="4">
        <f t="shared" si="3"/>
        <v>143</v>
      </c>
      <c r="K479" s="4" t="s">
        <v>907</v>
      </c>
    </row>
    <row r="480" spans="1:11" s="4" customFormat="1">
      <c r="A480" s="4">
        <v>111120</v>
      </c>
      <c r="B480" s="4">
        <v>1</v>
      </c>
      <c r="C480" s="4">
        <v>1</v>
      </c>
      <c r="D480" s="4">
        <v>0</v>
      </c>
      <c r="E480" s="4">
        <v>0</v>
      </c>
      <c r="F480" s="4">
        <v>1</v>
      </c>
      <c r="G480" s="4">
        <v>111001</v>
      </c>
      <c r="H480" s="4">
        <v>1</v>
      </c>
      <c r="I480" s="4">
        <f t="shared" si="2"/>
        <v>96</v>
      </c>
      <c r="J480" s="4">
        <f t="shared" si="3"/>
        <v>144</v>
      </c>
      <c r="K480" s="4" t="s">
        <v>908</v>
      </c>
    </row>
    <row r="481" spans="1:11" s="4" customFormat="1">
      <c r="A481" s="4">
        <v>111121</v>
      </c>
      <c r="B481" s="4">
        <v>1</v>
      </c>
      <c r="C481" s="4">
        <v>1</v>
      </c>
      <c r="D481" s="4">
        <v>0</v>
      </c>
      <c r="E481" s="4">
        <v>0</v>
      </c>
      <c r="F481" s="4">
        <v>1</v>
      </c>
      <c r="G481" s="4">
        <v>111001</v>
      </c>
      <c r="H481" s="4">
        <v>1</v>
      </c>
      <c r="I481" s="4">
        <f t="shared" si="2"/>
        <v>97</v>
      </c>
      <c r="J481" s="4">
        <f t="shared" si="3"/>
        <v>145</v>
      </c>
      <c r="K481" s="4" t="s">
        <v>909</v>
      </c>
    </row>
    <row r="482" spans="1:11" s="4" customFormat="1">
      <c r="A482" s="4">
        <v>111122</v>
      </c>
      <c r="B482" s="4">
        <v>1</v>
      </c>
      <c r="C482" s="4">
        <v>1</v>
      </c>
      <c r="D482" s="4">
        <v>0</v>
      </c>
      <c r="E482" s="4">
        <v>0</v>
      </c>
      <c r="F482" s="4">
        <v>1</v>
      </c>
      <c r="G482" s="4">
        <v>111001</v>
      </c>
      <c r="H482" s="4">
        <v>1</v>
      </c>
      <c r="I482" s="4">
        <f t="shared" si="2"/>
        <v>98</v>
      </c>
      <c r="J482" s="4">
        <f t="shared" si="3"/>
        <v>146</v>
      </c>
      <c r="K482" s="4" t="s">
        <v>910</v>
      </c>
    </row>
    <row r="483" spans="1:11" s="4" customFormat="1">
      <c r="A483" s="4">
        <v>111123</v>
      </c>
      <c r="B483" s="4">
        <v>1</v>
      </c>
      <c r="C483" s="4">
        <v>1</v>
      </c>
      <c r="D483" s="4">
        <v>0</v>
      </c>
      <c r="E483" s="4">
        <v>0</v>
      </c>
      <c r="F483" s="4">
        <v>1</v>
      </c>
      <c r="G483" s="4">
        <v>111001</v>
      </c>
      <c r="H483" s="4">
        <v>1</v>
      </c>
      <c r="I483" s="4">
        <f t="shared" si="2"/>
        <v>98</v>
      </c>
      <c r="J483" s="4">
        <f t="shared" si="3"/>
        <v>148</v>
      </c>
      <c r="K483" s="4" t="s">
        <v>911</v>
      </c>
    </row>
    <row r="484" spans="1:11" s="4" customFormat="1">
      <c r="A484" s="4">
        <v>111124</v>
      </c>
      <c r="B484" s="4">
        <v>1</v>
      </c>
      <c r="C484" s="4">
        <v>1</v>
      </c>
      <c r="D484" s="4">
        <v>0</v>
      </c>
      <c r="E484" s="4">
        <v>0</v>
      </c>
      <c r="F484" s="4">
        <v>1</v>
      </c>
      <c r="G484" s="4">
        <v>111001</v>
      </c>
      <c r="H484" s="4">
        <v>1</v>
      </c>
      <c r="I484" s="4">
        <f t="shared" si="2"/>
        <v>99</v>
      </c>
      <c r="J484" s="4">
        <f t="shared" si="3"/>
        <v>149</v>
      </c>
      <c r="K484" s="4" t="s">
        <v>912</v>
      </c>
    </row>
    <row r="485" spans="1:11" s="4" customFormat="1">
      <c r="A485" s="4">
        <v>111125</v>
      </c>
      <c r="B485" s="4">
        <v>1</v>
      </c>
      <c r="C485" s="4">
        <v>1</v>
      </c>
      <c r="D485" s="4">
        <v>0</v>
      </c>
      <c r="E485" s="4">
        <v>0</v>
      </c>
      <c r="F485" s="4">
        <v>1</v>
      </c>
      <c r="G485" s="4">
        <v>111001</v>
      </c>
      <c r="H485" s="4">
        <v>1</v>
      </c>
      <c r="I485" s="4">
        <f t="shared" si="2"/>
        <v>100</v>
      </c>
      <c r="J485" s="4">
        <f t="shared" si="3"/>
        <v>150</v>
      </c>
      <c r="K485" s="4" t="s">
        <v>913</v>
      </c>
    </row>
    <row r="486" spans="1:11" s="4" customFormat="1">
      <c r="A486" s="4">
        <v>111126</v>
      </c>
      <c r="B486" s="4">
        <v>1</v>
      </c>
      <c r="C486" s="4">
        <v>1</v>
      </c>
      <c r="D486" s="4">
        <v>0</v>
      </c>
      <c r="E486" s="4">
        <v>0</v>
      </c>
      <c r="F486" s="4">
        <v>1</v>
      </c>
      <c r="G486" s="4">
        <v>111001</v>
      </c>
      <c r="H486" s="4">
        <v>1</v>
      </c>
      <c r="I486" s="4">
        <f t="shared" si="2"/>
        <v>101</v>
      </c>
      <c r="J486" s="4">
        <f t="shared" si="3"/>
        <v>151</v>
      </c>
      <c r="K486" s="4" t="s">
        <v>914</v>
      </c>
    </row>
    <row r="487" spans="1:11" s="4" customFormat="1">
      <c r="A487" s="4">
        <v>111127</v>
      </c>
      <c r="B487" s="4">
        <v>1</v>
      </c>
      <c r="C487" s="4">
        <v>1</v>
      </c>
      <c r="D487" s="4">
        <v>0</v>
      </c>
      <c r="E487" s="4">
        <v>0</v>
      </c>
      <c r="F487" s="4">
        <v>1</v>
      </c>
      <c r="G487" s="4">
        <v>111001</v>
      </c>
      <c r="H487" s="4">
        <v>1</v>
      </c>
      <c r="I487" s="4">
        <f t="shared" si="2"/>
        <v>102</v>
      </c>
      <c r="J487" s="4">
        <f t="shared" si="3"/>
        <v>152</v>
      </c>
      <c r="K487" s="4" t="s">
        <v>915</v>
      </c>
    </row>
    <row r="488" spans="1:11" s="4" customFormat="1">
      <c r="A488" s="4">
        <v>111128</v>
      </c>
      <c r="B488" s="4">
        <v>1</v>
      </c>
      <c r="C488" s="4">
        <v>1</v>
      </c>
      <c r="D488" s="4">
        <v>0</v>
      </c>
      <c r="E488" s="4">
        <v>0</v>
      </c>
      <c r="F488" s="4">
        <v>1</v>
      </c>
      <c r="G488" s="4">
        <v>111001</v>
      </c>
      <c r="H488" s="4">
        <v>1</v>
      </c>
      <c r="I488" s="4">
        <f t="shared" si="2"/>
        <v>102</v>
      </c>
      <c r="J488" s="4">
        <f t="shared" si="3"/>
        <v>154</v>
      </c>
      <c r="K488" s="4" t="s">
        <v>916</v>
      </c>
    </row>
    <row r="489" spans="1:11" s="4" customFormat="1">
      <c r="A489" s="4">
        <v>111129</v>
      </c>
      <c r="B489" s="4">
        <v>1</v>
      </c>
      <c r="C489" s="4">
        <v>1</v>
      </c>
      <c r="D489" s="4">
        <v>0</v>
      </c>
      <c r="E489" s="4">
        <v>0</v>
      </c>
      <c r="F489" s="4">
        <v>1</v>
      </c>
      <c r="G489" s="4">
        <v>111001</v>
      </c>
      <c r="H489" s="4">
        <v>1</v>
      </c>
      <c r="I489" s="4">
        <f t="shared" si="2"/>
        <v>103</v>
      </c>
      <c r="J489" s="4">
        <f t="shared" si="3"/>
        <v>155</v>
      </c>
      <c r="K489" s="4" t="s">
        <v>917</v>
      </c>
    </row>
    <row r="490" spans="1:11" s="4" customFormat="1">
      <c r="A490" s="4">
        <v>111130</v>
      </c>
      <c r="B490" s="4">
        <v>1</v>
      </c>
      <c r="C490" s="4">
        <v>1</v>
      </c>
      <c r="D490" s="4">
        <v>0</v>
      </c>
      <c r="E490" s="4">
        <v>0</v>
      </c>
      <c r="F490" s="4">
        <v>1</v>
      </c>
      <c r="G490" s="4">
        <v>111001</v>
      </c>
      <c r="H490" s="4">
        <v>1</v>
      </c>
      <c r="I490" s="4">
        <f t="shared" ref="I490:I553" si="4">ROUND(RIGHT(A490,3)*80%,0)</f>
        <v>104</v>
      </c>
      <c r="J490" s="4">
        <f t="shared" ref="J490:J553" si="5">ROUND(RIGHT(A490,3)*120%,0)</f>
        <v>156</v>
      </c>
      <c r="K490" s="4" t="s">
        <v>918</v>
      </c>
    </row>
    <row r="491" spans="1:11" s="4" customFormat="1">
      <c r="A491" s="4">
        <v>111131</v>
      </c>
      <c r="B491" s="4">
        <v>1</v>
      </c>
      <c r="C491" s="4">
        <v>1</v>
      </c>
      <c r="D491" s="4">
        <v>0</v>
      </c>
      <c r="E491" s="4">
        <v>0</v>
      </c>
      <c r="F491" s="4">
        <v>1</v>
      </c>
      <c r="G491" s="4">
        <v>111001</v>
      </c>
      <c r="H491" s="4">
        <v>1</v>
      </c>
      <c r="I491" s="4">
        <f t="shared" si="4"/>
        <v>105</v>
      </c>
      <c r="J491" s="4">
        <f t="shared" si="5"/>
        <v>157</v>
      </c>
      <c r="K491" s="4" t="s">
        <v>919</v>
      </c>
    </row>
    <row r="492" spans="1:11" s="4" customFormat="1">
      <c r="A492" s="4">
        <v>111132</v>
      </c>
      <c r="B492" s="4">
        <v>1</v>
      </c>
      <c r="C492" s="4">
        <v>1</v>
      </c>
      <c r="D492" s="4">
        <v>0</v>
      </c>
      <c r="E492" s="4">
        <v>0</v>
      </c>
      <c r="F492" s="4">
        <v>1</v>
      </c>
      <c r="G492" s="4">
        <v>111001</v>
      </c>
      <c r="H492" s="4">
        <v>1</v>
      </c>
      <c r="I492" s="4">
        <f t="shared" si="4"/>
        <v>106</v>
      </c>
      <c r="J492" s="4">
        <f t="shared" si="5"/>
        <v>158</v>
      </c>
      <c r="K492" s="4" t="s">
        <v>920</v>
      </c>
    </row>
    <row r="493" spans="1:11" s="4" customFormat="1">
      <c r="A493" s="4">
        <v>111133</v>
      </c>
      <c r="B493" s="4">
        <v>1</v>
      </c>
      <c r="C493" s="4">
        <v>1</v>
      </c>
      <c r="D493" s="4">
        <v>0</v>
      </c>
      <c r="E493" s="4">
        <v>0</v>
      </c>
      <c r="F493" s="4">
        <v>1</v>
      </c>
      <c r="G493" s="4">
        <v>111001</v>
      </c>
      <c r="H493" s="4">
        <v>1</v>
      </c>
      <c r="I493" s="4">
        <f t="shared" si="4"/>
        <v>106</v>
      </c>
      <c r="J493" s="4">
        <f t="shared" si="5"/>
        <v>160</v>
      </c>
      <c r="K493" s="4" t="s">
        <v>921</v>
      </c>
    </row>
    <row r="494" spans="1:11" s="4" customFormat="1">
      <c r="A494" s="4">
        <v>111134</v>
      </c>
      <c r="B494" s="4">
        <v>1</v>
      </c>
      <c r="C494" s="4">
        <v>1</v>
      </c>
      <c r="D494" s="4">
        <v>0</v>
      </c>
      <c r="E494" s="4">
        <v>0</v>
      </c>
      <c r="F494" s="4">
        <v>1</v>
      </c>
      <c r="G494" s="4">
        <v>111001</v>
      </c>
      <c r="H494" s="4">
        <v>1</v>
      </c>
      <c r="I494" s="4">
        <f t="shared" si="4"/>
        <v>107</v>
      </c>
      <c r="J494" s="4">
        <f t="shared" si="5"/>
        <v>161</v>
      </c>
      <c r="K494" s="4" t="s">
        <v>922</v>
      </c>
    </row>
    <row r="495" spans="1:11" s="4" customFormat="1">
      <c r="A495" s="4">
        <v>111135</v>
      </c>
      <c r="B495" s="4">
        <v>1</v>
      </c>
      <c r="C495" s="4">
        <v>1</v>
      </c>
      <c r="D495" s="4">
        <v>0</v>
      </c>
      <c r="E495" s="4">
        <v>0</v>
      </c>
      <c r="F495" s="4">
        <v>1</v>
      </c>
      <c r="G495" s="4">
        <v>111001</v>
      </c>
      <c r="H495" s="4">
        <v>1</v>
      </c>
      <c r="I495" s="4">
        <f t="shared" si="4"/>
        <v>108</v>
      </c>
      <c r="J495" s="4">
        <f t="shared" si="5"/>
        <v>162</v>
      </c>
      <c r="K495" s="4" t="s">
        <v>923</v>
      </c>
    </row>
    <row r="496" spans="1:11" s="4" customFormat="1">
      <c r="A496" s="4">
        <v>111136</v>
      </c>
      <c r="B496" s="4">
        <v>1</v>
      </c>
      <c r="C496" s="4">
        <v>1</v>
      </c>
      <c r="D496" s="4">
        <v>0</v>
      </c>
      <c r="E496" s="4">
        <v>0</v>
      </c>
      <c r="F496" s="4">
        <v>1</v>
      </c>
      <c r="G496" s="4">
        <v>111001</v>
      </c>
      <c r="H496" s="4">
        <v>1</v>
      </c>
      <c r="I496" s="4">
        <f t="shared" si="4"/>
        <v>109</v>
      </c>
      <c r="J496" s="4">
        <f t="shared" si="5"/>
        <v>163</v>
      </c>
      <c r="K496" s="4" t="s">
        <v>924</v>
      </c>
    </row>
    <row r="497" spans="1:11" s="4" customFormat="1">
      <c r="A497" s="4">
        <v>111137</v>
      </c>
      <c r="B497" s="4">
        <v>1</v>
      </c>
      <c r="C497" s="4">
        <v>1</v>
      </c>
      <c r="D497" s="4">
        <v>0</v>
      </c>
      <c r="E497" s="4">
        <v>0</v>
      </c>
      <c r="F497" s="4">
        <v>1</v>
      </c>
      <c r="G497" s="4">
        <v>111001</v>
      </c>
      <c r="H497" s="4">
        <v>1</v>
      </c>
      <c r="I497" s="4">
        <f t="shared" si="4"/>
        <v>110</v>
      </c>
      <c r="J497" s="4">
        <f t="shared" si="5"/>
        <v>164</v>
      </c>
      <c r="K497" s="4" t="s">
        <v>925</v>
      </c>
    </row>
    <row r="498" spans="1:11" s="4" customFormat="1">
      <c r="A498" s="4">
        <v>111138</v>
      </c>
      <c r="B498" s="4">
        <v>1</v>
      </c>
      <c r="C498" s="4">
        <v>1</v>
      </c>
      <c r="D498" s="4">
        <v>0</v>
      </c>
      <c r="E498" s="4">
        <v>0</v>
      </c>
      <c r="F498" s="4">
        <v>1</v>
      </c>
      <c r="G498" s="4">
        <v>111001</v>
      </c>
      <c r="H498" s="4">
        <v>1</v>
      </c>
      <c r="I498" s="4">
        <f t="shared" si="4"/>
        <v>110</v>
      </c>
      <c r="J498" s="4">
        <f t="shared" si="5"/>
        <v>166</v>
      </c>
      <c r="K498" s="4" t="s">
        <v>926</v>
      </c>
    </row>
    <row r="499" spans="1:11" s="4" customFormat="1">
      <c r="A499" s="4">
        <v>111139</v>
      </c>
      <c r="B499" s="4">
        <v>1</v>
      </c>
      <c r="C499" s="4">
        <v>1</v>
      </c>
      <c r="D499" s="4">
        <v>0</v>
      </c>
      <c r="E499" s="4">
        <v>0</v>
      </c>
      <c r="F499" s="4">
        <v>1</v>
      </c>
      <c r="G499" s="4">
        <v>111001</v>
      </c>
      <c r="H499" s="4">
        <v>1</v>
      </c>
      <c r="I499" s="4">
        <f t="shared" si="4"/>
        <v>111</v>
      </c>
      <c r="J499" s="4">
        <f t="shared" si="5"/>
        <v>167</v>
      </c>
      <c r="K499" s="4" t="s">
        <v>927</v>
      </c>
    </row>
    <row r="500" spans="1:11" s="4" customFormat="1">
      <c r="A500" s="4">
        <v>111140</v>
      </c>
      <c r="B500" s="4">
        <v>1</v>
      </c>
      <c r="C500" s="4">
        <v>1</v>
      </c>
      <c r="D500" s="4">
        <v>0</v>
      </c>
      <c r="E500" s="4">
        <v>0</v>
      </c>
      <c r="F500" s="4">
        <v>1</v>
      </c>
      <c r="G500" s="4">
        <v>111001</v>
      </c>
      <c r="H500" s="4">
        <v>1</v>
      </c>
      <c r="I500" s="4">
        <f t="shared" si="4"/>
        <v>112</v>
      </c>
      <c r="J500" s="4">
        <f t="shared" si="5"/>
        <v>168</v>
      </c>
      <c r="K500" s="4" t="s">
        <v>928</v>
      </c>
    </row>
    <row r="501" spans="1:11" s="4" customFormat="1">
      <c r="A501" s="4">
        <v>111141</v>
      </c>
      <c r="B501" s="4">
        <v>1</v>
      </c>
      <c r="C501" s="4">
        <v>1</v>
      </c>
      <c r="D501" s="4">
        <v>0</v>
      </c>
      <c r="E501" s="4">
        <v>0</v>
      </c>
      <c r="F501" s="4">
        <v>1</v>
      </c>
      <c r="G501" s="4">
        <v>111001</v>
      </c>
      <c r="H501" s="4">
        <v>1</v>
      </c>
      <c r="I501" s="4">
        <f t="shared" si="4"/>
        <v>113</v>
      </c>
      <c r="J501" s="4">
        <f t="shared" si="5"/>
        <v>169</v>
      </c>
      <c r="K501" s="4" t="s">
        <v>929</v>
      </c>
    </row>
    <row r="502" spans="1:11" s="4" customFormat="1">
      <c r="A502" s="4">
        <v>111142</v>
      </c>
      <c r="B502" s="4">
        <v>1</v>
      </c>
      <c r="C502" s="4">
        <v>1</v>
      </c>
      <c r="D502" s="4">
        <v>0</v>
      </c>
      <c r="E502" s="4">
        <v>0</v>
      </c>
      <c r="F502" s="4">
        <v>1</v>
      </c>
      <c r="G502" s="4">
        <v>111001</v>
      </c>
      <c r="H502" s="4">
        <v>1</v>
      </c>
      <c r="I502" s="4">
        <f t="shared" si="4"/>
        <v>114</v>
      </c>
      <c r="J502" s="4">
        <f t="shared" si="5"/>
        <v>170</v>
      </c>
      <c r="K502" s="4" t="s">
        <v>930</v>
      </c>
    </row>
    <row r="503" spans="1:11" s="4" customFormat="1">
      <c r="A503" s="4">
        <v>111143</v>
      </c>
      <c r="B503" s="4">
        <v>1</v>
      </c>
      <c r="C503" s="4">
        <v>1</v>
      </c>
      <c r="D503" s="4">
        <v>0</v>
      </c>
      <c r="E503" s="4">
        <v>0</v>
      </c>
      <c r="F503" s="4">
        <v>1</v>
      </c>
      <c r="G503" s="4">
        <v>111001</v>
      </c>
      <c r="H503" s="4">
        <v>1</v>
      </c>
      <c r="I503" s="4">
        <f t="shared" si="4"/>
        <v>114</v>
      </c>
      <c r="J503" s="4">
        <f t="shared" si="5"/>
        <v>172</v>
      </c>
      <c r="K503" s="4" t="s">
        <v>931</v>
      </c>
    </row>
    <row r="504" spans="1:11" s="4" customFormat="1">
      <c r="A504" s="4">
        <v>111144</v>
      </c>
      <c r="B504" s="4">
        <v>1</v>
      </c>
      <c r="C504" s="4">
        <v>1</v>
      </c>
      <c r="D504" s="4">
        <v>0</v>
      </c>
      <c r="E504" s="4">
        <v>0</v>
      </c>
      <c r="F504" s="4">
        <v>1</v>
      </c>
      <c r="G504" s="4">
        <v>111001</v>
      </c>
      <c r="H504" s="4">
        <v>1</v>
      </c>
      <c r="I504" s="4">
        <f t="shared" si="4"/>
        <v>115</v>
      </c>
      <c r="J504" s="4">
        <f t="shared" si="5"/>
        <v>173</v>
      </c>
      <c r="K504" s="4" t="s">
        <v>932</v>
      </c>
    </row>
    <row r="505" spans="1:11" s="4" customFormat="1">
      <c r="A505" s="4">
        <v>111145</v>
      </c>
      <c r="B505" s="4">
        <v>1</v>
      </c>
      <c r="C505" s="4">
        <v>1</v>
      </c>
      <c r="D505" s="4">
        <v>0</v>
      </c>
      <c r="E505" s="4">
        <v>0</v>
      </c>
      <c r="F505" s="4">
        <v>1</v>
      </c>
      <c r="G505" s="4">
        <v>111001</v>
      </c>
      <c r="H505" s="4">
        <v>1</v>
      </c>
      <c r="I505" s="4">
        <f t="shared" si="4"/>
        <v>116</v>
      </c>
      <c r="J505" s="4">
        <f t="shared" si="5"/>
        <v>174</v>
      </c>
      <c r="K505" s="4" t="s">
        <v>933</v>
      </c>
    </row>
    <row r="506" spans="1:11" s="4" customFormat="1">
      <c r="A506" s="4">
        <v>111146</v>
      </c>
      <c r="B506" s="4">
        <v>1</v>
      </c>
      <c r="C506" s="4">
        <v>1</v>
      </c>
      <c r="D506" s="4">
        <v>0</v>
      </c>
      <c r="E506" s="4">
        <v>0</v>
      </c>
      <c r="F506" s="4">
        <v>1</v>
      </c>
      <c r="G506" s="4">
        <v>111001</v>
      </c>
      <c r="H506" s="4">
        <v>1</v>
      </c>
      <c r="I506" s="4">
        <f t="shared" si="4"/>
        <v>117</v>
      </c>
      <c r="J506" s="4">
        <f t="shared" si="5"/>
        <v>175</v>
      </c>
      <c r="K506" s="4" t="s">
        <v>934</v>
      </c>
    </row>
    <row r="507" spans="1:11" s="4" customFormat="1">
      <c r="A507" s="4">
        <v>111147</v>
      </c>
      <c r="B507" s="4">
        <v>1</v>
      </c>
      <c r="C507" s="4">
        <v>1</v>
      </c>
      <c r="D507" s="4">
        <v>0</v>
      </c>
      <c r="E507" s="4">
        <v>0</v>
      </c>
      <c r="F507" s="4">
        <v>1</v>
      </c>
      <c r="G507" s="4">
        <v>111001</v>
      </c>
      <c r="H507" s="4">
        <v>1</v>
      </c>
      <c r="I507" s="4">
        <f t="shared" si="4"/>
        <v>118</v>
      </c>
      <c r="J507" s="4">
        <f t="shared" si="5"/>
        <v>176</v>
      </c>
      <c r="K507" s="4" t="s">
        <v>935</v>
      </c>
    </row>
    <row r="508" spans="1:11" s="4" customFormat="1">
      <c r="A508" s="4">
        <v>111148</v>
      </c>
      <c r="B508" s="4">
        <v>1</v>
      </c>
      <c r="C508" s="4">
        <v>1</v>
      </c>
      <c r="D508" s="4">
        <v>0</v>
      </c>
      <c r="E508" s="4">
        <v>0</v>
      </c>
      <c r="F508" s="4">
        <v>1</v>
      </c>
      <c r="G508" s="4">
        <v>111001</v>
      </c>
      <c r="H508" s="4">
        <v>1</v>
      </c>
      <c r="I508" s="4">
        <f t="shared" si="4"/>
        <v>118</v>
      </c>
      <c r="J508" s="4">
        <f t="shared" si="5"/>
        <v>178</v>
      </c>
      <c r="K508" s="4" t="s">
        <v>936</v>
      </c>
    </row>
    <row r="509" spans="1:11" s="4" customFormat="1">
      <c r="A509" s="4">
        <v>111149</v>
      </c>
      <c r="B509" s="4">
        <v>1</v>
      </c>
      <c r="C509" s="4">
        <v>1</v>
      </c>
      <c r="D509" s="4">
        <v>0</v>
      </c>
      <c r="E509" s="4">
        <v>0</v>
      </c>
      <c r="F509" s="4">
        <v>1</v>
      </c>
      <c r="G509" s="4">
        <v>111001</v>
      </c>
      <c r="H509" s="4">
        <v>1</v>
      </c>
      <c r="I509" s="4">
        <f t="shared" si="4"/>
        <v>119</v>
      </c>
      <c r="J509" s="4">
        <f t="shared" si="5"/>
        <v>179</v>
      </c>
      <c r="K509" s="4" t="s">
        <v>937</v>
      </c>
    </row>
    <row r="510" spans="1:11" s="4" customFormat="1">
      <c r="A510" s="4">
        <v>111150</v>
      </c>
      <c r="B510" s="4">
        <v>1</v>
      </c>
      <c r="C510" s="4">
        <v>1</v>
      </c>
      <c r="D510" s="4">
        <v>0</v>
      </c>
      <c r="E510" s="4">
        <v>0</v>
      </c>
      <c r="F510" s="4">
        <v>1</v>
      </c>
      <c r="G510" s="4">
        <v>111001</v>
      </c>
      <c r="H510" s="4">
        <v>1</v>
      </c>
      <c r="I510" s="4">
        <f t="shared" si="4"/>
        <v>120</v>
      </c>
      <c r="J510" s="4">
        <f t="shared" si="5"/>
        <v>180</v>
      </c>
      <c r="K510" s="4" t="s">
        <v>938</v>
      </c>
    </row>
    <row r="511" spans="1:11" s="4" customFormat="1">
      <c r="A511" s="4">
        <v>111151</v>
      </c>
      <c r="B511" s="4">
        <v>1</v>
      </c>
      <c r="C511" s="4">
        <v>1</v>
      </c>
      <c r="D511" s="4">
        <v>0</v>
      </c>
      <c r="E511" s="4">
        <v>0</v>
      </c>
      <c r="F511" s="4">
        <v>1</v>
      </c>
      <c r="G511" s="4">
        <v>111001</v>
      </c>
      <c r="H511" s="4">
        <v>1</v>
      </c>
      <c r="I511" s="4">
        <f t="shared" si="4"/>
        <v>121</v>
      </c>
      <c r="J511" s="4">
        <f t="shared" si="5"/>
        <v>181</v>
      </c>
      <c r="K511" s="4" t="s">
        <v>939</v>
      </c>
    </row>
    <row r="512" spans="1:11" s="4" customFormat="1">
      <c r="A512" s="4">
        <v>111152</v>
      </c>
      <c r="B512" s="4">
        <v>1</v>
      </c>
      <c r="C512" s="4">
        <v>1</v>
      </c>
      <c r="D512" s="4">
        <v>0</v>
      </c>
      <c r="E512" s="4">
        <v>0</v>
      </c>
      <c r="F512" s="4">
        <v>1</v>
      </c>
      <c r="G512" s="4">
        <v>111001</v>
      </c>
      <c r="H512" s="4">
        <v>1</v>
      </c>
      <c r="I512" s="4">
        <f t="shared" si="4"/>
        <v>122</v>
      </c>
      <c r="J512" s="4">
        <f t="shared" si="5"/>
        <v>182</v>
      </c>
      <c r="K512" s="4" t="s">
        <v>940</v>
      </c>
    </row>
    <row r="513" spans="1:11" s="4" customFormat="1">
      <c r="A513" s="4">
        <v>111153</v>
      </c>
      <c r="B513" s="4">
        <v>1</v>
      </c>
      <c r="C513" s="4">
        <v>1</v>
      </c>
      <c r="D513" s="4">
        <v>0</v>
      </c>
      <c r="E513" s="4">
        <v>0</v>
      </c>
      <c r="F513" s="4">
        <v>1</v>
      </c>
      <c r="G513" s="4">
        <v>111001</v>
      </c>
      <c r="H513" s="4">
        <v>1</v>
      </c>
      <c r="I513" s="4">
        <f t="shared" si="4"/>
        <v>122</v>
      </c>
      <c r="J513" s="4">
        <f t="shared" si="5"/>
        <v>184</v>
      </c>
      <c r="K513" s="4" t="s">
        <v>941</v>
      </c>
    </row>
    <row r="514" spans="1:11" s="4" customFormat="1">
      <c r="A514" s="4">
        <v>111154</v>
      </c>
      <c r="B514" s="4">
        <v>1</v>
      </c>
      <c r="C514" s="4">
        <v>1</v>
      </c>
      <c r="D514" s="4">
        <v>0</v>
      </c>
      <c r="E514" s="4">
        <v>0</v>
      </c>
      <c r="F514" s="4">
        <v>1</v>
      </c>
      <c r="G514" s="4">
        <v>111001</v>
      </c>
      <c r="H514" s="4">
        <v>1</v>
      </c>
      <c r="I514" s="4">
        <f t="shared" si="4"/>
        <v>123</v>
      </c>
      <c r="J514" s="4">
        <f t="shared" si="5"/>
        <v>185</v>
      </c>
      <c r="K514" s="4" t="s">
        <v>942</v>
      </c>
    </row>
    <row r="515" spans="1:11" s="4" customFormat="1">
      <c r="A515" s="4">
        <v>111155</v>
      </c>
      <c r="B515" s="4">
        <v>1</v>
      </c>
      <c r="C515" s="4">
        <v>1</v>
      </c>
      <c r="D515" s="4">
        <v>0</v>
      </c>
      <c r="E515" s="4">
        <v>0</v>
      </c>
      <c r="F515" s="4">
        <v>1</v>
      </c>
      <c r="G515" s="4">
        <v>111001</v>
      </c>
      <c r="H515" s="4">
        <v>1</v>
      </c>
      <c r="I515" s="4">
        <f t="shared" si="4"/>
        <v>124</v>
      </c>
      <c r="J515" s="4">
        <f t="shared" si="5"/>
        <v>186</v>
      </c>
      <c r="K515" s="4" t="s">
        <v>943</v>
      </c>
    </row>
    <row r="516" spans="1:11" s="4" customFormat="1">
      <c r="A516" s="4">
        <v>111156</v>
      </c>
      <c r="B516" s="4">
        <v>1</v>
      </c>
      <c r="C516" s="4">
        <v>1</v>
      </c>
      <c r="D516" s="4">
        <v>0</v>
      </c>
      <c r="E516" s="4">
        <v>0</v>
      </c>
      <c r="F516" s="4">
        <v>1</v>
      </c>
      <c r="G516" s="4">
        <v>111001</v>
      </c>
      <c r="H516" s="4">
        <v>1</v>
      </c>
      <c r="I516" s="4">
        <f t="shared" si="4"/>
        <v>125</v>
      </c>
      <c r="J516" s="4">
        <f t="shared" si="5"/>
        <v>187</v>
      </c>
      <c r="K516" s="4" t="s">
        <v>944</v>
      </c>
    </row>
    <row r="517" spans="1:11" s="4" customFormat="1">
      <c r="A517" s="4">
        <v>111157</v>
      </c>
      <c r="B517" s="4">
        <v>1</v>
      </c>
      <c r="C517" s="4">
        <v>1</v>
      </c>
      <c r="D517" s="4">
        <v>0</v>
      </c>
      <c r="E517" s="4">
        <v>0</v>
      </c>
      <c r="F517" s="4">
        <v>1</v>
      </c>
      <c r="G517" s="4">
        <v>111001</v>
      </c>
      <c r="H517" s="4">
        <v>1</v>
      </c>
      <c r="I517" s="4">
        <f t="shared" si="4"/>
        <v>126</v>
      </c>
      <c r="J517" s="4">
        <f t="shared" si="5"/>
        <v>188</v>
      </c>
      <c r="K517" s="4" t="s">
        <v>945</v>
      </c>
    </row>
    <row r="518" spans="1:11" s="4" customFormat="1">
      <c r="A518" s="4">
        <v>111158</v>
      </c>
      <c r="B518" s="4">
        <v>1</v>
      </c>
      <c r="C518" s="4">
        <v>1</v>
      </c>
      <c r="D518" s="4">
        <v>0</v>
      </c>
      <c r="E518" s="4">
        <v>0</v>
      </c>
      <c r="F518" s="4">
        <v>1</v>
      </c>
      <c r="G518" s="4">
        <v>111001</v>
      </c>
      <c r="H518" s="4">
        <v>1</v>
      </c>
      <c r="I518" s="4">
        <f t="shared" si="4"/>
        <v>126</v>
      </c>
      <c r="J518" s="4">
        <f t="shared" si="5"/>
        <v>190</v>
      </c>
      <c r="K518" s="4" t="s">
        <v>946</v>
      </c>
    </row>
    <row r="519" spans="1:11" s="4" customFormat="1">
      <c r="A519" s="4">
        <v>111159</v>
      </c>
      <c r="B519" s="4">
        <v>1</v>
      </c>
      <c r="C519" s="4">
        <v>1</v>
      </c>
      <c r="D519" s="4">
        <v>0</v>
      </c>
      <c r="E519" s="4">
        <v>0</v>
      </c>
      <c r="F519" s="4">
        <v>1</v>
      </c>
      <c r="G519" s="4">
        <v>111001</v>
      </c>
      <c r="H519" s="4">
        <v>1</v>
      </c>
      <c r="I519" s="4">
        <f t="shared" si="4"/>
        <v>127</v>
      </c>
      <c r="J519" s="4">
        <f t="shared" si="5"/>
        <v>191</v>
      </c>
      <c r="K519" s="4" t="s">
        <v>947</v>
      </c>
    </row>
    <row r="520" spans="1:11" s="4" customFormat="1">
      <c r="A520" s="4">
        <v>111160</v>
      </c>
      <c r="B520" s="4">
        <v>1</v>
      </c>
      <c r="C520" s="4">
        <v>1</v>
      </c>
      <c r="D520" s="4">
        <v>0</v>
      </c>
      <c r="E520" s="4">
        <v>0</v>
      </c>
      <c r="F520" s="4">
        <v>1</v>
      </c>
      <c r="G520" s="4">
        <v>111001</v>
      </c>
      <c r="H520" s="4">
        <v>1</v>
      </c>
      <c r="I520" s="4">
        <f t="shared" si="4"/>
        <v>128</v>
      </c>
      <c r="J520" s="4">
        <f t="shared" si="5"/>
        <v>192</v>
      </c>
      <c r="K520" s="4" t="s">
        <v>948</v>
      </c>
    </row>
    <row r="521" spans="1:11" s="4" customFormat="1">
      <c r="A521" s="4">
        <v>111161</v>
      </c>
      <c r="B521" s="4">
        <v>1</v>
      </c>
      <c r="C521" s="4">
        <v>1</v>
      </c>
      <c r="D521" s="4">
        <v>0</v>
      </c>
      <c r="E521" s="4">
        <v>0</v>
      </c>
      <c r="F521" s="4">
        <v>1</v>
      </c>
      <c r="G521" s="4">
        <v>111001</v>
      </c>
      <c r="H521" s="4">
        <v>1</v>
      </c>
      <c r="I521" s="4">
        <f t="shared" si="4"/>
        <v>129</v>
      </c>
      <c r="J521" s="4">
        <f t="shared" si="5"/>
        <v>193</v>
      </c>
      <c r="K521" s="4" t="s">
        <v>949</v>
      </c>
    </row>
    <row r="522" spans="1:11" s="4" customFormat="1">
      <c r="A522" s="4">
        <v>111162</v>
      </c>
      <c r="B522" s="4">
        <v>1</v>
      </c>
      <c r="C522" s="4">
        <v>1</v>
      </c>
      <c r="D522" s="4">
        <v>0</v>
      </c>
      <c r="E522" s="4">
        <v>0</v>
      </c>
      <c r="F522" s="4">
        <v>1</v>
      </c>
      <c r="G522" s="4">
        <v>111001</v>
      </c>
      <c r="H522" s="4">
        <v>1</v>
      </c>
      <c r="I522" s="4">
        <f t="shared" si="4"/>
        <v>130</v>
      </c>
      <c r="J522" s="4">
        <f t="shared" si="5"/>
        <v>194</v>
      </c>
      <c r="K522" s="4" t="s">
        <v>950</v>
      </c>
    </row>
    <row r="523" spans="1:11" s="4" customFormat="1">
      <c r="A523" s="4">
        <v>111163</v>
      </c>
      <c r="B523" s="4">
        <v>1</v>
      </c>
      <c r="C523" s="4">
        <v>1</v>
      </c>
      <c r="D523" s="4">
        <v>0</v>
      </c>
      <c r="E523" s="4">
        <v>0</v>
      </c>
      <c r="F523" s="4">
        <v>1</v>
      </c>
      <c r="G523" s="4">
        <v>111001</v>
      </c>
      <c r="H523" s="4">
        <v>1</v>
      </c>
      <c r="I523" s="4">
        <f t="shared" si="4"/>
        <v>130</v>
      </c>
      <c r="J523" s="4">
        <f t="shared" si="5"/>
        <v>196</v>
      </c>
      <c r="K523" s="4" t="s">
        <v>951</v>
      </c>
    </row>
    <row r="524" spans="1:11" s="4" customFormat="1">
      <c r="A524" s="4">
        <v>111164</v>
      </c>
      <c r="B524" s="4">
        <v>1</v>
      </c>
      <c r="C524" s="4">
        <v>1</v>
      </c>
      <c r="D524" s="4">
        <v>0</v>
      </c>
      <c r="E524" s="4">
        <v>0</v>
      </c>
      <c r="F524" s="4">
        <v>1</v>
      </c>
      <c r="G524" s="4">
        <v>111001</v>
      </c>
      <c r="H524" s="4">
        <v>1</v>
      </c>
      <c r="I524" s="4">
        <f t="shared" si="4"/>
        <v>131</v>
      </c>
      <c r="J524" s="4">
        <f t="shared" si="5"/>
        <v>197</v>
      </c>
      <c r="K524" s="4" t="s">
        <v>952</v>
      </c>
    </row>
    <row r="525" spans="1:11" s="4" customFormat="1">
      <c r="A525" s="4">
        <v>111165</v>
      </c>
      <c r="B525" s="4">
        <v>1</v>
      </c>
      <c r="C525" s="4">
        <v>1</v>
      </c>
      <c r="D525" s="4">
        <v>0</v>
      </c>
      <c r="E525" s="4">
        <v>0</v>
      </c>
      <c r="F525" s="4">
        <v>1</v>
      </c>
      <c r="G525" s="4">
        <v>111001</v>
      </c>
      <c r="H525" s="4">
        <v>1</v>
      </c>
      <c r="I525" s="4">
        <f t="shared" si="4"/>
        <v>132</v>
      </c>
      <c r="J525" s="4">
        <f t="shared" si="5"/>
        <v>198</v>
      </c>
      <c r="K525" s="4" t="s">
        <v>953</v>
      </c>
    </row>
    <row r="526" spans="1:11" s="4" customFormat="1">
      <c r="A526" s="4">
        <v>111166</v>
      </c>
      <c r="B526" s="4">
        <v>1</v>
      </c>
      <c r="C526" s="4">
        <v>1</v>
      </c>
      <c r="D526" s="4">
        <v>0</v>
      </c>
      <c r="E526" s="4">
        <v>0</v>
      </c>
      <c r="F526" s="4">
        <v>1</v>
      </c>
      <c r="G526" s="4">
        <v>111001</v>
      </c>
      <c r="H526" s="4">
        <v>1</v>
      </c>
      <c r="I526" s="4">
        <f t="shared" si="4"/>
        <v>133</v>
      </c>
      <c r="J526" s="4">
        <f t="shared" si="5"/>
        <v>199</v>
      </c>
      <c r="K526" s="4" t="s">
        <v>954</v>
      </c>
    </row>
    <row r="527" spans="1:11" s="4" customFormat="1">
      <c r="A527" s="4">
        <v>111167</v>
      </c>
      <c r="B527" s="4">
        <v>1</v>
      </c>
      <c r="C527" s="4">
        <v>1</v>
      </c>
      <c r="D527" s="4">
        <v>0</v>
      </c>
      <c r="E527" s="4">
        <v>0</v>
      </c>
      <c r="F527" s="4">
        <v>1</v>
      </c>
      <c r="G527" s="4">
        <v>111001</v>
      </c>
      <c r="H527" s="4">
        <v>1</v>
      </c>
      <c r="I527" s="4">
        <f t="shared" si="4"/>
        <v>134</v>
      </c>
      <c r="J527" s="4">
        <f t="shared" si="5"/>
        <v>200</v>
      </c>
      <c r="K527" s="4" t="s">
        <v>955</v>
      </c>
    </row>
    <row r="528" spans="1:11" s="4" customFormat="1">
      <c r="A528" s="4">
        <v>111168</v>
      </c>
      <c r="B528" s="4">
        <v>1</v>
      </c>
      <c r="C528" s="4">
        <v>1</v>
      </c>
      <c r="D528" s="4">
        <v>0</v>
      </c>
      <c r="E528" s="4">
        <v>0</v>
      </c>
      <c r="F528" s="4">
        <v>1</v>
      </c>
      <c r="G528" s="4">
        <v>111001</v>
      </c>
      <c r="H528" s="4">
        <v>1</v>
      </c>
      <c r="I528" s="4">
        <f t="shared" si="4"/>
        <v>134</v>
      </c>
      <c r="J528" s="4">
        <f t="shared" si="5"/>
        <v>202</v>
      </c>
      <c r="K528" s="4" t="s">
        <v>956</v>
      </c>
    </row>
    <row r="529" spans="1:11" s="4" customFormat="1">
      <c r="A529" s="4">
        <v>111169</v>
      </c>
      <c r="B529" s="4">
        <v>1</v>
      </c>
      <c r="C529" s="4">
        <v>1</v>
      </c>
      <c r="D529" s="4">
        <v>0</v>
      </c>
      <c r="E529" s="4">
        <v>0</v>
      </c>
      <c r="F529" s="4">
        <v>1</v>
      </c>
      <c r="G529" s="4">
        <v>111001</v>
      </c>
      <c r="H529" s="4">
        <v>1</v>
      </c>
      <c r="I529" s="4">
        <f t="shared" si="4"/>
        <v>135</v>
      </c>
      <c r="J529" s="4">
        <f t="shared" si="5"/>
        <v>203</v>
      </c>
      <c r="K529" s="4" t="s">
        <v>957</v>
      </c>
    </row>
    <row r="530" spans="1:11" s="4" customFormat="1">
      <c r="A530" s="4">
        <v>111170</v>
      </c>
      <c r="B530" s="4">
        <v>1</v>
      </c>
      <c r="C530" s="4">
        <v>1</v>
      </c>
      <c r="D530" s="4">
        <v>0</v>
      </c>
      <c r="E530" s="4">
        <v>0</v>
      </c>
      <c r="F530" s="4">
        <v>1</v>
      </c>
      <c r="G530" s="4">
        <v>111001</v>
      </c>
      <c r="H530" s="4">
        <v>1</v>
      </c>
      <c r="I530" s="4">
        <f t="shared" si="4"/>
        <v>136</v>
      </c>
      <c r="J530" s="4">
        <f t="shared" si="5"/>
        <v>204</v>
      </c>
      <c r="K530" s="4" t="s">
        <v>958</v>
      </c>
    </row>
    <row r="531" spans="1:11" s="4" customFormat="1">
      <c r="A531" s="4">
        <v>111171</v>
      </c>
      <c r="B531" s="4">
        <v>1</v>
      </c>
      <c r="C531" s="4">
        <v>1</v>
      </c>
      <c r="D531" s="4">
        <v>0</v>
      </c>
      <c r="E531" s="4">
        <v>0</v>
      </c>
      <c r="F531" s="4">
        <v>1</v>
      </c>
      <c r="G531" s="4">
        <v>111001</v>
      </c>
      <c r="H531" s="4">
        <v>1</v>
      </c>
      <c r="I531" s="4">
        <f t="shared" si="4"/>
        <v>137</v>
      </c>
      <c r="J531" s="4">
        <f t="shared" si="5"/>
        <v>205</v>
      </c>
      <c r="K531" s="4" t="s">
        <v>959</v>
      </c>
    </row>
    <row r="532" spans="1:11" s="4" customFormat="1">
      <c r="A532" s="4">
        <v>111172</v>
      </c>
      <c r="B532" s="4">
        <v>1</v>
      </c>
      <c r="C532" s="4">
        <v>1</v>
      </c>
      <c r="D532" s="4">
        <v>0</v>
      </c>
      <c r="E532" s="4">
        <v>0</v>
      </c>
      <c r="F532" s="4">
        <v>1</v>
      </c>
      <c r="G532" s="4">
        <v>111001</v>
      </c>
      <c r="H532" s="4">
        <v>1</v>
      </c>
      <c r="I532" s="4">
        <f t="shared" si="4"/>
        <v>138</v>
      </c>
      <c r="J532" s="4">
        <f t="shared" si="5"/>
        <v>206</v>
      </c>
      <c r="K532" s="4" t="s">
        <v>960</v>
      </c>
    </row>
    <row r="533" spans="1:11" s="4" customFormat="1">
      <c r="A533" s="4">
        <v>111173</v>
      </c>
      <c r="B533" s="4">
        <v>1</v>
      </c>
      <c r="C533" s="4">
        <v>1</v>
      </c>
      <c r="D533" s="4">
        <v>0</v>
      </c>
      <c r="E533" s="4">
        <v>0</v>
      </c>
      <c r="F533" s="4">
        <v>1</v>
      </c>
      <c r="G533" s="4">
        <v>111001</v>
      </c>
      <c r="H533" s="4">
        <v>1</v>
      </c>
      <c r="I533" s="4">
        <f t="shared" si="4"/>
        <v>138</v>
      </c>
      <c r="J533" s="4">
        <f t="shared" si="5"/>
        <v>208</v>
      </c>
      <c r="K533" s="4" t="s">
        <v>961</v>
      </c>
    </row>
    <row r="534" spans="1:11" s="4" customFormat="1">
      <c r="A534" s="4">
        <v>111174</v>
      </c>
      <c r="B534" s="4">
        <v>1</v>
      </c>
      <c r="C534" s="4">
        <v>1</v>
      </c>
      <c r="D534" s="4">
        <v>0</v>
      </c>
      <c r="E534" s="4">
        <v>0</v>
      </c>
      <c r="F534" s="4">
        <v>1</v>
      </c>
      <c r="G534" s="4">
        <v>111001</v>
      </c>
      <c r="H534" s="4">
        <v>1</v>
      </c>
      <c r="I534" s="4">
        <f t="shared" si="4"/>
        <v>139</v>
      </c>
      <c r="J534" s="4">
        <f t="shared" si="5"/>
        <v>209</v>
      </c>
      <c r="K534" s="4" t="s">
        <v>962</v>
      </c>
    </row>
    <row r="535" spans="1:11" s="4" customFormat="1">
      <c r="A535" s="4">
        <v>111175</v>
      </c>
      <c r="B535" s="4">
        <v>1</v>
      </c>
      <c r="C535" s="4">
        <v>1</v>
      </c>
      <c r="D535" s="4">
        <v>0</v>
      </c>
      <c r="E535" s="4">
        <v>0</v>
      </c>
      <c r="F535" s="4">
        <v>1</v>
      </c>
      <c r="G535" s="4">
        <v>111001</v>
      </c>
      <c r="H535" s="4">
        <v>1</v>
      </c>
      <c r="I535" s="4">
        <f t="shared" si="4"/>
        <v>140</v>
      </c>
      <c r="J535" s="4">
        <f t="shared" si="5"/>
        <v>210</v>
      </c>
      <c r="K535" s="4" t="s">
        <v>963</v>
      </c>
    </row>
    <row r="536" spans="1:11" s="4" customFormat="1">
      <c r="A536" s="4">
        <v>111176</v>
      </c>
      <c r="B536" s="4">
        <v>1</v>
      </c>
      <c r="C536" s="4">
        <v>1</v>
      </c>
      <c r="D536" s="4">
        <v>0</v>
      </c>
      <c r="E536" s="4">
        <v>0</v>
      </c>
      <c r="F536" s="4">
        <v>1</v>
      </c>
      <c r="G536" s="4">
        <v>111001</v>
      </c>
      <c r="H536" s="4">
        <v>1</v>
      </c>
      <c r="I536" s="4">
        <f t="shared" si="4"/>
        <v>141</v>
      </c>
      <c r="J536" s="4">
        <f t="shared" si="5"/>
        <v>211</v>
      </c>
      <c r="K536" s="4" t="s">
        <v>964</v>
      </c>
    </row>
    <row r="537" spans="1:11" s="4" customFormat="1">
      <c r="A537" s="4">
        <v>111177</v>
      </c>
      <c r="B537" s="4">
        <v>1</v>
      </c>
      <c r="C537" s="4">
        <v>1</v>
      </c>
      <c r="D537" s="4">
        <v>0</v>
      </c>
      <c r="E537" s="4">
        <v>0</v>
      </c>
      <c r="F537" s="4">
        <v>1</v>
      </c>
      <c r="G537" s="4">
        <v>111001</v>
      </c>
      <c r="H537" s="4">
        <v>1</v>
      </c>
      <c r="I537" s="4">
        <f t="shared" si="4"/>
        <v>142</v>
      </c>
      <c r="J537" s="4">
        <f t="shared" si="5"/>
        <v>212</v>
      </c>
      <c r="K537" s="4" t="s">
        <v>965</v>
      </c>
    </row>
    <row r="538" spans="1:11" s="4" customFormat="1">
      <c r="A538" s="4">
        <v>111178</v>
      </c>
      <c r="B538" s="4">
        <v>1</v>
      </c>
      <c r="C538" s="4">
        <v>1</v>
      </c>
      <c r="D538" s="4">
        <v>0</v>
      </c>
      <c r="E538" s="4">
        <v>0</v>
      </c>
      <c r="F538" s="4">
        <v>1</v>
      </c>
      <c r="G538" s="4">
        <v>111001</v>
      </c>
      <c r="H538" s="4">
        <v>1</v>
      </c>
      <c r="I538" s="4">
        <f t="shared" si="4"/>
        <v>142</v>
      </c>
      <c r="J538" s="4">
        <f t="shared" si="5"/>
        <v>214</v>
      </c>
      <c r="K538" s="4" t="s">
        <v>966</v>
      </c>
    </row>
    <row r="539" spans="1:11" s="4" customFormat="1">
      <c r="A539" s="4">
        <v>111179</v>
      </c>
      <c r="B539" s="4">
        <v>1</v>
      </c>
      <c r="C539" s="4">
        <v>1</v>
      </c>
      <c r="D539" s="4">
        <v>0</v>
      </c>
      <c r="E539" s="4">
        <v>0</v>
      </c>
      <c r="F539" s="4">
        <v>1</v>
      </c>
      <c r="G539" s="4">
        <v>111001</v>
      </c>
      <c r="H539" s="4">
        <v>1</v>
      </c>
      <c r="I539" s="4">
        <f t="shared" si="4"/>
        <v>143</v>
      </c>
      <c r="J539" s="4">
        <f t="shared" si="5"/>
        <v>215</v>
      </c>
      <c r="K539" s="4" t="s">
        <v>967</v>
      </c>
    </row>
    <row r="540" spans="1:11" s="4" customFormat="1">
      <c r="A540" s="4">
        <v>111180</v>
      </c>
      <c r="B540" s="4">
        <v>1</v>
      </c>
      <c r="C540" s="4">
        <v>1</v>
      </c>
      <c r="D540" s="4">
        <v>0</v>
      </c>
      <c r="E540" s="4">
        <v>0</v>
      </c>
      <c r="F540" s="4">
        <v>1</v>
      </c>
      <c r="G540" s="4">
        <v>111001</v>
      </c>
      <c r="H540" s="4">
        <v>1</v>
      </c>
      <c r="I540" s="4">
        <f t="shared" si="4"/>
        <v>144</v>
      </c>
      <c r="J540" s="4">
        <f t="shared" si="5"/>
        <v>216</v>
      </c>
      <c r="K540" s="4" t="s">
        <v>968</v>
      </c>
    </row>
    <row r="541" spans="1:11" s="4" customFormat="1">
      <c r="A541" s="4">
        <v>111181</v>
      </c>
      <c r="B541" s="4">
        <v>1</v>
      </c>
      <c r="C541" s="4">
        <v>1</v>
      </c>
      <c r="D541" s="4">
        <v>0</v>
      </c>
      <c r="E541" s="4">
        <v>0</v>
      </c>
      <c r="F541" s="4">
        <v>1</v>
      </c>
      <c r="G541" s="4">
        <v>111001</v>
      </c>
      <c r="H541" s="4">
        <v>1</v>
      </c>
      <c r="I541" s="4">
        <f t="shared" si="4"/>
        <v>145</v>
      </c>
      <c r="J541" s="4">
        <f t="shared" si="5"/>
        <v>217</v>
      </c>
      <c r="K541" s="4" t="s">
        <v>969</v>
      </c>
    </row>
    <row r="542" spans="1:11" s="4" customFormat="1">
      <c r="A542" s="4">
        <v>111182</v>
      </c>
      <c r="B542" s="4">
        <v>1</v>
      </c>
      <c r="C542" s="4">
        <v>1</v>
      </c>
      <c r="D542" s="4">
        <v>0</v>
      </c>
      <c r="E542" s="4">
        <v>0</v>
      </c>
      <c r="F542" s="4">
        <v>1</v>
      </c>
      <c r="G542" s="4">
        <v>111001</v>
      </c>
      <c r="H542" s="4">
        <v>1</v>
      </c>
      <c r="I542" s="4">
        <f t="shared" si="4"/>
        <v>146</v>
      </c>
      <c r="J542" s="4">
        <f t="shared" si="5"/>
        <v>218</v>
      </c>
      <c r="K542" s="4" t="s">
        <v>970</v>
      </c>
    </row>
    <row r="543" spans="1:11" s="4" customFormat="1">
      <c r="A543" s="4">
        <v>111183</v>
      </c>
      <c r="B543" s="4">
        <v>1</v>
      </c>
      <c r="C543" s="4">
        <v>1</v>
      </c>
      <c r="D543" s="4">
        <v>0</v>
      </c>
      <c r="E543" s="4">
        <v>0</v>
      </c>
      <c r="F543" s="4">
        <v>1</v>
      </c>
      <c r="G543" s="4">
        <v>111001</v>
      </c>
      <c r="H543" s="4">
        <v>1</v>
      </c>
      <c r="I543" s="4">
        <f t="shared" si="4"/>
        <v>146</v>
      </c>
      <c r="J543" s="4">
        <f t="shared" si="5"/>
        <v>220</v>
      </c>
      <c r="K543" s="4" t="s">
        <v>971</v>
      </c>
    </row>
    <row r="544" spans="1:11" s="4" customFormat="1">
      <c r="A544" s="4">
        <v>111184</v>
      </c>
      <c r="B544" s="4">
        <v>1</v>
      </c>
      <c r="C544" s="4">
        <v>1</v>
      </c>
      <c r="D544" s="4">
        <v>0</v>
      </c>
      <c r="E544" s="4">
        <v>0</v>
      </c>
      <c r="F544" s="4">
        <v>1</v>
      </c>
      <c r="G544" s="4">
        <v>111001</v>
      </c>
      <c r="H544" s="4">
        <v>1</v>
      </c>
      <c r="I544" s="4">
        <f t="shared" si="4"/>
        <v>147</v>
      </c>
      <c r="J544" s="4">
        <f t="shared" si="5"/>
        <v>221</v>
      </c>
      <c r="K544" s="4" t="s">
        <v>972</v>
      </c>
    </row>
    <row r="545" spans="1:11" s="4" customFormat="1">
      <c r="A545" s="4">
        <v>111185</v>
      </c>
      <c r="B545" s="4">
        <v>1</v>
      </c>
      <c r="C545" s="4">
        <v>1</v>
      </c>
      <c r="D545" s="4">
        <v>0</v>
      </c>
      <c r="E545" s="4">
        <v>0</v>
      </c>
      <c r="F545" s="4">
        <v>1</v>
      </c>
      <c r="G545" s="4">
        <v>111001</v>
      </c>
      <c r="H545" s="4">
        <v>1</v>
      </c>
      <c r="I545" s="4">
        <f t="shared" si="4"/>
        <v>148</v>
      </c>
      <c r="J545" s="4">
        <f t="shared" si="5"/>
        <v>222</v>
      </c>
      <c r="K545" s="4" t="s">
        <v>973</v>
      </c>
    </row>
    <row r="546" spans="1:11" s="4" customFormat="1">
      <c r="A546" s="4">
        <v>111186</v>
      </c>
      <c r="B546" s="4">
        <v>1</v>
      </c>
      <c r="C546" s="4">
        <v>1</v>
      </c>
      <c r="D546" s="4">
        <v>0</v>
      </c>
      <c r="E546" s="4">
        <v>0</v>
      </c>
      <c r="F546" s="4">
        <v>1</v>
      </c>
      <c r="G546" s="4">
        <v>111001</v>
      </c>
      <c r="H546" s="4">
        <v>1</v>
      </c>
      <c r="I546" s="4">
        <f t="shared" si="4"/>
        <v>149</v>
      </c>
      <c r="J546" s="4">
        <f t="shared" si="5"/>
        <v>223</v>
      </c>
      <c r="K546" s="4" t="s">
        <v>974</v>
      </c>
    </row>
    <row r="547" spans="1:11" s="4" customFormat="1">
      <c r="A547" s="4">
        <v>111187</v>
      </c>
      <c r="B547" s="4">
        <v>1</v>
      </c>
      <c r="C547" s="4">
        <v>1</v>
      </c>
      <c r="D547" s="4">
        <v>0</v>
      </c>
      <c r="E547" s="4">
        <v>0</v>
      </c>
      <c r="F547" s="4">
        <v>1</v>
      </c>
      <c r="G547" s="4">
        <v>111001</v>
      </c>
      <c r="H547" s="4">
        <v>1</v>
      </c>
      <c r="I547" s="4">
        <f t="shared" si="4"/>
        <v>150</v>
      </c>
      <c r="J547" s="4">
        <f t="shared" si="5"/>
        <v>224</v>
      </c>
      <c r="K547" s="4" t="s">
        <v>975</v>
      </c>
    </row>
    <row r="548" spans="1:11" s="4" customFormat="1">
      <c r="A548" s="4">
        <v>111188</v>
      </c>
      <c r="B548" s="4">
        <v>1</v>
      </c>
      <c r="C548" s="4">
        <v>1</v>
      </c>
      <c r="D548" s="4">
        <v>0</v>
      </c>
      <c r="E548" s="4">
        <v>0</v>
      </c>
      <c r="F548" s="4">
        <v>1</v>
      </c>
      <c r="G548" s="4">
        <v>111001</v>
      </c>
      <c r="H548" s="4">
        <v>1</v>
      </c>
      <c r="I548" s="4">
        <f t="shared" si="4"/>
        <v>150</v>
      </c>
      <c r="J548" s="4">
        <f t="shared" si="5"/>
        <v>226</v>
      </c>
      <c r="K548" s="4" t="s">
        <v>976</v>
      </c>
    </row>
    <row r="549" spans="1:11" s="4" customFormat="1">
      <c r="A549" s="4">
        <v>111189</v>
      </c>
      <c r="B549" s="4">
        <v>1</v>
      </c>
      <c r="C549" s="4">
        <v>1</v>
      </c>
      <c r="D549" s="4">
        <v>0</v>
      </c>
      <c r="E549" s="4">
        <v>0</v>
      </c>
      <c r="F549" s="4">
        <v>1</v>
      </c>
      <c r="G549" s="4">
        <v>111001</v>
      </c>
      <c r="H549" s="4">
        <v>1</v>
      </c>
      <c r="I549" s="4">
        <f t="shared" si="4"/>
        <v>151</v>
      </c>
      <c r="J549" s="4">
        <f t="shared" si="5"/>
        <v>227</v>
      </c>
      <c r="K549" s="4" t="s">
        <v>977</v>
      </c>
    </row>
    <row r="550" spans="1:11" s="4" customFormat="1">
      <c r="A550" s="4">
        <v>111190</v>
      </c>
      <c r="B550" s="4">
        <v>1</v>
      </c>
      <c r="C550" s="4">
        <v>1</v>
      </c>
      <c r="D550" s="4">
        <v>0</v>
      </c>
      <c r="E550" s="4">
        <v>0</v>
      </c>
      <c r="F550" s="4">
        <v>1</v>
      </c>
      <c r="G550" s="4">
        <v>111001</v>
      </c>
      <c r="H550" s="4">
        <v>1</v>
      </c>
      <c r="I550" s="4">
        <f t="shared" si="4"/>
        <v>152</v>
      </c>
      <c r="J550" s="4">
        <f t="shared" si="5"/>
        <v>228</v>
      </c>
      <c r="K550" s="4" t="s">
        <v>978</v>
      </c>
    </row>
    <row r="551" spans="1:11" s="4" customFormat="1">
      <c r="A551" s="4">
        <v>111191</v>
      </c>
      <c r="B551" s="4">
        <v>1</v>
      </c>
      <c r="C551" s="4">
        <v>1</v>
      </c>
      <c r="D551" s="4">
        <v>0</v>
      </c>
      <c r="E551" s="4">
        <v>0</v>
      </c>
      <c r="F551" s="4">
        <v>1</v>
      </c>
      <c r="G551" s="4">
        <v>111001</v>
      </c>
      <c r="H551" s="4">
        <v>1</v>
      </c>
      <c r="I551" s="4">
        <f t="shared" si="4"/>
        <v>153</v>
      </c>
      <c r="J551" s="4">
        <f t="shared" si="5"/>
        <v>229</v>
      </c>
      <c r="K551" s="4" t="s">
        <v>979</v>
      </c>
    </row>
    <row r="552" spans="1:11" s="4" customFormat="1">
      <c r="A552" s="4">
        <v>111192</v>
      </c>
      <c r="B552" s="4">
        <v>1</v>
      </c>
      <c r="C552" s="4">
        <v>1</v>
      </c>
      <c r="D552" s="4">
        <v>0</v>
      </c>
      <c r="E552" s="4">
        <v>0</v>
      </c>
      <c r="F552" s="4">
        <v>1</v>
      </c>
      <c r="G552" s="4">
        <v>111001</v>
      </c>
      <c r="H552" s="4">
        <v>1</v>
      </c>
      <c r="I552" s="4">
        <f t="shared" si="4"/>
        <v>154</v>
      </c>
      <c r="J552" s="4">
        <f t="shared" si="5"/>
        <v>230</v>
      </c>
      <c r="K552" s="4" t="s">
        <v>980</v>
      </c>
    </row>
    <row r="553" spans="1:11" s="4" customFormat="1">
      <c r="A553" s="4">
        <v>111193</v>
      </c>
      <c r="B553" s="4">
        <v>1</v>
      </c>
      <c r="C553" s="4">
        <v>1</v>
      </c>
      <c r="D553" s="4">
        <v>0</v>
      </c>
      <c r="E553" s="4">
        <v>0</v>
      </c>
      <c r="F553" s="4">
        <v>1</v>
      </c>
      <c r="G553" s="4">
        <v>111001</v>
      </c>
      <c r="H553" s="4">
        <v>1</v>
      </c>
      <c r="I553" s="4">
        <f t="shared" si="4"/>
        <v>154</v>
      </c>
      <c r="J553" s="4">
        <f t="shared" si="5"/>
        <v>232</v>
      </c>
      <c r="K553" s="4" t="s">
        <v>981</v>
      </c>
    </row>
    <row r="554" spans="1:11" s="4" customFormat="1">
      <c r="A554" s="4">
        <v>111194</v>
      </c>
      <c r="B554" s="4">
        <v>1</v>
      </c>
      <c r="C554" s="4">
        <v>1</v>
      </c>
      <c r="D554" s="4">
        <v>0</v>
      </c>
      <c r="E554" s="4">
        <v>0</v>
      </c>
      <c r="F554" s="4">
        <v>1</v>
      </c>
      <c r="G554" s="4">
        <v>111001</v>
      </c>
      <c r="H554" s="4">
        <v>1</v>
      </c>
      <c r="I554" s="4">
        <f t="shared" ref="I554:I617" si="6">ROUND(RIGHT(A554,3)*80%,0)</f>
        <v>155</v>
      </c>
      <c r="J554" s="4">
        <f t="shared" ref="J554:J617" si="7">ROUND(RIGHT(A554,3)*120%,0)</f>
        <v>233</v>
      </c>
      <c r="K554" s="4" t="s">
        <v>982</v>
      </c>
    </row>
    <row r="555" spans="1:11" s="4" customFormat="1">
      <c r="A555" s="4">
        <v>111195</v>
      </c>
      <c r="B555" s="4">
        <v>1</v>
      </c>
      <c r="C555" s="4">
        <v>1</v>
      </c>
      <c r="D555" s="4">
        <v>0</v>
      </c>
      <c r="E555" s="4">
        <v>0</v>
      </c>
      <c r="F555" s="4">
        <v>1</v>
      </c>
      <c r="G555" s="4">
        <v>111001</v>
      </c>
      <c r="H555" s="4">
        <v>1</v>
      </c>
      <c r="I555" s="4">
        <f t="shared" si="6"/>
        <v>156</v>
      </c>
      <c r="J555" s="4">
        <f t="shared" si="7"/>
        <v>234</v>
      </c>
      <c r="K555" s="4" t="s">
        <v>983</v>
      </c>
    </row>
    <row r="556" spans="1:11" s="4" customFormat="1">
      <c r="A556" s="4">
        <v>111196</v>
      </c>
      <c r="B556" s="4">
        <v>1</v>
      </c>
      <c r="C556" s="4">
        <v>1</v>
      </c>
      <c r="D556" s="4">
        <v>0</v>
      </c>
      <c r="E556" s="4">
        <v>0</v>
      </c>
      <c r="F556" s="4">
        <v>1</v>
      </c>
      <c r="G556" s="4">
        <v>111001</v>
      </c>
      <c r="H556" s="4">
        <v>1</v>
      </c>
      <c r="I556" s="4">
        <f t="shared" si="6"/>
        <v>157</v>
      </c>
      <c r="J556" s="4">
        <f t="shared" si="7"/>
        <v>235</v>
      </c>
      <c r="K556" s="4" t="s">
        <v>984</v>
      </c>
    </row>
    <row r="557" spans="1:11" s="4" customFormat="1">
      <c r="A557" s="4">
        <v>111197</v>
      </c>
      <c r="B557" s="4">
        <v>1</v>
      </c>
      <c r="C557" s="4">
        <v>1</v>
      </c>
      <c r="D557" s="4">
        <v>0</v>
      </c>
      <c r="E557" s="4">
        <v>0</v>
      </c>
      <c r="F557" s="4">
        <v>1</v>
      </c>
      <c r="G557" s="4">
        <v>111001</v>
      </c>
      <c r="H557" s="4">
        <v>1</v>
      </c>
      <c r="I557" s="4">
        <f t="shared" si="6"/>
        <v>158</v>
      </c>
      <c r="J557" s="4">
        <f t="shared" si="7"/>
        <v>236</v>
      </c>
      <c r="K557" s="4" t="s">
        <v>985</v>
      </c>
    </row>
    <row r="558" spans="1:11" s="4" customFormat="1">
      <c r="A558" s="4">
        <v>111198</v>
      </c>
      <c r="B558" s="4">
        <v>1</v>
      </c>
      <c r="C558" s="4">
        <v>1</v>
      </c>
      <c r="D558" s="4">
        <v>0</v>
      </c>
      <c r="E558" s="4">
        <v>0</v>
      </c>
      <c r="F558" s="4">
        <v>1</v>
      </c>
      <c r="G558" s="4">
        <v>111001</v>
      </c>
      <c r="H558" s="4">
        <v>1</v>
      </c>
      <c r="I558" s="4">
        <f t="shared" si="6"/>
        <v>158</v>
      </c>
      <c r="J558" s="4">
        <f t="shared" si="7"/>
        <v>238</v>
      </c>
      <c r="K558" s="4" t="s">
        <v>986</v>
      </c>
    </row>
    <row r="559" spans="1:11" s="4" customFormat="1">
      <c r="A559" s="4">
        <v>111199</v>
      </c>
      <c r="B559" s="4">
        <v>1</v>
      </c>
      <c r="C559" s="4">
        <v>1</v>
      </c>
      <c r="D559" s="4">
        <v>0</v>
      </c>
      <c r="E559" s="4">
        <v>0</v>
      </c>
      <c r="F559" s="4">
        <v>1</v>
      </c>
      <c r="G559" s="4">
        <v>111001</v>
      </c>
      <c r="H559" s="4">
        <v>1</v>
      </c>
      <c r="I559" s="4">
        <f t="shared" si="6"/>
        <v>159</v>
      </c>
      <c r="J559" s="4">
        <f t="shared" si="7"/>
        <v>239</v>
      </c>
      <c r="K559" s="4" t="s">
        <v>987</v>
      </c>
    </row>
    <row r="560" spans="1:11" s="4" customFormat="1">
      <c r="A560" s="4">
        <v>111200</v>
      </c>
      <c r="B560" s="4">
        <v>1</v>
      </c>
      <c r="C560" s="4">
        <v>1</v>
      </c>
      <c r="D560" s="4">
        <v>0</v>
      </c>
      <c r="E560" s="4">
        <v>0</v>
      </c>
      <c r="F560" s="4">
        <v>1</v>
      </c>
      <c r="G560" s="4">
        <v>111001</v>
      </c>
      <c r="H560" s="4">
        <v>1</v>
      </c>
      <c r="I560" s="4">
        <f t="shared" si="6"/>
        <v>160</v>
      </c>
      <c r="J560" s="4">
        <f t="shared" si="7"/>
        <v>240</v>
      </c>
      <c r="K560" s="4" t="s">
        <v>988</v>
      </c>
    </row>
    <row r="561" spans="1:11" s="4" customFormat="1">
      <c r="A561" s="4">
        <v>111201</v>
      </c>
      <c r="B561" s="4">
        <v>1</v>
      </c>
      <c r="C561" s="4">
        <v>1</v>
      </c>
      <c r="D561" s="4">
        <v>0</v>
      </c>
      <c r="E561" s="4">
        <v>0</v>
      </c>
      <c r="F561" s="4">
        <v>1</v>
      </c>
      <c r="G561" s="4">
        <v>111001</v>
      </c>
      <c r="H561" s="4">
        <v>1</v>
      </c>
      <c r="I561" s="4">
        <f t="shared" si="6"/>
        <v>161</v>
      </c>
      <c r="J561" s="4">
        <f t="shared" si="7"/>
        <v>241</v>
      </c>
      <c r="K561" s="4" t="s">
        <v>989</v>
      </c>
    </row>
    <row r="562" spans="1:11" s="4" customFormat="1">
      <c r="A562" s="4">
        <v>111202</v>
      </c>
      <c r="B562" s="4">
        <v>1</v>
      </c>
      <c r="C562" s="4">
        <v>1</v>
      </c>
      <c r="D562" s="4">
        <v>0</v>
      </c>
      <c r="E562" s="4">
        <v>0</v>
      </c>
      <c r="F562" s="4">
        <v>1</v>
      </c>
      <c r="G562" s="4">
        <v>111001</v>
      </c>
      <c r="H562" s="4">
        <v>1</v>
      </c>
      <c r="I562" s="4">
        <f t="shared" si="6"/>
        <v>162</v>
      </c>
      <c r="J562" s="4">
        <f t="shared" si="7"/>
        <v>242</v>
      </c>
      <c r="K562" s="4" t="s">
        <v>990</v>
      </c>
    </row>
    <row r="563" spans="1:11" s="4" customFormat="1">
      <c r="A563" s="4">
        <v>111203</v>
      </c>
      <c r="B563" s="4">
        <v>1</v>
      </c>
      <c r="C563" s="4">
        <v>1</v>
      </c>
      <c r="D563" s="4">
        <v>0</v>
      </c>
      <c r="E563" s="4">
        <v>0</v>
      </c>
      <c r="F563" s="4">
        <v>1</v>
      </c>
      <c r="G563" s="4">
        <v>111001</v>
      </c>
      <c r="H563" s="4">
        <v>1</v>
      </c>
      <c r="I563" s="4">
        <f t="shared" si="6"/>
        <v>162</v>
      </c>
      <c r="J563" s="4">
        <f t="shared" si="7"/>
        <v>244</v>
      </c>
      <c r="K563" s="4" t="s">
        <v>991</v>
      </c>
    </row>
    <row r="564" spans="1:11" s="4" customFormat="1">
      <c r="A564" s="4">
        <v>111204</v>
      </c>
      <c r="B564" s="4">
        <v>1</v>
      </c>
      <c r="C564" s="4">
        <v>1</v>
      </c>
      <c r="D564" s="4">
        <v>0</v>
      </c>
      <c r="E564" s="4">
        <v>0</v>
      </c>
      <c r="F564" s="4">
        <v>1</v>
      </c>
      <c r="G564" s="4">
        <v>111001</v>
      </c>
      <c r="H564" s="4">
        <v>1</v>
      </c>
      <c r="I564" s="4">
        <f t="shared" si="6"/>
        <v>163</v>
      </c>
      <c r="J564" s="4">
        <f t="shared" si="7"/>
        <v>245</v>
      </c>
      <c r="K564" s="4" t="s">
        <v>992</v>
      </c>
    </row>
    <row r="565" spans="1:11" s="4" customFormat="1">
      <c r="A565" s="4">
        <v>111205</v>
      </c>
      <c r="B565" s="4">
        <v>1</v>
      </c>
      <c r="C565" s="4">
        <v>1</v>
      </c>
      <c r="D565" s="4">
        <v>0</v>
      </c>
      <c r="E565" s="4">
        <v>0</v>
      </c>
      <c r="F565" s="4">
        <v>1</v>
      </c>
      <c r="G565" s="4">
        <v>111001</v>
      </c>
      <c r="H565" s="4">
        <v>1</v>
      </c>
      <c r="I565" s="4">
        <f t="shared" si="6"/>
        <v>164</v>
      </c>
      <c r="J565" s="4">
        <f t="shared" si="7"/>
        <v>246</v>
      </c>
      <c r="K565" s="4" t="s">
        <v>993</v>
      </c>
    </row>
    <row r="566" spans="1:11" s="4" customFormat="1">
      <c r="A566" s="4">
        <v>111206</v>
      </c>
      <c r="B566" s="4">
        <v>1</v>
      </c>
      <c r="C566" s="4">
        <v>1</v>
      </c>
      <c r="D566" s="4">
        <v>0</v>
      </c>
      <c r="E566" s="4">
        <v>0</v>
      </c>
      <c r="F566" s="4">
        <v>1</v>
      </c>
      <c r="G566" s="4">
        <v>111001</v>
      </c>
      <c r="H566" s="4">
        <v>1</v>
      </c>
      <c r="I566" s="4">
        <f t="shared" si="6"/>
        <v>165</v>
      </c>
      <c r="J566" s="4">
        <f t="shared" si="7"/>
        <v>247</v>
      </c>
      <c r="K566" s="4" t="s">
        <v>994</v>
      </c>
    </row>
    <row r="567" spans="1:11" s="4" customFormat="1">
      <c r="A567" s="4">
        <v>111207</v>
      </c>
      <c r="B567" s="4">
        <v>1</v>
      </c>
      <c r="C567" s="4">
        <v>1</v>
      </c>
      <c r="D567" s="4">
        <v>0</v>
      </c>
      <c r="E567" s="4">
        <v>0</v>
      </c>
      <c r="F567" s="4">
        <v>1</v>
      </c>
      <c r="G567" s="4">
        <v>111001</v>
      </c>
      <c r="H567" s="4">
        <v>1</v>
      </c>
      <c r="I567" s="4">
        <f t="shared" si="6"/>
        <v>166</v>
      </c>
      <c r="J567" s="4">
        <f t="shared" si="7"/>
        <v>248</v>
      </c>
      <c r="K567" s="4" t="s">
        <v>995</v>
      </c>
    </row>
    <row r="568" spans="1:11" s="4" customFormat="1">
      <c r="A568" s="4">
        <v>111208</v>
      </c>
      <c r="B568" s="4">
        <v>1</v>
      </c>
      <c r="C568" s="4">
        <v>1</v>
      </c>
      <c r="D568" s="4">
        <v>0</v>
      </c>
      <c r="E568" s="4">
        <v>0</v>
      </c>
      <c r="F568" s="4">
        <v>1</v>
      </c>
      <c r="G568" s="4">
        <v>111001</v>
      </c>
      <c r="H568" s="4">
        <v>1</v>
      </c>
      <c r="I568" s="4">
        <f t="shared" si="6"/>
        <v>166</v>
      </c>
      <c r="J568" s="4">
        <f t="shared" si="7"/>
        <v>250</v>
      </c>
      <c r="K568" s="4" t="s">
        <v>996</v>
      </c>
    </row>
    <row r="569" spans="1:11" s="4" customFormat="1">
      <c r="A569" s="4">
        <v>111209</v>
      </c>
      <c r="B569" s="4">
        <v>1</v>
      </c>
      <c r="C569" s="4">
        <v>1</v>
      </c>
      <c r="D569" s="4">
        <v>0</v>
      </c>
      <c r="E569" s="4">
        <v>0</v>
      </c>
      <c r="F569" s="4">
        <v>1</v>
      </c>
      <c r="G569" s="4">
        <v>111001</v>
      </c>
      <c r="H569" s="4">
        <v>1</v>
      </c>
      <c r="I569" s="4">
        <f t="shared" si="6"/>
        <v>167</v>
      </c>
      <c r="J569" s="4">
        <f t="shared" si="7"/>
        <v>251</v>
      </c>
      <c r="K569" s="4" t="s">
        <v>997</v>
      </c>
    </row>
    <row r="570" spans="1:11" s="4" customFormat="1">
      <c r="A570" s="4">
        <v>111210</v>
      </c>
      <c r="B570" s="4">
        <v>1</v>
      </c>
      <c r="C570" s="4">
        <v>1</v>
      </c>
      <c r="D570" s="4">
        <v>0</v>
      </c>
      <c r="E570" s="4">
        <v>0</v>
      </c>
      <c r="F570" s="4">
        <v>1</v>
      </c>
      <c r="G570" s="4">
        <v>111001</v>
      </c>
      <c r="H570" s="4">
        <v>1</v>
      </c>
      <c r="I570" s="4">
        <f t="shared" si="6"/>
        <v>168</v>
      </c>
      <c r="J570" s="4">
        <f t="shared" si="7"/>
        <v>252</v>
      </c>
      <c r="K570" s="4" t="s">
        <v>998</v>
      </c>
    </row>
    <row r="571" spans="1:11" s="4" customFormat="1">
      <c r="A571" s="4">
        <v>111211</v>
      </c>
      <c r="B571" s="4">
        <v>1</v>
      </c>
      <c r="C571" s="4">
        <v>1</v>
      </c>
      <c r="D571" s="4">
        <v>0</v>
      </c>
      <c r="E571" s="4">
        <v>0</v>
      </c>
      <c r="F571" s="4">
        <v>1</v>
      </c>
      <c r="G571" s="4">
        <v>111001</v>
      </c>
      <c r="H571" s="4">
        <v>1</v>
      </c>
      <c r="I571" s="4">
        <f t="shared" si="6"/>
        <v>169</v>
      </c>
      <c r="J571" s="4">
        <f t="shared" si="7"/>
        <v>253</v>
      </c>
      <c r="K571" s="4" t="s">
        <v>999</v>
      </c>
    </row>
    <row r="572" spans="1:11" s="4" customFormat="1">
      <c r="A572" s="4">
        <v>111212</v>
      </c>
      <c r="B572" s="4">
        <v>1</v>
      </c>
      <c r="C572" s="4">
        <v>1</v>
      </c>
      <c r="D572" s="4">
        <v>0</v>
      </c>
      <c r="E572" s="4">
        <v>0</v>
      </c>
      <c r="F572" s="4">
        <v>1</v>
      </c>
      <c r="G572" s="4">
        <v>111001</v>
      </c>
      <c r="H572" s="4">
        <v>1</v>
      </c>
      <c r="I572" s="4">
        <f t="shared" si="6"/>
        <v>170</v>
      </c>
      <c r="J572" s="4">
        <f t="shared" si="7"/>
        <v>254</v>
      </c>
      <c r="K572" s="4" t="s">
        <v>1000</v>
      </c>
    </row>
    <row r="573" spans="1:11" s="4" customFormat="1">
      <c r="A573" s="4">
        <v>111213</v>
      </c>
      <c r="B573" s="4">
        <v>1</v>
      </c>
      <c r="C573" s="4">
        <v>1</v>
      </c>
      <c r="D573" s="4">
        <v>0</v>
      </c>
      <c r="E573" s="4">
        <v>0</v>
      </c>
      <c r="F573" s="4">
        <v>1</v>
      </c>
      <c r="G573" s="4">
        <v>111001</v>
      </c>
      <c r="H573" s="4">
        <v>1</v>
      </c>
      <c r="I573" s="4">
        <f t="shared" si="6"/>
        <v>170</v>
      </c>
      <c r="J573" s="4">
        <f t="shared" si="7"/>
        <v>256</v>
      </c>
      <c r="K573" s="4" t="s">
        <v>1001</v>
      </c>
    </row>
    <row r="574" spans="1:11" s="4" customFormat="1">
      <c r="A574" s="4">
        <v>111214</v>
      </c>
      <c r="B574" s="4">
        <v>1</v>
      </c>
      <c r="C574" s="4">
        <v>1</v>
      </c>
      <c r="D574" s="4">
        <v>0</v>
      </c>
      <c r="E574" s="4">
        <v>0</v>
      </c>
      <c r="F574" s="4">
        <v>1</v>
      </c>
      <c r="G574" s="4">
        <v>111001</v>
      </c>
      <c r="H574" s="4">
        <v>1</v>
      </c>
      <c r="I574" s="4">
        <f t="shared" si="6"/>
        <v>171</v>
      </c>
      <c r="J574" s="4">
        <f t="shared" si="7"/>
        <v>257</v>
      </c>
      <c r="K574" s="4" t="s">
        <v>1002</v>
      </c>
    </row>
    <row r="575" spans="1:11" s="4" customFormat="1">
      <c r="A575" s="4">
        <v>111215</v>
      </c>
      <c r="B575" s="4">
        <v>1</v>
      </c>
      <c r="C575" s="4">
        <v>1</v>
      </c>
      <c r="D575" s="4">
        <v>0</v>
      </c>
      <c r="E575" s="4">
        <v>0</v>
      </c>
      <c r="F575" s="4">
        <v>1</v>
      </c>
      <c r="G575" s="4">
        <v>111001</v>
      </c>
      <c r="H575" s="4">
        <v>1</v>
      </c>
      <c r="I575" s="4">
        <f t="shared" si="6"/>
        <v>172</v>
      </c>
      <c r="J575" s="4">
        <f t="shared" si="7"/>
        <v>258</v>
      </c>
      <c r="K575" s="4" t="s">
        <v>1003</v>
      </c>
    </row>
    <row r="576" spans="1:11" s="4" customFormat="1">
      <c r="A576" s="4">
        <v>111216</v>
      </c>
      <c r="B576" s="4">
        <v>1</v>
      </c>
      <c r="C576" s="4">
        <v>1</v>
      </c>
      <c r="D576" s="4">
        <v>0</v>
      </c>
      <c r="E576" s="4">
        <v>0</v>
      </c>
      <c r="F576" s="4">
        <v>1</v>
      </c>
      <c r="G576" s="4">
        <v>111001</v>
      </c>
      <c r="H576" s="4">
        <v>1</v>
      </c>
      <c r="I576" s="4">
        <f t="shared" si="6"/>
        <v>173</v>
      </c>
      <c r="J576" s="4">
        <f t="shared" si="7"/>
        <v>259</v>
      </c>
      <c r="K576" s="4" t="s">
        <v>1004</v>
      </c>
    </row>
    <row r="577" spans="1:11" s="4" customFormat="1">
      <c r="A577" s="4">
        <v>111217</v>
      </c>
      <c r="B577" s="4">
        <v>1</v>
      </c>
      <c r="C577" s="4">
        <v>1</v>
      </c>
      <c r="D577" s="4">
        <v>0</v>
      </c>
      <c r="E577" s="4">
        <v>0</v>
      </c>
      <c r="F577" s="4">
        <v>1</v>
      </c>
      <c r="G577" s="4">
        <v>111001</v>
      </c>
      <c r="H577" s="4">
        <v>1</v>
      </c>
      <c r="I577" s="4">
        <f t="shared" si="6"/>
        <v>174</v>
      </c>
      <c r="J577" s="4">
        <f t="shared" si="7"/>
        <v>260</v>
      </c>
      <c r="K577" s="4" t="s">
        <v>1005</v>
      </c>
    </row>
    <row r="578" spans="1:11" s="4" customFormat="1">
      <c r="A578" s="4">
        <v>111218</v>
      </c>
      <c r="B578" s="4">
        <v>1</v>
      </c>
      <c r="C578" s="4">
        <v>1</v>
      </c>
      <c r="D578" s="4">
        <v>0</v>
      </c>
      <c r="E578" s="4">
        <v>0</v>
      </c>
      <c r="F578" s="4">
        <v>1</v>
      </c>
      <c r="G578" s="4">
        <v>111001</v>
      </c>
      <c r="H578" s="4">
        <v>1</v>
      </c>
      <c r="I578" s="4">
        <f t="shared" si="6"/>
        <v>174</v>
      </c>
      <c r="J578" s="4">
        <f t="shared" si="7"/>
        <v>262</v>
      </c>
      <c r="K578" s="4" t="s">
        <v>1006</v>
      </c>
    </row>
    <row r="579" spans="1:11" s="4" customFormat="1">
      <c r="A579" s="4">
        <v>111219</v>
      </c>
      <c r="B579" s="4">
        <v>1</v>
      </c>
      <c r="C579" s="4">
        <v>1</v>
      </c>
      <c r="D579" s="4">
        <v>0</v>
      </c>
      <c r="E579" s="4">
        <v>0</v>
      </c>
      <c r="F579" s="4">
        <v>1</v>
      </c>
      <c r="G579" s="4">
        <v>111001</v>
      </c>
      <c r="H579" s="4">
        <v>1</v>
      </c>
      <c r="I579" s="4">
        <f t="shared" si="6"/>
        <v>175</v>
      </c>
      <c r="J579" s="4">
        <f t="shared" si="7"/>
        <v>263</v>
      </c>
      <c r="K579" s="4" t="s">
        <v>1007</v>
      </c>
    </row>
    <row r="580" spans="1:11" s="4" customFormat="1">
      <c r="A580" s="4">
        <v>111220</v>
      </c>
      <c r="B580" s="4">
        <v>1</v>
      </c>
      <c r="C580" s="4">
        <v>1</v>
      </c>
      <c r="D580" s="4">
        <v>0</v>
      </c>
      <c r="E580" s="4">
        <v>0</v>
      </c>
      <c r="F580" s="4">
        <v>1</v>
      </c>
      <c r="G580" s="4">
        <v>111001</v>
      </c>
      <c r="H580" s="4">
        <v>1</v>
      </c>
      <c r="I580" s="4">
        <f t="shared" si="6"/>
        <v>176</v>
      </c>
      <c r="J580" s="4">
        <f t="shared" si="7"/>
        <v>264</v>
      </c>
      <c r="K580" s="4" t="s">
        <v>1008</v>
      </c>
    </row>
    <row r="581" spans="1:11" s="4" customFormat="1">
      <c r="A581" s="4">
        <v>111221</v>
      </c>
      <c r="B581" s="4">
        <v>1</v>
      </c>
      <c r="C581" s="4">
        <v>1</v>
      </c>
      <c r="D581" s="4">
        <v>0</v>
      </c>
      <c r="E581" s="4">
        <v>0</v>
      </c>
      <c r="F581" s="4">
        <v>1</v>
      </c>
      <c r="G581" s="4">
        <v>111001</v>
      </c>
      <c r="H581" s="4">
        <v>1</v>
      </c>
      <c r="I581" s="4">
        <f t="shared" si="6"/>
        <v>177</v>
      </c>
      <c r="J581" s="4">
        <f t="shared" si="7"/>
        <v>265</v>
      </c>
      <c r="K581" s="4" t="s">
        <v>1009</v>
      </c>
    </row>
    <row r="582" spans="1:11" s="4" customFormat="1">
      <c r="A582" s="4">
        <v>111222</v>
      </c>
      <c r="B582" s="4">
        <v>1</v>
      </c>
      <c r="C582" s="4">
        <v>1</v>
      </c>
      <c r="D582" s="4">
        <v>0</v>
      </c>
      <c r="E582" s="4">
        <v>0</v>
      </c>
      <c r="F582" s="4">
        <v>1</v>
      </c>
      <c r="G582" s="4">
        <v>111001</v>
      </c>
      <c r="H582" s="4">
        <v>1</v>
      </c>
      <c r="I582" s="4">
        <f t="shared" si="6"/>
        <v>178</v>
      </c>
      <c r="J582" s="4">
        <f t="shared" si="7"/>
        <v>266</v>
      </c>
      <c r="K582" s="4" t="s">
        <v>1010</v>
      </c>
    </row>
    <row r="583" spans="1:11" s="4" customFormat="1">
      <c r="A583" s="4">
        <v>111223</v>
      </c>
      <c r="B583" s="4">
        <v>1</v>
      </c>
      <c r="C583" s="4">
        <v>1</v>
      </c>
      <c r="D583" s="4">
        <v>0</v>
      </c>
      <c r="E583" s="4">
        <v>0</v>
      </c>
      <c r="F583" s="4">
        <v>1</v>
      </c>
      <c r="G583" s="4">
        <v>111001</v>
      </c>
      <c r="H583" s="4">
        <v>1</v>
      </c>
      <c r="I583" s="4">
        <f t="shared" si="6"/>
        <v>178</v>
      </c>
      <c r="J583" s="4">
        <f t="shared" si="7"/>
        <v>268</v>
      </c>
      <c r="K583" s="4" t="s">
        <v>1011</v>
      </c>
    </row>
    <row r="584" spans="1:11" s="4" customFormat="1">
      <c r="A584" s="4">
        <v>111224</v>
      </c>
      <c r="B584" s="4">
        <v>1</v>
      </c>
      <c r="C584" s="4">
        <v>1</v>
      </c>
      <c r="D584" s="4">
        <v>0</v>
      </c>
      <c r="E584" s="4">
        <v>0</v>
      </c>
      <c r="F584" s="4">
        <v>1</v>
      </c>
      <c r="G584" s="4">
        <v>111001</v>
      </c>
      <c r="H584" s="4">
        <v>1</v>
      </c>
      <c r="I584" s="4">
        <f t="shared" si="6"/>
        <v>179</v>
      </c>
      <c r="J584" s="4">
        <f t="shared" si="7"/>
        <v>269</v>
      </c>
      <c r="K584" s="4" t="s">
        <v>1012</v>
      </c>
    </row>
    <row r="585" spans="1:11" s="4" customFormat="1">
      <c r="A585" s="4">
        <v>111225</v>
      </c>
      <c r="B585" s="4">
        <v>1</v>
      </c>
      <c r="C585" s="4">
        <v>1</v>
      </c>
      <c r="D585" s="4">
        <v>0</v>
      </c>
      <c r="E585" s="4">
        <v>0</v>
      </c>
      <c r="F585" s="4">
        <v>1</v>
      </c>
      <c r="G585" s="4">
        <v>111001</v>
      </c>
      <c r="H585" s="4">
        <v>1</v>
      </c>
      <c r="I585" s="4">
        <f t="shared" si="6"/>
        <v>180</v>
      </c>
      <c r="J585" s="4">
        <f t="shared" si="7"/>
        <v>270</v>
      </c>
      <c r="K585" s="4" t="s">
        <v>1013</v>
      </c>
    </row>
    <row r="586" spans="1:11" s="4" customFormat="1">
      <c r="A586" s="4">
        <v>111226</v>
      </c>
      <c r="B586" s="4">
        <v>1</v>
      </c>
      <c r="C586" s="4">
        <v>1</v>
      </c>
      <c r="D586" s="4">
        <v>0</v>
      </c>
      <c r="E586" s="4">
        <v>0</v>
      </c>
      <c r="F586" s="4">
        <v>1</v>
      </c>
      <c r="G586" s="4">
        <v>111001</v>
      </c>
      <c r="H586" s="4">
        <v>1</v>
      </c>
      <c r="I586" s="4">
        <f t="shared" si="6"/>
        <v>181</v>
      </c>
      <c r="J586" s="4">
        <f t="shared" si="7"/>
        <v>271</v>
      </c>
      <c r="K586" s="4" t="s">
        <v>1014</v>
      </c>
    </row>
    <row r="587" spans="1:11" s="4" customFormat="1">
      <c r="A587" s="4">
        <v>111227</v>
      </c>
      <c r="B587" s="4">
        <v>1</v>
      </c>
      <c r="C587" s="4">
        <v>1</v>
      </c>
      <c r="D587" s="4">
        <v>0</v>
      </c>
      <c r="E587" s="4">
        <v>0</v>
      </c>
      <c r="F587" s="4">
        <v>1</v>
      </c>
      <c r="G587" s="4">
        <v>111001</v>
      </c>
      <c r="H587" s="4">
        <v>1</v>
      </c>
      <c r="I587" s="4">
        <f t="shared" si="6"/>
        <v>182</v>
      </c>
      <c r="J587" s="4">
        <f t="shared" si="7"/>
        <v>272</v>
      </c>
      <c r="K587" s="4" t="s">
        <v>1015</v>
      </c>
    </row>
    <row r="588" spans="1:11" s="4" customFormat="1">
      <c r="A588" s="4">
        <v>111228</v>
      </c>
      <c r="B588" s="4">
        <v>1</v>
      </c>
      <c r="C588" s="4">
        <v>1</v>
      </c>
      <c r="D588" s="4">
        <v>0</v>
      </c>
      <c r="E588" s="4">
        <v>0</v>
      </c>
      <c r="F588" s="4">
        <v>1</v>
      </c>
      <c r="G588" s="4">
        <v>111001</v>
      </c>
      <c r="H588" s="4">
        <v>1</v>
      </c>
      <c r="I588" s="4">
        <f t="shared" si="6"/>
        <v>182</v>
      </c>
      <c r="J588" s="4">
        <f t="shared" si="7"/>
        <v>274</v>
      </c>
      <c r="K588" s="4" t="s">
        <v>1016</v>
      </c>
    </row>
    <row r="589" spans="1:11" s="4" customFormat="1">
      <c r="A589" s="4">
        <v>111229</v>
      </c>
      <c r="B589" s="4">
        <v>1</v>
      </c>
      <c r="C589" s="4">
        <v>1</v>
      </c>
      <c r="D589" s="4">
        <v>0</v>
      </c>
      <c r="E589" s="4">
        <v>0</v>
      </c>
      <c r="F589" s="4">
        <v>1</v>
      </c>
      <c r="G589" s="4">
        <v>111001</v>
      </c>
      <c r="H589" s="4">
        <v>1</v>
      </c>
      <c r="I589" s="4">
        <f t="shared" si="6"/>
        <v>183</v>
      </c>
      <c r="J589" s="4">
        <f t="shared" si="7"/>
        <v>275</v>
      </c>
      <c r="K589" s="4" t="s">
        <v>1017</v>
      </c>
    </row>
    <row r="590" spans="1:11" s="4" customFormat="1">
      <c r="A590" s="4">
        <v>111230</v>
      </c>
      <c r="B590" s="4">
        <v>1</v>
      </c>
      <c r="C590" s="4">
        <v>1</v>
      </c>
      <c r="D590" s="4">
        <v>0</v>
      </c>
      <c r="E590" s="4">
        <v>0</v>
      </c>
      <c r="F590" s="4">
        <v>1</v>
      </c>
      <c r="G590" s="4">
        <v>111001</v>
      </c>
      <c r="H590" s="4">
        <v>1</v>
      </c>
      <c r="I590" s="4">
        <f t="shared" si="6"/>
        <v>184</v>
      </c>
      <c r="J590" s="4">
        <f t="shared" si="7"/>
        <v>276</v>
      </c>
      <c r="K590" s="4" t="s">
        <v>1018</v>
      </c>
    </row>
    <row r="591" spans="1:11" s="4" customFormat="1">
      <c r="A591" s="4">
        <v>111231</v>
      </c>
      <c r="B591" s="4">
        <v>1</v>
      </c>
      <c r="C591" s="4">
        <v>1</v>
      </c>
      <c r="D591" s="4">
        <v>0</v>
      </c>
      <c r="E591" s="4">
        <v>0</v>
      </c>
      <c r="F591" s="4">
        <v>1</v>
      </c>
      <c r="G591" s="4">
        <v>111001</v>
      </c>
      <c r="H591" s="4">
        <v>1</v>
      </c>
      <c r="I591" s="4">
        <f t="shared" si="6"/>
        <v>185</v>
      </c>
      <c r="J591" s="4">
        <f t="shared" si="7"/>
        <v>277</v>
      </c>
      <c r="K591" s="4" t="s">
        <v>1019</v>
      </c>
    </row>
    <row r="592" spans="1:11" s="4" customFormat="1">
      <c r="A592" s="4">
        <v>111232</v>
      </c>
      <c r="B592" s="4">
        <v>1</v>
      </c>
      <c r="C592" s="4">
        <v>1</v>
      </c>
      <c r="D592" s="4">
        <v>0</v>
      </c>
      <c r="E592" s="4">
        <v>0</v>
      </c>
      <c r="F592" s="4">
        <v>1</v>
      </c>
      <c r="G592" s="4">
        <v>111001</v>
      </c>
      <c r="H592" s="4">
        <v>1</v>
      </c>
      <c r="I592" s="4">
        <f t="shared" si="6"/>
        <v>186</v>
      </c>
      <c r="J592" s="4">
        <f t="shared" si="7"/>
        <v>278</v>
      </c>
      <c r="K592" s="4" t="s">
        <v>1020</v>
      </c>
    </row>
    <row r="593" spans="1:11" s="4" customFormat="1">
      <c r="A593" s="4">
        <v>111233</v>
      </c>
      <c r="B593" s="4">
        <v>1</v>
      </c>
      <c r="C593" s="4">
        <v>1</v>
      </c>
      <c r="D593" s="4">
        <v>0</v>
      </c>
      <c r="E593" s="4">
        <v>0</v>
      </c>
      <c r="F593" s="4">
        <v>1</v>
      </c>
      <c r="G593" s="4">
        <v>111001</v>
      </c>
      <c r="H593" s="4">
        <v>1</v>
      </c>
      <c r="I593" s="4">
        <f t="shared" si="6"/>
        <v>186</v>
      </c>
      <c r="J593" s="4">
        <f t="shared" si="7"/>
        <v>280</v>
      </c>
      <c r="K593" s="4" t="s">
        <v>1021</v>
      </c>
    </row>
    <row r="594" spans="1:11" s="4" customFormat="1">
      <c r="A594" s="4">
        <v>111234</v>
      </c>
      <c r="B594" s="4">
        <v>1</v>
      </c>
      <c r="C594" s="4">
        <v>1</v>
      </c>
      <c r="D594" s="4">
        <v>0</v>
      </c>
      <c r="E594" s="4">
        <v>0</v>
      </c>
      <c r="F594" s="4">
        <v>1</v>
      </c>
      <c r="G594" s="4">
        <v>111001</v>
      </c>
      <c r="H594" s="4">
        <v>1</v>
      </c>
      <c r="I594" s="4">
        <f t="shared" si="6"/>
        <v>187</v>
      </c>
      <c r="J594" s="4">
        <f t="shared" si="7"/>
        <v>281</v>
      </c>
      <c r="K594" s="4" t="s">
        <v>1022</v>
      </c>
    </row>
    <row r="595" spans="1:11" s="4" customFormat="1">
      <c r="A595" s="4">
        <v>111235</v>
      </c>
      <c r="B595" s="4">
        <v>1</v>
      </c>
      <c r="C595" s="4">
        <v>1</v>
      </c>
      <c r="D595" s="4">
        <v>0</v>
      </c>
      <c r="E595" s="4">
        <v>0</v>
      </c>
      <c r="F595" s="4">
        <v>1</v>
      </c>
      <c r="G595" s="4">
        <v>111001</v>
      </c>
      <c r="H595" s="4">
        <v>1</v>
      </c>
      <c r="I595" s="4">
        <f t="shared" si="6"/>
        <v>188</v>
      </c>
      <c r="J595" s="4">
        <f t="shared" si="7"/>
        <v>282</v>
      </c>
      <c r="K595" s="4" t="s">
        <v>1023</v>
      </c>
    </row>
    <row r="596" spans="1:11" s="4" customFormat="1">
      <c r="A596" s="4">
        <v>111236</v>
      </c>
      <c r="B596" s="4">
        <v>1</v>
      </c>
      <c r="C596" s="4">
        <v>1</v>
      </c>
      <c r="D596" s="4">
        <v>0</v>
      </c>
      <c r="E596" s="4">
        <v>0</v>
      </c>
      <c r="F596" s="4">
        <v>1</v>
      </c>
      <c r="G596" s="4">
        <v>111001</v>
      </c>
      <c r="H596" s="4">
        <v>1</v>
      </c>
      <c r="I596" s="4">
        <f t="shared" si="6"/>
        <v>189</v>
      </c>
      <c r="J596" s="4">
        <f t="shared" si="7"/>
        <v>283</v>
      </c>
      <c r="K596" s="4" t="s">
        <v>1024</v>
      </c>
    </row>
    <row r="597" spans="1:11" s="4" customFormat="1">
      <c r="A597" s="4">
        <v>111237</v>
      </c>
      <c r="B597" s="4">
        <v>1</v>
      </c>
      <c r="C597" s="4">
        <v>1</v>
      </c>
      <c r="D597" s="4">
        <v>0</v>
      </c>
      <c r="E597" s="4">
        <v>0</v>
      </c>
      <c r="F597" s="4">
        <v>1</v>
      </c>
      <c r="G597" s="4">
        <v>111001</v>
      </c>
      <c r="H597" s="4">
        <v>1</v>
      </c>
      <c r="I597" s="4">
        <f t="shared" si="6"/>
        <v>190</v>
      </c>
      <c r="J597" s="4">
        <f t="shared" si="7"/>
        <v>284</v>
      </c>
      <c r="K597" s="4" t="s">
        <v>1025</v>
      </c>
    </row>
    <row r="598" spans="1:11" s="4" customFormat="1">
      <c r="A598" s="4">
        <v>111238</v>
      </c>
      <c r="B598" s="4">
        <v>1</v>
      </c>
      <c r="C598" s="4">
        <v>1</v>
      </c>
      <c r="D598" s="4">
        <v>0</v>
      </c>
      <c r="E598" s="4">
        <v>0</v>
      </c>
      <c r="F598" s="4">
        <v>1</v>
      </c>
      <c r="G598" s="4">
        <v>111001</v>
      </c>
      <c r="H598" s="4">
        <v>1</v>
      </c>
      <c r="I598" s="4">
        <f t="shared" si="6"/>
        <v>190</v>
      </c>
      <c r="J598" s="4">
        <f t="shared" si="7"/>
        <v>286</v>
      </c>
      <c r="K598" s="4" t="s">
        <v>1026</v>
      </c>
    </row>
    <row r="599" spans="1:11" s="4" customFormat="1">
      <c r="A599" s="4">
        <v>111239</v>
      </c>
      <c r="B599" s="4">
        <v>1</v>
      </c>
      <c r="C599" s="4">
        <v>1</v>
      </c>
      <c r="D599" s="4">
        <v>0</v>
      </c>
      <c r="E599" s="4">
        <v>0</v>
      </c>
      <c r="F599" s="4">
        <v>1</v>
      </c>
      <c r="G599" s="4">
        <v>111001</v>
      </c>
      <c r="H599" s="4">
        <v>1</v>
      </c>
      <c r="I599" s="4">
        <f t="shared" si="6"/>
        <v>191</v>
      </c>
      <c r="J599" s="4">
        <f t="shared" si="7"/>
        <v>287</v>
      </c>
      <c r="K599" s="4" t="s">
        <v>1027</v>
      </c>
    </row>
    <row r="600" spans="1:11" s="4" customFormat="1">
      <c r="A600" s="4">
        <v>111240</v>
      </c>
      <c r="B600" s="4">
        <v>1</v>
      </c>
      <c r="C600" s="4">
        <v>1</v>
      </c>
      <c r="D600" s="4">
        <v>0</v>
      </c>
      <c r="E600" s="4">
        <v>0</v>
      </c>
      <c r="F600" s="4">
        <v>1</v>
      </c>
      <c r="G600" s="4">
        <v>111001</v>
      </c>
      <c r="H600" s="4">
        <v>1</v>
      </c>
      <c r="I600" s="4">
        <f t="shared" si="6"/>
        <v>192</v>
      </c>
      <c r="J600" s="4">
        <f t="shared" si="7"/>
        <v>288</v>
      </c>
      <c r="K600" s="4" t="s">
        <v>1028</v>
      </c>
    </row>
    <row r="601" spans="1:11" s="4" customFormat="1">
      <c r="A601" s="4">
        <v>111241</v>
      </c>
      <c r="B601" s="4">
        <v>1</v>
      </c>
      <c r="C601" s="4">
        <v>1</v>
      </c>
      <c r="D601" s="4">
        <v>0</v>
      </c>
      <c r="E601" s="4">
        <v>0</v>
      </c>
      <c r="F601" s="4">
        <v>1</v>
      </c>
      <c r="G601" s="4">
        <v>111001</v>
      </c>
      <c r="H601" s="4">
        <v>1</v>
      </c>
      <c r="I601" s="4">
        <f t="shared" si="6"/>
        <v>193</v>
      </c>
      <c r="J601" s="4">
        <f t="shared" si="7"/>
        <v>289</v>
      </c>
      <c r="K601" s="4" t="s">
        <v>1029</v>
      </c>
    </row>
    <row r="602" spans="1:11" s="4" customFormat="1">
      <c r="A602" s="4">
        <v>111242</v>
      </c>
      <c r="B602" s="4">
        <v>1</v>
      </c>
      <c r="C602" s="4">
        <v>1</v>
      </c>
      <c r="D602" s="4">
        <v>0</v>
      </c>
      <c r="E602" s="4">
        <v>0</v>
      </c>
      <c r="F602" s="4">
        <v>1</v>
      </c>
      <c r="G602" s="4">
        <v>111001</v>
      </c>
      <c r="H602" s="4">
        <v>1</v>
      </c>
      <c r="I602" s="4">
        <f t="shared" si="6"/>
        <v>194</v>
      </c>
      <c r="J602" s="4">
        <f t="shared" si="7"/>
        <v>290</v>
      </c>
      <c r="K602" s="4" t="s">
        <v>1030</v>
      </c>
    </row>
    <row r="603" spans="1:11" s="4" customFormat="1">
      <c r="A603" s="4">
        <v>111243</v>
      </c>
      <c r="B603" s="4">
        <v>1</v>
      </c>
      <c r="C603" s="4">
        <v>1</v>
      </c>
      <c r="D603" s="4">
        <v>0</v>
      </c>
      <c r="E603" s="4">
        <v>0</v>
      </c>
      <c r="F603" s="4">
        <v>1</v>
      </c>
      <c r="G603" s="4">
        <v>111001</v>
      </c>
      <c r="H603" s="4">
        <v>1</v>
      </c>
      <c r="I603" s="4">
        <f t="shared" si="6"/>
        <v>194</v>
      </c>
      <c r="J603" s="4">
        <f t="shared" si="7"/>
        <v>292</v>
      </c>
      <c r="K603" s="4" t="s">
        <v>1031</v>
      </c>
    </row>
    <row r="604" spans="1:11" s="4" customFormat="1">
      <c r="A604" s="4">
        <v>111244</v>
      </c>
      <c r="B604" s="4">
        <v>1</v>
      </c>
      <c r="C604" s="4">
        <v>1</v>
      </c>
      <c r="D604" s="4">
        <v>0</v>
      </c>
      <c r="E604" s="4">
        <v>0</v>
      </c>
      <c r="F604" s="4">
        <v>1</v>
      </c>
      <c r="G604" s="4">
        <v>111001</v>
      </c>
      <c r="H604" s="4">
        <v>1</v>
      </c>
      <c r="I604" s="4">
        <f t="shared" si="6"/>
        <v>195</v>
      </c>
      <c r="J604" s="4">
        <f t="shared" si="7"/>
        <v>293</v>
      </c>
      <c r="K604" s="4" t="s">
        <v>1032</v>
      </c>
    </row>
    <row r="605" spans="1:11" s="4" customFormat="1">
      <c r="A605" s="4">
        <v>111245</v>
      </c>
      <c r="B605" s="4">
        <v>1</v>
      </c>
      <c r="C605" s="4">
        <v>1</v>
      </c>
      <c r="D605" s="4">
        <v>0</v>
      </c>
      <c r="E605" s="4">
        <v>0</v>
      </c>
      <c r="F605" s="4">
        <v>1</v>
      </c>
      <c r="G605" s="4">
        <v>111001</v>
      </c>
      <c r="H605" s="4">
        <v>1</v>
      </c>
      <c r="I605" s="4">
        <f t="shared" si="6"/>
        <v>196</v>
      </c>
      <c r="J605" s="4">
        <f t="shared" si="7"/>
        <v>294</v>
      </c>
      <c r="K605" s="4" t="s">
        <v>1033</v>
      </c>
    </row>
    <row r="606" spans="1:11" s="4" customFormat="1">
      <c r="A606" s="4">
        <v>111246</v>
      </c>
      <c r="B606" s="4">
        <v>1</v>
      </c>
      <c r="C606" s="4">
        <v>1</v>
      </c>
      <c r="D606" s="4">
        <v>0</v>
      </c>
      <c r="E606" s="4">
        <v>0</v>
      </c>
      <c r="F606" s="4">
        <v>1</v>
      </c>
      <c r="G606" s="4">
        <v>111001</v>
      </c>
      <c r="H606" s="4">
        <v>1</v>
      </c>
      <c r="I606" s="4">
        <f t="shared" si="6"/>
        <v>197</v>
      </c>
      <c r="J606" s="4">
        <f t="shared" si="7"/>
        <v>295</v>
      </c>
      <c r="K606" s="4" t="s">
        <v>1034</v>
      </c>
    </row>
    <row r="607" spans="1:11" s="4" customFormat="1">
      <c r="A607" s="4">
        <v>111247</v>
      </c>
      <c r="B607" s="4">
        <v>1</v>
      </c>
      <c r="C607" s="4">
        <v>1</v>
      </c>
      <c r="D607" s="4">
        <v>0</v>
      </c>
      <c r="E607" s="4">
        <v>0</v>
      </c>
      <c r="F607" s="4">
        <v>1</v>
      </c>
      <c r="G607" s="4">
        <v>111001</v>
      </c>
      <c r="H607" s="4">
        <v>1</v>
      </c>
      <c r="I607" s="4">
        <f t="shared" si="6"/>
        <v>198</v>
      </c>
      <c r="J607" s="4">
        <f t="shared" si="7"/>
        <v>296</v>
      </c>
      <c r="K607" s="4" t="s">
        <v>1035</v>
      </c>
    </row>
    <row r="608" spans="1:11" s="4" customFormat="1">
      <c r="A608" s="4">
        <v>111248</v>
      </c>
      <c r="B608" s="4">
        <v>1</v>
      </c>
      <c r="C608" s="4">
        <v>1</v>
      </c>
      <c r="D608" s="4">
        <v>0</v>
      </c>
      <c r="E608" s="4">
        <v>0</v>
      </c>
      <c r="F608" s="4">
        <v>1</v>
      </c>
      <c r="G608" s="4">
        <v>111001</v>
      </c>
      <c r="H608" s="4">
        <v>1</v>
      </c>
      <c r="I608" s="4">
        <f t="shared" si="6"/>
        <v>198</v>
      </c>
      <c r="J608" s="4">
        <f t="shared" si="7"/>
        <v>298</v>
      </c>
      <c r="K608" s="4" t="s">
        <v>1036</v>
      </c>
    </row>
    <row r="609" spans="1:11" s="4" customFormat="1">
      <c r="A609" s="4">
        <v>111249</v>
      </c>
      <c r="B609" s="4">
        <v>1</v>
      </c>
      <c r="C609" s="4">
        <v>1</v>
      </c>
      <c r="D609" s="4">
        <v>0</v>
      </c>
      <c r="E609" s="4">
        <v>0</v>
      </c>
      <c r="F609" s="4">
        <v>1</v>
      </c>
      <c r="G609" s="4">
        <v>111001</v>
      </c>
      <c r="H609" s="4">
        <v>1</v>
      </c>
      <c r="I609" s="4">
        <f t="shared" si="6"/>
        <v>199</v>
      </c>
      <c r="J609" s="4">
        <f t="shared" si="7"/>
        <v>299</v>
      </c>
      <c r="K609" s="4" t="s">
        <v>1037</v>
      </c>
    </row>
    <row r="610" spans="1:11" s="4" customFormat="1">
      <c r="A610" s="4">
        <v>111250</v>
      </c>
      <c r="B610" s="4">
        <v>1</v>
      </c>
      <c r="C610" s="4">
        <v>1</v>
      </c>
      <c r="D610" s="4">
        <v>0</v>
      </c>
      <c r="E610" s="4">
        <v>0</v>
      </c>
      <c r="F610" s="4">
        <v>1</v>
      </c>
      <c r="G610" s="4">
        <v>111001</v>
      </c>
      <c r="H610" s="4">
        <v>1</v>
      </c>
      <c r="I610" s="4">
        <f t="shared" si="6"/>
        <v>200</v>
      </c>
      <c r="J610" s="4">
        <f t="shared" si="7"/>
        <v>300</v>
      </c>
      <c r="K610" s="4" t="s">
        <v>1038</v>
      </c>
    </row>
    <row r="611" spans="1:11" s="4" customFormat="1">
      <c r="A611" s="4">
        <v>111251</v>
      </c>
      <c r="B611" s="4">
        <v>1</v>
      </c>
      <c r="C611" s="4">
        <v>1</v>
      </c>
      <c r="D611" s="4">
        <v>0</v>
      </c>
      <c r="E611" s="4">
        <v>0</v>
      </c>
      <c r="F611" s="4">
        <v>1</v>
      </c>
      <c r="G611" s="4">
        <v>111001</v>
      </c>
      <c r="H611" s="4">
        <v>1</v>
      </c>
      <c r="I611" s="4">
        <f t="shared" si="6"/>
        <v>201</v>
      </c>
      <c r="J611" s="4">
        <f t="shared" si="7"/>
        <v>301</v>
      </c>
      <c r="K611" s="4" t="s">
        <v>1039</v>
      </c>
    </row>
    <row r="612" spans="1:11" s="4" customFormat="1">
      <c r="A612" s="4">
        <v>111252</v>
      </c>
      <c r="B612" s="4">
        <v>1</v>
      </c>
      <c r="C612" s="4">
        <v>1</v>
      </c>
      <c r="D612" s="4">
        <v>0</v>
      </c>
      <c r="E612" s="4">
        <v>0</v>
      </c>
      <c r="F612" s="4">
        <v>1</v>
      </c>
      <c r="G612" s="4">
        <v>111001</v>
      </c>
      <c r="H612" s="4">
        <v>1</v>
      </c>
      <c r="I612" s="4">
        <f t="shared" si="6"/>
        <v>202</v>
      </c>
      <c r="J612" s="4">
        <f t="shared" si="7"/>
        <v>302</v>
      </c>
      <c r="K612" s="4" t="s">
        <v>1040</v>
      </c>
    </row>
    <row r="613" spans="1:11" s="4" customFormat="1">
      <c r="A613" s="4">
        <v>111253</v>
      </c>
      <c r="B613" s="4">
        <v>1</v>
      </c>
      <c r="C613" s="4">
        <v>1</v>
      </c>
      <c r="D613" s="4">
        <v>0</v>
      </c>
      <c r="E613" s="4">
        <v>0</v>
      </c>
      <c r="F613" s="4">
        <v>1</v>
      </c>
      <c r="G613" s="4">
        <v>111001</v>
      </c>
      <c r="H613" s="4">
        <v>1</v>
      </c>
      <c r="I613" s="4">
        <f t="shared" si="6"/>
        <v>202</v>
      </c>
      <c r="J613" s="4">
        <f t="shared" si="7"/>
        <v>304</v>
      </c>
      <c r="K613" s="4" t="s">
        <v>1041</v>
      </c>
    </row>
    <row r="614" spans="1:11" s="4" customFormat="1">
      <c r="A614" s="4">
        <v>111254</v>
      </c>
      <c r="B614" s="4">
        <v>1</v>
      </c>
      <c r="C614" s="4">
        <v>1</v>
      </c>
      <c r="D614" s="4">
        <v>0</v>
      </c>
      <c r="E614" s="4">
        <v>0</v>
      </c>
      <c r="F614" s="4">
        <v>1</v>
      </c>
      <c r="G614" s="4">
        <v>111001</v>
      </c>
      <c r="H614" s="4">
        <v>1</v>
      </c>
      <c r="I614" s="4">
        <f t="shared" si="6"/>
        <v>203</v>
      </c>
      <c r="J614" s="4">
        <f t="shared" si="7"/>
        <v>305</v>
      </c>
      <c r="K614" s="4" t="s">
        <v>1042</v>
      </c>
    </row>
    <row r="615" spans="1:11" s="4" customFormat="1">
      <c r="A615" s="4">
        <v>111255</v>
      </c>
      <c r="B615" s="4">
        <v>1</v>
      </c>
      <c r="C615" s="4">
        <v>1</v>
      </c>
      <c r="D615" s="4">
        <v>0</v>
      </c>
      <c r="E615" s="4">
        <v>0</v>
      </c>
      <c r="F615" s="4">
        <v>1</v>
      </c>
      <c r="G615" s="4">
        <v>111001</v>
      </c>
      <c r="H615" s="4">
        <v>1</v>
      </c>
      <c r="I615" s="4">
        <f t="shared" si="6"/>
        <v>204</v>
      </c>
      <c r="J615" s="4">
        <f t="shared" si="7"/>
        <v>306</v>
      </c>
      <c r="K615" s="4" t="s">
        <v>1043</v>
      </c>
    </row>
    <row r="616" spans="1:11" s="4" customFormat="1">
      <c r="A616" s="4">
        <v>111256</v>
      </c>
      <c r="B616" s="4">
        <v>1</v>
      </c>
      <c r="C616" s="4">
        <v>1</v>
      </c>
      <c r="D616" s="4">
        <v>0</v>
      </c>
      <c r="E616" s="4">
        <v>0</v>
      </c>
      <c r="F616" s="4">
        <v>1</v>
      </c>
      <c r="G616" s="4">
        <v>111001</v>
      </c>
      <c r="H616" s="4">
        <v>1</v>
      </c>
      <c r="I616" s="4">
        <f t="shared" si="6"/>
        <v>205</v>
      </c>
      <c r="J616" s="4">
        <f t="shared" si="7"/>
        <v>307</v>
      </c>
      <c r="K616" s="4" t="s">
        <v>1044</v>
      </c>
    </row>
    <row r="617" spans="1:11" s="4" customFormat="1">
      <c r="A617" s="4">
        <v>111257</v>
      </c>
      <c r="B617" s="4">
        <v>1</v>
      </c>
      <c r="C617" s="4">
        <v>1</v>
      </c>
      <c r="D617" s="4">
        <v>0</v>
      </c>
      <c r="E617" s="4">
        <v>0</v>
      </c>
      <c r="F617" s="4">
        <v>1</v>
      </c>
      <c r="G617" s="4">
        <v>111001</v>
      </c>
      <c r="H617" s="4">
        <v>1</v>
      </c>
      <c r="I617" s="4">
        <f t="shared" si="6"/>
        <v>206</v>
      </c>
      <c r="J617" s="4">
        <f t="shared" si="7"/>
        <v>308</v>
      </c>
      <c r="K617" s="4" t="s">
        <v>1045</v>
      </c>
    </row>
    <row r="618" spans="1:11" s="4" customFormat="1">
      <c r="A618" s="4">
        <v>111258</v>
      </c>
      <c r="B618" s="4">
        <v>1</v>
      </c>
      <c r="C618" s="4">
        <v>1</v>
      </c>
      <c r="D618" s="4">
        <v>0</v>
      </c>
      <c r="E618" s="4">
        <v>0</v>
      </c>
      <c r="F618" s="4">
        <v>1</v>
      </c>
      <c r="G618" s="4">
        <v>111001</v>
      </c>
      <c r="H618" s="4">
        <v>1</v>
      </c>
      <c r="I618" s="4">
        <f t="shared" ref="I618:I681" si="8">ROUND(RIGHT(A618,3)*80%,0)</f>
        <v>206</v>
      </c>
      <c r="J618" s="4">
        <f t="shared" ref="J618:J681" si="9">ROUND(RIGHT(A618,3)*120%,0)</f>
        <v>310</v>
      </c>
      <c r="K618" s="4" t="s">
        <v>1046</v>
      </c>
    </row>
    <row r="619" spans="1:11" s="4" customFormat="1">
      <c r="A619" s="4">
        <v>111259</v>
      </c>
      <c r="B619" s="4">
        <v>1</v>
      </c>
      <c r="C619" s="4">
        <v>1</v>
      </c>
      <c r="D619" s="4">
        <v>0</v>
      </c>
      <c r="E619" s="4">
        <v>0</v>
      </c>
      <c r="F619" s="4">
        <v>1</v>
      </c>
      <c r="G619" s="4">
        <v>111001</v>
      </c>
      <c r="H619" s="4">
        <v>1</v>
      </c>
      <c r="I619" s="4">
        <f t="shared" si="8"/>
        <v>207</v>
      </c>
      <c r="J619" s="4">
        <f t="shared" si="9"/>
        <v>311</v>
      </c>
      <c r="K619" s="4" t="s">
        <v>1047</v>
      </c>
    </row>
    <row r="620" spans="1:11" s="4" customFormat="1">
      <c r="A620" s="4">
        <v>111260</v>
      </c>
      <c r="B620" s="4">
        <v>1</v>
      </c>
      <c r="C620" s="4">
        <v>1</v>
      </c>
      <c r="D620" s="4">
        <v>0</v>
      </c>
      <c r="E620" s="4">
        <v>0</v>
      </c>
      <c r="F620" s="4">
        <v>1</v>
      </c>
      <c r="G620" s="4">
        <v>111001</v>
      </c>
      <c r="H620" s="4">
        <v>1</v>
      </c>
      <c r="I620" s="4">
        <f t="shared" si="8"/>
        <v>208</v>
      </c>
      <c r="J620" s="4">
        <f t="shared" si="9"/>
        <v>312</v>
      </c>
      <c r="K620" s="4" t="s">
        <v>1048</v>
      </c>
    </row>
    <row r="621" spans="1:11" s="4" customFormat="1">
      <c r="A621" s="4">
        <v>111261</v>
      </c>
      <c r="B621" s="4">
        <v>1</v>
      </c>
      <c r="C621" s="4">
        <v>1</v>
      </c>
      <c r="D621" s="4">
        <v>0</v>
      </c>
      <c r="E621" s="4">
        <v>0</v>
      </c>
      <c r="F621" s="4">
        <v>1</v>
      </c>
      <c r="G621" s="4">
        <v>111001</v>
      </c>
      <c r="H621" s="4">
        <v>1</v>
      </c>
      <c r="I621" s="4">
        <f t="shared" si="8"/>
        <v>209</v>
      </c>
      <c r="J621" s="4">
        <f t="shared" si="9"/>
        <v>313</v>
      </c>
      <c r="K621" s="4" t="s">
        <v>1049</v>
      </c>
    </row>
    <row r="622" spans="1:11" s="4" customFormat="1">
      <c r="A622" s="4">
        <v>111262</v>
      </c>
      <c r="B622" s="4">
        <v>1</v>
      </c>
      <c r="C622" s="4">
        <v>1</v>
      </c>
      <c r="D622" s="4">
        <v>0</v>
      </c>
      <c r="E622" s="4">
        <v>0</v>
      </c>
      <c r="F622" s="4">
        <v>1</v>
      </c>
      <c r="G622" s="4">
        <v>111001</v>
      </c>
      <c r="H622" s="4">
        <v>1</v>
      </c>
      <c r="I622" s="4">
        <f t="shared" si="8"/>
        <v>210</v>
      </c>
      <c r="J622" s="4">
        <f t="shared" si="9"/>
        <v>314</v>
      </c>
      <c r="K622" s="4" t="s">
        <v>1050</v>
      </c>
    </row>
    <row r="623" spans="1:11" s="4" customFormat="1">
      <c r="A623" s="4">
        <v>111263</v>
      </c>
      <c r="B623" s="4">
        <v>1</v>
      </c>
      <c r="C623" s="4">
        <v>1</v>
      </c>
      <c r="D623" s="4">
        <v>0</v>
      </c>
      <c r="E623" s="4">
        <v>0</v>
      </c>
      <c r="F623" s="4">
        <v>1</v>
      </c>
      <c r="G623" s="4">
        <v>111001</v>
      </c>
      <c r="H623" s="4">
        <v>1</v>
      </c>
      <c r="I623" s="4">
        <f t="shared" si="8"/>
        <v>210</v>
      </c>
      <c r="J623" s="4">
        <f t="shared" si="9"/>
        <v>316</v>
      </c>
      <c r="K623" s="4" t="s">
        <v>1051</v>
      </c>
    </row>
    <row r="624" spans="1:11" s="4" customFormat="1">
      <c r="A624" s="4">
        <v>111264</v>
      </c>
      <c r="B624" s="4">
        <v>1</v>
      </c>
      <c r="C624" s="4">
        <v>1</v>
      </c>
      <c r="D624" s="4">
        <v>0</v>
      </c>
      <c r="E624" s="4">
        <v>0</v>
      </c>
      <c r="F624" s="4">
        <v>1</v>
      </c>
      <c r="G624" s="4">
        <v>111001</v>
      </c>
      <c r="H624" s="4">
        <v>1</v>
      </c>
      <c r="I624" s="4">
        <f t="shared" si="8"/>
        <v>211</v>
      </c>
      <c r="J624" s="4">
        <f t="shared" si="9"/>
        <v>317</v>
      </c>
      <c r="K624" s="4" t="s">
        <v>1052</v>
      </c>
    </row>
    <row r="625" spans="1:11" s="4" customFormat="1">
      <c r="A625" s="4">
        <v>111265</v>
      </c>
      <c r="B625" s="4">
        <v>1</v>
      </c>
      <c r="C625" s="4">
        <v>1</v>
      </c>
      <c r="D625" s="4">
        <v>0</v>
      </c>
      <c r="E625" s="4">
        <v>0</v>
      </c>
      <c r="F625" s="4">
        <v>1</v>
      </c>
      <c r="G625" s="4">
        <v>111001</v>
      </c>
      <c r="H625" s="4">
        <v>1</v>
      </c>
      <c r="I625" s="4">
        <f t="shared" si="8"/>
        <v>212</v>
      </c>
      <c r="J625" s="4">
        <f t="shared" si="9"/>
        <v>318</v>
      </c>
      <c r="K625" s="4" t="s">
        <v>1053</v>
      </c>
    </row>
    <row r="626" spans="1:11" s="4" customFormat="1">
      <c r="A626" s="4">
        <v>111266</v>
      </c>
      <c r="B626" s="4">
        <v>1</v>
      </c>
      <c r="C626" s="4">
        <v>1</v>
      </c>
      <c r="D626" s="4">
        <v>0</v>
      </c>
      <c r="E626" s="4">
        <v>0</v>
      </c>
      <c r="F626" s="4">
        <v>1</v>
      </c>
      <c r="G626" s="4">
        <v>111001</v>
      </c>
      <c r="H626" s="4">
        <v>1</v>
      </c>
      <c r="I626" s="4">
        <f t="shared" si="8"/>
        <v>213</v>
      </c>
      <c r="J626" s="4">
        <f t="shared" si="9"/>
        <v>319</v>
      </c>
      <c r="K626" s="4" t="s">
        <v>1054</v>
      </c>
    </row>
    <row r="627" spans="1:11" s="4" customFormat="1">
      <c r="A627" s="4">
        <v>111267</v>
      </c>
      <c r="B627" s="4">
        <v>1</v>
      </c>
      <c r="C627" s="4">
        <v>1</v>
      </c>
      <c r="D627" s="4">
        <v>0</v>
      </c>
      <c r="E627" s="4">
        <v>0</v>
      </c>
      <c r="F627" s="4">
        <v>1</v>
      </c>
      <c r="G627" s="4">
        <v>111001</v>
      </c>
      <c r="H627" s="4">
        <v>1</v>
      </c>
      <c r="I627" s="4">
        <f t="shared" si="8"/>
        <v>214</v>
      </c>
      <c r="J627" s="4">
        <f t="shared" si="9"/>
        <v>320</v>
      </c>
      <c r="K627" s="4" t="s">
        <v>1055</v>
      </c>
    </row>
    <row r="628" spans="1:11" s="4" customFormat="1">
      <c r="A628" s="4">
        <v>111268</v>
      </c>
      <c r="B628" s="4">
        <v>1</v>
      </c>
      <c r="C628" s="4">
        <v>1</v>
      </c>
      <c r="D628" s="4">
        <v>0</v>
      </c>
      <c r="E628" s="4">
        <v>0</v>
      </c>
      <c r="F628" s="4">
        <v>1</v>
      </c>
      <c r="G628" s="4">
        <v>111001</v>
      </c>
      <c r="H628" s="4">
        <v>1</v>
      </c>
      <c r="I628" s="4">
        <f t="shared" si="8"/>
        <v>214</v>
      </c>
      <c r="J628" s="4">
        <f t="shared" si="9"/>
        <v>322</v>
      </c>
      <c r="K628" s="4" t="s">
        <v>1056</v>
      </c>
    </row>
    <row r="629" spans="1:11" s="4" customFormat="1">
      <c r="A629" s="4">
        <v>111269</v>
      </c>
      <c r="B629" s="4">
        <v>1</v>
      </c>
      <c r="C629" s="4">
        <v>1</v>
      </c>
      <c r="D629" s="4">
        <v>0</v>
      </c>
      <c r="E629" s="4">
        <v>0</v>
      </c>
      <c r="F629" s="4">
        <v>1</v>
      </c>
      <c r="G629" s="4">
        <v>111001</v>
      </c>
      <c r="H629" s="4">
        <v>1</v>
      </c>
      <c r="I629" s="4">
        <f t="shared" si="8"/>
        <v>215</v>
      </c>
      <c r="J629" s="4">
        <f t="shared" si="9"/>
        <v>323</v>
      </c>
      <c r="K629" s="4" t="s">
        <v>1057</v>
      </c>
    </row>
    <row r="630" spans="1:11" s="4" customFormat="1">
      <c r="A630" s="4">
        <v>111270</v>
      </c>
      <c r="B630" s="4">
        <v>1</v>
      </c>
      <c r="C630" s="4">
        <v>1</v>
      </c>
      <c r="D630" s="4">
        <v>0</v>
      </c>
      <c r="E630" s="4">
        <v>0</v>
      </c>
      <c r="F630" s="4">
        <v>1</v>
      </c>
      <c r="G630" s="4">
        <v>111001</v>
      </c>
      <c r="H630" s="4">
        <v>1</v>
      </c>
      <c r="I630" s="4">
        <f t="shared" si="8"/>
        <v>216</v>
      </c>
      <c r="J630" s="4">
        <f t="shared" si="9"/>
        <v>324</v>
      </c>
      <c r="K630" s="4" t="s">
        <v>1058</v>
      </c>
    </row>
    <row r="631" spans="1:11" s="4" customFormat="1">
      <c r="A631" s="4">
        <v>111271</v>
      </c>
      <c r="B631" s="4">
        <v>1</v>
      </c>
      <c r="C631" s="4">
        <v>1</v>
      </c>
      <c r="D631" s="4">
        <v>0</v>
      </c>
      <c r="E631" s="4">
        <v>0</v>
      </c>
      <c r="F631" s="4">
        <v>1</v>
      </c>
      <c r="G631" s="4">
        <v>111001</v>
      </c>
      <c r="H631" s="4">
        <v>1</v>
      </c>
      <c r="I631" s="4">
        <f t="shared" si="8"/>
        <v>217</v>
      </c>
      <c r="J631" s="4">
        <f t="shared" si="9"/>
        <v>325</v>
      </c>
      <c r="K631" s="4" t="s">
        <v>1059</v>
      </c>
    </row>
    <row r="632" spans="1:11" s="4" customFormat="1">
      <c r="A632" s="4">
        <v>111272</v>
      </c>
      <c r="B632" s="4">
        <v>1</v>
      </c>
      <c r="C632" s="4">
        <v>1</v>
      </c>
      <c r="D632" s="4">
        <v>0</v>
      </c>
      <c r="E632" s="4">
        <v>0</v>
      </c>
      <c r="F632" s="4">
        <v>1</v>
      </c>
      <c r="G632" s="4">
        <v>111001</v>
      </c>
      <c r="H632" s="4">
        <v>1</v>
      </c>
      <c r="I632" s="4">
        <f t="shared" si="8"/>
        <v>218</v>
      </c>
      <c r="J632" s="4">
        <f t="shared" si="9"/>
        <v>326</v>
      </c>
      <c r="K632" s="4" t="s">
        <v>1060</v>
      </c>
    </row>
    <row r="633" spans="1:11" s="4" customFormat="1">
      <c r="A633" s="4">
        <v>111273</v>
      </c>
      <c r="B633" s="4">
        <v>1</v>
      </c>
      <c r="C633" s="4">
        <v>1</v>
      </c>
      <c r="D633" s="4">
        <v>0</v>
      </c>
      <c r="E633" s="4">
        <v>0</v>
      </c>
      <c r="F633" s="4">
        <v>1</v>
      </c>
      <c r="G633" s="4">
        <v>111001</v>
      </c>
      <c r="H633" s="4">
        <v>1</v>
      </c>
      <c r="I633" s="4">
        <f t="shared" si="8"/>
        <v>218</v>
      </c>
      <c r="J633" s="4">
        <f t="shared" si="9"/>
        <v>328</v>
      </c>
      <c r="K633" s="4" t="s">
        <v>1061</v>
      </c>
    </row>
    <row r="634" spans="1:11" s="4" customFormat="1">
      <c r="A634" s="4">
        <v>111274</v>
      </c>
      <c r="B634" s="4">
        <v>1</v>
      </c>
      <c r="C634" s="4">
        <v>1</v>
      </c>
      <c r="D634" s="4">
        <v>0</v>
      </c>
      <c r="E634" s="4">
        <v>0</v>
      </c>
      <c r="F634" s="4">
        <v>1</v>
      </c>
      <c r="G634" s="4">
        <v>111001</v>
      </c>
      <c r="H634" s="4">
        <v>1</v>
      </c>
      <c r="I634" s="4">
        <f t="shared" si="8"/>
        <v>219</v>
      </c>
      <c r="J634" s="4">
        <f t="shared" si="9"/>
        <v>329</v>
      </c>
      <c r="K634" s="4" t="s">
        <v>1062</v>
      </c>
    </row>
    <row r="635" spans="1:11" s="4" customFormat="1">
      <c r="A635" s="4">
        <v>111275</v>
      </c>
      <c r="B635" s="4">
        <v>1</v>
      </c>
      <c r="C635" s="4">
        <v>1</v>
      </c>
      <c r="D635" s="4">
        <v>0</v>
      </c>
      <c r="E635" s="4">
        <v>0</v>
      </c>
      <c r="F635" s="4">
        <v>1</v>
      </c>
      <c r="G635" s="4">
        <v>111001</v>
      </c>
      <c r="H635" s="4">
        <v>1</v>
      </c>
      <c r="I635" s="4">
        <f t="shared" si="8"/>
        <v>220</v>
      </c>
      <c r="J635" s="4">
        <f t="shared" si="9"/>
        <v>330</v>
      </c>
      <c r="K635" s="4" t="s">
        <v>1063</v>
      </c>
    </row>
    <row r="636" spans="1:11" s="4" customFormat="1">
      <c r="A636" s="4">
        <v>111276</v>
      </c>
      <c r="B636" s="4">
        <v>1</v>
      </c>
      <c r="C636" s="4">
        <v>1</v>
      </c>
      <c r="D636" s="4">
        <v>0</v>
      </c>
      <c r="E636" s="4">
        <v>0</v>
      </c>
      <c r="F636" s="4">
        <v>1</v>
      </c>
      <c r="G636" s="4">
        <v>111001</v>
      </c>
      <c r="H636" s="4">
        <v>1</v>
      </c>
      <c r="I636" s="4">
        <f t="shared" si="8"/>
        <v>221</v>
      </c>
      <c r="J636" s="4">
        <f t="shared" si="9"/>
        <v>331</v>
      </c>
      <c r="K636" s="4" t="s">
        <v>1064</v>
      </c>
    </row>
    <row r="637" spans="1:11" s="4" customFormat="1">
      <c r="A637" s="4">
        <v>111277</v>
      </c>
      <c r="B637" s="4">
        <v>1</v>
      </c>
      <c r="C637" s="4">
        <v>1</v>
      </c>
      <c r="D637" s="4">
        <v>0</v>
      </c>
      <c r="E637" s="4">
        <v>0</v>
      </c>
      <c r="F637" s="4">
        <v>1</v>
      </c>
      <c r="G637" s="4">
        <v>111001</v>
      </c>
      <c r="H637" s="4">
        <v>1</v>
      </c>
      <c r="I637" s="4">
        <f t="shared" si="8"/>
        <v>222</v>
      </c>
      <c r="J637" s="4">
        <f t="shared" si="9"/>
        <v>332</v>
      </c>
      <c r="K637" s="4" t="s">
        <v>1065</v>
      </c>
    </row>
    <row r="638" spans="1:11" s="4" customFormat="1">
      <c r="A638" s="4">
        <v>111278</v>
      </c>
      <c r="B638" s="4">
        <v>1</v>
      </c>
      <c r="C638" s="4">
        <v>1</v>
      </c>
      <c r="D638" s="4">
        <v>0</v>
      </c>
      <c r="E638" s="4">
        <v>0</v>
      </c>
      <c r="F638" s="4">
        <v>1</v>
      </c>
      <c r="G638" s="4">
        <v>111001</v>
      </c>
      <c r="H638" s="4">
        <v>1</v>
      </c>
      <c r="I638" s="4">
        <f t="shared" si="8"/>
        <v>222</v>
      </c>
      <c r="J638" s="4">
        <f t="shared" si="9"/>
        <v>334</v>
      </c>
      <c r="K638" s="4" t="s">
        <v>1066</v>
      </c>
    </row>
    <row r="639" spans="1:11" s="4" customFormat="1">
      <c r="A639" s="4">
        <v>111279</v>
      </c>
      <c r="B639" s="4">
        <v>1</v>
      </c>
      <c r="C639" s="4">
        <v>1</v>
      </c>
      <c r="D639" s="4">
        <v>0</v>
      </c>
      <c r="E639" s="4">
        <v>0</v>
      </c>
      <c r="F639" s="4">
        <v>1</v>
      </c>
      <c r="G639" s="4">
        <v>111001</v>
      </c>
      <c r="H639" s="4">
        <v>1</v>
      </c>
      <c r="I639" s="4">
        <f t="shared" si="8"/>
        <v>223</v>
      </c>
      <c r="J639" s="4">
        <f t="shared" si="9"/>
        <v>335</v>
      </c>
      <c r="K639" s="4" t="s">
        <v>1067</v>
      </c>
    </row>
    <row r="640" spans="1:11" s="4" customFormat="1">
      <c r="A640" s="4">
        <v>111280</v>
      </c>
      <c r="B640" s="4">
        <v>1</v>
      </c>
      <c r="C640" s="4">
        <v>1</v>
      </c>
      <c r="D640" s="4">
        <v>0</v>
      </c>
      <c r="E640" s="4">
        <v>0</v>
      </c>
      <c r="F640" s="4">
        <v>1</v>
      </c>
      <c r="G640" s="4">
        <v>111001</v>
      </c>
      <c r="H640" s="4">
        <v>1</v>
      </c>
      <c r="I640" s="4">
        <f t="shared" si="8"/>
        <v>224</v>
      </c>
      <c r="J640" s="4">
        <f t="shared" si="9"/>
        <v>336</v>
      </c>
      <c r="K640" s="4" t="s">
        <v>1068</v>
      </c>
    </row>
    <row r="641" spans="1:11" s="4" customFormat="1">
      <c r="A641" s="4">
        <v>111281</v>
      </c>
      <c r="B641" s="4">
        <v>1</v>
      </c>
      <c r="C641" s="4">
        <v>1</v>
      </c>
      <c r="D641" s="4">
        <v>0</v>
      </c>
      <c r="E641" s="4">
        <v>0</v>
      </c>
      <c r="F641" s="4">
        <v>1</v>
      </c>
      <c r="G641" s="4">
        <v>111001</v>
      </c>
      <c r="H641" s="4">
        <v>1</v>
      </c>
      <c r="I641" s="4">
        <f t="shared" si="8"/>
        <v>225</v>
      </c>
      <c r="J641" s="4">
        <f t="shared" si="9"/>
        <v>337</v>
      </c>
      <c r="K641" s="4" t="s">
        <v>1069</v>
      </c>
    </row>
    <row r="642" spans="1:11" s="4" customFormat="1">
      <c r="A642" s="4">
        <v>111282</v>
      </c>
      <c r="B642" s="4">
        <v>1</v>
      </c>
      <c r="C642" s="4">
        <v>1</v>
      </c>
      <c r="D642" s="4">
        <v>0</v>
      </c>
      <c r="E642" s="4">
        <v>0</v>
      </c>
      <c r="F642" s="4">
        <v>1</v>
      </c>
      <c r="G642" s="4">
        <v>111001</v>
      </c>
      <c r="H642" s="4">
        <v>1</v>
      </c>
      <c r="I642" s="4">
        <f t="shared" si="8"/>
        <v>226</v>
      </c>
      <c r="J642" s="4">
        <f t="shared" si="9"/>
        <v>338</v>
      </c>
      <c r="K642" s="4" t="s">
        <v>1070</v>
      </c>
    </row>
    <row r="643" spans="1:11" s="4" customFormat="1">
      <c r="A643" s="4">
        <v>111283</v>
      </c>
      <c r="B643" s="4">
        <v>1</v>
      </c>
      <c r="C643" s="4">
        <v>1</v>
      </c>
      <c r="D643" s="4">
        <v>0</v>
      </c>
      <c r="E643" s="4">
        <v>0</v>
      </c>
      <c r="F643" s="4">
        <v>1</v>
      </c>
      <c r="G643" s="4">
        <v>111001</v>
      </c>
      <c r="H643" s="4">
        <v>1</v>
      </c>
      <c r="I643" s="4">
        <f t="shared" si="8"/>
        <v>226</v>
      </c>
      <c r="J643" s="4">
        <f t="shared" si="9"/>
        <v>340</v>
      </c>
      <c r="K643" s="4" t="s">
        <v>1071</v>
      </c>
    </row>
    <row r="644" spans="1:11" s="4" customFormat="1">
      <c r="A644" s="4">
        <v>111284</v>
      </c>
      <c r="B644" s="4">
        <v>1</v>
      </c>
      <c r="C644" s="4">
        <v>1</v>
      </c>
      <c r="D644" s="4">
        <v>0</v>
      </c>
      <c r="E644" s="4">
        <v>0</v>
      </c>
      <c r="F644" s="4">
        <v>1</v>
      </c>
      <c r="G644" s="4">
        <v>111001</v>
      </c>
      <c r="H644" s="4">
        <v>1</v>
      </c>
      <c r="I644" s="4">
        <f t="shared" si="8"/>
        <v>227</v>
      </c>
      <c r="J644" s="4">
        <f t="shared" si="9"/>
        <v>341</v>
      </c>
      <c r="K644" s="4" t="s">
        <v>1072</v>
      </c>
    </row>
    <row r="645" spans="1:11" s="4" customFormat="1">
      <c r="A645" s="4">
        <v>111285</v>
      </c>
      <c r="B645" s="4">
        <v>1</v>
      </c>
      <c r="C645" s="4">
        <v>1</v>
      </c>
      <c r="D645" s="4">
        <v>0</v>
      </c>
      <c r="E645" s="4">
        <v>0</v>
      </c>
      <c r="F645" s="4">
        <v>1</v>
      </c>
      <c r="G645" s="4">
        <v>111001</v>
      </c>
      <c r="H645" s="4">
        <v>1</v>
      </c>
      <c r="I645" s="4">
        <f t="shared" si="8"/>
        <v>228</v>
      </c>
      <c r="J645" s="4">
        <f t="shared" si="9"/>
        <v>342</v>
      </c>
      <c r="K645" s="4" t="s">
        <v>1073</v>
      </c>
    </row>
    <row r="646" spans="1:11" s="4" customFormat="1">
      <c r="A646" s="4">
        <v>111286</v>
      </c>
      <c r="B646" s="4">
        <v>1</v>
      </c>
      <c r="C646" s="4">
        <v>1</v>
      </c>
      <c r="D646" s="4">
        <v>0</v>
      </c>
      <c r="E646" s="4">
        <v>0</v>
      </c>
      <c r="F646" s="4">
        <v>1</v>
      </c>
      <c r="G646" s="4">
        <v>111001</v>
      </c>
      <c r="H646" s="4">
        <v>1</v>
      </c>
      <c r="I646" s="4">
        <f t="shared" si="8"/>
        <v>229</v>
      </c>
      <c r="J646" s="4">
        <f t="shared" si="9"/>
        <v>343</v>
      </c>
      <c r="K646" s="4" t="s">
        <v>1074</v>
      </c>
    </row>
    <row r="647" spans="1:11" s="4" customFormat="1">
      <c r="A647" s="4">
        <v>111287</v>
      </c>
      <c r="B647" s="4">
        <v>1</v>
      </c>
      <c r="C647" s="4">
        <v>1</v>
      </c>
      <c r="D647" s="4">
        <v>0</v>
      </c>
      <c r="E647" s="4">
        <v>0</v>
      </c>
      <c r="F647" s="4">
        <v>1</v>
      </c>
      <c r="G647" s="4">
        <v>111001</v>
      </c>
      <c r="H647" s="4">
        <v>1</v>
      </c>
      <c r="I647" s="4">
        <f t="shared" si="8"/>
        <v>230</v>
      </c>
      <c r="J647" s="4">
        <f t="shared" si="9"/>
        <v>344</v>
      </c>
      <c r="K647" s="4" t="s">
        <v>1075</v>
      </c>
    </row>
    <row r="648" spans="1:11" s="4" customFormat="1">
      <c r="A648" s="4">
        <v>111288</v>
      </c>
      <c r="B648" s="4">
        <v>1</v>
      </c>
      <c r="C648" s="4">
        <v>1</v>
      </c>
      <c r="D648" s="4">
        <v>0</v>
      </c>
      <c r="E648" s="4">
        <v>0</v>
      </c>
      <c r="F648" s="4">
        <v>1</v>
      </c>
      <c r="G648" s="4">
        <v>111001</v>
      </c>
      <c r="H648" s="4">
        <v>1</v>
      </c>
      <c r="I648" s="4">
        <f t="shared" si="8"/>
        <v>230</v>
      </c>
      <c r="J648" s="4">
        <f t="shared" si="9"/>
        <v>346</v>
      </c>
      <c r="K648" s="4" t="s">
        <v>1076</v>
      </c>
    </row>
    <row r="649" spans="1:11" s="4" customFormat="1">
      <c r="A649" s="4">
        <v>111289</v>
      </c>
      <c r="B649" s="4">
        <v>1</v>
      </c>
      <c r="C649" s="4">
        <v>1</v>
      </c>
      <c r="D649" s="4">
        <v>0</v>
      </c>
      <c r="E649" s="4">
        <v>0</v>
      </c>
      <c r="F649" s="4">
        <v>1</v>
      </c>
      <c r="G649" s="4">
        <v>111001</v>
      </c>
      <c r="H649" s="4">
        <v>1</v>
      </c>
      <c r="I649" s="4">
        <f t="shared" si="8"/>
        <v>231</v>
      </c>
      <c r="J649" s="4">
        <f t="shared" si="9"/>
        <v>347</v>
      </c>
      <c r="K649" s="4" t="s">
        <v>1077</v>
      </c>
    </row>
    <row r="650" spans="1:11" s="4" customFormat="1">
      <c r="A650" s="4">
        <v>111290</v>
      </c>
      <c r="B650" s="4">
        <v>1</v>
      </c>
      <c r="C650" s="4">
        <v>1</v>
      </c>
      <c r="D650" s="4">
        <v>0</v>
      </c>
      <c r="E650" s="4">
        <v>0</v>
      </c>
      <c r="F650" s="4">
        <v>1</v>
      </c>
      <c r="G650" s="4">
        <v>111001</v>
      </c>
      <c r="H650" s="4">
        <v>1</v>
      </c>
      <c r="I650" s="4">
        <f t="shared" si="8"/>
        <v>232</v>
      </c>
      <c r="J650" s="4">
        <f t="shared" si="9"/>
        <v>348</v>
      </c>
      <c r="K650" s="4" t="s">
        <v>1078</v>
      </c>
    </row>
    <row r="651" spans="1:11" s="4" customFormat="1">
      <c r="A651" s="4">
        <v>111291</v>
      </c>
      <c r="B651" s="4">
        <v>1</v>
      </c>
      <c r="C651" s="4">
        <v>1</v>
      </c>
      <c r="D651" s="4">
        <v>0</v>
      </c>
      <c r="E651" s="4">
        <v>0</v>
      </c>
      <c r="F651" s="4">
        <v>1</v>
      </c>
      <c r="G651" s="4">
        <v>111001</v>
      </c>
      <c r="H651" s="4">
        <v>1</v>
      </c>
      <c r="I651" s="4">
        <f t="shared" si="8"/>
        <v>233</v>
      </c>
      <c r="J651" s="4">
        <f t="shared" si="9"/>
        <v>349</v>
      </c>
      <c r="K651" s="4" t="s">
        <v>1079</v>
      </c>
    </row>
    <row r="652" spans="1:11" s="4" customFormat="1">
      <c r="A652" s="4">
        <v>111292</v>
      </c>
      <c r="B652" s="4">
        <v>1</v>
      </c>
      <c r="C652" s="4">
        <v>1</v>
      </c>
      <c r="D652" s="4">
        <v>0</v>
      </c>
      <c r="E652" s="4">
        <v>0</v>
      </c>
      <c r="F652" s="4">
        <v>1</v>
      </c>
      <c r="G652" s="4">
        <v>111001</v>
      </c>
      <c r="H652" s="4">
        <v>1</v>
      </c>
      <c r="I652" s="4">
        <f t="shared" si="8"/>
        <v>234</v>
      </c>
      <c r="J652" s="4">
        <f t="shared" si="9"/>
        <v>350</v>
      </c>
      <c r="K652" s="4" t="s">
        <v>1080</v>
      </c>
    </row>
    <row r="653" spans="1:11" s="4" customFormat="1">
      <c r="A653" s="4">
        <v>111293</v>
      </c>
      <c r="B653" s="4">
        <v>1</v>
      </c>
      <c r="C653" s="4">
        <v>1</v>
      </c>
      <c r="D653" s="4">
        <v>0</v>
      </c>
      <c r="E653" s="4">
        <v>0</v>
      </c>
      <c r="F653" s="4">
        <v>1</v>
      </c>
      <c r="G653" s="4">
        <v>111001</v>
      </c>
      <c r="H653" s="4">
        <v>1</v>
      </c>
      <c r="I653" s="4">
        <f t="shared" si="8"/>
        <v>234</v>
      </c>
      <c r="J653" s="4">
        <f t="shared" si="9"/>
        <v>352</v>
      </c>
      <c r="K653" s="4" t="s">
        <v>1081</v>
      </c>
    </row>
    <row r="654" spans="1:11" s="4" customFormat="1">
      <c r="A654" s="4">
        <v>111294</v>
      </c>
      <c r="B654" s="4">
        <v>1</v>
      </c>
      <c r="C654" s="4">
        <v>1</v>
      </c>
      <c r="D654" s="4">
        <v>0</v>
      </c>
      <c r="E654" s="4">
        <v>0</v>
      </c>
      <c r="F654" s="4">
        <v>1</v>
      </c>
      <c r="G654" s="4">
        <v>111001</v>
      </c>
      <c r="H654" s="4">
        <v>1</v>
      </c>
      <c r="I654" s="4">
        <f t="shared" si="8"/>
        <v>235</v>
      </c>
      <c r="J654" s="4">
        <f t="shared" si="9"/>
        <v>353</v>
      </c>
      <c r="K654" s="4" t="s">
        <v>1082</v>
      </c>
    </row>
    <row r="655" spans="1:11" s="4" customFormat="1">
      <c r="A655" s="4">
        <v>111295</v>
      </c>
      <c r="B655" s="4">
        <v>1</v>
      </c>
      <c r="C655" s="4">
        <v>1</v>
      </c>
      <c r="D655" s="4">
        <v>0</v>
      </c>
      <c r="E655" s="4">
        <v>0</v>
      </c>
      <c r="F655" s="4">
        <v>1</v>
      </c>
      <c r="G655" s="4">
        <v>111001</v>
      </c>
      <c r="H655" s="4">
        <v>1</v>
      </c>
      <c r="I655" s="4">
        <f t="shared" si="8"/>
        <v>236</v>
      </c>
      <c r="J655" s="4">
        <f t="shared" si="9"/>
        <v>354</v>
      </c>
      <c r="K655" s="4" t="s">
        <v>1083</v>
      </c>
    </row>
    <row r="656" spans="1:11" s="4" customFormat="1">
      <c r="A656" s="4">
        <v>111296</v>
      </c>
      <c r="B656" s="4">
        <v>1</v>
      </c>
      <c r="C656" s="4">
        <v>1</v>
      </c>
      <c r="D656" s="4">
        <v>0</v>
      </c>
      <c r="E656" s="4">
        <v>0</v>
      </c>
      <c r="F656" s="4">
        <v>1</v>
      </c>
      <c r="G656" s="4">
        <v>111001</v>
      </c>
      <c r="H656" s="4">
        <v>1</v>
      </c>
      <c r="I656" s="4">
        <f t="shared" si="8"/>
        <v>237</v>
      </c>
      <c r="J656" s="4">
        <f t="shared" si="9"/>
        <v>355</v>
      </c>
      <c r="K656" s="4" t="s">
        <v>1084</v>
      </c>
    </row>
    <row r="657" spans="1:11" s="4" customFormat="1">
      <c r="A657" s="4">
        <v>111297</v>
      </c>
      <c r="B657" s="4">
        <v>1</v>
      </c>
      <c r="C657" s="4">
        <v>1</v>
      </c>
      <c r="D657" s="4">
        <v>0</v>
      </c>
      <c r="E657" s="4">
        <v>0</v>
      </c>
      <c r="F657" s="4">
        <v>1</v>
      </c>
      <c r="G657" s="4">
        <v>111001</v>
      </c>
      <c r="H657" s="4">
        <v>1</v>
      </c>
      <c r="I657" s="4">
        <f t="shared" si="8"/>
        <v>238</v>
      </c>
      <c r="J657" s="4">
        <f t="shared" si="9"/>
        <v>356</v>
      </c>
      <c r="K657" s="4" t="s">
        <v>1085</v>
      </c>
    </row>
    <row r="658" spans="1:11" s="4" customFormat="1">
      <c r="A658" s="4">
        <v>111298</v>
      </c>
      <c r="B658" s="4">
        <v>1</v>
      </c>
      <c r="C658" s="4">
        <v>1</v>
      </c>
      <c r="D658" s="4">
        <v>0</v>
      </c>
      <c r="E658" s="4">
        <v>0</v>
      </c>
      <c r="F658" s="4">
        <v>1</v>
      </c>
      <c r="G658" s="4">
        <v>111001</v>
      </c>
      <c r="H658" s="4">
        <v>1</v>
      </c>
      <c r="I658" s="4">
        <f t="shared" si="8"/>
        <v>238</v>
      </c>
      <c r="J658" s="4">
        <f t="shared" si="9"/>
        <v>358</v>
      </c>
      <c r="K658" s="4" t="s">
        <v>1086</v>
      </c>
    </row>
    <row r="659" spans="1:11" s="4" customFormat="1">
      <c r="A659" s="4">
        <v>111299</v>
      </c>
      <c r="B659" s="4">
        <v>1</v>
      </c>
      <c r="C659" s="4">
        <v>1</v>
      </c>
      <c r="D659" s="4">
        <v>0</v>
      </c>
      <c r="E659" s="4">
        <v>0</v>
      </c>
      <c r="F659" s="4">
        <v>1</v>
      </c>
      <c r="G659" s="4">
        <v>111001</v>
      </c>
      <c r="H659" s="4">
        <v>1</v>
      </c>
      <c r="I659" s="4">
        <f t="shared" si="8"/>
        <v>239</v>
      </c>
      <c r="J659" s="4">
        <f t="shared" si="9"/>
        <v>359</v>
      </c>
      <c r="K659" s="4" t="s">
        <v>1087</v>
      </c>
    </row>
    <row r="660" spans="1:11" s="4" customFormat="1">
      <c r="A660" s="4">
        <v>111300</v>
      </c>
      <c r="B660" s="4">
        <v>1</v>
      </c>
      <c r="C660" s="4">
        <v>1</v>
      </c>
      <c r="D660" s="4">
        <v>0</v>
      </c>
      <c r="E660" s="4">
        <v>0</v>
      </c>
      <c r="F660" s="4">
        <v>1</v>
      </c>
      <c r="G660" s="4">
        <v>111001</v>
      </c>
      <c r="H660" s="4">
        <v>1</v>
      </c>
      <c r="I660" s="4">
        <f t="shared" si="8"/>
        <v>240</v>
      </c>
      <c r="J660" s="4">
        <f t="shared" si="9"/>
        <v>360</v>
      </c>
      <c r="K660" s="4" t="s">
        <v>1088</v>
      </c>
    </row>
    <row r="661" spans="1:11" s="4" customFormat="1">
      <c r="A661" s="4">
        <v>111301</v>
      </c>
      <c r="B661" s="4">
        <v>1</v>
      </c>
      <c r="C661" s="4">
        <v>1</v>
      </c>
      <c r="D661" s="4">
        <v>0</v>
      </c>
      <c r="E661" s="4">
        <v>0</v>
      </c>
      <c r="F661" s="4">
        <v>1</v>
      </c>
      <c r="G661" s="4">
        <v>111001</v>
      </c>
      <c r="H661" s="4">
        <v>1</v>
      </c>
      <c r="I661" s="4">
        <f t="shared" si="8"/>
        <v>241</v>
      </c>
      <c r="J661" s="4">
        <f t="shared" si="9"/>
        <v>361</v>
      </c>
      <c r="K661" s="4" t="s">
        <v>1089</v>
      </c>
    </row>
    <row r="662" spans="1:11" s="4" customFormat="1">
      <c r="A662" s="4">
        <v>111302</v>
      </c>
      <c r="B662" s="4">
        <v>1</v>
      </c>
      <c r="C662" s="4">
        <v>1</v>
      </c>
      <c r="D662" s="4">
        <v>0</v>
      </c>
      <c r="E662" s="4">
        <v>0</v>
      </c>
      <c r="F662" s="4">
        <v>1</v>
      </c>
      <c r="G662" s="4">
        <v>111001</v>
      </c>
      <c r="H662" s="4">
        <v>1</v>
      </c>
      <c r="I662" s="4">
        <f t="shared" si="8"/>
        <v>242</v>
      </c>
      <c r="J662" s="4">
        <f t="shared" si="9"/>
        <v>362</v>
      </c>
      <c r="K662" s="4" t="s">
        <v>1090</v>
      </c>
    </row>
    <row r="663" spans="1:11" s="4" customFormat="1">
      <c r="A663" s="4">
        <v>111303</v>
      </c>
      <c r="B663" s="4">
        <v>1</v>
      </c>
      <c r="C663" s="4">
        <v>1</v>
      </c>
      <c r="D663" s="4">
        <v>0</v>
      </c>
      <c r="E663" s="4">
        <v>0</v>
      </c>
      <c r="F663" s="4">
        <v>1</v>
      </c>
      <c r="G663" s="4">
        <v>111001</v>
      </c>
      <c r="H663" s="4">
        <v>1</v>
      </c>
      <c r="I663" s="4">
        <f t="shared" si="8"/>
        <v>242</v>
      </c>
      <c r="J663" s="4">
        <f t="shared" si="9"/>
        <v>364</v>
      </c>
      <c r="K663" s="4" t="s">
        <v>1091</v>
      </c>
    </row>
    <row r="664" spans="1:11" s="4" customFormat="1">
      <c r="A664" s="4">
        <v>111304</v>
      </c>
      <c r="B664" s="4">
        <v>1</v>
      </c>
      <c r="C664" s="4">
        <v>1</v>
      </c>
      <c r="D664" s="4">
        <v>0</v>
      </c>
      <c r="E664" s="4">
        <v>0</v>
      </c>
      <c r="F664" s="4">
        <v>1</v>
      </c>
      <c r="G664" s="4">
        <v>111001</v>
      </c>
      <c r="H664" s="4">
        <v>1</v>
      </c>
      <c r="I664" s="4">
        <f t="shared" si="8"/>
        <v>243</v>
      </c>
      <c r="J664" s="4">
        <f t="shared" si="9"/>
        <v>365</v>
      </c>
      <c r="K664" s="4" t="s">
        <v>1092</v>
      </c>
    </row>
    <row r="665" spans="1:11" s="4" customFormat="1">
      <c r="A665" s="4">
        <v>111305</v>
      </c>
      <c r="B665" s="4">
        <v>1</v>
      </c>
      <c r="C665" s="4">
        <v>1</v>
      </c>
      <c r="D665" s="4">
        <v>0</v>
      </c>
      <c r="E665" s="4">
        <v>0</v>
      </c>
      <c r="F665" s="4">
        <v>1</v>
      </c>
      <c r="G665" s="4">
        <v>111001</v>
      </c>
      <c r="H665" s="4">
        <v>1</v>
      </c>
      <c r="I665" s="4">
        <f t="shared" si="8"/>
        <v>244</v>
      </c>
      <c r="J665" s="4">
        <f t="shared" si="9"/>
        <v>366</v>
      </c>
      <c r="K665" s="4" t="s">
        <v>1093</v>
      </c>
    </row>
    <row r="666" spans="1:11" s="4" customFormat="1">
      <c r="A666" s="4">
        <v>111306</v>
      </c>
      <c r="B666" s="4">
        <v>1</v>
      </c>
      <c r="C666" s="4">
        <v>1</v>
      </c>
      <c r="D666" s="4">
        <v>0</v>
      </c>
      <c r="E666" s="4">
        <v>0</v>
      </c>
      <c r="F666" s="4">
        <v>1</v>
      </c>
      <c r="G666" s="4">
        <v>111001</v>
      </c>
      <c r="H666" s="4">
        <v>1</v>
      </c>
      <c r="I666" s="4">
        <f t="shared" si="8"/>
        <v>245</v>
      </c>
      <c r="J666" s="4">
        <f t="shared" si="9"/>
        <v>367</v>
      </c>
      <c r="K666" s="4" t="s">
        <v>1094</v>
      </c>
    </row>
    <row r="667" spans="1:11" s="4" customFormat="1">
      <c r="A667" s="4">
        <v>111307</v>
      </c>
      <c r="B667" s="4">
        <v>1</v>
      </c>
      <c r="C667" s="4">
        <v>1</v>
      </c>
      <c r="D667" s="4">
        <v>0</v>
      </c>
      <c r="E667" s="4">
        <v>0</v>
      </c>
      <c r="F667" s="4">
        <v>1</v>
      </c>
      <c r="G667" s="4">
        <v>111001</v>
      </c>
      <c r="H667" s="4">
        <v>1</v>
      </c>
      <c r="I667" s="4">
        <f t="shared" si="8"/>
        <v>246</v>
      </c>
      <c r="J667" s="4">
        <f t="shared" si="9"/>
        <v>368</v>
      </c>
      <c r="K667" s="4" t="s">
        <v>1095</v>
      </c>
    </row>
    <row r="668" spans="1:11" s="4" customFormat="1">
      <c r="A668" s="4">
        <v>111308</v>
      </c>
      <c r="B668" s="4">
        <v>1</v>
      </c>
      <c r="C668" s="4">
        <v>1</v>
      </c>
      <c r="D668" s="4">
        <v>0</v>
      </c>
      <c r="E668" s="4">
        <v>0</v>
      </c>
      <c r="F668" s="4">
        <v>1</v>
      </c>
      <c r="G668" s="4">
        <v>111001</v>
      </c>
      <c r="H668" s="4">
        <v>1</v>
      </c>
      <c r="I668" s="4">
        <f t="shared" si="8"/>
        <v>246</v>
      </c>
      <c r="J668" s="4">
        <f t="shared" si="9"/>
        <v>370</v>
      </c>
      <c r="K668" s="4" t="s">
        <v>1096</v>
      </c>
    </row>
    <row r="669" spans="1:11" s="4" customFormat="1">
      <c r="A669" s="4">
        <v>111309</v>
      </c>
      <c r="B669" s="4">
        <v>1</v>
      </c>
      <c r="C669" s="4">
        <v>1</v>
      </c>
      <c r="D669" s="4">
        <v>0</v>
      </c>
      <c r="E669" s="4">
        <v>0</v>
      </c>
      <c r="F669" s="4">
        <v>1</v>
      </c>
      <c r="G669" s="4">
        <v>111001</v>
      </c>
      <c r="H669" s="4">
        <v>1</v>
      </c>
      <c r="I669" s="4">
        <f t="shared" si="8"/>
        <v>247</v>
      </c>
      <c r="J669" s="4">
        <f t="shared" si="9"/>
        <v>371</v>
      </c>
      <c r="K669" s="4" t="s">
        <v>1097</v>
      </c>
    </row>
    <row r="670" spans="1:11" s="4" customFormat="1">
      <c r="A670" s="4">
        <v>111310</v>
      </c>
      <c r="B670" s="4">
        <v>1</v>
      </c>
      <c r="C670" s="4">
        <v>1</v>
      </c>
      <c r="D670" s="4">
        <v>0</v>
      </c>
      <c r="E670" s="4">
        <v>0</v>
      </c>
      <c r="F670" s="4">
        <v>1</v>
      </c>
      <c r="G670" s="4">
        <v>111001</v>
      </c>
      <c r="H670" s="4">
        <v>1</v>
      </c>
      <c r="I670" s="4">
        <f t="shared" si="8"/>
        <v>248</v>
      </c>
      <c r="J670" s="4">
        <f t="shared" si="9"/>
        <v>372</v>
      </c>
      <c r="K670" s="4" t="s">
        <v>1098</v>
      </c>
    </row>
    <row r="671" spans="1:11" s="4" customFormat="1">
      <c r="A671" s="4">
        <v>111311</v>
      </c>
      <c r="B671" s="4">
        <v>1</v>
      </c>
      <c r="C671" s="4">
        <v>1</v>
      </c>
      <c r="D671" s="4">
        <v>0</v>
      </c>
      <c r="E671" s="4">
        <v>0</v>
      </c>
      <c r="F671" s="4">
        <v>1</v>
      </c>
      <c r="G671" s="4">
        <v>111001</v>
      </c>
      <c r="H671" s="4">
        <v>1</v>
      </c>
      <c r="I671" s="4">
        <f t="shared" si="8"/>
        <v>249</v>
      </c>
      <c r="J671" s="4">
        <f t="shared" si="9"/>
        <v>373</v>
      </c>
      <c r="K671" s="4" t="s">
        <v>1099</v>
      </c>
    </row>
    <row r="672" spans="1:11" s="4" customFormat="1">
      <c r="A672" s="4">
        <v>111312</v>
      </c>
      <c r="B672" s="4">
        <v>1</v>
      </c>
      <c r="C672" s="4">
        <v>1</v>
      </c>
      <c r="D672" s="4">
        <v>0</v>
      </c>
      <c r="E672" s="4">
        <v>0</v>
      </c>
      <c r="F672" s="4">
        <v>1</v>
      </c>
      <c r="G672" s="4">
        <v>111001</v>
      </c>
      <c r="H672" s="4">
        <v>1</v>
      </c>
      <c r="I672" s="4">
        <f t="shared" si="8"/>
        <v>250</v>
      </c>
      <c r="J672" s="4">
        <f t="shared" si="9"/>
        <v>374</v>
      </c>
      <c r="K672" s="4" t="s">
        <v>1100</v>
      </c>
    </row>
    <row r="673" spans="1:11" s="4" customFormat="1">
      <c r="A673" s="4">
        <v>111313</v>
      </c>
      <c r="B673" s="4">
        <v>1</v>
      </c>
      <c r="C673" s="4">
        <v>1</v>
      </c>
      <c r="D673" s="4">
        <v>0</v>
      </c>
      <c r="E673" s="4">
        <v>0</v>
      </c>
      <c r="F673" s="4">
        <v>1</v>
      </c>
      <c r="G673" s="4">
        <v>111001</v>
      </c>
      <c r="H673" s="4">
        <v>1</v>
      </c>
      <c r="I673" s="4">
        <f t="shared" si="8"/>
        <v>250</v>
      </c>
      <c r="J673" s="4">
        <f t="shared" si="9"/>
        <v>376</v>
      </c>
      <c r="K673" s="4" t="s">
        <v>1101</v>
      </c>
    </row>
    <row r="674" spans="1:11" s="4" customFormat="1">
      <c r="A674" s="4">
        <v>111314</v>
      </c>
      <c r="B674" s="4">
        <v>1</v>
      </c>
      <c r="C674" s="4">
        <v>1</v>
      </c>
      <c r="D674" s="4">
        <v>0</v>
      </c>
      <c r="E674" s="4">
        <v>0</v>
      </c>
      <c r="F674" s="4">
        <v>1</v>
      </c>
      <c r="G674" s="4">
        <v>111001</v>
      </c>
      <c r="H674" s="4">
        <v>1</v>
      </c>
      <c r="I674" s="4">
        <f t="shared" si="8"/>
        <v>251</v>
      </c>
      <c r="J674" s="4">
        <f t="shared" si="9"/>
        <v>377</v>
      </c>
      <c r="K674" s="4" t="s">
        <v>1102</v>
      </c>
    </row>
    <row r="675" spans="1:11" s="4" customFormat="1">
      <c r="A675" s="4">
        <v>111315</v>
      </c>
      <c r="B675" s="4">
        <v>1</v>
      </c>
      <c r="C675" s="4">
        <v>1</v>
      </c>
      <c r="D675" s="4">
        <v>0</v>
      </c>
      <c r="E675" s="4">
        <v>0</v>
      </c>
      <c r="F675" s="4">
        <v>1</v>
      </c>
      <c r="G675" s="4">
        <v>111001</v>
      </c>
      <c r="H675" s="4">
        <v>1</v>
      </c>
      <c r="I675" s="4">
        <f t="shared" si="8"/>
        <v>252</v>
      </c>
      <c r="J675" s="4">
        <f t="shared" si="9"/>
        <v>378</v>
      </c>
      <c r="K675" s="4" t="s">
        <v>1103</v>
      </c>
    </row>
    <row r="676" spans="1:11" s="4" customFormat="1">
      <c r="A676" s="4">
        <v>111316</v>
      </c>
      <c r="B676" s="4">
        <v>1</v>
      </c>
      <c r="C676" s="4">
        <v>1</v>
      </c>
      <c r="D676" s="4">
        <v>0</v>
      </c>
      <c r="E676" s="4">
        <v>0</v>
      </c>
      <c r="F676" s="4">
        <v>1</v>
      </c>
      <c r="G676" s="4">
        <v>111001</v>
      </c>
      <c r="H676" s="4">
        <v>1</v>
      </c>
      <c r="I676" s="4">
        <f t="shared" si="8"/>
        <v>253</v>
      </c>
      <c r="J676" s="4">
        <f t="shared" si="9"/>
        <v>379</v>
      </c>
      <c r="K676" s="4" t="s">
        <v>1104</v>
      </c>
    </row>
    <row r="677" spans="1:11" s="4" customFormat="1">
      <c r="A677" s="4">
        <v>111317</v>
      </c>
      <c r="B677" s="4">
        <v>1</v>
      </c>
      <c r="C677" s="4">
        <v>1</v>
      </c>
      <c r="D677" s="4">
        <v>0</v>
      </c>
      <c r="E677" s="4">
        <v>0</v>
      </c>
      <c r="F677" s="4">
        <v>1</v>
      </c>
      <c r="G677" s="4">
        <v>111001</v>
      </c>
      <c r="H677" s="4">
        <v>1</v>
      </c>
      <c r="I677" s="4">
        <f t="shared" si="8"/>
        <v>254</v>
      </c>
      <c r="J677" s="4">
        <f t="shared" si="9"/>
        <v>380</v>
      </c>
      <c r="K677" s="4" t="s">
        <v>1105</v>
      </c>
    </row>
    <row r="678" spans="1:11" s="4" customFormat="1">
      <c r="A678" s="4">
        <v>111318</v>
      </c>
      <c r="B678" s="4">
        <v>1</v>
      </c>
      <c r="C678" s="4">
        <v>1</v>
      </c>
      <c r="D678" s="4">
        <v>0</v>
      </c>
      <c r="E678" s="4">
        <v>0</v>
      </c>
      <c r="F678" s="4">
        <v>1</v>
      </c>
      <c r="G678" s="4">
        <v>111001</v>
      </c>
      <c r="H678" s="4">
        <v>1</v>
      </c>
      <c r="I678" s="4">
        <f t="shared" si="8"/>
        <v>254</v>
      </c>
      <c r="J678" s="4">
        <f t="shared" si="9"/>
        <v>382</v>
      </c>
      <c r="K678" s="4" t="s">
        <v>1106</v>
      </c>
    </row>
    <row r="679" spans="1:11" s="4" customFormat="1">
      <c r="A679" s="4">
        <v>111319</v>
      </c>
      <c r="B679" s="4">
        <v>1</v>
      </c>
      <c r="C679" s="4">
        <v>1</v>
      </c>
      <c r="D679" s="4">
        <v>0</v>
      </c>
      <c r="E679" s="4">
        <v>0</v>
      </c>
      <c r="F679" s="4">
        <v>1</v>
      </c>
      <c r="G679" s="4">
        <v>111001</v>
      </c>
      <c r="H679" s="4">
        <v>1</v>
      </c>
      <c r="I679" s="4">
        <f t="shared" si="8"/>
        <v>255</v>
      </c>
      <c r="J679" s="4">
        <f t="shared" si="9"/>
        <v>383</v>
      </c>
      <c r="K679" s="4" t="s">
        <v>1107</v>
      </c>
    </row>
    <row r="680" spans="1:11" s="4" customFormat="1">
      <c r="A680" s="4">
        <v>111320</v>
      </c>
      <c r="B680" s="4">
        <v>1</v>
      </c>
      <c r="C680" s="4">
        <v>1</v>
      </c>
      <c r="D680" s="4">
        <v>0</v>
      </c>
      <c r="E680" s="4">
        <v>0</v>
      </c>
      <c r="F680" s="4">
        <v>1</v>
      </c>
      <c r="G680" s="4">
        <v>111001</v>
      </c>
      <c r="H680" s="4">
        <v>1</v>
      </c>
      <c r="I680" s="4">
        <f t="shared" si="8"/>
        <v>256</v>
      </c>
      <c r="J680" s="4">
        <f t="shared" si="9"/>
        <v>384</v>
      </c>
      <c r="K680" s="4" t="s">
        <v>1108</v>
      </c>
    </row>
    <row r="681" spans="1:11" s="4" customFormat="1">
      <c r="A681" s="4">
        <v>111321</v>
      </c>
      <c r="B681" s="4">
        <v>1</v>
      </c>
      <c r="C681" s="4">
        <v>1</v>
      </c>
      <c r="D681" s="4">
        <v>0</v>
      </c>
      <c r="E681" s="4">
        <v>0</v>
      </c>
      <c r="F681" s="4">
        <v>1</v>
      </c>
      <c r="G681" s="4">
        <v>111001</v>
      </c>
      <c r="H681" s="4">
        <v>1</v>
      </c>
      <c r="I681" s="4">
        <f t="shared" si="8"/>
        <v>257</v>
      </c>
      <c r="J681" s="4">
        <f t="shared" si="9"/>
        <v>385</v>
      </c>
      <c r="K681" s="4" t="s">
        <v>1109</v>
      </c>
    </row>
    <row r="682" spans="1:11" s="4" customFormat="1">
      <c r="A682" s="4">
        <v>111322</v>
      </c>
      <c r="B682" s="4">
        <v>1</v>
      </c>
      <c r="C682" s="4">
        <v>1</v>
      </c>
      <c r="D682" s="4">
        <v>0</v>
      </c>
      <c r="E682" s="4">
        <v>0</v>
      </c>
      <c r="F682" s="4">
        <v>1</v>
      </c>
      <c r="G682" s="4">
        <v>111001</v>
      </c>
      <c r="H682" s="4">
        <v>1</v>
      </c>
      <c r="I682" s="4">
        <f t="shared" ref="I682:I745" si="10">ROUND(RIGHT(A682,3)*80%,0)</f>
        <v>258</v>
      </c>
      <c r="J682" s="4">
        <f t="shared" ref="J682:J745" si="11">ROUND(RIGHT(A682,3)*120%,0)</f>
        <v>386</v>
      </c>
      <c r="K682" s="4" t="s">
        <v>1110</v>
      </c>
    </row>
    <row r="683" spans="1:11" s="4" customFormat="1">
      <c r="A683" s="4">
        <v>111323</v>
      </c>
      <c r="B683" s="4">
        <v>1</v>
      </c>
      <c r="C683" s="4">
        <v>1</v>
      </c>
      <c r="D683" s="4">
        <v>0</v>
      </c>
      <c r="E683" s="4">
        <v>0</v>
      </c>
      <c r="F683" s="4">
        <v>1</v>
      </c>
      <c r="G683" s="4">
        <v>111001</v>
      </c>
      <c r="H683" s="4">
        <v>1</v>
      </c>
      <c r="I683" s="4">
        <f t="shared" si="10"/>
        <v>258</v>
      </c>
      <c r="J683" s="4">
        <f t="shared" si="11"/>
        <v>388</v>
      </c>
      <c r="K683" s="4" t="s">
        <v>1111</v>
      </c>
    </row>
    <row r="684" spans="1:11" s="4" customFormat="1">
      <c r="A684" s="4">
        <v>111324</v>
      </c>
      <c r="B684" s="4">
        <v>1</v>
      </c>
      <c r="C684" s="4">
        <v>1</v>
      </c>
      <c r="D684" s="4">
        <v>0</v>
      </c>
      <c r="E684" s="4">
        <v>0</v>
      </c>
      <c r="F684" s="4">
        <v>1</v>
      </c>
      <c r="G684" s="4">
        <v>111001</v>
      </c>
      <c r="H684" s="4">
        <v>1</v>
      </c>
      <c r="I684" s="4">
        <f t="shared" si="10"/>
        <v>259</v>
      </c>
      <c r="J684" s="4">
        <f t="shared" si="11"/>
        <v>389</v>
      </c>
      <c r="K684" s="4" t="s">
        <v>1112</v>
      </c>
    </row>
    <row r="685" spans="1:11" s="4" customFormat="1">
      <c r="A685" s="4">
        <v>111325</v>
      </c>
      <c r="B685" s="4">
        <v>1</v>
      </c>
      <c r="C685" s="4">
        <v>1</v>
      </c>
      <c r="D685" s="4">
        <v>0</v>
      </c>
      <c r="E685" s="4">
        <v>0</v>
      </c>
      <c r="F685" s="4">
        <v>1</v>
      </c>
      <c r="G685" s="4">
        <v>111001</v>
      </c>
      <c r="H685" s="4">
        <v>1</v>
      </c>
      <c r="I685" s="4">
        <f t="shared" si="10"/>
        <v>260</v>
      </c>
      <c r="J685" s="4">
        <f t="shared" si="11"/>
        <v>390</v>
      </c>
      <c r="K685" s="4" t="s">
        <v>1113</v>
      </c>
    </row>
    <row r="686" spans="1:11" s="4" customFormat="1">
      <c r="A686" s="4">
        <v>111326</v>
      </c>
      <c r="B686" s="4">
        <v>1</v>
      </c>
      <c r="C686" s="4">
        <v>1</v>
      </c>
      <c r="D686" s="4">
        <v>0</v>
      </c>
      <c r="E686" s="4">
        <v>0</v>
      </c>
      <c r="F686" s="4">
        <v>1</v>
      </c>
      <c r="G686" s="4">
        <v>111001</v>
      </c>
      <c r="H686" s="4">
        <v>1</v>
      </c>
      <c r="I686" s="4">
        <f t="shared" si="10"/>
        <v>261</v>
      </c>
      <c r="J686" s="4">
        <f t="shared" si="11"/>
        <v>391</v>
      </c>
      <c r="K686" s="4" t="s">
        <v>1114</v>
      </c>
    </row>
    <row r="687" spans="1:11" s="4" customFormat="1">
      <c r="A687" s="4">
        <v>111327</v>
      </c>
      <c r="B687" s="4">
        <v>1</v>
      </c>
      <c r="C687" s="4">
        <v>1</v>
      </c>
      <c r="D687" s="4">
        <v>0</v>
      </c>
      <c r="E687" s="4">
        <v>0</v>
      </c>
      <c r="F687" s="4">
        <v>1</v>
      </c>
      <c r="G687" s="4">
        <v>111001</v>
      </c>
      <c r="H687" s="4">
        <v>1</v>
      </c>
      <c r="I687" s="4">
        <f t="shared" si="10"/>
        <v>262</v>
      </c>
      <c r="J687" s="4">
        <f t="shared" si="11"/>
        <v>392</v>
      </c>
      <c r="K687" s="4" t="s">
        <v>1115</v>
      </c>
    </row>
    <row r="688" spans="1:11" s="4" customFormat="1">
      <c r="A688" s="4">
        <v>111328</v>
      </c>
      <c r="B688" s="4">
        <v>1</v>
      </c>
      <c r="C688" s="4">
        <v>1</v>
      </c>
      <c r="D688" s="4">
        <v>0</v>
      </c>
      <c r="E688" s="4">
        <v>0</v>
      </c>
      <c r="F688" s="4">
        <v>1</v>
      </c>
      <c r="G688" s="4">
        <v>111001</v>
      </c>
      <c r="H688" s="4">
        <v>1</v>
      </c>
      <c r="I688" s="4">
        <f t="shared" si="10"/>
        <v>262</v>
      </c>
      <c r="J688" s="4">
        <f t="shared" si="11"/>
        <v>394</v>
      </c>
      <c r="K688" s="4" t="s">
        <v>1116</v>
      </c>
    </row>
    <row r="689" spans="1:11" s="4" customFormat="1">
      <c r="A689" s="4">
        <v>111329</v>
      </c>
      <c r="B689" s="4">
        <v>1</v>
      </c>
      <c r="C689" s="4">
        <v>1</v>
      </c>
      <c r="D689" s="4">
        <v>0</v>
      </c>
      <c r="E689" s="4">
        <v>0</v>
      </c>
      <c r="F689" s="4">
        <v>1</v>
      </c>
      <c r="G689" s="4">
        <v>111001</v>
      </c>
      <c r="H689" s="4">
        <v>1</v>
      </c>
      <c r="I689" s="4">
        <f t="shared" si="10"/>
        <v>263</v>
      </c>
      <c r="J689" s="4">
        <f t="shared" si="11"/>
        <v>395</v>
      </c>
      <c r="K689" s="4" t="s">
        <v>1117</v>
      </c>
    </row>
    <row r="690" spans="1:11" s="4" customFormat="1">
      <c r="A690" s="4">
        <v>111330</v>
      </c>
      <c r="B690" s="4">
        <v>1</v>
      </c>
      <c r="C690" s="4">
        <v>1</v>
      </c>
      <c r="D690" s="4">
        <v>0</v>
      </c>
      <c r="E690" s="4">
        <v>0</v>
      </c>
      <c r="F690" s="4">
        <v>1</v>
      </c>
      <c r="G690" s="4">
        <v>111001</v>
      </c>
      <c r="H690" s="4">
        <v>1</v>
      </c>
      <c r="I690" s="4">
        <f t="shared" si="10"/>
        <v>264</v>
      </c>
      <c r="J690" s="4">
        <f t="shared" si="11"/>
        <v>396</v>
      </c>
      <c r="K690" s="4" t="s">
        <v>1118</v>
      </c>
    </row>
    <row r="691" spans="1:11" s="4" customFormat="1">
      <c r="A691" s="4">
        <v>111331</v>
      </c>
      <c r="B691" s="4">
        <v>1</v>
      </c>
      <c r="C691" s="4">
        <v>1</v>
      </c>
      <c r="D691" s="4">
        <v>0</v>
      </c>
      <c r="E691" s="4">
        <v>0</v>
      </c>
      <c r="F691" s="4">
        <v>1</v>
      </c>
      <c r="G691" s="4">
        <v>111001</v>
      </c>
      <c r="H691" s="4">
        <v>1</v>
      </c>
      <c r="I691" s="4">
        <f t="shared" si="10"/>
        <v>265</v>
      </c>
      <c r="J691" s="4">
        <f t="shared" si="11"/>
        <v>397</v>
      </c>
      <c r="K691" s="4" t="s">
        <v>1119</v>
      </c>
    </row>
    <row r="692" spans="1:11" s="4" customFormat="1">
      <c r="A692" s="4">
        <v>111332</v>
      </c>
      <c r="B692" s="4">
        <v>1</v>
      </c>
      <c r="C692" s="4">
        <v>1</v>
      </c>
      <c r="D692" s="4">
        <v>0</v>
      </c>
      <c r="E692" s="4">
        <v>0</v>
      </c>
      <c r="F692" s="4">
        <v>1</v>
      </c>
      <c r="G692" s="4">
        <v>111001</v>
      </c>
      <c r="H692" s="4">
        <v>1</v>
      </c>
      <c r="I692" s="4">
        <f t="shared" si="10"/>
        <v>266</v>
      </c>
      <c r="J692" s="4">
        <f t="shared" si="11"/>
        <v>398</v>
      </c>
      <c r="K692" s="4" t="s">
        <v>1120</v>
      </c>
    </row>
    <row r="693" spans="1:11" s="4" customFormat="1">
      <c r="A693" s="4">
        <v>111333</v>
      </c>
      <c r="B693" s="4">
        <v>1</v>
      </c>
      <c r="C693" s="4">
        <v>1</v>
      </c>
      <c r="D693" s="4">
        <v>0</v>
      </c>
      <c r="E693" s="4">
        <v>0</v>
      </c>
      <c r="F693" s="4">
        <v>1</v>
      </c>
      <c r="G693" s="4">
        <v>111001</v>
      </c>
      <c r="H693" s="4">
        <v>1</v>
      </c>
      <c r="I693" s="4">
        <f t="shared" si="10"/>
        <v>266</v>
      </c>
      <c r="J693" s="4">
        <f t="shared" si="11"/>
        <v>400</v>
      </c>
      <c r="K693" s="4" t="s">
        <v>1121</v>
      </c>
    </row>
    <row r="694" spans="1:11" s="4" customFormat="1">
      <c r="A694" s="4">
        <v>111334</v>
      </c>
      <c r="B694" s="4">
        <v>1</v>
      </c>
      <c r="C694" s="4">
        <v>1</v>
      </c>
      <c r="D694" s="4">
        <v>0</v>
      </c>
      <c r="E694" s="4">
        <v>0</v>
      </c>
      <c r="F694" s="4">
        <v>1</v>
      </c>
      <c r="G694" s="4">
        <v>111001</v>
      </c>
      <c r="H694" s="4">
        <v>1</v>
      </c>
      <c r="I694" s="4">
        <f t="shared" si="10"/>
        <v>267</v>
      </c>
      <c r="J694" s="4">
        <f t="shared" si="11"/>
        <v>401</v>
      </c>
      <c r="K694" s="4" t="s">
        <v>1122</v>
      </c>
    </row>
    <row r="695" spans="1:11" s="4" customFormat="1">
      <c r="A695" s="4">
        <v>111335</v>
      </c>
      <c r="B695" s="4">
        <v>1</v>
      </c>
      <c r="C695" s="4">
        <v>1</v>
      </c>
      <c r="D695" s="4">
        <v>0</v>
      </c>
      <c r="E695" s="4">
        <v>0</v>
      </c>
      <c r="F695" s="4">
        <v>1</v>
      </c>
      <c r="G695" s="4">
        <v>111001</v>
      </c>
      <c r="H695" s="4">
        <v>1</v>
      </c>
      <c r="I695" s="4">
        <f t="shared" si="10"/>
        <v>268</v>
      </c>
      <c r="J695" s="4">
        <f t="shared" si="11"/>
        <v>402</v>
      </c>
      <c r="K695" s="4" t="s">
        <v>1123</v>
      </c>
    </row>
    <row r="696" spans="1:11" s="4" customFormat="1">
      <c r="A696" s="4">
        <v>111336</v>
      </c>
      <c r="B696" s="4">
        <v>1</v>
      </c>
      <c r="C696" s="4">
        <v>1</v>
      </c>
      <c r="D696" s="4">
        <v>0</v>
      </c>
      <c r="E696" s="4">
        <v>0</v>
      </c>
      <c r="F696" s="4">
        <v>1</v>
      </c>
      <c r="G696" s="4">
        <v>111001</v>
      </c>
      <c r="H696" s="4">
        <v>1</v>
      </c>
      <c r="I696" s="4">
        <f t="shared" si="10"/>
        <v>269</v>
      </c>
      <c r="J696" s="4">
        <f t="shared" si="11"/>
        <v>403</v>
      </c>
      <c r="K696" s="4" t="s">
        <v>1124</v>
      </c>
    </row>
    <row r="697" spans="1:11" s="4" customFormat="1">
      <c r="A697" s="4">
        <v>111337</v>
      </c>
      <c r="B697" s="4">
        <v>1</v>
      </c>
      <c r="C697" s="4">
        <v>1</v>
      </c>
      <c r="D697" s="4">
        <v>0</v>
      </c>
      <c r="E697" s="4">
        <v>0</v>
      </c>
      <c r="F697" s="4">
        <v>1</v>
      </c>
      <c r="G697" s="4">
        <v>111001</v>
      </c>
      <c r="H697" s="4">
        <v>1</v>
      </c>
      <c r="I697" s="4">
        <f t="shared" si="10"/>
        <v>270</v>
      </c>
      <c r="J697" s="4">
        <f t="shared" si="11"/>
        <v>404</v>
      </c>
      <c r="K697" s="4" t="s">
        <v>1125</v>
      </c>
    </row>
    <row r="698" spans="1:11" s="4" customFormat="1">
      <c r="A698" s="4">
        <v>111338</v>
      </c>
      <c r="B698" s="4">
        <v>1</v>
      </c>
      <c r="C698" s="4">
        <v>1</v>
      </c>
      <c r="D698" s="4">
        <v>0</v>
      </c>
      <c r="E698" s="4">
        <v>0</v>
      </c>
      <c r="F698" s="4">
        <v>1</v>
      </c>
      <c r="G698" s="4">
        <v>111001</v>
      </c>
      <c r="H698" s="4">
        <v>1</v>
      </c>
      <c r="I698" s="4">
        <f t="shared" si="10"/>
        <v>270</v>
      </c>
      <c r="J698" s="4">
        <f t="shared" si="11"/>
        <v>406</v>
      </c>
      <c r="K698" s="4" t="s">
        <v>1126</v>
      </c>
    </row>
    <row r="699" spans="1:11" s="4" customFormat="1">
      <c r="A699" s="4">
        <v>111339</v>
      </c>
      <c r="B699" s="4">
        <v>1</v>
      </c>
      <c r="C699" s="4">
        <v>1</v>
      </c>
      <c r="D699" s="4">
        <v>0</v>
      </c>
      <c r="E699" s="4">
        <v>0</v>
      </c>
      <c r="F699" s="4">
        <v>1</v>
      </c>
      <c r="G699" s="4">
        <v>111001</v>
      </c>
      <c r="H699" s="4">
        <v>1</v>
      </c>
      <c r="I699" s="4">
        <f t="shared" si="10"/>
        <v>271</v>
      </c>
      <c r="J699" s="4">
        <f t="shared" si="11"/>
        <v>407</v>
      </c>
      <c r="K699" s="4" t="s">
        <v>1127</v>
      </c>
    </row>
    <row r="700" spans="1:11" s="4" customFormat="1">
      <c r="A700" s="4">
        <v>111340</v>
      </c>
      <c r="B700" s="4">
        <v>1</v>
      </c>
      <c r="C700" s="4">
        <v>1</v>
      </c>
      <c r="D700" s="4">
        <v>0</v>
      </c>
      <c r="E700" s="4">
        <v>0</v>
      </c>
      <c r="F700" s="4">
        <v>1</v>
      </c>
      <c r="G700" s="4">
        <v>111001</v>
      </c>
      <c r="H700" s="4">
        <v>1</v>
      </c>
      <c r="I700" s="4">
        <f t="shared" si="10"/>
        <v>272</v>
      </c>
      <c r="J700" s="4">
        <f t="shared" si="11"/>
        <v>408</v>
      </c>
      <c r="K700" s="4" t="s">
        <v>1128</v>
      </c>
    </row>
    <row r="701" spans="1:11" s="4" customFormat="1">
      <c r="A701" s="4">
        <v>111341</v>
      </c>
      <c r="B701" s="4">
        <v>1</v>
      </c>
      <c r="C701" s="4">
        <v>1</v>
      </c>
      <c r="D701" s="4">
        <v>0</v>
      </c>
      <c r="E701" s="4">
        <v>0</v>
      </c>
      <c r="F701" s="4">
        <v>1</v>
      </c>
      <c r="G701" s="4">
        <v>111001</v>
      </c>
      <c r="H701" s="4">
        <v>1</v>
      </c>
      <c r="I701" s="4">
        <f t="shared" si="10"/>
        <v>273</v>
      </c>
      <c r="J701" s="4">
        <f t="shared" si="11"/>
        <v>409</v>
      </c>
      <c r="K701" s="4" t="s">
        <v>1129</v>
      </c>
    </row>
    <row r="702" spans="1:11" s="4" customFormat="1">
      <c r="A702" s="4">
        <v>111342</v>
      </c>
      <c r="B702" s="4">
        <v>1</v>
      </c>
      <c r="C702" s="4">
        <v>1</v>
      </c>
      <c r="D702" s="4">
        <v>0</v>
      </c>
      <c r="E702" s="4">
        <v>0</v>
      </c>
      <c r="F702" s="4">
        <v>1</v>
      </c>
      <c r="G702" s="4">
        <v>111001</v>
      </c>
      <c r="H702" s="4">
        <v>1</v>
      </c>
      <c r="I702" s="4">
        <f t="shared" si="10"/>
        <v>274</v>
      </c>
      <c r="J702" s="4">
        <f t="shared" si="11"/>
        <v>410</v>
      </c>
      <c r="K702" s="4" t="s">
        <v>1130</v>
      </c>
    </row>
    <row r="703" spans="1:11" s="4" customFormat="1">
      <c r="A703" s="4">
        <v>111343</v>
      </c>
      <c r="B703" s="4">
        <v>1</v>
      </c>
      <c r="C703" s="4">
        <v>1</v>
      </c>
      <c r="D703" s="4">
        <v>0</v>
      </c>
      <c r="E703" s="4">
        <v>0</v>
      </c>
      <c r="F703" s="4">
        <v>1</v>
      </c>
      <c r="G703" s="4">
        <v>111001</v>
      </c>
      <c r="H703" s="4">
        <v>1</v>
      </c>
      <c r="I703" s="4">
        <f t="shared" si="10"/>
        <v>274</v>
      </c>
      <c r="J703" s="4">
        <f t="shared" si="11"/>
        <v>412</v>
      </c>
      <c r="K703" s="4" t="s">
        <v>1131</v>
      </c>
    </row>
    <row r="704" spans="1:11" s="4" customFormat="1">
      <c r="A704" s="4">
        <v>111344</v>
      </c>
      <c r="B704" s="4">
        <v>1</v>
      </c>
      <c r="C704" s="4">
        <v>1</v>
      </c>
      <c r="D704" s="4">
        <v>0</v>
      </c>
      <c r="E704" s="4">
        <v>0</v>
      </c>
      <c r="F704" s="4">
        <v>1</v>
      </c>
      <c r="G704" s="4">
        <v>111001</v>
      </c>
      <c r="H704" s="4">
        <v>1</v>
      </c>
      <c r="I704" s="4">
        <f t="shared" si="10"/>
        <v>275</v>
      </c>
      <c r="J704" s="4">
        <f t="shared" si="11"/>
        <v>413</v>
      </c>
      <c r="K704" s="4" t="s">
        <v>1132</v>
      </c>
    </row>
    <row r="705" spans="1:11" s="4" customFormat="1">
      <c r="A705" s="4">
        <v>111345</v>
      </c>
      <c r="B705" s="4">
        <v>1</v>
      </c>
      <c r="C705" s="4">
        <v>1</v>
      </c>
      <c r="D705" s="4">
        <v>0</v>
      </c>
      <c r="E705" s="4">
        <v>0</v>
      </c>
      <c r="F705" s="4">
        <v>1</v>
      </c>
      <c r="G705" s="4">
        <v>111001</v>
      </c>
      <c r="H705" s="4">
        <v>1</v>
      </c>
      <c r="I705" s="4">
        <f t="shared" si="10"/>
        <v>276</v>
      </c>
      <c r="J705" s="4">
        <f t="shared" si="11"/>
        <v>414</v>
      </c>
      <c r="K705" s="4" t="s">
        <v>1133</v>
      </c>
    </row>
    <row r="706" spans="1:11" s="4" customFormat="1">
      <c r="A706" s="4">
        <v>111346</v>
      </c>
      <c r="B706" s="4">
        <v>1</v>
      </c>
      <c r="C706" s="4">
        <v>1</v>
      </c>
      <c r="D706" s="4">
        <v>0</v>
      </c>
      <c r="E706" s="4">
        <v>0</v>
      </c>
      <c r="F706" s="4">
        <v>1</v>
      </c>
      <c r="G706" s="4">
        <v>111001</v>
      </c>
      <c r="H706" s="4">
        <v>1</v>
      </c>
      <c r="I706" s="4">
        <f t="shared" si="10"/>
        <v>277</v>
      </c>
      <c r="J706" s="4">
        <f t="shared" si="11"/>
        <v>415</v>
      </c>
      <c r="K706" s="4" t="s">
        <v>1134</v>
      </c>
    </row>
    <row r="707" spans="1:11" s="4" customFormat="1">
      <c r="A707" s="4">
        <v>111347</v>
      </c>
      <c r="B707" s="4">
        <v>1</v>
      </c>
      <c r="C707" s="4">
        <v>1</v>
      </c>
      <c r="D707" s="4">
        <v>0</v>
      </c>
      <c r="E707" s="4">
        <v>0</v>
      </c>
      <c r="F707" s="4">
        <v>1</v>
      </c>
      <c r="G707" s="4">
        <v>111001</v>
      </c>
      <c r="H707" s="4">
        <v>1</v>
      </c>
      <c r="I707" s="4">
        <f t="shared" si="10"/>
        <v>278</v>
      </c>
      <c r="J707" s="4">
        <f t="shared" si="11"/>
        <v>416</v>
      </c>
      <c r="K707" s="4" t="s">
        <v>1135</v>
      </c>
    </row>
    <row r="708" spans="1:11" s="4" customFormat="1">
      <c r="A708" s="4">
        <v>111348</v>
      </c>
      <c r="B708" s="4">
        <v>1</v>
      </c>
      <c r="C708" s="4">
        <v>1</v>
      </c>
      <c r="D708" s="4">
        <v>0</v>
      </c>
      <c r="E708" s="4">
        <v>0</v>
      </c>
      <c r="F708" s="4">
        <v>1</v>
      </c>
      <c r="G708" s="4">
        <v>111001</v>
      </c>
      <c r="H708" s="4">
        <v>1</v>
      </c>
      <c r="I708" s="4">
        <f t="shared" si="10"/>
        <v>278</v>
      </c>
      <c r="J708" s="4">
        <f t="shared" si="11"/>
        <v>418</v>
      </c>
      <c r="K708" s="4" t="s">
        <v>1136</v>
      </c>
    </row>
    <row r="709" spans="1:11" s="4" customFormat="1">
      <c r="A709" s="4">
        <v>111349</v>
      </c>
      <c r="B709" s="4">
        <v>1</v>
      </c>
      <c r="C709" s="4">
        <v>1</v>
      </c>
      <c r="D709" s="4">
        <v>0</v>
      </c>
      <c r="E709" s="4">
        <v>0</v>
      </c>
      <c r="F709" s="4">
        <v>1</v>
      </c>
      <c r="G709" s="4">
        <v>111001</v>
      </c>
      <c r="H709" s="4">
        <v>1</v>
      </c>
      <c r="I709" s="4">
        <f t="shared" si="10"/>
        <v>279</v>
      </c>
      <c r="J709" s="4">
        <f t="shared" si="11"/>
        <v>419</v>
      </c>
      <c r="K709" s="4" t="s">
        <v>1137</v>
      </c>
    </row>
    <row r="710" spans="1:11" s="4" customFormat="1">
      <c r="A710" s="4">
        <v>111350</v>
      </c>
      <c r="B710" s="4">
        <v>1</v>
      </c>
      <c r="C710" s="4">
        <v>1</v>
      </c>
      <c r="D710" s="4">
        <v>0</v>
      </c>
      <c r="E710" s="4">
        <v>0</v>
      </c>
      <c r="F710" s="4">
        <v>1</v>
      </c>
      <c r="G710" s="4">
        <v>111001</v>
      </c>
      <c r="H710" s="4">
        <v>1</v>
      </c>
      <c r="I710" s="4">
        <f t="shared" si="10"/>
        <v>280</v>
      </c>
      <c r="J710" s="4">
        <f t="shared" si="11"/>
        <v>420</v>
      </c>
      <c r="K710" s="4" t="s">
        <v>1138</v>
      </c>
    </row>
    <row r="711" spans="1:11" s="4" customFormat="1">
      <c r="A711" s="4">
        <v>111351</v>
      </c>
      <c r="B711" s="4">
        <v>1</v>
      </c>
      <c r="C711" s="4">
        <v>1</v>
      </c>
      <c r="D711" s="4">
        <v>0</v>
      </c>
      <c r="E711" s="4">
        <v>0</v>
      </c>
      <c r="F711" s="4">
        <v>1</v>
      </c>
      <c r="G711" s="4">
        <v>111001</v>
      </c>
      <c r="H711" s="4">
        <v>1</v>
      </c>
      <c r="I711" s="4">
        <f t="shared" si="10"/>
        <v>281</v>
      </c>
      <c r="J711" s="4">
        <f t="shared" si="11"/>
        <v>421</v>
      </c>
      <c r="K711" s="4" t="s">
        <v>1139</v>
      </c>
    </row>
    <row r="712" spans="1:11" s="4" customFormat="1">
      <c r="A712" s="4">
        <v>111352</v>
      </c>
      <c r="B712" s="4">
        <v>1</v>
      </c>
      <c r="C712" s="4">
        <v>1</v>
      </c>
      <c r="D712" s="4">
        <v>0</v>
      </c>
      <c r="E712" s="4">
        <v>0</v>
      </c>
      <c r="F712" s="4">
        <v>1</v>
      </c>
      <c r="G712" s="4">
        <v>111001</v>
      </c>
      <c r="H712" s="4">
        <v>1</v>
      </c>
      <c r="I712" s="4">
        <f t="shared" si="10"/>
        <v>282</v>
      </c>
      <c r="J712" s="4">
        <f t="shared" si="11"/>
        <v>422</v>
      </c>
      <c r="K712" s="4" t="s">
        <v>1140</v>
      </c>
    </row>
    <row r="713" spans="1:11" s="4" customFormat="1">
      <c r="A713" s="4">
        <v>111353</v>
      </c>
      <c r="B713" s="4">
        <v>1</v>
      </c>
      <c r="C713" s="4">
        <v>1</v>
      </c>
      <c r="D713" s="4">
        <v>0</v>
      </c>
      <c r="E713" s="4">
        <v>0</v>
      </c>
      <c r="F713" s="4">
        <v>1</v>
      </c>
      <c r="G713" s="4">
        <v>111001</v>
      </c>
      <c r="H713" s="4">
        <v>1</v>
      </c>
      <c r="I713" s="4">
        <f t="shared" si="10"/>
        <v>282</v>
      </c>
      <c r="J713" s="4">
        <f t="shared" si="11"/>
        <v>424</v>
      </c>
      <c r="K713" s="4" t="s">
        <v>1141</v>
      </c>
    </row>
    <row r="714" spans="1:11" s="4" customFormat="1">
      <c r="A714" s="4">
        <v>111354</v>
      </c>
      <c r="B714" s="4">
        <v>1</v>
      </c>
      <c r="C714" s="4">
        <v>1</v>
      </c>
      <c r="D714" s="4">
        <v>0</v>
      </c>
      <c r="E714" s="4">
        <v>0</v>
      </c>
      <c r="F714" s="4">
        <v>1</v>
      </c>
      <c r="G714" s="4">
        <v>111001</v>
      </c>
      <c r="H714" s="4">
        <v>1</v>
      </c>
      <c r="I714" s="4">
        <f t="shared" si="10"/>
        <v>283</v>
      </c>
      <c r="J714" s="4">
        <f t="shared" si="11"/>
        <v>425</v>
      </c>
      <c r="K714" s="4" t="s">
        <v>1142</v>
      </c>
    </row>
    <row r="715" spans="1:11" s="4" customFormat="1">
      <c r="A715" s="4">
        <v>111355</v>
      </c>
      <c r="B715" s="4">
        <v>1</v>
      </c>
      <c r="C715" s="4">
        <v>1</v>
      </c>
      <c r="D715" s="4">
        <v>0</v>
      </c>
      <c r="E715" s="4">
        <v>0</v>
      </c>
      <c r="F715" s="4">
        <v>1</v>
      </c>
      <c r="G715" s="4">
        <v>111001</v>
      </c>
      <c r="H715" s="4">
        <v>1</v>
      </c>
      <c r="I715" s="4">
        <f t="shared" si="10"/>
        <v>284</v>
      </c>
      <c r="J715" s="4">
        <f t="shared" si="11"/>
        <v>426</v>
      </c>
      <c r="K715" s="4" t="s">
        <v>1143</v>
      </c>
    </row>
    <row r="716" spans="1:11" s="4" customFormat="1">
      <c r="A716" s="4">
        <v>111356</v>
      </c>
      <c r="B716" s="4">
        <v>1</v>
      </c>
      <c r="C716" s="4">
        <v>1</v>
      </c>
      <c r="D716" s="4">
        <v>0</v>
      </c>
      <c r="E716" s="4">
        <v>0</v>
      </c>
      <c r="F716" s="4">
        <v>1</v>
      </c>
      <c r="G716" s="4">
        <v>111001</v>
      </c>
      <c r="H716" s="4">
        <v>1</v>
      </c>
      <c r="I716" s="4">
        <f t="shared" si="10"/>
        <v>285</v>
      </c>
      <c r="J716" s="4">
        <f t="shared" si="11"/>
        <v>427</v>
      </c>
      <c r="K716" s="4" t="s">
        <v>1144</v>
      </c>
    </row>
    <row r="717" spans="1:11" s="4" customFormat="1">
      <c r="A717" s="4">
        <v>111357</v>
      </c>
      <c r="B717" s="4">
        <v>1</v>
      </c>
      <c r="C717" s="4">
        <v>1</v>
      </c>
      <c r="D717" s="4">
        <v>0</v>
      </c>
      <c r="E717" s="4">
        <v>0</v>
      </c>
      <c r="F717" s="4">
        <v>1</v>
      </c>
      <c r="G717" s="4">
        <v>111001</v>
      </c>
      <c r="H717" s="4">
        <v>1</v>
      </c>
      <c r="I717" s="4">
        <f t="shared" si="10"/>
        <v>286</v>
      </c>
      <c r="J717" s="4">
        <f t="shared" si="11"/>
        <v>428</v>
      </c>
      <c r="K717" s="4" t="s">
        <v>1145</v>
      </c>
    </row>
    <row r="718" spans="1:11" s="4" customFormat="1">
      <c r="A718" s="4">
        <v>111358</v>
      </c>
      <c r="B718" s="4">
        <v>1</v>
      </c>
      <c r="C718" s="4">
        <v>1</v>
      </c>
      <c r="D718" s="4">
        <v>0</v>
      </c>
      <c r="E718" s="4">
        <v>0</v>
      </c>
      <c r="F718" s="4">
        <v>1</v>
      </c>
      <c r="G718" s="4">
        <v>111001</v>
      </c>
      <c r="H718" s="4">
        <v>1</v>
      </c>
      <c r="I718" s="4">
        <f t="shared" si="10"/>
        <v>286</v>
      </c>
      <c r="J718" s="4">
        <f t="shared" si="11"/>
        <v>430</v>
      </c>
      <c r="K718" s="4" t="s">
        <v>1146</v>
      </c>
    </row>
    <row r="719" spans="1:11" s="4" customFormat="1">
      <c r="A719" s="4">
        <v>111359</v>
      </c>
      <c r="B719" s="4">
        <v>1</v>
      </c>
      <c r="C719" s="4">
        <v>1</v>
      </c>
      <c r="D719" s="4">
        <v>0</v>
      </c>
      <c r="E719" s="4">
        <v>0</v>
      </c>
      <c r="F719" s="4">
        <v>1</v>
      </c>
      <c r="G719" s="4">
        <v>111001</v>
      </c>
      <c r="H719" s="4">
        <v>1</v>
      </c>
      <c r="I719" s="4">
        <f t="shared" si="10"/>
        <v>287</v>
      </c>
      <c r="J719" s="4">
        <f t="shared" si="11"/>
        <v>431</v>
      </c>
      <c r="K719" s="4" t="s">
        <v>1147</v>
      </c>
    </row>
    <row r="720" spans="1:11" s="4" customFormat="1">
      <c r="A720" s="4">
        <v>111360</v>
      </c>
      <c r="B720" s="4">
        <v>1</v>
      </c>
      <c r="C720" s="4">
        <v>1</v>
      </c>
      <c r="D720" s="4">
        <v>0</v>
      </c>
      <c r="E720" s="4">
        <v>0</v>
      </c>
      <c r="F720" s="4">
        <v>1</v>
      </c>
      <c r="G720" s="4">
        <v>111001</v>
      </c>
      <c r="H720" s="4">
        <v>1</v>
      </c>
      <c r="I720" s="4">
        <f t="shared" si="10"/>
        <v>288</v>
      </c>
      <c r="J720" s="4">
        <f t="shared" si="11"/>
        <v>432</v>
      </c>
      <c r="K720" s="4" t="s">
        <v>1148</v>
      </c>
    </row>
    <row r="721" spans="1:11" s="4" customFormat="1">
      <c r="A721" s="4">
        <v>111361</v>
      </c>
      <c r="B721" s="4">
        <v>1</v>
      </c>
      <c r="C721" s="4">
        <v>1</v>
      </c>
      <c r="D721" s="4">
        <v>0</v>
      </c>
      <c r="E721" s="4">
        <v>0</v>
      </c>
      <c r="F721" s="4">
        <v>1</v>
      </c>
      <c r="G721" s="4">
        <v>111001</v>
      </c>
      <c r="H721" s="4">
        <v>1</v>
      </c>
      <c r="I721" s="4">
        <f t="shared" si="10"/>
        <v>289</v>
      </c>
      <c r="J721" s="4">
        <f t="shared" si="11"/>
        <v>433</v>
      </c>
      <c r="K721" s="4" t="s">
        <v>1149</v>
      </c>
    </row>
    <row r="722" spans="1:11" s="4" customFormat="1">
      <c r="A722" s="4">
        <v>111362</v>
      </c>
      <c r="B722" s="4">
        <v>1</v>
      </c>
      <c r="C722" s="4">
        <v>1</v>
      </c>
      <c r="D722" s="4">
        <v>0</v>
      </c>
      <c r="E722" s="4">
        <v>0</v>
      </c>
      <c r="F722" s="4">
        <v>1</v>
      </c>
      <c r="G722" s="4">
        <v>111001</v>
      </c>
      <c r="H722" s="4">
        <v>1</v>
      </c>
      <c r="I722" s="4">
        <f t="shared" si="10"/>
        <v>290</v>
      </c>
      <c r="J722" s="4">
        <f t="shared" si="11"/>
        <v>434</v>
      </c>
      <c r="K722" s="4" t="s">
        <v>1150</v>
      </c>
    </row>
    <row r="723" spans="1:11" s="4" customFormat="1">
      <c r="A723" s="4">
        <v>111363</v>
      </c>
      <c r="B723" s="4">
        <v>1</v>
      </c>
      <c r="C723" s="4">
        <v>1</v>
      </c>
      <c r="D723" s="4">
        <v>0</v>
      </c>
      <c r="E723" s="4">
        <v>0</v>
      </c>
      <c r="F723" s="4">
        <v>1</v>
      </c>
      <c r="G723" s="4">
        <v>111001</v>
      </c>
      <c r="H723" s="4">
        <v>1</v>
      </c>
      <c r="I723" s="4">
        <f t="shared" si="10"/>
        <v>290</v>
      </c>
      <c r="J723" s="4">
        <f t="shared" si="11"/>
        <v>436</v>
      </c>
      <c r="K723" s="4" t="s">
        <v>1151</v>
      </c>
    </row>
    <row r="724" spans="1:11" s="4" customFormat="1">
      <c r="A724" s="4">
        <v>111364</v>
      </c>
      <c r="B724" s="4">
        <v>1</v>
      </c>
      <c r="C724" s="4">
        <v>1</v>
      </c>
      <c r="D724" s="4">
        <v>0</v>
      </c>
      <c r="E724" s="4">
        <v>0</v>
      </c>
      <c r="F724" s="4">
        <v>1</v>
      </c>
      <c r="G724" s="4">
        <v>111001</v>
      </c>
      <c r="H724" s="4">
        <v>1</v>
      </c>
      <c r="I724" s="4">
        <f t="shared" si="10"/>
        <v>291</v>
      </c>
      <c r="J724" s="4">
        <f t="shared" si="11"/>
        <v>437</v>
      </c>
      <c r="K724" s="4" t="s">
        <v>1152</v>
      </c>
    </row>
    <row r="725" spans="1:11" s="4" customFormat="1">
      <c r="A725" s="4">
        <v>111365</v>
      </c>
      <c r="B725" s="4">
        <v>1</v>
      </c>
      <c r="C725" s="4">
        <v>1</v>
      </c>
      <c r="D725" s="4">
        <v>0</v>
      </c>
      <c r="E725" s="4">
        <v>0</v>
      </c>
      <c r="F725" s="4">
        <v>1</v>
      </c>
      <c r="G725" s="4">
        <v>111001</v>
      </c>
      <c r="H725" s="4">
        <v>1</v>
      </c>
      <c r="I725" s="4">
        <f t="shared" si="10"/>
        <v>292</v>
      </c>
      <c r="J725" s="4">
        <f t="shared" si="11"/>
        <v>438</v>
      </c>
      <c r="K725" s="4" t="s">
        <v>1153</v>
      </c>
    </row>
    <row r="726" spans="1:11" s="4" customFormat="1">
      <c r="A726" s="4">
        <v>111366</v>
      </c>
      <c r="B726" s="4">
        <v>1</v>
      </c>
      <c r="C726" s="4">
        <v>1</v>
      </c>
      <c r="D726" s="4">
        <v>0</v>
      </c>
      <c r="E726" s="4">
        <v>0</v>
      </c>
      <c r="F726" s="4">
        <v>1</v>
      </c>
      <c r="G726" s="4">
        <v>111001</v>
      </c>
      <c r="H726" s="4">
        <v>1</v>
      </c>
      <c r="I726" s="4">
        <f t="shared" si="10"/>
        <v>293</v>
      </c>
      <c r="J726" s="4">
        <f t="shared" si="11"/>
        <v>439</v>
      </c>
      <c r="K726" s="4" t="s">
        <v>1154</v>
      </c>
    </row>
    <row r="727" spans="1:11" s="4" customFormat="1">
      <c r="A727" s="4">
        <v>111367</v>
      </c>
      <c r="B727" s="4">
        <v>1</v>
      </c>
      <c r="C727" s="4">
        <v>1</v>
      </c>
      <c r="D727" s="4">
        <v>0</v>
      </c>
      <c r="E727" s="4">
        <v>0</v>
      </c>
      <c r="F727" s="4">
        <v>1</v>
      </c>
      <c r="G727" s="4">
        <v>111001</v>
      </c>
      <c r="H727" s="4">
        <v>1</v>
      </c>
      <c r="I727" s="4">
        <f t="shared" si="10"/>
        <v>294</v>
      </c>
      <c r="J727" s="4">
        <f t="shared" si="11"/>
        <v>440</v>
      </c>
      <c r="K727" s="4" t="s">
        <v>1155</v>
      </c>
    </row>
    <row r="728" spans="1:11" s="4" customFormat="1">
      <c r="A728" s="4">
        <v>111368</v>
      </c>
      <c r="B728" s="4">
        <v>1</v>
      </c>
      <c r="C728" s="4">
        <v>1</v>
      </c>
      <c r="D728" s="4">
        <v>0</v>
      </c>
      <c r="E728" s="4">
        <v>0</v>
      </c>
      <c r="F728" s="4">
        <v>1</v>
      </c>
      <c r="G728" s="4">
        <v>111001</v>
      </c>
      <c r="H728" s="4">
        <v>1</v>
      </c>
      <c r="I728" s="4">
        <f t="shared" si="10"/>
        <v>294</v>
      </c>
      <c r="J728" s="4">
        <f t="shared" si="11"/>
        <v>442</v>
      </c>
      <c r="K728" s="4" t="s">
        <v>1156</v>
      </c>
    </row>
    <row r="729" spans="1:11" s="4" customFormat="1">
      <c r="A729" s="4">
        <v>111369</v>
      </c>
      <c r="B729" s="4">
        <v>1</v>
      </c>
      <c r="C729" s="4">
        <v>1</v>
      </c>
      <c r="D729" s="4">
        <v>0</v>
      </c>
      <c r="E729" s="4">
        <v>0</v>
      </c>
      <c r="F729" s="4">
        <v>1</v>
      </c>
      <c r="G729" s="4">
        <v>111001</v>
      </c>
      <c r="H729" s="4">
        <v>1</v>
      </c>
      <c r="I729" s="4">
        <f t="shared" si="10"/>
        <v>295</v>
      </c>
      <c r="J729" s="4">
        <f t="shared" si="11"/>
        <v>443</v>
      </c>
      <c r="K729" s="4" t="s">
        <v>1157</v>
      </c>
    </row>
    <row r="730" spans="1:11" s="4" customFormat="1">
      <c r="A730" s="4">
        <v>111370</v>
      </c>
      <c r="B730" s="4">
        <v>1</v>
      </c>
      <c r="C730" s="4">
        <v>1</v>
      </c>
      <c r="D730" s="4">
        <v>0</v>
      </c>
      <c r="E730" s="4">
        <v>0</v>
      </c>
      <c r="F730" s="4">
        <v>1</v>
      </c>
      <c r="G730" s="4">
        <v>111001</v>
      </c>
      <c r="H730" s="4">
        <v>1</v>
      </c>
      <c r="I730" s="4">
        <f t="shared" si="10"/>
        <v>296</v>
      </c>
      <c r="J730" s="4">
        <f t="shared" si="11"/>
        <v>444</v>
      </c>
      <c r="K730" s="4" t="s">
        <v>1158</v>
      </c>
    </row>
    <row r="731" spans="1:11" s="4" customFormat="1">
      <c r="A731" s="4">
        <v>111371</v>
      </c>
      <c r="B731" s="4">
        <v>1</v>
      </c>
      <c r="C731" s="4">
        <v>1</v>
      </c>
      <c r="D731" s="4">
        <v>0</v>
      </c>
      <c r="E731" s="4">
        <v>0</v>
      </c>
      <c r="F731" s="4">
        <v>1</v>
      </c>
      <c r="G731" s="4">
        <v>111001</v>
      </c>
      <c r="H731" s="4">
        <v>1</v>
      </c>
      <c r="I731" s="4">
        <f t="shared" si="10"/>
        <v>297</v>
      </c>
      <c r="J731" s="4">
        <f t="shared" si="11"/>
        <v>445</v>
      </c>
      <c r="K731" s="4" t="s">
        <v>1159</v>
      </c>
    </row>
    <row r="732" spans="1:11" s="4" customFormat="1">
      <c r="A732" s="4">
        <v>111372</v>
      </c>
      <c r="B732" s="4">
        <v>1</v>
      </c>
      <c r="C732" s="4">
        <v>1</v>
      </c>
      <c r="D732" s="4">
        <v>0</v>
      </c>
      <c r="E732" s="4">
        <v>0</v>
      </c>
      <c r="F732" s="4">
        <v>1</v>
      </c>
      <c r="G732" s="4">
        <v>111001</v>
      </c>
      <c r="H732" s="4">
        <v>1</v>
      </c>
      <c r="I732" s="4">
        <f t="shared" si="10"/>
        <v>298</v>
      </c>
      <c r="J732" s="4">
        <f t="shared" si="11"/>
        <v>446</v>
      </c>
      <c r="K732" s="4" t="s">
        <v>1160</v>
      </c>
    </row>
    <row r="733" spans="1:11" s="4" customFormat="1">
      <c r="A733" s="4">
        <v>111373</v>
      </c>
      <c r="B733" s="4">
        <v>1</v>
      </c>
      <c r="C733" s="4">
        <v>1</v>
      </c>
      <c r="D733" s="4">
        <v>0</v>
      </c>
      <c r="E733" s="4">
        <v>0</v>
      </c>
      <c r="F733" s="4">
        <v>1</v>
      </c>
      <c r="G733" s="4">
        <v>111001</v>
      </c>
      <c r="H733" s="4">
        <v>1</v>
      </c>
      <c r="I733" s="4">
        <f t="shared" si="10"/>
        <v>298</v>
      </c>
      <c r="J733" s="4">
        <f t="shared" si="11"/>
        <v>448</v>
      </c>
      <c r="K733" s="4" t="s">
        <v>1161</v>
      </c>
    </row>
    <row r="734" spans="1:11" s="4" customFormat="1">
      <c r="A734" s="4">
        <v>111374</v>
      </c>
      <c r="B734" s="4">
        <v>1</v>
      </c>
      <c r="C734" s="4">
        <v>1</v>
      </c>
      <c r="D734" s="4">
        <v>0</v>
      </c>
      <c r="E734" s="4">
        <v>0</v>
      </c>
      <c r="F734" s="4">
        <v>1</v>
      </c>
      <c r="G734" s="4">
        <v>111001</v>
      </c>
      <c r="H734" s="4">
        <v>1</v>
      </c>
      <c r="I734" s="4">
        <f t="shared" si="10"/>
        <v>299</v>
      </c>
      <c r="J734" s="4">
        <f t="shared" si="11"/>
        <v>449</v>
      </c>
      <c r="K734" s="4" t="s">
        <v>1162</v>
      </c>
    </row>
    <row r="735" spans="1:11" s="4" customFormat="1">
      <c r="A735" s="4">
        <v>111375</v>
      </c>
      <c r="B735" s="4">
        <v>1</v>
      </c>
      <c r="C735" s="4">
        <v>1</v>
      </c>
      <c r="D735" s="4">
        <v>0</v>
      </c>
      <c r="E735" s="4">
        <v>0</v>
      </c>
      <c r="F735" s="4">
        <v>1</v>
      </c>
      <c r="G735" s="4">
        <v>111001</v>
      </c>
      <c r="H735" s="4">
        <v>1</v>
      </c>
      <c r="I735" s="4">
        <f t="shared" si="10"/>
        <v>300</v>
      </c>
      <c r="J735" s="4">
        <f t="shared" si="11"/>
        <v>450</v>
      </c>
      <c r="K735" s="4" t="s">
        <v>1163</v>
      </c>
    </row>
    <row r="736" spans="1:11" s="4" customFormat="1">
      <c r="A736" s="4">
        <v>111376</v>
      </c>
      <c r="B736" s="4">
        <v>1</v>
      </c>
      <c r="C736" s="4">
        <v>1</v>
      </c>
      <c r="D736" s="4">
        <v>0</v>
      </c>
      <c r="E736" s="4">
        <v>0</v>
      </c>
      <c r="F736" s="4">
        <v>1</v>
      </c>
      <c r="G736" s="4">
        <v>111001</v>
      </c>
      <c r="H736" s="4">
        <v>1</v>
      </c>
      <c r="I736" s="4">
        <f t="shared" si="10"/>
        <v>301</v>
      </c>
      <c r="J736" s="4">
        <f t="shared" si="11"/>
        <v>451</v>
      </c>
      <c r="K736" s="4" t="s">
        <v>1164</v>
      </c>
    </row>
    <row r="737" spans="1:11" s="4" customFormat="1">
      <c r="A737" s="4">
        <v>111377</v>
      </c>
      <c r="B737" s="4">
        <v>1</v>
      </c>
      <c r="C737" s="4">
        <v>1</v>
      </c>
      <c r="D737" s="4">
        <v>0</v>
      </c>
      <c r="E737" s="4">
        <v>0</v>
      </c>
      <c r="F737" s="4">
        <v>1</v>
      </c>
      <c r="G737" s="4">
        <v>111001</v>
      </c>
      <c r="H737" s="4">
        <v>1</v>
      </c>
      <c r="I737" s="4">
        <f t="shared" si="10"/>
        <v>302</v>
      </c>
      <c r="J737" s="4">
        <f t="shared" si="11"/>
        <v>452</v>
      </c>
      <c r="K737" s="4" t="s">
        <v>1165</v>
      </c>
    </row>
    <row r="738" spans="1:11" s="4" customFormat="1">
      <c r="A738" s="4">
        <v>111378</v>
      </c>
      <c r="B738" s="4">
        <v>1</v>
      </c>
      <c r="C738" s="4">
        <v>1</v>
      </c>
      <c r="D738" s="4">
        <v>0</v>
      </c>
      <c r="E738" s="4">
        <v>0</v>
      </c>
      <c r="F738" s="4">
        <v>1</v>
      </c>
      <c r="G738" s="4">
        <v>111001</v>
      </c>
      <c r="H738" s="4">
        <v>1</v>
      </c>
      <c r="I738" s="4">
        <f t="shared" si="10"/>
        <v>302</v>
      </c>
      <c r="J738" s="4">
        <f t="shared" si="11"/>
        <v>454</v>
      </c>
      <c r="K738" s="4" t="s">
        <v>1166</v>
      </c>
    </row>
    <row r="739" spans="1:11" s="4" customFormat="1">
      <c r="A739" s="4">
        <v>111379</v>
      </c>
      <c r="B739" s="4">
        <v>1</v>
      </c>
      <c r="C739" s="4">
        <v>1</v>
      </c>
      <c r="D739" s="4">
        <v>0</v>
      </c>
      <c r="E739" s="4">
        <v>0</v>
      </c>
      <c r="F739" s="4">
        <v>1</v>
      </c>
      <c r="G739" s="4">
        <v>111001</v>
      </c>
      <c r="H739" s="4">
        <v>1</v>
      </c>
      <c r="I739" s="4">
        <f t="shared" si="10"/>
        <v>303</v>
      </c>
      <c r="J739" s="4">
        <f t="shared" si="11"/>
        <v>455</v>
      </c>
      <c r="K739" s="4" t="s">
        <v>1167</v>
      </c>
    </row>
    <row r="740" spans="1:11" s="4" customFormat="1">
      <c r="A740" s="4">
        <v>111380</v>
      </c>
      <c r="B740" s="4">
        <v>1</v>
      </c>
      <c r="C740" s="4">
        <v>1</v>
      </c>
      <c r="D740" s="4">
        <v>0</v>
      </c>
      <c r="E740" s="4">
        <v>0</v>
      </c>
      <c r="F740" s="4">
        <v>1</v>
      </c>
      <c r="G740" s="4">
        <v>111001</v>
      </c>
      <c r="H740" s="4">
        <v>1</v>
      </c>
      <c r="I740" s="4">
        <f t="shared" si="10"/>
        <v>304</v>
      </c>
      <c r="J740" s="4">
        <f t="shared" si="11"/>
        <v>456</v>
      </c>
      <c r="K740" s="4" t="s">
        <v>1168</v>
      </c>
    </row>
    <row r="741" spans="1:11" s="4" customFormat="1">
      <c r="A741" s="4">
        <v>111381</v>
      </c>
      <c r="B741" s="4">
        <v>1</v>
      </c>
      <c r="C741" s="4">
        <v>1</v>
      </c>
      <c r="D741" s="4">
        <v>0</v>
      </c>
      <c r="E741" s="4">
        <v>0</v>
      </c>
      <c r="F741" s="4">
        <v>1</v>
      </c>
      <c r="G741" s="4">
        <v>111001</v>
      </c>
      <c r="H741" s="4">
        <v>1</v>
      </c>
      <c r="I741" s="4">
        <f t="shared" si="10"/>
        <v>305</v>
      </c>
      <c r="J741" s="4">
        <f t="shared" si="11"/>
        <v>457</v>
      </c>
      <c r="K741" s="4" t="s">
        <v>1169</v>
      </c>
    </row>
    <row r="742" spans="1:11" s="4" customFormat="1">
      <c r="A742" s="4">
        <v>111382</v>
      </c>
      <c r="B742" s="4">
        <v>1</v>
      </c>
      <c r="C742" s="4">
        <v>1</v>
      </c>
      <c r="D742" s="4">
        <v>0</v>
      </c>
      <c r="E742" s="4">
        <v>0</v>
      </c>
      <c r="F742" s="4">
        <v>1</v>
      </c>
      <c r="G742" s="4">
        <v>111001</v>
      </c>
      <c r="H742" s="4">
        <v>1</v>
      </c>
      <c r="I742" s="4">
        <f t="shared" si="10"/>
        <v>306</v>
      </c>
      <c r="J742" s="4">
        <f t="shared" si="11"/>
        <v>458</v>
      </c>
      <c r="K742" s="4" t="s">
        <v>1170</v>
      </c>
    </row>
    <row r="743" spans="1:11" s="4" customFormat="1">
      <c r="A743" s="4">
        <v>111383</v>
      </c>
      <c r="B743" s="4">
        <v>1</v>
      </c>
      <c r="C743" s="4">
        <v>1</v>
      </c>
      <c r="D743" s="4">
        <v>0</v>
      </c>
      <c r="E743" s="4">
        <v>0</v>
      </c>
      <c r="F743" s="4">
        <v>1</v>
      </c>
      <c r="G743" s="4">
        <v>111001</v>
      </c>
      <c r="H743" s="4">
        <v>1</v>
      </c>
      <c r="I743" s="4">
        <f t="shared" si="10"/>
        <v>306</v>
      </c>
      <c r="J743" s="4">
        <f t="shared" si="11"/>
        <v>460</v>
      </c>
      <c r="K743" s="4" t="s">
        <v>1171</v>
      </c>
    </row>
    <row r="744" spans="1:11" s="4" customFormat="1">
      <c r="A744" s="4">
        <v>111384</v>
      </c>
      <c r="B744" s="4">
        <v>1</v>
      </c>
      <c r="C744" s="4">
        <v>1</v>
      </c>
      <c r="D744" s="4">
        <v>0</v>
      </c>
      <c r="E744" s="4">
        <v>0</v>
      </c>
      <c r="F744" s="4">
        <v>1</v>
      </c>
      <c r="G744" s="4">
        <v>111001</v>
      </c>
      <c r="H744" s="4">
        <v>1</v>
      </c>
      <c r="I744" s="4">
        <f t="shared" si="10"/>
        <v>307</v>
      </c>
      <c r="J744" s="4">
        <f t="shared" si="11"/>
        <v>461</v>
      </c>
      <c r="K744" s="4" t="s">
        <v>1172</v>
      </c>
    </row>
    <row r="745" spans="1:11" s="4" customFormat="1">
      <c r="A745" s="4">
        <v>111385</v>
      </c>
      <c r="B745" s="4">
        <v>1</v>
      </c>
      <c r="C745" s="4">
        <v>1</v>
      </c>
      <c r="D745" s="4">
        <v>0</v>
      </c>
      <c r="E745" s="4">
        <v>0</v>
      </c>
      <c r="F745" s="4">
        <v>1</v>
      </c>
      <c r="G745" s="4">
        <v>111001</v>
      </c>
      <c r="H745" s="4">
        <v>1</v>
      </c>
      <c r="I745" s="4">
        <f t="shared" si="10"/>
        <v>308</v>
      </c>
      <c r="J745" s="4">
        <f t="shared" si="11"/>
        <v>462</v>
      </c>
      <c r="K745" s="4" t="s">
        <v>1173</v>
      </c>
    </row>
    <row r="746" spans="1:11" s="4" customFormat="1">
      <c r="A746" s="4">
        <v>111386</v>
      </c>
      <c r="B746" s="4">
        <v>1</v>
      </c>
      <c r="C746" s="4">
        <v>1</v>
      </c>
      <c r="D746" s="4">
        <v>0</v>
      </c>
      <c r="E746" s="4">
        <v>0</v>
      </c>
      <c r="F746" s="4">
        <v>1</v>
      </c>
      <c r="G746" s="4">
        <v>111001</v>
      </c>
      <c r="H746" s="4">
        <v>1</v>
      </c>
      <c r="I746" s="4">
        <f t="shared" ref="I746:I809" si="12">ROUND(RIGHT(A746,3)*80%,0)</f>
        <v>309</v>
      </c>
      <c r="J746" s="4">
        <f t="shared" ref="J746:J809" si="13">ROUND(RIGHT(A746,3)*120%,0)</f>
        <v>463</v>
      </c>
      <c r="K746" s="4" t="s">
        <v>1174</v>
      </c>
    </row>
    <row r="747" spans="1:11" s="4" customFormat="1">
      <c r="A747" s="4">
        <v>111387</v>
      </c>
      <c r="B747" s="4">
        <v>1</v>
      </c>
      <c r="C747" s="4">
        <v>1</v>
      </c>
      <c r="D747" s="4">
        <v>0</v>
      </c>
      <c r="E747" s="4">
        <v>0</v>
      </c>
      <c r="F747" s="4">
        <v>1</v>
      </c>
      <c r="G747" s="4">
        <v>111001</v>
      </c>
      <c r="H747" s="4">
        <v>1</v>
      </c>
      <c r="I747" s="4">
        <f t="shared" si="12"/>
        <v>310</v>
      </c>
      <c r="J747" s="4">
        <f t="shared" si="13"/>
        <v>464</v>
      </c>
      <c r="K747" s="4" t="s">
        <v>1175</v>
      </c>
    </row>
    <row r="748" spans="1:11" s="4" customFormat="1">
      <c r="A748" s="4">
        <v>111388</v>
      </c>
      <c r="B748" s="4">
        <v>1</v>
      </c>
      <c r="C748" s="4">
        <v>1</v>
      </c>
      <c r="D748" s="4">
        <v>0</v>
      </c>
      <c r="E748" s="4">
        <v>0</v>
      </c>
      <c r="F748" s="4">
        <v>1</v>
      </c>
      <c r="G748" s="4">
        <v>111001</v>
      </c>
      <c r="H748" s="4">
        <v>1</v>
      </c>
      <c r="I748" s="4">
        <f t="shared" si="12"/>
        <v>310</v>
      </c>
      <c r="J748" s="4">
        <f t="shared" si="13"/>
        <v>466</v>
      </c>
      <c r="K748" s="4" t="s">
        <v>1176</v>
      </c>
    </row>
    <row r="749" spans="1:11" s="4" customFormat="1">
      <c r="A749" s="4">
        <v>111389</v>
      </c>
      <c r="B749" s="4">
        <v>1</v>
      </c>
      <c r="C749" s="4">
        <v>1</v>
      </c>
      <c r="D749" s="4">
        <v>0</v>
      </c>
      <c r="E749" s="4">
        <v>0</v>
      </c>
      <c r="F749" s="4">
        <v>1</v>
      </c>
      <c r="G749" s="4">
        <v>111001</v>
      </c>
      <c r="H749" s="4">
        <v>1</v>
      </c>
      <c r="I749" s="4">
        <f t="shared" si="12"/>
        <v>311</v>
      </c>
      <c r="J749" s="4">
        <f t="shared" si="13"/>
        <v>467</v>
      </c>
      <c r="K749" s="4" t="s">
        <v>1177</v>
      </c>
    </row>
    <row r="750" spans="1:11" s="4" customFormat="1">
      <c r="A750" s="4">
        <v>111390</v>
      </c>
      <c r="B750" s="4">
        <v>1</v>
      </c>
      <c r="C750" s="4">
        <v>1</v>
      </c>
      <c r="D750" s="4">
        <v>0</v>
      </c>
      <c r="E750" s="4">
        <v>0</v>
      </c>
      <c r="F750" s="4">
        <v>1</v>
      </c>
      <c r="G750" s="4">
        <v>111001</v>
      </c>
      <c r="H750" s="4">
        <v>1</v>
      </c>
      <c r="I750" s="4">
        <f t="shared" si="12"/>
        <v>312</v>
      </c>
      <c r="J750" s="4">
        <f t="shared" si="13"/>
        <v>468</v>
      </c>
      <c r="K750" s="4" t="s">
        <v>1178</v>
      </c>
    </row>
    <row r="751" spans="1:11" s="4" customFormat="1">
      <c r="A751" s="4">
        <v>111391</v>
      </c>
      <c r="B751" s="4">
        <v>1</v>
      </c>
      <c r="C751" s="4">
        <v>1</v>
      </c>
      <c r="D751" s="4">
        <v>0</v>
      </c>
      <c r="E751" s="4">
        <v>0</v>
      </c>
      <c r="F751" s="4">
        <v>1</v>
      </c>
      <c r="G751" s="4">
        <v>111001</v>
      </c>
      <c r="H751" s="4">
        <v>1</v>
      </c>
      <c r="I751" s="4">
        <f t="shared" si="12"/>
        <v>313</v>
      </c>
      <c r="J751" s="4">
        <f t="shared" si="13"/>
        <v>469</v>
      </c>
      <c r="K751" s="4" t="s">
        <v>1179</v>
      </c>
    </row>
    <row r="752" spans="1:11" s="4" customFormat="1">
      <c r="A752" s="4">
        <v>111392</v>
      </c>
      <c r="B752" s="4">
        <v>1</v>
      </c>
      <c r="C752" s="4">
        <v>1</v>
      </c>
      <c r="D752" s="4">
        <v>0</v>
      </c>
      <c r="E752" s="4">
        <v>0</v>
      </c>
      <c r="F752" s="4">
        <v>1</v>
      </c>
      <c r="G752" s="4">
        <v>111001</v>
      </c>
      <c r="H752" s="4">
        <v>1</v>
      </c>
      <c r="I752" s="4">
        <f t="shared" si="12"/>
        <v>314</v>
      </c>
      <c r="J752" s="4">
        <f t="shared" si="13"/>
        <v>470</v>
      </c>
      <c r="K752" s="4" t="s">
        <v>1180</v>
      </c>
    </row>
    <row r="753" spans="1:11" s="4" customFormat="1">
      <c r="A753" s="4">
        <v>111393</v>
      </c>
      <c r="B753" s="4">
        <v>1</v>
      </c>
      <c r="C753" s="4">
        <v>1</v>
      </c>
      <c r="D753" s="4">
        <v>0</v>
      </c>
      <c r="E753" s="4">
        <v>0</v>
      </c>
      <c r="F753" s="4">
        <v>1</v>
      </c>
      <c r="G753" s="4">
        <v>111001</v>
      </c>
      <c r="H753" s="4">
        <v>1</v>
      </c>
      <c r="I753" s="4">
        <f t="shared" si="12"/>
        <v>314</v>
      </c>
      <c r="J753" s="4">
        <f t="shared" si="13"/>
        <v>472</v>
      </c>
      <c r="K753" s="4" t="s">
        <v>1181</v>
      </c>
    </row>
    <row r="754" spans="1:11" s="4" customFormat="1">
      <c r="A754" s="4">
        <v>111394</v>
      </c>
      <c r="B754" s="4">
        <v>1</v>
      </c>
      <c r="C754" s="4">
        <v>1</v>
      </c>
      <c r="D754" s="4">
        <v>0</v>
      </c>
      <c r="E754" s="4">
        <v>0</v>
      </c>
      <c r="F754" s="4">
        <v>1</v>
      </c>
      <c r="G754" s="4">
        <v>111001</v>
      </c>
      <c r="H754" s="4">
        <v>1</v>
      </c>
      <c r="I754" s="4">
        <f t="shared" si="12"/>
        <v>315</v>
      </c>
      <c r="J754" s="4">
        <f t="shared" si="13"/>
        <v>473</v>
      </c>
      <c r="K754" s="4" t="s">
        <v>1182</v>
      </c>
    </row>
    <row r="755" spans="1:11" s="4" customFormat="1">
      <c r="A755" s="4">
        <v>111395</v>
      </c>
      <c r="B755" s="4">
        <v>1</v>
      </c>
      <c r="C755" s="4">
        <v>1</v>
      </c>
      <c r="D755" s="4">
        <v>0</v>
      </c>
      <c r="E755" s="4">
        <v>0</v>
      </c>
      <c r="F755" s="4">
        <v>1</v>
      </c>
      <c r="G755" s="4">
        <v>111001</v>
      </c>
      <c r="H755" s="4">
        <v>1</v>
      </c>
      <c r="I755" s="4">
        <f t="shared" si="12"/>
        <v>316</v>
      </c>
      <c r="J755" s="4">
        <f t="shared" si="13"/>
        <v>474</v>
      </c>
      <c r="K755" s="4" t="s">
        <v>1183</v>
      </c>
    </row>
    <row r="756" spans="1:11" s="4" customFormat="1">
      <c r="A756" s="4">
        <v>111396</v>
      </c>
      <c r="B756" s="4">
        <v>1</v>
      </c>
      <c r="C756" s="4">
        <v>1</v>
      </c>
      <c r="D756" s="4">
        <v>0</v>
      </c>
      <c r="E756" s="4">
        <v>0</v>
      </c>
      <c r="F756" s="4">
        <v>1</v>
      </c>
      <c r="G756" s="4">
        <v>111001</v>
      </c>
      <c r="H756" s="4">
        <v>1</v>
      </c>
      <c r="I756" s="4">
        <f t="shared" si="12"/>
        <v>317</v>
      </c>
      <c r="J756" s="4">
        <f t="shared" si="13"/>
        <v>475</v>
      </c>
      <c r="K756" s="4" t="s">
        <v>1184</v>
      </c>
    </row>
    <row r="757" spans="1:11" s="4" customFormat="1">
      <c r="A757" s="4">
        <v>111397</v>
      </c>
      <c r="B757" s="4">
        <v>1</v>
      </c>
      <c r="C757" s="4">
        <v>1</v>
      </c>
      <c r="D757" s="4">
        <v>0</v>
      </c>
      <c r="E757" s="4">
        <v>0</v>
      </c>
      <c r="F757" s="4">
        <v>1</v>
      </c>
      <c r="G757" s="4">
        <v>111001</v>
      </c>
      <c r="H757" s="4">
        <v>1</v>
      </c>
      <c r="I757" s="4">
        <f t="shared" si="12"/>
        <v>318</v>
      </c>
      <c r="J757" s="4">
        <f t="shared" si="13"/>
        <v>476</v>
      </c>
      <c r="K757" s="4" t="s">
        <v>1185</v>
      </c>
    </row>
    <row r="758" spans="1:11" s="4" customFormat="1">
      <c r="A758" s="4">
        <v>111398</v>
      </c>
      <c r="B758" s="4">
        <v>1</v>
      </c>
      <c r="C758" s="4">
        <v>1</v>
      </c>
      <c r="D758" s="4">
        <v>0</v>
      </c>
      <c r="E758" s="4">
        <v>0</v>
      </c>
      <c r="F758" s="4">
        <v>1</v>
      </c>
      <c r="G758" s="4">
        <v>111001</v>
      </c>
      <c r="H758" s="4">
        <v>1</v>
      </c>
      <c r="I758" s="4">
        <f t="shared" si="12"/>
        <v>318</v>
      </c>
      <c r="J758" s="4">
        <f t="shared" si="13"/>
        <v>478</v>
      </c>
      <c r="K758" s="4" t="s">
        <v>1186</v>
      </c>
    </row>
    <row r="759" spans="1:11" s="4" customFormat="1">
      <c r="A759" s="4">
        <v>111399</v>
      </c>
      <c r="B759" s="4">
        <v>1</v>
      </c>
      <c r="C759" s="4">
        <v>1</v>
      </c>
      <c r="D759" s="4">
        <v>0</v>
      </c>
      <c r="E759" s="4">
        <v>0</v>
      </c>
      <c r="F759" s="4">
        <v>1</v>
      </c>
      <c r="G759" s="4">
        <v>111001</v>
      </c>
      <c r="H759" s="4">
        <v>1</v>
      </c>
      <c r="I759" s="4">
        <f t="shared" si="12"/>
        <v>319</v>
      </c>
      <c r="J759" s="4">
        <f t="shared" si="13"/>
        <v>479</v>
      </c>
      <c r="K759" s="4" t="s">
        <v>1187</v>
      </c>
    </row>
    <row r="760" spans="1:11" s="4" customFormat="1">
      <c r="A760" s="4">
        <v>111400</v>
      </c>
      <c r="B760" s="4">
        <v>1</v>
      </c>
      <c r="C760" s="4">
        <v>1</v>
      </c>
      <c r="D760" s="4">
        <v>0</v>
      </c>
      <c r="E760" s="4">
        <v>0</v>
      </c>
      <c r="F760" s="4">
        <v>1</v>
      </c>
      <c r="G760" s="4">
        <v>111001</v>
      </c>
      <c r="H760" s="4">
        <v>1</v>
      </c>
      <c r="I760" s="4">
        <f t="shared" si="12"/>
        <v>320</v>
      </c>
      <c r="J760" s="4">
        <f t="shared" si="13"/>
        <v>480</v>
      </c>
      <c r="K760" s="4" t="s">
        <v>1188</v>
      </c>
    </row>
    <row r="761" spans="1:11" s="4" customFormat="1">
      <c r="A761" s="4">
        <v>111401</v>
      </c>
      <c r="B761" s="4">
        <v>1</v>
      </c>
      <c r="C761" s="4">
        <v>1</v>
      </c>
      <c r="D761" s="4">
        <v>0</v>
      </c>
      <c r="E761" s="4">
        <v>0</v>
      </c>
      <c r="F761" s="4">
        <v>1</v>
      </c>
      <c r="G761" s="4">
        <v>111001</v>
      </c>
      <c r="H761" s="4">
        <v>1</v>
      </c>
      <c r="I761" s="4">
        <f t="shared" si="12"/>
        <v>321</v>
      </c>
      <c r="J761" s="4">
        <f t="shared" si="13"/>
        <v>481</v>
      </c>
      <c r="K761" s="4" t="s">
        <v>1189</v>
      </c>
    </row>
    <row r="762" spans="1:11" s="4" customFormat="1">
      <c r="A762" s="4">
        <v>111402</v>
      </c>
      <c r="B762" s="4">
        <v>1</v>
      </c>
      <c r="C762" s="4">
        <v>1</v>
      </c>
      <c r="D762" s="4">
        <v>0</v>
      </c>
      <c r="E762" s="4">
        <v>0</v>
      </c>
      <c r="F762" s="4">
        <v>1</v>
      </c>
      <c r="G762" s="4">
        <v>111001</v>
      </c>
      <c r="H762" s="4">
        <v>1</v>
      </c>
      <c r="I762" s="4">
        <f t="shared" si="12"/>
        <v>322</v>
      </c>
      <c r="J762" s="4">
        <f t="shared" si="13"/>
        <v>482</v>
      </c>
      <c r="K762" s="4" t="s">
        <v>1190</v>
      </c>
    </row>
    <row r="763" spans="1:11" s="4" customFormat="1">
      <c r="A763" s="4">
        <v>111403</v>
      </c>
      <c r="B763" s="4">
        <v>1</v>
      </c>
      <c r="C763" s="4">
        <v>1</v>
      </c>
      <c r="D763" s="4">
        <v>0</v>
      </c>
      <c r="E763" s="4">
        <v>0</v>
      </c>
      <c r="F763" s="4">
        <v>1</v>
      </c>
      <c r="G763" s="4">
        <v>111001</v>
      </c>
      <c r="H763" s="4">
        <v>1</v>
      </c>
      <c r="I763" s="4">
        <f t="shared" si="12"/>
        <v>322</v>
      </c>
      <c r="J763" s="4">
        <f t="shared" si="13"/>
        <v>484</v>
      </c>
      <c r="K763" s="4" t="s">
        <v>1191</v>
      </c>
    </row>
    <row r="764" spans="1:11" s="4" customFormat="1">
      <c r="A764" s="4">
        <v>111404</v>
      </c>
      <c r="B764" s="4">
        <v>1</v>
      </c>
      <c r="C764" s="4">
        <v>1</v>
      </c>
      <c r="D764" s="4">
        <v>0</v>
      </c>
      <c r="E764" s="4">
        <v>0</v>
      </c>
      <c r="F764" s="4">
        <v>1</v>
      </c>
      <c r="G764" s="4">
        <v>111001</v>
      </c>
      <c r="H764" s="4">
        <v>1</v>
      </c>
      <c r="I764" s="4">
        <f t="shared" si="12"/>
        <v>323</v>
      </c>
      <c r="J764" s="4">
        <f t="shared" si="13"/>
        <v>485</v>
      </c>
      <c r="K764" s="4" t="s">
        <v>1192</v>
      </c>
    </row>
    <row r="765" spans="1:11" s="4" customFormat="1">
      <c r="A765" s="4">
        <v>111405</v>
      </c>
      <c r="B765" s="4">
        <v>1</v>
      </c>
      <c r="C765" s="4">
        <v>1</v>
      </c>
      <c r="D765" s="4">
        <v>0</v>
      </c>
      <c r="E765" s="4">
        <v>0</v>
      </c>
      <c r="F765" s="4">
        <v>1</v>
      </c>
      <c r="G765" s="4">
        <v>111001</v>
      </c>
      <c r="H765" s="4">
        <v>1</v>
      </c>
      <c r="I765" s="4">
        <f t="shared" si="12"/>
        <v>324</v>
      </c>
      <c r="J765" s="4">
        <f t="shared" si="13"/>
        <v>486</v>
      </c>
      <c r="K765" s="4" t="s">
        <v>1193</v>
      </c>
    </row>
    <row r="766" spans="1:11" s="4" customFormat="1">
      <c r="A766" s="4">
        <v>111406</v>
      </c>
      <c r="B766" s="4">
        <v>1</v>
      </c>
      <c r="C766" s="4">
        <v>1</v>
      </c>
      <c r="D766" s="4">
        <v>0</v>
      </c>
      <c r="E766" s="4">
        <v>0</v>
      </c>
      <c r="F766" s="4">
        <v>1</v>
      </c>
      <c r="G766" s="4">
        <v>111001</v>
      </c>
      <c r="H766" s="4">
        <v>1</v>
      </c>
      <c r="I766" s="4">
        <f t="shared" si="12"/>
        <v>325</v>
      </c>
      <c r="J766" s="4">
        <f t="shared" si="13"/>
        <v>487</v>
      </c>
      <c r="K766" s="4" t="s">
        <v>1194</v>
      </c>
    </row>
    <row r="767" spans="1:11" s="4" customFormat="1">
      <c r="A767" s="4">
        <v>111407</v>
      </c>
      <c r="B767" s="4">
        <v>1</v>
      </c>
      <c r="C767" s="4">
        <v>1</v>
      </c>
      <c r="D767" s="4">
        <v>0</v>
      </c>
      <c r="E767" s="4">
        <v>0</v>
      </c>
      <c r="F767" s="4">
        <v>1</v>
      </c>
      <c r="G767" s="4">
        <v>111001</v>
      </c>
      <c r="H767" s="4">
        <v>1</v>
      </c>
      <c r="I767" s="4">
        <f t="shared" si="12"/>
        <v>326</v>
      </c>
      <c r="J767" s="4">
        <f t="shared" si="13"/>
        <v>488</v>
      </c>
      <c r="K767" s="4" t="s">
        <v>1195</v>
      </c>
    </row>
    <row r="768" spans="1:11" s="4" customFormat="1">
      <c r="A768" s="4">
        <v>111408</v>
      </c>
      <c r="B768" s="4">
        <v>1</v>
      </c>
      <c r="C768" s="4">
        <v>1</v>
      </c>
      <c r="D768" s="4">
        <v>0</v>
      </c>
      <c r="E768" s="4">
        <v>0</v>
      </c>
      <c r="F768" s="4">
        <v>1</v>
      </c>
      <c r="G768" s="4">
        <v>111001</v>
      </c>
      <c r="H768" s="4">
        <v>1</v>
      </c>
      <c r="I768" s="4">
        <f t="shared" si="12"/>
        <v>326</v>
      </c>
      <c r="J768" s="4">
        <f t="shared" si="13"/>
        <v>490</v>
      </c>
      <c r="K768" s="4" t="s">
        <v>1196</v>
      </c>
    </row>
    <row r="769" spans="1:11" s="4" customFormat="1">
      <c r="A769" s="4">
        <v>111409</v>
      </c>
      <c r="B769" s="4">
        <v>1</v>
      </c>
      <c r="C769" s="4">
        <v>1</v>
      </c>
      <c r="D769" s="4">
        <v>0</v>
      </c>
      <c r="E769" s="4">
        <v>0</v>
      </c>
      <c r="F769" s="4">
        <v>1</v>
      </c>
      <c r="G769" s="4">
        <v>111001</v>
      </c>
      <c r="H769" s="4">
        <v>1</v>
      </c>
      <c r="I769" s="4">
        <f t="shared" si="12"/>
        <v>327</v>
      </c>
      <c r="J769" s="4">
        <f t="shared" si="13"/>
        <v>491</v>
      </c>
      <c r="K769" s="4" t="s">
        <v>1197</v>
      </c>
    </row>
    <row r="770" spans="1:11" s="4" customFormat="1">
      <c r="A770" s="4">
        <v>111410</v>
      </c>
      <c r="B770" s="4">
        <v>1</v>
      </c>
      <c r="C770" s="4">
        <v>1</v>
      </c>
      <c r="D770" s="4">
        <v>0</v>
      </c>
      <c r="E770" s="4">
        <v>0</v>
      </c>
      <c r="F770" s="4">
        <v>1</v>
      </c>
      <c r="G770" s="4">
        <v>111001</v>
      </c>
      <c r="H770" s="4">
        <v>1</v>
      </c>
      <c r="I770" s="4">
        <f t="shared" si="12"/>
        <v>328</v>
      </c>
      <c r="J770" s="4">
        <f t="shared" si="13"/>
        <v>492</v>
      </c>
      <c r="K770" s="4" t="s">
        <v>1198</v>
      </c>
    </row>
    <row r="771" spans="1:11" s="4" customFormat="1">
      <c r="A771" s="4">
        <v>111411</v>
      </c>
      <c r="B771" s="4">
        <v>1</v>
      </c>
      <c r="C771" s="4">
        <v>1</v>
      </c>
      <c r="D771" s="4">
        <v>0</v>
      </c>
      <c r="E771" s="4">
        <v>0</v>
      </c>
      <c r="F771" s="4">
        <v>1</v>
      </c>
      <c r="G771" s="4">
        <v>111001</v>
      </c>
      <c r="H771" s="4">
        <v>1</v>
      </c>
      <c r="I771" s="4">
        <f t="shared" si="12"/>
        <v>329</v>
      </c>
      <c r="J771" s="4">
        <f t="shared" si="13"/>
        <v>493</v>
      </c>
      <c r="K771" s="4" t="s">
        <v>1199</v>
      </c>
    </row>
    <row r="772" spans="1:11" s="4" customFormat="1">
      <c r="A772" s="4">
        <v>111412</v>
      </c>
      <c r="B772" s="4">
        <v>1</v>
      </c>
      <c r="C772" s="4">
        <v>1</v>
      </c>
      <c r="D772" s="4">
        <v>0</v>
      </c>
      <c r="E772" s="4">
        <v>0</v>
      </c>
      <c r="F772" s="4">
        <v>1</v>
      </c>
      <c r="G772" s="4">
        <v>111001</v>
      </c>
      <c r="H772" s="4">
        <v>1</v>
      </c>
      <c r="I772" s="4">
        <f t="shared" si="12"/>
        <v>330</v>
      </c>
      <c r="J772" s="4">
        <f t="shared" si="13"/>
        <v>494</v>
      </c>
      <c r="K772" s="4" t="s">
        <v>1200</v>
      </c>
    </row>
    <row r="773" spans="1:11" s="4" customFormat="1">
      <c r="A773" s="4">
        <v>111413</v>
      </c>
      <c r="B773" s="4">
        <v>1</v>
      </c>
      <c r="C773" s="4">
        <v>1</v>
      </c>
      <c r="D773" s="4">
        <v>0</v>
      </c>
      <c r="E773" s="4">
        <v>0</v>
      </c>
      <c r="F773" s="4">
        <v>1</v>
      </c>
      <c r="G773" s="4">
        <v>111001</v>
      </c>
      <c r="H773" s="4">
        <v>1</v>
      </c>
      <c r="I773" s="4">
        <f t="shared" si="12"/>
        <v>330</v>
      </c>
      <c r="J773" s="4">
        <f t="shared" si="13"/>
        <v>496</v>
      </c>
      <c r="K773" s="4" t="s">
        <v>1201</v>
      </c>
    </row>
    <row r="774" spans="1:11" s="4" customFormat="1">
      <c r="A774" s="4">
        <v>111414</v>
      </c>
      <c r="B774" s="4">
        <v>1</v>
      </c>
      <c r="C774" s="4">
        <v>1</v>
      </c>
      <c r="D774" s="4">
        <v>0</v>
      </c>
      <c r="E774" s="4">
        <v>0</v>
      </c>
      <c r="F774" s="4">
        <v>1</v>
      </c>
      <c r="G774" s="4">
        <v>111001</v>
      </c>
      <c r="H774" s="4">
        <v>1</v>
      </c>
      <c r="I774" s="4">
        <f t="shared" si="12"/>
        <v>331</v>
      </c>
      <c r="J774" s="4">
        <f t="shared" si="13"/>
        <v>497</v>
      </c>
      <c r="K774" s="4" t="s">
        <v>1202</v>
      </c>
    </row>
    <row r="775" spans="1:11" s="4" customFormat="1">
      <c r="A775" s="4">
        <v>111415</v>
      </c>
      <c r="B775" s="4">
        <v>1</v>
      </c>
      <c r="C775" s="4">
        <v>1</v>
      </c>
      <c r="D775" s="4">
        <v>0</v>
      </c>
      <c r="E775" s="4">
        <v>0</v>
      </c>
      <c r="F775" s="4">
        <v>1</v>
      </c>
      <c r="G775" s="4">
        <v>111001</v>
      </c>
      <c r="H775" s="4">
        <v>1</v>
      </c>
      <c r="I775" s="4">
        <f t="shared" si="12"/>
        <v>332</v>
      </c>
      <c r="J775" s="4">
        <f t="shared" si="13"/>
        <v>498</v>
      </c>
      <c r="K775" s="4" t="s">
        <v>1203</v>
      </c>
    </row>
    <row r="776" spans="1:11" s="4" customFormat="1">
      <c r="A776" s="4">
        <v>111416</v>
      </c>
      <c r="B776" s="4">
        <v>1</v>
      </c>
      <c r="C776" s="4">
        <v>1</v>
      </c>
      <c r="D776" s="4">
        <v>0</v>
      </c>
      <c r="E776" s="4">
        <v>0</v>
      </c>
      <c r="F776" s="4">
        <v>1</v>
      </c>
      <c r="G776" s="4">
        <v>111001</v>
      </c>
      <c r="H776" s="4">
        <v>1</v>
      </c>
      <c r="I776" s="4">
        <f t="shared" si="12"/>
        <v>333</v>
      </c>
      <c r="J776" s="4">
        <f t="shared" si="13"/>
        <v>499</v>
      </c>
      <c r="K776" s="4" t="s">
        <v>1204</v>
      </c>
    </row>
    <row r="777" spans="1:11" s="4" customFormat="1">
      <c r="A777" s="4">
        <v>111417</v>
      </c>
      <c r="B777" s="4">
        <v>1</v>
      </c>
      <c r="C777" s="4">
        <v>1</v>
      </c>
      <c r="D777" s="4">
        <v>0</v>
      </c>
      <c r="E777" s="4">
        <v>0</v>
      </c>
      <c r="F777" s="4">
        <v>1</v>
      </c>
      <c r="G777" s="4">
        <v>111001</v>
      </c>
      <c r="H777" s="4">
        <v>1</v>
      </c>
      <c r="I777" s="4">
        <f t="shared" si="12"/>
        <v>334</v>
      </c>
      <c r="J777" s="4">
        <f t="shared" si="13"/>
        <v>500</v>
      </c>
      <c r="K777" s="4" t="s">
        <v>1205</v>
      </c>
    </row>
    <row r="778" spans="1:11" s="4" customFormat="1">
      <c r="A778" s="4">
        <v>111418</v>
      </c>
      <c r="B778" s="4">
        <v>1</v>
      </c>
      <c r="C778" s="4">
        <v>1</v>
      </c>
      <c r="D778" s="4">
        <v>0</v>
      </c>
      <c r="E778" s="4">
        <v>0</v>
      </c>
      <c r="F778" s="4">
        <v>1</v>
      </c>
      <c r="G778" s="4">
        <v>111001</v>
      </c>
      <c r="H778" s="4">
        <v>1</v>
      </c>
      <c r="I778" s="4">
        <f t="shared" si="12"/>
        <v>334</v>
      </c>
      <c r="J778" s="4">
        <f t="shared" si="13"/>
        <v>502</v>
      </c>
      <c r="K778" s="4" t="s">
        <v>1206</v>
      </c>
    </row>
    <row r="779" spans="1:11" s="4" customFormat="1">
      <c r="A779" s="4">
        <v>111419</v>
      </c>
      <c r="B779" s="4">
        <v>1</v>
      </c>
      <c r="C779" s="4">
        <v>1</v>
      </c>
      <c r="D779" s="4">
        <v>0</v>
      </c>
      <c r="E779" s="4">
        <v>0</v>
      </c>
      <c r="F779" s="4">
        <v>1</v>
      </c>
      <c r="G779" s="4">
        <v>111001</v>
      </c>
      <c r="H779" s="4">
        <v>1</v>
      </c>
      <c r="I779" s="4">
        <f t="shared" si="12"/>
        <v>335</v>
      </c>
      <c r="J779" s="4">
        <f t="shared" si="13"/>
        <v>503</v>
      </c>
      <c r="K779" s="4" t="s">
        <v>1207</v>
      </c>
    </row>
    <row r="780" spans="1:11" s="4" customFormat="1">
      <c r="A780" s="4">
        <v>111420</v>
      </c>
      <c r="B780" s="4">
        <v>1</v>
      </c>
      <c r="C780" s="4">
        <v>1</v>
      </c>
      <c r="D780" s="4">
        <v>0</v>
      </c>
      <c r="E780" s="4">
        <v>0</v>
      </c>
      <c r="F780" s="4">
        <v>1</v>
      </c>
      <c r="G780" s="4">
        <v>111001</v>
      </c>
      <c r="H780" s="4">
        <v>1</v>
      </c>
      <c r="I780" s="4">
        <f t="shared" si="12"/>
        <v>336</v>
      </c>
      <c r="J780" s="4">
        <f t="shared" si="13"/>
        <v>504</v>
      </c>
      <c r="K780" s="4" t="s">
        <v>1208</v>
      </c>
    </row>
    <row r="781" spans="1:11" s="4" customFormat="1">
      <c r="A781" s="4">
        <v>111421</v>
      </c>
      <c r="B781" s="4">
        <v>1</v>
      </c>
      <c r="C781" s="4">
        <v>1</v>
      </c>
      <c r="D781" s="4">
        <v>0</v>
      </c>
      <c r="E781" s="4">
        <v>0</v>
      </c>
      <c r="F781" s="4">
        <v>1</v>
      </c>
      <c r="G781" s="4">
        <v>111001</v>
      </c>
      <c r="H781" s="4">
        <v>1</v>
      </c>
      <c r="I781" s="4">
        <f t="shared" si="12"/>
        <v>337</v>
      </c>
      <c r="J781" s="4">
        <f t="shared" si="13"/>
        <v>505</v>
      </c>
      <c r="K781" s="4" t="s">
        <v>1209</v>
      </c>
    </row>
    <row r="782" spans="1:11" s="4" customFormat="1">
      <c r="A782" s="4">
        <v>111422</v>
      </c>
      <c r="B782" s="4">
        <v>1</v>
      </c>
      <c r="C782" s="4">
        <v>1</v>
      </c>
      <c r="D782" s="4">
        <v>0</v>
      </c>
      <c r="E782" s="4">
        <v>0</v>
      </c>
      <c r="F782" s="4">
        <v>1</v>
      </c>
      <c r="G782" s="4">
        <v>111001</v>
      </c>
      <c r="H782" s="4">
        <v>1</v>
      </c>
      <c r="I782" s="4">
        <f t="shared" si="12"/>
        <v>338</v>
      </c>
      <c r="J782" s="4">
        <f t="shared" si="13"/>
        <v>506</v>
      </c>
      <c r="K782" s="4" t="s">
        <v>1210</v>
      </c>
    </row>
    <row r="783" spans="1:11" s="4" customFormat="1">
      <c r="A783" s="4">
        <v>111423</v>
      </c>
      <c r="B783" s="4">
        <v>1</v>
      </c>
      <c r="C783" s="4">
        <v>1</v>
      </c>
      <c r="D783" s="4">
        <v>0</v>
      </c>
      <c r="E783" s="4">
        <v>0</v>
      </c>
      <c r="F783" s="4">
        <v>1</v>
      </c>
      <c r="G783" s="4">
        <v>111001</v>
      </c>
      <c r="H783" s="4">
        <v>1</v>
      </c>
      <c r="I783" s="4">
        <f t="shared" si="12"/>
        <v>338</v>
      </c>
      <c r="J783" s="4">
        <f t="shared" si="13"/>
        <v>508</v>
      </c>
      <c r="K783" s="4" t="s">
        <v>1211</v>
      </c>
    </row>
    <row r="784" spans="1:11" s="4" customFormat="1">
      <c r="A784" s="4">
        <v>111424</v>
      </c>
      <c r="B784" s="4">
        <v>1</v>
      </c>
      <c r="C784" s="4">
        <v>1</v>
      </c>
      <c r="D784" s="4">
        <v>0</v>
      </c>
      <c r="E784" s="4">
        <v>0</v>
      </c>
      <c r="F784" s="4">
        <v>1</v>
      </c>
      <c r="G784" s="4">
        <v>111001</v>
      </c>
      <c r="H784" s="4">
        <v>1</v>
      </c>
      <c r="I784" s="4">
        <f t="shared" si="12"/>
        <v>339</v>
      </c>
      <c r="J784" s="4">
        <f t="shared" si="13"/>
        <v>509</v>
      </c>
      <c r="K784" s="4" t="s">
        <v>1212</v>
      </c>
    </row>
    <row r="785" spans="1:11" s="4" customFormat="1">
      <c r="A785" s="4">
        <v>111425</v>
      </c>
      <c r="B785" s="4">
        <v>1</v>
      </c>
      <c r="C785" s="4">
        <v>1</v>
      </c>
      <c r="D785" s="4">
        <v>0</v>
      </c>
      <c r="E785" s="4">
        <v>0</v>
      </c>
      <c r="F785" s="4">
        <v>1</v>
      </c>
      <c r="G785" s="4">
        <v>111001</v>
      </c>
      <c r="H785" s="4">
        <v>1</v>
      </c>
      <c r="I785" s="4">
        <f t="shared" si="12"/>
        <v>340</v>
      </c>
      <c r="J785" s="4">
        <f t="shared" si="13"/>
        <v>510</v>
      </c>
      <c r="K785" s="4" t="s">
        <v>1213</v>
      </c>
    </row>
    <row r="786" spans="1:11" s="4" customFormat="1">
      <c r="A786" s="4">
        <v>111426</v>
      </c>
      <c r="B786" s="4">
        <v>1</v>
      </c>
      <c r="C786" s="4">
        <v>1</v>
      </c>
      <c r="D786" s="4">
        <v>0</v>
      </c>
      <c r="E786" s="4">
        <v>0</v>
      </c>
      <c r="F786" s="4">
        <v>1</v>
      </c>
      <c r="G786" s="4">
        <v>111001</v>
      </c>
      <c r="H786" s="4">
        <v>1</v>
      </c>
      <c r="I786" s="4">
        <f t="shared" si="12"/>
        <v>341</v>
      </c>
      <c r="J786" s="4">
        <f t="shared" si="13"/>
        <v>511</v>
      </c>
      <c r="K786" s="4" t="s">
        <v>1214</v>
      </c>
    </row>
    <row r="787" spans="1:11" s="4" customFormat="1">
      <c r="A787" s="4">
        <v>111427</v>
      </c>
      <c r="B787" s="4">
        <v>1</v>
      </c>
      <c r="C787" s="4">
        <v>1</v>
      </c>
      <c r="D787" s="4">
        <v>0</v>
      </c>
      <c r="E787" s="4">
        <v>0</v>
      </c>
      <c r="F787" s="4">
        <v>1</v>
      </c>
      <c r="G787" s="4">
        <v>111001</v>
      </c>
      <c r="H787" s="4">
        <v>1</v>
      </c>
      <c r="I787" s="4">
        <f t="shared" si="12"/>
        <v>342</v>
      </c>
      <c r="J787" s="4">
        <f t="shared" si="13"/>
        <v>512</v>
      </c>
      <c r="K787" s="4" t="s">
        <v>1215</v>
      </c>
    </row>
    <row r="788" spans="1:11" s="4" customFormat="1">
      <c r="A788" s="4">
        <v>111428</v>
      </c>
      <c r="B788" s="4">
        <v>1</v>
      </c>
      <c r="C788" s="4">
        <v>1</v>
      </c>
      <c r="D788" s="4">
        <v>0</v>
      </c>
      <c r="E788" s="4">
        <v>0</v>
      </c>
      <c r="F788" s="4">
        <v>1</v>
      </c>
      <c r="G788" s="4">
        <v>111001</v>
      </c>
      <c r="H788" s="4">
        <v>1</v>
      </c>
      <c r="I788" s="4">
        <f t="shared" si="12"/>
        <v>342</v>
      </c>
      <c r="J788" s="4">
        <f t="shared" si="13"/>
        <v>514</v>
      </c>
      <c r="K788" s="4" t="s">
        <v>1216</v>
      </c>
    </row>
    <row r="789" spans="1:11" s="4" customFormat="1">
      <c r="A789" s="4">
        <v>111429</v>
      </c>
      <c r="B789" s="4">
        <v>1</v>
      </c>
      <c r="C789" s="4">
        <v>1</v>
      </c>
      <c r="D789" s="4">
        <v>0</v>
      </c>
      <c r="E789" s="4">
        <v>0</v>
      </c>
      <c r="F789" s="4">
        <v>1</v>
      </c>
      <c r="G789" s="4">
        <v>111001</v>
      </c>
      <c r="H789" s="4">
        <v>1</v>
      </c>
      <c r="I789" s="4">
        <f t="shared" si="12"/>
        <v>343</v>
      </c>
      <c r="J789" s="4">
        <f t="shared" si="13"/>
        <v>515</v>
      </c>
      <c r="K789" s="4" t="s">
        <v>1217</v>
      </c>
    </row>
    <row r="790" spans="1:11" s="4" customFormat="1">
      <c r="A790" s="4">
        <v>111430</v>
      </c>
      <c r="B790" s="4">
        <v>1</v>
      </c>
      <c r="C790" s="4">
        <v>1</v>
      </c>
      <c r="D790" s="4">
        <v>0</v>
      </c>
      <c r="E790" s="4">
        <v>0</v>
      </c>
      <c r="F790" s="4">
        <v>1</v>
      </c>
      <c r="G790" s="4">
        <v>111001</v>
      </c>
      <c r="H790" s="4">
        <v>1</v>
      </c>
      <c r="I790" s="4">
        <f t="shared" si="12"/>
        <v>344</v>
      </c>
      <c r="J790" s="4">
        <f t="shared" si="13"/>
        <v>516</v>
      </c>
      <c r="K790" s="4" t="s">
        <v>1218</v>
      </c>
    </row>
    <row r="791" spans="1:11" s="4" customFormat="1">
      <c r="A791" s="4">
        <v>111431</v>
      </c>
      <c r="B791" s="4">
        <v>1</v>
      </c>
      <c r="C791" s="4">
        <v>1</v>
      </c>
      <c r="D791" s="4">
        <v>0</v>
      </c>
      <c r="E791" s="4">
        <v>0</v>
      </c>
      <c r="F791" s="4">
        <v>1</v>
      </c>
      <c r="G791" s="4">
        <v>111001</v>
      </c>
      <c r="H791" s="4">
        <v>1</v>
      </c>
      <c r="I791" s="4">
        <f t="shared" si="12"/>
        <v>345</v>
      </c>
      <c r="J791" s="4">
        <f t="shared" si="13"/>
        <v>517</v>
      </c>
      <c r="K791" s="4" t="s">
        <v>1219</v>
      </c>
    </row>
    <row r="792" spans="1:11" s="4" customFormat="1">
      <c r="A792" s="4">
        <v>111432</v>
      </c>
      <c r="B792" s="4">
        <v>1</v>
      </c>
      <c r="C792" s="4">
        <v>1</v>
      </c>
      <c r="D792" s="4">
        <v>0</v>
      </c>
      <c r="E792" s="4">
        <v>0</v>
      </c>
      <c r="F792" s="4">
        <v>1</v>
      </c>
      <c r="G792" s="4">
        <v>111001</v>
      </c>
      <c r="H792" s="4">
        <v>1</v>
      </c>
      <c r="I792" s="4">
        <f t="shared" si="12"/>
        <v>346</v>
      </c>
      <c r="J792" s="4">
        <f t="shared" si="13"/>
        <v>518</v>
      </c>
      <c r="K792" s="4" t="s">
        <v>1220</v>
      </c>
    </row>
    <row r="793" spans="1:11" s="4" customFormat="1">
      <c r="A793" s="4">
        <v>111433</v>
      </c>
      <c r="B793" s="4">
        <v>1</v>
      </c>
      <c r="C793" s="4">
        <v>1</v>
      </c>
      <c r="D793" s="4">
        <v>0</v>
      </c>
      <c r="E793" s="4">
        <v>0</v>
      </c>
      <c r="F793" s="4">
        <v>1</v>
      </c>
      <c r="G793" s="4">
        <v>111001</v>
      </c>
      <c r="H793" s="4">
        <v>1</v>
      </c>
      <c r="I793" s="4">
        <f t="shared" si="12"/>
        <v>346</v>
      </c>
      <c r="J793" s="4">
        <f t="shared" si="13"/>
        <v>520</v>
      </c>
      <c r="K793" s="4" t="s">
        <v>1221</v>
      </c>
    </row>
    <row r="794" spans="1:11" s="4" customFormat="1">
      <c r="A794" s="4">
        <v>111434</v>
      </c>
      <c r="B794" s="4">
        <v>1</v>
      </c>
      <c r="C794" s="4">
        <v>1</v>
      </c>
      <c r="D794" s="4">
        <v>0</v>
      </c>
      <c r="E794" s="4">
        <v>0</v>
      </c>
      <c r="F794" s="4">
        <v>1</v>
      </c>
      <c r="G794" s="4">
        <v>111001</v>
      </c>
      <c r="H794" s="4">
        <v>1</v>
      </c>
      <c r="I794" s="4">
        <f t="shared" si="12"/>
        <v>347</v>
      </c>
      <c r="J794" s="4">
        <f t="shared" si="13"/>
        <v>521</v>
      </c>
      <c r="K794" s="4" t="s">
        <v>1222</v>
      </c>
    </row>
    <row r="795" spans="1:11" s="4" customFormat="1">
      <c r="A795" s="4">
        <v>111435</v>
      </c>
      <c r="B795" s="4">
        <v>1</v>
      </c>
      <c r="C795" s="4">
        <v>1</v>
      </c>
      <c r="D795" s="4">
        <v>0</v>
      </c>
      <c r="E795" s="4">
        <v>0</v>
      </c>
      <c r="F795" s="4">
        <v>1</v>
      </c>
      <c r="G795" s="4">
        <v>111001</v>
      </c>
      <c r="H795" s="4">
        <v>1</v>
      </c>
      <c r="I795" s="4">
        <f t="shared" si="12"/>
        <v>348</v>
      </c>
      <c r="J795" s="4">
        <f t="shared" si="13"/>
        <v>522</v>
      </c>
      <c r="K795" s="4" t="s">
        <v>1223</v>
      </c>
    </row>
    <row r="796" spans="1:11" s="4" customFormat="1">
      <c r="A796" s="4">
        <v>111436</v>
      </c>
      <c r="B796" s="4">
        <v>1</v>
      </c>
      <c r="C796" s="4">
        <v>1</v>
      </c>
      <c r="D796" s="4">
        <v>0</v>
      </c>
      <c r="E796" s="4">
        <v>0</v>
      </c>
      <c r="F796" s="4">
        <v>1</v>
      </c>
      <c r="G796" s="4">
        <v>111001</v>
      </c>
      <c r="H796" s="4">
        <v>1</v>
      </c>
      <c r="I796" s="4">
        <f t="shared" si="12"/>
        <v>349</v>
      </c>
      <c r="J796" s="4">
        <f t="shared" si="13"/>
        <v>523</v>
      </c>
      <c r="K796" s="4" t="s">
        <v>1224</v>
      </c>
    </row>
    <row r="797" spans="1:11" s="4" customFormat="1">
      <c r="A797" s="4">
        <v>111437</v>
      </c>
      <c r="B797" s="4">
        <v>1</v>
      </c>
      <c r="C797" s="4">
        <v>1</v>
      </c>
      <c r="D797" s="4">
        <v>0</v>
      </c>
      <c r="E797" s="4">
        <v>0</v>
      </c>
      <c r="F797" s="4">
        <v>1</v>
      </c>
      <c r="G797" s="4">
        <v>111001</v>
      </c>
      <c r="H797" s="4">
        <v>1</v>
      </c>
      <c r="I797" s="4">
        <f t="shared" si="12"/>
        <v>350</v>
      </c>
      <c r="J797" s="4">
        <f t="shared" si="13"/>
        <v>524</v>
      </c>
      <c r="K797" s="4" t="s">
        <v>1225</v>
      </c>
    </row>
    <row r="798" spans="1:11" s="4" customFormat="1">
      <c r="A798" s="4">
        <v>111438</v>
      </c>
      <c r="B798" s="4">
        <v>1</v>
      </c>
      <c r="C798" s="4">
        <v>1</v>
      </c>
      <c r="D798" s="4">
        <v>0</v>
      </c>
      <c r="E798" s="4">
        <v>0</v>
      </c>
      <c r="F798" s="4">
        <v>1</v>
      </c>
      <c r="G798" s="4">
        <v>111001</v>
      </c>
      <c r="H798" s="4">
        <v>1</v>
      </c>
      <c r="I798" s="4">
        <f t="shared" si="12"/>
        <v>350</v>
      </c>
      <c r="J798" s="4">
        <f t="shared" si="13"/>
        <v>526</v>
      </c>
      <c r="K798" s="4" t="s">
        <v>1226</v>
      </c>
    </row>
    <row r="799" spans="1:11" s="4" customFormat="1">
      <c r="A799" s="4">
        <v>111439</v>
      </c>
      <c r="B799" s="4">
        <v>1</v>
      </c>
      <c r="C799" s="4">
        <v>1</v>
      </c>
      <c r="D799" s="4">
        <v>0</v>
      </c>
      <c r="E799" s="4">
        <v>0</v>
      </c>
      <c r="F799" s="4">
        <v>1</v>
      </c>
      <c r="G799" s="4">
        <v>111001</v>
      </c>
      <c r="H799" s="4">
        <v>1</v>
      </c>
      <c r="I799" s="4">
        <f t="shared" si="12"/>
        <v>351</v>
      </c>
      <c r="J799" s="4">
        <f t="shared" si="13"/>
        <v>527</v>
      </c>
      <c r="K799" s="4" t="s">
        <v>1227</v>
      </c>
    </row>
    <row r="800" spans="1:11" s="4" customFormat="1">
      <c r="A800" s="4">
        <v>111440</v>
      </c>
      <c r="B800" s="4">
        <v>1</v>
      </c>
      <c r="C800" s="4">
        <v>1</v>
      </c>
      <c r="D800" s="4">
        <v>0</v>
      </c>
      <c r="E800" s="4">
        <v>0</v>
      </c>
      <c r="F800" s="4">
        <v>1</v>
      </c>
      <c r="G800" s="4">
        <v>111001</v>
      </c>
      <c r="H800" s="4">
        <v>1</v>
      </c>
      <c r="I800" s="4">
        <f t="shared" si="12"/>
        <v>352</v>
      </c>
      <c r="J800" s="4">
        <f t="shared" si="13"/>
        <v>528</v>
      </c>
      <c r="K800" s="4" t="s">
        <v>1228</v>
      </c>
    </row>
    <row r="801" spans="1:11" s="4" customFormat="1">
      <c r="A801" s="4">
        <v>111441</v>
      </c>
      <c r="B801" s="4">
        <v>1</v>
      </c>
      <c r="C801" s="4">
        <v>1</v>
      </c>
      <c r="D801" s="4">
        <v>0</v>
      </c>
      <c r="E801" s="4">
        <v>0</v>
      </c>
      <c r="F801" s="4">
        <v>1</v>
      </c>
      <c r="G801" s="4">
        <v>111001</v>
      </c>
      <c r="H801" s="4">
        <v>1</v>
      </c>
      <c r="I801" s="4">
        <f t="shared" si="12"/>
        <v>353</v>
      </c>
      <c r="J801" s="4">
        <f t="shared" si="13"/>
        <v>529</v>
      </c>
      <c r="K801" s="4" t="s">
        <v>1229</v>
      </c>
    </row>
    <row r="802" spans="1:11" s="4" customFormat="1">
      <c r="A802" s="4">
        <v>111442</v>
      </c>
      <c r="B802" s="4">
        <v>1</v>
      </c>
      <c r="C802" s="4">
        <v>1</v>
      </c>
      <c r="D802" s="4">
        <v>0</v>
      </c>
      <c r="E802" s="4">
        <v>0</v>
      </c>
      <c r="F802" s="4">
        <v>1</v>
      </c>
      <c r="G802" s="4">
        <v>111001</v>
      </c>
      <c r="H802" s="4">
        <v>1</v>
      </c>
      <c r="I802" s="4">
        <f t="shared" si="12"/>
        <v>354</v>
      </c>
      <c r="J802" s="4">
        <f t="shared" si="13"/>
        <v>530</v>
      </c>
      <c r="K802" s="4" t="s">
        <v>1230</v>
      </c>
    </row>
    <row r="803" spans="1:11" s="4" customFormat="1">
      <c r="A803" s="4">
        <v>111443</v>
      </c>
      <c r="B803" s="4">
        <v>1</v>
      </c>
      <c r="C803" s="4">
        <v>1</v>
      </c>
      <c r="D803" s="4">
        <v>0</v>
      </c>
      <c r="E803" s="4">
        <v>0</v>
      </c>
      <c r="F803" s="4">
        <v>1</v>
      </c>
      <c r="G803" s="4">
        <v>111001</v>
      </c>
      <c r="H803" s="4">
        <v>1</v>
      </c>
      <c r="I803" s="4">
        <f t="shared" si="12"/>
        <v>354</v>
      </c>
      <c r="J803" s="4">
        <f t="shared" si="13"/>
        <v>532</v>
      </c>
      <c r="K803" s="4" t="s">
        <v>1231</v>
      </c>
    </row>
    <row r="804" spans="1:11" s="4" customFormat="1">
      <c r="A804" s="4">
        <v>111444</v>
      </c>
      <c r="B804" s="4">
        <v>1</v>
      </c>
      <c r="C804" s="4">
        <v>1</v>
      </c>
      <c r="D804" s="4">
        <v>0</v>
      </c>
      <c r="E804" s="4">
        <v>0</v>
      </c>
      <c r="F804" s="4">
        <v>1</v>
      </c>
      <c r="G804" s="4">
        <v>111001</v>
      </c>
      <c r="H804" s="4">
        <v>1</v>
      </c>
      <c r="I804" s="4">
        <f t="shared" si="12"/>
        <v>355</v>
      </c>
      <c r="J804" s="4">
        <f t="shared" si="13"/>
        <v>533</v>
      </c>
      <c r="K804" s="4" t="s">
        <v>1232</v>
      </c>
    </row>
    <row r="805" spans="1:11" s="4" customFormat="1">
      <c r="A805" s="4">
        <v>111445</v>
      </c>
      <c r="B805" s="4">
        <v>1</v>
      </c>
      <c r="C805" s="4">
        <v>1</v>
      </c>
      <c r="D805" s="4">
        <v>0</v>
      </c>
      <c r="E805" s="4">
        <v>0</v>
      </c>
      <c r="F805" s="4">
        <v>1</v>
      </c>
      <c r="G805" s="4">
        <v>111001</v>
      </c>
      <c r="H805" s="4">
        <v>1</v>
      </c>
      <c r="I805" s="4">
        <f t="shared" si="12"/>
        <v>356</v>
      </c>
      <c r="J805" s="4">
        <f t="shared" si="13"/>
        <v>534</v>
      </c>
      <c r="K805" s="4" t="s">
        <v>1233</v>
      </c>
    </row>
    <row r="806" spans="1:11" s="4" customFormat="1">
      <c r="A806" s="4">
        <v>111446</v>
      </c>
      <c r="B806" s="4">
        <v>1</v>
      </c>
      <c r="C806" s="4">
        <v>1</v>
      </c>
      <c r="D806" s="4">
        <v>0</v>
      </c>
      <c r="E806" s="4">
        <v>0</v>
      </c>
      <c r="F806" s="4">
        <v>1</v>
      </c>
      <c r="G806" s="4">
        <v>111001</v>
      </c>
      <c r="H806" s="4">
        <v>1</v>
      </c>
      <c r="I806" s="4">
        <f t="shared" si="12"/>
        <v>357</v>
      </c>
      <c r="J806" s="4">
        <f t="shared" si="13"/>
        <v>535</v>
      </c>
      <c r="K806" s="4" t="s">
        <v>1234</v>
      </c>
    </row>
    <row r="807" spans="1:11" s="4" customFormat="1">
      <c r="A807" s="4">
        <v>111447</v>
      </c>
      <c r="B807" s="4">
        <v>1</v>
      </c>
      <c r="C807" s="4">
        <v>1</v>
      </c>
      <c r="D807" s="4">
        <v>0</v>
      </c>
      <c r="E807" s="4">
        <v>0</v>
      </c>
      <c r="F807" s="4">
        <v>1</v>
      </c>
      <c r="G807" s="4">
        <v>111001</v>
      </c>
      <c r="H807" s="4">
        <v>1</v>
      </c>
      <c r="I807" s="4">
        <f t="shared" si="12"/>
        <v>358</v>
      </c>
      <c r="J807" s="4">
        <f t="shared" si="13"/>
        <v>536</v>
      </c>
      <c r="K807" s="4" t="s">
        <v>1235</v>
      </c>
    </row>
    <row r="808" spans="1:11" s="4" customFormat="1">
      <c r="A808" s="4">
        <v>111448</v>
      </c>
      <c r="B808" s="4">
        <v>1</v>
      </c>
      <c r="C808" s="4">
        <v>1</v>
      </c>
      <c r="D808" s="4">
        <v>0</v>
      </c>
      <c r="E808" s="4">
        <v>0</v>
      </c>
      <c r="F808" s="4">
        <v>1</v>
      </c>
      <c r="G808" s="4">
        <v>111001</v>
      </c>
      <c r="H808" s="4">
        <v>1</v>
      </c>
      <c r="I808" s="4">
        <f t="shared" si="12"/>
        <v>358</v>
      </c>
      <c r="J808" s="4">
        <f t="shared" si="13"/>
        <v>538</v>
      </c>
      <c r="K808" s="4" t="s">
        <v>1236</v>
      </c>
    </row>
    <row r="809" spans="1:11" s="4" customFormat="1">
      <c r="A809" s="4">
        <v>111449</v>
      </c>
      <c r="B809" s="4">
        <v>1</v>
      </c>
      <c r="C809" s="4">
        <v>1</v>
      </c>
      <c r="D809" s="4">
        <v>0</v>
      </c>
      <c r="E809" s="4">
        <v>0</v>
      </c>
      <c r="F809" s="4">
        <v>1</v>
      </c>
      <c r="G809" s="4">
        <v>111001</v>
      </c>
      <c r="H809" s="4">
        <v>1</v>
      </c>
      <c r="I809" s="4">
        <f t="shared" si="12"/>
        <v>359</v>
      </c>
      <c r="J809" s="4">
        <f t="shared" si="13"/>
        <v>539</v>
      </c>
      <c r="K809" s="4" t="s">
        <v>1237</v>
      </c>
    </row>
    <row r="810" spans="1:11" s="4" customFormat="1">
      <c r="A810" s="4">
        <v>111450</v>
      </c>
      <c r="B810" s="4">
        <v>1</v>
      </c>
      <c r="C810" s="4">
        <v>1</v>
      </c>
      <c r="D810" s="4">
        <v>0</v>
      </c>
      <c r="E810" s="4">
        <v>0</v>
      </c>
      <c r="F810" s="4">
        <v>1</v>
      </c>
      <c r="G810" s="4">
        <v>111001</v>
      </c>
      <c r="H810" s="4">
        <v>1</v>
      </c>
      <c r="I810" s="4">
        <f t="shared" ref="I810:I873" si="14">ROUND(RIGHT(A810,3)*80%,0)</f>
        <v>360</v>
      </c>
      <c r="J810" s="4">
        <f t="shared" ref="J810:J873" si="15">ROUND(RIGHT(A810,3)*120%,0)</f>
        <v>540</v>
      </c>
      <c r="K810" s="4" t="s">
        <v>1238</v>
      </c>
    </row>
    <row r="811" spans="1:11" s="4" customFormat="1">
      <c r="A811" s="4">
        <v>111451</v>
      </c>
      <c r="B811" s="4">
        <v>1</v>
      </c>
      <c r="C811" s="4">
        <v>1</v>
      </c>
      <c r="D811" s="4">
        <v>0</v>
      </c>
      <c r="E811" s="4">
        <v>0</v>
      </c>
      <c r="F811" s="4">
        <v>1</v>
      </c>
      <c r="G811" s="4">
        <v>111001</v>
      </c>
      <c r="H811" s="4">
        <v>1</v>
      </c>
      <c r="I811" s="4">
        <f t="shared" si="14"/>
        <v>361</v>
      </c>
      <c r="J811" s="4">
        <f t="shared" si="15"/>
        <v>541</v>
      </c>
      <c r="K811" s="4" t="s">
        <v>1239</v>
      </c>
    </row>
    <row r="812" spans="1:11" s="4" customFormat="1">
      <c r="A812" s="4">
        <v>111452</v>
      </c>
      <c r="B812" s="4">
        <v>1</v>
      </c>
      <c r="C812" s="4">
        <v>1</v>
      </c>
      <c r="D812" s="4">
        <v>0</v>
      </c>
      <c r="E812" s="4">
        <v>0</v>
      </c>
      <c r="F812" s="4">
        <v>1</v>
      </c>
      <c r="G812" s="4">
        <v>111001</v>
      </c>
      <c r="H812" s="4">
        <v>1</v>
      </c>
      <c r="I812" s="4">
        <f t="shared" si="14"/>
        <v>362</v>
      </c>
      <c r="J812" s="4">
        <f t="shared" si="15"/>
        <v>542</v>
      </c>
      <c r="K812" s="4" t="s">
        <v>1240</v>
      </c>
    </row>
    <row r="813" spans="1:11" s="4" customFormat="1">
      <c r="A813" s="4">
        <v>111453</v>
      </c>
      <c r="B813" s="4">
        <v>1</v>
      </c>
      <c r="C813" s="4">
        <v>1</v>
      </c>
      <c r="D813" s="4">
        <v>0</v>
      </c>
      <c r="E813" s="4">
        <v>0</v>
      </c>
      <c r="F813" s="4">
        <v>1</v>
      </c>
      <c r="G813" s="4">
        <v>111001</v>
      </c>
      <c r="H813" s="4">
        <v>1</v>
      </c>
      <c r="I813" s="4">
        <f t="shared" si="14"/>
        <v>362</v>
      </c>
      <c r="J813" s="4">
        <f t="shared" si="15"/>
        <v>544</v>
      </c>
      <c r="K813" s="4" t="s">
        <v>1241</v>
      </c>
    </row>
    <row r="814" spans="1:11" s="4" customFormat="1">
      <c r="A814" s="4">
        <v>111454</v>
      </c>
      <c r="B814" s="4">
        <v>1</v>
      </c>
      <c r="C814" s="4">
        <v>1</v>
      </c>
      <c r="D814" s="4">
        <v>0</v>
      </c>
      <c r="E814" s="4">
        <v>0</v>
      </c>
      <c r="F814" s="4">
        <v>1</v>
      </c>
      <c r="G814" s="4">
        <v>111001</v>
      </c>
      <c r="H814" s="4">
        <v>1</v>
      </c>
      <c r="I814" s="4">
        <f t="shared" si="14"/>
        <v>363</v>
      </c>
      <c r="J814" s="4">
        <f t="shared" si="15"/>
        <v>545</v>
      </c>
      <c r="K814" s="4" t="s">
        <v>1242</v>
      </c>
    </row>
    <row r="815" spans="1:11" s="4" customFormat="1">
      <c r="A815" s="4">
        <v>111455</v>
      </c>
      <c r="B815" s="4">
        <v>1</v>
      </c>
      <c r="C815" s="4">
        <v>1</v>
      </c>
      <c r="D815" s="4">
        <v>0</v>
      </c>
      <c r="E815" s="4">
        <v>0</v>
      </c>
      <c r="F815" s="4">
        <v>1</v>
      </c>
      <c r="G815" s="4">
        <v>111001</v>
      </c>
      <c r="H815" s="4">
        <v>1</v>
      </c>
      <c r="I815" s="4">
        <f t="shared" si="14"/>
        <v>364</v>
      </c>
      <c r="J815" s="4">
        <f t="shared" si="15"/>
        <v>546</v>
      </c>
      <c r="K815" s="4" t="s">
        <v>1243</v>
      </c>
    </row>
    <row r="816" spans="1:11" s="4" customFormat="1">
      <c r="A816" s="4">
        <v>111456</v>
      </c>
      <c r="B816" s="4">
        <v>1</v>
      </c>
      <c r="C816" s="4">
        <v>1</v>
      </c>
      <c r="D816" s="4">
        <v>0</v>
      </c>
      <c r="E816" s="4">
        <v>0</v>
      </c>
      <c r="F816" s="4">
        <v>1</v>
      </c>
      <c r="G816" s="4">
        <v>111001</v>
      </c>
      <c r="H816" s="4">
        <v>1</v>
      </c>
      <c r="I816" s="4">
        <f t="shared" si="14"/>
        <v>365</v>
      </c>
      <c r="J816" s="4">
        <f t="shared" si="15"/>
        <v>547</v>
      </c>
      <c r="K816" s="4" t="s">
        <v>1244</v>
      </c>
    </row>
    <row r="817" spans="1:11" s="4" customFormat="1">
      <c r="A817" s="4">
        <v>111457</v>
      </c>
      <c r="B817" s="4">
        <v>1</v>
      </c>
      <c r="C817" s="4">
        <v>1</v>
      </c>
      <c r="D817" s="4">
        <v>0</v>
      </c>
      <c r="E817" s="4">
        <v>0</v>
      </c>
      <c r="F817" s="4">
        <v>1</v>
      </c>
      <c r="G817" s="4">
        <v>111001</v>
      </c>
      <c r="H817" s="4">
        <v>1</v>
      </c>
      <c r="I817" s="4">
        <f t="shared" si="14"/>
        <v>366</v>
      </c>
      <c r="J817" s="4">
        <f t="shared" si="15"/>
        <v>548</v>
      </c>
      <c r="K817" s="4" t="s">
        <v>1245</v>
      </c>
    </row>
    <row r="818" spans="1:11" s="4" customFormat="1">
      <c r="A818" s="4">
        <v>111458</v>
      </c>
      <c r="B818" s="4">
        <v>1</v>
      </c>
      <c r="C818" s="4">
        <v>1</v>
      </c>
      <c r="D818" s="4">
        <v>0</v>
      </c>
      <c r="E818" s="4">
        <v>0</v>
      </c>
      <c r="F818" s="4">
        <v>1</v>
      </c>
      <c r="G818" s="4">
        <v>111001</v>
      </c>
      <c r="H818" s="4">
        <v>1</v>
      </c>
      <c r="I818" s="4">
        <f t="shared" si="14"/>
        <v>366</v>
      </c>
      <c r="J818" s="4">
        <f t="shared" si="15"/>
        <v>550</v>
      </c>
      <c r="K818" s="4" t="s">
        <v>1246</v>
      </c>
    </row>
    <row r="819" spans="1:11" s="4" customFormat="1">
      <c r="A819" s="4">
        <v>111459</v>
      </c>
      <c r="B819" s="4">
        <v>1</v>
      </c>
      <c r="C819" s="4">
        <v>1</v>
      </c>
      <c r="D819" s="4">
        <v>0</v>
      </c>
      <c r="E819" s="4">
        <v>0</v>
      </c>
      <c r="F819" s="4">
        <v>1</v>
      </c>
      <c r="G819" s="4">
        <v>111001</v>
      </c>
      <c r="H819" s="4">
        <v>1</v>
      </c>
      <c r="I819" s="4">
        <f t="shared" si="14"/>
        <v>367</v>
      </c>
      <c r="J819" s="4">
        <f t="shared" si="15"/>
        <v>551</v>
      </c>
      <c r="K819" s="4" t="s">
        <v>1247</v>
      </c>
    </row>
    <row r="820" spans="1:11" s="4" customFormat="1">
      <c r="A820" s="4">
        <v>111460</v>
      </c>
      <c r="B820" s="4">
        <v>1</v>
      </c>
      <c r="C820" s="4">
        <v>1</v>
      </c>
      <c r="D820" s="4">
        <v>0</v>
      </c>
      <c r="E820" s="4">
        <v>0</v>
      </c>
      <c r="F820" s="4">
        <v>1</v>
      </c>
      <c r="G820" s="4">
        <v>111001</v>
      </c>
      <c r="H820" s="4">
        <v>1</v>
      </c>
      <c r="I820" s="4">
        <f t="shared" si="14"/>
        <v>368</v>
      </c>
      <c r="J820" s="4">
        <f t="shared" si="15"/>
        <v>552</v>
      </c>
      <c r="K820" s="4" t="s">
        <v>1248</v>
      </c>
    </row>
    <row r="821" spans="1:11" s="4" customFormat="1">
      <c r="A821" s="4">
        <v>111461</v>
      </c>
      <c r="B821" s="4">
        <v>1</v>
      </c>
      <c r="C821" s="4">
        <v>1</v>
      </c>
      <c r="D821" s="4">
        <v>0</v>
      </c>
      <c r="E821" s="4">
        <v>0</v>
      </c>
      <c r="F821" s="4">
        <v>1</v>
      </c>
      <c r="G821" s="4">
        <v>111001</v>
      </c>
      <c r="H821" s="4">
        <v>1</v>
      </c>
      <c r="I821" s="4">
        <f t="shared" si="14"/>
        <v>369</v>
      </c>
      <c r="J821" s="4">
        <f t="shared" si="15"/>
        <v>553</v>
      </c>
      <c r="K821" s="4" t="s">
        <v>1249</v>
      </c>
    </row>
    <row r="822" spans="1:11" s="4" customFormat="1">
      <c r="A822" s="4">
        <v>111462</v>
      </c>
      <c r="B822" s="4">
        <v>1</v>
      </c>
      <c r="C822" s="4">
        <v>1</v>
      </c>
      <c r="D822" s="4">
        <v>0</v>
      </c>
      <c r="E822" s="4">
        <v>0</v>
      </c>
      <c r="F822" s="4">
        <v>1</v>
      </c>
      <c r="G822" s="4">
        <v>111001</v>
      </c>
      <c r="H822" s="4">
        <v>1</v>
      </c>
      <c r="I822" s="4">
        <f t="shared" si="14"/>
        <v>370</v>
      </c>
      <c r="J822" s="4">
        <f t="shared" si="15"/>
        <v>554</v>
      </c>
      <c r="K822" s="4" t="s">
        <v>1250</v>
      </c>
    </row>
    <row r="823" spans="1:11" s="4" customFormat="1">
      <c r="A823" s="4">
        <v>111463</v>
      </c>
      <c r="B823" s="4">
        <v>1</v>
      </c>
      <c r="C823" s="4">
        <v>1</v>
      </c>
      <c r="D823" s="4">
        <v>0</v>
      </c>
      <c r="E823" s="4">
        <v>0</v>
      </c>
      <c r="F823" s="4">
        <v>1</v>
      </c>
      <c r="G823" s="4">
        <v>111001</v>
      </c>
      <c r="H823" s="4">
        <v>1</v>
      </c>
      <c r="I823" s="4">
        <f t="shared" si="14"/>
        <v>370</v>
      </c>
      <c r="J823" s="4">
        <f t="shared" si="15"/>
        <v>556</v>
      </c>
      <c r="K823" s="4" t="s">
        <v>1251</v>
      </c>
    </row>
    <row r="824" spans="1:11" s="4" customFormat="1">
      <c r="A824" s="4">
        <v>111464</v>
      </c>
      <c r="B824" s="4">
        <v>1</v>
      </c>
      <c r="C824" s="4">
        <v>1</v>
      </c>
      <c r="D824" s="4">
        <v>0</v>
      </c>
      <c r="E824" s="4">
        <v>0</v>
      </c>
      <c r="F824" s="4">
        <v>1</v>
      </c>
      <c r="G824" s="4">
        <v>111001</v>
      </c>
      <c r="H824" s="4">
        <v>1</v>
      </c>
      <c r="I824" s="4">
        <f t="shared" si="14"/>
        <v>371</v>
      </c>
      <c r="J824" s="4">
        <f t="shared" si="15"/>
        <v>557</v>
      </c>
      <c r="K824" s="4" t="s">
        <v>1252</v>
      </c>
    </row>
    <row r="825" spans="1:11" s="4" customFormat="1">
      <c r="A825" s="4">
        <v>111465</v>
      </c>
      <c r="B825" s="4">
        <v>1</v>
      </c>
      <c r="C825" s="4">
        <v>1</v>
      </c>
      <c r="D825" s="4">
        <v>0</v>
      </c>
      <c r="E825" s="4">
        <v>0</v>
      </c>
      <c r="F825" s="4">
        <v>1</v>
      </c>
      <c r="G825" s="4">
        <v>111001</v>
      </c>
      <c r="H825" s="4">
        <v>1</v>
      </c>
      <c r="I825" s="4">
        <f t="shared" si="14"/>
        <v>372</v>
      </c>
      <c r="J825" s="4">
        <f t="shared" si="15"/>
        <v>558</v>
      </c>
      <c r="K825" s="4" t="s">
        <v>1253</v>
      </c>
    </row>
    <row r="826" spans="1:11" s="4" customFormat="1">
      <c r="A826" s="4">
        <v>111466</v>
      </c>
      <c r="B826" s="4">
        <v>1</v>
      </c>
      <c r="C826" s="4">
        <v>1</v>
      </c>
      <c r="D826" s="4">
        <v>0</v>
      </c>
      <c r="E826" s="4">
        <v>0</v>
      </c>
      <c r="F826" s="4">
        <v>1</v>
      </c>
      <c r="G826" s="4">
        <v>111001</v>
      </c>
      <c r="H826" s="4">
        <v>1</v>
      </c>
      <c r="I826" s="4">
        <f t="shared" si="14"/>
        <v>373</v>
      </c>
      <c r="J826" s="4">
        <f t="shared" si="15"/>
        <v>559</v>
      </c>
      <c r="K826" s="4" t="s">
        <v>1254</v>
      </c>
    </row>
    <row r="827" spans="1:11" s="4" customFormat="1">
      <c r="A827" s="4">
        <v>111467</v>
      </c>
      <c r="B827" s="4">
        <v>1</v>
      </c>
      <c r="C827" s="4">
        <v>1</v>
      </c>
      <c r="D827" s="4">
        <v>0</v>
      </c>
      <c r="E827" s="4">
        <v>0</v>
      </c>
      <c r="F827" s="4">
        <v>1</v>
      </c>
      <c r="G827" s="4">
        <v>111001</v>
      </c>
      <c r="H827" s="4">
        <v>1</v>
      </c>
      <c r="I827" s="4">
        <f t="shared" si="14"/>
        <v>374</v>
      </c>
      <c r="J827" s="4">
        <f t="shared" si="15"/>
        <v>560</v>
      </c>
      <c r="K827" s="4" t="s">
        <v>1255</v>
      </c>
    </row>
    <row r="828" spans="1:11" s="4" customFormat="1">
      <c r="A828" s="4">
        <v>111468</v>
      </c>
      <c r="B828" s="4">
        <v>1</v>
      </c>
      <c r="C828" s="4">
        <v>1</v>
      </c>
      <c r="D828" s="4">
        <v>0</v>
      </c>
      <c r="E828" s="4">
        <v>0</v>
      </c>
      <c r="F828" s="4">
        <v>1</v>
      </c>
      <c r="G828" s="4">
        <v>111001</v>
      </c>
      <c r="H828" s="4">
        <v>1</v>
      </c>
      <c r="I828" s="4">
        <f t="shared" si="14"/>
        <v>374</v>
      </c>
      <c r="J828" s="4">
        <f t="shared" si="15"/>
        <v>562</v>
      </c>
      <c r="K828" s="4" t="s">
        <v>1256</v>
      </c>
    </row>
    <row r="829" spans="1:11" s="4" customFormat="1">
      <c r="A829" s="4">
        <v>111469</v>
      </c>
      <c r="B829" s="4">
        <v>1</v>
      </c>
      <c r="C829" s="4">
        <v>1</v>
      </c>
      <c r="D829" s="4">
        <v>0</v>
      </c>
      <c r="E829" s="4">
        <v>0</v>
      </c>
      <c r="F829" s="4">
        <v>1</v>
      </c>
      <c r="G829" s="4">
        <v>111001</v>
      </c>
      <c r="H829" s="4">
        <v>1</v>
      </c>
      <c r="I829" s="4">
        <f t="shared" si="14"/>
        <v>375</v>
      </c>
      <c r="J829" s="4">
        <f t="shared" si="15"/>
        <v>563</v>
      </c>
      <c r="K829" s="4" t="s">
        <v>1257</v>
      </c>
    </row>
    <row r="830" spans="1:11" s="4" customFormat="1">
      <c r="A830" s="4">
        <v>111470</v>
      </c>
      <c r="B830" s="4">
        <v>1</v>
      </c>
      <c r="C830" s="4">
        <v>1</v>
      </c>
      <c r="D830" s="4">
        <v>0</v>
      </c>
      <c r="E830" s="4">
        <v>0</v>
      </c>
      <c r="F830" s="4">
        <v>1</v>
      </c>
      <c r="G830" s="4">
        <v>111001</v>
      </c>
      <c r="H830" s="4">
        <v>1</v>
      </c>
      <c r="I830" s="4">
        <f t="shared" si="14"/>
        <v>376</v>
      </c>
      <c r="J830" s="4">
        <f t="shared" si="15"/>
        <v>564</v>
      </c>
      <c r="K830" s="4" t="s">
        <v>1258</v>
      </c>
    </row>
    <row r="831" spans="1:11" s="4" customFormat="1">
      <c r="A831" s="4">
        <v>111471</v>
      </c>
      <c r="B831" s="4">
        <v>1</v>
      </c>
      <c r="C831" s="4">
        <v>1</v>
      </c>
      <c r="D831" s="4">
        <v>0</v>
      </c>
      <c r="E831" s="4">
        <v>0</v>
      </c>
      <c r="F831" s="4">
        <v>1</v>
      </c>
      <c r="G831" s="4">
        <v>111001</v>
      </c>
      <c r="H831" s="4">
        <v>1</v>
      </c>
      <c r="I831" s="4">
        <f t="shared" si="14"/>
        <v>377</v>
      </c>
      <c r="J831" s="4">
        <f t="shared" si="15"/>
        <v>565</v>
      </c>
      <c r="K831" s="4" t="s">
        <v>1259</v>
      </c>
    </row>
    <row r="832" spans="1:11" s="4" customFormat="1">
      <c r="A832" s="4">
        <v>111472</v>
      </c>
      <c r="B832" s="4">
        <v>1</v>
      </c>
      <c r="C832" s="4">
        <v>1</v>
      </c>
      <c r="D832" s="4">
        <v>0</v>
      </c>
      <c r="E832" s="4">
        <v>0</v>
      </c>
      <c r="F832" s="4">
        <v>1</v>
      </c>
      <c r="G832" s="4">
        <v>111001</v>
      </c>
      <c r="H832" s="4">
        <v>1</v>
      </c>
      <c r="I832" s="4">
        <f t="shared" si="14"/>
        <v>378</v>
      </c>
      <c r="J832" s="4">
        <f t="shared" si="15"/>
        <v>566</v>
      </c>
      <c r="K832" s="4" t="s">
        <v>1260</v>
      </c>
    </row>
    <row r="833" spans="1:11" s="4" customFormat="1">
      <c r="A833" s="4">
        <v>111473</v>
      </c>
      <c r="B833" s="4">
        <v>1</v>
      </c>
      <c r="C833" s="4">
        <v>1</v>
      </c>
      <c r="D833" s="4">
        <v>0</v>
      </c>
      <c r="E833" s="4">
        <v>0</v>
      </c>
      <c r="F833" s="4">
        <v>1</v>
      </c>
      <c r="G833" s="4">
        <v>111001</v>
      </c>
      <c r="H833" s="4">
        <v>1</v>
      </c>
      <c r="I833" s="4">
        <f t="shared" si="14"/>
        <v>378</v>
      </c>
      <c r="J833" s="4">
        <f t="shared" si="15"/>
        <v>568</v>
      </c>
      <c r="K833" s="4" t="s">
        <v>1261</v>
      </c>
    </row>
    <row r="834" spans="1:11" s="4" customFormat="1">
      <c r="A834" s="4">
        <v>111474</v>
      </c>
      <c r="B834" s="4">
        <v>1</v>
      </c>
      <c r="C834" s="4">
        <v>1</v>
      </c>
      <c r="D834" s="4">
        <v>0</v>
      </c>
      <c r="E834" s="4">
        <v>0</v>
      </c>
      <c r="F834" s="4">
        <v>1</v>
      </c>
      <c r="G834" s="4">
        <v>111001</v>
      </c>
      <c r="H834" s="4">
        <v>1</v>
      </c>
      <c r="I834" s="4">
        <f t="shared" si="14"/>
        <v>379</v>
      </c>
      <c r="J834" s="4">
        <f t="shared" si="15"/>
        <v>569</v>
      </c>
      <c r="K834" s="4" t="s">
        <v>1262</v>
      </c>
    </row>
    <row r="835" spans="1:11" s="4" customFormat="1">
      <c r="A835" s="4">
        <v>111475</v>
      </c>
      <c r="B835" s="4">
        <v>1</v>
      </c>
      <c r="C835" s="4">
        <v>1</v>
      </c>
      <c r="D835" s="4">
        <v>0</v>
      </c>
      <c r="E835" s="4">
        <v>0</v>
      </c>
      <c r="F835" s="4">
        <v>1</v>
      </c>
      <c r="G835" s="4">
        <v>111001</v>
      </c>
      <c r="H835" s="4">
        <v>1</v>
      </c>
      <c r="I835" s="4">
        <f t="shared" si="14"/>
        <v>380</v>
      </c>
      <c r="J835" s="4">
        <f t="shared" si="15"/>
        <v>570</v>
      </c>
      <c r="K835" s="4" t="s">
        <v>1263</v>
      </c>
    </row>
    <row r="836" spans="1:11" s="4" customFormat="1">
      <c r="A836" s="4">
        <v>111476</v>
      </c>
      <c r="B836" s="4">
        <v>1</v>
      </c>
      <c r="C836" s="4">
        <v>1</v>
      </c>
      <c r="D836" s="4">
        <v>0</v>
      </c>
      <c r="E836" s="4">
        <v>0</v>
      </c>
      <c r="F836" s="4">
        <v>1</v>
      </c>
      <c r="G836" s="4">
        <v>111001</v>
      </c>
      <c r="H836" s="4">
        <v>1</v>
      </c>
      <c r="I836" s="4">
        <f t="shared" si="14"/>
        <v>381</v>
      </c>
      <c r="J836" s="4">
        <f t="shared" si="15"/>
        <v>571</v>
      </c>
      <c r="K836" s="4" t="s">
        <v>1264</v>
      </c>
    </row>
    <row r="837" spans="1:11" s="4" customFormat="1">
      <c r="A837" s="4">
        <v>111477</v>
      </c>
      <c r="B837" s="4">
        <v>1</v>
      </c>
      <c r="C837" s="4">
        <v>1</v>
      </c>
      <c r="D837" s="4">
        <v>0</v>
      </c>
      <c r="E837" s="4">
        <v>0</v>
      </c>
      <c r="F837" s="4">
        <v>1</v>
      </c>
      <c r="G837" s="4">
        <v>111001</v>
      </c>
      <c r="H837" s="4">
        <v>1</v>
      </c>
      <c r="I837" s="4">
        <f t="shared" si="14"/>
        <v>382</v>
      </c>
      <c r="J837" s="4">
        <f t="shared" si="15"/>
        <v>572</v>
      </c>
      <c r="K837" s="4" t="s">
        <v>1265</v>
      </c>
    </row>
    <row r="838" spans="1:11" s="4" customFormat="1">
      <c r="A838" s="4">
        <v>111478</v>
      </c>
      <c r="B838" s="4">
        <v>1</v>
      </c>
      <c r="C838" s="4">
        <v>1</v>
      </c>
      <c r="D838" s="4">
        <v>0</v>
      </c>
      <c r="E838" s="4">
        <v>0</v>
      </c>
      <c r="F838" s="4">
        <v>1</v>
      </c>
      <c r="G838" s="4">
        <v>111001</v>
      </c>
      <c r="H838" s="4">
        <v>1</v>
      </c>
      <c r="I838" s="4">
        <f t="shared" si="14"/>
        <v>382</v>
      </c>
      <c r="J838" s="4">
        <f t="shared" si="15"/>
        <v>574</v>
      </c>
      <c r="K838" s="4" t="s">
        <v>1266</v>
      </c>
    </row>
    <row r="839" spans="1:11" s="4" customFormat="1">
      <c r="A839" s="4">
        <v>111479</v>
      </c>
      <c r="B839" s="4">
        <v>1</v>
      </c>
      <c r="C839" s="4">
        <v>1</v>
      </c>
      <c r="D839" s="4">
        <v>0</v>
      </c>
      <c r="E839" s="4">
        <v>0</v>
      </c>
      <c r="F839" s="4">
        <v>1</v>
      </c>
      <c r="G839" s="4">
        <v>111001</v>
      </c>
      <c r="H839" s="4">
        <v>1</v>
      </c>
      <c r="I839" s="4">
        <f t="shared" si="14"/>
        <v>383</v>
      </c>
      <c r="J839" s="4">
        <f t="shared" si="15"/>
        <v>575</v>
      </c>
      <c r="K839" s="4" t="s">
        <v>1267</v>
      </c>
    </row>
    <row r="840" spans="1:11" s="4" customFormat="1">
      <c r="A840" s="4">
        <v>111480</v>
      </c>
      <c r="B840" s="4">
        <v>1</v>
      </c>
      <c r="C840" s="4">
        <v>1</v>
      </c>
      <c r="D840" s="4">
        <v>0</v>
      </c>
      <c r="E840" s="4">
        <v>0</v>
      </c>
      <c r="F840" s="4">
        <v>1</v>
      </c>
      <c r="G840" s="4">
        <v>111001</v>
      </c>
      <c r="H840" s="4">
        <v>1</v>
      </c>
      <c r="I840" s="4">
        <f t="shared" si="14"/>
        <v>384</v>
      </c>
      <c r="J840" s="4">
        <f t="shared" si="15"/>
        <v>576</v>
      </c>
      <c r="K840" s="4" t="s">
        <v>1268</v>
      </c>
    </row>
    <row r="841" spans="1:11" s="4" customFormat="1">
      <c r="A841" s="4">
        <v>111481</v>
      </c>
      <c r="B841" s="4">
        <v>1</v>
      </c>
      <c r="C841" s="4">
        <v>1</v>
      </c>
      <c r="D841" s="4">
        <v>0</v>
      </c>
      <c r="E841" s="4">
        <v>0</v>
      </c>
      <c r="F841" s="4">
        <v>1</v>
      </c>
      <c r="G841" s="4">
        <v>111001</v>
      </c>
      <c r="H841" s="4">
        <v>1</v>
      </c>
      <c r="I841" s="4">
        <f t="shared" si="14"/>
        <v>385</v>
      </c>
      <c r="J841" s="4">
        <f t="shared" si="15"/>
        <v>577</v>
      </c>
      <c r="K841" s="4" t="s">
        <v>1269</v>
      </c>
    </row>
    <row r="842" spans="1:11" s="4" customFormat="1">
      <c r="A842" s="4">
        <v>111482</v>
      </c>
      <c r="B842" s="4">
        <v>1</v>
      </c>
      <c r="C842" s="4">
        <v>1</v>
      </c>
      <c r="D842" s="4">
        <v>0</v>
      </c>
      <c r="E842" s="4">
        <v>0</v>
      </c>
      <c r="F842" s="4">
        <v>1</v>
      </c>
      <c r="G842" s="4">
        <v>111001</v>
      </c>
      <c r="H842" s="4">
        <v>1</v>
      </c>
      <c r="I842" s="4">
        <f t="shared" si="14"/>
        <v>386</v>
      </c>
      <c r="J842" s="4">
        <f t="shared" si="15"/>
        <v>578</v>
      </c>
      <c r="K842" s="4" t="s">
        <v>1270</v>
      </c>
    </row>
    <row r="843" spans="1:11" s="4" customFormat="1">
      <c r="A843" s="4">
        <v>111483</v>
      </c>
      <c r="B843" s="4">
        <v>1</v>
      </c>
      <c r="C843" s="4">
        <v>1</v>
      </c>
      <c r="D843" s="4">
        <v>0</v>
      </c>
      <c r="E843" s="4">
        <v>0</v>
      </c>
      <c r="F843" s="4">
        <v>1</v>
      </c>
      <c r="G843" s="4">
        <v>111001</v>
      </c>
      <c r="H843" s="4">
        <v>1</v>
      </c>
      <c r="I843" s="4">
        <f t="shared" si="14"/>
        <v>386</v>
      </c>
      <c r="J843" s="4">
        <f t="shared" si="15"/>
        <v>580</v>
      </c>
      <c r="K843" s="4" t="s">
        <v>1271</v>
      </c>
    </row>
    <row r="844" spans="1:11" s="4" customFormat="1">
      <c r="A844" s="4">
        <v>111484</v>
      </c>
      <c r="B844" s="4">
        <v>1</v>
      </c>
      <c r="C844" s="4">
        <v>1</v>
      </c>
      <c r="D844" s="4">
        <v>0</v>
      </c>
      <c r="E844" s="4">
        <v>0</v>
      </c>
      <c r="F844" s="4">
        <v>1</v>
      </c>
      <c r="G844" s="4">
        <v>111001</v>
      </c>
      <c r="H844" s="4">
        <v>1</v>
      </c>
      <c r="I844" s="4">
        <f t="shared" si="14"/>
        <v>387</v>
      </c>
      <c r="J844" s="4">
        <f t="shared" si="15"/>
        <v>581</v>
      </c>
      <c r="K844" s="4" t="s">
        <v>1272</v>
      </c>
    </row>
    <row r="845" spans="1:11" s="4" customFormat="1">
      <c r="A845" s="4">
        <v>111485</v>
      </c>
      <c r="B845" s="4">
        <v>1</v>
      </c>
      <c r="C845" s="4">
        <v>1</v>
      </c>
      <c r="D845" s="4">
        <v>0</v>
      </c>
      <c r="E845" s="4">
        <v>0</v>
      </c>
      <c r="F845" s="4">
        <v>1</v>
      </c>
      <c r="G845" s="4">
        <v>111001</v>
      </c>
      <c r="H845" s="4">
        <v>1</v>
      </c>
      <c r="I845" s="4">
        <f t="shared" si="14"/>
        <v>388</v>
      </c>
      <c r="J845" s="4">
        <f t="shared" si="15"/>
        <v>582</v>
      </c>
      <c r="K845" s="4" t="s">
        <v>1273</v>
      </c>
    </row>
    <row r="846" spans="1:11" s="4" customFormat="1">
      <c r="A846" s="4">
        <v>111486</v>
      </c>
      <c r="B846" s="4">
        <v>1</v>
      </c>
      <c r="C846" s="4">
        <v>1</v>
      </c>
      <c r="D846" s="4">
        <v>0</v>
      </c>
      <c r="E846" s="4">
        <v>0</v>
      </c>
      <c r="F846" s="4">
        <v>1</v>
      </c>
      <c r="G846" s="4">
        <v>111001</v>
      </c>
      <c r="H846" s="4">
        <v>1</v>
      </c>
      <c r="I846" s="4">
        <f t="shared" si="14"/>
        <v>389</v>
      </c>
      <c r="J846" s="4">
        <f t="shared" si="15"/>
        <v>583</v>
      </c>
      <c r="K846" s="4" t="s">
        <v>1274</v>
      </c>
    </row>
    <row r="847" spans="1:11" s="4" customFormat="1">
      <c r="A847" s="4">
        <v>111487</v>
      </c>
      <c r="B847" s="4">
        <v>1</v>
      </c>
      <c r="C847" s="4">
        <v>1</v>
      </c>
      <c r="D847" s="4">
        <v>0</v>
      </c>
      <c r="E847" s="4">
        <v>0</v>
      </c>
      <c r="F847" s="4">
        <v>1</v>
      </c>
      <c r="G847" s="4">
        <v>111001</v>
      </c>
      <c r="H847" s="4">
        <v>1</v>
      </c>
      <c r="I847" s="4">
        <f t="shared" si="14"/>
        <v>390</v>
      </c>
      <c r="J847" s="4">
        <f t="shared" si="15"/>
        <v>584</v>
      </c>
      <c r="K847" s="4" t="s">
        <v>1275</v>
      </c>
    </row>
    <row r="848" spans="1:11" s="4" customFormat="1">
      <c r="A848" s="4">
        <v>111488</v>
      </c>
      <c r="B848" s="4">
        <v>1</v>
      </c>
      <c r="C848" s="4">
        <v>1</v>
      </c>
      <c r="D848" s="4">
        <v>0</v>
      </c>
      <c r="E848" s="4">
        <v>0</v>
      </c>
      <c r="F848" s="4">
        <v>1</v>
      </c>
      <c r="G848" s="4">
        <v>111001</v>
      </c>
      <c r="H848" s="4">
        <v>1</v>
      </c>
      <c r="I848" s="4">
        <f t="shared" si="14"/>
        <v>390</v>
      </c>
      <c r="J848" s="4">
        <f t="shared" si="15"/>
        <v>586</v>
      </c>
      <c r="K848" s="4" t="s">
        <v>1276</v>
      </c>
    </row>
    <row r="849" spans="1:11" s="4" customFormat="1">
      <c r="A849" s="4">
        <v>111489</v>
      </c>
      <c r="B849" s="4">
        <v>1</v>
      </c>
      <c r="C849" s="4">
        <v>1</v>
      </c>
      <c r="D849" s="4">
        <v>0</v>
      </c>
      <c r="E849" s="4">
        <v>0</v>
      </c>
      <c r="F849" s="4">
        <v>1</v>
      </c>
      <c r="G849" s="4">
        <v>111001</v>
      </c>
      <c r="H849" s="4">
        <v>1</v>
      </c>
      <c r="I849" s="4">
        <f t="shared" si="14"/>
        <v>391</v>
      </c>
      <c r="J849" s="4">
        <f t="shared" si="15"/>
        <v>587</v>
      </c>
      <c r="K849" s="4" t="s">
        <v>1277</v>
      </c>
    </row>
    <row r="850" spans="1:11" s="4" customFormat="1">
      <c r="A850" s="4">
        <v>111490</v>
      </c>
      <c r="B850" s="4">
        <v>1</v>
      </c>
      <c r="C850" s="4">
        <v>1</v>
      </c>
      <c r="D850" s="4">
        <v>0</v>
      </c>
      <c r="E850" s="4">
        <v>0</v>
      </c>
      <c r="F850" s="4">
        <v>1</v>
      </c>
      <c r="G850" s="4">
        <v>111001</v>
      </c>
      <c r="H850" s="4">
        <v>1</v>
      </c>
      <c r="I850" s="4">
        <f t="shared" si="14"/>
        <v>392</v>
      </c>
      <c r="J850" s="4">
        <f t="shared" si="15"/>
        <v>588</v>
      </c>
      <c r="K850" s="4" t="s">
        <v>1278</v>
      </c>
    </row>
    <row r="851" spans="1:11" s="4" customFormat="1">
      <c r="A851" s="4">
        <v>111491</v>
      </c>
      <c r="B851" s="4">
        <v>1</v>
      </c>
      <c r="C851" s="4">
        <v>1</v>
      </c>
      <c r="D851" s="4">
        <v>0</v>
      </c>
      <c r="E851" s="4">
        <v>0</v>
      </c>
      <c r="F851" s="4">
        <v>1</v>
      </c>
      <c r="G851" s="4">
        <v>111001</v>
      </c>
      <c r="H851" s="4">
        <v>1</v>
      </c>
      <c r="I851" s="4">
        <f t="shared" si="14"/>
        <v>393</v>
      </c>
      <c r="J851" s="4">
        <f t="shared" si="15"/>
        <v>589</v>
      </c>
      <c r="K851" s="4" t="s">
        <v>1279</v>
      </c>
    </row>
    <row r="852" spans="1:11" s="4" customFormat="1">
      <c r="A852" s="4">
        <v>111492</v>
      </c>
      <c r="B852" s="4">
        <v>1</v>
      </c>
      <c r="C852" s="4">
        <v>1</v>
      </c>
      <c r="D852" s="4">
        <v>0</v>
      </c>
      <c r="E852" s="4">
        <v>0</v>
      </c>
      <c r="F852" s="4">
        <v>1</v>
      </c>
      <c r="G852" s="4">
        <v>111001</v>
      </c>
      <c r="H852" s="4">
        <v>1</v>
      </c>
      <c r="I852" s="4">
        <f t="shared" si="14"/>
        <v>394</v>
      </c>
      <c r="J852" s="4">
        <f t="shared" si="15"/>
        <v>590</v>
      </c>
      <c r="K852" s="4" t="s">
        <v>1280</v>
      </c>
    </row>
    <row r="853" spans="1:11" s="4" customFormat="1">
      <c r="A853" s="4">
        <v>111493</v>
      </c>
      <c r="B853" s="4">
        <v>1</v>
      </c>
      <c r="C853" s="4">
        <v>1</v>
      </c>
      <c r="D853" s="4">
        <v>0</v>
      </c>
      <c r="E853" s="4">
        <v>0</v>
      </c>
      <c r="F853" s="4">
        <v>1</v>
      </c>
      <c r="G853" s="4">
        <v>111001</v>
      </c>
      <c r="H853" s="4">
        <v>1</v>
      </c>
      <c r="I853" s="4">
        <f t="shared" si="14"/>
        <v>394</v>
      </c>
      <c r="J853" s="4">
        <f t="shared" si="15"/>
        <v>592</v>
      </c>
      <c r="K853" s="4" t="s">
        <v>1281</v>
      </c>
    </row>
    <row r="854" spans="1:11" s="4" customFormat="1">
      <c r="A854" s="4">
        <v>111494</v>
      </c>
      <c r="B854" s="4">
        <v>1</v>
      </c>
      <c r="C854" s="4">
        <v>1</v>
      </c>
      <c r="D854" s="4">
        <v>0</v>
      </c>
      <c r="E854" s="4">
        <v>0</v>
      </c>
      <c r="F854" s="4">
        <v>1</v>
      </c>
      <c r="G854" s="4">
        <v>111001</v>
      </c>
      <c r="H854" s="4">
        <v>1</v>
      </c>
      <c r="I854" s="4">
        <f t="shared" si="14"/>
        <v>395</v>
      </c>
      <c r="J854" s="4">
        <f t="shared" si="15"/>
        <v>593</v>
      </c>
      <c r="K854" s="4" t="s">
        <v>1282</v>
      </c>
    </row>
    <row r="855" spans="1:11" s="4" customFormat="1">
      <c r="A855" s="4">
        <v>111495</v>
      </c>
      <c r="B855" s="4">
        <v>1</v>
      </c>
      <c r="C855" s="4">
        <v>1</v>
      </c>
      <c r="D855" s="4">
        <v>0</v>
      </c>
      <c r="E855" s="4">
        <v>0</v>
      </c>
      <c r="F855" s="4">
        <v>1</v>
      </c>
      <c r="G855" s="4">
        <v>111001</v>
      </c>
      <c r="H855" s="4">
        <v>1</v>
      </c>
      <c r="I855" s="4">
        <f t="shared" si="14"/>
        <v>396</v>
      </c>
      <c r="J855" s="4">
        <f t="shared" si="15"/>
        <v>594</v>
      </c>
      <c r="K855" s="4" t="s">
        <v>1283</v>
      </c>
    </row>
    <row r="856" spans="1:11" s="4" customFormat="1">
      <c r="A856" s="4">
        <v>111496</v>
      </c>
      <c r="B856" s="4">
        <v>1</v>
      </c>
      <c r="C856" s="4">
        <v>1</v>
      </c>
      <c r="D856" s="4">
        <v>0</v>
      </c>
      <c r="E856" s="4">
        <v>0</v>
      </c>
      <c r="F856" s="4">
        <v>1</v>
      </c>
      <c r="G856" s="4">
        <v>111001</v>
      </c>
      <c r="H856" s="4">
        <v>1</v>
      </c>
      <c r="I856" s="4">
        <f t="shared" si="14"/>
        <v>397</v>
      </c>
      <c r="J856" s="4">
        <f t="shared" si="15"/>
        <v>595</v>
      </c>
      <c r="K856" s="4" t="s">
        <v>1284</v>
      </c>
    </row>
    <row r="857" spans="1:11" s="4" customFormat="1">
      <c r="A857" s="4">
        <v>111497</v>
      </c>
      <c r="B857" s="4">
        <v>1</v>
      </c>
      <c r="C857" s="4">
        <v>1</v>
      </c>
      <c r="D857" s="4">
        <v>0</v>
      </c>
      <c r="E857" s="4">
        <v>0</v>
      </c>
      <c r="F857" s="4">
        <v>1</v>
      </c>
      <c r="G857" s="4">
        <v>111001</v>
      </c>
      <c r="H857" s="4">
        <v>1</v>
      </c>
      <c r="I857" s="4">
        <f t="shared" si="14"/>
        <v>398</v>
      </c>
      <c r="J857" s="4">
        <f t="shared" si="15"/>
        <v>596</v>
      </c>
      <c r="K857" s="4" t="s">
        <v>1285</v>
      </c>
    </row>
    <row r="858" spans="1:11" s="4" customFormat="1">
      <c r="A858" s="4">
        <v>111498</v>
      </c>
      <c r="B858" s="4">
        <v>1</v>
      </c>
      <c r="C858" s="4">
        <v>1</v>
      </c>
      <c r="D858" s="4">
        <v>0</v>
      </c>
      <c r="E858" s="4">
        <v>0</v>
      </c>
      <c r="F858" s="4">
        <v>1</v>
      </c>
      <c r="G858" s="4">
        <v>111001</v>
      </c>
      <c r="H858" s="4">
        <v>1</v>
      </c>
      <c r="I858" s="4">
        <f t="shared" si="14"/>
        <v>398</v>
      </c>
      <c r="J858" s="4">
        <f t="shared" si="15"/>
        <v>598</v>
      </c>
      <c r="K858" s="4" t="s">
        <v>1286</v>
      </c>
    </row>
    <row r="859" spans="1:11" s="4" customFormat="1">
      <c r="A859" s="4">
        <v>111499</v>
      </c>
      <c r="B859" s="4">
        <v>1</v>
      </c>
      <c r="C859" s="4">
        <v>1</v>
      </c>
      <c r="D859" s="4">
        <v>0</v>
      </c>
      <c r="E859" s="4">
        <v>0</v>
      </c>
      <c r="F859" s="4">
        <v>1</v>
      </c>
      <c r="G859" s="4">
        <v>111001</v>
      </c>
      <c r="H859" s="4">
        <v>1</v>
      </c>
      <c r="I859" s="4">
        <f t="shared" si="14"/>
        <v>399</v>
      </c>
      <c r="J859" s="4">
        <f t="shared" si="15"/>
        <v>599</v>
      </c>
      <c r="K859" s="4" t="s">
        <v>1287</v>
      </c>
    </row>
    <row r="860" spans="1:11" s="4" customFormat="1">
      <c r="A860" s="4">
        <v>111500</v>
      </c>
      <c r="B860" s="4">
        <v>1</v>
      </c>
      <c r="C860" s="4">
        <v>1</v>
      </c>
      <c r="D860" s="4">
        <v>0</v>
      </c>
      <c r="E860" s="4">
        <v>0</v>
      </c>
      <c r="F860" s="4">
        <v>1</v>
      </c>
      <c r="G860" s="4">
        <v>111001</v>
      </c>
      <c r="H860" s="4">
        <v>1</v>
      </c>
      <c r="I860" s="4">
        <f t="shared" si="14"/>
        <v>400</v>
      </c>
      <c r="J860" s="4">
        <f t="shared" si="15"/>
        <v>600</v>
      </c>
      <c r="K860" s="4" t="s">
        <v>1288</v>
      </c>
    </row>
    <row r="861" spans="1:11" s="4" customFormat="1">
      <c r="A861" s="4">
        <v>111501</v>
      </c>
      <c r="B861" s="4">
        <v>1</v>
      </c>
      <c r="C861" s="4">
        <v>1</v>
      </c>
      <c r="D861" s="4">
        <v>0</v>
      </c>
      <c r="E861" s="4">
        <v>0</v>
      </c>
      <c r="F861" s="4">
        <v>1</v>
      </c>
      <c r="G861" s="4">
        <v>111001</v>
      </c>
      <c r="H861" s="4">
        <v>1</v>
      </c>
      <c r="I861" s="4">
        <f t="shared" si="14"/>
        <v>401</v>
      </c>
      <c r="J861" s="4">
        <f t="shared" si="15"/>
        <v>601</v>
      </c>
      <c r="K861" s="4" t="s">
        <v>1289</v>
      </c>
    </row>
    <row r="862" spans="1:11" s="4" customFormat="1">
      <c r="A862" s="4">
        <v>111502</v>
      </c>
      <c r="B862" s="4">
        <v>1</v>
      </c>
      <c r="C862" s="4">
        <v>1</v>
      </c>
      <c r="D862" s="4">
        <v>0</v>
      </c>
      <c r="E862" s="4">
        <v>0</v>
      </c>
      <c r="F862" s="4">
        <v>1</v>
      </c>
      <c r="G862" s="4">
        <v>111001</v>
      </c>
      <c r="H862" s="4">
        <v>1</v>
      </c>
      <c r="I862" s="4">
        <f t="shared" si="14"/>
        <v>402</v>
      </c>
      <c r="J862" s="4">
        <f t="shared" si="15"/>
        <v>602</v>
      </c>
      <c r="K862" s="4" t="s">
        <v>1290</v>
      </c>
    </row>
    <row r="863" spans="1:11" s="4" customFormat="1">
      <c r="A863" s="4">
        <v>111503</v>
      </c>
      <c r="B863" s="4">
        <v>1</v>
      </c>
      <c r="C863" s="4">
        <v>1</v>
      </c>
      <c r="D863" s="4">
        <v>0</v>
      </c>
      <c r="E863" s="4">
        <v>0</v>
      </c>
      <c r="F863" s="4">
        <v>1</v>
      </c>
      <c r="G863" s="4">
        <v>111001</v>
      </c>
      <c r="H863" s="4">
        <v>1</v>
      </c>
      <c r="I863" s="4">
        <f t="shared" si="14"/>
        <v>402</v>
      </c>
      <c r="J863" s="4">
        <f t="shared" si="15"/>
        <v>604</v>
      </c>
      <c r="K863" s="4" t="s">
        <v>1291</v>
      </c>
    </row>
    <row r="864" spans="1:11" s="4" customFormat="1">
      <c r="A864" s="4">
        <v>111504</v>
      </c>
      <c r="B864" s="4">
        <v>1</v>
      </c>
      <c r="C864" s="4">
        <v>1</v>
      </c>
      <c r="D864" s="4">
        <v>0</v>
      </c>
      <c r="E864" s="4">
        <v>0</v>
      </c>
      <c r="F864" s="4">
        <v>1</v>
      </c>
      <c r="G864" s="4">
        <v>111001</v>
      </c>
      <c r="H864" s="4">
        <v>1</v>
      </c>
      <c r="I864" s="4">
        <f t="shared" si="14"/>
        <v>403</v>
      </c>
      <c r="J864" s="4">
        <f t="shared" si="15"/>
        <v>605</v>
      </c>
      <c r="K864" s="4" t="s">
        <v>1292</v>
      </c>
    </row>
    <row r="865" spans="1:11" s="4" customFormat="1">
      <c r="A865" s="4">
        <v>111505</v>
      </c>
      <c r="B865" s="4">
        <v>1</v>
      </c>
      <c r="C865" s="4">
        <v>1</v>
      </c>
      <c r="D865" s="4">
        <v>0</v>
      </c>
      <c r="E865" s="4">
        <v>0</v>
      </c>
      <c r="F865" s="4">
        <v>1</v>
      </c>
      <c r="G865" s="4">
        <v>111001</v>
      </c>
      <c r="H865" s="4">
        <v>1</v>
      </c>
      <c r="I865" s="4">
        <f t="shared" si="14"/>
        <v>404</v>
      </c>
      <c r="J865" s="4">
        <f t="shared" si="15"/>
        <v>606</v>
      </c>
      <c r="K865" s="4" t="s">
        <v>1293</v>
      </c>
    </row>
    <row r="866" spans="1:11" s="4" customFormat="1">
      <c r="A866" s="4">
        <v>111506</v>
      </c>
      <c r="B866" s="4">
        <v>1</v>
      </c>
      <c r="C866" s="4">
        <v>1</v>
      </c>
      <c r="D866" s="4">
        <v>0</v>
      </c>
      <c r="E866" s="4">
        <v>0</v>
      </c>
      <c r="F866" s="4">
        <v>1</v>
      </c>
      <c r="G866" s="4">
        <v>111001</v>
      </c>
      <c r="H866" s="4">
        <v>1</v>
      </c>
      <c r="I866" s="4">
        <f t="shared" si="14"/>
        <v>405</v>
      </c>
      <c r="J866" s="4">
        <f t="shared" si="15"/>
        <v>607</v>
      </c>
      <c r="K866" s="4" t="s">
        <v>1294</v>
      </c>
    </row>
    <row r="867" spans="1:11" s="4" customFormat="1">
      <c r="A867" s="4">
        <v>111507</v>
      </c>
      <c r="B867" s="4">
        <v>1</v>
      </c>
      <c r="C867" s="4">
        <v>1</v>
      </c>
      <c r="D867" s="4">
        <v>0</v>
      </c>
      <c r="E867" s="4">
        <v>0</v>
      </c>
      <c r="F867" s="4">
        <v>1</v>
      </c>
      <c r="G867" s="4">
        <v>111001</v>
      </c>
      <c r="H867" s="4">
        <v>1</v>
      </c>
      <c r="I867" s="4">
        <f t="shared" si="14"/>
        <v>406</v>
      </c>
      <c r="J867" s="4">
        <f t="shared" si="15"/>
        <v>608</v>
      </c>
      <c r="K867" s="4" t="s">
        <v>1295</v>
      </c>
    </row>
    <row r="868" spans="1:11" s="4" customFormat="1">
      <c r="A868" s="4">
        <v>111508</v>
      </c>
      <c r="B868" s="4">
        <v>1</v>
      </c>
      <c r="C868" s="4">
        <v>1</v>
      </c>
      <c r="D868" s="4">
        <v>0</v>
      </c>
      <c r="E868" s="4">
        <v>0</v>
      </c>
      <c r="F868" s="4">
        <v>1</v>
      </c>
      <c r="G868" s="4">
        <v>111001</v>
      </c>
      <c r="H868" s="4">
        <v>1</v>
      </c>
      <c r="I868" s="4">
        <f t="shared" si="14"/>
        <v>406</v>
      </c>
      <c r="J868" s="4">
        <f t="shared" si="15"/>
        <v>610</v>
      </c>
      <c r="K868" s="4" t="s">
        <v>1296</v>
      </c>
    </row>
    <row r="869" spans="1:11" s="4" customFormat="1">
      <c r="A869" s="4">
        <v>111509</v>
      </c>
      <c r="B869" s="4">
        <v>1</v>
      </c>
      <c r="C869" s="4">
        <v>1</v>
      </c>
      <c r="D869" s="4">
        <v>0</v>
      </c>
      <c r="E869" s="4">
        <v>0</v>
      </c>
      <c r="F869" s="4">
        <v>1</v>
      </c>
      <c r="G869" s="4">
        <v>111001</v>
      </c>
      <c r="H869" s="4">
        <v>1</v>
      </c>
      <c r="I869" s="4">
        <f t="shared" si="14"/>
        <v>407</v>
      </c>
      <c r="J869" s="4">
        <f t="shared" si="15"/>
        <v>611</v>
      </c>
      <c r="K869" s="4" t="s">
        <v>1297</v>
      </c>
    </row>
    <row r="870" spans="1:11" s="4" customFormat="1">
      <c r="A870" s="4">
        <v>111510</v>
      </c>
      <c r="B870" s="4">
        <v>1</v>
      </c>
      <c r="C870" s="4">
        <v>1</v>
      </c>
      <c r="D870" s="4">
        <v>0</v>
      </c>
      <c r="E870" s="4">
        <v>0</v>
      </c>
      <c r="F870" s="4">
        <v>1</v>
      </c>
      <c r="G870" s="4">
        <v>111001</v>
      </c>
      <c r="H870" s="4">
        <v>1</v>
      </c>
      <c r="I870" s="4">
        <f t="shared" si="14"/>
        <v>408</v>
      </c>
      <c r="J870" s="4">
        <f t="shared" si="15"/>
        <v>612</v>
      </c>
      <c r="K870" s="4" t="s">
        <v>1298</v>
      </c>
    </row>
    <row r="871" spans="1:11" s="4" customFormat="1">
      <c r="A871" s="4">
        <v>111511</v>
      </c>
      <c r="B871" s="4">
        <v>1</v>
      </c>
      <c r="C871" s="4">
        <v>1</v>
      </c>
      <c r="D871" s="4">
        <v>0</v>
      </c>
      <c r="E871" s="4">
        <v>0</v>
      </c>
      <c r="F871" s="4">
        <v>1</v>
      </c>
      <c r="G871" s="4">
        <v>111001</v>
      </c>
      <c r="H871" s="4">
        <v>1</v>
      </c>
      <c r="I871" s="4">
        <f t="shared" si="14"/>
        <v>409</v>
      </c>
      <c r="J871" s="4">
        <f t="shared" si="15"/>
        <v>613</v>
      </c>
      <c r="K871" s="4" t="s">
        <v>1299</v>
      </c>
    </row>
    <row r="872" spans="1:11" s="4" customFormat="1">
      <c r="A872" s="4">
        <v>111512</v>
      </c>
      <c r="B872" s="4">
        <v>1</v>
      </c>
      <c r="C872" s="4">
        <v>1</v>
      </c>
      <c r="D872" s="4">
        <v>0</v>
      </c>
      <c r="E872" s="4">
        <v>0</v>
      </c>
      <c r="F872" s="4">
        <v>1</v>
      </c>
      <c r="G872" s="4">
        <v>111001</v>
      </c>
      <c r="H872" s="4">
        <v>1</v>
      </c>
      <c r="I872" s="4">
        <f t="shared" si="14"/>
        <v>410</v>
      </c>
      <c r="J872" s="4">
        <f t="shared" si="15"/>
        <v>614</v>
      </c>
      <c r="K872" s="4" t="s">
        <v>1300</v>
      </c>
    </row>
    <row r="873" spans="1:11" s="4" customFormat="1">
      <c r="A873" s="4">
        <v>111513</v>
      </c>
      <c r="B873" s="4">
        <v>1</v>
      </c>
      <c r="C873" s="4">
        <v>1</v>
      </c>
      <c r="D873" s="4">
        <v>0</v>
      </c>
      <c r="E873" s="4">
        <v>0</v>
      </c>
      <c r="F873" s="4">
        <v>1</v>
      </c>
      <c r="G873" s="4">
        <v>111001</v>
      </c>
      <c r="H873" s="4">
        <v>1</v>
      </c>
      <c r="I873" s="4">
        <f t="shared" si="14"/>
        <v>410</v>
      </c>
      <c r="J873" s="4">
        <f t="shared" si="15"/>
        <v>616</v>
      </c>
      <c r="K873" s="4" t="s">
        <v>1301</v>
      </c>
    </row>
    <row r="874" spans="1:11" s="4" customFormat="1">
      <c r="A874" s="4">
        <v>111514</v>
      </c>
      <c r="B874" s="4">
        <v>1</v>
      </c>
      <c r="C874" s="4">
        <v>1</v>
      </c>
      <c r="D874" s="4">
        <v>0</v>
      </c>
      <c r="E874" s="4">
        <v>0</v>
      </c>
      <c r="F874" s="4">
        <v>1</v>
      </c>
      <c r="G874" s="4">
        <v>111001</v>
      </c>
      <c r="H874" s="4">
        <v>1</v>
      </c>
      <c r="I874" s="4">
        <f t="shared" ref="I874:I937" si="16">ROUND(RIGHT(A874,3)*80%,0)</f>
        <v>411</v>
      </c>
      <c r="J874" s="4">
        <f t="shared" ref="J874:J937" si="17">ROUND(RIGHT(A874,3)*120%,0)</f>
        <v>617</v>
      </c>
      <c r="K874" s="4" t="s">
        <v>1302</v>
      </c>
    </row>
    <row r="875" spans="1:11" s="4" customFormat="1">
      <c r="A875" s="4">
        <v>111515</v>
      </c>
      <c r="B875" s="4">
        <v>1</v>
      </c>
      <c r="C875" s="4">
        <v>1</v>
      </c>
      <c r="D875" s="4">
        <v>0</v>
      </c>
      <c r="E875" s="4">
        <v>0</v>
      </c>
      <c r="F875" s="4">
        <v>1</v>
      </c>
      <c r="G875" s="4">
        <v>111001</v>
      </c>
      <c r="H875" s="4">
        <v>1</v>
      </c>
      <c r="I875" s="4">
        <f t="shared" si="16"/>
        <v>412</v>
      </c>
      <c r="J875" s="4">
        <f t="shared" si="17"/>
        <v>618</v>
      </c>
      <c r="K875" s="4" t="s">
        <v>1303</v>
      </c>
    </row>
    <row r="876" spans="1:11" s="4" customFormat="1">
      <c r="A876" s="4">
        <v>111516</v>
      </c>
      <c r="B876" s="4">
        <v>1</v>
      </c>
      <c r="C876" s="4">
        <v>1</v>
      </c>
      <c r="D876" s="4">
        <v>0</v>
      </c>
      <c r="E876" s="4">
        <v>0</v>
      </c>
      <c r="F876" s="4">
        <v>1</v>
      </c>
      <c r="G876" s="4">
        <v>111001</v>
      </c>
      <c r="H876" s="4">
        <v>1</v>
      </c>
      <c r="I876" s="4">
        <f t="shared" si="16"/>
        <v>413</v>
      </c>
      <c r="J876" s="4">
        <f t="shared" si="17"/>
        <v>619</v>
      </c>
      <c r="K876" s="4" t="s">
        <v>1304</v>
      </c>
    </row>
    <row r="877" spans="1:11" s="4" customFormat="1">
      <c r="A877" s="4">
        <v>111517</v>
      </c>
      <c r="B877" s="4">
        <v>1</v>
      </c>
      <c r="C877" s="4">
        <v>1</v>
      </c>
      <c r="D877" s="4">
        <v>0</v>
      </c>
      <c r="E877" s="4">
        <v>0</v>
      </c>
      <c r="F877" s="4">
        <v>1</v>
      </c>
      <c r="G877" s="4">
        <v>111001</v>
      </c>
      <c r="H877" s="4">
        <v>1</v>
      </c>
      <c r="I877" s="4">
        <f t="shared" si="16"/>
        <v>414</v>
      </c>
      <c r="J877" s="4">
        <f t="shared" si="17"/>
        <v>620</v>
      </c>
      <c r="K877" s="4" t="s">
        <v>1305</v>
      </c>
    </row>
    <row r="878" spans="1:11" s="4" customFormat="1">
      <c r="A878" s="4">
        <v>111518</v>
      </c>
      <c r="B878" s="4">
        <v>1</v>
      </c>
      <c r="C878" s="4">
        <v>1</v>
      </c>
      <c r="D878" s="4">
        <v>0</v>
      </c>
      <c r="E878" s="4">
        <v>0</v>
      </c>
      <c r="F878" s="4">
        <v>1</v>
      </c>
      <c r="G878" s="4">
        <v>111001</v>
      </c>
      <c r="H878" s="4">
        <v>1</v>
      </c>
      <c r="I878" s="4">
        <f t="shared" si="16"/>
        <v>414</v>
      </c>
      <c r="J878" s="4">
        <f t="shared" si="17"/>
        <v>622</v>
      </c>
      <c r="K878" s="4" t="s">
        <v>1306</v>
      </c>
    </row>
    <row r="879" spans="1:11" s="4" customFormat="1">
      <c r="A879" s="4">
        <v>111519</v>
      </c>
      <c r="B879" s="4">
        <v>1</v>
      </c>
      <c r="C879" s="4">
        <v>1</v>
      </c>
      <c r="D879" s="4">
        <v>0</v>
      </c>
      <c r="E879" s="4">
        <v>0</v>
      </c>
      <c r="F879" s="4">
        <v>1</v>
      </c>
      <c r="G879" s="4">
        <v>111001</v>
      </c>
      <c r="H879" s="4">
        <v>1</v>
      </c>
      <c r="I879" s="4">
        <f t="shared" si="16"/>
        <v>415</v>
      </c>
      <c r="J879" s="4">
        <f t="shared" si="17"/>
        <v>623</v>
      </c>
      <c r="K879" s="4" t="s">
        <v>1307</v>
      </c>
    </row>
    <row r="880" spans="1:11" s="4" customFormat="1">
      <c r="A880" s="4">
        <v>111520</v>
      </c>
      <c r="B880" s="4">
        <v>1</v>
      </c>
      <c r="C880" s="4">
        <v>1</v>
      </c>
      <c r="D880" s="4">
        <v>0</v>
      </c>
      <c r="E880" s="4">
        <v>0</v>
      </c>
      <c r="F880" s="4">
        <v>1</v>
      </c>
      <c r="G880" s="4">
        <v>111001</v>
      </c>
      <c r="H880" s="4">
        <v>1</v>
      </c>
      <c r="I880" s="4">
        <f t="shared" si="16"/>
        <v>416</v>
      </c>
      <c r="J880" s="4">
        <f t="shared" si="17"/>
        <v>624</v>
      </c>
      <c r="K880" s="4" t="s">
        <v>1308</v>
      </c>
    </row>
    <row r="881" spans="1:11" s="4" customFormat="1">
      <c r="A881" s="4">
        <v>111521</v>
      </c>
      <c r="B881" s="4">
        <v>1</v>
      </c>
      <c r="C881" s="4">
        <v>1</v>
      </c>
      <c r="D881" s="4">
        <v>0</v>
      </c>
      <c r="E881" s="4">
        <v>0</v>
      </c>
      <c r="F881" s="4">
        <v>1</v>
      </c>
      <c r="G881" s="4">
        <v>111001</v>
      </c>
      <c r="H881" s="4">
        <v>1</v>
      </c>
      <c r="I881" s="4">
        <f t="shared" si="16"/>
        <v>417</v>
      </c>
      <c r="J881" s="4">
        <f t="shared" si="17"/>
        <v>625</v>
      </c>
      <c r="K881" s="4" t="s">
        <v>1309</v>
      </c>
    </row>
    <row r="882" spans="1:11" s="4" customFormat="1">
      <c r="A882" s="4">
        <v>111522</v>
      </c>
      <c r="B882" s="4">
        <v>1</v>
      </c>
      <c r="C882" s="4">
        <v>1</v>
      </c>
      <c r="D882" s="4">
        <v>0</v>
      </c>
      <c r="E882" s="4">
        <v>0</v>
      </c>
      <c r="F882" s="4">
        <v>1</v>
      </c>
      <c r="G882" s="4">
        <v>111001</v>
      </c>
      <c r="H882" s="4">
        <v>1</v>
      </c>
      <c r="I882" s="4">
        <f t="shared" si="16"/>
        <v>418</v>
      </c>
      <c r="J882" s="4">
        <f t="shared" si="17"/>
        <v>626</v>
      </c>
      <c r="K882" s="4" t="s">
        <v>1310</v>
      </c>
    </row>
    <row r="883" spans="1:11" s="4" customFormat="1">
      <c r="A883" s="4">
        <v>111523</v>
      </c>
      <c r="B883" s="4">
        <v>1</v>
      </c>
      <c r="C883" s="4">
        <v>1</v>
      </c>
      <c r="D883" s="4">
        <v>0</v>
      </c>
      <c r="E883" s="4">
        <v>0</v>
      </c>
      <c r="F883" s="4">
        <v>1</v>
      </c>
      <c r="G883" s="4">
        <v>111001</v>
      </c>
      <c r="H883" s="4">
        <v>1</v>
      </c>
      <c r="I883" s="4">
        <f t="shared" si="16"/>
        <v>418</v>
      </c>
      <c r="J883" s="4">
        <f t="shared" si="17"/>
        <v>628</v>
      </c>
      <c r="K883" s="4" t="s">
        <v>1311</v>
      </c>
    </row>
    <row r="884" spans="1:11" s="4" customFormat="1">
      <c r="A884" s="4">
        <v>111524</v>
      </c>
      <c r="B884" s="4">
        <v>1</v>
      </c>
      <c r="C884" s="4">
        <v>1</v>
      </c>
      <c r="D884" s="4">
        <v>0</v>
      </c>
      <c r="E884" s="4">
        <v>0</v>
      </c>
      <c r="F884" s="4">
        <v>1</v>
      </c>
      <c r="G884" s="4">
        <v>111001</v>
      </c>
      <c r="H884" s="4">
        <v>1</v>
      </c>
      <c r="I884" s="4">
        <f t="shared" si="16"/>
        <v>419</v>
      </c>
      <c r="J884" s="4">
        <f t="shared" si="17"/>
        <v>629</v>
      </c>
      <c r="K884" s="4" t="s">
        <v>1312</v>
      </c>
    </row>
    <row r="885" spans="1:11" s="4" customFormat="1">
      <c r="A885" s="4">
        <v>111525</v>
      </c>
      <c r="B885" s="4">
        <v>1</v>
      </c>
      <c r="C885" s="4">
        <v>1</v>
      </c>
      <c r="D885" s="4">
        <v>0</v>
      </c>
      <c r="E885" s="4">
        <v>0</v>
      </c>
      <c r="F885" s="4">
        <v>1</v>
      </c>
      <c r="G885" s="4">
        <v>111001</v>
      </c>
      <c r="H885" s="4">
        <v>1</v>
      </c>
      <c r="I885" s="4">
        <f t="shared" si="16"/>
        <v>420</v>
      </c>
      <c r="J885" s="4">
        <f t="shared" si="17"/>
        <v>630</v>
      </c>
      <c r="K885" s="4" t="s">
        <v>1313</v>
      </c>
    </row>
    <row r="886" spans="1:11" s="4" customFormat="1">
      <c r="A886" s="4">
        <v>111526</v>
      </c>
      <c r="B886" s="4">
        <v>1</v>
      </c>
      <c r="C886" s="4">
        <v>1</v>
      </c>
      <c r="D886" s="4">
        <v>0</v>
      </c>
      <c r="E886" s="4">
        <v>0</v>
      </c>
      <c r="F886" s="4">
        <v>1</v>
      </c>
      <c r="G886" s="4">
        <v>111001</v>
      </c>
      <c r="H886" s="4">
        <v>1</v>
      </c>
      <c r="I886" s="4">
        <f t="shared" si="16"/>
        <v>421</v>
      </c>
      <c r="J886" s="4">
        <f t="shared" si="17"/>
        <v>631</v>
      </c>
      <c r="K886" s="4" t="s">
        <v>1314</v>
      </c>
    </row>
    <row r="887" spans="1:11" s="4" customFormat="1">
      <c r="A887" s="4">
        <v>111527</v>
      </c>
      <c r="B887" s="4">
        <v>1</v>
      </c>
      <c r="C887" s="4">
        <v>1</v>
      </c>
      <c r="D887" s="4">
        <v>0</v>
      </c>
      <c r="E887" s="4">
        <v>0</v>
      </c>
      <c r="F887" s="4">
        <v>1</v>
      </c>
      <c r="G887" s="4">
        <v>111001</v>
      </c>
      <c r="H887" s="4">
        <v>1</v>
      </c>
      <c r="I887" s="4">
        <f t="shared" si="16"/>
        <v>422</v>
      </c>
      <c r="J887" s="4">
        <f t="shared" si="17"/>
        <v>632</v>
      </c>
      <c r="K887" s="4" t="s">
        <v>1315</v>
      </c>
    </row>
    <row r="888" spans="1:11" s="4" customFormat="1">
      <c r="A888" s="4">
        <v>111528</v>
      </c>
      <c r="B888" s="4">
        <v>1</v>
      </c>
      <c r="C888" s="4">
        <v>1</v>
      </c>
      <c r="D888" s="4">
        <v>0</v>
      </c>
      <c r="E888" s="4">
        <v>0</v>
      </c>
      <c r="F888" s="4">
        <v>1</v>
      </c>
      <c r="G888" s="4">
        <v>111001</v>
      </c>
      <c r="H888" s="4">
        <v>1</v>
      </c>
      <c r="I888" s="4">
        <f t="shared" si="16"/>
        <v>422</v>
      </c>
      <c r="J888" s="4">
        <f t="shared" si="17"/>
        <v>634</v>
      </c>
      <c r="K888" s="4" t="s">
        <v>1316</v>
      </c>
    </row>
    <row r="889" spans="1:11" s="4" customFormat="1">
      <c r="A889" s="4">
        <v>111529</v>
      </c>
      <c r="B889" s="4">
        <v>1</v>
      </c>
      <c r="C889" s="4">
        <v>1</v>
      </c>
      <c r="D889" s="4">
        <v>0</v>
      </c>
      <c r="E889" s="4">
        <v>0</v>
      </c>
      <c r="F889" s="4">
        <v>1</v>
      </c>
      <c r="G889" s="4">
        <v>111001</v>
      </c>
      <c r="H889" s="4">
        <v>1</v>
      </c>
      <c r="I889" s="4">
        <f t="shared" si="16"/>
        <v>423</v>
      </c>
      <c r="J889" s="4">
        <f t="shared" si="17"/>
        <v>635</v>
      </c>
      <c r="K889" s="4" t="s">
        <v>1317</v>
      </c>
    </row>
    <row r="890" spans="1:11" s="4" customFormat="1">
      <c r="A890" s="4">
        <v>111530</v>
      </c>
      <c r="B890" s="4">
        <v>1</v>
      </c>
      <c r="C890" s="4">
        <v>1</v>
      </c>
      <c r="D890" s="4">
        <v>0</v>
      </c>
      <c r="E890" s="4">
        <v>0</v>
      </c>
      <c r="F890" s="4">
        <v>1</v>
      </c>
      <c r="G890" s="4">
        <v>111001</v>
      </c>
      <c r="H890" s="4">
        <v>1</v>
      </c>
      <c r="I890" s="4">
        <f t="shared" si="16"/>
        <v>424</v>
      </c>
      <c r="J890" s="4">
        <f t="shared" si="17"/>
        <v>636</v>
      </c>
      <c r="K890" s="4" t="s">
        <v>1318</v>
      </c>
    </row>
    <row r="891" spans="1:11" s="4" customFormat="1">
      <c r="A891" s="4">
        <v>111531</v>
      </c>
      <c r="B891" s="4">
        <v>1</v>
      </c>
      <c r="C891" s="4">
        <v>1</v>
      </c>
      <c r="D891" s="4">
        <v>0</v>
      </c>
      <c r="E891" s="4">
        <v>0</v>
      </c>
      <c r="F891" s="4">
        <v>1</v>
      </c>
      <c r="G891" s="4">
        <v>111001</v>
      </c>
      <c r="H891" s="4">
        <v>1</v>
      </c>
      <c r="I891" s="4">
        <f t="shared" si="16"/>
        <v>425</v>
      </c>
      <c r="J891" s="4">
        <f t="shared" si="17"/>
        <v>637</v>
      </c>
      <c r="K891" s="4" t="s">
        <v>1319</v>
      </c>
    </row>
    <row r="892" spans="1:11" s="4" customFormat="1">
      <c r="A892" s="4">
        <v>111532</v>
      </c>
      <c r="B892" s="4">
        <v>1</v>
      </c>
      <c r="C892" s="4">
        <v>1</v>
      </c>
      <c r="D892" s="4">
        <v>0</v>
      </c>
      <c r="E892" s="4">
        <v>0</v>
      </c>
      <c r="F892" s="4">
        <v>1</v>
      </c>
      <c r="G892" s="4">
        <v>111001</v>
      </c>
      <c r="H892" s="4">
        <v>1</v>
      </c>
      <c r="I892" s="4">
        <f t="shared" si="16"/>
        <v>426</v>
      </c>
      <c r="J892" s="4">
        <f t="shared" si="17"/>
        <v>638</v>
      </c>
      <c r="K892" s="4" t="s">
        <v>1320</v>
      </c>
    </row>
    <row r="893" spans="1:11" s="4" customFormat="1">
      <c r="A893" s="4">
        <v>111533</v>
      </c>
      <c r="B893" s="4">
        <v>1</v>
      </c>
      <c r="C893" s="4">
        <v>1</v>
      </c>
      <c r="D893" s="4">
        <v>0</v>
      </c>
      <c r="E893" s="4">
        <v>0</v>
      </c>
      <c r="F893" s="4">
        <v>1</v>
      </c>
      <c r="G893" s="4">
        <v>111001</v>
      </c>
      <c r="H893" s="4">
        <v>1</v>
      </c>
      <c r="I893" s="4">
        <f t="shared" si="16"/>
        <v>426</v>
      </c>
      <c r="J893" s="4">
        <f t="shared" si="17"/>
        <v>640</v>
      </c>
      <c r="K893" s="4" t="s">
        <v>1321</v>
      </c>
    </row>
    <row r="894" spans="1:11" s="4" customFormat="1">
      <c r="A894" s="4">
        <v>111534</v>
      </c>
      <c r="B894" s="4">
        <v>1</v>
      </c>
      <c r="C894" s="4">
        <v>1</v>
      </c>
      <c r="D894" s="4">
        <v>0</v>
      </c>
      <c r="E894" s="4">
        <v>0</v>
      </c>
      <c r="F894" s="4">
        <v>1</v>
      </c>
      <c r="G894" s="4">
        <v>111001</v>
      </c>
      <c r="H894" s="4">
        <v>1</v>
      </c>
      <c r="I894" s="4">
        <f t="shared" si="16"/>
        <v>427</v>
      </c>
      <c r="J894" s="4">
        <f t="shared" si="17"/>
        <v>641</v>
      </c>
      <c r="K894" s="4" t="s">
        <v>1322</v>
      </c>
    </row>
    <row r="895" spans="1:11" s="4" customFormat="1">
      <c r="A895" s="4">
        <v>111535</v>
      </c>
      <c r="B895" s="4">
        <v>1</v>
      </c>
      <c r="C895" s="4">
        <v>1</v>
      </c>
      <c r="D895" s="4">
        <v>0</v>
      </c>
      <c r="E895" s="4">
        <v>0</v>
      </c>
      <c r="F895" s="4">
        <v>1</v>
      </c>
      <c r="G895" s="4">
        <v>111001</v>
      </c>
      <c r="H895" s="4">
        <v>1</v>
      </c>
      <c r="I895" s="4">
        <f t="shared" si="16"/>
        <v>428</v>
      </c>
      <c r="J895" s="4">
        <f t="shared" si="17"/>
        <v>642</v>
      </c>
      <c r="K895" s="4" t="s">
        <v>1323</v>
      </c>
    </row>
    <row r="896" spans="1:11" s="4" customFormat="1">
      <c r="A896" s="4">
        <v>111536</v>
      </c>
      <c r="B896" s="4">
        <v>1</v>
      </c>
      <c r="C896" s="4">
        <v>1</v>
      </c>
      <c r="D896" s="4">
        <v>0</v>
      </c>
      <c r="E896" s="4">
        <v>0</v>
      </c>
      <c r="F896" s="4">
        <v>1</v>
      </c>
      <c r="G896" s="4">
        <v>111001</v>
      </c>
      <c r="H896" s="4">
        <v>1</v>
      </c>
      <c r="I896" s="4">
        <f t="shared" si="16"/>
        <v>429</v>
      </c>
      <c r="J896" s="4">
        <f t="shared" si="17"/>
        <v>643</v>
      </c>
      <c r="K896" s="4" t="s">
        <v>1324</v>
      </c>
    </row>
    <row r="897" spans="1:11" s="4" customFormat="1">
      <c r="A897" s="4">
        <v>111537</v>
      </c>
      <c r="B897" s="4">
        <v>1</v>
      </c>
      <c r="C897" s="4">
        <v>1</v>
      </c>
      <c r="D897" s="4">
        <v>0</v>
      </c>
      <c r="E897" s="4">
        <v>0</v>
      </c>
      <c r="F897" s="4">
        <v>1</v>
      </c>
      <c r="G897" s="4">
        <v>111001</v>
      </c>
      <c r="H897" s="4">
        <v>1</v>
      </c>
      <c r="I897" s="4">
        <f t="shared" si="16"/>
        <v>430</v>
      </c>
      <c r="J897" s="4">
        <f t="shared" si="17"/>
        <v>644</v>
      </c>
      <c r="K897" s="4" t="s">
        <v>1325</v>
      </c>
    </row>
    <row r="898" spans="1:11" s="4" customFormat="1">
      <c r="A898" s="4">
        <v>111538</v>
      </c>
      <c r="B898" s="4">
        <v>1</v>
      </c>
      <c r="C898" s="4">
        <v>1</v>
      </c>
      <c r="D898" s="4">
        <v>0</v>
      </c>
      <c r="E898" s="4">
        <v>0</v>
      </c>
      <c r="F898" s="4">
        <v>1</v>
      </c>
      <c r="G898" s="4">
        <v>111001</v>
      </c>
      <c r="H898" s="4">
        <v>1</v>
      </c>
      <c r="I898" s="4">
        <f t="shared" si="16"/>
        <v>430</v>
      </c>
      <c r="J898" s="4">
        <f t="shared" si="17"/>
        <v>646</v>
      </c>
      <c r="K898" s="4" t="s">
        <v>1326</v>
      </c>
    </row>
    <row r="899" spans="1:11" s="4" customFormat="1">
      <c r="A899" s="4">
        <v>111539</v>
      </c>
      <c r="B899" s="4">
        <v>1</v>
      </c>
      <c r="C899" s="4">
        <v>1</v>
      </c>
      <c r="D899" s="4">
        <v>0</v>
      </c>
      <c r="E899" s="4">
        <v>0</v>
      </c>
      <c r="F899" s="4">
        <v>1</v>
      </c>
      <c r="G899" s="4">
        <v>111001</v>
      </c>
      <c r="H899" s="4">
        <v>1</v>
      </c>
      <c r="I899" s="4">
        <f t="shared" si="16"/>
        <v>431</v>
      </c>
      <c r="J899" s="4">
        <f t="shared" si="17"/>
        <v>647</v>
      </c>
      <c r="K899" s="4" t="s">
        <v>1327</v>
      </c>
    </row>
    <row r="900" spans="1:11" s="4" customFormat="1">
      <c r="A900" s="4">
        <v>111540</v>
      </c>
      <c r="B900" s="4">
        <v>1</v>
      </c>
      <c r="C900" s="4">
        <v>1</v>
      </c>
      <c r="D900" s="4">
        <v>0</v>
      </c>
      <c r="E900" s="4">
        <v>0</v>
      </c>
      <c r="F900" s="4">
        <v>1</v>
      </c>
      <c r="G900" s="4">
        <v>111001</v>
      </c>
      <c r="H900" s="4">
        <v>1</v>
      </c>
      <c r="I900" s="4">
        <f t="shared" si="16"/>
        <v>432</v>
      </c>
      <c r="J900" s="4">
        <f t="shared" si="17"/>
        <v>648</v>
      </c>
      <c r="K900" s="4" t="s">
        <v>1328</v>
      </c>
    </row>
    <row r="901" spans="1:11" s="4" customFormat="1">
      <c r="A901" s="4">
        <v>111541</v>
      </c>
      <c r="B901" s="4">
        <v>1</v>
      </c>
      <c r="C901" s="4">
        <v>1</v>
      </c>
      <c r="D901" s="4">
        <v>0</v>
      </c>
      <c r="E901" s="4">
        <v>0</v>
      </c>
      <c r="F901" s="4">
        <v>1</v>
      </c>
      <c r="G901" s="4">
        <v>111001</v>
      </c>
      <c r="H901" s="4">
        <v>1</v>
      </c>
      <c r="I901" s="4">
        <f t="shared" si="16"/>
        <v>433</v>
      </c>
      <c r="J901" s="4">
        <f t="shared" si="17"/>
        <v>649</v>
      </c>
      <c r="K901" s="4" t="s">
        <v>1329</v>
      </c>
    </row>
    <row r="902" spans="1:11" s="4" customFormat="1">
      <c r="A902" s="4">
        <v>111542</v>
      </c>
      <c r="B902" s="4">
        <v>1</v>
      </c>
      <c r="C902" s="4">
        <v>1</v>
      </c>
      <c r="D902" s="4">
        <v>0</v>
      </c>
      <c r="E902" s="4">
        <v>0</v>
      </c>
      <c r="F902" s="4">
        <v>1</v>
      </c>
      <c r="G902" s="4">
        <v>111001</v>
      </c>
      <c r="H902" s="4">
        <v>1</v>
      </c>
      <c r="I902" s="4">
        <f t="shared" si="16"/>
        <v>434</v>
      </c>
      <c r="J902" s="4">
        <f t="shared" si="17"/>
        <v>650</v>
      </c>
      <c r="K902" s="4" t="s">
        <v>1330</v>
      </c>
    </row>
    <row r="903" spans="1:11" s="4" customFormat="1">
      <c r="A903" s="4">
        <v>111543</v>
      </c>
      <c r="B903" s="4">
        <v>1</v>
      </c>
      <c r="C903" s="4">
        <v>1</v>
      </c>
      <c r="D903" s="4">
        <v>0</v>
      </c>
      <c r="E903" s="4">
        <v>0</v>
      </c>
      <c r="F903" s="4">
        <v>1</v>
      </c>
      <c r="G903" s="4">
        <v>111001</v>
      </c>
      <c r="H903" s="4">
        <v>1</v>
      </c>
      <c r="I903" s="4">
        <f t="shared" si="16"/>
        <v>434</v>
      </c>
      <c r="J903" s="4">
        <f t="shared" si="17"/>
        <v>652</v>
      </c>
      <c r="K903" s="4" t="s">
        <v>1331</v>
      </c>
    </row>
    <row r="904" spans="1:11" s="4" customFormat="1">
      <c r="A904" s="4">
        <v>111544</v>
      </c>
      <c r="B904" s="4">
        <v>1</v>
      </c>
      <c r="C904" s="4">
        <v>1</v>
      </c>
      <c r="D904" s="4">
        <v>0</v>
      </c>
      <c r="E904" s="4">
        <v>0</v>
      </c>
      <c r="F904" s="4">
        <v>1</v>
      </c>
      <c r="G904" s="4">
        <v>111001</v>
      </c>
      <c r="H904" s="4">
        <v>1</v>
      </c>
      <c r="I904" s="4">
        <f t="shared" si="16"/>
        <v>435</v>
      </c>
      <c r="J904" s="4">
        <f t="shared" si="17"/>
        <v>653</v>
      </c>
      <c r="K904" s="4" t="s">
        <v>1332</v>
      </c>
    </row>
    <row r="905" spans="1:11" s="4" customFormat="1">
      <c r="A905" s="4">
        <v>111545</v>
      </c>
      <c r="B905" s="4">
        <v>1</v>
      </c>
      <c r="C905" s="4">
        <v>1</v>
      </c>
      <c r="D905" s="4">
        <v>0</v>
      </c>
      <c r="E905" s="4">
        <v>0</v>
      </c>
      <c r="F905" s="4">
        <v>1</v>
      </c>
      <c r="G905" s="4">
        <v>111001</v>
      </c>
      <c r="H905" s="4">
        <v>1</v>
      </c>
      <c r="I905" s="4">
        <f t="shared" si="16"/>
        <v>436</v>
      </c>
      <c r="J905" s="4">
        <f t="shared" si="17"/>
        <v>654</v>
      </c>
      <c r="K905" s="4" t="s">
        <v>1333</v>
      </c>
    </row>
    <row r="906" spans="1:11" s="4" customFormat="1">
      <c r="A906" s="4">
        <v>111546</v>
      </c>
      <c r="B906" s="4">
        <v>1</v>
      </c>
      <c r="C906" s="4">
        <v>1</v>
      </c>
      <c r="D906" s="4">
        <v>0</v>
      </c>
      <c r="E906" s="4">
        <v>0</v>
      </c>
      <c r="F906" s="4">
        <v>1</v>
      </c>
      <c r="G906" s="4">
        <v>111001</v>
      </c>
      <c r="H906" s="4">
        <v>1</v>
      </c>
      <c r="I906" s="4">
        <f t="shared" si="16"/>
        <v>437</v>
      </c>
      <c r="J906" s="4">
        <f t="shared" si="17"/>
        <v>655</v>
      </c>
      <c r="K906" s="4" t="s">
        <v>1334</v>
      </c>
    </row>
    <row r="907" spans="1:11" s="4" customFormat="1">
      <c r="A907" s="4">
        <v>111547</v>
      </c>
      <c r="B907" s="4">
        <v>1</v>
      </c>
      <c r="C907" s="4">
        <v>1</v>
      </c>
      <c r="D907" s="4">
        <v>0</v>
      </c>
      <c r="E907" s="4">
        <v>0</v>
      </c>
      <c r="F907" s="4">
        <v>1</v>
      </c>
      <c r="G907" s="4">
        <v>111001</v>
      </c>
      <c r="H907" s="4">
        <v>1</v>
      </c>
      <c r="I907" s="4">
        <f t="shared" si="16"/>
        <v>438</v>
      </c>
      <c r="J907" s="4">
        <f t="shared" si="17"/>
        <v>656</v>
      </c>
      <c r="K907" s="4" t="s">
        <v>1335</v>
      </c>
    </row>
    <row r="908" spans="1:11" s="4" customFormat="1">
      <c r="A908" s="4">
        <v>111548</v>
      </c>
      <c r="B908" s="4">
        <v>1</v>
      </c>
      <c r="C908" s="4">
        <v>1</v>
      </c>
      <c r="D908" s="4">
        <v>0</v>
      </c>
      <c r="E908" s="4">
        <v>0</v>
      </c>
      <c r="F908" s="4">
        <v>1</v>
      </c>
      <c r="G908" s="4">
        <v>111001</v>
      </c>
      <c r="H908" s="4">
        <v>1</v>
      </c>
      <c r="I908" s="4">
        <f t="shared" si="16"/>
        <v>438</v>
      </c>
      <c r="J908" s="4">
        <f t="shared" si="17"/>
        <v>658</v>
      </c>
      <c r="K908" s="4" t="s">
        <v>1336</v>
      </c>
    </row>
    <row r="909" spans="1:11" s="4" customFormat="1">
      <c r="A909" s="4">
        <v>111549</v>
      </c>
      <c r="B909" s="4">
        <v>1</v>
      </c>
      <c r="C909" s="4">
        <v>1</v>
      </c>
      <c r="D909" s="4">
        <v>0</v>
      </c>
      <c r="E909" s="4">
        <v>0</v>
      </c>
      <c r="F909" s="4">
        <v>1</v>
      </c>
      <c r="G909" s="4">
        <v>111001</v>
      </c>
      <c r="H909" s="4">
        <v>1</v>
      </c>
      <c r="I909" s="4">
        <f t="shared" si="16"/>
        <v>439</v>
      </c>
      <c r="J909" s="4">
        <f t="shared" si="17"/>
        <v>659</v>
      </c>
      <c r="K909" s="4" t="s">
        <v>1337</v>
      </c>
    </row>
    <row r="910" spans="1:11" s="4" customFormat="1">
      <c r="A910" s="4">
        <v>111550</v>
      </c>
      <c r="B910" s="4">
        <v>1</v>
      </c>
      <c r="C910" s="4">
        <v>1</v>
      </c>
      <c r="D910" s="4">
        <v>0</v>
      </c>
      <c r="E910" s="4">
        <v>0</v>
      </c>
      <c r="F910" s="4">
        <v>1</v>
      </c>
      <c r="G910" s="4">
        <v>111001</v>
      </c>
      <c r="H910" s="4">
        <v>1</v>
      </c>
      <c r="I910" s="4">
        <f t="shared" si="16"/>
        <v>440</v>
      </c>
      <c r="J910" s="4">
        <f t="shared" si="17"/>
        <v>660</v>
      </c>
      <c r="K910" s="4" t="s">
        <v>1338</v>
      </c>
    </row>
    <row r="911" spans="1:11" s="4" customFormat="1">
      <c r="A911" s="4">
        <v>111551</v>
      </c>
      <c r="B911" s="4">
        <v>1</v>
      </c>
      <c r="C911" s="4">
        <v>1</v>
      </c>
      <c r="D911" s="4">
        <v>0</v>
      </c>
      <c r="E911" s="4">
        <v>0</v>
      </c>
      <c r="F911" s="4">
        <v>1</v>
      </c>
      <c r="G911" s="4">
        <v>111001</v>
      </c>
      <c r="H911" s="4">
        <v>1</v>
      </c>
      <c r="I911" s="4">
        <f t="shared" si="16"/>
        <v>441</v>
      </c>
      <c r="J911" s="4">
        <f t="shared" si="17"/>
        <v>661</v>
      </c>
      <c r="K911" s="4" t="s">
        <v>1339</v>
      </c>
    </row>
    <row r="912" spans="1:11" s="4" customFormat="1">
      <c r="A912" s="4">
        <v>111552</v>
      </c>
      <c r="B912" s="4">
        <v>1</v>
      </c>
      <c r="C912" s="4">
        <v>1</v>
      </c>
      <c r="D912" s="4">
        <v>0</v>
      </c>
      <c r="E912" s="4">
        <v>0</v>
      </c>
      <c r="F912" s="4">
        <v>1</v>
      </c>
      <c r="G912" s="4">
        <v>111001</v>
      </c>
      <c r="H912" s="4">
        <v>1</v>
      </c>
      <c r="I912" s="4">
        <f t="shared" si="16"/>
        <v>442</v>
      </c>
      <c r="J912" s="4">
        <f t="shared" si="17"/>
        <v>662</v>
      </c>
      <c r="K912" s="4" t="s">
        <v>1340</v>
      </c>
    </row>
    <row r="913" spans="1:11" s="4" customFormat="1">
      <c r="A913" s="4">
        <v>111553</v>
      </c>
      <c r="B913" s="4">
        <v>1</v>
      </c>
      <c r="C913" s="4">
        <v>1</v>
      </c>
      <c r="D913" s="4">
        <v>0</v>
      </c>
      <c r="E913" s="4">
        <v>0</v>
      </c>
      <c r="F913" s="4">
        <v>1</v>
      </c>
      <c r="G913" s="4">
        <v>111001</v>
      </c>
      <c r="H913" s="4">
        <v>1</v>
      </c>
      <c r="I913" s="4">
        <f t="shared" si="16"/>
        <v>442</v>
      </c>
      <c r="J913" s="4">
        <f t="shared" si="17"/>
        <v>664</v>
      </c>
      <c r="K913" s="4" t="s">
        <v>1341</v>
      </c>
    </row>
    <row r="914" spans="1:11" s="4" customFormat="1">
      <c r="A914" s="4">
        <v>111554</v>
      </c>
      <c r="B914" s="4">
        <v>1</v>
      </c>
      <c r="C914" s="4">
        <v>1</v>
      </c>
      <c r="D914" s="4">
        <v>0</v>
      </c>
      <c r="E914" s="4">
        <v>0</v>
      </c>
      <c r="F914" s="4">
        <v>1</v>
      </c>
      <c r="G914" s="4">
        <v>111001</v>
      </c>
      <c r="H914" s="4">
        <v>1</v>
      </c>
      <c r="I914" s="4">
        <f t="shared" si="16"/>
        <v>443</v>
      </c>
      <c r="J914" s="4">
        <f t="shared" si="17"/>
        <v>665</v>
      </c>
      <c r="K914" s="4" t="s">
        <v>1342</v>
      </c>
    </row>
    <row r="915" spans="1:11" s="4" customFormat="1">
      <c r="A915" s="4">
        <v>111555</v>
      </c>
      <c r="B915" s="4">
        <v>1</v>
      </c>
      <c r="C915" s="4">
        <v>1</v>
      </c>
      <c r="D915" s="4">
        <v>0</v>
      </c>
      <c r="E915" s="4">
        <v>0</v>
      </c>
      <c r="F915" s="4">
        <v>1</v>
      </c>
      <c r="G915" s="4">
        <v>111001</v>
      </c>
      <c r="H915" s="4">
        <v>1</v>
      </c>
      <c r="I915" s="4">
        <f t="shared" si="16"/>
        <v>444</v>
      </c>
      <c r="J915" s="4">
        <f t="shared" si="17"/>
        <v>666</v>
      </c>
      <c r="K915" s="4" t="s">
        <v>1343</v>
      </c>
    </row>
    <row r="916" spans="1:11" s="4" customFormat="1">
      <c r="A916" s="4">
        <v>111556</v>
      </c>
      <c r="B916" s="4">
        <v>1</v>
      </c>
      <c r="C916" s="4">
        <v>1</v>
      </c>
      <c r="D916" s="4">
        <v>0</v>
      </c>
      <c r="E916" s="4">
        <v>0</v>
      </c>
      <c r="F916" s="4">
        <v>1</v>
      </c>
      <c r="G916" s="4">
        <v>111001</v>
      </c>
      <c r="H916" s="4">
        <v>1</v>
      </c>
      <c r="I916" s="4">
        <f t="shared" si="16"/>
        <v>445</v>
      </c>
      <c r="J916" s="4">
        <f t="shared" si="17"/>
        <v>667</v>
      </c>
      <c r="K916" s="4" t="s">
        <v>1344</v>
      </c>
    </row>
    <row r="917" spans="1:11" s="4" customFormat="1">
      <c r="A917" s="4">
        <v>111557</v>
      </c>
      <c r="B917" s="4">
        <v>1</v>
      </c>
      <c r="C917" s="4">
        <v>1</v>
      </c>
      <c r="D917" s="4">
        <v>0</v>
      </c>
      <c r="E917" s="4">
        <v>0</v>
      </c>
      <c r="F917" s="4">
        <v>1</v>
      </c>
      <c r="G917" s="4">
        <v>111001</v>
      </c>
      <c r="H917" s="4">
        <v>1</v>
      </c>
      <c r="I917" s="4">
        <f t="shared" si="16"/>
        <v>446</v>
      </c>
      <c r="J917" s="4">
        <f t="shared" si="17"/>
        <v>668</v>
      </c>
      <c r="K917" s="4" t="s">
        <v>1345</v>
      </c>
    </row>
    <row r="918" spans="1:11" s="4" customFormat="1">
      <c r="A918" s="4">
        <v>111558</v>
      </c>
      <c r="B918" s="4">
        <v>1</v>
      </c>
      <c r="C918" s="4">
        <v>1</v>
      </c>
      <c r="D918" s="4">
        <v>0</v>
      </c>
      <c r="E918" s="4">
        <v>0</v>
      </c>
      <c r="F918" s="4">
        <v>1</v>
      </c>
      <c r="G918" s="4">
        <v>111001</v>
      </c>
      <c r="H918" s="4">
        <v>1</v>
      </c>
      <c r="I918" s="4">
        <f t="shared" si="16"/>
        <v>446</v>
      </c>
      <c r="J918" s="4">
        <f t="shared" si="17"/>
        <v>670</v>
      </c>
      <c r="K918" s="4" t="s">
        <v>1346</v>
      </c>
    </row>
    <row r="919" spans="1:11" s="4" customFormat="1">
      <c r="A919" s="4">
        <v>111559</v>
      </c>
      <c r="B919" s="4">
        <v>1</v>
      </c>
      <c r="C919" s="4">
        <v>1</v>
      </c>
      <c r="D919" s="4">
        <v>0</v>
      </c>
      <c r="E919" s="4">
        <v>0</v>
      </c>
      <c r="F919" s="4">
        <v>1</v>
      </c>
      <c r="G919" s="4">
        <v>111001</v>
      </c>
      <c r="H919" s="4">
        <v>1</v>
      </c>
      <c r="I919" s="4">
        <f t="shared" si="16"/>
        <v>447</v>
      </c>
      <c r="J919" s="4">
        <f t="shared" si="17"/>
        <v>671</v>
      </c>
      <c r="K919" s="4" t="s">
        <v>1347</v>
      </c>
    </row>
    <row r="920" spans="1:11" s="4" customFormat="1">
      <c r="A920" s="4">
        <v>111560</v>
      </c>
      <c r="B920" s="4">
        <v>1</v>
      </c>
      <c r="C920" s="4">
        <v>1</v>
      </c>
      <c r="D920" s="4">
        <v>0</v>
      </c>
      <c r="E920" s="4">
        <v>0</v>
      </c>
      <c r="F920" s="4">
        <v>1</v>
      </c>
      <c r="G920" s="4">
        <v>111001</v>
      </c>
      <c r="H920" s="4">
        <v>1</v>
      </c>
      <c r="I920" s="4">
        <f t="shared" si="16"/>
        <v>448</v>
      </c>
      <c r="J920" s="4">
        <f t="shared" si="17"/>
        <v>672</v>
      </c>
      <c r="K920" s="4" t="s">
        <v>1348</v>
      </c>
    </row>
    <row r="921" spans="1:11" s="4" customFormat="1">
      <c r="A921" s="4">
        <v>111561</v>
      </c>
      <c r="B921" s="4">
        <v>1</v>
      </c>
      <c r="C921" s="4">
        <v>1</v>
      </c>
      <c r="D921" s="4">
        <v>0</v>
      </c>
      <c r="E921" s="4">
        <v>0</v>
      </c>
      <c r="F921" s="4">
        <v>1</v>
      </c>
      <c r="G921" s="4">
        <v>111001</v>
      </c>
      <c r="H921" s="4">
        <v>1</v>
      </c>
      <c r="I921" s="4">
        <f t="shared" si="16"/>
        <v>449</v>
      </c>
      <c r="J921" s="4">
        <f t="shared" si="17"/>
        <v>673</v>
      </c>
      <c r="K921" s="4" t="s">
        <v>1349</v>
      </c>
    </row>
    <row r="922" spans="1:11" s="4" customFormat="1">
      <c r="A922" s="4">
        <v>111562</v>
      </c>
      <c r="B922" s="4">
        <v>1</v>
      </c>
      <c r="C922" s="4">
        <v>1</v>
      </c>
      <c r="D922" s="4">
        <v>0</v>
      </c>
      <c r="E922" s="4">
        <v>0</v>
      </c>
      <c r="F922" s="4">
        <v>1</v>
      </c>
      <c r="G922" s="4">
        <v>111001</v>
      </c>
      <c r="H922" s="4">
        <v>1</v>
      </c>
      <c r="I922" s="4">
        <f t="shared" si="16"/>
        <v>450</v>
      </c>
      <c r="J922" s="4">
        <f t="shared" si="17"/>
        <v>674</v>
      </c>
      <c r="K922" s="4" t="s">
        <v>1350</v>
      </c>
    </row>
    <row r="923" spans="1:11" s="4" customFormat="1">
      <c r="A923" s="4">
        <v>111563</v>
      </c>
      <c r="B923" s="4">
        <v>1</v>
      </c>
      <c r="C923" s="4">
        <v>1</v>
      </c>
      <c r="D923" s="4">
        <v>0</v>
      </c>
      <c r="E923" s="4">
        <v>0</v>
      </c>
      <c r="F923" s="4">
        <v>1</v>
      </c>
      <c r="G923" s="4">
        <v>111001</v>
      </c>
      <c r="H923" s="4">
        <v>1</v>
      </c>
      <c r="I923" s="4">
        <f t="shared" si="16"/>
        <v>450</v>
      </c>
      <c r="J923" s="4">
        <f t="shared" si="17"/>
        <v>676</v>
      </c>
      <c r="K923" s="4" t="s">
        <v>1351</v>
      </c>
    </row>
    <row r="924" spans="1:11" s="4" customFormat="1">
      <c r="A924" s="4">
        <v>111564</v>
      </c>
      <c r="B924" s="4">
        <v>1</v>
      </c>
      <c r="C924" s="4">
        <v>1</v>
      </c>
      <c r="D924" s="4">
        <v>0</v>
      </c>
      <c r="E924" s="4">
        <v>0</v>
      </c>
      <c r="F924" s="4">
        <v>1</v>
      </c>
      <c r="G924" s="4">
        <v>111001</v>
      </c>
      <c r="H924" s="4">
        <v>1</v>
      </c>
      <c r="I924" s="4">
        <f t="shared" si="16"/>
        <v>451</v>
      </c>
      <c r="J924" s="4">
        <f t="shared" si="17"/>
        <v>677</v>
      </c>
      <c r="K924" s="4" t="s">
        <v>1352</v>
      </c>
    </row>
    <row r="925" spans="1:11" s="4" customFormat="1">
      <c r="A925" s="4">
        <v>111565</v>
      </c>
      <c r="B925" s="4">
        <v>1</v>
      </c>
      <c r="C925" s="4">
        <v>1</v>
      </c>
      <c r="D925" s="4">
        <v>0</v>
      </c>
      <c r="E925" s="4">
        <v>0</v>
      </c>
      <c r="F925" s="4">
        <v>1</v>
      </c>
      <c r="G925" s="4">
        <v>111001</v>
      </c>
      <c r="H925" s="4">
        <v>1</v>
      </c>
      <c r="I925" s="4">
        <f t="shared" si="16"/>
        <v>452</v>
      </c>
      <c r="J925" s="4">
        <f t="shared" si="17"/>
        <v>678</v>
      </c>
      <c r="K925" s="4" t="s">
        <v>1353</v>
      </c>
    </row>
    <row r="926" spans="1:11" s="4" customFormat="1">
      <c r="A926" s="4">
        <v>111566</v>
      </c>
      <c r="B926" s="4">
        <v>1</v>
      </c>
      <c r="C926" s="4">
        <v>1</v>
      </c>
      <c r="D926" s="4">
        <v>0</v>
      </c>
      <c r="E926" s="4">
        <v>0</v>
      </c>
      <c r="F926" s="4">
        <v>1</v>
      </c>
      <c r="G926" s="4">
        <v>111001</v>
      </c>
      <c r="H926" s="4">
        <v>1</v>
      </c>
      <c r="I926" s="4">
        <f t="shared" si="16"/>
        <v>453</v>
      </c>
      <c r="J926" s="4">
        <f t="shared" si="17"/>
        <v>679</v>
      </c>
      <c r="K926" s="4" t="s">
        <v>1354</v>
      </c>
    </row>
    <row r="927" spans="1:11" s="4" customFormat="1">
      <c r="A927" s="4">
        <v>111567</v>
      </c>
      <c r="B927" s="4">
        <v>1</v>
      </c>
      <c r="C927" s="4">
        <v>1</v>
      </c>
      <c r="D927" s="4">
        <v>0</v>
      </c>
      <c r="E927" s="4">
        <v>0</v>
      </c>
      <c r="F927" s="4">
        <v>1</v>
      </c>
      <c r="G927" s="4">
        <v>111001</v>
      </c>
      <c r="H927" s="4">
        <v>1</v>
      </c>
      <c r="I927" s="4">
        <f t="shared" si="16"/>
        <v>454</v>
      </c>
      <c r="J927" s="4">
        <f t="shared" si="17"/>
        <v>680</v>
      </c>
      <c r="K927" s="4" t="s">
        <v>1355</v>
      </c>
    </row>
    <row r="928" spans="1:11" s="4" customFormat="1">
      <c r="A928" s="4">
        <v>111568</v>
      </c>
      <c r="B928" s="4">
        <v>1</v>
      </c>
      <c r="C928" s="4">
        <v>1</v>
      </c>
      <c r="D928" s="4">
        <v>0</v>
      </c>
      <c r="E928" s="4">
        <v>0</v>
      </c>
      <c r="F928" s="4">
        <v>1</v>
      </c>
      <c r="G928" s="4">
        <v>111001</v>
      </c>
      <c r="H928" s="4">
        <v>1</v>
      </c>
      <c r="I928" s="4">
        <f t="shared" si="16"/>
        <v>454</v>
      </c>
      <c r="J928" s="4">
        <f t="shared" si="17"/>
        <v>682</v>
      </c>
      <c r="K928" s="4" t="s">
        <v>1356</v>
      </c>
    </row>
    <row r="929" spans="1:11" s="4" customFormat="1">
      <c r="A929" s="4">
        <v>111569</v>
      </c>
      <c r="B929" s="4">
        <v>1</v>
      </c>
      <c r="C929" s="4">
        <v>1</v>
      </c>
      <c r="D929" s="4">
        <v>0</v>
      </c>
      <c r="E929" s="4">
        <v>0</v>
      </c>
      <c r="F929" s="4">
        <v>1</v>
      </c>
      <c r="G929" s="4">
        <v>111001</v>
      </c>
      <c r="H929" s="4">
        <v>1</v>
      </c>
      <c r="I929" s="4">
        <f t="shared" si="16"/>
        <v>455</v>
      </c>
      <c r="J929" s="4">
        <f t="shared" si="17"/>
        <v>683</v>
      </c>
      <c r="K929" s="4" t="s">
        <v>1357</v>
      </c>
    </row>
    <row r="930" spans="1:11" s="4" customFormat="1">
      <c r="A930" s="4">
        <v>111570</v>
      </c>
      <c r="B930" s="4">
        <v>1</v>
      </c>
      <c r="C930" s="4">
        <v>1</v>
      </c>
      <c r="D930" s="4">
        <v>0</v>
      </c>
      <c r="E930" s="4">
        <v>0</v>
      </c>
      <c r="F930" s="4">
        <v>1</v>
      </c>
      <c r="G930" s="4">
        <v>111001</v>
      </c>
      <c r="H930" s="4">
        <v>1</v>
      </c>
      <c r="I930" s="4">
        <f t="shared" si="16"/>
        <v>456</v>
      </c>
      <c r="J930" s="4">
        <f t="shared" si="17"/>
        <v>684</v>
      </c>
      <c r="K930" s="4" t="s">
        <v>1358</v>
      </c>
    </row>
    <row r="931" spans="1:11" s="4" customFormat="1">
      <c r="A931" s="4">
        <v>111571</v>
      </c>
      <c r="B931" s="4">
        <v>1</v>
      </c>
      <c r="C931" s="4">
        <v>1</v>
      </c>
      <c r="D931" s="4">
        <v>0</v>
      </c>
      <c r="E931" s="4">
        <v>0</v>
      </c>
      <c r="F931" s="4">
        <v>1</v>
      </c>
      <c r="G931" s="4">
        <v>111001</v>
      </c>
      <c r="H931" s="4">
        <v>1</v>
      </c>
      <c r="I931" s="4">
        <f t="shared" si="16"/>
        <v>457</v>
      </c>
      <c r="J931" s="4">
        <f t="shared" si="17"/>
        <v>685</v>
      </c>
      <c r="K931" s="4" t="s">
        <v>1359</v>
      </c>
    </row>
    <row r="932" spans="1:11" s="4" customFormat="1">
      <c r="A932" s="4">
        <v>111572</v>
      </c>
      <c r="B932" s="4">
        <v>1</v>
      </c>
      <c r="C932" s="4">
        <v>1</v>
      </c>
      <c r="D932" s="4">
        <v>0</v>
      </c>
      <c r="E932" s="4">
        <v>0</v>
      </c>
      <c r="F932" s="4">
        <v>1</v>
      </c>
      <c r="G932" s="4">
        <v>111001</v>
      </c>
      <c r="H932" s="4">
        <v>1</v>
      </c>
      <c r="I932" s="4">
        <f t="shared" si="16"/>
        <v>458</v>
      </c>
      <c r="J932" s="4">
        <f t="shared" si="17"/>
        <v>686</v>
      </c>
      <c r="K932" s="4" t="s">
        <v>1360</v>
      </c>
    </row>
    <row r="933" spans="1:11" s="4" customFormat="1">
      <c r="A933" s="4">
        <v>111573</v>
      </c>
      <c r="B933" s="4">
        <v>1</v>
      </c>
      <c r="C933" s="4">
        <v>1</v>
      </c>
      <c r="D933" s="4">
        <v>0</v>
      </c>
      <c r="E933" s="4">
        <v>0</v>
      </c>
      <c r="F933" s="4">
        <v>1</v>
      </c>
      <c r="G933" s="4">
        <v>111001</v>
      </c>
      <c r="H933" s="4">
        <v>1</v>
      </c>
      <c r="I933" s="4">
        <f t="shared" si="16"/>
        <v>458</v>
      </c>
      <c r="J933" s="4">
        <f t="shared" si="17"/>
        <v>688</v>
      </c>
      <c r="K933" s="4" t="s">
        <v>1361</v>
      </c>
    </row>
    <row r="934" spans="1:11" s="4" customFormat="1">
      <c r="A934" s="4">
        <v>111574</v>
      </c>
      <c r="B934" s="4">
        <v>1</v>
      </c>
      <c r="C934" s="4">
        <v>1</v>
      </c>
      <c r="D934" s="4">
        <v>0</v>
      </c>
      <c r="E934" s="4">
        <v>0</v>
      </c>
      <c r="F934" s="4">
        <v>1</v>
      </c>
      <c r="G934" s="4">
        <v>111001</v>
      </c>
      <c r="H934" s="4">
        <v>1</v>
      </c>
      <c r="I934" s="4">
        <f t="shared" si="16"/>
        <v>459</v>
      </c>
      <c r="J934" s="4">
        <f t="shared" si="17"/>
        <v>689</v>
      </c>
      <c r="K934" s="4" t="s">
        <v>1362</v>
      </c>
    </row>
    <row r="935" spans="1:11" s="4" customFormat="1">
      <c r="A935" s="4">
        <v>111575</v>
      </c>
      <c r="B935" s="4">
        <v>1</v>
      </c>
      <c r="C935" s="4">
        <v>1</v>
      </c>
      <c r="D935" s="4">
        <v>0</v>
      </c>
      <c r="E935" s="4">
        <v>0</v>
      </c>
      <c r="F935" s="4">
        <v>1</v>
      </c>
      <c r="G935" s="4">
        <v>111001</v>
      </c>
      <c r="H935" s="4">
        <v>1</v>
      </c>
      <c r="I935" s="4">
        <f t="shared" si="16"/>
        <v>460</v>
      </c>
      <c r="J935" s="4">
        <f t="shared" si="17"/>
        <v>690</v>
      </c>
      <c r="K935" s="4" t="s">
        <v>1363</v>
      </c>
    </row>
    <row r="936" spans="1:11" s="4" customFormat="1">
      <c r="A936" s="4">
        <v>111576</v>
      </c>
      <c r="B936" s="4">
        <v>1</v>
      </c>
      <c r="C936" s="4">
        <v>1</v>
      </c>
      <c r="D936" s="4">
        <v>0</v>
      </c>
      <c r="E936" s="4">
        <v>0</v>
      </c>
      <c r="F936" s="4">
        <v>1</v>
      </c>
      <c r="G936" s="4">
        <v>111001</v>
      </c>
      <c r="H936" s="4">
        <v>1</v>
      </c>
      <c r="I936" s="4">
        <f t="shared" si="16"/>
        <v>461</v>
      </c>
      <c r="J936" s="4">
        <f t="shared" si="17"/>
        <v>691</v>
      </c>
      <c r="K936" s="4" t="s">
        <v>1364</v>
      </c>
    </row>
    <row r="937" spans="1:11" s="4" customFormat="1">
      <c r="A937" s="4">
        <v>111577</v>
      </c>
      <c r="B937" s="4">
        <v>1</v>
      </c>
      <c r="C937" s="4">
        <v>1</v>
      </c>
      <c r="D937" s="4">
        <v>0</v>
      </c>
      <c r="E937" s="4">
        <v>0</v>
      </c>
      <c r="F937" s="4">
        <v>1</v>
      </c>
      <c r="G937" s="4">
        <v>111001</v>
      </c>
      <c r="H937" s="4">
        <v>1</v>
      </c>
      <c r="I937" s="4">
        <f t="shared" si="16"/>
        <v>462</v>
      </c>
      <c r="J937" s="4">
        <f t="shared" si="17"/>
        <v>692</v>
      </c>
      <c r="K937" s="4" t="s">
        <v>1365</v>
      </c>
    </row>
    <row r="938" spans="1:11" s="4" customFormat="1">
      <c r="A938" s="4">
        <v>111578</v>
      </c>
      <c r="B938" s="4">
        <v>1</v>
      </c>
      <c r="C938" s="4">
        <v>1</v>
      </c>
      <c r="D938" s="4">
        <v>0</v>
      </c>
      <c r="E938" s="4">
        <v>0</v>
      </c>
      <c r="F938" s="4">
        <v>1</v>
      </c>
      <c r="G938" s="4">
        <v>111001</v>
      </c>
      <c r="H938" s="4">
        <v>1</v>
      </c>
      <c r="I938" s="4">
        <f t="shared" ref="I938:I1001" si="18">ROUND(RIGHT(A938,3)*80%,0)</f>
        <v>462</v>
      </c>
      <c r="J938" s="4">
        <f t="shared" ref="J938:J1001" si="19">ROUND(RIGHT(A938,3)*120%,0)</f>
        <v>694</v>
      </c>
      <c r="K938" s="4" t="s">
        <v>1366</v>
      </c>
    </row>
    <row r="939" spans="1:11" s="4" customFormat="1">
      <c r="A939" s="4">
        <v>111579</v>
      </c>
      <c r="B939" s="4">
        <v>1</v>
      </c>
      <c r="C939" s="4">
        <v>1</v>
      </c>
      <c r="D939" s="4">
        <v>0</v>
      </c>
      <c r="E939" s="4">
        <v>0</v>
      </c>
      <c r="F939" s="4">
        <v>1</v>
      </c>
      <c r="G939" s="4">
        <v>111001</v>
      </c>
      <c r="H939" s="4">
        <v>1</v>
      </c>
      <c r="I939" s="4">
        <f t="shared" si="18"/>
        <v>463</v>
      </c>
      <c r="J939" s="4">
        <f t="shared" si="19"/>
        <v>695</v>
      </c>
      <c r="K939" s="4" t="s">
        <v>1367</v>
      </c>
    </row>
    <row r="940" spans="1:11" s="4" customFormat="1">
      <c r="A940" s="4">
        <v>111580</v>
      </c>
      <c r="B940" s="4">
        <v>1</v>
      </c>
      <c r="C940" s="4">
        <v>1</v>
      </c>
      <c r="D940" s="4">
        <v>0</v>
      </c>
      <c r="E940" s="4">
        <v>0</v>
      </c>
      <c r="F940" s="4">
        <v>1</v>
      </c>
      <c r="G940" s="4">
        <v>111001</v>
      </c>
      <c r="H940" s="4">
        <v>1</v>
      </c>
      <c r="I940" s="4">
        <f t="shared" si="18"/>
        <v>464</v>
      </c>
      <c r="J940" s="4">
        <f t="shared" si="19"/>
        <v>696</v>
      </c>
      <c r="K940" s="4" t="s">
        <v>1368</v>
      </c>
    </row>
    <row r="941" spans="1:11" s="4" customFormat="1">
      <c r="A941" s="4">
        <v>111581</v>
      </c>
      <c r="B941" s="4">
        <v>1</v>
      </c>
      <c r="C941" s="4">
        <v>1</v>
      </c>
      <c r="D941" s="4">
        <v>0</v>
      </c>
      <c r="E941" s="4">
        <v>0</v>
      </c>
      <c r="F941" s="4">
        <v>1</v>
      </c>
      <c r="G941" s="4">
        <v>111001</v>
      </c>
      <c r="H941" s="4">
        <v>1</v>
      </c>
      <c r="I941" s="4">
        <f t="shared" si="18"/>
        <v>465</v>
      </c>
      <c r="J941" s="4">
        <f t="shared" si="19"/>
        <v>697</v>
      </c>
      <c r="K941" s="4" t="s">
        <v>1369</v>
      </c>
    </row>
    <row r="942" spans="1:11" s="4" customFormat="1">
      <c r="A942" s="4">
        <v>111582</v>
      </c>
      <c r="B942" s="4">
        <v>1</v>
      </c>
      <c r="C942" s="4">
        <v>1</v>
      </c>
      <c r="D942" s="4">
        <v>0</v>
      </c>
      <c r="E942" s="4">
        <v>0</v>
      </c>
      <c r="F942" s="4">
        <v>1</v>
      </c>
      <c r="G942" s="4">
        <v>111001</v>
      </c>
      <c r="H942" s="4">
        <v>1</v>
      </c>
      <c r="I942" s="4">
        <f t="shared" si="18"/>
        <v>466</v>
      </c>
      <c r="J942" s="4">
        <f t="shared" si="19"/>
        <v>698</v>
      </c>
      <c r="K942" s="4" t="s">
        <v>1370</v>
      </c>
    </row>
    <row r="943" spans="1:11" s="4" customFormat="1">
      <c r="A943" s="4">
        <v>111583</v>
      </c>
      <c r="B943" s="4">
        <v>1</v>
      </c>
      <c r="C943" s="4">
        <v>1</v>
      </c>
      <c r="D943" s="4">
        <v>0</v>
      </c>
      <c r="E943" s="4">
        <v>0</v>
      </c>
      <c r="F943" s="4">
        <v>1</v>
      </c>
      <c r="G943" s="4">
        <v>111001</v>
      </c>
      <c r="H943" s="4">
        <v>1</v>
      </c>
      <c r="I943" s="4">
        <f t="shared" si="18"/>
        <v>466</v>
      </c>
      <c r="J943" s="4">
        <f t="shared" si="19"/>
        <v>700</v>
      </c>
      <c r="K943" s="4" t="s">
        <v>1371</v>
      </c>
    </row>
    <row r="944" spans="1:11" s="4" customFormat="1">
      <c r="A944" s="4">
        <v>111584</v>
      </c>
      <c r="B944" s="4">
        <v>1</v>
      </c>
      <c r="C944" s="4">
        <v>1</v>
      </c>
      <c r="D944" s="4">
        <v>0</v>
      </c>
      <c r="E944" s="4">
        <v>0</v>
      </c>
      <c r="F944" s="4">
        <v>1</v>
      </c>
      <c r="G944" s="4">
        <v>111001</v>
      </c>
      <c r="H944" s="4">
        <v>1</v>
      </c>
      <c r="I944" s="4">
        <f t="shared" si="18"/>
        <v>467</v>
      </c>
      <c r="J944" s="4">
        <f t="shared" si="19"/>
        <v>701</v>
      </c>
      <c r="K944" s="4" t="s">
        <v>1372</v>
      </c>
    </row>
    <row r="945" spans="1:11" s="4" customFormat="1">
      <c r="A945" s="4">
        <v>111585</v>
      </c>
      <c r="B945" s="4">
        <v>1</v>
      </c>
      <c r="C945" s="4">
        <v>1</v>
      </c>
      <c r="D945" s="4">
        <v>0</v>
      </c>
      <c r="E945" s="4">
        <v>0</v>
      </c>
      <c r="F945" s="4">
        <v>1</v>
      </c>
      <c r="G945" s="4">
        <v>111001</v>
      </c>
      <c r="H945" s="4">
        <v>1</v>
      </c>
      <c r="I945" s="4">
        <f t="shared" si="18"/>
        <v>468</v>
      </c>
      <c r="J945" s="4">
        <f t="shared" si="19"/>
        <v>702</v>
      </c>
      <c r="K945" s="4" t="s">
        <v>1373</v>
      </c>
    </row>
    <row r="946" spans="1:11" s="4" customFormat="1">
      <c r="A946" s="4">
        <v>111586</v>
      </c>
      <c r="B946" s="4">
        <v>1</v>
      </c>
      <c r="C946" s="4">
        <v>1</v>
      </c>
      <c r="D946" s="4">
        <v>0</v>
      </c>
      <c r="E946" s="4">
        <v>0</v>
      </c>
      <c r="F946" s="4">
        <v>1</v>
      </c>
      <c r="G946" s="4">
        <v>111001</v>
      </c>
      <c r="H946" s="4">
        <v>1</v>
      </c>
      <c r="I946" s="4">
        <f t="shared" si="18"/>
        <v>469</v>
      </c>
      <c r="J946" s="4">
        <f t="shared" si="19"/>
        <v>703</v>
      </c>
      <c r="K946" s="4" t="s">
        <v>1374</v>
      </c>
    </row>
    <row r="947" spans="1:11" s="4" customFormat="1">
      <c r="A947" s="4">
        <v>111587</v>
      </c>
      <c r="B947" s="4">
        <v>1</v>
      </c>
      <c r="C947" s="4">
        <v>1</v>
      </c>
      <c r="D947" s="4">
        <v>0</v>
      </c>
      <c r="E947" s="4">
        <v>0</v>
      </c>
      <c r="F947" s="4">
        <v>1</v>
      </c>
      <c r="G947" s="4">
        <v>111001</v>
      </c>
      <c r="H947" s="4">
        <v>1</v>
      </c>
      <c r="I947" s="4">
        <f t="shared" si="18"/>
        <v>470</v>
      </c>
      <c r="J947" s="4">
        <f t="shared" si="19"/>
        <v>704</v>
      </c>
      <c r="K947" s="4" t="s">
        <v>1375</v>
      </c>
    </row>
    <row r="948" spans="1:11" s="4" customFormat="1">
      <c r="A948" s="4">
        <v>111588</v>
      </c>
      <c r="B948" s="4">
        <v>1</v>
      </c>
      <c r="C948" s="4">
        <v>1</v>
      </c>
      <c r="D948" s="4">
        <v>0</v>
      </c>
      <c r="E948" s="4">
        <v>0</v>
      </c>
      <c r="F948" s="4">
        <v>1</v>
      </c>
      <c r="G948" s="4">
        <v>111001</v>
      </c>
      <c r="H948" s="4">
        <v>1</v>
      </c>
      <c r="I948" s="4">
        <f t="shared" si="18"/>
        <v>470</v>
      </c>
      <c r="J948" s="4">
        <f t="shared" si="19"/>
        <v>706</v>
      </c>
      <c r="K948" s="4" t="s">
        <v>1376</v>
      </c>
    </row>
    <row r="949" spans="1:11" s="4" customFormat="1">
      <c r="A949" s="4">
        <v>111589</v>
      </c>
      <c r="B949" s="4">
        <v>1</v>
      </c>
      <c r="C949" s="4">
        <v>1</v>
      </c>
      <c r="D949" s="4">
        <v>0</v>
      </c>
      <c r="E949" s="4">
        <v>0</v>
      </c>
      <c r="F949" s="4">
        <v>1</v>
      </c>
      <c r="G949" s="4">
        <v>111001</v>
      </c>
      <c r="H949" s="4">
        <v>1</v>
      </c>
      <c r="I949" s="4">
        <f t="shared" si="18"/>
        <v>471</v>
      </c>
      <c r="J949" s="4">
        <f t="shared" si="19"/>
        <v>707</v>
      </c>
      <c r="K949" s="4" t="s">
        <v>1377</v>
      </c>
    </row>
    <row r="950" spans="1:11" s="4" customFormat="1">
      <c r="A950" s="4">
        <v>111590</v>
      </c>
      <c r="B950" s="4">
        <v>1</v>
      </c>
      <c r="C950" s="4">
        <v>1</v>
      </c>
      <c r="D950" s="4">
        <v>0</v>
      </c>
      <c r="E950" s="4">
        <v>0</v>
      </c>
      <c r="F950" s="4">
        <v>1</v>
      </c>
      <c r="G950" s="4">
        <v>111001</v>
      </c>
      <c r="H950" s="4">
        <v>1</v>
      </c>
      <c r="I950" s="4">
        <f t="shared" si="18"/>
        <v>472</v>
      </c>
      <c r="J950" s="4">
        <f t="shared" si="19"/>
        <v>708</v>
      </c>
      <c r="K950" s="4" t="s">
        <v>1378</v>
      </c>
    </row>
    <row r="951" spans="1:11" s="4" customFormat="1">
      <c r="A951" s="4">
        <v>111591</v>
      </c>
      <c r="B951" s="4">
        <v>1</v>
      </c>
      <c r="C951" s="4">
        <v>1</v>
      </c>
      <c r="D951" s="4">
        <v>0</v>
      </c>
      <c r="E951" s="4">
        <v>0</v>
      </c>
      <c r="F951" s="4">
        <v>1</v>
      </c>
      <c r="G951" s="4">
        <v>111001</v>
      </c>
      <c r="H951" s="4">
        <v>1</v>
      </c>
      <c r="I951" s="4">
        <f t="shared" si="18"/>
        <v>473</v>
      </c>
      <c r="J951" s="4">
        <f t="shared" si="19"/>
        <v>709</v>
      </c>
      <c r="K951" s="4" t="s">
        <v>1379</v>
      </c>
    </row>
    <row r="952" spans="1:11" s="4" customFormat="1">
      <c r="A952" s="4">
        <v>111592</v>
      </c>
      <c r="B952" s="4">
        <v>1</v>
      </c>
      <c r="C952" s="4">
        <v>1</v>
      </c>
      <c r="D952" s="4">
        <v>0</v>
      </c>
      <c r="E952" s="4">
        <v>0</v>
      </c>
      <c r="F952" s="4">
        <v>1</v>
      </c>
      <c r="G952" s="4">
        <v>111001</v>
      </c>
      <c r="H952" s="4">
        <v>1</v>
      </c>
      <c r="I952" s="4">
        <f t="shared" si="18"/>
        <v>474</v>
      </c>
      <c r="J952" s="4">
        <f t="shared" si="19"/>
        <v>710</v>
      </c>
      <c r="K952" s="4" t="s">
        <v>1380</v>
      </c>
    </row>
    <row r="953" spans="1:11" s="4" customFormat="1">
      <c r="A953" s="4">
        <v>111593</v>
      </c>
      <c r="B953" s="4">
        <v>1</v>
      </c>
      <c r="C953" s="4">
        <v>1</v>
      </c>
      <c r="D953" s="4">
        <v>0</v>
      </c>
      <c r="E953" s="4">
        <v>0</v>
      </c>
      <c r="F953" s="4">
        <v>1</v>
      </c>
      <c r="G953" s="4">
        <v>111001</v>
      </c>
      <c r="H953" s="4">
        <v>1</v>
      </c>
      <c r="I953" s="4">
        <f t="shared" si="18"/>
        <v>474</v>
      </c>
      <c r="J953" s="4">
        <f t="shared" si="19"/>
        <v>712</v>
      </c>
      <c r="K953" s="4" t="s">
        <v>1381</v>
      </c>
    </row>
    <row r="954" spans="1:11" s="4" customFormat="1">
      <c r="A954" s="4">
        <v>111594</v>
      </c>
      <c r="B954" s="4">
        <v>1</v>
      </c>
      <c r="C954" s="4">
        <v>1</v>
      </c>
      <c r="D954" s="4">
        <v>0</v>
      </c>
      <c r="E954" s="4">
        <v>0</v>
      </c>
      <c r="F954" s="4">
        <v>1</v>
      </c>
      <c r="G954" s="4">
        <v>111001</v>
      </c>
      <c r="H954" s="4">
        <v>1</v>
      </c>
      <c r="I954" s="4">
        <f t="shared" si="18"/>
        <v>475</v>
      </c>
      <c r="J954" s="4">
        <f t="shared" si="19"/>
        <v>713</v>
      </c>
      <c r="K954" s="4" t="s">
        <v>1382</v>
      </c>
    </row>
    <row r="955" spans="1:11" s="4" customFormat="1">
      <c r="A955" s="4">
        <v>111595</v>
      </c>
      <c r="B955" s="4">
        <v>1</v>
      </c>
      <c r="C955" s="4">
        <v>1</v>
      </c>
      <c r="D955" s="4">
        <v>0</v>
      </c>
      <c r="E955" s="4">
        <v>0</v>
      </c>
      <c r="F955" s="4">
        <v>1</v>
      </c>
      <c r="G955" s="4">
        <v>111001</v>
      </c>
      <c r="H955" s="4">
        <v>1</v>
      </c>
      <c r="I955" s="4">
        <f t="shared" si="18"/>
        <v>476</v>
      </c>
      <c r="J955" s="4">
        <f t="shared" si="19"/>
        <v>714</v>
      </c>
      <c r="K955" s="4" t="s">
        <v>1383</v>
      </c>
    </row>
    <row r="956" spans="1:11" s="4" customFormat="1">
      <c r="A956" s="4">
        <v>111596</v>
      </c>
      <c r="B956" s="4">
        <v>1</v>
      </c>
      <c r="C956" s="4">
        <v>1</v>
      </c>
      <c r="D956" s="4">
        <v>0</v>
      </c>
      <c r="E956" s="4">
        <v>0</v>
      </c>
      <c r="F956" s="4">
        <v>1</v>
      </c>
      <c r="G956" s="4">
        <v>111001</v>
      </c>
      <c r="H956" s="4">
        <v>1</v>
      </c>
      <c r="I956" s="4">
        <f t="shared" si="18"/>
        <v>477</v>
      </c>
      <c r="J956" s="4">
        <f t="shared" si="19"/>
        <v>715</v>
      </c>
      <c r="K956" s="4" t="s">
        <v>1384</v>
      </c>
    </row>
    <row r="957" spans="1:11" s="4" customFormat="1">
      <c r="A957" s="4">
        <v>111597</v>
      </c>
      <c r="B957" s="4">
        <v>1</v>
      </c>
      <c r="C957" s="4">
        <v>1</v>
      </c>
      <c r="D957" s="4">
        <v>0</v>
      </c>
      <c r="E957" s="4">
        <v>0</v>
      </c>
      <c r="F957" s="4">
        <v>1</v>
      </c>
      <c r="G957" s="4">
        <v>111001</v>
      </c>
      <c r="H957" s="4">
        <v>1</v>
      </c>
      <c r="I957" s="4">
        <f t="shared" si="18"/>
        <v>478</v>
      </c>
      <c r="J957" s="4">
        <f t="shared" si="19"/>
        <v>716</v>
      </c>
      <c r="K957" s="4" t="s">
        <v>1385</v>
      </c>
    </row>
    <row r="958" spans="1:11" s="4" customFormat="1">
      <c r="A958" s="4">
        <v>111598</v>
      </c>
      <c r="B958" s="4">
        <v>1</v>
      </c>
      <c r="C958" s="4">
        <v>1</v>
      </c>
      <c r="D958" s="4">
        <v>0</v>
      </c>
      <c r="E958" s="4">
        <v>0</v>
      </c>
      <c r="F958" s="4">
        <v>1</v>
      </c>
      <c r="G958" s="4">
        <v>111001</v>
      </c>
      <c r="H958" s="4">
        <v>1</v>
      </c>
      <c r="I958" s="4">
        <f t="shared" si="18"/>
        <v>478</v>
      </c>
      <c r="J958" s="4">
        <f t="shared" si="19"/>
        <v>718</v>
      </c>
      <c r="K958" s="4" t="s">
        <v>1386</v>
      </c>
    </row>
    <row r="959" spans="1:11" s="4" customFormat="1">
      <c r="A959" s="4">
        <v>111599</v>
      </c>
      <c r="B959" s="4">
        <v>1</v>
      </c>
      <c r="C959" s="4">
        <v>1</v>
      </c>
      <c r="D959" s="4">
        <v>0</v>
      </c>
      <c r="E959" s="4">
        <v>0</v>
      </c>
      <c r="F959" s="4">
        <v>1</v>
      </c>
      <c r="G959" s="4">
        <v>111001</v>
      </c>
      <c r="H959" s="4">
        <v>1</v>
      </c>
      <c r="I959" s="4">
        <f t="shared" si="18"/>
        <v>479</v>
      </c>
      <c r="J959" s="4">
        <f t="shared" si="19"/>
        <v>719</v>
      </c>
      <c r="K959" s="4" t="s">
        <v>1387</v>
      </c>
    </row>
    <row r="960" spans="1:11" s="4" customFormat="1">
      <c r="A960" s="4">
        <v>111600</v>
      </c>
      <c r="B960" s="4">
        <v>1</v>
      </c>
      <c r="C960" s="4">
        <v>1</v>
      </c>
      <c r="D960" s="4">
        <v>0</v>
      </c>
      <c r="E960" s="4">
        <v>0</v>
      </c>
      <c r="F960" s="4">
        <v>1</v>
      </c>
      <c r="G960" s="4">
        <v>111001</v>
      </c>
      <c r="H960" s="4">
        <v>1</v>
      </c>
      <c r="I960" s="4">
        <f t="shared" si="18"/>
        <v>480</v>
      </c>
      <c r="J960" s="4">
        <f t="shared" si="19"/>
        <v>720</v>
      </c>
      <c r="K960" s="4" t="s">
        <v>1388</v>
      </c>
    </row>
    <row r="961" spans="1:11" s="4" customFormat="1">
      <c r="A961" s="4">
        <v>111601</v>
      </c>
      <c r="B961" s="4">
        <v>1</v>
      </c>
      <c r="C961" s="4">
        <v>1</v>
      </c>
      <c r="D961" s="4">
        <v>0</v>
      </c>
      <c r="E961" s="4">
        <v>0</v>
      </c>
      <c r="F961" s="4">
        <v>1</v>
      </c>
      <c r="G961" s="4">
        <v>111001</v>
      </c>
      <c r="H961" s="4">
        <v>1</v>
      </c>
      <c r="I961" s="4">
        <f t="shared" si="18"/>
        <v>481</v>
      </c>
      <c r="J961" s="4">
        <f t="shared" si="19"/>
        <v>721</v>
      </c>
      <c r="K961" s="4" t="s">
        <v>1389</v>
      </c>
    </row>
    <row r="962" spans="1:11" s="4" customFormat="1">
      <c r="A962" s="4">
        <v>111602</v>
      </c>
      <c r="B962" s="4">
        <v>1</v>
      </c>
      <c r="C962" s="4">
        <v>1</v>
      </c>
      <c r="D962" s="4">
        <v>0</v>
      </c>
      <c r="E962" s="4">
        <v>0</v>
      </c>
      <c r="F962" s="4">
        <v>1</v>
      </c>
      <c r="G962" s="4">
        <v>111001</v>
      </c>
      <c r="H962" s="4">
        <v>1</v>
      </c>
      <c r="I962" s="4">
        <f t="shared" si="18"/>
        <v>482</v>
      </c>
      <c r="J962" s="4">
        <f t="shared" si="19"/>
        <v>722</v>
      </c>
      <c r="K962" s="4" t="s">
        <v>1390</v>
      </c>
    </row>
    <row r="963" spans="1:11" s="4" customFormat="1">
      <c r="A963" s="4">
        <v>111603</v>
      </c>
      <c r="B963" s="4">
        <v>1</v>
      </c>
      <c r="C963" s="4">
        <v>1</v>
      </c>
      <c r="D963" s="4">
        <v>0</v>
      </c>
      <c r="E963" s="4">
        <v>0</v>
      </c>
      <c r="F963" s="4">
        <v>1</v>
      </c>
      <c r="G963" s="4">
        <v>111001</v>
      </c>
      <c r="H963" s="4">
        <v>1</v>
      </c>
      <c r="I963" s="4">
        <f t="shared" si="18"/>
        <v>482</v>
      </c>
      <c r="J963" s="4">
        <f t="shared" si="19"/>
        <v>724</v>
      </c>
      <c r="K963" s="4" t="s">
        <v>1391</v>
      </c>
    </row>
    <row r="964" spans="1:11" s="4" customFormat="1">
      <c r="A964" s="4">
        <v>111604</v>
      </c>
      <c r="B964" s="4">
        <v>1</v>
      </c>
      <c r="C964" s="4">
        <v>1</v>
      </c>
      <c r="D964" s="4">
        <v>0</v>
      </c>
      <c r="E964" s="4">
        <v>0</v>
      </c>
      <c r="F964" s="4">
        <v>1</v>
      </c>
      <c r="G964" s="4">
        <v>111001</v>
      </c>
      <c r="H964" s="4">
        <v>1</v>
      </c>
      <c r="I964" s="4">
        <f t="shared" si="18"/>
        <v>483</v>
      </c>
      <c r="J964" s="4">
        <f t="shared" si="19"/>
        <v>725</v>
      </c>
      <c r="K964" s="4" t="s">
        <v>1392</v>
      </c>
    </row>
    <row r="965" spans="1:11" s="4" customFormat="1">
      <c r="A965" s="4">
        <v>111605</v>
      </c>
      <c r="B965" s="4">
        <v>1</v>
      </c>
      <c r="C965" s="4">
        <v>1</v>
      </c>
      <c r="D965" s="4">
        <v>0</v>
      </c>
      <c r="E965" s="4">
        <v>0</v>
      </c>
      <c r="F965" s="4">
        <v>1</v>
      </c>
      <c r="G965" s="4">
        <v>111001</v>
      </c>
      <c r="H965" s="4">
        <v>1</v>
      </c>
      <c r="I965" s="4">
        <f t="shared" si="18"/>
        <v>484</v>
      </c>
      <c r="J965" s="4">
        <f t="shared" si="19"/>
        <v>726</v>
      </c>
      <c r="K965" s="4" t="s">
        <v>1393</v>
      </c>
    </row>
    <row r="966" spans="1:11" s="4" customFormat="1">
      <c r="A966" s="4">
        <v>111606</v>
      </c>
      <c r="B966" s="4">
        <v>1</v>
      </c>
      <c r="C966" s="4">
        <v>1</v>
      </c>
      <c r="D966" s="4">
        <v>0</v>
      </c>
      <c r="E966" s="4">
        <v>0</v>
      </c>
      <c r="F966" s="4">
        <v>1</v>
      </c>
      <c r="G966" s="4">
        <v>111001</v>
      </c>
      <c r="H966" s="4">
        <v>1</v>
      </c>
      <c r="I966" s="4">
        <f t="shared" si="18"/>
        <v>485</v>
      </c>
      <c r="J966" s="4">
        <f t="shared" si="19"/>
        <v>727</v>
      </c>
      <c r="K966" s="4" t="s">
        <v>1394</v>
      </c>
    </row>
    <row r="967" spans="1:11" s="4" customFormat="1">
      <c r="A967" s="4">
        <v>111607</v>
      </c>
      <c r="B967" s="4">
        <v>1</v>
      </c>
      <c r="C967" s="4">
        <v>1</v>
      </c>
      <c r="D967" s="4">
        <v>0</v>
      </c>
      <c r="E967" s="4">
        <v>0</v>
      </c>
      <c r="F967" s="4">
        <v>1</v>
      </c>
      <c r="G967" s="4">
        <v>111001</v>
      </c>
      <c r="H967" s="4">
        <v>1</v>
      </c>
      <c r="I967" s="4">
        <f t="shared" si="18"/>
        <v>486</v>
      </c>
      <c r="J967" s="4">
        <f t="shared" si="19"/>
        <v>728</v>
      </c>
      <c r="K967" s="4" t="s">
        <v>1395</v>
      </c>
    </row>
    <row r="968" spans="1:11" s="4" customFormat="1">
      <c r="A968" s="4">
        <v>111608</v>
      </c>
      <c r="B968" s="4">
        <v>1</v>
      </c>
      <c r="C968" s="4">
        <v>1</v>
      </c>
      <c r="D968" s="4">
        <v>0</v>
      </c>
      <c r="E968" s="4">
        <v>0</v>
      </c>
      <c r="F968" s="4">
        <v>1</v>
      </c>
      <c r="G968" s="4">
        <v>111001</v>
      </c>
      <c r="H968" s="4">
        <v>1</v>
      </c>
      <c r="I968" s="4">
        <f t="shared" si="18"/>
        <v>486</v>
      </c>
      <c r="J968" s="4">
        <f t="shared" si="19"/>
        <v>730</v>
      </c>
      <c r="K968" s="4" t="s">
        <v>1396</v>
      </c>
    </row>
    <row r="969" spans="1:11" s="4" customFormat="1">
      <c r="A969" s="4">
        <v>111609</v>
      </c>
      <c r="B969" s="4">
        <v>1</v>
      </c>
      <c r="C969" s="4">
        <v>1</v>
      </c>
      <c r="D969" s="4">
        <v>0</v>
      </c>
      <c r="E969" s="4">
        <v>0</v>
      </c>
      <c r="F969" s="4">
        <v>1</v>
      </c>
      <c r="G969" s="4">
        <v>111001</v>
      </c>
      <c r="H969" s="4">
        <v>1</v>
      </c>
      <c r="I969" s="4">
        <f t="shared" si="18"/>
        <v>487</v>
      </c>
      <c r="J969" s="4">
        <f t="shared" si="19"/>
        <v>731</v>
      </c>
      <c r="K969" s="4" t="s">
        <v>1397</v>
      </c>
    </row>
    <row r="970" spans="1:11" s="4" customFormat="1">
      <c r="A970" s="4">
        <v>111610</v>
      </c>
      <c r="B970" s="4">
        <v>1</v>
      </c>
      <c r="C970" s="4">
        <v>1</v>
      </c>
      <c r="D970" s="4">
        <v>0</v>
      </c>
      <c r="E970" s="4">
        <v>0</v>
      </c>
      <c r="F970" s="4">
        <v>1</v>
      </c>
      <c r="G970" s="4">
        <v>111001</v>
      </c>
      <c r="H970" s="4">
        <v>1</v>
      </c>
      <c r="I970" s="4">
        <f t="shared" si="18"/>
        <v>488</v>
      </c>
      <c r="J970" s="4">
        <f t="shared" si="19"/>
        <v>732</v>
      </c>
      <c r="K970" s="4" t="s">
        <v>1398</v>
      </c>
    </row>
    <row r="971" spans="1:11" s="4" customFormat="1">
      <c r="A971" s="4">
        <v>111611</v>
      </c>
      <c r="B971" s="4">
        <v>1</v>
      </c>
      <c r="C971" s="4">
        <v>1</v>
      </c>
      <c r="D971" s="4">
        <v>0</v>
      </c>
      <c r="E971" s="4">
        <v>0</v>
      </c>
      <c r="F971" s="4">
        <v>1</v>
      </c>
      <c r="G971" s="4">
        <v>111001</v>
      </c>
      <c r="H971" s="4">
        <v>1</v>
      </c>
      <c r="I971" s="4">
        <f t="shared" si="18"/>
        <v>489</v>
      </c>
      <c r="J971" s="4">
        <f t="shared" si="19"/>
        <v>733</v>
      </c>
      <c r="K971" s="4" t="s">
        <v>1399</v>
      </c>
    </row>
    <row r="972" spans="1:11" s="4" customFormat="1">
      <c r="A972" s="4">
        <v>111612</v>
      </c>
      <c r="B972" s="4">
        <v>1</v>
      </c>
      <c r="C972" s="4">
        <v>1</v>
      </c>
      <c r="D972" s="4">
        <v>0</v>
      </c>
      <c r="E972" s="4">
        <v>0</v>
      </c>
      <c r="F972" s="4">
        <v>1</v>
      </c>
      <c r="G972" s="4">
        <v>111001</v>
      </c>
      <c r="H972" s="4">
        <v>1</v>
      </c>
      <c r="I972" s="4">
        <f t="shared" si="18"/>
        <v>490</v>
      </c>
      <c r="J972" s="4">
        <f t="shared" si="19"/>
        <v>734</v>
      </c>
      <c r="K972" s="4" t="s">
        <v>1400</v>
      </c>
    </row>
    <row r="973" spans="1:11" s="4" customFormat="1">
      <c r="A973" s="4">
        <v>111613</v>
      </c>
      <c r="B973" s="4">
        <v>1</v>
      </c>
      <c r="C973" s="4">
        <v>1</v>
      </c>
      <c r="D973" s="4">
        <v>0</v>
      </c>
      <c r="E973" s="4">
        <v>0</v>
      </c>
      <c r="F973" s="4">
        <v>1</v>
      </c>
      <c r="G973" s="4">
        <v>111001</v>
      </c>
      <c r="H973" s="4">
        <v>1</v>
      </c>
      <c r="I973" s="4">
        <f t="shared" si="18"/>
        <v>490</v>
      </c>
      <c r="J973" s="4">
        <f t="shared" si="19"/>
        <v>736</v>
      </c>
      <c r="K973" s="4" t="s">
        <v>1401</v>
      </c>
    </row>
    <row r="974" spans="1:11" s="4" customFormat="1">
      <c r="A974" s="4">
        <v>111614</v>
      </c>
      <c r="B974" s="4">
        <v>1</v>
      </c>
      <c r="C974" s="4">
        <v>1</v>
      </c>
      <c r="D974" s="4">
        <v>0</v>
      </c>
      <c r="E974" s="4">
        <v>0</v>
      </c>
      <c r="F974" s="4">
        <v>1</v>
      </c>
      <c r="G974" s="4">
        <v>111001</v>
      </c>
      <c r="H974" s="4">
        <v>1</v>
      </c>
      <c r="I974" s="4">
        <f t="shared" si="18"/>
        <v>491</v>
      </c>
      <c r="J974" s="4">
        <f t="shared" si="19"/>
        <v>737</v>
      </c>
      <c r="K974" s="4" t="s">
        <v>1402</v>
      </c>
    </row>
    <row r="975" spans="1:11" s="4" customFormat="1">
      <c r="A975" s="4">
        <v>111615</v>
      </c>
      <c r="B975" s="4">
        <v>1</v>
      </c>
      <c r="C975" s="4">
        <v>1</v>
      </c>
      <c r="D975" s="4">
        <v>0</v>
      </c>
      <c r="E975" s="4">
        <v>0</v>
      </c>
      <c r="F975" s="4">
        <v>1</v>
      </c>
      <c r="G975" s="4">
        <v>111001</v>
      </c>
      <c r="H975" s="4">
        <v>1</v>
      </c>
      <c r="I975" s="4">
        <f t="shared" si="18"/>
        <v>492</v>
      </c>
      <c r="J975" s="4">
        <f t="shared" si="19"/>
        <v>738</v>
      </c>
      <c r="K975" s="4" t="s">
        <v>1403</v>
      </c>
    </row>
    <row r="976" spans="1:11" s="4" customFormat="1">
      <c r="A976" s="4">
        <v>111616</v>
      </c>
      <c r="B976" s="4">
        <v>1</v>
      </c>
      <c r="C976" s="4">
        <v>1</v>
      </c>
      <c r="D976" s="4">
        <v>0</v>
      </c>
      <c r="E976" s="4">
        <v>0</v>
      </c>
      <c r="F976" s="4">
        <v>1</v>
      </c>
      <c r="G976" s="4">
        <v>111001</v>
      </c>
      <c r="H976" s="4">
        <v>1</v>
      </c>
      <c r="I976" s="4">
        <f t="shared" si="18"/>
        <v>493</v>
      </c>
      <c r="J976" s="4">
        <f t="shared" si="19"/>
        <v>739</v>
      </c>
      <c r="K976" s="4" t="s">
        <v>1404</v>
      </c>
    </row>
    <row r="977" spans="1:11" s="4" customFormat="1">
      <c r="A977" s="4">
        <v>111617</v>
      </c>
      <c r="B977" s="4">
        <v>1</v>
      </c>
      <c r="C977" s="4">
        <v>1</v>
      </c>
      <c r="D977" s="4">
        <v>0</v>
      </c>
      <c r="E977" s="4">
        <v>0</v>
      </c>
      <c r="F977" s="4">
        <v>1</v>
      </c>
      <c r="G977" s="4">
        <v>111001</v>
      </c>
      <c r="H977" s="4">
        <v>1</v>
      </c>
      <c r="I977" s="4">
        <f t="shared" si="18"/>
        <v>494</v>
      </c>
      <c r="J977" s="4">
        <f t="shared" si="19"/>
        <v>740</v>
      </c>
      <c r="K977" s="4" t="s">
        <v>1405</v>
      </c>
    </row>
    <row r="978" spans="1:11" s="4" customFormat="1">
      <c r="A978" s="4">
        <v>111618</v>
      </c>
      <c r="B978" s="4">
        <v>1</v>
      </c>
      <c r="C978" s="4">
        <v>1</v>
      </c>
      <c r="D978" s="4">
        <v>0</v>
      </c>
      <c r="E978" s="4">
        <v>0</v>
      </c>
      <c r="F978" s="4">
        <v>1</v>
      </c>
      <c r="G978" s="4">
        <v>111001</v>
      </c>
      <c r="H978" s="4">
        <v>1</v>
      </c>
      <c r="I978" s="4">
        <f t="shared" si="18"/>
        <v>494</v>
      </c>
      <c r="J978" s="4">
        <f t="shared" si="19"/>
        <v>742</v>
      </c>
      <c r="K978" s="4" t="s">
        <v>1406</v>
      </c>
    </row>
    <row r="979" spans="1:11" s="4" customFormat="1">
      <c r="A979" s="4">
        <v>111619</v>
      </c>
      <c r="B979" s="4">
        <v>1</v>
      </c>
      <c r="C979" s="4">
        <v>1</v>
      </c>
      <c r="D979" s="4">
        <v>0</v>
      </c>
      <c r="E979" s="4">
        <v>0</v>
      </c>
      <c r="F979" s="4">
        <v>1</v>
      </c>
      <c r="G979" s="4">
        <v>111001</v>
      </c>
      <c r="H979" s="4">
        <v>1</v>
      </c>
      <c r="I979" s="4">
        <f t="shared" si="18"/>
        <v>495</v>
      </c>
      <c r="J979" s="4">
        <f t="shared" si="19"/>
        <v>743</v>
      </c>
      <c r="K979" s="4" t="s">
        <v>1407</v>
      </c>
    </row>
    <row r="980" spans="1:11" s="4" customFormat="1">
      <c r="A980" s="4">
        <v>111620</v>
      </c>
      <c r="B980" s="4">
        <v>1</v>
      </c>
      <c r="C980" s="4">
        <v>1</v>
      </c>
      <c r="D980" s="4">
        <v>0</v>
      </c>
      <c r="E980" s="4">
        <v>0</v>
      </c>
      <c r="F980" s="4">
        <v>1</v>
      </c>
      <c r="G980" s="4">
        <v>111001</v>
      </c>
      <c r="H980" s="4">
        <v>1</v>
      </c>
      <c r="I980" s="4">
        <f t="shared" si="18"/>
        <v>496</v>
      </c>
      <c r="J980" s="4">
        <f t="shared" si="19"/>
        <v>744</v>
      </c>
      <c r="K980" s="4" t="s">
        <v>1408</v>
      </c>
    </row>
    <row r="981" spans="1:11" s="4" customFormat="1">
      <c r="A981" s="4">
        <v>111621</v>
      </c>
      <c r="B981" s="4">
        <v>1</v>
      </c>
      <c r="C981" s="4">
        <v>1</v>
      </c>
      <c r="D981" s="4">
        <v>0</v>
      </c>
      <c r="E981" s="4">
        <v>0</v>
      </c>
      <c r="F981" s="4">
        <v>1</v>
      </c>
      <c r="G981" s="4">
        <v>111001</v>
      </c>
      <c r="H981" s="4">
        <v>1</v>
      </c>
      <c r="I981" s="4">
        <f t="shared" si="18"/>
        <v>497</v>
      </c>
      <c r="J981" s="4">
        <f t="shared" si="19"/>
        <v>745</v>
      </c>
      <c r="K981" s="4" t="s">
        <v>1409</v>
      </c>
    </row>
    <row r="982" spans="1:11" s="4" customFormat="1">
      <c r="A982" s="4">
        <v>111622</v>
      </c>
      <c r="B982" s="4">
        <v>1</v>
      </c>
      <c r="C982" s="4">
        <v>1</v>
      </c>
      <c r="D982" s="4">
        <v>0</v>
      </c>
      <c r="E982" s="4">
        <v>0</v>
      </c>
      <c r="F982" s="4">
        <v>1</v>
      </c>
      <c r="G982" s="4">
        <v>111001</v>
      </c>
      <c r="H982" s="4">
        <v>1</v>
      </c>
      <c r="I982" s="4">
        <f t="shared" si="18"/>
        <v>498</v>
      </c>
      <c r="J982" s="4">
        <f t="shared" si="19"/>
        <v>746</v>
      </c>
      <c r="K982" s="4" t="s">
        <v>1410</v>
      </c>
    </row>
    <row r="983" spans="1:11" s="4" customFormat="1">
      <c r="A983" s="4">
        <v>111623</v>
      </c>
      <c r="B983" s="4">
        <v>1</v>
      </c>
      <c r="C983" s="4">
        <v>1</v>
      </c>
      <c r="D983" s="4">
        <v>0</v>
      </c>
      <c r="E983" s="4">
        <v>0</v>
      </c>
      <c r="F983" s="4">
        <v>1</v>
      </c>
      <c r="G983" s="4">
        <v>111001</v>
      </c>
      <c r="H983" s="4">
        <v>1</v>
      </c>
      <c r="I983" s="4">
        <f t="shared" si="18"/>
        <v>498</v>
      </c>
      <c r="J983" s="4">
        <f t="shared" si="19"/>
        <v>748</v>
      </c>
      <c r="K983" s="4" t="s">
        <v>1411</v>
      </c>
    </row>
    <row r="984" spans="1:11" s="4" customFormat="1">
      <c r="A984" s="4">
        <v>111624</v>
      </c>
      <c r="B984" s="4">
        <v>1</v>
      </c>
      <c r="C984" s="4">
        <v>1</v>
      </c>
      <c r="D984" s="4">
        <v>0</v>
      </c>
      <c r="E984" s="4">
        <v>0</v>
      </c>
      <c r="F984" s="4">
        <v>1</v>
      </c>
      <c r="G984" s="4">
        <v>111001</v>
      </c>
      <c r="H984" s="4">
        <v>1</v>
      </c>
      <c r="I984" s="4">
        <f t="shared" si="18"/>
        <v>499</v>
      </c>
      <c r="J984" s="4">
        <f t="shared" si="19"/>
        <v>749</v>
      </c>
      <c r="K984" s="4" t="s">
        <v>1412</v>
      </c>
    </row>
    <row r="985" spans="1:11" s="4" customFormat="1">
      <c r="A985" s="4">
        <v>111625</v>
      </c>
      <c r="B985" s="4">
        <v>1</v>
      </c>
      <c r="C985" s="4">
        <v>1</v>
      </c>
      <c r="D985" s="4">
        <v>0</v>
      </c>
      <c r="E985" s="4">
        <v>0</v>
      </c>
      <c r="F985" s="4">
        <v>1</v>
      </c>
      <c r="G985" s="4">
        <v>111001</v>
      </c>
      <c r="H985" s="4">
        <v>1</v>
      </c>
      <c r="I985" s="4">
        <f t="shared" si="18"/>
        <v>500</v>
      </c>
      <c r="J985" s="4">
        <f t="shared" si="19"/>
        <v>750</v>
      </c>
      <c r="K985" s="4" t="s">
        <v>1413</v>
      </c>
    </row>
    <row r="986" spans="1:11" s="4" customFormat="1">
      <c r="A986" s="4">
        <v>111626</v>
      </c>
      <c r="B986" s="4">
        <v>1</v>
      </c>
      <c r="C986" s="4">
        <v>1</v>
      </c>
      <c r="D986" s="4">
        <v>0</v>
      </c>
      <c r="E986" s="4">
        <v>0</v>
      </c>
      <c r="F986" s="4">
        <v>1</v>
      </c>
      <c r="G986" s="4">
        <v>111001</v>
      </c>
      <c r="H986" s="4">
        <v>1</v>
      </c>
      <c r="I986" s="4">
        <f t="shared" si="18"/>
        <v>501</v>
      </c>
      <c r="J986" s="4">
        <f t="shared" si="19"/>
        <v>751</v>
      </c>
      <c r="K986" s="4" t="s">
        <v>1414</v>
      </c>
    </row>
    <row r="987" spans="1:11" s="4" customFormat="1">
      <c r="A987" s="4">
        <v>111627</v>
      </c>
      <c r="B987" s="4">
        <v>1</v>
      </c>
      <c r="C987" s="4">
        <v>1</v>
      </c>
      <c r="D987" s="4">
        <v>0</v>
      </c>
      <c r="E987" s="4">
        <v>0</v>
      </c>
      <c r="F987" s="4">
        <v>1</v>
      </c>
      <c r="G987" s="4">
        <v>111001</v>
      </c>
      <c r="H987" s="4">
        <v>1</v>
      </c>
      <c r="I987" s="4">
        <f t="shared" si="18"/>
        <v>502</v>
      </c>
      <c r="J987" s="4">
        <f t="shared" si="19"/>
        <v>752</v>
      </c>
      <c r="K987" s="4" t="s">
        <v>1415</v>
      </c>
    </row>
    <row r="988" spans="1:11" s="4" customFormat="1">
      <c r="A988" s="4">
        <v>111628</v>
      </c>
      <c r="B988" s="4">
        <v>1</v>
      </c>
      <c r="C988" s="4">
        <v>1</v>
      </c>
      <c r="D988" s="4">
        <v>0</v>
      </c>
      <c r="E988" s="4">
        <v>0</v>
      </c>
      <c r="F988" s="4">
        <v>1</v>
      </c>
      <c r="G988" s="4">
        <v>111001</v>
      </c>
      <c r="H988" s="4">
        <v>1</v>
      </c>
      <c r="I988" s="4">
        <f t="shared" si="18"/>
        <v>502</v>
      </c>
      <c r="J988" s="4">
        <f t="shared" si="19"/>
        <v>754</v>
      </c>
      <c r="K988" s="4" t="s">
        <v>1416</v>
      </c>
    </row>
    <row r="989" spans="1:11" s="4" customFormat="1">
      <c r="A989" s="4">
        <v>111629</v>
      </c>
      <c r="B989" s="4">
        <v>1</v>
      </c>
      <c r="C989" s="4">
        <v>1</v>
      </c>
      <c r="D989" s="4">
        <v>0</v>
      </c>
      <c r="E989" s="4">
        <v>0</v>
      </c>
      <c r="F989" s="4">
        <v>1</v>
      </c>
      <c r="G989" s="4">
        <v>111001</v>
      </c>
      <c r="H989" s="4">
        <v>1</v>
      </c>
      <c r="I989" s="4">
        <f t="shared" si="18"/>
        <v>503</v>
      </c>
      <c r="J989" s="4">
        <f t="shared" si="19"/>
        <v>755</v>
      </c>
      <c r="K989" s="4" t="s">
        <v>1417</v>
      </c>
    </row>
    <row r="990" spans="1:11" s="4" customFormat="1">
      <c r="A990" s="4">
        <v>111630</v>
      </c>
      <c r="B990" s="4">
        <v>1</v>
      </c>
      <c r="C990" s="4">
        <v>1</v>
      </c>
      <c r="D990" s="4">
        <v>0</v>
      </c>
      <c r="E990" s="4">
        <v>0</v>
      </c>
      <c r="F990" s="4">
        <v>1</v>
      </c>
      <c r="G990" s="4">
        <v>111001</v>
      </c>
      <c r="H990" s="4">
        <v>1</v>
      </c>
      <c r="I990" s="4">
        <f t="shared" si="18"/>
        <v>504</v>
      </c>
      <c r="J990" s="4">
        <f t="shared" si="19"/>
        <v>756</v>
      </c>
      <c r="K990" s="4" t="s">
        <v>1418</v>
      </c>
    </row>
    <row r="991" spans="1:11" s="4" customFormat="1">
      <c r="A991" s="4">
        <v>111631</v>
      </c>
      <c r="B991" s="4">
        <v>1</v>
      </c>
      <c r="C991" s="4">
        <v>1</v>
      </c>
      <c r="D991" s="4">
        <v>0</v>
      </c>
      <c r="E991" s="4">
        <v>0</v>
      </c>
      <c r="F991" s="4">
        <v>1</v>
      </c>
      <c r="G991" s="4">
        <v>111001</v>
      </c>
      <c r="H991" s="4">
        <v>1</v>
      </c>
      <c r="I991" s="4">
        <f t="shared" si="18"/>
        <v>505</v>
      </c>
      <c r="J991" s="4">
        <f t="shared" si="19"/>
        <v>757</v>
      </c>
      <c r="K991" s="4" t="s">
        <v>1419</v>
      </c>
    </row>
    <row r="992" spans="1:11" s="4" customFormat="1">
      <c r="A992" s="4">
        <v>111632</v>
      </c>
      <c r="B992" s="4">
        <v>1</v>
      </c>
      <c r="C992" s="4">
        <v>1</v>
      </c>
      <c r="D992" s="4">
        <v>0</v>
      </c>
      <c r="E992" s="4">
        <v>0</v>
      </c>
      <c r="F992" s="4">
        <v>1</v>
      </c>
      <c r="G992" s="4">
        <v>111001</v>
      </c>
      <c r="H992" s="4">
        <v>1</v>
      </c>
      <c r="I992" s="4">
        <f t="shared" si="18"/>
        <v>506</v>
      </c>
      <c r="J992" s="4">
        <f t="shared" si="19"/>
        <v>758</v>
      </c>
      <c r="K992" s="4" t="s">
        <v>1420</v>
      </c>
    </row>
    <row r="993" spans="1:11" s="4" customFormat="1">
      <c r="A993" s="4">
        <v>111633</v>
      </c>
      <c r="B993" s="4">
        <v>1</v>
      </c>
      <c r="C993" s="4">
        <v>1</v>
      </c>
      <c r="D993" s="4">
        <v>0</v>
      </c>
      <c r="E993" s="4">
        <v>0</v>
      </c>
      <c r="F993" s="4">
        <v>1</v>
      </c>
      <c r="G993" s="4">
        <v>111001</v>
      </c>
      <c r="H993" s="4">
        <v>1</v>
      </c>
      <c r="I993" s="4">
        <f t="shared" si="18"/>
        <v>506</v>
      </c>
      <c r="J993" s="4">
        <f t="shared" si="19"/>
        <v>760</v>
      </c>
      <c r="K993" s="4" t="s">
        <v>1421</v>
      </c>
    </row>
    <row r="994" spans="1:11" s="4" customFormat="1">
      <c r="A994" s="4">
        <v>111634</v>
      </c>
      <c r="B994" s="4">
        <v>1</v>
      </c>
      <c r="C994" s="4">
        <v>1</v>
      </c>
      <c r="D994" s="4">
        <v>0</v>
      </c>
      <c r="E994" s="4">
        <v>0</v>
      </c>
      <c r="F994" s="4">
        <v>1</v>
      </c>
      <c r="G994" s="4">
        <v>111001</v>
      </c>
      <c r="H994" s="4">
        <v>1</v>
      </c>
      <c r="I994" s="4">
        <f t="shared" si="18"/>
        <v>507</v>
      </c>
      <c r="J994" s="4">
        <f t="shared" si="19"/>
        <v>761</v>
      </c>
      <c r="K994" s="4" t="s">
        <v>1422</v>
      </c>
    </row>
    <row r="995" spans="1:11" s="4" customFormat="1">
      <c r="A995" s="4">
        <v>111635</v>
      </c>
      <c r="B995" s="4">
        <v>1</v>
      </c>
      <c r="C995" s="4">
        <v>1</v>
      </c>
      <c r="D995" s="4">
        <v>0</v>
      </c>
      <c r="E995" s="4">
        <v>0</v>
      </c>
      <c r="F995" s="4">
        <v>1</v>
      </c>
      <c r="G995" s="4">
        <v>111001</v>
      </c>
      <c r="H995" s="4">
        <v>1</v>
      </c>
      <c r="I995" s="4">
        <f t="shared" si="18"/>
        <v>508</v>
      </c>
      <c r="J995" s="4">
        <f t="shared" si="19"/>
        <v>762</v>
      </c>
      <c r="K995" s="4" t="s">
        <v>1423</v>
      </c>
    </row>
    <row r="996" spans="1:11" s="4" customFormat="1">
      <c r="A996" s="4">
        <v>111636</v>
      </c>
      <c r="B996" s="4">
        <v>1</v>
      </c>
      <c r="C996" s="4">
        <v>1</v>
      </c>
      <c r="D996" s="4">
        <v>0</v>
      </c>
      <c r="E996" s="4">
        <v>0</v>
      </c>
      <c r="F996" s="4">
        <v>1</v>
      </c>
      <c r="G996" s="4">
        <v>111001</v>
      </c>
      <c r="H996" s="4">
        <v>1</v>
      </c>
      <c r="I996" s="4">
        <f t="shared" si="18"/>
        <v>509</v>
      </c>
      <c r="J996" s="4">
        <f t="shared" si="19"/>
        <v>763</v>
      </c>
      <c r="K996" s="4" t="s">
        <v>1424</v>
      </c>
    </row>
    <row r="997" spans="1:11" s="4" customFormat="1">
      <c r="A997" s="4">
        <v>111637</v>
      </c>
      <c r="B997" s="4">
        <v>1</v>
      </c>
      <c r="C997" s="4">
        <v>1</v>
      </c>
      <c r="D997" s="4">
        <v>0</v>
      </c>
      <c r="E997" s="4">
        <v>0</v>
      </c>
      <c r="F997" s="4">
        <v>1</v>
      </c>
      <c r="G997" s="4">
        <v>111001</v>
      </c>
      <c r="H997" s="4">
        <v>1</v>
      </c>
      <c r="I997" s="4">
        <f t="shared" si="18"/>
        <v>510</v>
      </c>
      <c r="J997" s="4">
        <f t="shared" si="19"/>
        <v>764</v>
      </c>
      <c r="K997" s="4" t="s">
        <v>1425</v>
      </c>
    </row>
    <row r="998" spans="1:11" s="4" customFormat="1">
      <c r="A998" s="4">
        <v>111638</v>
      </c>
      <c r="B998" s="4">
        <v>1</v>
      </c>
      <c r="C998" s="4">
        <v>1</v>
      </c>
      <c r="D998" s="4">
        <v>0</v>
      </c>
      <c r="E998" s="4">
        <v>0</v>
      </c>
      <c r="F998" s="4">
        <v>1</v>
      </c>
      <c r="G998" s="4">
        <v>111001</v>
      </c>
      <c r="H998" s="4">
        <v>1</v>
      </c>
      <c r="I998" s="4">
        <f t="shared" si="18"/>
        <v>510</v>
      </c>
      <c r="J998" s="4">
        <f t="shared" si="19"/>
        <v>766</v>
      </c>
      <c r="K998" s="4" t="s">
        <v>1426</v>
      </c>
    </row>
    <row r="999" spans="1:11" s="4" customFormat="1">
      <c r="A999" s="4">
        <v>111639</v>
      </c>
      <c r="B999" s="4">
        <v>1</v>
      </c>
      <c r="C999" s="4">
        <v>1</v>
      </c>
      <c r="D999" s="4">
        <v>0</v>
      </c>
      <c r="E999" s="4">
        <v>0</v>
      </c>
      <c r="F999" s="4">
        <v>1</v>
      </c>
      <c r="G999" s="4">
        <v>111001</v>
      </c>
      <c r="H999" s="4">
        <v>1</v>
      </c>
      <c r="I999" s="4">
        <f t="shared" si="18"/>
        <v>511</v>
      </c>
      <c r="J999" s="4">
        <f t="shared" si="19"/>
        <v>767</v>
      </c>
      <c r="K999" s="4" t="s">
        <v>1427</v>
      </c>
    </row>
    <row r="1000" spans="1:11" s="4" customFormat="1">
      <c r="A1000" s="4">
        <v>111640</v>
      </c>
      <c r="B1000" s="4">
        <v>1</v>
      </c>
      <c r="C1000" s="4">
        <v>1</v>
      </c>
      <c r="D1000" s="4">
        <v>0</v>
      </c>
      <c r="E1000" s="4">
        <v>0</v>
      </c>
      <c r="F1000" s="4">
        <v>1</v>
      </c>
      <c r="G1000" s="4">
        <v>111001</v>
      </c>
      <c r="H1000" s="4">
        <v>1</v>
      </c>
      <c r="I1000" s="4">
        <f t="shared" si="18"/>
        <v>512</v>
      </c>
      <c r="J1000" s="4">
        <f t="shared" si="19"/>
        <v>768</v>
      </c>
      <c r="K1000" s="4" t="s">
        <v>1428</v>
      </c>
    </row>
    <row r="1001" spans="1:11" s="4" customFormat="1">
      <c r="A1001" s="4">
        <v>111641</v>
      </c>
      <c r="B1001" s="4">
        <v>1</v>
      </c>
      <c r="C1001" s="4">
        <v>1</v>
      </c>
      <c r="D1001" s="4">
        <v>0</v>
      </c>
      <c r="E1001" s="4">
        <v>0</v>
      </c>
      <c r="F1001" s="4">
        <v>1</v>
      </c>
      <c r="G1001" s="4">
        <v>111001</v>
      </c>
      <c r="H1001" s="4">
        <v>1</v>
      </c>
      <c r="I1001" s="4">
        <f t="shared" si="18"/>
        <v>513</v>
      </c>
      <c r="J1001" s="4">
        <f t="shared" si="19"/>
        <v>769</v>
      </c>
      <c r="K1001" s="4" t="s">
        <v>1429</v>
      </c>
    </row>
    <row r="1002" spans="1:11" s="4" customFormat="1">
      <c r="A1002" s="4">
        <v>111642</v>
      </c>
      <c r="B1002" s="4">
        <v>1</v>
      </c>
      <c r="C1002" s="4">
        <v>1</v>
      </c>
      <c r="D1002" s="4">
        <v>0</v>
      </c>
      <c r="E1002" s="4">
        <v>0</v>
      </c>
      <c r="F1002" s="4">
        <v>1</v>
      </c>
      <c r="G1002" s="4">
        <v>111001</v>
      </c>
      <c r="H1002" s="4">
        <v>1</v>
      </c>
      <c r="I1002" s="4">
        <f t="shared" ref="I1002:I1065" si="20">ROUND(RIGHT(A1002,3)*80%,0)</f>
        <v>514</v>
      </c>
      <c r="J1002" s="4">
        <f t="shared" ref="J1002:J1065" si="21">ROUND(RIGHT(A1002,3)*120%,0)</f>
        <v>770</v>
      </c>
      <c r="K1002" s="4" t="s">
        <v>1430</v>
      </c>
    </row>
    <row r="1003" spans="1:11" s="4" customFormat="1">
      <c r="A1003" s="4">
        <v>111643</v>
      </c>
      <c r="B1003" s="4">
        <v>1</v>
      </c>
      <c r="C1003" s="4">
        <v>1</v>
      </c>
      <c r="D1003" s="4">
        <v>0</v>
      </c>
      <c r="E1003" s="4">
        <v>0</v>
      </c>
      <c r="F1003" s="4">
        <v>1</v>
      </c>
      <c r="G1003" s="4">
        <v>111001</v>
      </c>
      <c r="H1003" s="4">
        <v>1</v>
      </c>
      <c r="I1003" s="4">
        <f t="shared" si="20"/>
        <v>514</v>
      </c>
      <c r="J1003" s="4">
        <f t="shared" si="21"/>
        <v>772</v>
      </c>
      <c r="K1003" s="4" t="s">
        <v>1431</v>
      </c>
    </row>
    <row r="1004" spans="1:11" s="4" customFormat="1">
      <c r="A1004" s="4">
        <v>111644</v>
      </c>
      <c r="B1004" s="4">
        <v>1</v>
      </c>
      <c r="C1004" s="4">
        <v>1</v>
      </c>
      <c r="D1004" s="4">
        <v>0</v>
      </c>
      <c r="E1004" s="4">
        <v>0</v>
      </c>
      <c r="F1004" s="4">
        <v>1</v>
      </c>
      <c r="G1004" s="4">
        <v>111001</v>
      </c>
      <c r="H1004" s="4">
        <v>1</v>
      </c>
      <c r="I1004" s="4">
        <f t="shared" si="20"/>
        <v>515</v>
      </c>
      <c r="J1004" s="4">
        <f t="shared" si="21"/>
        <v>773</v>
      </c>
      <c r="K1004" s="4" t="s">
        <v>1432</v>
      </c>
    </row>
    <row r="1005" spans="1:11" s="4" customFormat="1">
      <c r="A1005" s="4">
        <v>111645</v>
      </c>
      <c r="B1005" s="4">
        <v>1</v>
      </c>
      <c r="C1005" s="4">
        <v>1</v>
      </c>
      <c r="D1005" s="4">
        <v>0</v>
      </c>
      <c r="E1005" s="4">
        <v>0</v>
      </c>
      <c r="F1005" s="4">
        <v>1</v>
      </c>
      <c r="G1005" s="4">
        <v>111001</v>
      </c>
      <c r="H1005" s="4">
        <v>1</v>
      </c>
      <c r="I1005" s="4">
        <f t="shared" si="20"/>
        <v>516</v>
      </c>
      <c r="J1005" s="4">
        <f t="shared" si="21"/>
        <v>774</v>
      </c>
      <c r="K1005" s="4" t="s">
        <v>1433</v>
      </c>
    </row>
    <row r="1006" spans="1:11" s="4" customFormat="1">
      <c r="A1006" s="4">
        <v>111646</v>
      </c>
      <c r="B1006" s="4">
        <v>1</v>
      </c>
      <c r="C1006" s="4">
        <v>1</v>
      </c>
      <c r="D1006" s="4">
        <v>0</v>
      </c>
      <c r="E1006" s="4">
        <v>0</v>
      </c>
      <c r="F1006" s="4">
        <v>1</v>
      </c>
      <c r="G1006" s="4">
        <v>111001</v>
      </c>
      <c r="H1006" s="4">
        <v>1</v>
      </c>
      <c r="I1006" s="4">
        <f t="shared" si="20"/>
        <v>517</v>
      </c>
      <c r="J1006" s="4">
        <f t="shared" si="21"/>
        <v>775</v>
      </c>
      <c r="K1006" s="4" t="s">
        <v>1434</v>
      </c>
    </row>
    <row r="1007" spans="1:11" s="4" customFormat="1">
      <c r="A1007" s="4">
        <v>111647</v>
      </c>
      <c r="B1007" s="4">
        <v>1</v>
      </c>
      <c r="C1007" s="4">
        <v>1</v>
      </c>
      <c r="D1007" s="4">
        <v>0</v>
      </c>
      <c r="E1007" s="4">
        <v>0</v>
      </c>
      <c r="F1007" s="4">
        <v>1</v>
      </c>
      <c r="G1007" s="4">
        <v>111001</v>
      </c>
      <c r="H1007" s="4">
        <v>1</v>
      </c>
      <c r="I1007" s="4">
        <f t="shared" si="20"/>
        <v>518</v>
      </c>
      <c r="J1007" s="4">
        <f t="shared" si="21"/>
        <v>776</v>
      </c>
      <c r="K1007" s="4" t="s">
        <v>1435</v>
      </c>
    </row>
    <row r="1008" spans="1:11" s="4" customFormat="1">
      <c r="A1008" s="4">
        <v>111648</v>
      </c>
      <c r="B1008" s="4">
        <v>1</v>
      </c>
      <c r="C1008" s="4">
        <v>1</v>
      </c>
      <c r="D1008" s="4">
        <v>0</v>
      </c>
      <c r="E1008" s="4">
        <v>0</v>
      </c>
      <c r="F1008" s="4">
        <v>1</v>
      </c>
      <c r="G1008" s="4">
        <v>111001</v>
      </c>
      <c r="H1008" s="4">
        <v>1</v>
      </c>
      <c r="I1008" s="4">
        <f t="shared" si="20"/>
        <v>518</v>
      </c>
      <c r="J1008" s="4">
        <f t="shared" si="21"/>
        <v>778</v>
      </c>
      <c r="K1008" s="4" t="s">
        <v>1436</v>
      </c>
    </row>
    <row r="1009" spans="1:11" s="4" customFormat="1">
      <c r="A1009" s="4">
        <v>111649</v>
      </c>
      <c r="B1009" s="4">
        <v>1</v>
      </c>
      <c r="C1009" s="4">
        <v>1</v>
      </c>
      <c r="D1009" s="4">
        <v>0</v>
      </c>
      <c r="E1009" s="4">
        <v>0</v>
      </c>
      <c r="F1009" s="4">
        <v>1</v>
      </c>
      <c r="G1009" s="4">
        <v>111001</v>
      </c>
      <c r="H1009" s="4">
        <v>1</v>
      </c>
      <c r="I1009" s="4">
        <f t="shared" si="20"/>
        <v>519</v>
      </c>
      <c r="J1009" s="4">
        <f t="shared" si="21"/>
        <v>779</v>
      </c>
      <c r="K1009" s="4" t="s">
        <v>1437</v>
      </c>
    </row>
    <row r="1010" spans="1:11" s="4" customFormat="1">
      <c r="A1010" s="4">
        <v>111650</v>
      </c>
      <c r="B1010" s="4">
        <v>1</v>
      </c>
      <c r="C1010" s="4">
        <v>1</v>
      </c>
      <c r="D1010" s="4">
        <v>0</v>
      </c>
      <c r="E1010" s="4">
        <v>0</v>
      </c>
      <c r="F1010" s="4">
        <v>1</v>
      </c>
      <c r="G1010" s="4">
        <v>111001</v>
      </c>
      <c r="H1010" s="4">
        <v>1</v>
      </c>
      <c r="I1010" s="4">
        <f t="shared" si="20"/>
        <v>520</v>
      </c>
      <c r="J1010" s="4">
        <f t="shared" si="21"/>
        <v>780</v>
      </c>
      <c r="K1010" s="4" t="s">
        <v>1438</v>
      </c>
    </row>
    <row r="1011" spans="1:11" s="4" customFormat="1">
      <c r="A1011" s="4">
        <v>111651</v>
      </c>
      <c r="B1011" s="4">
        <v>1</v>
      </c>
      <c r="C1011" s="4">
        <v>1</v>
      </c>
      <c r="D1011" s="4">
        <v>0</v>
      </c>
      <c r="E1011" s="4">
        <v>0</v>
      </c>
      <c r="F1011" s="4">
        <v>1</v>
      </c>
      <c r="G1011" s="4">
        <v>111001</v>
      </c>
      <c r="H1011" s="4">
        <v>1</v>
      </c>
      <c r="I1011" s="4">
        <f t="shared" si="20"/>
        <v>521</v>
      </c>
      <c r="J1011" s="4">
        <f t="shared" si="21"/>
        <v>781</v>
      </c>
      <c r="K1011" s="4" t="s">
        <v>1439</v>
      </c>
    </row>
    <row r="1012" spans="1:11" s="4" customFormat="1">
      <c r="A1012" s="4">
        <v>111652</v>
      </c>
      <c r="B1012" s="4">
        <v>1</v>
      </c>
      <c r="C1012" s="4">
        <v>1</v>
      </c>
      <c r="D1012" s="4">
        <v>0</v>
      </c>
      <c r="E1012" s="4">
        <v>0</v>
      </c>
      <c r="F1012" s="4">
        <v>1</v>
      </c>
      <c r="G1012" s="4">
        <v>111001</v>
      </c>
      <c r="H1012" s="4">
        <v>1</v>
      </c>
      <c r="I1012" s="4">
        <f t="shared" si="20"/>
        <v>522</v>
      </c>
      <c r="J1012" s="4">
        <f t="shared" si="21"/>
        <v>782</v>
      </c>
      <c r="K1012" s="4" t="s">
        <v>1440</v>
      </c>
    </row>
    <row r="1013" spans="1:11" s="4" customFormat="1">
      <c r="A1013" s="4">
        <v>111653</v>
      </c>
      <c r="B1013" s="4">
        <v>1</v>
      </c>
      <c r="C1013" s="4">
        <v>1</v>
      </c>
      <c r="D1013" s="4">
        <v>0</v>
      </c>
      <c r="E1013" s="4">
        <v>0</v>
      </c>
      <c r="F1013" s="4">
        <v>1</v>
      </c>
      <c r="G1013" s="4">
        <v>111001</v>
      </c>
      <c r="H1013" s="4">
        <v>1</v>
      </c>
      <c r="I1013" s="4">
        <f t="shared" si="20"/>
        <v>522</v>
      </c>
      <c r="J1013" s="4">
        <f t="shared" si="21"/>
        <v>784</v>
      </c>
      <c r="K1013" s="4" t="s">
        <v>1441</v>
      </c>
    </row>
    <row r="1014" spans="1:11" s="4" customFormat="1">
      <c r="A1014" s="4">
        <v>111654</v>
      </c>
      <c r="B1014" s="4">
        <v>1</v>
      </c>
      <c r="C1014" s="4">
        <v>1</v>
      </c>
      <c r="D1014" s="4">
        <v>0</v>
      </c>
      <c r="E1014" s="4">
        <v>0</v>
      </c>
      <c r="F1014" s="4">
        <v>1</v>
      </c>
      <c r="G1014" s="4">
        <v>111001</v>
      </c>
      <c r="H1014" s="4">
        <v>1</v>
      </c>
      <c r="I1014" s="4">
        <f t="shared" si="20"/>
        <v>523</v>
      </c>
      <c r="J1014" s="4">
        <f t="shared" si="21"/>
        <v>785</v>
      </c>
      <c r="K1014" s="4" t="s">
        <v>1442</v>
      </c>
    </row>
    <row r="1015" spans="1:11" s="4" customFormat="1">
      <c r="A1015" s="4">
        <v>111655</v>
      </c>
      <c r="B1015" s="4">
        <v>1</v>
      </c>
      <c r="C1015" s="4">
        <v>1</v>
      </c>
      <c r="D1015" s="4">
        <v>0</v>
      </c>
      <c r="E1015" s="4">
        <v>0</v>
      </c>
      <c r="F1015" s="4">
        <v>1</v>
      </c>
      <c r="G1015" s="4">
        <v>111001</v>
      </c>
      <c r="H1015" s="4">
        <v>1</v>
      </c>
      <c r="I1015" s="4">
        <f t="shared" si="20"/>
        <v>524</v>
      </c>
      <c r="J1015" s="4">
        <f t="shared" si="21"/>
        <v>786</v>
      </c>
      <c r="K1015" s="4" t="s">
        <v>1443</v>
      </c>
    </row>
    <row r="1016" spans="1:11" s="4" customFormat="1">
      <c r="A1016" s="4">
        <v>111656</v>
      </c>
      <c r="B1016" s="4">
        <v>1</v>
      </c>
      <c r="C1016" s="4">
        <v>1</v>
      </c>
      <c r="D1016" s="4">
        <v>0</v>
      </c>
      <c r="E1016" s="4">
        <v>0</v>
      </c>
      <c r="F1016" s="4">
        <v>1</v>
      </c>
      <c r="G1016" s="4">
        <v>111001</v>
      </c>
      <c r="H1016" s="4">
        <v>1</v>
      </c>
      <c r="I1016" s="4">
        <f t="shared" si="20"/>
        <v>525</v>
      </c>
      <c r="J1016" s="4">
        <f t="shared" si="21"/>
        <v>787</v>
      </c>
      <c r="K1016" s="4" t="s">
        <v>1444</v>
      </c>
    </row>
    <row r="1017" spans="1:11" s="4" customFormat="1">
      <c r="A1017" s="4">
        <v>111657</v>
      </c>
      <c r="B1017" s="4">
        <v>1</v>
      </c>
      <c r="C1017" s="4">
        <v>1</v>
      </c>
      <c r="D1017" s="4">
        <v>0</v>
      </c>
      <c r="E1017" s="4">
        <v>0</v>
      </c>
      <c r="F1017" s="4">
        <v>1</v>
      </c>
      <c r="G1017" s="4">
        <v>111001</v>
      </c>
      <c r="H1017" s="4">
        <v>1</v>
      </c>
      <c r="I1017" s="4">
        <f t="shared" si="20"/>
        <v>526</v>
      </c>
      <c r="J1017" s="4">
        <f t="shared" si="21"/>
        <v>788</v>
      </c>
      <c r="K1017" s="4" t="s">
        <v>1445</v>
      </c>
    </row>
    <row r="1018" spans="1:11" s="4" customFormat="1">
      <c r="A1018" s="4">
        <v>111658</v>
      </c>
      <c r="B1018" s="4">
        <v>1</v>
      </c>
      <c r="C1018" s="4">
        <v>1</v>
      </c>
      <c r="D1018" s="4">
        <v>0</v>
      </c>
      <c r="E1018" s="4">
        <v>0</v>
      </c>
      <c r="F1018" s="4">
        <v>1</v>
      </c>
      <c r="G1018" s="4">
        <v>111001</v>
      </c>
      <c r="H1018" s="4">
        <v>1</v>
      </c>
      <c r="I1018" s="4">
        <f t="shared" si="20"/>
        <v>526</v>
      </c>
      <c r="J1018" s="4">
        <f t="shared" si="21"/>
        <v>790</v>
      </c>
      <c r="K1018" s="4" t="s">
        <v>1446</v>
      </c>
    </row>
    <row r="1019" spans="1:11" s="4" customFormat="1">
      <c r="A1019" s="4">
        <v>111659</v>
      </c>
      <c r="B1019" s="4">
        <v>1</v>
      </c>
      <c r="C1019" s="4">
        <v>1</v>
      </c>
      <c r="D1019" s="4">
        <v>0</v>
      </c>
      <c r="E1019" s="4">
        <v>0</v>
      </c>
      <c r="F1019" s="4">
        <v>1</v>
      </c>
      <c r="G1019" s="4">
        <v>111001</v>
      </c>
      <c r="H1019" s="4">
        <v>1</v>
      </c>
      <c r="I1019" s="4">
        <f t="shared" si="20"/>
        <v>527</v>
      </c>
      <c r="J1019" s="4">
        <f t="shared" si="21"/>
        <v>791</v>
      </c>
      <c r="K1019" s="4" t="s">
        <v>1447</v>
      </c>
    </row>
    <row r="1020" spans="1:11" s="4" customFormat="1">
      <c r="A1020" s="4">
        <v>111660</v>
      </c>
      <c r="B1020" s="4">
        <v>1</v>
      </c>
      <c r="C1020" s="4">
        <v>1</v>
      </c>
      <c r="D1020" s="4">
        <v>0</v>
      </c>
      <c r="E1020" s="4">
        <v>0</v>
      </c>
      <c r="F1020" s="4">
        <v>1</v>
      </c>
      <c r="G1020" s="4">
        <v>111001</v>
      </c>
      <c r="H1020" s="4">
        <v>1</v>
      </c>
      <c r="I1020" s="4">
        <f t="shared" si="20"/>
        <v>528</v>
      </c>
      <c r="J1020" s="4">
        <f t="shared" si="21"/>
        <v>792</v>
      </c>
      <c r="K1020" s="4" t="s">
        <v>1448</v>
      </c>
    </row>
    <row r="1021" spans="1:11" s="4" customFormat="1">
      <c r="A1021" s="4">
        <v>111661</v>
      </c>
      <c r="B1021" s="4">
        <v>1</v>
      </c>
      <c r="C1021" s="4">
        <v>1</v>
      </c>
      <c r="D1021" s="4">
        <v>0</v>
      </c>
      <c r="E1021" s="4">
        <v>0</v>
      </c>
      <c r="F1021" s="4">
        <v>1</v>
      </c>
      <c r="G1021" s="4">
        <v>111001</v>
      </c>
      <c r="H1021" s="4">
        <v>1</v>
      </c>
      <c r="I1021" s="4">
        <f t="shared" si="20"/>
        <v>529</v>
      </c>
      <c r="J1021" s="4">
        <f t="shared" si="21"/>
        <v>793</v>
      </c>
      <c r="K1021" s="4" t="s">
        <v>1449</v>
      </c>
    </row>
    <row r="1022" spans="1:11" s="4" customFormat="1">
      <c r="A1022" s="4">
        <v>111662</v>
      </c>
      <c r="B1022" s="4">
        <v>1</v>
      </c>
      <c r="C1022" s="4">
        <v>1</v>
      </c>
      <c r="D1022" s="4">
        <v>0</v>
      </c>
      <c r="E1022" s="4">
        <v>0</v>
      </c>
      <c r="F1022" s="4">
        <v>1</v>
      </c>
      <c r="G1022" s="4">
        <v>111001</v>
      </c>
      <c r="H1022" s="4">
        <v>1</v>
      </c>
      <c r="I1022" s="4">
        <f t="shared" si="20"/>
        <v>530</v>
      </c>
      <c r="J1022" s="4">
        <f t="shared" si="21"/>
        <v>794</v>
      </c>
      <c r="K1022" s="4" t="s">
        <v>1450</v>
      </c>
    </row>
    <row r="1023" spans="1:11" s="4" customFormat="1">
      <c r="A1023" s="4">
        <v>111663</v>
      </c>
      <c r="B1023" s="4">
        <v>1</v>
      </c>
      <c r="C1023" s="4">
        <v>1</v>
      </c>
      <c r="D1023" s="4">
        <v>0</v>
      </c>
      <c r="E1023" s="4">
        <v>0</v>
      </c>
      <c r="F1023" s="4">
        <v>1</v>
      </c>
      <c r="G1023" s="4">
        <v>111001</v>
      </c>
      <c r="H1023" s="4">
        <v>1</v>
      </c>
      <c r="I1023" s="4">
        <f t="shared" si="20"/>
        <v>530</v>
      </c>
      <c r="J1023" s="4">
        <f t="shared" si="21"/>
        <v>796</v>
      </c>
      <c r="K1023" s="4" t="s">
        <v>1451</v>
      </c>
    </row>
    <row r="1024" spans="1:11" s="4" customFormat="1">
      <c r="A1024" s="4">
        <v>111664</v>
      </c>
      <c r="B1024" s="4">
        <v>1</v>
      </c>
      <c r="C1024" s="4">
        <v>1</v>
      </c>
      <c r="D1024" s="4">
        <v>0</v>
      </c>
      <c r="E1024" s="4">
        <v>0</v>
      </c>
      <c r="F1024" s="4">
        <v>1</v>
      </c>
      <c r="G1024" s="4">
        <v>111001</v>
      </c>
      <c r="H1024" s="4">
        <v>1</v>
      </c>
      <c r="I1024" s="4">
        <f t="shared" si="20"/>
        <v>531</v>
      </c>
      <c r="J1024" s="4">
        <f t="shared" si="21"/>
        <v>797</v>
      </c>
      <c r="K1024" s="4" t="s">
        <v>1452</v>
      </c>
    </row>
    <row r="1025" spans="1:11" s="4" customFormat="1">
      <c r="A1025" s="4">
        <v>111665</v>
      </c>
      <c r="B1025" s="4">
        <v>1</v>
      </c>
      <c r="C1025" s="4">
        <v>1</v>
      </c>
      <c r="D1025" s="4">
        <v>0</v>
      </c>
      <c r="E1025" s="4">
        <v>0</v>
      </c>
      <c r="F1025" s="4">
        <v>1</v>
      </c>
      <c r="G1025" s="4">
        <v>111001</v>
      </c>
      <c r="H1025" s="4">
        <v>1</v>
      </c>
      <c r="I1025" s="4">
        <f t="shared" si="20"/>
        <v>532</v>
      </c>
      <c r="J1025" s="4">
        <f t="shared" si="21"/>
        <v>798</v>
      </c>
      <c r="K1025" s="4" t="s">
        <v>1453</v>
      </c>
    </row>
    <row r="1026" spans="1:11" s="4" customFormat="1">
      <c r="A1026" s="4">
        <v>111666</v>
      </c>
      <c r="B1026" s="4">
        <v>1</v>
      </c>
      <c r="C1026" s="4">
        <v>1</v>
      </c>
      <c r="D1026" s="4">
        <v>0</v>
      </c>
      <c r="E1026" s="4">
        <v>0</v>
      </c>
      <c r="F1026" s="4">
        <v>1</v>
      </c>
      <c r="G1026" s="4">
        <v>111001</v>
      </c>
      <c r="H1026" s="4">
        <v>1</v>
      </c>
      <c r="I1026" s="4">
        <f t="shared" si="20"/>
        <v>533</v>
      </c>
      <c r="J1026" s="4">
        <f t="shared" si="21"/>
        <v>799</v>
      </c>
      <c r="K1026" s="4" t="s">
        <v>1454</v>
      </c>
    </row>
    <row r="1027" spans="1:11" s="4" customFormat="1">
      <c r="A1027" s="4">
        <v>111667</v>
      </c>
      <c r="B1027" s="4">
        <v>1</v>
      </c>
      <c r="C1027" s="4">
        <v>1</v>
      </c>
      <c r="D1027" s="4">
        <v>0</v>
      </c>
      <c r="E1027" s="4">
        <v>0</v>
      </c>
      <c r="F1027" s="4">
        <v>1</v>
      </c>
      <c r="G1027" s="4">
        <v>111001</v>
      </c>
      <c r="H1027" s="4">
        <v>1</v>
      </c>
      <c r="I1027" s="4">
        <f t="shared" si="20"/>
        <v>534</v>
      </c>
      <c r="J1027" s="4">
        <f t="shared" si="21"/>
        <v>800</v>
      </c>
      <c r="K1027" s="4" t="s">
        <v>1455</v>
      </c>
    </row>
    <row r="1028" spans="1:11" s="4" customFormat="1">
      <c r="A1028" s="4">
        <v>111668</v>
      </c>
      <c r="B1028" s="4">
        <v>1</v>
      </c>
      <c r="C1028" s="4">
        <v>1</v>
      </c>
      <c r="D1028" s="4">
        <v>0</v>
      </c>
      <c r="E1028" s="4">
        <v>0</v>
      </c>
      <c r="F1028" s="4">
        <v>1</v>
      </c>
      <c r="G1028" s="4">
        <v>111001</v>
      </c>
      <c r="H1028" s="4">
        <v>1</v>
      </c>
      <c r="I1028" s="4">
        <f t="shared" si="20"/>
        <v>534</v>
      </c>
      <c r="J1028" s="4">
        <f t="shared" si="21"/>
        <v>802</v>
      </c>
      <c r="K1028" s="4" t="s">
        <v>1456</v>
      </c>
    </row>
    <row r="1029" spans="1:11" s="4" customFormat="1">
      <c r="A1029" s="4">
        <v>111669</v>
      </c>
      <c r="B1029" s="4">
        <v>1</v>
      </c>
      <c r="C1029" s="4">
        <v>1</v>
      </c>
      <c r="D1029" s="4">
        <v>0</v>
      </c>
      <c r="E1029" s="4">
        <v>0</v>
      </c>
      <c r="F1029" s="4">
        <v>1</v>
      </c>
      <c r="G1029" s="4">
        <v>111001</v>
      </c>
      <c r="H1029" s="4">
        <v>1</v>
      </c>
      <c r="I1029" s="4">
        <f t="shared" si="20"/>
        <v>535</v>
      </c>
      <c r="J1029" s="4">
        <f t="shared" si="21"/>
        <v>803</v>
      </c>
      <c r="K1029" s="4" t="s">
        <v>1457</v>
      </c>
    </row>
    <row r="1030" spans="1:11" s="4" customFormat="1">
      <c r="A1030" s="4">
        <v>111670</v>
      </c>
      <c r="B1030" s="4">
        <v>1</v>
      </c>
      <c r="C1030" s="4">
        <v>1</v>
      </c>
      <c r="D1030" s="4">
        <v>0</v>
      </c>
      <c r="E1030" s="4">
        <v>0</v>
      </c>
      <c r="F1030" s="4">
        <v>1</v>
      </c>
      <c r="G1030" s="4">
        <v>111001</v>
      </c>
      <c r="H1030" s="4">
        <v>1</v>
      </c>
      <c r="I1030" s="4">
        <f t="shared" si="20"/>
        <v>536</v>
      </c>
      <c r="J1030" s="4">
        <f t="shared" si="21"/>
        <v>804</v>
      </c>
      <c r="K1030" s="4" t="s">
        <v>1458</v>
      </c>
    </row>
    <row r="1031" spans="1:11" s="4" customFormat="1">
      <c r="A1031" s="4">
        <v>111671</v>
      </c>
      <c r="B1031" s="4">
        <v>1</v>
      </c>
      <c r="C1031" s="4">
        <v>1</v>
      </c>
      <c r="D1031" s="4">
        <v>0</v>
      </c>
      <c r="E1031" s="4">
        <v>0</v>
      </c>
      <c r="F1031" s="4">
        <v>1</v>
      </c>
      <c r="G1031" s="4">
        <v>111001</v>
      </c>
      <c r="H1031" s="4">
        <v>1</v>
      </c>
      <c r="I1031" s="4">
        <f t="shared" si="20"/>
        <v>537</v>
      </c>
      <c r="J1031" s="4">
        <f t="shared" si="21"/>
        <v>805</v>
      </c>
      <c r="K1031" s="4" t="s">
        <v>1459</v>
      </c>
    </row>
    <row r="1032" spans="1:11" s="4" customFormat="1">
      <c r="A1032" s="4">
        <v>111672</v>
      </c>
      <c r="B1032" s="4">
        <v>1</v>
      </c>
      <c r="C1032" s="4">
        <v>1</v>
      </c>
      <c r="D1032" s="4">
        <v>0</v>
      </c>
      <c r="E1032" s="4">
        <v>0</v>
      </c>
      <c r="F1032" s="4">
        <v>1</v>
      </c>
      <c r="G1032" s="4">
        <v>111001</v>
      </c>
      <c r="H1032" s="4">
        <v>1</v>
      </c>
      <c r="I1032" s="4">
        <f t="shared" si="20"/>
        <v>538</v>
      </c>
      <c r="J1032" s="4">
        <f t="shared" si="21"/>
        <v>806</v>
      </c>
      <c r="K1032" s="4" t="s">
        <v>1460</v>
      </c>
    </row>
    <row r="1033" spans="1:11" s="4" customFormat="1">
      <c r="A1033" s="4">
        <v>111673</v>
      </c>
      <c r="B1033" s="4">
        <v>1</v>
      </c>
      <c r="C1033" s="4">
        <v>1</v>
      </c>
      <c r="D1033" s="4">
        <v>0</v>
      </c>
      <c r="E1033" s="4">
        <v>0</v>
      </c>
      <c r="F1033" s="4">
        <v>1</v>
      </c>
      <c r="G1033" s="4">
        <v>111001</v>
      </c>
      <c r="H1033" s="4">
        <v>1</v>
      </c>
      <c r="I1033" s="4">
        <f t="shared" si="20"/>
        <v>538</v>
      </c>
      <c r="J1033" s="4">
        <f t="shared" si="21"/>
        <v>808</v>
      </c>
      <c r="K1033" s="4" t="s">
        <v>1461</v>
      </c>
    </row>
    <row r="1034" spans="1:11" s="4" customFormat="1">
      <c r="A1034" s="4">
        <v>111674</v>
      </c>
      <c r="B1034" s="4">
        <v>1</v>
      </c>
      <c r="C1034" s="4">
        <v>1</v>
      </c>
      <c r="D1034" s="4">
        <v>0</v>
      </c>
      <c r="E1034" s="4">
        <v>0</v>
      </c>
      <c r="F1034" s="4">
        <v>1</v>
      </c>
      <c r="G1034" s="4">
        <v>111001</v>
      </c>
      <c r="H1034" s="4">
        <v>1</v>
      </c>
      <c r="I1034" s="4">
        <f t="shared" si="20"/>
        <v>539</v>
      </c>
      <c r="J1034" s="4">
        <f t="shared" si="21"/>
        <v>809</v>
      </c>
      <c r="K1034" s="4" t="s">
        <v>1462</v>
      </c>
    </row>
    <row r="1035" spans="1:11" s="4" customFormat="1">
      <c r="A1035" s="4">
        <v>111675</v>
      </c>
      <c r="B1035" s="4">
        <v>1</v>
      </c>
      <c r="C1035" s="4">
        <v>1</v>
      </c>
      <c r="D1035" s="4">
        <v>0</v>
      </c>
      <c r="E1035" s="4">
        <v>0</v>
      </c>
      <c r="F1035" s="4">
        <v>1</v>
      </c>
      <c r="G1035" s="4">
        <v>111001</v>
      </c>
      <c r="H1035" s="4">
        <v>1</v>
      </c>
      <c r="I1035" s="4">
        <f t="shared" si="20"/>
        <v>540</v>
      </c>
      <c r="J1035" s="4">
        <f t="shared" si="21"/>
        <v>810</v>
      </c>
      <c r="K1035" s="4" t="s">
        <v>1463</v>
      </c>
    </row>
    <row r="1036" spans="1:11" s="4" customFormat="1">
      <c r="A1036" s="4">
        <v>111676</v>
      </c>
      <c r="B1036" s="4">
        <v>1</v>
      </c>
      <c r="C1036" s="4">
        <v>1</v>
      </c>
      <c r="D1036" s="4">
        <v>0</v>
      </c>
      <c r="E1036" s="4">
        <v>0</v>
      </c>
      <c r="F1036" s="4">
        <v>1</v>
      </c>
      <c r="G1036" s="4">
        <v>111001</v>
      </c>
      <c r="H1036" s="4">
        <v>1</v>
      </c>
      <c r="I1036" s="4">
        <f t="shared" si="20"/>
        <v>541</v>
      </c>
      <c r="J1036" s="4">
        <f t="shared" si="21"/>
        <v>811</v>
      </c>
      <c r="K1036" s="4" t="s">
        <v>1464</v>
      </c>
    </row>
    <row r="1037" spans="1:11" s="4" customFormat="1">
      <c r="A1037" s="4">
        <v>111677</v>
      </c>
      <c r="B1037" s="4">
        <v>1</v>
      </c>
      <c r="C1037" s="4">
        <v>1</v>
      </c>
      <c r="D1037" s="4">
        <v>0</v>
      </c>
      <c r="E1037" s="4">
        <v>0</v>
      </c>
      <c r="F1037" s="4">
        <v>1</v>
      </c>
      <c r="G1037" s="4">
        <v>111001</v>
      </c>
      <c r="H1037" s="4">
        <v>1</v>
      </c>
      <c r="I1037" s="4">
        <f t="shared" si="20"/>
        <v>542</v>
      </c>
      <c r="J1037" s="4">
        <f t="shared" si="21"/>
        <v>812</v>
      </c>
      <c r="K1037" s="4" t="s">
        <v>1465</v>
      </c>
    </row>
    <row r="1038" spans="1:11" s="4" customFormat="1">
      <c r="A1038" s="4">
        <v>111678</v>
      </c>
      <c r="B1038" s="4">
        <v>1</v>
      </c>
      <c r="C1038" s="4">
        <v>1</v>
      </c>
      <c r="D1038" s="4">
        <v>0</v>
      </c>
      <c r="E1038" s="4">
        <v>0</v>
      </c>
      <c r="F1038" s="4">
        <v>1</v>
      </c>
      <c r="G1038" s="4">
        <v>111001</v>
      </c>
      <c r="H1038" s="4">
        <v>1</v>
      </c>
      <c r="I1038" s="4">
        <f t="shared" si="20"/>
        <v>542</v>
      </c>
      <c r="J1038" s="4">
        <f t="shared" si="21"/>
        <v>814</v>
      </c>
      <c r="K1038" s="4" t="s">
        <v>1466</v>
      </c>
    </row>
    <row r="1039" spans="1:11" s="4" customFormat="1">
      <c r="A1039" s="4">
        <v>111679</v>
      </c>
      <c r="B1039" s="4">
        <v>1</v>
      </c>
      <c r="C1039" s="4">
        <v>1</v>
      </c>
      <c r="D1039" s="4">
        <v>0</v>
      </c>
      <c r="E1039" s="4">
        <v>0</v>
      </c>
      <c r="F1039" s="4">
        <v>1</v>
      </c>
      <c r="G1039" s="4">
        <v>111001</v>
      </c>
      <c r="H1039" s="4">
        <v>1</v>
      </c>
      <c r="I1039" s="4">
        <f t="shared" si="20"/>
        <v>543</v>
      </c>
      <c r="J1039" s="4">
        <f t="shared" si="21"/>
        <v>815</v>
      </c>
      <c r="K1039" s="4" t="s">
        <v>1467</v>
      </c>
    </row>
    <row r="1040" spans="1:11" s="4" customFormat="1">
      <c r="A1040" s="4">
        <v>111680</v>
      </c>
      <c r="B1040" s="4">
        <v>1</v>
      </c>
      <c r="C1040" s="4">
        <v>1</v>
      </c>
      <c r="D1040" s="4">
        <v>0</v>
      </c>
      <c r="E1040" s="4">
        <v>0</v>
      </c>
      <c r="F1040" s="4">
        <v>1</v>
      </c>
      <c r="G1040" s="4">
        <v>111001</v>
      </c>
      <c r="H1040" s="4">
        <v>1</v>
      </c>
      <c r="I1040" s="4">
        <f t="shared" si="20"/>
        <v>544</v>
      </c>
      <c r="J1040" s="4">
        <f t="shared" si="21"/>
        <v>816</v>
      </c>
      <c r="K1040" s="4" t="s">
        <v>1468</v>
      </c>
    </row>
    <row r="1041" spans="1:11" s="4" customFormat="1">
      <c r="A1041" s="4">
        <v>111681</v>
      </c>
      <c r="B1041" s="4">
        <v>1</v>
      </c>
      <c r="C1041" s="4">
        <v>1</v>
      </c>
      <c r="D1041" s="4">
        <v>0</v>
      </c>
      <c r="E1041" s="4">
        <v>0</v>
      </c>
      <c r="F1041" s="4">
        <v>1</v>
      </c>
      <c r="G1041" s="4">
        <v>111001</v>
      </c>
      <c r="H1041" s="4">
        <v>1</v>
      </c>
      <c r="I1041" s="4">
        <f t="shared" si="20"/>
        <v>545</v>
      </c>
      <c r="J1041" s="4">
        <f t="shared" si="21"/>
        <v>817</v>
      </c>
      <c r="K1041" s="4" t="s">
        <v>1469</v>
      </c>
    </row>
    <row r="1042" spans="1:11" s="4" customFormat="1">
      <c r="A1042" s="4">
        <v>111682</v>
      </c>
      <c r="B1042" s="4">
        <v>1</v>
      </c>
      <c r="C1042" s="4">
        <v>1</v>
      </c>
      <c r="D1042" s="4">
        <v>0</v>
      </c>
      <c r="E1042" s="4">
        <v>0</v>
      </c>
      <c r="F1042" s="4">
        <v>1</v>
      </c>
      <c r="G1042" s="4">
        <v>111001</v>
      </c>
      <c r="H1042" s="4">
        <v>1</v>
      </c>
      <c r="I1042" s="4">
        <f t="shared" si="20"/>
        <v>546</v>
      </c>
      <c r="J1042" s="4">
        <f t="shared" si="21"/>
        <v>818</v>
      </c>
      <c r="K1042" s="4" t="s">
        <v>1470</v>
      </c>
    </row>
    <row r="1043" spans="1:11" s="4" customFormat="1">
      <c r="A1043" s="4">
        <v>111683</v>
      </c>
      <c r="B1043" s="4">
        <v>1</v>
      </c>
      <c r="C1043" s="4">
        <v>1</v>
      </c>
      <c r="D1043" s="4">
        <v>0</v>
      </c>
      <c r="E1043" s="4">
        <v>0</v>
      </c>
      <c r="F1043" s="4">
        <v>1</v>
      </c>
      <c r="G1043" s="4">
        <v>111001</v>
      </c>
      <c r="H1043" s="4">
        <v>1</v>
      </c>
      <c r="I1043" s="4">
        <f t="shared" si="20"/>
        <v>546</v>
      </c>
      <c r="J1043" s="4">
        <f t="shared" si="21"/>
        <v>820</v>
      </c>
      <c r="K1043" s="4" t="s">
        <v>1471</v>
      </c>
    </row>
    <row r="1044" spans="1:11" s="4" customFormat="1">
      <c r="A1044" s="4">
        <v>111684</v>
      </c>
      <c r="B1044" s="4">
        <v>1</v>
      </c>
      <c r="C1044" s="4">
        <v>1</v>
      </c>
      <c r="D1044" s="4">
        <v>0</v>
      </c>
      <c r="E1044" s="4">
        <v>0</v>
      </c>
      <c r="F1044" s="4">
        <v>1</v>
      </c>
      <c r="G1044" s="4">
        <v>111001</v>
      </c>
      <c r="H1044" s="4">
        <v>1</v>
      </c>
      <c r="I1044" s="4">
        <f t="shared" si="20"/>
        <v>547</v>
      </c>
      <c r="J1044" s="4">
        <f t="shared" si="21"/>
        <v>821</v>
      </c>
      <c r="K1044" s="4" t="s">
        <v>1472</v>
      </c>
    </row>
    <row r="1045" spans="1:11" s="4" customFormat="1">
      <c r="A1045" s="4">
        <v>111685</v>
      </c>
      <c r="B1045" s="4">
        <v>1</v>
      </c>
      <c r="C1045" s="4">
        <v>1</v>
      </c>
      <c r="D1045" s="4">
        <v>0</v>
      </c>
      <c r="E1045" s="4">
        <v>0</v>
      </c>
      <c r="F1045" s="4">
        <v>1</v>
      </c>
      <c r="G1045" s="4">
        <v>111001</v>
      </c>
      <c r="H1045" s="4">
        <v>1</v>
      </c>
      <c r="I1045" s="4">
        <f t="shared" si="20"/>
        <v>548</v>
      </c>
      <c r="J1045" s="4">
        <f t="shared" si="21"/>
        <v>822</v>
      </c>
      <c r="K1045" s="4" t="s">
        <v>1473</v>
      </c>
    </row>
    <row r="1046" spans="1:11" s="4" customFormat="1">
      <c r="A1046" s="4">
        <v>111686</v>
      </c>
      <c r="B1046" s="4">
        <v>1</v>
      </c>
      <c r="C1046" s="4">
        <v>1</v>
      </c>
      <c r="D1046" s="4">
        <v>0</v>
      </c>
      <c r="E1046" s="4">
        <v>0</v>
      </c>
      <c r="F1046" s="4">
        <v>1</v>
      </c>
      <c r="G1046" s="4">
        <v>111001</v>
      </c>
      <c r="H1046" s="4">
        <v>1</v>
      </c>
      <c r="I1046" s="4">
        <f t="shared" si="20"/>
        <v>549</v>
      </c>
      <c r="J1046" s="4">
        <f t="shared" si="21"/>
        <v>823</v>
      </c>
      <c r="K1046" s="4" t="s">
        <v>1474</v>
      </c>
    </row>
    <row r="1047" spans="1:11" s="4" customFormat="1">
      <c r="A1047" s="4">
        <v>111687</v>
      </c>
      <c r="B1047" s="4">
        <v>1</v>
      </c>
      <c r="C1047" s="4">
        <v>1</v>
      </c>
      <c r="D1047" s="4">
        <v>0</v>
      </c>
      <c r="E1047" s="4">
        <v>0</v>
      </c>
      <c r="F1047" s="4">
        <v>1</v>
      </c>
      <c r="G1047" s="4">
        <v>111001</v>
      </c>
      <c r="H1047" s="4">
        <v>1</v>
      </c>
      <c r="I1047" s="4">
        <f t="shared" si="20"/>
        <v>550</v>
      </c>
      <c r="J1047" s="4">
        <f t="shared" si="21"/>
        <v>824</v>
      </c>
      <c r="K1047" s="4" t="s">
        <v>1475</v>
      </c>
    </row>
    <row r="1048" spans="1:11" s="4" customFormat="1">
      <c r="A1048" s="4">
        <v>111688</v>
      </c>
      <c r="B1048" s="4">
        <v>1</v>
      </c>
      <c r="C1048" s="4">
        <v>1</v>
      </c>
      <c r="D1048" s="4">
        <v>0</v>
      </c>
      <c r="E1048" s="4">
        <v>0</v>
      </c>
      <c r="F1048" s="4">
        <v>1</v>
      </c>
      <c r="G1048" s="4">
        <v>111001</v>
      </c>
      <c r="H1048" s="4">
        <v>1</v>
      </c>
      <c r="I1048" s="4">
        <f t="shared" si="20"/>
        <v>550</v>
      </c>
      <c r="J1048" s="4">
        <f t="shared" si="21"/>
        <v>826</v>
      </c>
      <c r="K1048" s="4" t="s">
        <v>1476</v>
      </c>
    </row>
    <row r="1049" spans="1:11" s="4" customFormat="1">
      <c r="A1049" s="4">
        <v>111689</v>
      </c>
      <c r="B1049" s="4">
        <v>1</v>
      </c>
      <c r="C1049" s="4">
        <v>1</v>
      </c>
      <c r="D1049" s="4">
        <v>0</v>
      </c>
      <c r="E1049" s="4">
        <v>0</v>
      </c>
      <c r="F1049" s="4">
        <v>1</v>
      </c>
      <c r="G1049" s="4">
        <v>111001</v>
      </c>
      <c r="H1049" s="4">
        <v>1</v>
      </c>
      <c r="I1049" s="4">
        <f t="shared" si="20"/>
        <v>551</v>
      </c>
      <c r="J1049" s="4">
        <f t="shared" si="21"/>
        <v>827</v>
      </c>
      <c r="K1049" s="4" t="s">
        <v>1477</v>
      </c>
    </row>
    <row r="1050" spans="1:11" s="4" customFormat="1">
      <c r="A1050" s="4">
        <v>111690</v>
      </c>
      <c r="B1050" s="4">
        <v>1</v>
      </c>
      <c r="C1050" s="4">
        <v>1</v>
      </c>
      <c r="D1050" s="4">
        <v>0</v>
      </c>
      <c r="E1050" s="4">
        <v>0</v>
      </c>
      <c r="F1050" s="4">
        <v>1</v>
      </c>
      <c r="G1050" s="4">
        <v>111001</v>
      </c>
      <c r="H1050" s="4">
        <v>1</v>
      </c>
      <c r="I1050" s="4">
        <f t="shared" si="20"/>
        <v>552</v>
      </c>
      <c r="J1050" s="4">
        <f t="shared" si="21"/>
        <v>828</v>
      </c>
      <c r="K1050" s="4" t="s">
        <v>1478</v>
      </c>
    </row>
    <row r="1051" spans="1:11" s="4" customFormat="1">
      <c r="A1051" s="4">
        <v>111691</v>
      </c>
      <c r="B1051" s="4">
        <v>1</v>
      </c>
      <c r="C1051" s="4">
        <v>1</v>
      </c>
      <c r="D1051" s="4">
        <v>0</v>
      </c>
      <c r="E1051" s="4">
        <v>0</v>
      </c>
      <c r="F1051" s="4">
        <v>1</v>
      </c>
      <c r="G1051" s="4">
        <v>111001</v>
      </c>
      <c r="H1051" s="4">
        <v>1</v>
      </c>
      <c r="I1051" s="4">
        <f t="shared" si="20"/>
        <v>553</v>
      </c>
      <c r="J1051" s="4">
        <f t="shared" si="21"/>
        <v>829</v>
      </c>
      <c r="K1051" s="4" t="s">
        <v>1479</v>
      </c>
    </row>
    <row r="1052" spans="1:11" s="4" customFormat="1">
      <c r="A1052" s="4">
        <v>111692</v>
      </c>
      <c r="B1052" s="4">
        <v>1</v>
      </c>
      <c r="C1052" s="4">
        <v>1</v>
      </c>
      <c r="D1052" s="4">
        <v>0</v>
      </c>
      <c r="E1052" s="4">
        <v>0</v>
      </c>
      <c r="F1052" s="4">
        <v>1</v>
      </c>
      <c r="G1052" s="4">
        <v>111001</v>
      </c>
      <c r="H1052" s="4">
        <v>1</v>
      </c>
      <c r="I1052" s="4">
        <f t="shared" si="20"/>
        <v>554</v>
      </c>
      <c r="J1052" s="4">
        <f t="shared" si="21"/>
        <v>830</v>
      </c>
      <c r="K1052" s="4" t="s">
        <v>1480</v>
      </c>
    </row>
    <row r="1053" spans="1:11" s="4" customFormat="1">
      <c r="A1053" s="4">
        <v>111693</v>
      </c>
      <c r="B1053" s="4">
        <v>1</v>
      </c>
      <c r="C1053" s="4">
        <v>1</v>
      </c>
      <c r="D1053" s="4">
        <v>0</v>
      </c>
      <c r="E1053" s="4">
        <v>0</v>
      </c>
      <c r="F1053" s="4">
        <v>1</v>
      </c>
      <c r="G1053" s="4">
        <v>111001</v>
      </c>
      <c r="H1053" s="4">
        <v>1</v>
      </c>
      <c r="I1053" s="4">
        <f t="shared" si="20"/>
        <v>554</v>
      </c>
      <c r="J1053" s="4">
        <f t="shared" si="21"/>
        <v>832</v>
      </c>
      <c r="K1053" s="4" t="s">
        <v>1481</v>
      </c>
    </row>
    <row r="1054" spans="1:11" s="4" customFormat="1">
      <c r="A1054" s="4">
        <v>111694</v>
      </c>
      <c r="B1054" s="4">
        <v>1</v>
      </c>
      <c r="C1054" s="4">
        <v>1</v>
      </c>
      <c r="D1054" s="4">
        <v>0</v>
      </c>
      <c r="E1054" s="4">
        <v>0</v>
      </c>
      <c r="F1054" s="4">
        <v>1</v>
      </c>
      <c r="G1054" s="4">
        <v>111001</v>
      </c>
      <c r="H1054" s="4">
        <v>1</v>
      </c>
      <c r="I1054" s="4">
        <f t="shared" si="20"/>
        <v>555</v>
      </c>
      <c r="J1054" s="4">
        <f t="shared" si="21"/>
        <v>833</v>
      </c>
      <c r="K1054" s="4" t="s">
        <v>1482</v>
      </c>
    </row>
    <row r="1055" spans="1:11" s="4" customFormat="1">
      <c r="A1055" s="4">
        <v>111695</v>
      </c>
      <c r="B1055" s="4">
        <v>1</v>
      </c>
      <c r="C1055" s="4">
        <v>1</v>
      </c>
      <c r="D1055" s="4">
        <v>0</v>
      </c>
      <c r="E1055" s="4">
        <v>0</v>
      </c>
      <c r="F1055" s="4">
        <v>1</v>
      </c>
      <c r="G1055" s="4">
        <v>111001</v>
      </c>
      <c r="H1055" s="4">
        <v>1</v>
      </c>
      <c r="I1055" s="4">
        <f t="shared" si="20"/>
        <v>556</v>
      </c>
      <c r="J1055" s="4">
        <f t="shared" si="21"/>
        <v>834</v>
      </c>
      <c r="K1055" s="4" t="s">
        <v>1483</v>
      </c>
    </row>
    <row r="1056" spans="1:11" s="4" customFormat="1">
      <c r="A1056" s="4">
        <v>111696</v>
      </c>
      <c r="B1056" s="4">
        <v>1</v>
      </c>
      <c r="C1056" s="4">
        <v>1</v>
      </c>
      <c r="D1056" s="4">
        <v>0</v>
      </c>
      <c r="E1056" s="4">
        <v>0</v>
      </c>
      <c r="F1056" s="4">
        <v>1</v>
      </c>
      <c r="G1056" s="4">
        <v>111001</v>
      </c>
      <c r="H1056" s="4">
        <v>1</v>
      </c>
      <c r="I1056" s="4">
        <f t="shared" si="20"/>
        <v>557</v>
      </c>
      <c r="J1056" s="4">
        <f t="shared" si="21"/>
        <v>835</v>
      </c>
      <c r="K1056" s="4" t="s">
        <v>1484</v>
      </c>
    </row>
    <row r="1057" spans="1:11" s="4" customFormat="1">
      <c r="A1057" s="4">
        <v>111697</v>
      </c>
      <c r="B1057" s="4">
        <v>1</v>
      </c>
      <c r="C1057" s="4">
        <v>1</v>
      </c>
      <c r="D1057" s="4">
        <v>0</v>
      </c>
      <c r="E1057" s="4">
        <v>0</v>
      </c>
      <c r="F1057" s="4">
        <v>1</v>
      </c>
      <c r="G1057" s="4">
        <v>111001</v>
      </c>
      <c r="H1057" s="4">
        <v>1</v>
      </c>
      <c r="I1057" s="4">
        <f t="shared" si="20"/>
        <v>558</v>
      </c>
      <c r="J1057" s="4">
        <f t="shared" si="21"/>
        <v>836</v>
      </c>
      <c r="K1057" s="4" t="s">
        <v>1485</v>
      </c>
    </row>
    <row r="1058" spans="1:11" s="4" customFormat="1">
      <c r="A1058" s="4">
        <v>111698</v>
      </c>
      <c r="B1058" s="4">
        <v>1</v>
      </c>
      <c r="C1058" s="4">
        <v>1</v>
      </c>
      <c r="D1058" s="4">
        <v>0</v>
      </c>
      <c r="E1058" s="4">
        <v>0</v>
      </c>
      <c r="F1058" s="4">
        <v>1</v>
      </c>
      <c r="G1058" s="4">
        <v>111001</v>
      </c>
      <c r="H1058" s="4">
        <v>1</v>
      </c>
      <c r="I1058" s="4">
        <f t="shared" si="20"/>
        <v>558</v>
      </c>
      <c r="J1058" s="4">
        <f t="shared" si="21"/>
        <v>838</v>
      </c>
      <c r="K1058" s="4" t="s">
        <v>1486</v>
      </c>
    </row>
    <row r="1059" spans="1:11" s="4" customFormat="1">
      <c r="A1059" s="4">
        <v>111699</v>
      </c>
      <c r="B1059" s="4">
        <v>1</v>
      </c>
      <c r="C1059" s="4">
        <v>1</v>
      </c>
      <c r="D1059" s="4">
        <v>0</v>
      </c>
      <c r="E1059" s="4">
        <v>0</v>
      </c>
      <c r="F1059" s="4">
        <v>1</v>
      </c>
      <c r="G1059" s="4">
        <v>111001</v>
      </c>
      <c r="H1059" s="4">
        <v>1</v>
      </c>
      <c r="I1059" s="4">
        <f t="shared" si="20"/>
        <v>559</v>
      </c>
      <c r="J1059" s="4">
        <f t="shared" si="21"/>
        <v>839</v>
      </c>
      <c r="K1059" s="4" t="s">
        <v>1487</v>
      </c>
    </row>
    <row r="1060" spans="1:11" s="4" customFormat="1">
      <c r="A1060" s="4">
        <v>111700</v>
      </c>
      <c r="B1060" s="4">
        <v>1</v>
      </c>
      <c r="C1060" s="4">
        <v>1</v>
      </c>
      <c r="D1060" s="4">
        <v>0</v>
      </c>
      <c r="E1060" s="4">
        <v>0</v>
      </c>
      <c r="F1060" s="4">
        <v>1</v>
      </c>
      <c r="G1060" s="4">
        <v>111001</v>
      </c>
      <c r="H1060" s="4">
        <v>1</v>
      </c>
      <c r="I1060" s="4">
        <f t="shared" si="20"/>
        <v>560</v>
      </c>
      <c r="J1060" s="4">
        <f t="shared" si="21"/>
        <v>840</v>
      </c>
      <c r="K1060" s="4" t="s">
        <v>1488</v>
      </c>
    </row>
    <row r="1061" spans="1:11" s="4" customFormat="1">
      <c r="A1061" s="4">
        <v>111701</v>
      </c>
      <c r="B1061" s="4">
        <v>1</v>
      </c>
      <c r="C1061" s="4">
        <v>1</v>
      </c>
      <c r="D1061" s="4">
        <v>0</v>
      </c>
      <c r="E1061" s="4">
        <v>0</v>
      </c>
      <c r="F1061" s="4">
        <v>1</v>
      </c>
      <c r="G1061" s="4">
        <v>111001</v>
      </c>
      <c r="H1061" s="4">
        <v>1</v>
      </c>
      <c r="I1061" s="4">
        <f t="shared" si="20"/>
        <v>561</v>
      </c>
      <c r="J1061" s="4">
        <f t="shared" si="21"/>
        <v>841</v>
      </c>
      <c r="K1061" s="4" t="s">
        <v>1489</v>
      </c>
    </row>
    <row r="1062" spans="1:11" s="4" customFormat="1">
      <c r="A1062" s="4">
        <v>111702</v>
      </c>
      <c r="B1062" s="4">
        <v>1</v>
      </c>
      <c r="C1062" s="4">
        <v>1</v>
      </c>
      <c r="D1062" s="4">
        <v>0</v>
      </c>
      <c r="E1062" s="4">
        <v>0</v>
      </c>
      <c r="F1062" s="4">
        <v>1</v>
      </c>
      <c r="G1062" s="4">
        <v>111001</v>
      </c>
      <c r="H1062" s="4">
        <v>1</v>
      </c>
      <c r="I1062" s="4">
        <f t="shared" si="20"/>
        <v>562</v>
      </c>
      <c r="J1062" s="4">
        <f t="shared" si="21"/>
        <v>842</v>
      </c>
      <c r="K1062" s="4" t="s">
        <v>1490</v>
      </c>
    </row>
    <row r="1063" spans="1:11" s="4" customFormat="1">
      <c r="A1063" s="4">
        <v>111703</v>
      </c>
      <c r="B1063" s="4">
        <v>1</v>
      </c>
      <c r="C1063" s="4">
        <v>1</v>
      </c>
      <c r="D1063" s="4">
        <v>0</v>
      </c>
      <c r="E1063" s="4">
        <v>0</v>
      </c>
      <c r="F1063" s="4">
        <v>1</v>
      </c>
      <c r="G1063" s="4">
        <v>111001</v>
      </c>
      <c r="H1063" s="4">
        <v>1</v>
      </c>
      <c r="I1063" s="4">
        <f t="shared" si="20"/>
        <v>562</v>
      </c>
      <c r="J1063" s="4">
        <f t="shared" si="21"/>
        <v>844</v>
      </c>
      <c r="K1063" s="4" t="s">
        <v>1491</v>
      </c>
    </row>
    <row r="1064" spans="1:11" s="4" customFormat="1">
      <c r="A1064" s="4">
        <v>111704</v>
      </c>
      <c r="B1064" s="4">
        <v>1</v>
      </c>
      <c r="C1064" s="4">
        <v>1</v>
      </c>
      <c r="D1064" s="4">
        <v>0</v>
      </c>
      <c r="E1064" s="4">
        <v>0</v>
      </c>
      <c r="F1064" s="4">
        <v>1</v>
      </c>
      <c r="G1064" s="4">
        <v>111001</v>
      </c>
      <c r="H1064" s="4">
        <v>1</v>
      </c>
      <c r="I1064" s="4">
        <f t="shared" si="20"/>
        <v>563</v>
      </c>
      <c r="J1064" s="4">
        <f t="shared" si="21"/>
        <v>845</v>
      </c>
      <c r="K1064" s="4" t="s">
        <v>1492</v>
      </c>
    </row>
    <row r="1065" spans="1:11" s="4" customFormat="1">
      <c r="A1065" s="4">
        <v>111705</v>
      </c>
      <c r="B1065" s="4">
        <v>1</v>
      </c>
      <c r="C1065" s="4">
        <v>1</v>
      </c>
      <c r="D1065" s="4">
        <v>0</v>
      </c>
      <c r="E1065" s="4">
        <v>0</v>
      </c>
      <c r="F1065" s="4">
        <v>1</v>
      </c>
      <c r="G1065" s="4">
        <v>111001</v>
      </c>
      <c r="H1065" s="4">
        <v>1</v>
      </c>
      <c r="I1065" s="4">
        <f t="shared" si="20"/>
        <v>564</v>
      </c>
      <c r="J1065" s="4">
        <f t="shared" si="21"/>
        <v>846</v>
      </c>
      <c r="K1065" s="4" t="s">
        <v>1493</v>
      </c>
    </row>
    <row r="1066" spans="1:11" s="4" customFormat="1">
      <c r="A1066" s="4">
        <v>111706</v>
      </c>
      <c r="B1066" s="4">
        <v>1</v>
      </c>
      <c r="C1066" s="4">
        <v>1</v>
      </c>
      <c r="D1066" s="4">
        <v>0</v>
      </c>
      <c r="E1066" s="4">
        <v>0</v>
      </c>
      <c r="F1066" s="4">
        <v>1</v>
      </c>
      <c r="G1066" s="4">
        <v>111001</v>
      </c>
      <c r="H1066" s="4">
        <v>1</v>
      </c>
      <c r="I1066" s="4">
        <f t="shared" ref="I1066:I1129" si="22">ROUND(RIGHT(A1066,3)*80%,0)</f>
        <v>565</v>
      </c>
      <c r="J1066" s="4">
        <f t="shared" ref="J1066:J1129" si="23">ROUND(RIGHT(A1066,3)*120%,0)</f>
        <v>847</v>
      </c>
      <c r="K1066" s="4" t="s">
        <v>1494</v>
      </c>
    </row>
    <row r="1067" spans="1:11" s="4" customFormat="1">
      <c r="A1067" s="4">
        <v>111707</v>
      </c>
      <c r="B1067" s="4">
        <v>1</v>
      </c>
      <c r="C1067" s="4">
        <v>1</v>
      </c>
      <c r="D1067" s="4">
        <v>0</v>
      </c>
      <c r="E1067" s="4">
        <v>0</v>
      </c>
      <c r="F1067" s="4">
        <v>1</v>
      </c>
      <c r="G1067" s="4">
        <v>111001</v>
      </c>
      <c r="H1067" s="4">
        <v>1</v>
      </c>
      <c r="I1067" s="4">
        <f t="shared" si="22"/>
        <v>566</v>
      </c>
      <c r="J1067" s="4">
        <f t="shared" si="23"/>
        <v>848</v>
      </c>
      <c r="K1067" s="4" t="s">
        <v>1495</v>
      </c>
    </row>
    <row r="1068" spans="1:11" s="4" customFormat="1">
      <c r="A1068" s="4">
        <v>111708</v>
      </c>
      <c r="B1068" s="4">
        <v>1</v>
      </c>
      <c r="C1068" s="4">
        <v>1</v>
      </c>
      <c r="D1068" s="4">
        <v>0</v>
      </c>
      <c r="E1068" s="4">
        <v>0</v>
      </c>
      <c r="F1068" s="4">
        <v>1</v>
      </c>
      <c r="G1068" s="4">
        <v>111001</v>
      </c>
      <c r="H1068" s="4">
        <v>1</v>
      </c>
      <c r="I1068" s="4">
        <f t="shared" si="22"/>
        <v>566</v>
      </c>
      <c r="J1068" s="4">
        <f t="shared" si="23"/>
        <v>850</v>
      </c>
      <c r="K1068" s="4" t="s">
        <v>1496</v>
      </c>
    </row>
    <row r="1069" spans="1:11" s="4" customFormat="1">
      <c r="A1069" s="4">
        <v>111709</v>
      </c>
      <c r="B1069" s="4">
        <v>1</v>
      </c>
      <c r="C1069" s="4">
        <v>1</v>
      </c>
      <c r="D1069" s="4">
        <v>0</v>
      </c>
      <c r="E1069" s="4">
        <v>0</v>
      </c>
      <c r="F1069" s="4">
        <v>1</v>
      </c>
      <c r="G1069" s="4">
        <v>111001</v>
      </c>
      <c r="H1069" s="4">
        <v>1</v>
      </c>
      <c r="I1069" s="4">
        <f t="shared" si="22"/>
        <v>567</v>
      </c>
      <c r="J1069" s="4">
        <f t="shared" si="23"/>
        <v>851</v>
      </c>
      <c r="K1069" s="4" t="s">
        <v>1497</v>
      </c>
    </row>
    <row r="1070" spans="1:11" s="4" customFormat="1">
      <c r="A1070" s="4">
        <v>111710</v>
      </c>
      <c r="B1070" s="4">
        <v>1</v>
      </c>
      <c r="C1070" s="4">
        <v>1</v>
      </c>
      <c r="D1070" s="4">
        <v>0</v>
      </c>
      <c r="E1070" s="4">
        <v>0</v>
      </c>
      <c r="F1070" s="4">
        <v>1</v>
      </c>
      <c r="G1070" s="4">
        <v>111001</v>
      </c>
      <c r="H1070" s="4">
        <v>1</v>
      </c>
      <c r="I1070" s="4">
        <f t="shared" si="22"/>
        <v>568</v>
      </c>
      <c r="J1070" s="4">
        <f t="shared" si="23"/>
        <v>852</v>
      </c>
      <c r="K1070" s="4" t="s">
        <v>1498</v>
      </c>
    </row>
    <row r="1071" spans="1:11" s="4" customFormat="1">
      <c r="A1071" s="4">
        <v>111711</v>
      </c>
      <c r="B1071" s="4">
        <v>1</v>
      </c>
      <c r="C1071" s="4">
        <v>1</v>
      </c>
      <c r="D1071" s="4">
        <v>0</v>
      </c>
      <c r="E1071" s="4">
        <v>0</v>
      </c>
      <c r="F1071" s="4">
        <v>1</v>
      </c>
      <c r="G1071" s="4">
        <v>111001</v>
      </c>
      <c r="H1071" s="4">
        <v>1</v>
      </c>
      <c r="I1071" s="4">
        <f t="shared" si="22"/>
        <v>569</v>
      </c>
      <c r="J1071" s="4">
        <f t="shared" si="23"/>
        <v>853</v>
      </c>
      <c r="K1071" s="4" t="s">
        <v>1499</v>
      </c>
    </row>
    <row r="1072" spans="1:11" s="4" customFormat="1">
      <c r="A1072" s="4">
        <v>111712</v>
      </c>
      <c r="B1072" s="4">
        <v>1</v>
      </c>
      <c r="C1072" s="4">
        <v>1</v>
      </c>
      <c r="D1072" s="4">
        <v>0</v>
      </c>
      <c r="E1072" s="4">
        <v>0</v>
      </c>
      <c r="F1072" s="4">
        <v>1</v>
      </c>
      <c r="G1072" s="4">
        <v>111001</v>
      </c>
      <c r="H1072" s="4">
        <v>1</v>
      </c>
      <c r="I1072" s="4">
        <f t="shared" si="22"/>
        <v>570</v>
      </c>
      <c r="J1072" s="4">
        <f t="shared" si="23"/>
        <v>854</v>
      </c>
      <c r="K1072" s="4" t="s">
        <v>1500</v>
      </c>
    </row>
    <row r="1073" spans="1:11" s="4" customFormat="1">
      <c r="A1073" s="4">
        <v>111713</v>
      </c>
      <c r="B1073" s="4">
        <v>1</v>
      </c>
      <c r="C1073" s="4">
        <v>1</v>
      </c>
      <c r="D1073" s="4">
        <v>0</v>
      </c>
      <c r="E1073" s="4">
        <v>0</v>
      </c>
      <c r="F1073" s="4">
        <v>1</v>
      </c>
      <c r="G1073" s="4">
        <v>111001</v>
      </c>
      <c r="H1073" s="4">
        <v>1</v>
      </c>
      <c r="I1073" s="4">
        <f t="shared" si="22"/>
        <v>570</v>
      </c>
      <c r="J1073" s="4">
        <f t="shared" si="23"/>
        <v>856</v>
      </c>
      <c r="K1073" s="4" t="s">
        <v>1501</v>
      </c>
    </row>
    <row r="1074" spans="1:11" s="4" customFormat="1">
      <c r="A1074" s="4">
        <v>111714</v>
      </c>
      <c r="B1074" s="4">
        <v>1</v>
      </c>
      <c r="C1074" s="4">
        <v>1</v>
      </c>
      <c r="D1074" s="4">
        <v>0</v>
      </c>
      <c r="E1074" s="4">
        <v>0</v>
      </c>
      <c r="F1074" s="4">
        <v>1</v>
      </c>
      <c r="G1074" s="4">
        <v>111001</v>
      </c>
      <c r="H1074" s="4">
        <v>1</v>
      </c>
      <c r="I1074" s="4">
        <f t="shared" si="22"/>
        <v>571</v>
      </c>
      <c r="J1074" s="4">
        <f t="shared" si="23"/>
        <v>857</v>
      </c>
      <c r="K1074" s="4" t="s">
        <v>1502</v>
      </c>
    </row>
    <row r="1075" spans="1:11" s="4" customFormat="1">
      <c r="A1075" s="4">
        <v>111715</v>
      </c>
      <c r="B1075" s="4">
        <v>1</v>
      </c>
      <c r="C1075" s="4">
        <v>1</v>
      </c>
      <c r="D1075" s="4">
        <v>0</v>
      </c>
      <c r="E1075" s="4">
        <v>0</v>
      </c>
      <c r="F1075" s="4">
        <v>1</v>
      </c>
      <c r="G1075" s="4">
        <v>111001</v>
      </c>
      <c r="H1075" s="4">
        <v>1</v>
      </c>
      <c r="I1075" s="4">
        <f t="shared" si="22"/>
        <v>572</v>
      </c>
      <c r="J1075" s="4">
        <f t="shared" si="23"/>
        <v>858</v>
      </c>
      <c r="K1075" s="4" t="s">
        <v>1503</v>
      </c>
    </row>
    <row r="1076" spans="1:11" s="4" customFormat="1">
      <c r="A1076" s="4">
        <v>111716</v>
      </c>
      <c r="B1076" s="4">
        <v>1</v>
      </c>
      <c r="C1076" s="4">
        <v>1</v>
      </c>
      <c r="D1076" s="4">
        <v>0</v>
      </c>
      <c r="E1076" s="4">
        <v>0</v>
      </c>
      <c r="F1076" s="4">
        <v>1</v>
      </c>
      <c r="G1076" s="4">
        <v>111001</v>
      </c>
      <c r="H1076" s="4">
        <v>1</v>
      </c>
      <c r="I1076" s="4">
        <f t="shared" si="22"/>
        <v>573</v>
      </c>
      <c r="J1076" s="4">
        <f t="shared" si="23"/>
        <v>859</v>
      </c>
      <c r="K1076" s="4" t="s">
        <v>1504</v>
      </c>
    </row>
    <row r="1077" spans="1:11" s="4" customFormat="1">
      <c r="A1077" s="4">
        <v>111717</v>
      </c>
      <c r="B1077" s="4">
        <v>1</v>
      </c>
      <c r="C1077" s="4">
        <v>1</v>
      </c>
      <c r="D1077" s="4">
        <v>0</v>
      </c>
      <c r="E1077" s="4">
        <v>0</v>
      </c>
      <c r="F1077" s="4">
        <v>1</v>
      </c>
      <c r="G1077" s="4">
        <v>111001</v>
      </c>
      <c r="H1077" s="4">
        <v>1</v>
      </c>
      <c r="I1077" s="4">
        <f t="shared" si="22"/>
        <v>574</v>
      </c>
      <c r="J1077" s="4">
        <f t="shared" si="23"/>
        <v>860</v>
      </c>
      <c r="K1077" s="4" t="s">
        <v>1505</v>
      </c>
    </row>
    <row r="1078" spans="1:11" s="4" customFormat="1">
      <c r="A1078" s="4">
        <v>111718</v>
      </c>
      <c r="B1078" s="4">
        <v>1</v>
      </c>
      <c r="C1078" s="4">
        <v>1</v>
      </c>
      <c r="D1078" s="4">
        <v>0</v>
      </c>
      <c r="E1078" s="4">
        <v>0</v>
      </c>
      <c r="F1078" s="4">
        <v>1</v>
      </c>
      <c r="G1078" s="4">
        <v>111001</v>
      </c>
      <c r="H1078" s="4">
        <v>1</v>
      </c>
      <c r="I1078" s="4">
        <f t="shared" si="22"/>
        <v>574</v>
      </c>
      <c r="J1078" s="4">
        <f t="shared" si="23"/>
        <v>862</v>
      </c>
      <c r="K1078" s="4" t="s">
        <v>1506</v>
      </c>
    </row>
    <row r="1079" spans="1:11" s="4" customFormat="1">
      <c r="A1079" s="4">
        <v>111719</v>
      </c>
      <c r="B1079" s="4">
        <v>1</v>
      </c>
      <c r="C1079" s="4">
        <v>1</v>
      </c>
      <c r="D1079" s="4">
        <v>0</v>
      </c>
      <c r="E1079" s="4">
        <v>0</v>
      </c>
      <c r="F1079" s="4">
        <v>1</v>
      </c>
      <c r="G1079" s="4">
        <v>111001</v>
      </c>
      <c r="H1079" s="4">
        <v>1</v>
      </c>
      <c r="I1079" s="4">
        <f t="shared" si="22"/>
        <v>575</v>
      </c>
      <c r="J1079" s="4">
        <f t="shared" si="23"/>
        <v>863</v>
      </c>
      <c r="K1079" s="4" t="s">
        <v>1507</v>
      </c>
    </row>
    <row r="1080" spans="1:11" s="4" customFormat="1">
      <c r="A1080" s="4">
        <v>111720</v>
      </c>
      <c r="B1080" s="4">
        <v>1</v>
      </c>
      <c r="C1080" s="4">
        <v>1</v>
      </c>
      <c r="D1080" s="4">
        <v>0</v>
      </c>
      <c r="E1080" s="4">
        <v>0</v>
      </c>
      <c r="F1080" s="4">
        <v>1</v>
      </c>
      <c r="G1080" s="4">
        <v>111001</v>
      </c>
      <c r="H1080" s="4">
        <v>1</v>
      </c>
      <c r="I1080" s="4">
        <f t="shared" si="22"/>
        <v>576</v>
      </c>
      <c r="J1080" s="4">
        <f t="shared" si="23"/>
        <v>864</v>
      </c>
      <c r="K1080" s="4" t="s">
        <v>1508</v>
      </c>
    </row>
    <row r="1081" spans="1:11" s="4" customFormat="1">
      <c r="A1081" s="4">
        <v>111721</v>
      </c>
      <c r="B1081" s="4">
        <v>1</v>
      </c>
      <c r="C1081" s="4">
        <v>1</v>
      </c>
      <c r="D1081" s="4">
        <v>0</v>
      </c>
      <c r="E1081" s="4">
        <v>0</v>
      </c>
      <c r="F1081" s="4">
        <v>1</v>
      </c>
      <c r="G1081" s="4">
        <v>111001</v>
      </c>
      <c r="H1081" s="4">
        <v>1</v>
      </c>
      <c r="I1081" s="4">
        <f t="shared" si="22"/>
        <v>577</v>
      </c>
      <c r="J1081" s="4">
        <f t="shared" si="23"/>
        <v>865</v>
      </c>
      <c r="K1081" s="4" t="s">
        <v>1509</v>
      </c>
    </row>
    <row r="1082" spans="1:11" s="4" customFormat="1">
      <c r="A1082" s="4">
        <v>111722</v>
      </c>
      <c r="B1082" s="4">
        <v>1</v>
      </c>
      <c r="C1082" s="4">
        <v>1</v>
      </c>
      <c r="D1082" s="4">
        <v>0</v>
      </c>
      <c r="E1082" s="4">
        <v>0</v>
      </c>
      <c r="F1082" s="4">
        <v>1</v>
      </c>
      <c r="G1082" s="4">
        <v>111001</v>
      </c>
      <c r="H1082" s="4">
        <v>1</v>
      </c>
      <c r="I1082" s="4">
        <f t="shared" si="22"/>
        <v>578</v>
      </c>
      <c r="J1082" s="4">
        <f t="shared" si="23"/>
        <v>866</v>
      </c>
      <c r="K1082" s="4" t="s">
        <v>1510</v>
      </c>
    </row>
    <row r="1083" spans="1:11" s="4" customFormat="1">
      <c r="A1083" s="4">
        <v>111723</v>
      </c>
      <c r="B1083" s="4">
        <v>1</v>
      </c>
      <c r="C1083" s="4">
        <v>1</v>
      </c>
      <c r="D1083" s="4">
        <v>0</v>
      </c>
      <c r="E1083" s="4">
        <v>0</v>
      </c>
      <c r="F1083" s="4">
        <v>1</v>
      </c>
      <c r="G1083" s="4">
        <v>111001</v>
      </c>
      <c r="H1083" s="4">
        <v>1</v>
      </c>
      <c r="I1083" s="4">
        <f t="shared" si="22"/>
        <v>578</v>
      </c>
      <c r="J1083" s="4">
        <f t="shared" si="23"/>
        <v>868</v>
      </c>
      <c r="K1083" s="4" t="s">
        <v>1511</v>
      </c>
    </row>
    <row r="1084" spans="1:11" s="4" customFormat="1">
      <c r="A1084" s="4">
        <v>111724</v>
      </c>
      <c r="B1084" s="4">
        <v>1</v>
      </c>
      <c r="C1084" s="4">
        <v>1</v>
      </c>
      <c r="D1084" s="4">
        <v>0</v>
      </c>
      <c r="E1084" s="4">
        <v>0</v>
      </c>
      <c r="F1084" s="4">
        <v>1</v>
      </c>
      <c r="G1084" s="4">
        <v>111001</v>
      </c>
      <c r="H1084" s="4">
        <v>1</v>
      </c>
      <c r="I1084" s="4">
        <f t="shared" si="22"/>
        <v>579</v>
      </c>
      <c r="J1084" s="4">
        <f t="shared" si="23"/>
        <v>869</v>
      </c>
      <c r="K1084" s="4" t="s">
        <v>1512</v>
      </c>
    </row>
    <row r="1085" spans="1:11" s="4" customFormat="1">
      <c r="A1085" s="4">
        <v>111725</v>
      </c>
      <c r="B1085" s="4">
        <v>1</v>
      </c>
      <c r="C1085" s="4">
        <v>1</v>
      </c>
      <c r="D1085" s="4">
        <v>0</v>
      </c>
      <c r="E1085" s="4">
        <v>0</v>
      </c>
      <c r="F1085" s="4">
        <v>1</v>
      </c>
      <c r="G1085" s="4">
        <v>111001</v>
      </c>
      <c r="H1085" s="4">
        <v>1</v>
      </c>
      <c r="I1085" s="4">
        <f t="shared" si="22"/>
        <v>580</v>
      </c>
      <c r="J1085" s="4">
        <f t="shared" si="23"/>
        <v>870</v>
      </c>
      <c r="K1085" s="4" t="s">
        <v>1513</v>
      </c>
    </row>
    <row r="1086" spans="1:11" s="4" customFormat="1">
      <c r="A1086" s="4">
        <v>111726</v>
      </c>
      <c r="B1086" s="4">
        <v>1</v>
      </c>
      <c r="C1086" s="4">
        <v>1</v>
      </c>
      <c r="D1086" s="4">
        <v>0</v>
      </c>
      <c r="E1086" s="4">
        <v>0</v>
      </c>
      <c r="F1086" s="4">
        <v>1</v>
      </c>
      <c r="G1086" s="4">
        <v>111001</v>
      </c>
      <c r="H1086" s="4">
        <v>1</v>
      </c>
      <c r="I1086" s="4">
        <f t="shared" si="22"/>
        <v>581</v>
      </c>
      <c r="J1086" s="4">
        <f t="shared" si="23"/>
        <v>871</v>
      </c>
      <c r="K1086" s="4" t="s">
        <v>1514</v>
      </c>
    </row>
    <row r="1087" spans="1:11" s="4" customFormat="1">
      <c r="A1087" s="4">
        <v>111727</v>
      </c>
      <c r="B1087" s="4">
        <v>1</v>
      </c>
      <c r="C1087" s="4">
        <v>1</v>
      </c>
      <c r="D1087" s="4">
        <v>0</v>
      </c>
      <c r="E1087" s="4">
        <v>0</v>
      </c>
      <c r="F1087" s="4">
        <v>1</v>
      </c>
      <c r="G1087" s="4">
        <v>111001</v>
      </c>
      <c r="H1087" s="4">
        <v>1</v>
      </c>
      <c r="I1087" s="4">
        <f t="shared" si="22"/>
        <v>582</v>
      </c>
      <c r="J1087" s="4">
        <f t="shared" si="23"/>
        <v>872</v>
      </c>
      <c r="K1087" s="4" t="s">
        <v>1515</v>
      </c>
    </row>
    <row r="1088" spans="1:11" s="4" customFormat="1">
      <c r="A1088" s="4">
        <v>111728</v>
      </c>
      <c r="B1088" s="4">
        <v>1</v>
      </c>
      <c r="C1088" s="4">
        <v>1</v>
      </c>
      <c r="D1088" s="4">
        <v>0</v>
      </c>
      <c r="E1088" s="4">
        <v>0</v>
      </c>
      <c r="F1088" s="4">
        <v>1</v>
      </c>
      <c r="G1088" s="4">
        <v>111001</v>
      </c>
      <c r="H1088" s="4">
        <v>1</v>
      </c>
      <c r="I1088" s="4">
        <f t="shared" si="22"/>
        <v>582</v>
      </c>
      <c r="J1088" s="4">
        <f t="shared" si="23"/>
        <v>874</v>
      </c>
      <c r="K1088" s="4" t="s">
        <v>1516</v>
      </c>
    </row>
    <row r="1089" spans="1:11" s="4" customFormat="1">
      <c r="A1089" s="4">
        <v>111729</v>
      </c>
      <c r="B1089" s="4">
        <v>1</v>
      </c>
      <c r="C1089" s="4">
        <v>1</v>
      </c>
      <c r="D1089" s="4">
        <v>0</v>
      </c>
      <c r="E1089" s="4">
        <v>0</v>
      </c>
      <c r="F1089" s="4">
        <v>1</v>
      </c>
      <c r="G1089" s="4">
        <v>111001</v>
      </c>
      <c r="H1089" s="4">
        <v>1</v>
      </c>
      <c r="I1089" s="4">
        <f t="shared" si="22"/>
        <v>583</v>
      </c>
      <c r="J1089" s="4">
        <f t="shared" si="23"/>
        <v>875</v>
      </c>
      <c r="K1089" s="4" t="s">
        <v>1517</v>
      </c>
    </row>
    <row r="1090" spans="1:11" s="4" customFormat="1">
      <c r="A1090" s="4">
        <v>111730</v>
      </c>
      <c r="B1090" s="4">
        <v>1</v>
      </c>
      <c r="C1090" s="4">
        <v>1</v>
      </c>
      <c r="D1090" s="4">
        <v>0</v>
      </c>
      <c r="E1090" s="4">
        <v>0</v>
      </c>
      <c r="F1090" s="4">
        <v>1</v>
      </c>
      <c r="G1090" s="4">
        <v>111001</v>
      </c>
      <c r="H1090" s="4">
        <v>1</v>
      </c>
      <c r="I1090" s="4">
        <f t="shared" si="22"/>
        <v>584</v>
      </c>
      <c r="J1090" s="4">
        <f t="shared" si="23"/>
        <v>876</v>
      </c>
      <c r="K1090" s="4" t="s">
        <v>1518</v>
      </c>
    </row>
    <row r="1091" spans="1:11" s="4" customFormat="1">
      <c r="A1091" s="4">
        <v>111731</v>
      </c>
      <c r="B1091" s="4">
        <v>1</v>
      </c>
      <c r="C1091" s="4">
        <v>1</v>
      </c>
      <c r="D1091" s="4">
        <v>0</v>
      </c>
      <c r="E1091" s="4">
        <v>0</v>
      </c>
      <c r="F1091" s="4">
        <v>1</v>
      </c>
      <c r="G1091" s="4">
        <v>111001</v>
      </c>
      <c r="H1091" s="4">
        <v>1</v>
      </c>
      <c r="I1091" s="4">
        <f t="shared" si="22"/>
        <v>585</v>
      </c>
      <c r="J1091" s="4">
        <f t="shared" si="23"/>
        <v>877</v>
      </c>
      <c r="K1091" s="4" t="s">
        <v>1519</v>
      </c>
    </row>
    <row r="1092" spans="1:11" s="4" customFormat="1">
      <c r="A1092" s="4">
        <v>111732</v>
      </c>
      <c r="B1092" s="4">
        <v>1</v>
      </c>
      <c r="C1092" s="4">
        <v>1</v>
      </c>
      <c r="D1092" s="4">
        <v>0</v>
      </c>
      <c r="E1092" s="4">
        <v>0</v>
      </c>
      <c r="F1092" s="4">
        <v>1</v>
      </c>
      <c r="G1092" s="4">
        <v>111001</v>
      </c>
      <c r="H1092" s="4">
        <v>1</v>
      </c>
      <c r="I1092" s="4">
        <f t="shared" si="22"/>
        <v>586</v>
      </c>
      <c r="J1092" s="4">
        <f t="shared" si="23"/>
        <v>878</v>
      </c>
      <c r="K1092" s="4" t="s">
        <v>1520</v>
      </c>
    </row>
    <row r="1093" spans="1:11" s="4" customFormat="1">
      <c r="A1093" s="4">
        <v>111733</v>
      </c>
      <c r="B1093" s="4">
        <v>1</v>
      </c>
      <c r="C1093" s="4">
        <v>1</v>
      </c>
      <c r="D1093" s="4">
        <v>0</v>
      </c>
      <c r="E1093" s="4">
        <v>0</v>
      </c>
      <c r="F1093" s="4">
        <v>1</v>
      </c>
      <c r="G1093" s="4">
        <v>111001</v>
      </c>
      <c r="H1093" s="4">
        <v>1</v>
      </c>
      <c r="I1093" s="4">
        <f t="shared" si="22"/>
        <v>586</v>
      </c>
      <c r="J1093" s="4">
        <f t="shared" si="23"/>
        <v>880</v>
      </c>
      <c r="K1093" s="4" t="s">
        <v>1521</v>
      </c>
    </row>
    <row r="1094" spans="1:11" s="4" customFormat="1">
      <c r="A1094" s="4">
        <v>111734</v>
      </c>
      <c r="B1094" s="4">
        <v>1</v>
      </c>
      <c r="C1094" s="4">
        <v>1</v>
      </c>
      <c r="D1094" s="4">
        <v>0</v>
      </c>
      <c r="E1094" s="4">
        <v>0</v>
      </c>
      <c r="F1094" s="4">
        <v>1</v>
      </c>
      <c r="G1094" s="4">
        <v>111001</v>
      </c>
      <c r="H1094" s="4">
        <v>1</v>
      </c>
      <c r="I1094" s="4">
        <f t="shared" si="22"/>
        <v>587</v>
      </c>
      <c r="J1094" s="4">
        <f t="shared" si="23"/>
        <v>881</v>
      </c>
      <c r="K1094" s="4" t="s">
        <v>1522</v>
      </c>
    </row>
    <row r="1095" spans="1:11" s="4" customFormat="1">
      <c r="A1095" s="4">
        <v>111735</v>
      </c>
      <c r="B1095" s="4">
        <v>1</v>
      </c>
      <c r="C1095" s="4">
        <v>1</v>
      </c>
      <c r="D1095" s="4">
        <v>0</v>
      </c>
      <c r="E1095" s="4">
        <v>0</v>
      </c>
      <c r="F1095" s="4">
        <v>1</v>
      </c>
      <c r="G1095" s="4">
        <v>111001</v>
      </c>
      <c r="H1095" s="4">
        <v>1</v>
      </c>
      <c r="I1095" s="4">
        <f t="shared" si="22"/>
        <v>588</v>
      </c>
      <c r="J1095" s="4">
        <f t="shared" si="23"/>
        <v>882</v>
      </c>
      <c r="K1095" s="4" t="s">
        <v>1523</v>
      </c>
    </row>
    <row r="1096" spans="1:11" s="4" customFormat="1">
      <c r="A1096" s="4">
        <v>111736</v>
      </c>
      <c r="B1096" s="4">
        <v>1</v>
      </c>
      <c r="C1096" s="4">
        <v>1</v>
      </c>
      <c r="D1096" s="4">
        <v>0</v>
      </c>
      <c r="E1096" s="4">
        <v>0</v>
      </c>
      <c r="F1096" s="4">
        <v>1</v>
      </c>
      <c r="G1096" s="4">
        <v>111001</v>
      </c>
      <c r="H1096" s="4">
        <v>1</v>
      </c>
      <c r="I1096" s="4">
        <f t="shared" si="22"/>
        <v>589</v>
      </c>
      <c r="J1096" s="4">
        <f t="shared" si="23"/>
        <v>883</v>
      </c>
      <c r="K1096" s="4" t="s">
        <v>1524</v>
      </c>
    </row>
    <row r="1097" spans="1:11" s="4" customFormat="1">
      <c r="A1097" s="4">
        <v>111737</v>
      </c>
      <c r="B1097" s="4">
        <v>1</v>
      </c>
      <c r="C1097" s="4">
        <v>1</v>
      </c>
      <c r="D1097" s="4">
        <v>0</v>
      </c>
      <c r="E1097" s="4">
        <v>0</v>
      </c>
      <c r="F1097" s="4">
        <v>1</v>
      </c>
      <c r="G1097" s="4">
        <v>111001</v>
      </c>
      <c r="H1097" s="4">
        <v>1</v>
      </c>
      <c r="I1097" s="4">
        <f t="shared" si="22"/>
        <v>590</v>
      </c>
      <c r="J1097" s="4">
        <f t="shared" si="23"/>
        <v>884</v>
      </c>
      <c r="K1097" s="4" t="s">
        <v>1525</v>
      </c>
    </row>
    <row r="1098" spans="1:11" s="4" customFormat="1">
      <c r="A1098" s="4">
        <v>111738</v>
      </c>
      <c r="B1098" s="4">
        <v>1</v>
      </c>
      <c r="C1098" s="4">
        <v>1</v>
      </c>
      <c r="D1098" s="4">
        <v>0</v>
      </c>
      <c r="E1098" s="4">
        <v>0</v>
      </c>
      <c r="F1098" s="4">
        <v>1</v>
      </c>
      <c r="G1098" s="4">
        <v>111001</v>
      </c>
      <c r="H1098" s="4">
        <v>1</v>
      </c>
      <c r="I1098" s="4">
        <f t="shared" si="22"/>
        <v>590</v>
      </c>
      <c r="J1098" s="4">
        <f t="shared" si="23"/>
        <v>886</v>
      </c>
      <c r="K1098" s="4" t="s">
        <v>1526</v>
      </c>
    </row>
    <row r="1099" spans="1:11" s="4" customFormat="1">
      <c r="A1099" s="4">
        <v>111739</v>
      </c>
      <c r="B1099" s="4">
        <v>1</v>
      </c>
      <c r="C1099" s="4">
        <v>1</v>
      </c>
      <c r="D1099" s="4">
        <v>0</v>
      </c>
      <c r="E1099" s="4">
        <v>0</v>
      </c>
      <c r="F1099" s="4">
        <v>1</v>
      </c>
      <c r="G1099" s="4">
        <v>111001</v>
      </c>
      <c r="H1099" s="4">
        <v>1</v>
      </c>
      <c r="I1099" s="4">
        <f t="shared" si="22"/>
        <v>591</v>
      </c>
      <c r="J1099" s="4">
        <f t="shared" si="23"/>
        <v>887</v>
      </c>
      <c r="K1099" s="4" t="s">
        <v>1527</v>
      </c>
    </row>
    <row r="1100" spans="1:11" s="4" customFormat="1">
      <c r="A1100" s="4">
        <v>111740</v>
      </c>
      <c r="B1100" s="4">
        <v>1</v>
      </c>
      <c r="C1100" s="4">
        <v>1</v>
      </c>
      <c r="D1100" s="4">
        <v>0</v>
      </c>
      <c r="E1100" s="4">
        <v>0</v>
      </c>
      <c r="F1100" s="4">
        <v>1</v>
      </c>
      <c r="G1100" s="4">
        <v>111001</v>
      </c>
      <c r="H1100" s="4">
        <v>1</v>
      </c>
      <c r="I1100" s="4">
        <f t="shared" si="22"/>
        <v>592</v>
      </c>
      <c r="J1100" s="4">
        <f t="shared" si="23"/>
        <v>888</v>
      </c>
      <c r="K1100" s="4" t="s">
        <v>1528</v>
      </c>
    </row>
    <row r="1101" spans="1:11" s="4" customFormat="1">
      <c r="A1101" s="4">
        <v>111741</v>
      </c>
      <c r="B1101" s="4">
        <v>1</v>
      </c>
      <c r="C1101" s="4">
        <v>1</v>
      </c>
      <c r="D1101" s="4">
        <v>0</v>
      </c>
      <c r="E1101" s="4">
        <v>0</v>
      </c>
      <c r="F1101" s="4">
        <v>1</v>
      </c>
      <c r="G1101" s="4">
        <v>111001</v>
      </c>
      <c r="H1101" s="4">
        <v>1</v>
      </c>
      <c r="I1101" s="4">
        <f t="shared" si="22"/>
        <v>593</v>
      </c>
      <c r="J1101" s="4">
        <f t="shared" si="23"/>
        <v>889</v>
      </c>
      <c r="K1101" s="4" t="s">
        <v>1529</v>
      </c>
    </row>
    <row r="1102" spans="1:11" s="4" customFormat="1">
      <c r="A1102" s="4">
        <v>111742</v>
      </c>
      <c r="B1102" s="4">
        <v>1</v>
      </c>
      <c r="C1102" s="4">
        <v>1</v>
      </c>
      <c r="D1102" s="4">
        <v>0</v>
      </c>
      <c r="E1102" s="4">
        <v>0</v>
      </c>
      <c r="F1102" s="4">
        <v>1</v>
      </c>
      <c r="G1102" s="4">
        <v>111001</v>
      </c>
      <c r="H1102" s="4">
        <v>1</v>
      </c>
      <c r="I1102" s="4">
        <f t="shared" si="22"/>
        <v>594</v>
      </c>
      <c r="J1102" s="4">
        <f t="shared" si="23"/>
        <v>890</v>
      </c>
      <c r="K1102" s="4" t="s">
        <v>1530</v>
      </c>
    </row>
    <row r="1103" spans="1:11" s="4" customFormat="1">
      <c r="A1103" s="4">
        <v>111743</v>
      </c>
      <c r="B1103" s="4">
        <v>1</v>
      </c>
      <c r="C1103" s="4">
        <v>1</v>
      </c>
      <c r="D1103" s="4">
        <v>0</v>
      </c>
      <c r="E1103" s="4">
        <v>0</v>
      </c>
      <c r="F1103" s="4">
        <v>1</v>
      </c>
      <c r="G1103" s="4">
        <v>111001</v>
      </c>
      <c r="H1103" s="4">
        <v>1</v>
      </c>
      <c r="I1103" s="4">
        <f t="shared" si="22"/>
        <v>594</v>
      </c>
      <c r="J1103" s="4">
        <f t="shared" si="23"/>
        <v>892</v>
      </c>
      <c r="K1103" s="4" t="s">
        <v>1531</v>
      </c>
    </row>
    <row r="1104" spans="1:11" s="4" customFormat="1">
      <c r="A1104" s="4">
        <v>111744</v>
      </c>
      <c r="B1104" s="4">
        <v>1</v>
      </c>
      <c r="C1104" s="4">
        <v>1</v>
      </c>
      <c r="D1104" s="4">
        <v>0</v>
      </c>
      <c r="E1104" s="4">
        <v>0</v>
      </c>
      <c r="F1104" s="4">
        <v>1</v>
      </c>
      <c r="G1104" s="4">
        <v>111001</v>
      </c>
      <c r="H1104" s="4">
        <v>1</v>
      </c>
      <c r="I1104" s="4">
        <f t="shared" si="22"/>
        <v>595</v>
      </c>
      <c r="J1104" s="4">
        <f t="shared" si="23"/>
        <v>893</v>
      </c>
      <c r="K1104" s="4" t="s">
        <v>1532</v>
      </c>
    </row>
    <row r="1105" spans="1:11" s="4" customFormat="1">
      <c r="A1105" s="4">
        <v>111745</v>
      </c>
      <c r="B1105" s="4">
        <v>1</v>
      </c>
      <c r="C1105" s="4">
        <v>1</v>
      </c>
      <c r="D1105" s="4">
        <v>0</v>
      </c>
      <c r="E1105" s="4">
        <v>0</v>
      </c>
      <c r="F1105" s="4">
        <v>1</v>
      </c>
      <c r="G1105" s="4">
        <v>111001</v>
      </c>
      <c r="H1105" s="4">
        <v>1</v>
      </c>
      <c r="I1105" s="4">
        <f t="shared" si="22"/>
        <v>596</v>
      </c>
      <c r="J1105" s="4">
        <f t="shared" si="23"/>
        <v>894</v>
      </c>
      <c r="K1105" s="4" t="s">
        <v>1533</v>
      </c>
    </row>
    <row r="1106" spans="1:11" s="4" customFormat="1">
      <c r="A1106" s="4">
        <v>111746</v>
      </c>
      <c r="B1106" s="4">
        <v>1</v>
      </c>
      <c r="C1106" s="4">
        <v>1</v>
      </c>
      <c r="D1106" s="4">
        <v>0</v>
      </c>
      <c r="E1106" s="4">
        <v>0</v>
      </c>
      <c r="F1106" s="4">
        <v>1</v>
      </c>
      <c r="G1106" s="4">
        <v>111001</v>
      </c>
      <c r="H1106" s="4">
        <v>1</v>
      </c>
      <c r="I1106" s="4">
        <f t="shared" si="22"/>
        <v>597</v>
      </c>
      <c r="J1106" s="4">
        <f t="shared" si="23"/>
        <v>895</v>
      </c>
      <c r="K1106" s="4" t="s">
        <v>1534</v>
      </c>
    </row>
    <row r="1107" spans="1:11" s="4" customFormat="1">
      <c r="A1107" s="4">
        <v>111747</v>
      </c>
      <c r="B1107" s="4">
        <v>1</v>
      </c>
      <c r="C1107" s="4">
        <v>1</v>
      </c>
      <c r="D1107" s="4">
        <v>0</v>
      </c>
      <c r="E1107" s="4">
        <v>0</v>
      </c>
      <c r="F1107" s="4">
        <v>1</v>
      </c>
      <c r="G1107" s="4">
        <v>111001</v>
      </c>
      <c r="H1107" s="4">
        <v>1</v>
      </c>
      <c r="I1107" s="4">
        <f t="shared" si="22"/>
        <v>598</v>
      </c>
      <c r="J1107" s="4">
        <f t="shared" si="23"/>
        <v>896</v>
      </c>
      <c r="K1107" s="4" t="s">
        <v>1535</v>
      </c>
    </row>
    <row r="1108" spans="1:11" s="4" customFormat="1">
      <c r="A1108" s="4">
        <v>111748</v>
      </c>
      <c r="B1108" s="4">
        <v>1</v>
      </c>
      <c r="C1108" s="4">
        <v>1</v>
      </c>
      <c r="D1108" s="4">
        <v>0</v>
      </c>
      <c r="E1108" s="4">
        <v>0</v>
      </c>
      <c r="F1108" s="4">
        <v>1</v>
      </c>
      <c r="G1108" s="4">
        <v>111001</v>
      </c>
      <c r="H1108" s="4">
        <v>1</v>
      </c>
      <c r="I1108" s="4">
        <f t="shared" si="22"/>
        <v>598</v>
      </c>
      <c r="J1108" s="4">
        <f t="shared" si="23"/>
        <v>898</v>
      </c>
      <c r="K1108" s="4" t="s">
        <v>1536</v>
      </c>
    </row>
    <row r="1109" spans="1:11" s="4" customFormat="1">
      <c r="A1109" s="4">
        <v>111749</v>
      </c>
      <c r="B1109" s="4">
        <v>1</v>
      </c>
      <c r="C1109" s="4">
        <v>1</v>
      </c>
      <c r="D1109" s="4">
        <v>0</v>
      </c>
      <c r="E1109" s="4">
        <v>0</v>
      </c>
      <c r="F1109" s="4">
        <v>1</v>
      </c>
      <c r="G1109" s="4">
        <v>111001</v>
      </c>
      <c r="H1109" s="4">
        <v>1</v>
      </c>
      <c r="I1109" s="4">
        <f t="shared" si="22"/>
        <v>599</v>
      </c>
      <c r="J1109" s="4">
        <f t="shared" si="23"/>
        <v>899</v>
      </c>
      <c r="K1109" s="4" t="s">
        <v>1537</v>
      </c>
    </row>
    <row r="1110" spans="1:11" s="4" customFormat="1">
      <c r="A1110" s="4">
        <v>111750</v>
      </c>
      <c r="B1110" s="4">
        <v>1</v>
      </c>
      <c r="C1110" s="4">
        <v>1</v>
      </c>
      <c r="D1110" s="4">
        <v>0</v>
      </c>
      <c r="E1110" s="4">
        <v>0</v>
      </c>
      <c r="F1110" s="4">
        <v>1</v>
      </c>
      <c r="G1110" s="4">
        <v>111001</v>
      </c>
      <c r="H1110" s="4">
        <v>1</v>
      </c>
      <c r="I1110" s="4">
        <f t="shared" si="22"/>
        <v>600</v>
      </c>
      <c r="J1110" s="4">
        <f t="shared" si="23"/>
        <v>900</v>
      </c>
      <c r="K1110" s="4" t="s">
        <v>1538</v>
      </c>
    </row>
    <row r="1111" spans="1:11" s="4" customFormat="1">
      <c r="A1111" s="4">
        <v>111751</v>
      </c>
      <c r="B1111" s="4">
        <v>1</v>
      </c>
      <c r="C1111" s="4">
        <v>1</v>
      </c>
      <c r="D1111" s="4">
        <v>0</v>
      </c>
      <c r="E1111" s="4">
        <v>0</v>
      </c>
      <c r="F1111" s="4">
        <v>1</v>
      </c>
      <c r="G1111" s="4">
        <v>111001</v>
      </c>
      <c r="H1111" s="4">
        <v>1</v>
      </c>
      <c r="I1111" s="4">
        <f t="shared" si="22"/>
        <v>601</v>
      </c>
      <c r="J1111" s="4">
        <f t="shared" si="23"/>
        <v>901</v>
      </c>
      <c r="K1111" s="4" t="s">
        <v>1539</v>
      </c>
    </row>
    <row r="1112" spans="1:11" s="4" customFormat="1">
      <c r="A1112" s="4">
        <v>111752</v>
      </c>
      <c r="B1112" s="4">
        <v>1</v>
      </c>
      <c r="C1112" s="4">
        <v>1</v>
      </c>
      <c r="D1112" s="4">
        <v>0</v>
      </c>
      <c r="E1112" s="4">
        <v>0</v>
      </c>
      <c r="F1112" s="4">
        <v>1</v>
      </c>
      <c r="G1112" s="4">
        <v>111001</v>
      </c>
      <c r="H1112" s="4">
        <v>1</v>
      </c>
      <c r="I1112" s="4">
        <f t="shared" si="22"/>
        <v>602</v>
      </c>
      <c r="J1112" s="4">
        <f t="shared" si="23"/>
        <v>902</v>
      </c>
      <c r="K1112" s="4" t="s">
        <v>1540</v>
      </c>
    </row>
    <row r="1113" spans="1:11" s="4" customFormat="1">
      <c r="A1113" s="4">
        <v>111753</v>
      </c>
      <c r="B1113" s="4">
        <v>1</v>
      </c>
      <c r="C1113" s="4">
        <v>1</v>
      </c>
      <c r="D1113" s="4">
        <v>0</v>
      </c>
      <c r="E1113" s="4">
        <v>0</v>
      </c>
      <c r="F1113" s="4">
        <v>1</v>
      </c>
      <c r="G1113" s="4">
        <v>111001</v>
      </c>
      <c r="H1113" s="4">
        <v>1</v>
      </c>
      <c r="I1113" s="4">
        <f t="shared" si="22"/>
        <v>602</v>
      </c>
      <c r="J1113" s="4">
        <f t="shared" si="23"/>
        <v>904</v>
      </c>
      <c r="K1113" s="4" t="s">
        <v>1541</v>
      </c>
    </row>
    <row r="1114" spans="1:11" s="4" customFormat="1">
      <c r="A1114" s="4">
        <v>111754</v>
      </c>
      <c r="B1114" s="4">
        <v>1</v>
      </c>
      <c r="C1114" s="4">
        <v>1</v>
      </c>
      <c r="D1114" s="4">
        <v>0</v>
      </c>
      <c r="E1114" s="4">
        <v>0</v>
      </c>
      <c r="F1114" s="4">
        <v>1</v>
      </c>
      <c r="G1114" s="4">
        <v>111001</v>
      </c>
      <c r="H1114" s="4">
        <v>1</v>
      </c>
      <c r="I1114" s="4">
        <f t="shared" si="22"/>
        <v>603</v>
      </c>
      <c r="J1114" s="4">
        <f t="shared" si="23"/>
        <v>905</v>
      </c>
      <c r="K1114" s="4" t="s">
        <v>1542</v>
      </c>
    </row>
    <row r="1115" spans="1:11" s="4" customFormat="1">
      <c r="A1115" s="4">
        <v>111755</v>
      </c>
      <c r="B1115" s="4">
        <v>1</v>
      </c>
      <c r="C1115" s="4">
        <v>1</v>
      </c>
      <c r="D1115" s="4">
        <v>0</v>
      </c>
      <c r="E1115" s="4">
        <v>0</v>
      </c>
      <c r="F1115" s="4">
        <v>1</v>
      </c>
      <c r="G1115" s="4">
        <v>111001</v>
      </c>
      <c r="H1115" s="4">
        <v>1</v>
      </c>
      <c r="I1115" s="4">
        <f t="shared" si="22"/>
        <v>604</v>
      </c>
      <c r="J1115" s="4">
        <f t="shared" si="23"/>
        <v>906</v>
      </c>
      <c r="K1115" s="4" t="s">
        <v>1543</v>
      </c>
    </row>
    <row r="1116" spans="1:11" s="4" customFormat="1">
      <c r="A1116" s="4">
        <v>111756</v>
      </c>
      <c r="B1116" s="4">
        <v>1</v>
      </c>
      <c r="C1116" s="4">
        <v>1</v>
      </c>
      <c r="D1116" s="4">
        <v>0</v>
      </c>
      <c r="E1116" s="4">
        <v>0</v>
      </c>
      <c r="F1116" s="4">
        <v>1</v>
      </c>
      <c r="G1116" s="4">
        <v>111001</v>
      </c>
      <c r="H1116" s="4">
        <v>1</v>
      </c>
      <c r="I1116" s="4">
        <f t="shared" si="22"/>
        <v>605</v>
      </c>
      <c r="J1116" s="4">
        <f t="shared" si="23"/>
        <v>907</v>
      </c>
      <c r="K1116" s="4" t="s">
        <v>1544</v>
      </c>
    </row>
    <row r="1117" spans="1:11" s="4" customFormat="1">
      <c r="A1117" s="4">
        <v>111757</v>
      </c>
      <c r="B1117" s="4">
        <v>1</v>
      </c>
      <c r="C1117" s="4">
        <v>1</v>
      </c>
      <c r="D1117" s="4">
        <v>0</v>
      </c>
      <c r="E1117" s="4">
        <v>0</v>
      </c>
      <c r="F1117" s="4">
        <v>1</v>
      </c>
      <c r="G1117" s="4">
        <v>111001</v>
      </c>
      <c r="H1117" s="4">
        <v>1</v>
      </c>
      <c r="I1117" s="4">
        <f t="shared" si="22"/>
        <v>606</v>
      </c>
      <c r="J1117" s="4">
        <f t="shared" si="23"/>
        <v>908</v>
      </c>
      <c r="K1117" s="4" t="s">
        <v>1545</v>
      </c>
    </row>
    <row r="1118" spans="1:11" s="4" customFormat="1">
      <c r="A1118" s="4">
        <v>111758</v>
      </c>
      <c r="B1118" s="4">
        <v>1</v>
      </c>
      <c r="C1118" s="4">
        <v>1</v>
      </c>
      <c r="D1118" s="4">
        <v>0</v>
      </c>
      <c r="E1118" s="4">
        <v>0</v>
      </c>
      <c r="F1118" s="4">
        <v>1</v>
      </c>
      <c r="G1118" s="4">
        <v>111001</v>
      </c>
      <c r="H1118" s="4">
        <v>1</v>
      </c>
      <c r="I1118" s="4">
        <f t="shared" si="22"/>
        <v>606</v>
      </c>
      <c r="J1118" s="4">
        <f t="shared" si="23"/>
        <v>910</v>
      </c>
      <c r="K1118" s="4" t="s">
        <v>1546</v>
      </c>
    </row>
    <row r="1119" spans="1:11" s="4" customFormat="1">
      <c r="A1119" s="4">
        <v>111759</v>
      </c>
      <c r="B1119" s="4">
        <v>1</v>
      </c>
      <c r="C1119" s="4">
        <v>1</v>
      </c>
      <c r="D1119" s="4">
        <v>0</v>
      </c>
      <c r="E1119" s="4">
        <v>0</v>
      </c>
      <c r="F1119" s="4">
        <v>1</v>
      </c>
      <c r="G1119" s="4">
        <v>111001</v>
      </c>
      <c r="H1119" s="4">
        <v>1</v>
      </c>
      <c r="I1119" s="4">
        <f t="shared" si="22"/>
        <v>607</v>
      </c>
      <c r="J1119" s="4">
        <f t="shared" si="23"/>
        <v>911</v>
      </c>
      <c r="K1119" s="4" t="s">
        <v>1547</v>
      </c>
    </row>
    <row r="1120" spans="1:11" s="4" customFormat="1">
      <c r="A1120" s="4">
        <v>111760</v>
      </c>
      <c r="B1120" s="4">
        <v>1</v>
      </c>
      <c r="C1120" s="4">
        <v>1</v>
      </c>
      <c r="D1120" s="4">
        <v>0</v>
      </c>
      <c r="E1120" s="4">
        <v>0</v>
      </c>
      <c r="F1120" s="4">
        <v>1</v>
      </c>
      <c r="G1120" s="4">
        <v>111001</v>
      </c>
      <c r="H1120" s="4">
        <v>1</v>
      </c>
      <c r="I1120" s="4">
        <f t="shared" si="22"/>
        <v>608</v>
      </c>
      <c r="J1120" s="4">
        <f t="shared" si="23"/>
        <v>912</v>
      </c>
      <c r="K1120" s="4" t="s">
        <v>1548</v>
      </c>
    </row>
    <row r="1121" spans="1:11" s="4" customFormat="1">
      <c r="A1121" s="4">
        <v>111761</v>
      </c>
      <c r="B1121" s="4">
        <v>1</v>
      </c>
      <c r="C1121" s="4">
        <v>1</v>
      </c>
      <c r="D1121" s="4">
        <v>0</v>
      </c>
      <c r="E1121" s="4">
        <v>0</v>
      </c>
      <c r="F1121" s="4">
        <v>1</v>
      </c>
      <c r="G1121" s="4">
        <v>111001</v>
      </c>
      <c r="H1121" s="4">
        <v>1</v>
      </c>
      <c r="I1121" s="4">
        <f t="shared" si="22"/>
        <v>609</v>
      </c>
      <c r="J1121" s="4">
        <f t="shared" si="23"/>
        <v>913</v>
      </c>
      <c r="K1121" s="4" t="s">
        <v>1549</v>
      </c>
    </row>
    <row r="1122" spans="1:11" s="4" customFormat="1">
      <c r="A1122" s="4">
        <v>111762</v>
      </c>
      <c r="B1122" s="4">
        <v>1</v>
      </c>
      <c r="C1122" s="4">
        <v>1</v>
      </c>
      <c r="D1122" s="4">
        <v>0</v>
      </c>
      <c r="E1122" s="4">
        <v>0</v>
      </c>
      <c r="F1122" s="4">
        <v>1</v>
      </c>
      <c r="G1122" s="4">
        <v>111001</v>
      </c>
      <c r="H1122" s="4">
        <v>1</v>
      </c>
      <c r="I1122" s="4">
        <f t="shared" si="22"/>
        <v>610</v>
      </c>
      <c r="J1122" s="4">
        <f t="shared" si="23"/>
        <v>914</v>
      </c>
      <c r="K1122" s="4" t="s">
        <v>1550</v>
      </c>
    </row>
    <row r="1123" spans="1:11" s="4" customFormat="1">
      <c r="A1123" s="4">
        <v>111763</v>
      </c>
      <c r="B1123" s="4">
        <v>1</v>
      </c>
      <c r="C1123" s="4">
        <v>1</v>
      </c>
      <c r="D1123" s="4">
        <v>0</v>
      </c>
      <c r="E1123" s="4">
        <v>0</v>
      </c>
      <c r="F1123" s="4">
        <v>1</v>
      </c>
      <c r="G1123" s="4">
        <v>111001</v>
      </c>
      <c r="H1123" s="4">
        <v>1</v>
      </c>
      <c r="I1123" s="4">
        <f t="shared" si="22"/>
        <v>610</v>
      </c>
      <c r="J1123" s="4">
        <f t="shared" si="23"/>
        <v>916</v>
      </c>
      <c r="K1123" s="4" t="s">
        <v>1551</v>
      </c>
    </row>
    <row r="1124" spans="1:11" s="4" customFormat="1">
      <c r="A1124" s="4">
        <v>111764</v>
      </c>
      <c r="B1124" s="4">
        <v>1</v>
      </c>
      <c r="C1124" s="4">
        <v>1</v>
      </c>
      <c r="D1124" s="4">
        <v>0</v>
      </c>
      <c r="E1124" s="4">
        <v>0</v>
      </c>
      <c r="F1124" s="4">
        <v>1</v>
      </c>
      <c r="G1124" s="4">
        <v>111001</v>
      </c>
      <c r="H1124" s="4">
        <v>1</v>
      </c>
      <c r="I1124" s="4">
        <f t="shared" si="22"/>
        <v>611</v>
      </c>
      <c r="J1124" s="4">
        <f t="shared" si="23"/>
        <v>917</v>
      </c>
      <c r="K1124" s="4" t="s">
        <v>1552</v>
      </c>
    </row>
    <row r="1125" spans="1:11" s="4" customFormat="1">
      <c r="A1125" s="4">
        <v>111765</v>
      </c>
      <c r="B1125" s="4">
        <v>1</v>
      </c>
      <c r="C1125" s="4">
        <v>1</v>
      </c>
      <c r="D1125" s="4">
        <v>0</v>
      </c>
      <c r="E1125" s="4">
        <v>0</v>
      </c>
      <c r="F1125" s="4">
        <v>1</v>
      </c>
      <c r="G1125" s="4">
        <v>111001</v>
      </c>
      <c r="H1125" s="4">
        <v>1</v>
      </c>
      <c r="I1125" s="4">
        <f t="shared" si="22"/>
        <v>612</v>
      </c>
      <c r="J1125" s="4">
        <f t="shared" si="23"/>
        <v>918</v>
      </c>
      <c r="K1125" s="4" t="s">
        <v>1553</v>
      </c>
    </row>
    <row r="1126" spans="1:11" s="4" customFormat="1">
      <c r="A1126" s="4">
        <v>111766</v>
      </c>
      <c r="B1126" s="4">
        <v>1</v>
      </c>
      <c r="C1126" s="4">
        <v>1</v>
      </c>
      <c r="D1126" s="4">
        <v>0</v>
      </c>
      <c r="E1126" s="4">
        <v>0</v>
      </c>
      <c r="F1126" s="4">
        <v>1</v>
      </c>
      <c r="G1126" s="4">
        <v>111001</v>
      </c>
      <c r="H1126" s="4">
        <v>1</v>
      </c>
      <c r="I1126" s="4">
        <f t="shared" si="22"/>
        <v>613</v>
      </c>
      <c r="J1126" s="4">
        <f t="shared" si="23"/>
        <v>919</v>
      </c>
      <c r="K1126" s="4" t="s">
        <v>1554</v>
      </c>
    </row>
    <row r="1127" spans="1:11" s="4" customFormat="1">
      <c r="A1127" s="4">
        <v>111767</v>
      </c>
      <c r="B1127" s="4">
        <v>1</v>
      </c>
      <c r="C1127" s="4">
        <v>1</v>
      </c>
      <c r="D1127" s="4">
        <v>0</v>
      </c>
      <c r="E1127" s="4">
        <v>0</v>
      </c>
      <c r="F1127" s="4">
        <v>1</v>
      </c>
      <c r="G1127" s="4">
        <v>111001</v>
      </c>
      <c r="H1127" s="4">
        <v>1</v>
      </c>
      <c r="I1127" s="4">
        <f t="shared" si="22"/>
        <v>614</v>
      </c>
      <c r="J1127" s="4">
        <f t="shared" si="23"/>
        <v>920</v>
      </c>
      <c r="K1127" s="4" t="s">
        <v>1555</v>
      </c>
    </row>
    <row r="1128" spans="1:11" s="4" customFormat="1">
      <c r="A1128" s="4">
        <v>111768</v>
      </c>
      <c r="B1128" s="4">
        <v>1</v>
      </c>
      <c r="C1128" s="4">
        <v>1</v>
      </c>
      <c r="D1128" s="4">
        <v>0</v>
      </c>
      <c r="E1128" s="4">
        <v>0</v>
      </c>
      <c r="F1128" s="4">
        <v>1</v>
      </c>
      <c r="G1128" s="4">
        <v>111001</v>
      </c>
      <c r="H1128" s="4">
        <v>1</v>
      </c>
      <c r="I1128" s="4">
        <f t="shared" si="22"/>
        <v>614</v>
      </c>
      <c r="J1128" s="4">
        <f t="shared" si="23"/>
        <v>922</v>
      </c>
      <c r="K1128" s="4" t="s">
        <v>1556</v>
      </c>
    </row>
    <row r="1129" spans="1:11" s="4" customFormat="1">
      <c r="A1129" s="4">
        <v>111769</v>
      </c>
      <c r="B1129" s="4">
        <v>1</v>
      </c>
      <c r="C1129" s="4">
        <v>1</v>
      </c>
      <c r="D1129" s="4">
        <v>0</v>
      </c>
      <c r="E1129" s="4">
        <v>0</v>
      </c>
      <c r="F1129" s="4">
        <v>1</v>
      </c>
      <c r="G1129" s="4">
        <v>111001</v>
      </c>
      <c r="H1129" s="4">
        <v>1</v>
      </c>
      <c r="I1129" s="4">
        <f t="shared" si="22"/>
        <v>615</v>
      </c>
      <c r="J1129" s="4">
        <f t="shared" si="23"/>
        <v>923</v>
      </c>
      <c r="K1129" s="4" t="s">
        <v>1557</v>
      </c>
    </row>
    <row r="1130" spans="1:11" s="4" customFormat="1">
      <c r="A1130" s="4">
        <v>111770</v>
      </c>
      <c r="B1130" s="4">
        <v>1</v>
      </c>
      <c r="C1130" s="4">
        <v>1</v>
      </c>
      <c r="D1130" s="4">
        <v>0</v>
      </c>
      <c r="E1130" s="4">
        <v>0</v>
      </c>
      <c r="F1130" s="4">
        <v>1</v>
      </c>
      <c r="G1130" s="4">
        <v>111001</v>
      </c>
      <c r="H1130" s="4">
        <v>1</v>
      </c>
      <c r="I1130" s="4">
        <f t="shared" ref="I1130:I1193" si="24">ROUND(RIGHT(A1130,3)*80%,0)</f>
        <v>616</v>
      </c>
      <c r="J1130" s="4">
        <f t="shared" ref="J1130:J1193" si="25">ROUND(RIGHT(A1130,3)*120%,0)</f>
        <v>924</v>
      </c>
      <c r="K1130" s="4" t="s">
        <v>1558</v>
      </c>
    </row>
    <row r="1131" spans="1:11" s="4" customFormat="1">
      <c r="A1131" s="4">
        <v>111771</v>
      </c>
      <c r="B1131" s="4">
        <v>1</v>
      </c>
      <c r="C1131" s="4">
        <v>1</v>
      </c>
      <c r="D1131" s="4">
        <v>0</v>
      </c>
      <c r="E1131" s="4">
        <v>0</v>
      </c>
      <c r="F1131" s="4">
        <v>1</v>
      </c>
      <c r="G1131" s="4">
        <v>111001</v>
      </c>
      <c r="H1131" s="4">
        <v>1</v>
      </c>
      <c r="I1131" s="4">
        <f t="shared" si="24"/>
        <v>617</v>
      </c>
      <c r="J1131" s="4">
        <f t="shared" si="25"/>
        <v>925</v>
      </c>
      <c r="K1131" s="4" t="s">
        <v>1559</v>
      </c>
    </row>
    <row r="1132" spans="1:11" s="4" customFormat="1">
      <c r="A1132" s="4">
        <v>111772</v>
      </c>
      <c r="B1132" s="4">
        <v>1</v>
      </c>
      <c r="C1132" s="4">
        <v>1</v>
      </c>
      <c r="D1132" s="4">
        <v>0</v>
      </c>
      <c r="E1132" s="4">
        <v>0</v>
      </c>
      <c r="F1132" s="4">
        <v>1</v>
      </c>
      <c r="G1132" s="4">
        <v>111001</v>
      </c>
      <c r="H1132" s="4">
        <v>1</v>
      </c>
      <c r="I1132" s="4">
        <f t="shared" si="24"/>
        <v>618</v>
      </c>
      <c r="J1132" s="4">
        <f t="shared" si="25"/>
        <v>926</v>
      </c>
      <c r="K1132" s="4" t="s">
        <v>1560</v>
      </c>
    </row>
    <row r="1133" spans="1:11" s="4" customFormat="1">
      <c r="A1133" s="4">
        <v>111773</v>
      </c>
      <c r="B1133" s="4">
        <v>1</v>
      </c>
      <c r="C1133" s="4">
        <v>1</v>
      </c>
      <c r="D1133" s="4">
        <v>0</v>
      </c>
      <c r="E1133" s="4">
        <v>0</v>
      </c>
      <c r="F1133" s="4">
        <v>1</v>
      </c>
      <c r="G1133" s="4">
        <v>111001</v>
      </c>
      <c r="H1133" s="4">
        <v>1</v>
      </c>
      <c r="I1133" s="4">
        <f t="shared" si="24"/>
        <v>618</v>
      </c>
      <c r="J1133" s="4">
        <f t="shared" si="25"/>
        <v>928</v>
      </c>
      <c r="K1133" s="4" t="s">
        <v>1561</v>
      </c>
    </row>
    <row r="1134" spans="1:11" s="4" customFormat="1">
      <c r="A1134" s="4">
        <v>111774</v>
      </c>
      <c r="B1134" s="4">
        <v>1</v>
      </c>
      <c r="C1134" s="4">
        <v>1</v>
      </c>
      <c r="D1134" s="4">
        <v>0</v>
      </c>
      <c r="E1134" s="4">
        <v>0</v>
      </c>
      <c r="F1134" s="4">
        <v>1</v>
      </c>
      <c r="G1134" s="4">
        <v>111001</v>
      </c>
      <c r="H1134" s="4">
        <v>1</v>
      </c>
      <c r="I1134" s="4">
        <f t="shared" si="24"/>
        <v>619</v>
      </c>
      <c r="J1134" s="4">
        <f t="shared" si="25"/>
        <v>929</v>
      </c>
      <c r="K1134" s="4" t="s">
        <v>1562</v>
      </c>
    </row>
    <row r="1135" spans="1:11" s="4" customFormat="1">
      <c r="A1135" s="4">
        <v>111775</v>
      </c>
      <c r="B1135" s="4">
        <v>1</v>
      </c>
      <c r="C1135" s="4">
        <v>1</v>
      </c>
      <c r="D1135" s="4">
        <v>0</v>
      </c>
      <c r="E1135" s="4">
        <v>0</v>
      </c>
      <c r="F1135" s="4">
        <v>1</v>
      </c>
      <c r="G1135" s="4">
        <v>111001</v>
      </c>
      <c r="H1135" s="4">
        <v>1</v>
      </c>
      <c r="I1135" s="4">
        <f t="shared" si="24"/>
        <v>620</v>
      </c>
      <c r="J1135" s="4">
        <f t="shared" si="25"/>
        <v>930</v>
      </c>
      <c r="K1135" s="4" t="s">
        <v>1563</v>
      </c>
    </row>
    <row r="1136" spans="1:11" s="4" customFormat="1">
      <c r="A1136" s="4">
        <v>111776</v>
      </c>
      <c r="B1136" s="4">
        <v>1</v>
      </c>
      <c r="C1136" s="4">
        <v>1</v>
      </c>
      <c r="D1136" s="4">
        <v>0</v>
      </c>
      <c r="E1136" s="4">
        <v>0</v>
      </c>
      <c r="F1136" s="4">
        <v>1</v>
      </c>
      <c r="G1136" s="4">
        <v>111001</v>
      </c>
      <c r="H1136" s="4">
        <v>1</v>
      </c>
      <c r="I1136" s="4">
        <f t="shared" si="24"/>
        <v>621</v>
      </c>
      <c r="J1136" s="4">
        <f t="shared" si="25"/>
        <v>931</v>
      </c>
      <c r="K1136" s="4" t="s">
        <v>1564</v>
      </c>
    </row>
    <row r="1137" spans="1:11" s="4" customFormat="1">
      <c r="A1137" s="4">
        <v>111777</v>
      </c>
      <c r="B1137" s="4">
        <v>1</v>
      </c>
      <c r="C1137" s="4">
        <v>1</v>
      </c>
      <c r="D1137" s="4">
        <v>0</v>
      </c>
      <c r="E1137" s="4">
        <v>0</v>
      </c>
      <c r="F1137" s="4">
        <v>1</v>
      </c>
      <c r="G1137" s="4">
        <v>111001</v>
      </c>
      <c r="H1137" s="4">
        <v>1</v>
      </c>
      <c r="I1137" s="4">
        <f t="shared" si="24"/>
        <v>622</v>
      </c>
      <c r="J1137" s="4">
        <f t="shared" si="25"/>
        <v>932</v>
      </c>
      <c r="K1137" s="4" t="s">
        <v>1565</v>
      </c>
    </row>
    <row r="1138" spans="1:11" s="4" customFormat="1">
      <c r="A1138" s="4">
        <v>111778</v>
      </c>
      <c r="B1138" s="4">
        <v>1</v>
      </c>
      <c r="C1138" s="4">
        <v>1</v>
      </c>
      <c r="D1138" s="4">
        <v>0</v>
      </c>
      <c r="E1138" s="4">
        <v>0</v>
      </c>
      <c r="F1138" s="4">
        <v>1</v>
      </c>
      <c r="G1138" s="4">
        <v>111001</v>
      </c>
      <c r="H1138" s="4">
        <v>1</v>
      </c>
      <c r="I1138" s="4">
        <f t="shared" si="24"/>
        <v>622</v>
      </c>
      <c r="J1138" s="4">
        <f t="shared" si="25"/>
        <v>934</v>
      </c>
      <c r="K1138" s="4" t="s">
        <v>1566</v>
      </c>
    </row>
    <row r="1139" spans="1:11" s="4" customFormat="1">
      <c r="A1139" s="4">
        <v>111779</v>
      </c>
      <c r="B1139" s="4">
        <v>1</v>
      </c>
      <c r="C1139" s="4">
        <v>1</v>
      </c>
      <c r="D1139" s="4">
        <v>0</v>
      </c>
      <c r="E1139" s="4">
        <v>0</v>
      </c>
      <c r="F1139" s="4">
        <v>1</v>
      </c>
      <c r="G1139" s="4">
        <v>111001</v>
      </c>
      <c r="H1139" s="4">
        <v>1</v>
      </c>
      <c r="I1139" s="4">
        <f t="shared" si="24"/>
        <v>623</v>
      </c>
      <c r="J1139" s="4">
        <f t="shared" si="25"/>
        <v>935</v>
      </c>
      <c r="K1139" s="4" t="s">
        <v>1567</v>
      </c>
    </row>
    <row r="1140" spans="1:11" s="4" customFormat="1">
      <c r="A1140" s="4">
        <v>111780</v>
      </c>
      <c r="B1140" s="4">
        <v>1</v>
      </c>
      <c r="C1140" s="4">
        <v>1</v>
      </c>
      <c r="D1140" s="4">
        <v>0</v>
      </c>
      <c r="E1140" s="4">
        <v>0</v>
      </c>
      <c r="F1140" s="4">
        <v>1</v>
      </c>
      <c r="G1140" s="4">
        <v>111001</v>
      </c>
      <c r="H1140" s="4">
        <v>1</v>
      </c>
      <c r="I1140" s="4">
        <f t="shared" si="24"/>
        <v>624</v>
      </c>
      <c r="J1140" s="4">
        <f t="shared" si="25"/>
        <v>936</v>
      </c>
      <c r="K1140" s="4" t="s">
        <v>1568</v>
      </c>
    </row>
    <row r="1141" spans="1:11" s="4" customFormat="1">
      <c r="A1141" s="4">
        <v>111781</v>
      </c>
      <c r="B1141" s="4">
        <v>1</v>
      </c>
      <c r="C1141" s="4">
        <v>1</v>
      </c>
      <c r="D1141" s="4">
        <v>0</v>
      </c>
      <c r="E1141" s="4">
        <v>0</v>
      </c>
      <c r="F1141" s="4">
        <v>1</v>
      </c>
      <c r="G1141" s="4">
        <v>111001</v>
      </c>
      <c r="H1141" s="4">
        <v>1</v>
      </c>
      <c r="I1141" s="4">
        <f t="shared" si="24"/>
        <v>625</v>
      </c>
      <c r="J1141" s="4">
        <f t="shared" si="25"/>
        <v>937</v>
      </c>
      <c r="K1141" s="4" t="s">
        <v>1569</v>
      </c>
    </row>
    <row r="1142" spans="1:11" s="4" customFormat="1">
      <c r="A1142" s="4">
        <v>111782</v>
      </c>
      <c r="B1142" s="4">
        <v>1</v>
      </c>
      <c r="C1142" s="4">
        <v>1</v>
      </c>
      <c r="D1142" s="4">
        <v>0</v>
      </c>
      <c r="E1142" s="4">
        <v>0</v>
      </c>
      <c r="F1142" s="4">
        <v>1</v>
      </c>
      <c r="G1142" s="4">
        <v>111001</v>
      </c>
      <c r="H1142" s="4">
        <v>1</v>
      </c>
      <c r="I1142" s="4">
        <f t="shared" si="24"/>
        <v>626</v>
      </c>
      <c r="J1142" s="4">
        <f t="shared" si="25"/>
        <v>938</v>
      </c>
      <c r="K1142" s="4" t="s">
        <v>1570</v>
      </c>
    </row>
    <row r="1143" spans="1:11" s="4" customFormat="1">
      <c r="A1143" s="4">
        <v>111783</v>
      </c>
      <c r="B1143" s="4">
        <v>1</v>
      </c>
      <c r="C1143" s="4">
        <v>1</v>
      </c>
      <c r="D1143" s="4">
        <v>0</v>
      </c>
      <c r="E1143" s="4">
        <v>0</v>
      </c>
      <c r="F1143" s="4">
        <v>1</v>
      </c>
      <c r="G1143" s="4">
        <v>111001</v>
      </c>
      <c r="H1143" s="4">
        <v>1</v>
      </c>
      <c r="I1143" s="4">
        <f t="shared" si="24"/>
        <v>626</v>
      </c>
      <c r="J1143" s="4">
        <f t="shared" si="25"/>
        <v>940</v>
      </c>
      <c r="K1143" s="4" t="s">
        <v>1571</v>
      </c>
    </row>
    <row r="1144" spans="1:11" s="4" customFormat="1">
      <c r="A1144" s="4">
        <v>111784</v>
      </c>
      <c r="B1144" s="4">
        <v>1</v>
      </c>
      <c r="C1144" s="4">
        <v>1</v>
      </c>
      <c r="D1144" s="4">
        <v>0</v>
      </c>
      <c r="E1144" s="4">
        <v>0</v>
      </c>
      <c r="F1144" s="4">
        <v>1</v>
      </c>
      <c r="G1144" s="4">
        <v>111001</v>
      </c>
      <c r="H1144" s="4">
        <v>1</v>
      </c>
      <c r="I1144" s="4">
        <f t="shared" si="24"/>
        <v>627</v>
      </c>
      <c r="J1144" s="4">
        <f t="shared" si="25"/>
        <v>941</v>
      </c>
      <c r="K1144" s="4" t="s">
        <v>1572</v>
      </c>
    </row>
    <row r="1145" spans="1:11" s="4" customFormat="1">
      <c r="A1145" s="4">
        <v>111785</v>
      </c>
      <c r="B1145" s="4">
        <v>1</v>
      </c>
      <c r="C1145" s="4">
        <v>1</v>
      </c>
      <c r="D1145" s="4">
        <v>0</v>
      </c>
      <c r="E1145" s="4">
        <v>0</v>
      </c>
      <c r="F1145" s="4">
        <v>1</v>
      </c>
      <c r="G1145" s="4">
        <v>111001</v>
      </c>
      <c r="H1145" s="4">
        <v>1</v>
      </c>
      <c r="I1145" s="4">
        <f t="shared" si="24"/>
        <v>628</v>
      </c>
      <c r="J1145" s="4">
        <f t="shared" si="25"/>
        <v>942</v>
      </c>
      <c r="K1145" s="4" t="s">
        <v>1573</v>
      </c>
    </row>
    <row r="1146" spans="1:11" s="4" customFormat="1">
      <c r="A1146" s="4">
        <v>111786</v>
      </c>
      <c r="B1146" s="4">
        <v>1</v>
      </c>
      <c r="C1146" s="4">
        <v>1</v>
      </c>
      <c r="D1146" s="4">
        <v>0</v>
      </c>
      <c r="E1146" s="4">
        <v>0</v>
      </c>
      <c r="F1146" s="4">
        <v>1</v>
      </c>
      <c r="G1146" s="4">
        <v>111001</v>
      </c>
      <c r="H1146" s="4">
        <v>1</v>
      </c>
      <c r="I1146" s="4">
        <f t="shared" si="24"/>
        <v>629</v>
      </c>
      <c r="J1146" s="4">
        <f t="shared" si="25"/>
        <v>943</v>
      </c>
      <c r="K1146" s="4" t="s">
        <v>1574</v>
      </c>
    </row>
    <row r="1147" spans="1:11" s="4" customFormat="1">
      <c r="A1147" s="4">
        <v>111787</v>
      </c>
      <c r="B1147" s="4">
        <v>1</v>
      </c>
      <c r="C1147" s="4">
        <v>1</v>
      </c>
      <c r="D1147" s="4">
        <v>0</v>
      </c>
      <c r="E1147" s="4">
        <v>0</v>
      </c>
      <c r="F1147" s="4">
        <v>1</v>
      </c>
      <c r="G1147" s="4">
        <v>111001</v>
      </c>
      <c r="H1147" s="4">
        <v>1</v>
      </c>
      <c r="I1147" s="4">
        <f t="shared" si="24"/>
        <v>630</v>
      </c>
      <c r="J1147" s="4">
        <f t="shared" si="25"/>
        <v>944</v>
      </c>
      <c r="K1147" s="4" t="s">
        <v>1575</v>
      </c>
    </row>
    <row r="1148" spans="1:11" s="4" customFormat="1">
      <c r="A1148" s="4">
        <v>111788</v>
      </c>
      <c r="B1148" s="4">
        <v>1</v>
      </c>
      <c r="C1148" s="4">
        <v>1</v>
      </c>
      <c r="D1148" s="4">
        <v>0</v>
      </c>
      <c r="E1148" s="4">
        <v>0</v>
      </c>
      <c r="F1148" s="4">
        <v>1</v>
      </c>
      <c r="G1148" s="4">
        <v>111001</v>
      </c>
      <c r="H1148" s="4">
        <v>1</v>
      </c>
      <c r="I1148" s="4">
        <f t="shared" si="24"/>
        <v>630</v>
      </c>
      <c r="J1148" s="4">
        <f t="shared" si="25"/>
        <v>946</v>
      </c>
      <c r="K1148" s="4" t="s">
        <v>1576</v>
      </c>
    </row>
    <row r="1149" spans="1:11" s="4" customFormat="1">
      <c r="A1149" s="4">
        <v>111789</v>
      </c>
      <c r="B1149" s="4">
        <v>1</v>
      </c>
      <c r="C1149" s="4">
        <v>1</v>
      </c>
      <c r="D1149" s="4">
        <v>0</v>
      </c>
      <c r="E1149" s="4">
        <v>0</v>
      </c>
      <c r="F1149" s="4">
        <v>1</v>
      </c>
      <c r="G1149" s="4">
        <v>111001</v>
      </c>
      <c r="H1149" s="4">
        <v>1</v>
      </c>
      <c r="I1149" s="4">
        <f t="shared" si="24"/>
        <v>631</v>
      </c>
      <c r="J1149" s="4">
        <f t="shared" si="25"/>
        <v>947</v>
      </c>
      <c r="K1149" s="4" t="s">
        <v>1577</v>
      </c>
    </row>
    <row r="1150" spans="1:11" s="4" customFormat="1">
      <c r="A1150" s="4">
        <v>111790</v>
      </c>
      <c r="B1150" s="4">
        <v>1</v>
      </c>
      <c r="C1150" s="4">
        <v>1</v>
      </c>
      <c r="D1150" s="4">
        <v>0</v>
      </c>
      <c r="E1150" s="4">
        <v>0</v>
      </c>
      <c r="F1150" s="4">
        <v>1</v>
      </c>
      <c r="G1150" s="4">
        <v>111001</v>
      </c>
      <c r="H1150" s="4">
        <v>1</v>
      </c>
      <c r="I1150" s="4">
        <f t="shared" si="24"/>
        <v>632</v>
      </c>
      <c r="J1150" s="4">
        <f t="shared" si="25"/>
        <v>948</v>
      </c>
      <c r="K1150" s="4" t="s">
        <v>1578</v>
      </c>
    </row>
    <row r="1151" spans="1:11" s="4" customFormat="1">
      <c r="A1151" s="4">
        <v>111791</v>
      </c>
      <c r="B1151" s="4">
        <v>1</v>
      </c>
      <c r="C1151" s="4">
        <v>1</v>
      </c>
      <c r="D1151" s="4">
        <v>0</v>
      </c>
      <c r="E1151" s="4">
        <v>0</v>
      </c>
      <c r="F1151" s="4">
        <v>1</v>
      </c>
      <c r="G1151" s="4">
        <v>111001</v>
      </c>
      <c r="H1151" s="4">
        <v>1</v>
      </c>
      <c r="I1151" s="4">
        <f t="shared" si="24"/>
        <v>633</v>
      </c>
      <c r="J1151" s="4">
        <f t="shared" si="25"/>
        <v>949</v>
      </c>
      <c r="K1151" s="4" t="s">
        <v>1579</v>
      </c>
    </row>
    <row r="1152" spans="1:11" s="4" customFormat="1">
      <c r="A1152" s="4">
        <v>111792</v>
      </c>
      <c r="B1152" s="4">
        <v>1</v>
      </c>
      <c r="C1152" s="4">
        <v>1</v>
      </c>
      <c r="D1152" s="4">
        <v>0</v>
      </c>
      <c r="E1152" s="4">
        <v>0</v>
      </c>
      <c r="F1152" s="4">
        <v>1</v>
      </c>
      <c r="G1152" s="4">
        <v>111001</v>
      </c>
      <c r="H1152" s="4">
        <v>1</v>
      </c>
      <c r="I1152" s="4">
        <f t="shared" si="24"/>
        <v>634</v>
      </c>
      <c r="J1152" s="4">
        <f t="shared" si="25"/>
        <v>950</v>
      </c>
      <c r="K1152" s="4" t="s">
        <v>1580</v>
      </c>
    </row>
    <row r="1153" spans="1:11" s="4" customFormat="1">
      <c r="A1153" s="4">
        <v>111793</v>
      </c>
      <c r="B1153" s="4">
        <v>1</v>
      </c>
      <c r="C1153" s="4">
        <v>1</v>
      </c>
      <c r="D1153" s="4">
        <v>0</v>
      </c>
      <c r="E1153" s="4">
        <v>0</v>
      </c>
      <c r="F1153" s="4">
        <v>1</v>
      </c>
      <c r="G1153" s="4">
        <v>111001</v>
      </c>
      <c r="H1153" s="4">
        <v>1</v>
      </c>
      <c r="I1153" s="4">
        <f t="shared" si="24"/>
        <v>634</v>
      </c>
      <c r="J1153" s="4">
        <f t="shared" si="25"/>
        <v>952</v>
      </c>
      <c r="K1153" s="4" t="s">
        <v>1581</v>
      </c>
    </row>
    <row r="1154" spans="1:11" s="4" customFormat="1">
      <c r="A1154" s="4">
        <v>111794</v>
      </c>
      <c r="B1154" s="4">
        <v>1</v>
      </c>
      <c r="C1154" s="4">
        <v>1</v>
      </c>
      <c r="D1154" s="4">
        <v>0</v>
      </c>
      <c r="E1154" s="4">
        <v>0</v>
      </c>
      <c r="F1154" s="4">
        <v>1</v>
      </c>
      <c r="G1154" s="4">
        <v>111001</v>
      </c>
      <c r="H1154" s="4">
        <v>1</v>
      </c>
      <c r="I1154" s="4">
        <f t="shared" si="24"/>
        <v>635</v>
      </c>
      <c r="J1154" s="4">
        <f t="shared" si="25"/>
        <v>953</v>
      </c>
      <c r="K1154" s="4" t="s">
        <v>1582</v>
      </c>
    </row>
    <row r="1155" spans="1:11" s="4" customFormat="1">
      <c r="A1155" s="4">
        <v>111795</v>
      </c>
      <c r="B1155" s="4">
        <v>1</v>
      </c>
      <c r="C1155" s="4">
        <v>1</v>
      </c>
      <c r="D1155" s="4">
        <v>0</v>
      </c>
      <c r="E1155" s="4">
        <v>0</v>
      </c>
      <c r="F1155" s="4">
        <v>1</v>
      </c>
      <c r="G1155" s="4">
        <v>111001</v>
      </c>
      <c r="H1155" s="4">
        <v>1</v>
      </c>
      <c r="I1155" s="4">
        <f t="shared" si="24"/>
        <v>636</v>
      </c>
      <c r="J1155" s="4">
        <f t="shared" si="25"/>
        <v>954</v>
      </c>
      <c r="K1155" s="4" t="s">
        <v>1583</v>
      </c>
    </row>
    <row r="1156" spans="1:11" s="4" customFormat="1">
      <c r="A1156" s="4">
        <v>111796</v>
      </c>
      <c r="B1156" s="4">
        <v>1</v>
      </c>
      <c r="C1156" s="4">
        <v>1</v>
      </c>
      <c r="D1156" s="4">
        <v>0</v>
      </c>
      <c r="E1156" s="4">
        <v>0</v>
      </c>
      <c r="F1156" s="4">
        <v>1</v>
      </c>
      <c r="G1156" s="4">
        <v>111001</v>
      </c>
      <c r="H1156" s="4">
        <v>1</v>
      </c>
      <c r="I1156" s="4">
        <f t="shared" si="24"/>
        <v>637</v>
      </c>
      <c r="J1156" s="4">
        <f t="shared" si="25"/>
        <v>955</v>
      </c>
      <c r="K1156" s="4" t="s">
        <v>1584</v>
      </c>
    </row>
    <row r="1157" spans="1:11" s="4" customFormat="1">
      <c r="A1157" s="4">
        <v>111797</v>
      </c>
      <c r="B1157" s="4">
        <v>1</v>
      </c>
      <c r="C1157" s="4">
        <v>1</v>
      </c>
      <c r="D1157" s="4">
        <v>0</v>
      </c>
      <c r="E1157" s="4">
        <v>0</v>
      </c>
      <c r="F1157" s="4">
        <v>1</v>
      </c>
      <c r="G1157" s="4">
        <v>111001</v>
      </c>
      <c r="H1157" s="4">
        <v>1</v>
      </c>
      <c r="I1157" s="4">
        <f t="shared" si="24"/>
        <v>638</v>
      </c>
      <c r="J1157" s="4">
        <f t="shared" si="25"/>
        <v>956</v>
      </c>
      <c r="K1157" s="4" t="s">
        <v>1585</v>
      </c>
    </row>
    <row r="1158" spans="1:11" s="4" customFormat="1">
      <c r="A1158" s="4">
        <v>111798</v>
      </c>
      <c r="B1158" s="4">
        <v>1</v>
      </c>
      <c r="C1158" s="4">
        <v>1</v>
      </c>
      <c r="D1158" s="4">
        <v>0</v>
      </c>
      <c r="E1158" s="4">
        <v>0</v>
      </c>
      <c r="F1158" s="4">
        <v>1</v>
      </c>
      <c r="G1158" s="4">
        <v>111001</v>
      </c>
      <c r="H1158" s="4">
        <v>1</v>
      </c>
      <c r="I1158" s="4">
        <f t="shared" si="24"/>
        <v>638</v>
      </c>
      <c r="J1158" s="4">
        <f t="shared" si="25"/>
        <v>958</v>
      </c>
      <c r="K1158" s="4" t="s">
        <v>1586</v>
      </c>
    </row>
    <row r="1159" spans="1:11" s="4" customFormat="1">
      <c r="A1159" s="4">
        <v>111799</v>
      </c>
      <c r="B1159" s="4">
        <v>1</v>
      </c>
      <c r="C1159" s="4">
        <v>1</v>
      </c>
      <c r="D1159" s="4">
        <v>0</v>
      </c>
      <c r="E1159" s="4">
        <v>0</v>
      </c>
      <c r="F1159" s="4">
        <v>1</v>
      </c>
      <c r="G1159" s="4">
        <v>111001</v>
      </c>
      <c r="H1159" s="4">
        <v>1</v>
      </c>
      <c r="I1159" s="4">
        <f t="shared" si="24"/>
        <v>639</v>
      </c>
      <c r="J1159" s="4">
        <f t="shared" si="25"/>
        <v>959</v>
      </c>
      <c r="K1159" s="4" t="s">
        <v>1587</v>
      </c>
    </row>
    <row r="1160" spans="1:11" s="4" customFormat="1">
      <c r="A1160" s="4">
        <v>111800</v>
      </c>
      <c r="B1160" s="4">
        <v>1</v>
      </c>
      <c r="C1160" s="4">
        <v>1</v>
      </c>
      <c r="D1160" s="4">
        <v>0</v>
      </c>
      <c r="E1160" s="4">
        <v>0</v>
      </c>
      <c r="F1160" s="4">
        <v>1</v>
      </c>
      <c r="G1160" s="4">
        <v>111001</v>
      </c>
      <c r="H1160" s="4">
        <v>1</v>
      </c>
      <c r="I1160" s="4">
        <f t="shared" si="24"/>
        <v>640</v>
      </c>
      <c r="J1160" s="4">
        <f t="shared" si="25"/>
        <v>960</v>
      </c>
      <c r="K1160" s="4" t="s">
        <v>1588</v>
      </c>
    </row>
    <row r="1161" spans="1:11" s="4" customFormat="1">
      <c r="A1161" s="4">
        <v>111801</v>
      </c>
      <c r="B1161" s="4">
        <v>1</v>
      </c>
      <c r="C1161" s="4">
        <v>1</v>
      </c>
      <c r="D1161" s="4">
        <v>0</v>
      </c>
      <c r="E1161" s="4">
        <v>0</v>
      </c>
      <c r="F1161" s="4">
        <v>1</v>
      </c>
      <c r="G1161" s="4">
        <v>111001</v>
      </c>
      <c r="H1161" s="4">
        <v>1</v>
      </c>
      <c r="I1161" s="4">
        <f t="shared" si="24"/>
        <v>641</v>
      </c>
      <c r="J1161" s="4">
        <f t="shared" si="25"/>
        <v>961</v>
      </c>
      <c r="K1161" s="4" t="s">
        <v>1589</v>
      </c>
    </row>
    <row r="1162" spans="1:11" s="4" customFormat="1">
      <c r="A1162" s="4">
        <v>111802</v>
      </c>
      <c r="B1162" s="4">
        <v>1</v>
      </c>
      <c r="C1162" s="4">
        <v>1</v>
      </c>
      <c r="D1162" s="4">
        <v>0</v>
      </c>
      <c r="E1162" s="4">
        <v>0</v>
      </c>
      <c r="F1162" s="4">
        <v>1</v>
      </c>
      <c r="G1162" s="4">
        <v>111001</v>
      </c>
      <c r="H1162" s="4">
        <v>1</v>
      </c>
      <c r="I1162" s="4">
        <f t="shared" si="24"/>
        <v>642</v>
      </c>
      <c r="J1162" s="4">
        <f t="shared" si="25"/>
        <v>962</v>
      </c>
      <c r="K1162" s="4" t="s">
        <v>1590</v>
      </c>
    </row>
    <row r="1163" spans="1:11" s="4" customFormat="1">
      <c r="A1163" s="4">
        <v>111803</v>
      </c>
      <c r="B1163" s="4">
        <v>1</v>
      </c>
      <c r="C1163" s="4">
        <v>1</v>
      </c>
      <c r="D1163" s="4">
        <v>0</v>
      </c>
      <c r="E1163" s="4">
        <v>0</v>
      </c>
      <c r="F1163" s="4">
        <v>1</v>
      </c>
      <c r="G1163" s="4">
        <v>111001</v>
      </c>
      <c r="H1163" s="4">
        <v>1</v>
      </c>
      <c r="I1163" s="4">
        <f t="shared" si="24"/>
        <v>642</v>
      </c>
      <c r="J1163" s="4">
        <f t="shared" si="25"/>
        <v>964</v>
      </c>
      <c r="K1163" s="4" t="s">
        <v>1591</v>
      </c>
    </row>
    <row r="1164" spans="1:11" s="4" customFormat="1">
      <c r="A1164" s="4">
        <v>111804</v>
      </c>
      <c r="B1164" s="4">
        <v>1</v>
      </c>
      <c r="C1164" s="4">
        <v>1</v>
      </c>
      <c r="D1164" s="4">
        <v>0</v>
      </c>
      <c r="E1164" s="4">
        <v>0</v>
      </c>
      <c r="F1164" s="4">
        <v>1</v>
      </c>
      <c r="G1164" s="4">
        <v>111001</v>
      </c>
      <c r="H1164" s="4">
        <v>1</v>
      </c>
      <c r="I1164" s="4">
        <f t="shared" si="24"/>
        <v>643</v>
      </c>
      <c r="J1164" s="4">
        <f t="shared" si="25"/>
        <v>965</v>
      </c>
      <c r="K1164" s="4" t="s">
        <v>1592</v>
      </c>
    </row>
    <row r="1165" spans="1:11" s="4" customFormat="1">
      <c r="A1165" s="4">
        <v>111805</v>
      </c>
      <c r="B1165" s="4">
        <v>1</v>
      </c>
      <c r="C1165" s="4">
        <v>1</v>
      </c>
      <c r="D1165" s="4">
        <v>0</v>
      </c>
      <c r="E1165" s="4">
        <v>0</v>
      </c>
      <c r="F1165" s="4">
        <v>1</v>
      </c>
      <c r="G1165" s="4">
        <v>111001</v>
      </c>
      <c r="H1165" s="4">
        <v>1</v>
      </c>
      <c r="I1165" s="4">
        <f t="shared" si="24"/>
        <v>644</v>
      </c>
      <c r="J1165" s="4">
        <f t="shared" si="25"/>
        <v>966</v>
      </c>
      <c r="K1165" s="4" t="s">
        <v>1593</v>
      </c>
    </row>
    <row r="1166" spans="1:11" s="4" customFormat="1">
      <c r="A1166" s="4">
        <v>111806</v>
      </c>
      <c r="B1166" s="4">
        <v>1</v>
      </c>
      <c r="C1166" s="4">
        <v>1</v>
      </c>
      <c r="D1166" s="4">
        <v>0</v>
      </c>
      <c r="E1166" s="4">
        <v>0</v>
      </c>
      <c r="F1166" s="4">
        <v>1</v>
      </c>
      <c r="G1166" s="4">
        <v>111001</v>
      </c>
      <c r="H1166" s="4">
        <v>1</v>
      </c>
      <c r="I1166" s="4">
        <f t="shared" si="24"/>
        <v>645</v>
      </c>
      <c r="J1166" s="4">
        <f t="shared" si="25"/>
        <v>967</v>
      </c>
      <c r="K1166" s="4" t="s">
        <v>1594</v>
      </c>
    </row>
    <row r="1167" spans="1:11" s="4" customFormat="1">
      <c r="A1167" s="4">
        <v>111807</v>
      </c>
      <c r="B1167" s="4">
        <v>1</v>
      </c>
      <c r="C1167" s="4">
        <v>1</v>
      </c>
      <c r="D1167" s="4">
        <v>0</v>
      </c>
      <c r="E1167" s="4">
        <v>0</v>
      </c>
      <c r="F1167" s="4">
        <v>1</v>
      </c>
      <c r="G1167" s="4">
        <v>111001</v>
      </c>
      <c r="H1167" s="4">
        <v>1</v>
      </c>
      <c r="I1167" s="4">
        <f t="shared" si="24"/>
        <v>646</v>
      </c>
      <c r="J1167" s="4">
        <f t="shared" si="25"/>
        <v>968</v>
      </c>
      <c r="K1167" s="4" t="s">
        <v>1595</v>
      </c>
    </row>
    <row r="1168" spans="1:11" s="4" customFormat="1">
      <c r="A1168" s="4">
        <v>111808</v>
      </c>
      <c r="B1168" s="4">
        <v>1</v>
      </c>
      <c r="C1168" s="4">
        <v>1</v>
      </c>
      <c r="D1168" s="4">
        <v>0</v>
      </c>
      <c r="E1168" s="4">
        <v>0</v>
      </c>
      <c r="F1168" s="4">
        <v>1</v>
      </c>
      <c r="G1168" s="4">
        <v>111001</v>
      </c>
      <c r="H1168" s="4">
        <v>1</v>
      </c>
      <c r="I1168" s="4">
        <f t="shared" si="24"/>
        <v>646</v>
      </c>
      <c r="J1168" s="4">
        <f t="shared" si="25"/>
        <v>970</v>
      </c>
      <c r="K1168" s="4" t="s">
        <v>1596</v>
      </c>
    </row>
    <row r="1169" spans="1:11" s="4" customFormat="1">
      <c r="A1169" s="4">
        <v>111809</v>
      </c>
      <c r="B1169" s="4">
        <v>1</v>
      </c>
      <c r="C1169" s="4">
        <v>1</v>
      </c>
      <c r="D1169" s="4">
        <v>0</v>
      </c>
      <c r="E1169" s="4">
        <v>0</v>
      </c>
      <c r="F1169" s="4">
        <v>1</v>
      </c>
      <c r="G1169" s="4">
        <v>111001</v>
      </c>
      <c r="H1169" s="4">
        <v>1</v>
      </c>
      <c r="I1169" s="4">
        <f t="shared" si="24"/>
        <v>647</v>
      </c>
      <c r="J1169" s="4">
        <f t="shared" si="25"/>
        <v>971</v>
      </c>
      <c r="K1169" s="4" t="s">
        <v>1597</v>
      </c>
    </row>
    <row r="1170" spans="1:11" s="4" customFormat="1">
      <c r="A1170" s="4">
        <v>111810</v>
      </c>
      <c r="B1170" s="4">
        <v>1</v>
      </c>
      <c r="C1170" s="4">
        <v>1</v>
      </c>
      <c r="D1170" s="4">
        <v>0</v>
      </c>
      <c r="E1170" s="4">
        <v>0</v>
      </c>
      <c r="F1170" s="4">
        <v>1</v>
      </c>
      <c r="G1170" s="4">
        <v>111001</v>
      </c>
      <c r="H1170" s="4">
        <v>1</v>
      </c>
      <c r="I1170" s="4">
        <f t="shared" si="24"/>
        <v>648</v>
      </c>
      <c r="J1170" s="4">
        <f t="shared" si="25"/>
        <v>972</v>
      </c>
      <c r="K1170" s="4" t="s">
        <v>1598</v>
      </c>
    </row>
    <row r="1171" spans="1:11" s="4" customFormat="1">
      <c r="A1171" s="4">
        <v>111811</v>
      </c>
      <c r="B1171" s="4">
        <v>1</v>
      </c>
      <c r="C1171" s="4">
        <v>1</v>
      </c>
      <c r="D1171" s="4">
        <v>0</v>
      </c>
      <c r="E1171" s="4">
        <v>0</v>
      </c>
      <c r="F1171" s="4">
        <v>1</v>
      </c>
      <c r="G1171" s="4">
        <v>111001</v>
      </c>
      <c r="H1171" s="4">
        <v>1</v>
      </c>
      <c r="I1171" s="4">
        <f t="shared" si="24"/>
        <v>649</v>
      </c>
      <c r="J1171" s="4">
        <f t="shared" si="25"/>
        <v>973</v>
      </c>
      <c r="K1171" s="4" t="s">
        <v>1599</v>
      </c>
    </row>
    <row r="1172" spans="1:11" s="4" customFormat="1">
      <c r="A1172" s="4">
        <v>111812</v>
      </c>
      <c r="B1172" s="4">
        <v>1</v>
      </c>
      <c r="C1172" s="4">
        <v>1</v>
      </c>
      <c r="D1172" s="4">
        <v>0</v>
      </c>
      <c r="E1172" s="4">
        <v>0</v>
      </c>
      <c r="F1172" s="4">
        <v>1</v>
      </c>
      <c r="G1172" s="4">
        <v>111001</v>
      </c>
      <c r="H1172" s="4">
        <v>1</v>
      </c>
      <c r="I1172" s="4">
        <f t="shared" si="24"/>
        <v>650</v>
      </c>
      <c r="J1172" s="4">
        <f t="shared" si="25"/>
        <v>974</v>
      </c>
      <c r="K1172" s="4" t="s">
        <v>1600</v>
      </c>
    </row>
    <row r="1173" spans="1:11" s="4" customFormat="1">
      <c r="A1173" s="4">
        <v>111813</v>
      </c>
      <c r="B1173" s="4">
        <v>1</v>
      </c>
      <c r="C1173" s="4">
        <v>1</v>
      </c>
      <c r="D1173" s="4">
        <v>0</v>
      </c>
      <c r="E1173" s="4">
        <v>0</v>
      </c>
      <c r="F1173" s="4">
        <v>1</v>
      </c>
      <c r="G1173" s="4">
        <v>111001</v>
      </c>
      <c r="H1173" s="4">
        <v>1</v>
      </c>
      <c r="I1173" s="4">
        <f t="shared" si="24"/>
        <v>650</v>
      </c>
      <c r="J1173" s="4">
        <f t="shared" si="25"/>
        <v>976</v>
      </c>
      <c r="K1173" s="4" t="s">
        <v>1601</v>
      </c>
    </row>
    <row r="1174" spans="1:11" s="4" customFormat="1">
      <c r="A1174" s="4">
        <v>111814</v>
      </c>
      <c r="B1174" s="4">
        <v>1</v>
      </c>
      <c r="C1174" s="4">
        <v>1</v>
      </c>
      <c r="D1174" s="4">
        <v>0</v>
      </c>
      <c r="E1174" s="4">
        <v>0</v>
      </c>
      <c r="F1174" s="4">
        <v>1</v>
      </c>
      <c r="G1174" s="4">
        <v>111001</v>
      </c>
      <c r="H1174" s="4">
        <v>1</v>
      </c>
      <c r="I1174" s="4">
        <f t="shared" si="24"/>
        <v>651</v>
      </c>
      <c r="J1174" s="4">
        <f t="shared" si="25"/>
        <v>977</v>
      </c>
      <c r="K1174" s="4" t="s">
        <v>1602</v>
      </c>
    </row>
    <row r="1175" spans="1:11" s="4" customFormat="1">
      <c r="A1175" s="4">
        <v>111815</v>
      </c>
      <c r="B1175" s="4">
        <v>1</v>
      </c>
      <c r="C1175" s="4">
        <v>1</v>
      </c>
      <c r="D1175" s="4">
        <v>0</v>
      </c>
      <c r="E1175" s="4">
        <v>0</v>
      </c>
      <c r="F1175" s="4">
        <v>1</v>
      </c>
      <c r="G1175" s="4">
        <v>111001</v>
      </c>
      <c r="H1175" s="4">
        <v>1</v>
      </c>
      <c r="I1175" s="4">
        <f t="shared" si="24"/>
        <v>652</v>
      </c>
      <c r="J1175" s="4">
        <f t="shared" si="25"/>
        <v>978</v>
      </c>
      <c r="K1175" s="4" t="s">
        <v>1603</v>
      </c>
    </row>
    <row r="1176" spans="1:11" s="4" customFormat="1">
      <c r="A1176" s="4">
        <v>111816</v>
      </c>
      <c r="B1176" s="4">
        <v>1</v>
      </c>
      <c r="C1176" s="4">
        <v>1</v>
      </c>
      <c r="D1176" s="4">
        <v>0</v>
      </c>
      <c r="E1176" s="4">
        <v>0</v>
      </c>
      <c r="F1176" s="4">
        <v>1</v>
      </c>
      <c r="G1176" s="4">
        <v>111001</v>
      </c>
      <c r="H1176" s="4">
        <v>1</v>
      </c>
      <c r="I1176" s="4">
        <f t="shared" si="24"/>
        <v>653</v>
      </c>
      <c r="J1176" s="4">
        <f t="shared" si="25"/>
        <v>979</v>
      </c>
      <c r="K1176" s="4" t="s">
        <v>1604</v>
      </c>
    </row>
    <row r="1177" spans="1:11" s="4" customFormat="1">
      <c r="A1177" s="4">
        <v>111817</v>
      </c>
      <c r="B1177" s="4">
        <v>1</v>
      </c>
      <c r="C1177" s="4">
        <v>1</v>
      </c>
      <c r="D1177" s="4">
        <v>0</v>
      </c>
      <c r="E1177" s="4">
        <v>0</v>
      </c>
      <c r="F1177" s="4">
        <v>1</v>
      </c>
      <c r="G1177" s="4">
        <v>111001</v>
      </c>
      <c r="H1177" s="4">
        <v>1</v>
      </c>
      <c r="I1177" s="4">
        <f t="shared" si="24"/>
        <v>654</v>
      </c>
      <c r="J1177" s="4">
        <f t="shared" si="25"/>
        <v>980</v>
      </c>
      <c r="K1177" s="4" t="s">
        <v>1605</v>
      </c>
    </row>
    <row r="1178" spans="1:11" s="4" customFormat="1">
      <c r="A1178" s="4">
        <v>111818</v>
      </c>
      <c r="B1178" s="4">
        <v>1</v>
      </c>
      <c r="C1178" s="4">
        <v>1</v>
      </c>
      <c r="D1178" s="4">
        <v>0</v>
      </c>
      <c r="E1178" s="4">
        <v>0</v>
      </c>
      <c r="F1178" s="4">
        <v>1</v>
      </c>
      <c r="G1178" s="4">
        <v>111001</v>
      </c>
      <c r="H1178" s="4">
        <v>1</v>
      </c>
      <c r="I1178" s="4">
        <f t="shared" si="24"/>
        <v>654</v>
      </c>
      <c r="J1178" s="4">
        <f t="shared" si="25"/>
        <v>982</v>
      </c>
      <c r="K1178" s="4" t="s">
        <v>1606</v>
      </c>
    </row>
    <row r="1179" spans="1:11" s="4" customFormat="1">
      <c r="A1179" s="4">
        <v>111819</v>
      </c>
      <c r="B1179" s="4">
        <v>1</v>
      </c>
      <c r="C1179" s="4">
        <v>1</v>
      </c>
      <c r="D1179" s="4">
        <v>0</v>
      </c>
      <c r="E1179" s="4">
        <v>0</v>
      </c>
      <c r="F1179" s="4">
        <v>1</v>
      </c>
      <c r="G1179" s="4">
        <v>111001</v>
      </c>
      <c r="H1179" s="4">
        <v>1</v>
      </c>
      <c r="I1179" s="4">
        <f t="shared" si="24"/>
        <v>655</v>
      </c>
      <c r="J1179" s="4">
        <f t="shared" si="25"/>
        <v>983</v>
      </c>
      <c r="K1179" s="4" t="s">
        <v>1607</v>
      </c>
    </row>
    <row r="1180" spans="1:11" s="4" customFormat="1">
      <c r="A1180" s="4">
        <v>111820</v>
      </c>
      <c r="B1180" s="4">
        <v>1</v>
      </c>
      <c r="C1180" s="4">
        <v>1</v>
      </c>
      <c r="D1180" s="4">
        <v>0</v>
      </c>
      <c r="E1180" s="4">
        <v>0</v>
      </c>
      <c r="F1180" s="4">
        <v>1</v>
      </c>
      <c r="G1180" s="4">
        <v>111001</v>
      </c>
      <c r="H1180" s="4">
        <v>1</v>
      </c>
      <c r="I1180" s="4">
        <f t="shared" si="24"/>
        <v>656</v>
      </c>
      <c r="J1180" s="4">
        <f t="shared" si="25"/>
        <v>984</v>
      </c>
      <c r="K1180" s="4" t="s">
        <v>1608</v>
      </c>
    </row>
    <row r="1181" spans="1:11" s="4" customFormat="1">
      <c r="A1181" s="4">
        <v>111821</v>
      </c>
      <c r="B1181" s="4">
        <v>1</v>
      </c>
      <c r="C1181" s="4">
        <v>1</v>
      </c>
      <c r="D1181" s="4">
        <v>0</v>
      </c>
      <c r="E1181" s="4">
        <v>0</v>
      </c>
      <c r="F1181" s="4">
        <v>1</v>
      </c>
      <c r="G1181" s="4">
        <v>111001</v>
      </c>
      <c r="H1181" s="4">
        <v>1</v>
      </c>
      <c r="I1181" s="4">
        <f t="shared" si="24"/>
        <v>657</v>
      </c>
      <c r="J1181" s="4">
        <f t="shared" si="25"/>
        <v>985</v>
      </c>
      <c r="K1181" s="4" t="s">
        <v>1609</v>
      </c>
    </row>
    <row r="1182" spans="1:11" s="4" customFormat="1">
      <c r="A1182" s="4">
        <v>111822</v>
      </c>
      <c r="B1182" s="4">
        <v>1</v>
      </c>
      <c r="C1182" s="4">
        <v>1</v>
      </c>
      <c r="D1182" s="4">
        <v>0</v>
      </c>
      <c r="E1182" s="4">
        <v>0</v>
      </c>
      <c r="F1182" s="4">
        <v>1</v>
      </c>
      <c r="G1182" s="4">
        <v>111001</v>
      </c>
      <c r="H1182" s="4">
        <v>1</v>
      </c>
      <c r="I1182" s="4">
        <f t="shared" si="24"/>
        <v>658</v>
      </c>
      <c r="J1182" s="4">
        <f t="shared" si="25"/>
        <v>986</v>
      </c>
      <c r="K1182" s="4" t="s">
        <v>1610</v>
      </c>
    </row>
    <row r="1183" spans="1:11" s="4" customFormat="1">
      <c r="A1183" s="4">
        <v>111823</v>
      </c>
      <c r="B1183" s="4">
        <v>1</v>
      </c>
      <c r="C1183" s="4">
        <v>1</v>
      </c>
      <c r="D1183" s="4">
        <v>0</v>
      </c>
      <c r="E1183" s="4">
        <v>0</v>
      </c>
      <c r="F1183" s="4">
        <v>1</v>
      </c>
      <c r="G1183" s="4">
        <v>111001</v>
      </c>
      <c r="H1183" s="4">
        <v>1</v>
      </c>
      <c r="I1183" s="4">
        <f t="shared" si="24"/>
        <v>658</v>
      </c>
      <c r="J1183" s="4">
        <f t="shared" si="25"/>
        <v>988</v>
      </c>
      <c r="K1183" s="4" t="s">
        <v>1611</v>
      </c>
    </row>
    <row r="1184" spans="1:11" s="4" customFormat="1">
      <c r="A1184" s="4">
        <v>111824</v>
      </c>
      <c r="B1184" s="4">
        <v>1</v>
      </c>
      <c r="C1184" s="4">
        <v>1</v>
      </c>
      <c r="D1184" s="4">
        <v>0</v>
      </c>
      <c r="E1184" s="4">
        <v>0</v>
      </c>
      <c r="F1184" s="4">
        <v>1</v>
      </c>
      <c r="G1184" s="4">
        <v>111001</v>
      </c>
      <c r="H1184" s="4">
        <v>1</v>
      </c>
      <c r="I1184" s="4">
        <f t="shared" si="24"/>
        <v>659</v>
      </c>
      <c r="J1184" s="4">
        <f t="shared" si="25"/>
        <v>989</v>
      </c>
      <c r="K1184" s="4" t="s">
        <v>1612</v>
      </c>
    </row>
    <row r="1185" spans="1:11" s="4" customFormat="1">
      <c r="A1185" s="4">
        <v>111825</v>
      </c>
      <c r="B1185" s="4">
        <v>1</v>
      </c>
      <c r="C1185" s="4">
        <v>1</v>
      </c>
      <c r="D1185" s="4">
        <v>0</v>
      </c>
      <c r="E1185" s="4">
        <v>0</v>
      </c>
      <c r="F1185" s="4">
        <v>1</v>
      </c>
      <c r="G1185" s="4">
        <v>111001</v>
      </c>
      <c r="H1185" s="4">
        <v>1</v>
      </c>
      <c r="I1185" s="4">
        <f t="shared" si="24"/>
        <v>660</v>
      </c>
      <c r="J1185" s="4">
        <f t="shared" si="25"/>
        <v>990</v>
      </c>
      <c r="K1185" s="4" t="s">
        <v>1613</v>
      </c>
    </row>
    <row r="1186" spans="1:11" s="4" customFormat="1">
      <c r="A1186" s="4">
        <v>111826</v>
      </c>
      <c r="B1186" s="4">
        <v>1</v>
      </c>
      <c r="C1186" s="4">
        <v>1</v>
      </c>
      <c r="D1186" s="4">
        <v>0</v>
      </c>
      <c r="E1186" s="4">
        <v>0</v>
      </c>
      <c r="F1186" s="4">
        <v>1</v>
      </c>
      <c r="G1186" s="4">
        <v>111001</v>
      </c>
      <c r="H1186" s="4">
        <v>1</v>
      </c>
      <c r="I1186" s="4">
        <f t="shared" si="24"/>
        <v>661</v>
      </c>
      <c r="J1186" s="4">
        <f t="shared" si="25"/>
        <v>991</v>
      </c>
      <c r="K1186" s="4" t="s">
        <v>1614</v>
      </c>
    </row>
    <row r="1187" spans="1:11" s="4" customFormat="1">
      <c r="A1187" s="4">
        <v>111827</v>
      </c>
      <c r="B1187" s="4">
        <v>1</v>
      </c>
      <c r="C1187" s="4">
        <v>1</v>
      </c>
      <c r="D1187" s="4">
        <v>0</v>
      </c>
      <c r="E1187" s="4">
        <v>0</v>
      </c>
      <c r="F1187" s="4">
        <v>1</v>
      </c>
      <c r="G1187" s="4">
        <v>111001</v>
      </c>
      <c r="H1187" s="4">
        <v>1</v>
      </c>
      <c r="I1187" s="4">
        <f t="shared" si="24"/>
        <v>662</v>
      </c>
      <c r="J1187" s="4">
        <f t="shared" si="25"/>
        <v>992</v>
      </c>
      <c r="K1187" s="4" t="s">
        <v>1615</v>
      </c>
    </row>
    <row r="1188" spans="1:11" s="4" customFormat="1">
      <c r="A1188" s="4">
        <v>111828</v>
      </c>
      <c r="B1188" s="4">
        <v>1</v>
      </c>
      <c r="C1188" s="4">
        <v>1</v>
      </c>
      <c r="D1188" s="4">
        <v>0</v>
      </c>
      <c r="E1188" s="4">
        <v>0</v>
      </c>
      <c r="F1188" s="4">
        <v>1</v>
      </c>
      <c r="G1188" s="4">
        <v>111001</v>
      </c>
      <c r="H1188" s="4">
        <v>1</v>
      </c>
      <c r="I1188" s="4">
        <f t="shared" si="24"/>
        <v>662</v>
      </c>
      <c r="J1188" s="4">
        <f t="shared" si="25"/>
        <v>994</v>
      </c>
      <c r="K1188" s="4" t="s">
        <v>1616</v>
      </c>
    </row>
    <row r="1189" spans="1:11" s="4" customFormat="1">
      <c r="A1189" s="4">
        <v>111829</v>
      </c>
      <c r="B1189" s="4">
        <v>1</v>
      </c>
      <c r="C1189" s="4">
        <v>1</v>
      </c>
      <c r="D1189" s="4">
        <v>0</v>
      </c>
      <c r="E1189" s="4">
        <v>0</v>
      </c>
      <c r="F1189" s="4">
        <v>1</v>
      </c>
      <c r="G1189" s="4">
        <v>111001</v>
      </c>
      <c r="H1189" s="4">
        <v>1</v>
      </c>
      <c r="I1189" s="4">
        <f t="shared" si="24"/>
        <v>663</v>
      </c>
      <c r="J1189" s="4">
        <f t="shared" si="25"/>
        <v>995</v>
      </c>
      <c r="K1189" s="4" t="s">
        <v>1617</v>
      </c>
    </row>
    <row r="1190" spans="1:11" s="4" customFormat="1">
      <c r="A1190" s="4">
        <v>111830</v>
      </c>
      <c r="B1190" s="4">
        <v>1</v>
      </c>
      <c r="C1190" s="4">
        <v>1</v>
      </c>
      <c r="D1190" s="4">
        <v>0</v>
      </c>
      <c r="E1190" s="4">
        <v>0</v>
      </c>
      <c r="F1190" s="4">
        <v>1</v>
      </c>
      <c r="G1190" s="4">
        <v>111001</v>
      </c>
      <c r="H1190" s="4">
        <v>1</v>
      </c>
      <c r="I1190" s="4">
        <f t="shared" si="24"/>
        <v>664</v>
      </c>
      <c r="J1190" s="4">
        <f t="shared" si="25"/>
        <v>996</v>
      </c>
      <c r="K1190" s="4" t="s">
        <v>1618</v>
      </c>
    </row>
    <row r="1191" spans="1:11" s="4" customFormat="1">
      <c r="A1191" s="4">
        <v>111831</v>
      </c>
      <c r="B1191" s="4">
        <v>1</v>
      </c>
      <c r="C1191" s="4">
        <v>1</v>
      </c>
      <c r="D1191" s="4">
        <v>0</v>
      </c>
      <c r="E1191" s="4">
        <v>0</v>
      </c>
      <c r="F1191" s="4">
        <v>1</v>
      </c>
      <c r="G1191" s="4">
        <v>111001</v>
      </c>
      <c r="H1191" s="4">
        <v>1</v>
      </c>
      <c r="I1191" s="4">
        <f t="shared" si="24"/>
        <v>665</v>
      </c>
      <c r="J1191" s="4">
        <f t="shared" si="25"/>
        <v>997</v>
      </c>
      <c r="K1191" s="4" t="s">
        <v>1619</v>
      </c>
    </row>
    <row r="1192" spans="1:11" s="4" customFormat="1">
      <c r="A1192" s="4">
        <v>111832</v>
      </c>
      <c r="B1192" s="4">
        <v>1</v>
      </c>
      <c r="C1192" s="4">
        <v>1</v>
      </c>
      <c r="D1192" s="4">
        <v>0</v>
      </c>
      <c r="E1192" s="4">
        <v>0</v>
      </c>
      <c r="F1192" s="4">
        <v>1</v>
      </c>
      <c r="G1192" s="4">
        <v>111001</v>
      </c>
      <c r="H1192" s="4">
        <v>1</v>
      </c>
      <c r="I1192" s="4">
        <f t="shared" si="24"/>
        <v>666</v>
      </c>
      <c r="J1192" s="4">
        <f t="shared" si="25"/>
        <v>998</v>
      </c>
      <c r="K1192" s="4" t="s">
        <v>1620</v>
      </c>
    </row>
    <row r="1193" spans="1:11" s="4" customFormat="1">
      <c r="A1193" s="4">
        <v>111833</v>
      </c>
      <c r="B1193" s="4">
        <v>1</v>
      </c>
      <c r="C1193" s="4">
        <v>1</v>
      </c>
      <c r="D1193" s="4">
        <v>0</v>
      </c>
      <c r="E1193" s="4">
        <v>0</v>
      </c>
      <c r="F1193" s="4">
        <v>1</v>
      </c>
      <c r="G1193" s="4">
        <v>111001</v>
      </c>
      <c r="H1193" s="4">
        <v>1</v>
      </c>
      <c r="I1193" s="4">
        <f t="shared" si="24"/>
        <v>666</v>
      </c>
      <c r="J1193" s="4">
        <f t="shared" si="25"/>
        <v>1000</v>
      </c>
      <c r="K1193" s="4" t="s">
        <v>1621</v>
      </c>
    </row>
    <row r="1194" spans="1:11" s="4" customFormat="1">
      <c r="A1194" s="4">
        <v>111834</v>
      </c>
      <c r="B1194" s="4">
        <v>1</v>
      </c>
      <c r="C1194" s="4">
        <v>1</v>
      </c>
      <c r="D1194" s="4">
        <v>0</v>
      </c>
      <c r="E1194" s="4">
        <v>0</v>
      </c>
      <c r="F1194" s="4">
        <v>1</v>
      </c>
      <c r="G1194" s="4">
        <v>111001</v>
      </c>
      <c r="H1194" s="4">
        <v>1</v>
      </c>
      <c r="I1194" s="4">
        <f t="shared" ref="I1194:I1257" si="26">ROUND(RIGHT(A1194,3)*80%,0)</f>
        <v>667</v>
      </c>
      <c r="J1194" s="4">
        <f t="shared" ref="J1194:J1257" si="27">ROUND(RIGHT(A1194,3)*120%,0)</f>
        <v>1001</v>
      </c>
      <c r="K1194" s="4" t="s">
        <v>1622</v>
      </c>
    </row>
    <row r="1195" spans="1:11" s="4" customFormat="1">
      <c r="A1195" s="4">
        <v>111835</v>
      </c>
      <c r="B1195" s="4">
        <v>1</v>
      </c>
      <c r="C1195" s="4">
        <v>1</v>
      </c>
      <c r="D1195" s="4">
        <v>0</v>
      </c>
      <c r="E1195" s="4">
        <v>0</v>
      </c>
      <c r="F1195" s="4">
        <v>1</v>
      </c>
      <c r="G1195" s="4">
        <v>111001</v>
      </c>
      <c r="H1195" s="4">
        <v>1</v>
      </c>
      <c r="I1195" s="4">
        <f t="shared" si="26"/>
        <v>668</v>
      </c>
      <c r="J1195" s="4">
        <f t="shared" si="27"/>
        <v>1002</v>
      </c>
      <c r="K1195" s="4" t="s">
        <v>1623</v>
      </c>
    </row>
    <row r="1196" spans="1:11" s="4" customFormat="1">
      <c r="A1196" s="4">
        <v>111836</v>
      </c>
      <c r="B1196" s="4">
        <v>1</v>
      </c>
      <c r="C1196" s="4">
        <v>1</v>
      </c>
      <c r="D1196" s="4">
        <v>0</v>
      </c>
      <c r="E1196" s="4">
        <v>0</v>
      </c>
      <c r="F1196" s="4">
        <v>1</v>
      </c>
      <c r="G1196" s="4">
        <v>111001</v>
      </c>
      <c r="H1196" s="4">
        <v>1</v>
      </c>
      <c r="I1196" s="4">
        <f t="shared" si="26"/>
        <v>669</v>
      </c>
      <c r="J1196" s="4">
        <f t="shared" si="27"/>
        <v>1003</v>
      </c>
      <c r="K1196" s="4" t="s">
        <v>1624</v>
      </c>
    </row>
    <row r="1197" spans="1:11" s="4" customFormat="1">
      <c r="A1197" s="4">
        <v>111837</v>
      </c>
      <c r="B1197" s="4">
        <v>1</v>
      </c>
      <c r="C1197" s="4">
        <v>1</v>
      </c>
      <c r="D1197" s="4">
        <v>0</v>
      </c>
      <c r="E1197" s="4">
        <v>0</v>
      </c>
      <c r="F1197" s="4">
        <v>1</v>
      </c>
      <c r="G1197" s="4">
        <v>111001</v>
      </c>
      <c r="H1197" s="4">
        <v>1</v>
      </c>
      <c r="I1197" s="4">
        <f t="shared" si="26"/>
        <v>670</v>
      </c>
      <c r="J1197" s="4">
        <f t="shared" si="27"/>
        <v>1004</v>
      </c>
      <c r="K1197" s="4" t="s">
        <v>1625</v>
      </c>
    </row>
    <row r="1198" spans="1:11" s="4" customFormat="1">
      <c r="A1198" s="4">
        <v>111838</v>
      </c>
      <c r="B1198" s="4">
        <v>1</v>
      </c>
      <c r="C1198" s="4">
        <v>1</v>
      </c>
      <c r="D1198" s="4">
        <v>0</v>
      </c>
      <c r="E1198" s="4">
        <v>0</v>
      </c>
      <c r="F1198" s="4">
        <v>1</v>
      </c>
      <c r="G1198" s="4">
        <v>111001</v>
      </c>
      <c r="H1198" s="4">
        <v>1</v>
      </c>
      <c r="I1198" s="4">
        <f t="shared" si="26"/>
        <v>670</v>
      </c>
      <c r="J1198" s="4">
        <f t="shared" si="27"/>
        <v>1006</v>
      </c>
      <c r="K1198" s="4" t="s">
        <v>1626</v>
      </c>
    </row>
    <row r="1199" spans="1:11" s="4" customFormat="1">
      <c r="A1199" s="4">
        <v>111839</v>
      </c>
      <c r="B1199" s="4">
        <v>1</v>
      </c>
      <c r="C1199" s="4">
        <v>1</v>
      </c>
      <c r="D1199" s="4">
        <v>0</v>
      </c>
      <c r="E1199" s="4">
        <v>0</v>
      </c>
      <c r="F1199" s="4">
        <v>1</v>
      </c>
      <c r="G1199" s="4">
        <v>111001</v>
      </c>
      <c r="H1199" s="4">
        <v>1</v>
      </c>
      <c r="I1199" s="4">
        <f t="shared" si="26"/>
        <v>671</v>
      </c>
      <c r="J1199" s="4">
        <f t="shared" si="27"/>
        <v>1007</v>
      </c>
      <c r="K1199" s="4" t="s">
        <v>1627</v>
      </c>
    </row>
    <row r="1200" spans="1:11" s="4" customFormat="1">
      <c r="A1200" s="4">
        <v>111840</v>
      </c>
      <c r="B1200" s="4">
        <v>1</v>
      </c>
      <c r="C1200" s="4">
        <v>1</v>
      </c>
      <c r="D1200" s="4">
        <v>0</v>
      </c>
      <c r="E1200" s="4">
        <v>0</v>
      </c>
      <c r="F1200" s="4">
        <v>1</v>
      </c>
      <c r="G1200" s="4">
        <v>111001</v>
      </c>
      <c r="H1200" s="4">
        <v>1</v>
      </c>
      <c r="I1200" s="4">
        <f t="shared" si="26"/>
        <v>672</v>
      </c>
      <c r="J1200" s="4">
        <f t="shared" si="27"/>
        <v>1008</v>
      </c>
      <c r="K1200" s="4" t="s">
        <v>1628</v>
      </c>
    </row>
    <row r="1201" spans="1:11" s="4" customFormat="1">
      <c r="A1201" s="4">
        <v>111841</v>
      </c>
      <c r="B1201" s="4">
        <v>1</v>
      </c>
      <c r="C1201" s="4">
        <v>1</v>
      </c>
      <c r="D1201" s="4">
        <v>0</v>
      </c>
      <c r="E1201" s="4">
        <v>0</v>
      </c>
      <c r="F1201" s="4">
        <v>1</v>
      </c>
      <c r="G1201" s="4">
        <v>111001</v>
      </c>
      <c r="H1201" s="4">
        <v>1</v>
      </c>
      <c r="I1201" s="4">
        <f t="shared" si="26"/>
        <v>673</v>
      </c>
      <c r="J1201" s="4">
        <f t="shared" si="27"/>
        <v>1009</v>
      </c>
      <c r="K1201" s="4" t="s">
        <v>1629</v>
      </c>
    </row>
    <row r="1202" spans="1:11" s="4" customFormat="1">
      <c r="A1202" s="4">
        <v>111842</v>
      </c>
      <c r="B1202" s="4">
        <v>1</v>
      </c>
      <c r="C1202" s="4">
        <v>1</v>
      </c>
      <c r="D1202" s="4">
        <v>0</v>
      </c>
      <c r="E1202" s="4">
        <v>0</v>
      </c>
      <c r="F1202" s="4">
        <v>1</v>
      </c>
      <c r="G1202" s="4">
        <v>111001</v>
      </c>
      <c r="H1202" s="4">
        <v>1</v>
      </c>
      <c r="I1202" s="4">
        <f t="shared" si="26"/>
        <v>674</v>
      </c>
      <c r="J1202" s="4">
        <f t="shared" si="27"/>
        <v>1010</v>
      </c>
      <c r="K1202" s="4" t="s">
        <v>1630</v>
      </c>
    </row>
    <row r="1203" spans="1:11" s="4" customFormat="1">
      <c r="A1203" s="4">
        <v>111843</v>
      </c>
      <c r="B1203" s="4">
        <v>1</v>
      </c>
      <c r="C1203" s="4">
        <v>1</v>
      </c>
      <c r="D1203" s="4">
        <v>0</v>
      </c>
      <c r="E1203" s="4">
        <v>0</v>
      </c>
      <c r="F1203" s="4">
        <v>1</v>
      </c>
      <c r="G1203" s="4">
        <v>111001</v>
      </c>
      <c r="H1203" s="4">
        <v>1</v>
      </c>
      <c r="I1203" s="4">
        <f t="shared" si="26"/>
        <v>674</v>
      </c>
      <c r="J1203" s="4">
        <f t="shared" si="27"/>
        <v>1012</v>
      </c>
      <c r="K1203" s="4" t="s">
        <v>1631</v>
      </c>
    </row>
    <row r="1204" spans="1:11" s="4" customFormat="1">
      <c r="A1204" s="4">
        <v>111844</v>
      </c>
      <c r="B1204" s="4">
        <v>1</v>
      </c>
      <c r="C1204" s="4">
        <v>1</v>
      </c>
      <c r="D1204" s="4">
        <v>0</v>
      </c>
      <c r="E1204" s="4">
        <v>0</v>
      </c>
      <c r="F1204" s="4">
        <v>1</v>
      </c>
      <c r="G1204" s="4">
        <v>111001</v>
      </c>
      <c r="H1204" s="4">
        <v>1</v>
      </c>
      <c r="I1204" s="4">
        <f t="shared" si="26"/>
        <v>675</v>
      </c>
      <c r="J1204" s="4">
        <f t="shared" si="27"/>
        <v>1013</v>
      </c>
      <c r="K1204" s="4" t="s">
        <v>1632</v>
      </c>
    </row>
    <row r="1205" spans="1:11" s="4" customFormat="1">
      <c r="A1205" s="4">
        <v>111845</v>
      </c>
      <c r="B1205" s="4">
        <v>1</v>
      </c>
      <c r="C1205" s="4">
        <v>1</v>
      </c>
      <c r="D1205" s="4">
        <v>0</v>
      </c>
      <c r="E1205" s="4">
        <v>0</v>
      </c>
      <c r="F1205" s="4">
        <v>1</v>
      </c>
      <c r="G1205" s="4">
        <v>111001</v>
      </c>
      <c r="H1205" s="4">
        <v>1</v>
      </c>
      <c r="I1205" s="4">
        <f t="shared" si="26"/>
        <v>676</v>
      </c>
      <c r="J1205" s="4">
        <f t="shared" si="27"/>
        <v>1014</v>
      </c>
      <c r="K1205" s="4" t="s">
        <v>1633</v>
      </c>
    </row>
    <row r="1206" spans="1:11" s="4" customFormat="1">
      <c r="A1206" s="4">
        <v>111846</v>
      </c>
      <c r="B1206" s="4">
        <v>1</v>
      </c>
      <c r="C1206" s="4">
        <v>1</v>
      </c>
      <c r="D1206" s="4">
        <v>0</v>
      </c>
      <c r="E1206" s="4">
        <v>0</v>
      </c>
      <c r="F1206" s="4">
        <v>1</v>
      </c>
      <c r="G1206" s="4">
        <v>111001</v>
      </c>
      <c r="H1206" s="4">
        <v>1</v>
      </c>
      <c r="I1206" s="4">
        <f t="shared" si="26"/>
        <v>677</v>
      </c>
      <c r="J1206" s="4">
        <f t="shared" si="27"/>
        <v>1015</v>
      </c>
      <c r="K1206" s="4" t="s">
        <v>1634</v>
      </c>
    </row>
    <row r="1207" spans="1:11" s="4" customFormat="1">
      <c r="A1207" s="4">
        <v>111847</v>
      </c>
      <c r="B1207" s="4">
        <v>1</v>
      </c>
      <c r="C1207" s="4">
        <v>1</v>
      </c>
      <c r="D1207" s="4">
        <v>0</v>
      </c>
      <c r="E1207" s="4">
        <v>0</v>
      </c>
      <c r="F1207" s="4">
        <v>1</v>
      </c>
      <c r="G1207" s="4">
        <v>111001</v>
      </c>
      <c r="H1207" s="4">
        <v>1</v>
      </c>
      <c r="I1207" s="4">
        <f t="shared" si="26"/>
        <v>678</v>
      </c>
      <c r="J1207" s="4">
        <f t="shared" si="27"/>
        <v>1016</v>
      </c>
      <c r="K1207" s="4" t="s">
        <v>1635</v>
      </c>
    </row>
    <row r="1208" spans="1:11" s="4" customFormat="1">
      <c r="A1208" s="4">
        <v>111848</v>
      </c>
      <c r="B1208" s="4">
        <v>1</v>
      </c>
      <c r="C1208" s="4">
        <v>1</v>
      </c>
      <c r="D1208" s="4">
        <v>0</v>
      </c>
      <c r="E1208" s="4">
        <v>0</v>
      </c>
      <c r="F1208" s="4">
        <v>1</v>
      </c>
      <c r="G1208" s="4">
        <v>111001</v>
      </c>
      <c r="H1208" s="4">
        <v>1</v>
      </c>
      <c r="I1208" s="4">
        <f t="shared" si="26"/>
        <v>678</v>
      </c>
      <c r="J1208" s="4">
        <f t="shared" si="27"/>
        <v>1018</v>
      </c>
      <c r="K1208" s="4" t="s">
        <v>1636</v>
      </c>
    </row>
    <row r="1209" spans="1:11" s="4" customFormat="1">
      <c r="A1209" s="4">
        <v>111849</v>
      </c>
      <c r="B1209" s="4">
        <v>1</v>
      </c>
      <c r="C1209" s="4">
        <v>1</v>
      </c>
      <c r="D1209" s="4">
        <v>0</v>
      </c>
      <c r="E1209" s="4">
        <v>0</v>
      </c>
      <c r="F1209" s="4">
        <v>1</v>
      </c>
      <c r="G1209" s="4">
        <v>111001</v>
      </c>
      <c r="H1209" s="4">
        <v>1</v>
      </c>
      <c r="I1209" s="4">
        <f t="shared" si="26"/>
        <v>679</v>
      </c>
      <c r="J1209" s="4">
        <f t="shared" si="27"/>
        <v>1019</v>
      </c>
      <c r="K1209" s="4" t="s">
        <v>1637</v>
      </c>
    </row>
    <row r="1210" spans="1:11" s="4" customFormat="1">
      <c r="A1210" s="4">
        <v>111850</v>
      </c>
      <c r="B1210" s="4">
        <v>1</v>
      </c>
      <c r="C1210" s="4">
        <v>1</v>
      </c>
      <c r="D1210" s="4">
        <v>0</v>
      </c>
      <c r="E1210" s="4">
        <v>0</v>
      </c>
      <c r="F1210" s="4">
        <v>1</v>
      </c>
      <c r="G1210" s="4">
        <v>111001</v>
      </c>
      <c r="H1210" s="4">
        <v>1</v>
      </c>
      <c r="I1210" s="4">
        <f t="shared" si="26"/>
        <v>680</v>
      </c>
      <c r="J1210" s="4">
        <f t="shared" si="27"/>
        <v>1020</v>
      </c>
      <c r="K1210" s="4" t="s">
        <v>1638</v>
      </c>
    </row>
    <row r="1211" spans="1:11" s="4" customFormat="1">
      <c r="A1211" s="4">
        <v>111851</v>
      </c>
      <c r="B1211" s="4">
        <v>1</v>
      </c>
      <c r="C1211" s="4">
        <v>1</v>
      </c>
      <c r="D1211" s="4">
        <v>0</v>
      </c>
      <c r="E1211" s="4">
        <v>0</v>
      </c>
      <c r="F1211" s="4">
        <v>1</v>
      </c>
      <c r="G1211" s="4">
        <v>111001</v>
      </c>
      <c r="H1211" s="4">
        <v>1</v>
      </c>
      <c r="I1211" s="4">
        <f t="shared" si="26"/>
        <v>681</v>
      </c>
      <c r="J1211" s="4">
        <f t="shared" si="27"/>
        <v>1021</v>
      </c>
      <c r="K1211" s="4" t="s">
        <v>1639</v>
      </c>
    </row>
    <row r="1212" spans="1:11" s="4" customFormat="1">
      <c r="A1212" s="4">
        <v>111852</v>
      </c>
      <c r="B1212" s="4">
        <v>1</v>
      </c>
      <c r="C1212" s="4">
        <v>1</v>
      </c>
      <c r="D1212" s="4">
        <v>0</v>
      </c>
      <c r="E1212" s="4">
        <v>0</v>
      </c>
      <c r="F1212" s="4">
        <v>1</v>
      </c>
      <c r="G1212" s="4">
        <v>111001</v>
      </c>
      <c r="H1212" s="4">
        <v>1</v>
      </c>
      <c r="I1212" s="4">
        <f t="shared" si="26"/>
        <v>682</v>
      </c>
      <c r="J1212" s="4">
        <f t="shared" si="27"/>
        <v>1022</v>
      </c>
      <c r="K1212" s="4" t="s">
        <v>1640</v>
      </c>
    </row>
    <row r="1213" spans="1:11" s="4" customFormat="1">
      <c r="A1213" s="4">
        <v>111853</v>
      </c>
      <c r="B1213" s="4">
        <v>1</v>
      </c>
      <c r="C1213" s="4">
        <v>1</v>
      </c>
      <c r="D1213" s="4">
        <v>0</v>
      </c>
      <c r="E1213" s="4">
        <v>0</v>
      </c>
      <c r="F1213" s="4">
        <v>1</v>
      </c>
      <c r="G1213" s="4">
        <v>111001</v>
      </c>
      <c r="H1213" s="4">
        <v>1</v>
      </c>
      <c r="I1213" s="4">
        <f t="shared" si="26"/>
        <v>682</v>
      </c>
      <c r="J1213" s="4">
        <f t="shared" si="27"/>
        <v>1024</v>
      </c>
      <c r="K1213" s="4" t="s">
        <v>1641</v>
      </c>
    </row>
    <row r="1214" spans="1:11" s="4" customFormat="1">
      <c r="A1214" s="4">
        <v>111854</v>
      </c>
      <c r="B1214" s="4">
        <v>1</v>
      </c>
      <c r="C1214" s="4">
        <v>1</v>
      </c>
      <c r="D1214" s="4">
        <v>0</v>
      </c>
      <c r="E1214" s="4">
        <v>0</v>
      </c>
      <c r="F1214" s="4">
        <v>1</v>
      </c>
      <c r="G1214" s="4">
        <v>111001</v>
      </c>
      <c r="H1214" s="4">
        <v>1</v>
      </c>
      <c r="I1214" s="4">
        <f t="shared" si="26"/>
        <v>683</v>
      </c>
      <c r="J1214" s="4">
        <f t="shared" si="27"/>
        <v>1025</v>
      </c>
      <c r="K1214" s="4" t="s">
        <v>1642</v>
      </c>
    </row>
    <row r="1215" spans="1:11" s="4" customFormat="1">
      <c r="A1215" s="4">
        <v>111855</v>
      </c>
      <c r="B1215" s="4">
        <v>1</v>
      </c>
      <c r="C1215" s="4">
        <v>1</v>
      </c>
      <c r="D1215" s="4">
        <v>0</v>
      </c>
      <c r="E1215" s="4">
        <v>0</v>
      </c>
      <c r="F1215" s="4">
        <v>1</v>
      </c>
      <c r="G1215" s="4">
        <v>111001</v>
      </c>
      <c r="H1215" s="4">
        <v>1</v>
      </c>
      <c r="I1215" s="4">
        <f t="shared" si="26"/>
        <v>684</v>
      </c>
      <c r="J1215" s="4">
        <f t="shared" si="27"/>
        <v>1026</v>
      </c>
      <c r="K1215" s="4" t="s">
        <v>1643</v>
      </c>
    </row>
    <row r="1216" spans="1:11" s="4" customFormat="1">
      <c r="A1216" s="4">
        <v>111856</v>
      </c>
      <c r="B1216" s="4">
        <v>1</v>
      </c>
      <c r="C1216" s="4">
        <v>1</v>
      </c>
      <c r="D1216" s="4">
        <v>0</v>
      </c>
      <c r="E1216" s="4">
        <v>0</v>
      </c>
      <c r="F1216" s="4">
        <v>1</v>
      </c>
      <c r="G1216" s="4">
        <v>111001</v>
      </c>
      <c r="H1216" s="4">
        <v>1</v>
      </c>
      <c r="I1216" s="4">
        <f t="shared" si="26"/>
        <v>685</v>
      </c>
      <c r="J1216" s="4">
        <f t="shared" si="27"/>
        <v>1027</v>
      </c>
      <c r="K1216" s="4" t="s">
        <v>1644</v>
      </c>
    </row>
    <row r="1217" spans="1:11" s="4" customFormat="1">
      <c r="A1217" s="4">
        <v>111857</v>
      </c>
      <c r="B1217" s="4">
        <v>1</v>
      </c>
      <c r="C1217" s="4">
        <v>1</v>
      </c>
      <c r="D1217" s="4">
        <v>0</v>
      </c>
      <c r="E1217" s="4">
        <v>0</v>
      </c>
      <c r="F1217" s="4">
        <v>1</v>
      </c>
      <c r="G1217" s="4">
        <v>111001</v>
      </c>
      <c r="H1217" s="4">
        <v>1</v>
      </c>
      <c r="I1217" s="4">
        <f t="shared" si="26"/>
        <v>686</v>
      </c>
      <c r="J1217" s="4">
        <f t="shared" si="27"/>
        <v>1028</v>
      </c>
      <c r="K1217" s="4" t="s">
        <v>1645</v>
      </c>
    </row>
    <row r="1218" spans="1:11" s="4" customFormat="1">
      <c r="A1218" s="4">
        <v>111858</v>
      </c>
      <c r="B1218" s="4">
        <v>1</v>
      </c>
      <c r="C1218" s="4">
        <v>1</v>
      </c>
      <c r="D1218" s="4">
        <v>0</v>
      </c>
      <c r="E1218" s="4">
        <v>0</v>
      </c>
      <c r="F1218" s="4">
        <v>1</v>
      </c>
      <c r="G1218" s="4">
        <v>111001</v>
      </c>
      <c r="H1218" s="4">
        <v>1</v>
      </c>
      <c r="I1218" s="4">
        <f t="shared" si="26"/>
        <v>686</v>
      </c>
      <c r="J1218" s="4">
        <f t="shared" si="27"/>
        <v>1030</v>
      </c>
      <c r="K1218" s="4" t="s">
        <v>1646</v>
      </c>
    </row>
    <row r="1219" spans="1:11" s="4" customFormat="1">
      <c r="A1219" s="4">
        <v>111859</v>
      </c>
      <c r="B1219" s="4">
        <v>1</v>
      </c>
      <c r="C1219" s="4">
        <v>1</v>
      </c>
      <c r="D1219" s="4">
        <v>0</v>
      </c>
      <c r="E1219" s="4">
        <v>0</v>
      </c>
      <c r="F1219" s="4">
        <v>1</v>
      </c>
      <c r="G1219" s="4">
        <v>111001</v>
      </c>
      <c r="H1219" s="4">
        <v>1</v>
      </c>
      <c r="I1219" s="4">
        <f t="shared" si="26"/>
        <v>687</v>
      </c>
      <c r="J1219" s="4">
        <f t="shared" si="27"/>
        <v>1031</v>
      </c>
      <c r="K1219" s="4" t="s">
        <v>1647</v>
      </c>
    </row>
    <row r="1220" spans="1:11" s="4" customFormat="1">
      <c r="A1220" s="4">
        <v>111860</v>
      </c>
      <c r="B1220" s="4">
        <v>1</v>
      </c>
      <c r="C1220" s="4">
        <v>1</v>
      </c>
      <c r="D1220" s="4">
        <v>0</v>
      </c>
      <c r="E1220" s="4">
        <v>0</v>
      </c>
      <c r="F1220" s="4">
        <v>1</v>
      </c>
      <c r="G1220" s="4">
        <v>111001</v>
      </c>
      <c r="H1220" s="4">
        <v>1</v>
      </c>
      <c r="I1220" s="4">
        <f t="shared" si="26"/>
        <v>688</v>
      </c>
      <c r="J1220" s="4">
        <f t="shared" si="27"/>
        <v>1032</v>
      </c>
      <c r="K1220" s="4" t="s">
        <v>1648</v>
      </c>
    </row>
    <row r="1221" spans="1:11" s="4" customFormat="1">
      <c r="A1221" s="4">
        <v>111861</v>
      </c>
      <c r="B1221" s="4">
        <v>1</v>
      </c>
      <c r="C1221" s="4">
        <v>1</v>
      </c>
      <c r="D1221" s="4">
        <v>0</v>
      </c>
      <c r="E1221" s="4">
        <v>0</v>
      </c>
      <c r="F1221" s="4">
        <v>1</v>
      </c>
      <c r="G1221" s="4">
        <v>111001</v>
      </c>
      <c r="H1221" s="4">
        <v>1</v>
      </c>
      <c r="I1221" s="4">
        <f t="shared" si="26"/>
        <v>689</v>
      </c>
      <c r="J1221" s="4">
        <f t="shared" si="27"/>
        <v>1033</v>
      </c>
      <c r="K1221" s="4" t="s">
        <v>1649</v>
      </c>
    </row>
    <row r="1222" spans="1:11" s="4" customFormat="1">
      <c r="A1222" s="4">
        <v>111862</v>
      </c>
      <c r="B1222" s="4">
        <v>1</v>
      </c>
      <c r="C1222" s="4">
        <v>1</v>
      </c>
      <c r="D1222" s="4">
        <v>0</v>
      </c>
      <c r="E1222" s="4">
        <v>0</v>
      </c>
      <c r="F1222" s="4">
        <v>1</v>
      </c>
      <c r="G1222" s="4">
        <v>111001</v>
      </c>
      <c r="H1222" s="4">
        <v>1</v>
      </c>
      <c r="I1222" s="4">
        <f t="shared" si="26"/>
        <v>690</v>
      </c>
      <c r="J1222" s="4">
        <f t="shared" si="27"/>
        <v>1034</v>
      </c>
      <c r="K1222" s="4" t="s">
        <v>1650</v>
      </c>
    </row>
    <row r="1223" spans="1:11" s="4" customFormat="1">
      <c r="A1223" s="4">
        <v>111863</v>
      </c>
      <c r="B1223" s="4">
        <v>1</v>
      </c>
      <c r="C1223" s="4">
        <v>1</v>
      </c>
      <c r="D1223" s="4">
        <v>0</v>
      </c>
      <c r="E1223" s="4">
        <v>0</v>
      </c>
      <c r="F1223" s="4">
        <v>1</v>
      </c>
      <c r="G1223" s="4">
        <v>111001</v>
      </c>
      <c r="H1223" s="4">
        <v>1</v>
      </c>
      <c r="I1223" s="4">
        <f t="shared" si="26"/>
        <v>690</v>
      </c>
      <c r="J1223" s="4">
        <f t="shared" si="27"/>
        <v>1036</v>
      </c>
      <c r="K1223" s="4" t="s">
        <v>1651</v>
      </c>
    </row>
    <row r="1224" spans="1:11" s="4" customFormat="1">
      <c r="A1224" s="4">
        <v>111864</v>
      </c>
      <c r="B1224" s="4">
        <v>1</v>
      </c>
      <c r="C1224" s="4">
        <v>1</v>
      </c>
      <c r="D1224" s="4">
        <v>0</v>
      </c>
      <c r="E1224" s="4">
        <v>0</v>
      </c>
      <c r="F1224" s="4">
        <v>1</v>
      </c>
      <c r="G1224" s="4">
        <v>111001</v>
      </c>
      <c r="H1224" s="4">
        <v>1</v>
      </c>
      <c r="I1224" s="4">
        <f t="shared" si="26"/>
        <v>691</v>
      </c>
      <c r="J1224" s="4">
        <f t="shared" si="27"/>
        <v>1037</v>
      </c>
      <c r="K1224" s="4" t="s">
        <v>1652</v>
      </c>
    </row>
    <row r="1225" spans="1:11" s="4" customFormat="1">
      <c r="A1225" s="4">
        <v>111865</v>
      </c>
      <c r="B1225" s="4">
        <v>1</v>
      </c>
      <c r="C1225" s="4">
        <v>1</v>
      </c>
      <c r="D1225" s="4">
        <v>0</v>
      </c>
      <c r="E1225" s="4">
        <v>0</v>
      </c>
      <c r="F1225" s="4">
        <v>1</v>
      </c>
      <c r="G1225" s="4">
        <v>111001</v>
      </c>
      <c r="H1225" s="4">
        <v>1</v>
      </c>
      <c r="I1225" s="4">
        <f t="shared" si="26"/>
        <v>692</v>
      </c>
      <c r="J1225" s="4">
        <f t="shared" si="27"/>
        <v>1038</v>
      </c>
      <c r="K1225" s="4" t="s">
        <v>1653</v>
      </c>
    </row>
    <row r="1226" spans="1:11" s="4" customFormat="1">
      <c r="A1226" s="4">
        <v>111866</v>
      </c>
      <c r="B1226" s="4">
        <v>1</v>
      </c>
      <c r="C1226" s="4">
        <v>1</v>
      </c>
      <c r="D1226" s="4">
        <v>0</v>
      </c>
      <c r="E1226" s="4">
        <v>0</v>
      </c>
      <c r="F1226" s="4">
        <v>1</v>
      </c>
      <c r="G1226" s="4">
        <v>111001</v>
      </c>
      <c r="H1226" s="4">
        <v>1</v>
      </c>
      <c r="I1226" s="4">
        <f t="shared" si="26"/>
        <v>693</v>
      </c>
      <c r="J1226" s="4">
        <f t="shared" si="27"/>
        <v>1039</v>
      </c>
      <c r="K1226" s="4" t="s">
        <v>1654</v>
      </c>
    </row>
    <row r="1227" spans="1:11" s="4" customFormat="1">
      <c r="A1227" s="4">
        <v>111867</v>
      </c>
      <c r="B1227" s="4">
        <v>1</v>
      </c>
      <c r="C1227" s="4">
        <v>1</v>
      </c>
      <c r="D1227" s="4">
        <v>0</v>
      </c>
      <c r="E1227" s="4">
        <v>0</v>
      </c>
      <c r="F1227" s="4">
        <v>1</v>
      </c>
      <c r="G1227" s="4">
        <v>111001</v>
      </c>
      <c r="H1227" s="4">
        <v>1</v>
      </c>
      <c r="I1227" s="4">
        <f t="shared" si="26"/>
        <v>694</v>
      </c>
      <c r="J1227" s="4">
        <f t="shared" si="27"/>
        <v>1040</v>
      </c>
      <c r="K1227" s="4" t="s">
        <v>1655</v>
      </c>
    </row>
    <row r="1228" spans="1:11" s="4" customFormat="1">
      <c r="A1228" s="4">
        <v>111868</v>
      </c>
      <c r="B1228" s="4">
        <v>1</v>
      </c>
      <c r="C1228" s="4">
        <v>1</v>
      </c>
      <c r="D1228" s="4">
        <v>0</v>
      </c>
      <c r="E1228" s="4">
        <v>0</v>
      </c>
      <c r="F1228" s="4">
        <v>1</v>
      </c>
      <c r="G1228" s="4">
        <v>111001</v>
      </c>
      <c r="H1228" s="4">
        <v>1</v>
      </c>
      <c r="I1228" s="4">
        <f t="shared" si="26"/>
        <v>694</v>
      </c>
      <c r="J1228" s="4">
        <f t="shared" si="27"/>
        <v>1042</v>
      </c>
      <c r="K1228" s="4" t="s">
        <v>1656</v>
      </c>
    </row>
    <row r="1229" spans="1:11" s="4" customFormat="1">
      <c r="A1229" s="4">
        <v>111869</v>
      </c>
      <c r="B1229" s="4">
        <v>1</v>
      </c>
      <c r="C1229" s="4">
        <v>1</v>
      </c>
      <c r="D1229" s="4">
        <v>0</v>
      </c>
      <c r="E1229" s="4">
        <v>0</v>
      </c>
      <c r="F1229" s="4">
        <v>1</v>
      </c>
      <c r="G1229" s="4">
        <v>111001</v>
      </c>
      <c r="H1229" s="4">
        <v>1</v>
      </c>
      <c r="I1229" s="4">
        <f t="shared" si="26"/>
        <v>695</v>
      </c>
      <c r="J1229" s="4">
        <f t="shared" si="27"/>
        <v>1043</v>
      </c>
      <c r="K1229" s="4" t="s">
        <v>1657</v>
      </c>
    </row>
    <row r="1230" spans="1:11" s="4" customFormat="1">
      <c r="A1230" s="4">
        <v>111870</v>
      </c>
      <c r="B1230" s="4">
        <v>1</v>
      </c>
      <c r="C1230" s="4">
        <v>1</v>
      </c>
      <c r="D1230" s="4">
        <v>0</v>
      </c>
      <c r="E1230" s="4">
        <v>0</v>
      </c>
      <c r="F1230" s="4">
        <v>1</v>
      </c>
      <c r="G1230" s="4">
        <v>111001</v>
      </c>
      <c r="H1230" s="4">
        <v>1</v>
      </c>
      <c r="I1230" s="4">
        <f t="shared" si="26"/>
        <v>696</v>
      </c>
      <c r="J1230" s="4">
        <f t="shared" si="27"/>
        <v>1044</v>
      </c>
      <c r="K1230" s="4" t="s">
        <v>1658</v>
      </c>
    </row>
    <row r="1231" spans="1:11" s="4" customFormat="1">
      <c r="A1231" s="4">
        <v>111871</v>
      </c>
      <c r="B1231" s="4">
        <v>1</v>
      </c>
      <c r="C1231" s="4">
        <v>1</v>
      </c>
      <c r="D1231" s="4">
        <v>0</v>
      </c>
      <c r="E1231" s="4">
        <v>0</v>
      </c>
      <c r="F1231" s="4">
        <v>1</v>
      </c>
      <c r="G1231" s="4">
        <v>111001</v>
      </c>
      <c r="H1231" s="4">
        <v>1</v>
      </c>
      <c r="I1231" s="4">
        <f t="shared" si="26"/>
        <v>697</v>
      </c>
      <c r="J1231" s="4">
        <f t="shared" si="27"/>
        <v>1045</v>
      </c>
      <c r="K1231" s="4" t="s">
        <v>1659</v>
      </c>
    </row>
    <row r="1232" spans="1:11" s="4" customFormat="1">
      <c r="A1232" s="4">
        <v>111872</v>
      </c>
      <c r="B1232" s="4">
        <v>1</v>
      </c>
      <c r="C1232" s="4">
        <v>1</v>
      </c>
      <c r="D1232" s="4">
        <v>0</v>
      </c>
      <c r="E1232" s="4">
        <v>0</v>
      </c>
      <c r="F1232" s="4">
        <v>1</v>
      </c>
      <c r="G1232" s="4">
        <v>111001</v>
      </c>
      <c r="H1232" s="4">
        <v>1</v>
      </c>
      <c r="I1232" s="4">
        <f t="shared" si="26"/>
        <v>698</v>
      </c>
      <c r="J1232" s="4">
        <f t="shared" si="27"/>
        <v>1046</v>
      </c>
      <c r="K1232" s="4" t="s">
        <v>1660</v>
      </c>
    </row>
    <row r="1233" spans="1:11" s="4" customFormat="1">
      <c r="A1233" s="4">
        <v>111873</v>
      </c>
      <c r="B1233" s="4">
        <v>1</v>
      </c>
      <c r="C1233" s="4">
        <v>1</v>
      </c>
      <c r="D1233" s="4">
        <v>0</v>
      </c>
      <c r="E1233" s="4">
        <v>0</v>
      </c>
      <c r="F1233" s="4">
        <v>1</v>
      </c>
      <c r="G1233" s="4">
        <v>111001</v>
      </c>
      <c r="H1233" s="4">
        <v>1</v>
      </c>
      <c r="I1233" s="4">
        <f t="shared" si="26"/>
        <v>698</v>
      </c>
      <c r="J1233" s="4">
        <f t="shared" si="27"/>
        <v>1048</v>
      </c>
      <c r="K1233" s="4" t="s">
        <v>1661</v>
      </c>
    </row>
    <row r="1234" spans="1:11" s="4" customFormat="1">
      <c r="A1234" s="4">
        <v>111874</v>
      </c>
      <c r="B1234" s="4">
        <v>1</v>
      </c>
      <c r="C1234" s="4">
        <v>1</v>
      </c>
      <c r="D1234" s="4">
        <v>0</v>
      </c>
      <c r="E1234" s="4">
        <v>0</v>
      </c>
      <c r="F1234" s="4">
        <v>1</v>
      </c>
      <c r="G1234" s="4">
        <v>111001</v>
      </c>
      <c r="H1234" s="4">
        <v>1</v>
      </c>
      <c r="I1234" s="4">
        <f t="shared" si="26"/>
        <v>699</v>
      </c>
      <c r="J1234" s="4">
        <f t="shared" si="27"/>
        <v>1049</v>
      </c>
      <c r="K1234" s="4" t="s">
        <v>1662</v>
      </c>
    </row>
    <row r="1235" spans="1:11" s="4" customFormat="1">
      <c r="A1235" s="4">
        <v>111875</v>
      </c>
      <c r="B1235" s="4">
        <v>1</v>
      </c>
      <c r="C1235" s="4">
        <v>1</v>
      </c>
      <c r="D1235" s="4">
        <v>0</v>
      </c>
      <c r="E1235" s="4">
        <v>0</v>
      </c>
      <c r="F1235" s="4">
        <v>1</v>
      </c>
      <c r="G1235" s="4">
        <v>111001</v>
      </c>
      <c r="H1235" s="4">
        <v>1</v>
      </c>
      <c r="I1235" s="4">
        <f t="shared" si="26"/>
        <v>700</v>
      </c>
      <c r="J1235" s="4">
        <f t="shared" si="27"/>
        <v>1050</v>
      </c>
      <c r="K1235" s="4" t="s">
        <v>1663</v>
      </c>
    </row>
    <row r="1236" spans="1:11" s="4" customFormat="1">
      <c r="A1236" s="4">
        <v>111876</v>
      </c>
      <c r="B1236" s="4">
        <v>1</v>
      </c>
      <c r="C1236" s="4">
        <v>1</v>
      </c>
      <c r="D1236" s="4">
        <v>0</v>
      </c>
      <c r="E1236" s="4">
        <v>0</v>
      </c>
      <c r="F1236" s="4">
        <v>1</v>
      </c>
      <c r="G1236" s="4">
        <v>111001</v>
      </c>
      <c r="H1236" s="4">
        <v>1</v>
      </c>
      <c r="I1236" s="4">
        <f t="shared" si="26"/>
        <v>701</v>
      </c>
      <c r="J1236" s="4">
        <f t="shared" si="27"/>
        <v>1051</v>
      </c>
      <c r="K1236" s="4" t="s">
        <v>1664</v>
      </c>
    </row>
    <row r="1237" spans="1:11" s="4" customFormat="1">
      <c r="A1237" s="4">
        <v>111877</v>
      </c>
      <c r="B1237" s="4">
        <v>1</v>
      </c>
      <c r="C1237" s="4">
        <v>1</v>
      </c>
      <c r="D1237" s="4">
        <v>0</v>
      </c>
      <c r="E1237" s="4">
        <v>0</v>
      </c>
      <c r="F1237" s="4">
        <v>1</v>
      </c>
      <c r="G1237" s="4">
        <v>111001</v>
      </c>
      <c r="H1237" s="4">
        <v>1</v>
      </c>
      <c r="I1237" s="4">
        <f t="shared" si="26"/>
        <v>702</v>
      </c>
      <c r="J1237" s="4">
        <f t="shared" si="27"/>
        <v>1052</v>
      </c>
      <c r="K1237" s="4" t="s">
        <v>1665</v>
      </c>
    </row>
    <row r="1238" spans="1:11" s="4" customFormat="1">
      <c r="A1238" s="4">
        <v>111878</v>
      </c>
      <c r="B1238" s="4">
        <v>1</v>
      </c>
      <c r="C1238" s="4">
        <v>1</v>
      </c>
      <c r="D1238" s="4">
        <v>0</v>
      </c>
      <c r="E1238" s="4">
        <v>0</v>
      </c>
      <c r="F1238" s="4">
        <v>1</v>
      </c>
      <c r="G1238" s="4">
        <v>111001</v>
      </c>
      <c r="H1238" s="4">
        <v>1</v>
      </c>
      <c r="I1238" s="4">
        <f t="shared" si="26"/>
        <v>702</v>
      </c>
      <c r="J1238" s="4">
        <f t="shared" si="27"/>
        <v>1054</v>
      </c>
      <c r="K1238" s="4" t="s">
        <v>1666</v>
      </c>
    </row>
    <row r="1239" spans="1:11" s="4" customFormat="1">
      <c r="A1239" s="4">
        <v>111879</v>
      </c>
      <c r="B1239" s="4">
        <v>1</v>
      </c>
      <c r="C1239" s="4">
        <v>1</v>
      </c>
      <c r="D1239" s="4">
        <v>0</v>
      </c>
      <c r="E1239" s="4">
        <v>0</v>
      </c>
      <c r="F1239" s="4">
        <v>1</v>
      </c>
      <c r="G1239" s="4">
        <v>111001</v>
      </c>
      <c r="H1239" s="4">
        <v>1</v>
      </c>
      <c r="I1239" s="4">
        <f t="shared" si="26"/>
        <v>703</v>
      </c>
      <c r="J1239" s="4">
        <f t="shared" si="27"/>
        <v>1055</v>
      </c>
      <c r="K1239" s="4" t="s">
        <v>1667</v>
      </c>
    </row>
    <row r="1240" spans="1:11" s="4" customFormat="1">
      <c r="A1240" s="4">
        <v>111880</v>
      </c>
      <c r="B1240" s="4">
        <v>1</v>
      </c>
      <c r="C1240" s="4">
        <v>1</v>
      </c>
      <c r="D1240" s="4">
        <v>0</v>
      </c>
      <c r="E1240" s="4">
        <v>0</v>
      </c>
      <c r="F1240" s="4">
        <v>1</v>
      </c>
      <c r="G1240" s="4">
        <v>111001</v>
      </c>
      <c r="H1240" s="4">
        <v>1</v>
      </c>
      <c r="I1240" s="4">
        <f t="shared" si="26"/>
        <v>704</v>
      </c>
      <c r="J1240" s="4">
        <f t="shared" si="27"/>
        <v>1056</v>
      </c>
      <c r="K1240" s="4" t="s">
        <v>1668</v>
      </c>
    </row>
    <row r="1241" spans="1:11" s="4" customFormat="1">
      <c r="A1241" s="4">
        <v>111881</v>
      </c>
      <c r="B1241" s="4">
        <v>1</v>
      </c>
      <c r="C1241" s="4">
        <v>1</v>
      </c>
      <c r="D1241" s="4">
        <v>0</v>
      </c>
      <c r="E1241" s="4">
        <v>0</v>
      </c>
      <c r="F1241" s="4">
        <v>1</v>
      </c>
      <c r="G1241" s="4">
        <v>111001</v>
      </c>
      <c r="H1241" s="4">
        <v>1</v>
      </c>
      <c r="I1241" s="4">
        <f t="shared" si="26"/>
        <v>705</v>
      </c>
      <c r="J1241" s="4">
        <f t="shared" si="27"/>
        <v>1057</v>
      </c>
      <c r="K1241" s="4" t="s">
        <v>1669</v>
      </c>
    </row>
    <row r="1242" spans="1:11" s="4" customFormat="1">
      <c r="A1242" s="4">
        <v>111882</v>
      </c>
      <c r="B1242" s="4">
        <v>1</v>
      </c>
      <c r="C1242" s="4">
        <v>1</v>
      </c>
      <c r="D1242" s="4">
        <v>0</v>
      </c>
      <c r="E1242" s="4">
        <v>0</v>
      </c>
      <c r="F1242" s="4">
        <v>1</v>
      </c>
      <c r="G1242" s="4">
        <v>111001</v>
      </c>
      <c r="H1242" s="4">
        <v>1</v>
      </c>
      <c r="I1242" s="4">
        <f t="shared" si="26"/>
        <v>706</v>
      </c>
      <c r="J1242" s="4">
        <f t="shared" si="27"/>
        <v>1058</v>
      </c>
      <c r="K1242" s="4" t="s">
        <v>1670</v>
      </c>
    </row>
    <row r="1243" spans="1:11" s="4" customFormat="1">
      <c r="A1243" s="4">
        <v>111883</v>
      </c>
      <c r="B1243" s="4">
        <v>1</v>
      </c>
      <c r="C1243" s="4">
        <v>1</v>
      </c>
      <c r="D1243" s="4">
        <v>0</v>
      </c>
      <c r="E1243" s="4">
        <v>0</v>
      </c>
      <c r="F1243" s="4">
        <v>1</v>
      </c>
      <c r="G1243" s="4">
        <v>111001</v>
      </c>
      <c r="H1243" s="4">
        <v>1</v>
      </c>
      <c r="I1243" s="4">
        <f t="shared" si="26"/>
        <v>706</v>
      </c>
      <c r="J1243" s="4">
        <f t="shared" si="27"/>
        <v>1060</v>
      </c>
      <c r="K1243" s="4" t="s">
        <v>1671</v>
      </c>
    </row>
    <row r="1244" spans="1:11" s="4" customFormat="1">
      <c r="A1244" s="4">
        <v>111884</v>
      </c>
      <c r="B1244" s="4">
        <v>1</v>
      </c>
      <c r="C1244" s="4">
        <v>1</v>
      </c>
      <c r="D1244" s="4">
        <v>0</v>
      </c>
      <c r="E1244" s="4">
        <v>0</v>
      </c>
      <c r="F1244" s="4">
        <v>1</v>
      </c>
      <c r="G1244" s="4">
        <v>111001</v>
      </c>
      <c r="H1244" s="4">
        <v>1</v>
      </c>
      <c r="I1244" s="4">
        <f t="shared" si="26"/>
        <v>707</v>
      </c>
      <c r="J1244" s="4">
        <f t="shared" si="27"/>
        <v>1061</v>
      </c>
      <c r="K1244" s="4" t="s">
        <v>1672</v>
      </c>
    </row>
    <row r="1245" spans="1:11" s="4" customFormat="1">
      <c r="A1245" s="4">
        <v>111885</v>
      </c>
      <c r="B1245" s="4">
        <v>1</v>
      </c>
      <c r="C1245" s="4">
        <v>1</v>
      </c>
      <c r="D1245" s="4">
        <v>0</v>
      </c>
      <c r="E1245" s="4">
        <v>0</v>
      </c>
      <c r="F1245" s="4">
        <v>1</v>
      </c>
      <c r="G1245" s="4">
        <v>111001</v>
      </c>
      <c r="H1245" s="4">
        <v>1</v>
      </c>
      <c r="I1245" s="4">
        <f t="shared" si="26"/>
        <v>708</v>
      </c>
      <c r="J1245" s="4">
        <f t="shared" si="27"/>
        <v>1062</v>
      </c>
      <c r="K1245" s="4" t="s">
        <v>1673</v>
      </c>
    </row>
    <row r="1246" spans="1:11" s="4" customFormat="1">
      <c r="A1246" s="4">
        <v>111886</v>
      </c>
      <c r="B1246" s="4">
        <v>1</v>
      </c>
      <c r="C1246" s="4">
        <v>1</v>
      </c>
      <c r="D1246" s="4">
        <v>0</v>
      </c>
      <c r="E1246" s="4">
        <v>0</v>
      </c>
      <c r="F1246" s="4">
        <v>1</v>
      </c>
      <c r="G1246" s="4">
        <v>111001</v>
      </c>
      <c r="H1246" s="4">
        <v>1</v>
      </c>
      <c r="I1246" s="4">
        <f t="shared" si="26"/>
        <v>709</v>
      </c>
      <c r="J1246" s="4">
        <f t="shared" si="27"/>
        <v>1063</v>
      </c>
      <c r="K1246" s="4" t="s">
        <v>1674</v>
      </c>
    </row>
    <row r="1247" spans="1:11" s="4" customFormat="1">
      <c r="A1247" s="4">
        <v>111887</v>
      </c>
      <c r="B1247" s="4">
        <v>1</v>
      </c>
      <c r="C1247" s="4">
        <v>1</v>
      </c>
      <c r="D1247" s="4">
        <v>0</v>
      </c>
      <c r="E1247" s="4">
        <v>0</v>
      </c>
      <c r="F1247" s="4">
        <v>1</v>
      </c>
      <c r="G1247" s="4">
        <v>111001</v>
      </c>
      <c r="H1247" s="4">
        <v>1</v>
      </c>
      <c r="I1247" s="4">
        <f t="shared" si="26"/>
        <v>710</v>
      </c>
      <c r="J1247" s="4">
        <f t="shared" si="27"/>
        <v>1064</v>
      </c>
      <c r="K1247" s="4" t="s">
        <v>1675</v>
      </c>
    </row>
    <row r="1248" spans="1:11" s="4" customFormat="1">
      <c r="A1248" s="4">
        <v>111888</v>
      </c>
      <c r="B1248" s="4">
        <v>1</v>
      </c>
      <c r="C1248" s="4">
        <v>1</v>
      </c>
      <c r="D1248" s="4">
        <v>0</v>
      </c>
      <c r="E1248" s="4">
        <v>0</v>
      </c>
      <c r="F1248" s="4">
        <v>1</v>
      </c>
      <c r="G1248" s="4">
        <v>111001</v>
      </c>
      <c r="H1248" s="4">
        <v>1</v>
      </c>
      <c r="I1248" s="4">
        <f t="shared" si="26"/>
        <v>710</v>
      </c>
      <c r="J1248" s="4">
        <f t="shared" si="27"/>
        <v>1066</v>
      </c>
      <c r="K1248" s="4" t="s">
        <v>1676</v>
      </c>
    </row>
    <row r="1249" spans="1:11" s="4" customFormat="1">
      <c r="A1249" s="4">
        <v>111889</v>
      </c>
      <c r="B1249" s="4">
        <v>1</v>
      </c>
      <c r="C1249" s="4">
        <v>1</v>
      </c>
      <c r="D1249" s="4">
        <v>0</v>
      </c>
      <c r="E1249" s="4">
        <v>0</v>
      </c>
      <c r="F1249" s="4">
        <v>1</v>
      </c>
      <c r="G1249" s="4">
        <v>111001</v>
      </c>
      <c r="H1249" s="4">
        <v>1</v>
      </c>
      <c r="I1249" s="4">
        <f t="shared" si="26"/>
        <v>711</v>
      </c>
      <c r="J1249" s="4">
        <f t="shared" si="27"/>
        <v>1067</v>
      </c>
      <c r="K1249" s="4" t="s">
        <v>1677</v>
      </c>
    </row>
    <row r="1250" spans="1:11" s="4" customFormat="1">
      <c r="A1250" s="4">
        <v>111890</v>
      </c>
      <c r="B1250" s="4">
        <v>1</v>
      </c>
      <c r="C1250" s="4">
        <v>1</v>
      </c>
      <c r="D1250" s="4">
        <v>0</v>
      </c>
      <c r="E1250" s="4">
        <v>0</v>
      </c>
      <c r="F1250" s="4">
        <v>1</v>
      </c>
      <c r="G1250" s="4">
        <v>111001</v>
      </c>
      <c r="H1250" s="4">
        <v>1</v>
      </c>
      <c r="I1250" s="4">
        <f t="shared" si="26"/>
        <v>712</v>
      </c>
      <c r="J1250" s="4">
        <f t="shared" si="27"/>
        <v>1068</v>
      </c>
      <c r="K1250" s="4" t="s">
        <v>1678</v>
      </c>
    </row>
    <row r="1251" spans="1:11" s="4" customFormat="1">
      <c r="A1251" s="4">
        <v>111891</v>
      </c>
      <c r="B1251" s="4">
        <v>1</v>
      </c>
      <c r="C1251" s="4">
        <v>1</v>
      </c>
      <c r="D1251" s="4">
        <v>0</v>
      </c>
      <c r="E1251" s="4">
        <v>0</v>
      </c>
      <c r="F1251" s="4">
        <v>1</v>
      </c>
      <c r="G1251" s="4">
        <v>111001</v>
      </c>
      <c r="H1251" s="4">
        <v>1</v>
      </c>
      <c r="I1251" s="4">
        <f t="shared" si="26"/>
        <v>713</v>
      </c>
      <c r="J1251" s="4">
        <f t="shared" si="27"/>
        <v>1069</v>
      </c>
      <c r="K1251" s="4" t="s">
        <v>1679</v>
      </c>
    </row>
    <row r="1252" spans="1:11" s="4" customFormat="1">
      <c r="A1252" s="4">
        <v>111892</v>
      </c>
      <c r="B1252" s="4">
        <v>1</v>
      </c>
      <c r="C1252" s="4">
        <v>1</v>
      </c>
      <c r="D1252" s="4">
        <v>0</v>
      </c>
      <c r="E1252" s="4">
        <v>0</v>
      </c>
      <c r="F1252" s="4">
        <v>1</v>
      </c>
      <c r="G1252" s="4">
        <v>111001</v>
      </c>
      <c r="H1252" s="4">
        <v>1</v>
      </c>
      <c r="I1252" s="4">
        <f t="shared" si="26"/>
        <v>714</v>
      </c>
      <c r="J1252" s="4">
        <f t="shared" si="27"/>
        <v>1070</v>
      </c>
      <c r="K1252" s="4" t="s">
        <v>1680</v>
      </c>
    </row>
    <row r="1253" spans="1:11" s="4" customFormat="1">
      <c r="A1253" s="4">
        <v>111893</v>
      </c>
      <c r="B1253" s="4">
        <v>1</v>
      </c>
      <c r="C1253" s="4">
        <v>1</v>
      </c>
      <c r="D1253" s="4">
        <v>0</v>
      </c>
      <c r="E1253" s="4">
        <v>0</v>
      </c>
      <c r="F1253" s="4">
        <v>1</v>
      </c>
      <c r="G1253" s="4">
        <v>111001</v>
      </c>
      <c r="H1253" s="4">
        <v>1</v>
      </c>
      <c r="I1253" s="4">
        <f t="shared" si="26"/>
        <v>714</v>
      </c>
      <c r="J1253" s="4">
        <f t="shared" si="27"/>
        <v>1072</v>
      </c>
      <c r="K1253" s="4" t="s">
        <v>1681</v>
      </c>
    </row>
    <row r="1254" spans="1:11" s="4" customFormat="1">
      <c r="A1254" s="4">
        <v>111894</v>
      </c>
      <c r="B1254" s="4">
        <v>1</v>
      </c>
      <c r="C1254" s="4">
        <v>1</v>
      </c>
      <c r="D1254" s="4">
        <v>0</v>
      </c>
      <c r="E1254" s="4">
        <v>0</v>
      </c>
      <c r="F1254" s="4">
        <v>1</v>
      </c>
      <c r="G1254" s="4">
        <v>111001</v>
      </c>
      <c r="H1254" s="4">
        <v>1</v>
      </c>
      <c r="I1254" s="4">
        <f t="shared" si="26"/>
        <v>715</v>
      </c>
      <c r="J1254" s="4">
        <f t="shared" si="27"/>
        <v>1073</v>
      </c>
      <c r="K1254" s="4" t="s">
        <v>1682</v>
      </c>
    </row>
    <row r="1255" spans="1:11" s="4" customFormat="1">
      <c r="A1255" s="4">
        <v>111895</v>
      </c>
      <c r="B1255" s="4">
        <v>1</v>
      </c>
      <c r="C1255" s="4">
        <v>1</v>
      </c>
      <c r="D1255" s="4">
        <v>0</v>
      </c>
      <c r="E1255" s="4">
        <v>0</v>
      </c>
      <c r="F1255" s="4">
        <v>1</v>
      </c>
      <c r="G1255" s="4">
        <v>111001</v>
      </c>
      <c r="H1255" s="4">
        <v>1</v>
      </c>
      <c r="I1255" s="4">
        <f t="shared" si="26"/>
        <v>716</v>
      </c>
      <c r="J1255" s="4">
        <f t="shared" si="27"/>
        <v>1074</v>
      </c>
      <c r="K1255" s="4" t="s">
        <v>1683</v>
      </c>
    </row>
    <row r="1256" spans="1:11" s="4" customFormat="1">
      <c r="A1256" s="4">
        <v>111896</v>
      </c>
      <c r="B1256" s="4">
        <v>1</v>
      </c>
      <c r="C1256" s="4">
        <v>1</v>
      </c>
      <c r="D1256" s="4">
        <v>0</v>
      </c>
      <c r="E1256" s="4">
        <v>0</v>
      </c>
      <c r="F1256" s="4">
        <v>1</v>
      </c>
      <c r="G1256" s="4">
        <v>111001</v>
      </c>
      <c r="H1256" s="4">
        <v>1</v>
      </c>
      <c r="I1256" s="4">
        <f t="shared" si="26"/>
        <v>717</v>
      </c>
      <c r="J1256" s="4">
        <f t="shared" si="27"/>
        <v>1075</v>
      </c>
      <c r="K1256" s="4" t="s">
        <v>1684</v>
      </c>
    </row>
    <row r="1257" spans="1:11" s="4" customFormat="1">
      <c r="A1257" s="4">
        <v>111897</v>
      </c>
      <c r="B1257" s="4">
        <v>1</v>
      </c>
      <c r="C1257" s="4">
        <v>1</v>
      </c>
      <c r="D1257" s="4">
        <v>0</v>
      </c>
      <c r="E1257" s="4">
        <v>0</v>
      </c>
      <c r="F1257" s="4">
        <v>1</v>
      </c>
      <c r="G1257" s="4">
        <v>111001</v>
      </c>
      <c r="H1257" s="4">
        <v>1</v>
      </c>
      <c r="I1257" s="4">
        <f t="shared" si="26"/>
        <v>718</v>
      </c>
      <c r="J1257" s="4">
        <f t="shared" si="27"/>
        <v>1076</v>
      </c>
      <c r="K1257" s="4" t="s">
        <v>1685</v>
      </c>
    </row>
    <row r="1258" spans="1:11" s="4" customFormat="1">
      <c r="A1258" s="4">
        <v>111898</v>
      </c>
      <c r="B1258" s="4">
        <v>1</v>
      </c>
      <c r="C1258" s="4">
        <v>1</v>
      </c>
      <c r="D1258" s="4">
        <v>0</v>
      </c>
      <c r="E1258" s="4">
        <v>0</v>
      </c>
      <c r="F1258" s="4">
        <v>1</v>
      </c>
      <c r="G1258" s="4">
        <v>111001</v>
      </c>
      <c r="H1258" s="4">
        <v>1</v>
      </c>
      <c r="I1258" s="4">
        <f t="shared" ref="I1258:I1321" si="28">ROUND(RIGHT(A1258,3)*80%,0)</f>
        <v>718</v>
      </c>
      <c r="J1258" s="4">
        <f t="shared" ref="J1258:J1321" si="29">ROUND(RIGHT(A1258,3)*120%,0)</f>
        <v>1078</v>
      </c>
      <c r="K1258" s="4" t="s">
        <v>1686</v>
      </c>
    </row>
    <row r="1259" spans="1:11" s="4" customFormat="1">
      <c r="A1259" s="4">
        <v>111899</v>
      </c>
      <c r="B1259" s="4">
        <v>1</v>
      </c>
      <c r="C1259" s="4">
        <v>1</v>
      </c>
      <c r="D1259" s="4">
        <v>0</v>
      </c>
      <c r="E1259" s="4">
        <v>0</v>
      </c>
      <c r="F1259" s="4">
        <v>1</v>
      </c>
      <c r="G1259" s="4">
        <v>111001</v>
      </c>
      <c r="H1259" s="4">
        <v>1</v>
      </c>
      <c r="I1259" s="4">
        <f t="shared" si="28"/>
        <v>719</v>
      </c>
      <c r="J1259" s="4">
        <f t="shared" si="29"/>
        <v>1079</v>
      </c>
      <c r="K1259" s="4" t="s">
        <v>1687</v>
      </c>
    </row>
    <row r="1260" spans="1:11" s="4" customFormat="1">
      <c r="A1260" s="4">
        <v>111900</v>
      </c>
      <c r="B1260" s="4">
        <v>1</v>
      </c>
      <c r="C1260" s="4">
        <v>1</v>
      </c>
      <c r="D1260" s="4">
        <v>0</v>
      </c>
      <c r="E1260" s="4">
        <v>0</v>
      </c>
      <c r="F1260" s="4">
        <v>1</v>
      </c>
      <c r="G1260" s="4">
        <v>111001</v>
      </c>
      <c r="H1260" s="4">
        <v>1</v>
      </c>
      <c r="I1260" s="4">
        <f t="shared" si="28"/>
        <v>720</v>
      </c>
      <c r="J1260" s="4">
        <f t="shared" si="29"/>
        <v>1080</v>
      </c>
      <c r="K1260" s="4" t="s">
        <v>1688</v>
      </c>
    </row>
    <row r="1261" spans="1:11" s="4" customFormat="1">
      <c r="A1261" s="4">
        <v>111901</v>
      </c>
      <c r="B1261" s="4">
        <v>1</v>
      </c>
      <c r="C1261" s="4">
        <v>1</v>
      </c>
      <c r="D1261" s="4">
        <v>0</v>
      </c>
      <c r="E1261" s="4">
        <v>0</v>
      </c>
      <c r="F1261" s="4">
        <v>1</v>
      </c>
      <c r="G1261" s="4">
        <v>111001</v>
      </c>
      <c r="H1261" s="4">
        <v>1</v>
      </c>
      <c r="I1261" s="4">
        <f t="shared" si="28"/>
        <v>721</v>
      </c>
      <c r="J1261" s="4">
        <f t="shared" si="29"/>
        <v>1081</v>
      </c>
      <c r="K1261" s="4" t="s">
        <v>1689</v>
      </c>
    </row>
    <row r="1262" spans="1:11" s="4" customFormat="1">
      <c r="A1262" s="4">
        <v>111902</v>
      </c>
      <c r="B1262" s="4">
        <v>1</v>
      </c>
      <c r="C1262" s="4">
        <v>1</v>
      </c>
      <c r="D1262" s="4">
        <v>0</v>
      </c>
      <c r="E1262" s="4">
        <v>0</v>
      </c>
      <c r="F1262" s="4">
        <v>1</v>
      </c>
      <c r="G1262" s="4">
        <v>111001</v>
      </c>
      <c r="H1262" s="4">
        <v>1</v>
      </c>
      <c r="I1262" s="4">
        <f t="shared" si="28"/>
        <v>722</v>
      </c>
      <c r="J1262" s="4">
        <f t="shared" si="29"/>
        <v>1082</v>
      </c>
      <c r="K1262" s="4" t="s">
        <v>1690</v>
      </c>
    </row>
    <row r="1263" spans="1:11" s="4" customFormat="1">
      <c r="A1263" s="4">
        <v>111903</v>
      </c>
      <c r="B1263" s="4">
        <v>1</v>
      </c>
      <c r="C1263" s="4">
        <v>1</v>
      </c>
      <c r="D1263" s="4">
        <v>0</v>
      </c>
      <c r="E1263" s="4">
        <v>0</v>
      </c>
      <c r="F1263" s="4">
        <v>1</v>
      </c>
      <c r="G1263" s="4">
        <v>111001</v>
      </c>
      <c r="H1263" s="4">
        <v>1</v>
      </c>
      <c r="I1263" s="4">
        <f t="shared" si="28"/>
        <v>722</v>
      </c>
      <c r="J1263" s="4">
        <f t="shared" si="29"/>
        <v>1084</v>
      </c>
      <c r="K1263" s="4" t="s">
        <v>1691</v>
      </c>
    </row>
    <row r="1264" spans="1:11" s="4" customFormat="1">
      <c r="A1264" s="4">
        <v>111904</v>
      </c>
      <c r="B1264" s="4">
        <v>1</v>
      </c>
      <c r="C1264" s="4">
        <v>1</v>
      </c>
      <c r="D1264" s="4">
        <v>0</v>
      </c>
      <c r="E1264" s="4">
        <v>0</v>
      </c>
      <c r="F1264" s="4">
        <v>1</v>
      </c>
      <c r="G1264" s="4">
        <v>111001</v>
      </c>
      <c r="H1264" s="4">
        <v>1</v>
      </c>
      <c r="I1264" s="4">
        <f t="shared" si="28"/>
        <v>723</v>
      </c>
      <c r="J1264" s="4">
        <f t="shared" si="29"/>
        <v>1085</v>
      </c>
      <c r="K1264" s="4" t="s">
        <v>1692</v>
      </c>
    </row>
    <row r="1265" spans="1:11" s="4" customFormat="1">
      <c r="A1265" s="4">
        <v>111905</v>
      </c>
      <c r="B1265" s="4">
        <v>1</v>
      </c>
      <c r="C1265" s="4">
        <v>1</v>
      </c>
      <c r="D1265" s="4">
        <v>0</v>
      </c>
      <c r="E1265" s="4">
        <v>0</v>
      </c>
      <c r="F1265" s="4">
        <v>1</v>
      </c>
      <c r="G1265" s="4">
        <v>111001</v>
      </c>
      <c r="H1265" s="4">
        <v>1</v>
      </c>
      <c r="I1265" s="4">
        <f t="shared" si="28"/>
        <v>724</v>
      </c>
      <c r="J1265" s="4">
        <f t="shared" si="29"/>
        <v>1086</v>
      </c>
      <c r="K1265" s="4" t="s">
        <v>1693</v>
      </c>
    </row>
    <row r="1266" spans="1:11" s="4" customFormat="1">
      <c r="A1266" s="4">
        <v>111906</v>
      </c>
      <c r="B1266" s="4">
        <v>1</v>
      </c>
      <c r="C1266" s="4">
        <v>1</v>
      </c>
      <c r="D1266" s="4">
        <v>0</v>
      </c>
      <c r="E1266" s="4">
        <v>0</v>
      </c>
      <c r="F1266" s="4">
        <v>1</v>
      </c>
      <c r="G1266" s="4">
        <v>111001</v>
      </c>
      <c r="H1266" s="4">
        <v>1</v>
      </c>
      <c r="I1266" s="4">
        <f t="shared" si="28"/>
        <v>725</v>
      </c>
      <c r="J1266" s="4">
        <f t="shared" si="29"/>
        <v>1087</v>
      </c>
      <c r="K1266" s="4" t="s">
        <v>1694</v>
      </c>
    </row>
    <row r="1267" spans="1:11" s="4" customFormat="1">
      <c r="A1267" s="4">
        <v>111907</v>
      </c>
      <c r="B1267" s="4">
        <v>1</v>
      </c>
      <c r="C1267" s="4">
        <v>1</v>
      </c>
      <c r="D1267" s="4">
        <v>0</v>
      </c>
      <c r="E1267" s="4">
        <v>0</v>
      </c>
      <c r="F1267" s="4">
        <v>1</v>
      </c>
      <c r="G1267" s="4">
        <v>111001</v>
      </c>
      <c r="H1267" s="4">
        <v>1</v>
      </c>
      <c r="I1267" s="4">
        <f t="shared" si="28"/>
        <v>726</v>
      </c>
      <c r="J1267" s="4">
        <f t="shared" si="29"/>
        <v>1088</v>
      </c>
      <c r="K1267" s="4" t="s">
        <v>1695</v>
      </c>
    </row>
    <row r="1268" spans="1:11" s="4" customFormat="1">
      <c r="A1268" s="4">
        <v>111908</v>
      </c>
      <c r="B1268" s="4">
        <v>1</v>
      </c>
      <c r="C1268" s="4">
        <v>1</v>
      </c>
      <c r="D1268" s="4">
        <v>0</v>
      </c>
      <c r="E1268" s="4">
        <v>0</v>
      </c>
      <c r="F1268" s="4">
        <v>1</v>
      </c>
      <c r="G1268" s="4">
        <v>111001</v>
      </c>
      <c r="H1268" s="4">
        <v>1</v>
      </c>
      <c r="I1268" s="4">
        <f t="shared" si="28"/>
        <v>726</v>
      </c>
      <c r="J1268" s="4">
        <f t="shared" si="29"/>
        <v>1090</v>
      </c>
      <c r="K1268" s="4" t="s">
        <v>1696</v>
      </c>
    </row>
    <row r="1269" spans="1:11" s="4" customFormat="1">
      <c r="A1269" s="4">
        <v>111909</v>
      </c>
      <c r="B1269" s="4">
        <v>1</v>
      </c>
      <c r="C1269" s="4">
        <v>1</v>
      </c>
      <c r="D1269" s="4">
        <v>0</v>
      </c>
      <c r="E1269" s="4">
        <v>0</v>
      </c>
      <c r="F1269" s="4">
        <v>1</v>
      </c>
      <c r="G1269" s="4">
        <v>111001</v>
      </c>
      <c r="H1269" s="4">
        <v>1</v>
      </c>
      <c r="I1269" s="4">
        <f t="shared" si="28"/>
        <v>727</v>
      </c>
      <c r="J1269" s="4">
        <f t="shared" si="29"/>
        <v>1091</v>
      </c>
      <c r="K1269" s="4" t="s">
        <v>1697</v>
      </c>
    </row>
    <row r="1270" spans="1:11" s="4" customFormat="1">
      <c r="A1270" s="4">
        <v>111910</v>
      </c>
      <c r="B1270" s="4">
        <v>1</v>
      </c>
      <c r="C1270" s="4">
        <v>1</v>
      </c>
      <c r="D1270" s="4">
        <v>0</v>
      </c>
      <c r="E1270" s="4">
        <v>0</v>
      </c>
      <c r="F1270" s="4">
        <v>1</v>
      </c>
      <c r="G1270" s="4">
        <v>111001</v>
      </c>
      <c r="H1270" s="4">
        <v>1</v>
      </c>
      <c r="I1270" s="4">
        <f t="shared" si="28"/>
        <v>728</v>
      </c>
      <c r="J1270" s="4">
        <f t="shared" si="29"/>
        <v>1092</v>
      </c>
      <c r="K1270" s="4" t="s">
        <v>1698</v>
      </c>
    </row>
    <row r="1271" spans="1:11" s="4" customFormat="1">
      <c r="A1271" s="4">
        <v>111911</v>
      </c>
      <c r="B1271" s="4">
        <v>1</v>
      </c>
      <c r="C1271" s="4">
        <v>1</v>
      </c>
      <c r="D1271" s="4">
        <v>0</v>
      </c>
      <c r="E1271" s="4">
        <v>0</v>
      </c>
      <c r="F1271" s="4">
        <v>1</v>
      </c>
      <c r="G1271" s="4">
        <v>111001</v>
      </c>
      <c r="H1271" s="4">
        <v>1</v>
      </c>
      <c r="I1271" s="4">
        <f t="shared" si="28"/>
        <v>729</v>
      </c>
      <c r="J1271" s="4">
        <f t="shared" si="29"/>
        <v>1093</v>
      </c>
      <c r="K1271" s="4" t="s">
        <v>1699</v>
      </c>
    </row>
    <row r="1272" spans="1:11" s="4" customFormat="1">
      <c r="A1272" s="4">
        <v>111912</v>
      </c>
      <c r="B1272" s="4">
        <v>1</v>
      </c>
      <c r="C1272" s="4">
        <v>1</v>
      </c>
      <c r="D1272" s="4">
        <v>0</v>
      </c>
      <c r="E1272" s="4">
        <v>0</v>
      </c>
      <c r="F1272" s="4">
        <v>1</v>
      </c>
      <c r="G1272" s="4">
        <v>111001</v>
      </c>
      <c r="H1272" s="4">
        <v>1</v>
      </c>
      <c r="I1272" s="4">
        <f t="shared" si="28"/>
        <v>730</v>
      </c>
      <c r="J1272" s="4">
        <f t="shared" si="29"/>
        <v>1094</v>
      </c>
      <c r="K1272" s="4" t="s">
        <v>1700</v>
      </c>
    </row>
    <row r="1273" spans="1:11" s="4" customFormat="1">
      <c r="A1273" s="4">
        <v>111913</v>
      </c>
      <c r="B1273" s="4">
        <v>1</v>
      </c>
      <c r="C1273" s="4">
        <v>1</v>
      </c>
      <c r="D1273" s="4">
        <v>0</v>
      </c>
      <c r="E1273" s="4">
        <v>0</v>
      </c>
      <c r="F1273" s="4">
        <v>1</v>
      </c>
      <c r="G1273" s="4">
        <v>111001</v>
      </c>
      <c r="H1273" s="4">
        <v>1</v>
      </c>
      <c r="I1273" s="4">
        <f t="shared" si="28"/>
        <v>730</v>
      </c>
      <c r="J1273" s="4">
        <f t="shared" si="29"/>
        <v>1096</v>
      </c>
      <c r="K1273" s="4" t="s">
        <v>1701</v>
      </c>
    </row>
    <row r="1274" spans="1:11" s="4" customFormat="1">
      <c r="A1274" s="4">
        <v>111914</v>
      </c>
      <c r="B1274" s="4">
        <v>1</v>
      </c>
      <c r="C1274" s="4">
        <v>1</v>
      </c>
      <c r="D1274" s="4">
        <v>0</v>
      </c>
      <c r="E1274" s="4">
        <v>0</v>
      </c>
      <c r="F1274" s="4">
        <v>1</v>
      </c>
      <c r="G1274" s="4">
        <v>111001</v>
      </c>
      <c r="H1274" s="4">
        <v>1</v>
      </c>
      <c r="I1274" s="4">
        <f t="shared" si="28"/>
        <v>731</v>
      </c>
      <c r="J1274" s="4">
        <f t="shared" si="29"/>
        <v>1097</v>
      </c>
      <c r="K1274" s="4" t="s">
        <v>1702</v>
      </c>
    </row>
    <row r="1275" spans="1:11" s="4" customFormat="1">
      <c r="A1275" s="4">
        <v>111915</v>
      </c>
      <c r="B1275" s="4">
        <v>1</v>
      </c>
      <c r="C1275" s="4">
        <v>1</v>
      </c>
      <c r="D1275" s="4">
        <v>0</v>
      </c>
      <c r="E1275" s="4">
        <v>0</v>
      </c>
      <c r="F1275" s="4">
        <v>1</v>
      </c>
      <c r="G1275" s="4">
        <v>111001</v>
      </c>
      <c r="H1275" s="4">
        <v>1</v>
      </c>
      <c r="I1275" s="4">
        <f t="shared" si="28"/>
        <v>732</v>
      </c>
      <c r="J1275" s="4">
        <f t="shared" si="29"/>
        <v>1098</v>
      </c>
      <c r="K1275" s="4" t="s">
        <v>1703</v>
      </c>
    </row>
    <row r="1276" spans="1:11" s="4" customFormat="1">
      <c r="A1276" s="4">
        <v>111916</v>
      </c>
      <c r="B1276" s="4">
        <v>1</v>
      </c>
      <c r="C1276" s="4">
        <v>1</v>
      </c>
      <c r="D1276" s="4">
        <v>0</v>
      </c>
      <c r="E1276" s="4">
        <v>0</v>
      </c>
      <c r="F1276" s="4">
        <v>1</v>
      </c>
      <c r="G1276" s="4">
        <v>111001</v>
      </c>
      <c r="H1276" s="4">
        <v>1</v>
      </c>
      <c r="I1276" s="4">
        <f t="shared" si="28"/>
        <v>733</v>
      </c>
      <c r="J1276" s="4">
        <f t="shared" si="29"/>
        <v>1099</v>
      </c>
      <c r="K1276" s="4" t="s">
        <v>1704</v>
      </c>
    </row>
    <row r="1277" spans="1:11" s="4" customFormat="1">
      <c r="A1277" s="4">
        <v>111917</v>
      </c>
      <c r="B1277" s="4">
        <v>1</v>
      </c>
      <c r="C1277" s="4">
        <v>1</v>
      </c>
      <c r="D1277" s="4">
        <v>0</v>
      </c>
      <c r="E1277" s="4">
        <v>0</v>
      </c>
      <c r="F1277" s="4">
        <v>1</v>
      </c>
      <c r="G1277" s="4">
        <v>111001</v>
      </c>
      <c r="H1277" s="4">
        <v>1</v>
      </c>
      <c r="I1277" s="4">
        <f t="shared" si="28"/>
        <v>734</v>
      </c>
      <c r="J1277" s="4">
        <f t="shared" si="29"/>
        <v>1100</v>
      </c>
      <c r="K1277" s="4" t="s">
        <v>1705</v>
      </c>
    </row>
    <row r="1278" spans="1:11" s="4" customFormat="1">
      <c r="A1278" s="4">
        <v>111918</v>
      </c>
      <c r="B1278" s="4">
        <v>1</v>
      </c>
      <c r="C1278" s="4">
        <v>1</v>
      </c>
      <c r="D1278" s="4">
        <v>0</v>
      </c>
      <c r="E1278" s="4">
        <v>0</v>
      </c>
      <c r="F1278" s="4">
        <v>1</v>
      </c>
      <c r="G1278" s="4">
        <v>111001</v>
      </c>
      <c r="H1278" s="4">
        <v>1</v>
      </c>
      <c r="I1278" s="4">
        <f t="shared" si="28"/>
        <v>734</v>
      </c>
      <c r="J1278" s="4">
        <f t="shared" si="29"/>
        <v>1102</v>
      </c>
      <c r="K1278" s="4" t="s">
        <v>1706</v>
      </c>
    </row>
    <row r="1279" spans="1:11" s="4" customFormat="1">
      <c r="A1279" s="4">
        <v>111919</v>
      </c>
      <c r="B1279" s="4">
        <v>1</v>
      </c>
      <c r="C1279" s="4">
        <v>1</v>
      </c>
      <c r="D1279" s="4">
        <v>0</v>
      </c>
      <c r="E1279" s="4">
        <v>0</v>
      </c>
      <c r="F1279" s="4">
        <v>1</v>
      </c>
      <c r="G1279" s="4">
        <v>111001</v>
      </c>
      <c r="H1279" s="4">
        <v>1</v>
      </c>
      <c r="I1279" s="4">
        <f t="shared" si="28"/>
        <v>735</v>
      </c>
      <c r="J1279" s="4">
        <f t="shared" si="29"/>
        <v>1103</v>
      </c>
      <c r="K1279" s="4" t="s">
        <v>1707</v>
      </c>
    </row>
    <row r="1280" spans="1:11" s="4" customFormat="1">
      <c r="A1280" s="4">
        <v>111920</v>
      </c>
      <c r="B1280" s="4">
        <v>1</v>
      </c>
      <c r="C1280" s="4">
        <v>1</v>
      </c>
      <c r="D1280" s="4">
        <v>0</v>
      </c>
      <c r="E1280" s="4">
        <v>0</v>
      </c>
      <c r="F1280" s="4">
        <v>1</v>
      </c>
      <c r="G1280" s="4">
        <v>111001</v>
      </c>
      <c r="H1280" s="4">
        <v>1</v>
      </c>
      <c r="I1280" s="4">
        <f t="shared" si="28"/>
        <v>736</v>
      </c>
      <c r="J1280" s="4">
        <f t="shared" si="29"/>
        <v>1104</v>
      </c>
      <c r="K1280" s="4" t="s">
        <v>1708</v>
      </c>
    </row>
    <row r="1281" spans="1:11" s="4" customFormat="1">
      <c r="A1281" s="4">
        <v>111921</v>
      </c>
      <c r="B1281" s="4">
        <v>1</v>
      </c>
      <c r="C1281" s="4">
        <v>1</v>
      </c>
      <c r="D1281" s="4">
        <v>0</v>
      </c>
      <c r="E1281" s="4">
        <v>0</v>
      </c>
      <c r="F1281" s="4">
        <v>1</v>
      </c>
      <c r="G1281" s="4">
        <v>111001</v>
      </c>
      <c r="H1281" s="4">
        <v>1</v>
      </c>
      <c r="I1281" s="4">
        <f t="shared" si="28"/>
        <v>737</v>
      </c>
      <c r="J1281" s="4">
        <f t="shared" si="29"/>
        <v>1105</v>
      </c>
      <c r="K1281" s="4" t="s">
        <v>1709</v>
      </c>
    </row>
    <row r="1282" spans="1:11" s="4" customFormat="1">
      <c r="A1282" s="4">
        <v>111922</v>
      </c>
      <c r="B1282" s="4">
        <v>1</v>
      </c>
      <c r="C1282" s="4">
        <v>1</v>
      </c>
      <c r="D1282" s="4">
        <v>0</v>
      </c>
      <c r="E1282" s="4">
        <v>0</v>
      </c>
      <c r="F1282" s="4">
        <v>1</v>
      </c>
      <c r="G1282" s="4">
        <v>111001</v>
      </c>
      <c r="H1282" s="4">
        <v>1</v>
      </c>
      <c r="I1282" s="4">
        <f t="shared" si="28"/>
        <v>738</v>
      </c>
      <c r="J1282" s="4">
        <f t="shared" si="29"/>
        <v>1106</v>
      </c>
      <c r="K1282" s="4" t="s">
        <v>1710</v>
      </c>
    </row>
    <row r="1283" spans="1:11" s="4" customFormat="1">
      <c r="A1283" s="4">
        <v>111923</v>
      </c>
      <c r="B1283" s="4">
        <v>1</v>
      </c>
      <c r="C1283" s="4">
        <v>1</v>
      </c>
      <c r="D1283" s="4">
        <v>0</v>
      </c>
      <c r="E1283" s="4">
        <v>0</v>
      </c>
      <c r="F1283" s="4">
        <v>1</v>
      </c>
      <c r="G1283" s="4">
        <v>111001</v>
      </c>
      <c r="H1283" s="4">
        <v>1</v>
      </c>
      <c r="I1283" s="4">
        <f t="shared" si="28"/>
        <v>738</v>
      </c>
      <c r="J1283" s="4">
        <f t="shared" si="29"/>
        <v>1108</v>
      </c>
      <c r="K1283" s="4" t="s">
        <v>1711</v>
      </c>
    </row>
    <row r="1284" spans="1:11" s="4" customFormat="1">
      <c r="A1284" s="4">
        <v>111924</v>
      </c>
      <c r="B1284" s="4">
        <v>1</v>
      </c>
      <c r="C1284" s="4">
        <v>1</v>
      </c>
      <c r="D1284" s="4">
        <v>0</v>
      </c>
      <c r="E1284" s="4">
        <v>0</v>
      </c>
      <c r="F1284" s="4">
        <v>1</v>
      </c>
      <c r="G1284" s="4">
        <v>111001</v>
      </c>
      <c r="H1284" s="4">
        <v>1</v>
      </c>
      <c r="I1284" s="4">
        <f t="shared" si="28"/>
        <v>739</v>
      </c>
      <c r="J1284" s="4">
        <f t="shared" si="29"/>
        <v>1109</v>
      </c>
      <c r="K1284" s="4" t="s">
        <v>1712</v>
      </c>
    </row>
    <row r="1285" spans="1:11" s="4" customFormat="1">
      <c r="A1285" s="4">
        <v>111925</v>
      </c>
      <c r="B1285" s="4">
        <v>1</v>
      </c>
      <c r="C1285" s="4">
        <v>1</v>
      </c>
      <c r="D1285" s="4">
        <v>0</v>
      </c>
      <c r="E1285" s="4">
        <v>0</v>
      </c>
      <c r="F1285" s="4">
        <v>1</v>
      </c>
      <c r="G1285" s="4">
        <v>111001</v>
      </c>
      <c r="H1285" s="4">
        <v>1</v>
      </c>
      <c r="I1285" s="4">
        <f t="shared" si="28"/>
        <v>740</v>
      </c>
      <c r="J1285" s="4">
        <f t="shared" si="29"/>
        <v>1110</v>
      </c>
      <c r="K1285" s="4" t="s">
        <v>1713</v>
      </c>
    </row>
    <row r="1286" spans="1:11" s="4" customFormat="1">
      <c r="A1286" s="4">
        <v>111926</v>
      </c>
      <c r="B1286" s="4">
        <v>1</v>
      </c>
      <c r="C1286" s="4">
        <v>1</v>
      </c>
      <c r="D1286" s="4">
        <v>0</v>
      </c>
      <c r="E1286" s="4">
        <v>0</v>
      </c>
      <c r="F1286" s="4">
        <v>1</v>
      </c>
      <c r="G1286" s="4">
        <v>111001</v>
      </c>
      <c r="H1286" s="4">
        <v>1</v>
      </c>
      <c r="I1286" s="4">
        <f t="shared" si="28"/>
        <v>741</v>
      </c>
      <c r="J1286" s="4">
        <f t="shared" si="29"/>
        <v>1111</v>
      </c>
      <c r="K1286" s="4" t="s">
        <v>1714</v>
      </c>
    </row>
    <row r="1287" spans="1:11" s="4" customFormat="1">
      <c r="A1287" s="4">
        <v>111927</v>
      </c>
      <c r="B1287" s="4">
        <v>1</v>
      </c>
      <c r="C1287" s="4">
        <v>1</v>
      </c>
      <c r="D1287" s="4">
        <v>0</v>
      </c>
      <c r="E1287" s="4">
        <v>0</v>
      </c>
      <c r="F1287" s="4">
        <v>1</v>
      </c>
      <c r="G1287" s="4">
        <v>111001</v>
      </c>
      <c r="H1287" s="4">
        <v>1</v>
      </c>
      <c r="I1287" s="4">
        <f t="shared" si="28"/>
        <v>742</v>
      </c>
      <c r="J1287" s="4">
        <f t="shared" si="29"/>
        <v>1112</v>
      </c>
      <c r="K1287" s="4" t="s">
        <v>1715</v>
      </c>
    </row>
    <row r="1288" spans="1:11" s="4" customFormat="1">
      <c r="A1288" s="4">
        <v>111928</v>
      </c>
      <c r="B1288" s="4">
        <v>1</v>
      </c>
      <c r="C1288" s="4">
        <v>1</v>
      </c>
      <c r="D1288" s="4">
        <v>0</v>
      </c>
      <c r="E1288" s="4">
        <v>0</v>
      </c>
      <c r="F1288" s="4">
        <v>1</v>
      </c>
      <c r="G1288" s="4">
        <v>111001</v>
      </c>
      <c r="H1288" s="4">
        <v>1</v>
      </c>
      <c r="I1288" s="4">
        <f t="shared" si="28"/>
        <v>742</v>
      </c>
      <c r="J1288" s="4">
        <f t="shared" si="29"/>
        <v>1114</v>
      </c>
      <c r="K1288" s="4" t="s">
        <v>1716</v>
      </c>
    </row>
    <row r="1289" spans="1:11" s="4" customFormat="1">
      <c r="A1289" s="4">
        <v>111929</v>
      </c>
      <c r="B1289" s="4">
        <v>1</v>
      </c>
      <c r="C1289" s="4">
        <v>1</v>
      </c>
      <c r="D1289" s="4">
        <v>0</v>
      </c>
      <c r="E1289" s="4">
        <v>0</v>
      </c>
      <c r="F1289" s="4">
        <v>1</v>
      </c>
      <c r="G1289" s="4">
        <v>111001</v>
      </c>
      <c r="H1289" s="4">
        <v>1</v>
      </c>
      <c r="I1289" s="4">
        <f t="shared" si="28"/>
        <v>743</v>
      </c>
      <c r="J1289" s="4">
        <f t="shared" si="29"/>
        <v>1115</v>
      </c>
      <c r="K1289" s="4" t="s">
        <v>1717</v>
      </c>
    </row>
    <row r="1290" spans="1:11" s="4" customFormat="1">
      <c r="A1290" s="4">
        <v>111930</v>
      </c>
      <c r="B1290" s="4">
        <v>1</v>
      </c>
      <c r="C1290" s="4">
        <v>1</v>
      </c>
      <c r="D1290" s="4">
        <v>0</v>
      </c>
      <c r="E1290" s="4">
        <v>0</v>
      </c>
      <c r="F1290" s="4">
        <v>1</v>
      </c>
      <c r="G1290" s="4">
        <v>111001</v>
      </c>
      <c r="H1290" s="4">
        <v>1</v>
      </c>
      <c r="I1290" s="4">
        <f t="shared" si="28"/>
        <v>744</v>
      </c>
      <c r="J1290" s="4">
        <f t="shared" si="29"/>
        <v>1116</v>
      </c>
      <c r="K1290" s="4" t="s">
        <v>1718</v>
      </c>
    </row>
    <row r="1291" spans="1:11" s="4" customFormat="1">
      <c r="A1291" s="4">
        <v>111931</v>
      </c>
      <c r="B1291" s="4">
        <v>1</v>
      </c>
      <c r="C1291" s="4">
        <v>1</v>
      </c>
      <c r="D1291" s="4">
        <v>0</v>
      </c>
      <c r="E1291" s="4">
        <v>0</v>
      </c>
      <c r="F1291" s="4">
        <v>1</v>
      </c>
      <c r="G1291" s="4">
        <v>111001</v>
      </c>
      <c r="H1291" s="4">
        <v>1</v>
      </c>
      <c r="I1291" s="4">
        <f t="shared" si="28"/>
        <v>745</v>
      </c>
      <c r="J1291" s="4">
        <f t="shared" si="29"/>
        <v>1117</v>
      </c>
      <c r="K1291" s="4" t="s">
        <v>1719</v>
      </c>
    </row>
    <row r="1292" spans="1:11" s="4" customFormat="1">
      <c r="A1292" s="4">
        <v>111932</v>
      </c>
      <c r="B1292" s="4">
        <v>1</v>
      </c>
      <c r="C1292" s="4">
        <v>1</v>
      </c>
      <c r="D1292" s="4">
        <v>0</v>
      </c>
      <c r="E1292" s="4">
        <v>0</v>
      </c>
      <c r="F1292" s="4">
        <v>1</v>
      </c>
      <c r="G1292" s="4">
        <v>111001</v>
      </c>
      <c r="H1292" s="4">
        <v>1</v>
      </c>
      <c r="I1292" s="4">
        <f t="shared" si="28"/>
        <v>746</v>
      </c>
      <c r="J1292" s="4">
        <f t="shared" si="29"/>
        <v>1118</v>
      </c>
      <c r="K1292" s="4" t="s">
        <v>1720</v>
      </c>
    </row>
    <row r="1293" spans="1:11" s="4" customFormat="1">
      <c r="A1293" s="4">
        <v>111933</v>
      </c>
      <c r="B1293" s="4">
        <v>1</v>
      </c>
      <c r="C1293" s="4">
        <v>1</v>
      </c>
      <c r="D1293" s="4">
        <v>0</v>
      </c>
      <c r="E1293" s="4">
        <v>0</v>
      </c>
      <c r="F1293" s="4">
        <v>1</v>
      </c>
      <c r="G1293" s="4">
        <v>111001</v>
      </c>
      <c r="H1293" s="4">
        <v>1</v>
      </c>
      <c r="I1293" s="4">
        <f t="shared" si="28"/>
        <v>746</v>
      </c>
      <c r="J1293" s="4">
        <f t="shared" si="29"/>
        <v>1120</v>
      </c>
      <c r="K1293" s="4" t="s">
        <v>1721</v>
      </c>
    </row>
    <row r="1294" spans="1:11" s="4" customFormat="1">
      <c r="A1294" s="4">
        <v>111934</v>
      </c>
      <c r="B1294" s="4">
        <v>1</v>
      </c>
      <c r="C1294" s="4">
        <v>1</v>
      </c>
      <c r="D1294" s="4">
        <v>0</v>
      </c>
      <c r="E1294" s="4">
        <v>0</v>
      </c>
      <c r="F1294" s="4">
        <v>1</v>
      </c>
      <c r="G1294" s="4">
        <v>111001</v>
      </c>
      <c r="H1294" s="4">
        <v>1</v>
      </c>
      <c r="I1294" s="4">
        <f t="shared" si="28"/>
        <v>747</v>
      </c>
      <c r="J1294" s="4">
        <f t="shared" si="29"/>
        <v>1121</v>
      </c>
      <c r="K1294" s="4" t="s">
        <v>1722</v>
      </c>
    </row>
    <row r="1295" spans="1:11" s="4" customFormat="1">
      <c r="A1295" s="4">
        <v>111935</v>
      </c>
      <c r="B1295" s="4">
        <v>1</v>
      </c>
      <c r="C1295" s="4">
        <v>1</v>
      </c>
      <c r="D1295" s="4">
        <v>0</v>
      </c>
      <c r="E1295" s="4">
        <v>0</v>
      </c>
      <c r="F1295" s="4">
        <v>1</v>
      </c>
      <c r="G1295" s="4">
        <v>111001</v>
      </c>
      <c r="H1295" s="4">
        <v>1</v>
      </c>
      <c r="I1295" s="4">
        <f t="shared" si="28"/>
        <v>748</v>
      </c>
      <c r="J1295" s="4">
        <f t="shared" si="29"/>
        <v>1122</v>
      </c>
      <c r="K1295" s="4" t="s">
        <v>1723</v>
      </c>
    </row>
    <row r="1296" spans="1:11" s="4" customFormat="1">
      <c r="A1296" s="4">
        <v>111936</v>
      </c>
      <c r="B1296" s="4">
        <v>1</v>
      </c>
      <c r="C1296" s="4">
        <v>1</v>
      </c>
      <c r="D1296" s="4">
        <v>0</v>
      </c>
      <c r="E1296" s="4">
        <v>0</v>
      </c>
      <c r="F1296" s="4">
        <v>1</v>
      </c>
      <c r="G1296" s="4">
        <v>111001</v>
      </c>
      <c r="H1296" s="4">
        <v>1</v>
      </c>
      <c r="I1296" s="4">
        <f t="shared" si="28"/>
        <v>749</v>
      </c>
      <c r="J1296" s="4">
        <f t="shared" si="29"/>
        <v>1123</v>
      </c>
      <c r="K1296" s="4" t="s">
        <v>1724</v>
      </c>
    </row>
    <row r="1297" spans="1:11" s="4" customFormat="1">
      <c r="A1297" s="4">
        <v>111937</v>
      </c>
      <c r="B1297" s="4">
        <v>1</v>
      </c>
      <c r="C1297" s="4">
        <v>1</v>
      </c>
      <c r="D1297" s="4">
        <v>0</v>
      </c>
      <c r="E1297" s="4">
        <v>0</v>
      </c>
      <c r="F1297" s="4">
        <v>1</v>
      </c>
      <c r="G1297" s="4">
        <v>111001</v>
      </c>
      <c r="H1297" s="4">
        <v>1</v>
      </c>
      <c r="I1297" s="4">
        <f t="shared" si="28"/>
        <v>750</v>
      </c>
      <c r="J1297" s="4">
        <f t="shared" si="29"/>
        <v>1124</v>
      </c>
      <c r="K1297" s="4" t="s">
        <v>1725</v>
      </c>
    </row>
    <row r="1298" spans="1:11" s="4" customFormat="1">
      <c r="A1298" s="4">
        <v>111938</v>
      </c>
      <c r="B1298" s="4">
        <v>1</v>
      </c>
      <c r="C1298" s="4">
        <v>1</v>
      </c>
      <c r="D1298" s="4">
        <v>0</v>
      </c>
      <c r="E1298" s="4">
        <v>0</v>
      </c>
      <c r="F1298" s="4">
        <v>1</v>
      </c>
      <c r="G1298" s="4">
        <v>111001</v>
      </c>
      <c r="H1298" s="4">
        <v>1</v>
      </c>
      <c r="I1298" s="4">
        <f t="shared" si="28"/>
        <v>750</v>
      </c>
      <c r="J1298" s="4">
        <f t="shared" si="29"/>
        <v>1126</v>
      </c>
      <c r="K1298" s="4" t="s">
        <v>1726</v>
      </c>
    </row>
    <row r="1299" spans="1:11" s="4" customFormat="1">
      <c r="A1299" s="4">
        <v>111939</v>
      </c>
      <c r="B1299" s="4">
        <v>1</v>
      </c>
      <c r="C1299" s="4">
        <v>1</v>
      </c>
      <c r="D1299" s="4">
        <v>0</v>
      </c>
      <c r="E1299" s="4">
        <v>0</v>
      </c>
      <c r="F1299" s="4">
        <v>1</v>
      </c>
      <c r="G1299" s="4">
        <v>111001</v>
      </c>
      <c r="H1299" s="4">
        <v>1</v>
      </c>
      <c r="I1299" s="4">
        <f t="shared" si="28"/>
        <v>751</v>
      </c>
      <c r="J1299" s="4">
        <f t="shared" si="29"/>
        <v>1127</v>
      </c>
      <c r="K1299" s="4" t="s">
        <v>1727</v>
      </c>
    </row>
    <row r="1300" spans="1:11" s="4" customFormat="1">
      <c r="A1300" s="4">
        <v>111940</v>
      </c>
      <c r="B1300" s="4">
        <v>1</v>
      </c>
      <c r="C1300" s="4">
        <v>1</v>
      </c>
      <c r="D1300" s="4">
        <v>0</v>
      </c>
      <c r="E1300" s="4">
        <v>0</v>
      </c>
      <c r="F1300" s="4">
        <v>1</v>
      </c>
      <c r="G1300" s="4">
        <v>111001</v>
      </c>
      <c r="H1300" s="4">
        <v>1</v>
      </c>
      <c r="I1300" s="4">
        <f t="shared" si="28"/>
        <v>752</v>
      </c>
      <c r="J1300" s="4">
        <f t="shared" si="29"/>
        <v>1128</v>
      </c>
      <c r="K1300" s="4" t="s">
        <v>1728</v>
      </c>
    </row>
    <row r="1301" spans="1:11" s="4" customFormat="1">
      <c r="A1301" s="4">
        <v>111941</v>
      </c>
      <c r="B1301" s="4">
        <v>1</v>
      </c>
      <c r="C1301" s="4">
        <v>1</v>
      </c>
      <c r="D1301" s="4">
        <v>0</v>
      </c>
      <c r="E1301" s="4">
        <v>0</v>
      </c>
      <c r="F1301" s="4">
        <v>1</v>
      </c>
      <c r="G1301" s="4">
        <v>111001</v>
      </c>
      <c r="H1301" s="4">
        <v>1</v>
      </c>
      <c r="I1301" s="4">
        <f t="shared" si="28"/>
        <v>753</v>
      </c>
      <c r="J1301" s="4">
        <f t="shared" si="29"/>
        <v>1129</v>
      </c>
      <c r="K1301" s="4" t="s">
        <v>1729</v>
      </c>
    </row>
    <row r="1302" spans="1:11" s="4" customFormat="1">
      <c r="A1302" s="4">
        <v>111942</v>
      </c>
      <c r="B1302" s="4">
        <v>1</v>
      </c>
      <c r="C1302" s="4">
        <v>1</v>
      </c>
      <c r="D1302" s="4">
        <v>0</v>
      </c>
      <c r="E1302" s="4">
        <v>0</v>
      </c>
      <c r="F1302" s="4">
        <v>1</v>
      </c>
      <c r="G1302" s="4">
        <v>111001</v>
      </c>
      <c r="H1302" s="4">
        <v>1</v>
      </c>
      <c r="I1302" s="4">
        <f t="shared" si="28"/>
        <v>754</v>
      </c>
      <c r="J1302" s="4">
        <f t="shared" si="29"/>
        <v>1130</v>
      </c>
      <c r="K1302" s="4" t="s">
        <v>1730</v>
      </c>
    </row>
    <row r="1303" spans="1:11" s="4" customFormat="1">
      <c r="A1303" s="4">
        <v>111943</v>
      </c>
      <c r="B1303" s="4">
        <v>1</v>
      </c>
      <c r="C1303" s="4">
        <v>1</v>
      </c>
      <c r="D1303" s="4">
        <v>0</v>
      </c>
      <c r="E1303" s="4">
        <v>0</v>
      </c>
      <c r="F1303" s="4">
        <v>1</v>
      </c>
      <c r="G1303" s="4">
        <v>111001</v>
      </c>
      <c r="H1303" s="4">
        <v>1</v>
      </c>
      <c r="I1303" s="4">
        <f t="shared" si="28"/>
        <v>754</v>
      </c>
      <c r="J1303" s="4">
        <f t="shared" si="29"/>
        <v>1132</v>
      </c>
      <c r="K1303" s="4" t="s">
        <v>1731</v>
      </c>
    </row>
    <row r="1304" spans="1:11" s="4" customFormat="1">
      <c r="A1304" s="4">
        <v>111944</v>
      </c>
      <c r="B1304" s="4">
        <v>1</v>
      </c>
      <c r="C1304" s="4">
        <v>1</v>
      </c>
      <c r="D1304" s="4">
        <v>0</v>
      </c>
      <c r="E1304" s="4">
        <v>0</v>
      </c>
      <c r="F1304" s="4">
        <v>1</v>
      </c>
      <c r="G1304" s="4">
        <v>111001</v>
      </c>
      <c r="H1304" s="4">
        <v>1</v>
      </c>
      <c r="I1304" s="4">
        <f t="shared" si="28"/>
        <v>755</v>
      </c>
      <c r="J1304" s="4">
        <f t="shared" si="29"/>
        <v>1133</v>
      </c>
      <c r="K1304" s="4" t="s">
        <v>1732</v>
      </c>
    </row>
    <row r="1305" spans="1:11" s="4" customFormat="1">
      <c r="A1305" s="4">
        <v>111945</v>
      </c>
      <c r="B1305" s="4">
        <v>1</v>
      </c>
      <c r="C1305" s="4">
        <v>1</v>
      </c>
      <c r="D1305" s="4">
        <v>0</v>
      </c>
      <c r="E1305" s="4">
        <v>0</v>
      </c>
      <c r="F1305" s="4">
        <v>1</v>
      </c>
      <c r="G1305" s="4">
        <v>111001</v>
      </c>
      <c r="H1305" s="4">
        <v>1</v>
      </c>
      <c r="I1305" s="4">
        <f t="shared" si="28"/>
        <v>756</v>
      </c>
      <c r="J1305" s="4">
        <f t="shared" si="29"/>
        <v>1134</v>
      </c>
      <c r="K1305" s="4" t="s">
        <v>1733</v>
      </c>
    </row>
    <row r="1306" spans="1:11" s="4" customFormat="1">
      <c r="A1306" s="4">
        <v>111946</v>
      </c>
      <c r="B1306" s="4">
        <v>1</v>
      </c>
      <c r="C1306" s="4">
        <v>1</v>
      </c>
      <c r="D1306" s="4">
        <v>0</v>
      </c>
      <c r="E1306" s="4">
        <v>0</v>
      </c>
      <c r="F1306" s="4">
        <v>1</v>
      </c>
      <c r="G1306" s="4">
        <v>111001</v>
      </c>
      <c r="H1306" s="4">
        <v>1</v>
      </c>
      <c r="I1306" s="4">
        <f t="shared" si="28"/>
        <v>757</v>
      </c>
      <c r="J1306" s="4">
        <f t="shared" si="29"/>
        <v>1135</v>
      </c>
      <c r="K1306" s="4" t="s">
        <v>1734</v>
      </c>
    </row>
    <row r="1307" spans="1:11" s="4" customFormat="1">
      <c r="A1307" s="4">
        <v>111947</v>
      </c>
      <c r="B1307" s="4">
        <v>1</v>
      </c>
      <c r="C1307" s="4">
        <v>1</v>
      </c>
      <c r="D1307" s="4">
        <v>0</v>
      </c>
      <c r="E1307" s="4">
        <v>0</v>
      </c>
      <c r="F1307" s="4">
        <v>1</v>
      </c>
      <c r="G1307" s="4">
        <v>111001</v>
      </c>
      <c r="H1307" s="4">
        <v>1</v>
      </c>
      <c r="I1307" s="4">
        <f t="shared" si="28"/>
        <v>758</v>
      </c>
      <c r="J1307" s="4">
        <f t="shared" si="29"/>
        <v>1136</v>
      </c>
      <c r="K1307" s="4" t="s">
        <v>1735</v>
      </c>
    </row>
    <row r="1308" spans="1:11" s="4" customFormat="1">
      <c r="A1308" s="4">
        <v>111948</v>
      </c>
      <c r="B1308" s="4">
        <v>1</v>
      </c>
      <c r="C1308" s="4">
        <v>1</v>
      </c>
      <c r="D1308" s="4">
        <v>0</v>
      </c>
      <c r="E1308" s="4">
        <v>0</v>
      </c>
      <c r="F1308" s="4">
        <v>1</v>
      </c>
      <c r="G1308" s="4">
        <v>111001</v>
      </c>
      <c r="H1308" s="4">
        <v>1</v>
      </c>
      <c r="I1308" s="4">
        <f t="shared" si="28"/>
        <v>758</v>
      </c>
      <c r="J1308" s="4">
        <f t="shared" si="29"/>
        <v>1138</v>
      </c>
      <c r="K1308" s="4" t="s">
        <v>1736</v>
      </c>
    </row>
    <row r="1309" spans="1:11" s="4" customFormat="1">
      <c r="A1309" s="4">
        <v>111949</v>
      </c>
      <c r="B1309" s="4">
        <v>1</v>
      </c>
      <c r="C1309" s="4">
        <v>1</v>
      </c>
      <c r="D1309" s="4">
        <v>0</v>
      </c>
      <c r="E1309" s="4">
        <v>0</v>
      </c>
      <c r="F1309" s="4">
        <v>1</v>
      </c>
      <c r="G1309" s="4">
        <v>111001</v>
      </c>
      <c r="H1309" s="4">
        <v>1</v>
      </c>
      <c r="I1309" s="4">
        <f t="shared" si="28"/>
        <v>759</v>
      </c>
      <c r="J1309" s="4">
        <f t="shared" si="29"/>
        <v>1139</v>
      </c>
      <c r="K1309" s="4" t="s">
        <v>1737</v>
      </c>
    </row>
    <row r="1310" spans="1:11" s="4" customFormat="1">
      <c r="A1310" s="4">
        <v>111950</v>
      </c>
      <c r="B1310" s="4">
        <v>1</v>
      </c>
      <c r="C1310" s="4">
        <v>1</v>
      </c>
      <c r="D1310" s="4">
        <v>0</v>
      </c>
      <c r="E1310" s="4">
        <v>0</v>
      </c>
      <c r="F1310" s="4">
        <v>1</v>
      </c>
      <c r="G1310" s="4">
        <v>111001</v>
      </c>
      <c r="H1310" s="4">
        <v>1</v>
      </c>
      <c r="I1310" s="4">
        <f t="shared" si="28"/>
        <v>760</v>
      </c>
      <c r="J1310" s="4">
        <f t="shared" si="29"/>
        <v>1140</v>
      </c>
      <c r="K1310" s="4" t="s">
        <v>1738</v>
      </c>
    </row>
    <row r="1311" spans="1:11" s="4" customFormat="1">
      <c r="A1311" s="4">
        <v>111951</v>
      </c>
      <c r="B1311" s="4">
        <v>1</v>
      </c>
      <c r="C1311" s="4">
        <v>1</v>
      </c>
      <c r="D1311" s="4">
        <v>0</v>
      </c>
      <c r="E1311" s="4">
        <v>0</v>
      </c>
      <c r="F1311" s="4">
        <v>1</v>
      </c>
      <c r="G1311" s="4">
        <v>111001</v>
      </c>
      <c r="H1311" s="4">
        <v>1</v>
      </c>
      <c r="I1311" s="4">
        <f t="shared" si="28"/>
        <v>761</v>
      </c>
      <c r="J1311" s="4">
        <f t="shared" si="29"/>
        <v>1141</v>
      </c>
      <c r="K1311" s="4" t="s">
        <v>1739</v>
      </c>
    </row>
    <row r="1312" spans="1:11" s="4" customFormat="1">
      <c r="A1312" s="4">
        <v>111952</v>
      </c>
      <c r="B1312" s="4">
        <v>1</v>
      </c>
      <c r="C1312" s="4">
        <v>1</v>
      </c>
      <c r="D1312" s="4">
        <v>0</v>
      </c>
      <c r="E1312" s="4">
        <v>0</v>
      </c>
      <c r="F1312" s="4">
        <v>1</v>
      </c>
      <c r="G1312" s="4">
        <v>111001</v>
      </c>
      <c r="H1312" s="4">
        <v>1</v>
      </c>
      <c r="I1312" s="4">
        <f t="shared" si="28"/>
        <v>762</v>
      </c>
      <c r="J1312" s="4">
        <f t="shared" si="29"/>
        <v>1142</v>
      </c>
      <c r="K1312" s="4" t="s">
        <v>1740</v>
      </c>
    </row>
    <row r="1313" spans="1:11" s="4" customFormat="1">
      <c r="A1313" s="4">
        <v>111953</v>
      </c>
      <c r="B1313" s="4">
        <v>1</v>
      </c>
      <c r="C1313" s="4">
        <v>1</v>
      </c>
      <c r="D1313" s="4">
        <v>0</v>
      </c>
      <c r="E1313" s="4">
        <v>0</v>
      </c>
      <c r="F1313" s="4">
        <v>1</v>
      </c>
      <c r="G1313" s="4">
        <v>111001</v>
      </c>
      <c r="H1313" s="4">
        <v>1</v>
      </c>
      <c r="I1313" s="4">
        <f t="shared" si="28"/>
        <v>762</v>
      </c>
      <c r="J1313" s="4">
        <f t="shared" si="29"/>
        <v>1144</v>
      </c>
      <c r="K1313" s="4" t="s">
        <v>1741</v>
      </c>
    </row>
    <row r="1314" spans="1:11" s="4" customFormat="1">
      <c r="A1314" s="4">
        <v>111954</v>
      </c>
      <c r="B1314" s="4">
        <v>1</v>
      </c>
      <c r="C1314" s="4">
        <v>1</v>
      </c>
      <c r="D1314" s="4">
        <v>0</v>
      </c>
      <c r="E1314" s="4">
        <v>0</v>
      </c>
      <c r="F1314" s="4">
        <v>1</v>
      </c>
      <c r="G1314" s="4">
        <v>111001</v>
      </c>
      <c r="H1314" s="4">
        <v>1</v>
      </c>
      <c r="I1314" s="4">
        <f t="shared" si="28"/>
        <v>763</v>
      </c>
      <c r="J1314" s="4">
        <f t="shared" si="29"/>
        <v>1145</v>
      </c>
      <c r="K1314" s="4" t="s">
        <v>1742</v>
      </c>
    </row>
    <row r="1315" spans="1:11" s="4" customFormat="1">
      <c r="A1315" s="4">
        <v>111955</v>
      </c>
      <c r="B1315" s="4">
        <v>1</v>
      </c>
      <c r="C1315" s="4">
        <v>1</v>
      </c>
      <c r="D1315" s="4">
        <v>0</v>
      </c>
      <c r="E1315" s="4">
        <v>0</v>
      </c>
      <c r="F1315" s="4">
        <v>1</v>
      </c>
      <c r="G1315" s="4">
        <v>111001</v>
      </c>
      <c r="H1315" s="4">
        <v>1</v>
      </c>
      <c r="I1315" s="4">
        <f t="shared" si="28"/>
        <v>764</v>
      </c>
      <c r="J1315" s="4">
        <f t="shared" si="29"/>
        <v>1146</v>
      </c>
      <c r="K1315" s="4" t="s">
        <v>1743</v>
      </c>
    </row>
    <row r="1316" spans="1:11" s="4" customFormat="1">
      <c r="A1316" s="4">
        <v>111956</v>
      </c>
      <c r="B1316" s="4">
        <v>1</v>
      </c>
      <c r="C1316" s="4">
        <v>1</v>
      </c>
      <c r="D1316" s="4">
        <v>0</v>
      </c>
      <c r="E1316" s="4">
        <v>0</v>
      </c>
      <c r="F1316" s="4">
        <v>1</v>
      </c>
      <c r="G1316" s="4">
        <v>111001</v>
      </c>
      <c r="H1316" s="4">
        <v>1</v>
      </c>
      <c r="I1316" s="4">
        <f t="shared" si="28"/>
        <v>765</v>
      </c>
      <c r="J1316" s="4">
        <f t="shared" si="29"/>
        <v>1147</v>
      </c>
      <c r="K1316" s="4" t="s">
        <v>1744</v>
      </c>
    </row>
    <row r="1317" spans="1:11" s="4" customFormat="1">
      <c r="A1317" s="4">
        <v>111957</v>
      </c>
      <c r="B1317" s="4">
        <v>1</v>
      </c>
      <c r="C1317" s="4">
        <v>1</v>
      </c>
      <c r="D1317" s="4">
        <v>0</v>
      </c>
      <c r="E1317" s="4">
        <v>0</v>
      </c>
      <c r="F1317" s="4">
        <v>1</v>
      </c>
      <c r="G1317" s="4">
        <v>111001</v>
      </c>
      <c r="H1317" s="4">
        <v>1</v>
      </c>
      <c r="I1317" s="4">
        <f t="shared" si="28"/>
        <v>766</v>
      </c>
      <c r="J1317" s="4">
        <f t="shared" si="29"/>
        <v>1148</v>
      </c>
      <c r="K1317" s="4" t="s">
        <v>1745</v>
      </c>
    </row>
    <row r="1318" spans="1:11" s="4" customFormat="1">
      <c r="A1318" s="4">
        <v>111958</v>
      </c>
      <c r="B1318" s="4">
        <v>1</v>
      </c>
      <c r="C1318" s="4">
        <v>1</v>
      </c>
      <c r="D1318" s="4">
        <v>0</v>
      </c>
      <c r="E1318" s="4">
        <v>0</v>
      </c>
      <c r="F1318" s="4">
        <v>1</v>
      </c>
      <c r="G1318" s="4">
        <v>111001</v>
      </c>
      <c r="H1318" s="4">
        <v>1</v>
      </c>
      <c r="I1318" s="4">
        <f t="shared" si="28"/>
        <v>766</v>
      </c>
      <c r="J1318" s="4">
        <f t="shared" si="29"/>
        <v>1150</v>
      </c>
      <c r="K1318" s="4" t="s">
        <v>1746</v>
      </c>
    </row>
    <row r="1319" spans="1:11" s="4" customFormat="1">
      <c r="A1319" s="4">
        <v>111959</v>
      </c>
      <c r="B1319" s="4">
        <v>1</v>
      </c>
      <c r="C1319" s="4">
        <v>1</v>
      </c>
      <c r="D1319" s="4">
        <v>0</v>
      </c>
      <c r="E1319" s="4">
        <v>0</v>
      </c>
      <c r="F1319" s="4">
        <v>1</v>
      </c>
      <c r="G1319" s="4">
        <v>111001</v>
      </c>
      <c r="H1319" s="4">
        <v>1</v>
      </c>
      <c r="I1319" s="4">
        <f t="shared" si="28"/>
        <v>767</v>
      </c>
      <c r="J1319" s="4">
        <f t="shared" si="29"/>
        <v>1151</v>
      </c>
      <c r="K1319" s="4" t="s">
        <v>1747</v>
      </c>
    </row>
    <row r="1320" spans="1:11" s="4" customFormat="1">
      <c r="A1320" s="4">
        <v>111960</v>
      </c>
      <c r="B1320" s="4">
        <v>1</v>
      </c>
      <c r="C1320" s="4">
        <v>1</v>
      </c>
      <c r="D1320" s="4">
        <v>0</v>
      </c>
      <c r="E1320" s="4">
        <v>0</v>
      </c>
      <c r="F1320" s="4">
        <v>1</v>
      </c>
      <c r="G1320" s="4">
        <v>111001</v>
      </c>
      <c r="H1320" s="4">
        <v>1</v>
      </c>
      <c r="I1320" s="4">
        <f t="shared" si="28"/>
        <v>768</v>
      </c>
      <c r="J1320" s="4">
        <f t="shared" si="29"/>
        <v>1152</v>
      </c>
      <c r="K1320" s="4" t="s">
        <v>1748</v>
      </c>
    </row>
    <row r="1321" spans="1:11" s="4" customFormat="1">
      <c r="A1321" s="4">
        <v>111961</v>
      </c>
      <c r="B1321" s="4">
        <v>1</v>
      </c>
      <c r="C1321" s="4">
        <v>1</v>
      </c>
      <c r="D1321" s="4">
        <v>0</v>
      </c>
      <c r="E1321" s="4">
        <v>0</v>
      </c>
      <c r="F1321" s="4">
        <v>1</v>
      </c>
      <c r="G1321" s="4">
        <v>111001</v>
      </c>
      <c r="H1321" s="4">
        <v>1</v>
      </c>
      <c r="I1321" s="4">
        <f t="shared" si="28"/>
        <v>769</v>
      </c>
      <c r="J1321" s="4">
        <f t="shared" si="29"/>
        <v>1153</v>
      </c>
      <c r="K1321" s="4" t="s">
        <v>1749</v>
      </c>
    </row>
    <row r="1322" spans="1:11" s="4" customFormat="1">
      <c r="A1322" s="4">
        <v>111962</v>
      </c>
      <c r="B1322" s="4">
        <v>1</v>
      </c>
      <c r="C1322" s="4">
        <v>1</v>
      </c>
      <c r="D1322" s="4">
        <v>0</v>
      </c>
      <c r="E1322" s="4">
        <v>0</v>
      </c>
      <c r="F1322" s="4">
        <v>1</v>
      </c>
      <c r="G1322" s="4">
        <v>111001</v>
      </c>
      <c r="H1322" s="4">
        <v>1</v>
      </c>
      <c r="I1322" s="4">
        <f t="shared" ref="I1322:I1359" si="30">ROUND(RIGHT(A1322,3)*80%,0)</f>
        <v>770</v>
      </c>
      <c r="J1322" s="4">
        <f t="shared" ref="J1322:J1359" si="31">ROUND(RIGHT(A1322,3)*120%,0)</f>
        <v>1154</v>
      </c>
      <c r="K1322" s="4" t="s">
        <v>1750</v>
      </c>
    </row>
    <row r="1323" spans="1:11" s="4" customFormat="1">
      <c r="A1323" s="4">
        <v>111963</v>
      </c>
      <c r="B1323" s="4">
        <v>1</v>
      </c>
      <c r="C1323" s="4">
        <v>1</v>
      </c>
      <c r="D1323" s="4">
        <v>0</v>
      </c>
      <c r="E1323" s="4">
        <v>0</v>
      </c>
      <c r="F1323" s="4">
        <v>1</v>
      </c>
      <c r="G1323" s="4">
        <v>111001</v>
      </c>
      <c r="H1323" s="4">
        <v>1</v>
      </c>
      <c r="I1323" s="4">
        <f t="shared" si="30"/>
        <v>770</v>
      </c>
      <c r="J1323" s="4">
        <f t="shared" si="31"/>
        <v>1156</v>
      </c>
      <c r="K1323" s="4" t="s">
        <v>1751</v>
      </c>
    </row>
    <row r="1324" spans="1:11" s="4" customFormat="1">
      <c r="A1324" s="4">
        <v>111964</v>
      </c>
      <c r="B1324" s="4">
        <v>1</v>
      </c>
      <c r="C1324" s="4">
        <v>1</v>
      </c>
      <c r="D1324" s="4">
        <v>0</v>
      </c>
      <c r="E1324" s="4">
        <v>0</v>
      </c>
      <c r="F1324" s="4">
        <v>1</v>
      </c>
      <c r="G1324" s="4">
        <v>111001</v>
      </c>
      <c r="H1324" s="4">
        <v>1</v>
      </c>
      <c r="I1324" s="4">
        <f t="shared" si="30"/>
        <v>771</v>
      </c>
      <c r="J1324" s="4">
        <f t="shared" si="31"/>
        <v>1157</v>
      </c>
      <c r="K1324" s="4" t="s">
        <v>1752</v>
      </c>
    </row>
    <row r="1325" spans="1:11" s="4" customFormat="1">
      <c r="A1325" s="4">
        <v>111965</v>
      </c>
      <c r="B1325" s="4">
        <v>1</v>
      </c>
      <c r="C1325" s="4">
        <v>1</v>
      </c>
      <c r="D1325" s="4">
        <v>0</v>
      </c>
      <c r="E1325" s="4">
        <v>0</v>
      </c>
      <c r="F1325" s="4">
        <v>1</v>
      </c>
      <c r="G1325" s="4">
        <v>111001</v>
      </c>
      <c r="H1325" s="4">
        <v>1</v>
      </c>
      <c r="I1325" s="4">
        <f t="shared" si="30"/>
        <v>772</v>
      </c>
      <c r="J1325" s="4">
        <f t="shared" si="31"/>
        <v>1158</v>
      </c>
      <c r="K1325" s="4" t="s">
        <v>1753</v>
      </c>
    </row>
    <row r="1326" spans="1:11" s="4" customFormat="1">
      <c r="A1326" s="4">
        <v>111966</v>
      </c>
      <c r="B1326" s="4">
        <v>1</v>
      </c>
      <c r="C1326" s="4">
        <v>1</v>
      </c>
      <c r="D1326" s="4">
        <v>0</v>
      </c>
      <c r="E1326" s="4">
        <v>0</v>
      </c>
      <c r="F1326" s="4">
        <v>1</v>
      </c>
      <c r="G1326" s="4">
        <v>111001</v>
      </c>
      <c r="H1326" s="4">
        <v>1</v>
      </c>
      <c r="I1326" s="4">
        <f t="shared" si="30"/>
        <v>773</v>
      </c>
      <c r="J1326" s="4">
        <f t="shared" si="31"/>
        <v>1159</v>
      </c>
      <c r="K1326" s="4" t="s">
        <v>1754</v>
      </c>
    </row>
    <row r="1327" spans="1:11" s="4" customFormat="1">
      <c r="A1327" s="4">
        <v>111967</v>
      </c>
      <c r="B1327" s="4">
        <v>1</v>
      </c>
      <c r="C1327" s="4">
        <v>1</v>
      </c>
      <c r="D1327" s="4">
        <v>0</v>
      </c>
      <c r="E1327" s="4">
        <v>0</v>
      </c>
      <c r="F1327" s="4">
        <v>1</v>
      </c>
      <c r="G1327" s="4">
        <v>111001</v>
      </c>
      <c r="H1327" s="4">
        <v>1</v>
      </c>
      <c r="I1327" s="4">
        <f t="shared" si="30"/>
        <v>774</v>
      </c>
      <c r="J1327" s="4">
        <f t="shared" si="31"/>
        <v>1160</v>
      </c>
      <c r="K1327" s="4" t="s">
        <v>1755</v>
      </c>
    </row>
    <row r="1328" spans="1:11" s="4" customFormat="1">
      <c r="A1328" s="4">
        <v>111968</v>
      </c>
      <c r="B1328" s="4">
        <v>1</v>
      </c>
      <c r="C1328" s="4">
        <v>1</v>
      </c>
      <c r="D1328" s="4">
        <v>0</v>
      </c>
      <c r="E1328" s="4">
        <v>0</v>
      </c>
      <c r="F1328" s="4">
        <v>1</v>
      </c>
      <c r="G1328" s="4">
        <v>111001</v>
      </c>
      <c r="H1328" s="4">
        <v>1</v>
      </c>
      <c r="I1328" s="4">
        <f t="shared" si="30"/>
        <v>774</v>
      </c>
      <c r="J1328" s="4">
        <f t="shared" si="31"/>
        <v>1162</v>
      </c>
      <c r="K1328" s="4" t="s">
        <v>1756</v>
      </c>
    </row>
    <row r="1329" spans="1:11" s="4" customFormat="1">
      <c r="A1329" s="4">
        <v>111969</v>
      </c>
      <c r="B1329" s="4">
        <v>1</v>
      </c>
      <c r="C1329" s="4">
        <v>1</v>
      </c>
      <c r="D1329" s="4">
        <v>0</v>
      </c>
      <c r="E1329" s="4">
        <v>0</v>
      </c>
      <c r="F1329" s="4">
        <v>1</v>
      </c>
      <c r="G1329" s="4">
        <v>111001</v>
      </c>
      <c r="H1329" s="4">
        <v>1</v>
      </c>
      <c r="I1329" s="4">
        <f t="shared" si="30"/>
        <v>775</v>
      </c>
      <c r="J1329" s="4">
        <f t="shared" si="31"/>
        <v>1163</v>
      </c>
      <c r="K1329" s="4" t="s">
        <v>1757</v>
      </c>
    </row>
    <row r="1330" spans="1:11" s="4" customFormat="1">
      <c r="A1330" s="4">
        <v>111970</v>
      </c>
      <c r="B1330" s="4">
        <v>1</v>
      </c>
      <c r="C1330" s="4">
        <v>1</v>
      </c>
      <c r="D1330" s="4">
        <v>0</v>
      </c>
      <c r="E1330" s="4">
        <v>0</v>
      </c>
      <c r="F1330" s="4">
        <v>1</v>
      </c>
      <c r="G1330" s="4">
        <v>111001</v>
      </c>
      <c r="H1330" s="4">
        <v>1</v>
      </c>
      <c r="I1330" s="4">
        <f t="shared" si="30"/>
        <v>776</v>
      </c>
      <c r="J1330" s="4">
        <f t="shared" si="31"/>
        <v>1164</v>
      </c>
      <c r="K1330" s="4" t="s">
        <v>1758</v>
      </c>
    </row>
    <row r="1331" spans="1:11" s="4" customFormat="1">
      <c r="A1331" s="4">
        <v>111971</v>
      </c>
      <c r="B1331" s="4">
        <v>1</v>
      </c>
      <c r="C1331" s="4">
        <v>1</v>
      </c>
      <c r="D1331" s="4">
        <v>0</v>
      </c>
      <c r="E1331" s="4">
        <v>0</v>
      </c>
      <c r="F1331" s="4">
        <v>1</v>
      </c>
      <c r="G1331" s="4">
        <v>111001</v>
      </c>
      <c r="H1331" s="4">
        <v>1</v>
      </c>
      <c r="I1331" s="4">
        <f t="shared" si="30"/>
        <v>777</v>
      </c>
      <c r="J1331" s="4">
        <f t="shared" si="31"/>
        <v>1165</v>
      </c>
      <c r="K1331" s="4" t="s">
        <v>1759</v>
      </c>
    </row>
    <row r="1332" spans="1:11" s="4" customFormat="1">
      <c r="A1332" s="4">
        <v>111972</v>
      </c>
      <c r="B1332" s="4">
        <v>1</v>
      </c>
      <c r="C1332" s="4">
        <v>1</v>
      </c>
      <c r="D1332" s="4">
        <v>0</v>
      </c>
      <c r="E1332" s="4">
        <v>0</v>
      </c>
      <c r="F1332" s="4">
        <v>1</v>
      </c>
      <c r="G1332" s="4">
        <v>111001</v>
      </c>
      <c r="H1332" s="4">
        <v>1</v>
      </c>
      <c r="I1332" s="4">
        <f t="shared" si="30"/>
        <v>778</v>
      </c>
      <c r="J1332" s="4">
        <f t="shared" si="31"/>
        <v>1166</v>
      </c>
      <c r="K1332" s="4" t="s">
        <v>1760</v>
      </c>
    </row>
    <row r="1333" spans="1:11" s="4" customFormat="1">
      <c r="A1333" s="4">
        <v>111973</v>
      </c>
      <c r="B1333" s="4">
        <v>1</v>
      </c>
      <c r="C1333" s="4">
        <v>1</v>
      </c>
      <c r="D1333" s="4">
        <v>0</v>
      </c>
      <c r="E1333" s="4">
        <v>0</v>
      </c>
      <c r="F1333" s="4">
        <v>1</v>
      </c>
      <c r="G1333" s="4">
        <v>111001</v>
      </c>
      <c r="H1333" s="4">
        <v>1</v>
      </c>
      <c r="I1333" s="4">
        <f t="shared" si="30"/>
        <v>778</v>
      </c>
      <c r="J1333" s="4">
        <f t="shared" si="31"/>
        <v>1168</v>
      </c>
      <c r="K1333" s="4" t="s">
        <v>1761</v>
      </c>
    </row>
    <row r="1334" spans="1:11" s="4" customFormat="1">
      <c r="A1334" s="4">
        <v>111974</v>
      </c>
      <c r="B1334" s="4">
        <v>1</v>
      </c>
      <c r="C1334" s="4">
        <v>1</v>
      </c>
      <c r="D1334" s="4">
        <v>0</v>
      </c>
      <c r="E1334" s="4">
        <v>0</v>
      </c>
      <c r="F1334" s="4">
        <v>1</v>
      </c>
      <c r="G1334" s="4">
        <v>111001</v>
      </c>
      <c r="H1334" s="4">
        <v>1</v>
      </c>
      <c r="I1334" s="4">
        <f t="shared" si="30"/>
        <v>779</v>
      </c>
      <c r="J1334" s="4">
        <f t="shared" si="31"/>
        <v>1169</v>
      </c>
      <c r="K1334" s="4" t="s">
        <v>1762</v>
      </c>
    </row>
    <row r="1335" spans="1:11" s="4" customFormat="1">
      <c r="A1335" s="4">
        <v>111975</v>
      </c>
      <c r="B1335" s="4">
        <v>1</v>
      </c>
      <c r="C1335" s="4">
        <v>1</v>
      </c>
      <c r="D1335" s="4">
        <v>0</v>
      </c>
      <c r="E1335" s="4">
        <v>0</v>
      </c>
      <c r="F1335" s="4">
        <v>1</v>
      </c>
      <c r="G1335" s="4">
        <v>111001</v>
      </c>
      <c r="H1335" s="4">
        <v>1</v>
      </c>
      <c r="I1335" s="4">
        <f t="shared" si="30"/>
        <v>780</v>
      </c>
      <c r="J1335" s="4">
        <f t="shared" si="31"/>
        <v>1170</v>
      </c>
      <c r="K1335" s="4" t="s">
        <v>1763</v>
      </c>
    </row>
    <row r="1336" spans="1:11" s="4" customFormat="1">
      <c r="A1336" s="4">
        <v>111976</v>
      </c>
      <c r="B1336" s="4">
        <v>1</v>
      </c>
      <c r="C1336" s="4">
        <v>1</v>
      </c>
      <c r="D1336" s="4">
        <v>0</v>
      </c>
      <c r="E1336" s="4">
        <v>0</v>
      </c>
      <c r="F1336" s="4">
        <v>1</v>
      </c>
      <c r="G1336" s="4">
        <v>111001</v>
      </c>
      <c r="H1336" s="4">
        <v>1</v>
      </c>
      <c r="I1336" s="4">
        <f t="shared" si="30"/>
        <v>781</v>
      </c>
      <c r="J1336" s="4">
        <f t="shared" si="31"/>
        <v>1171</v>
      </c>
      <c r="K1336" s="4" t="s">
        <v>1764</v>
      </c>
    </row>
    <row r="1337" spans="1:11" s="4" customFormat="1">
      <c r="A1337" s="4">
        <v>111977</v>
      </c>
      <c r="B1337" s="4">
        <v>1</v>
      </c>
      <c r="C1337" s="4">
        <v>1</v>
      </c>
      <c r="D1337" s="4">
        <v>0</v>
      </c>
      <c r="E1337" s="4">
        <v>0</v>
      </c>
      <c r="F1337" s="4">
        <v>1</v>
      </c>
      <c r="G1337" s="4">
        <v>111001</v>
      </c>
      <c r="H1337" s="4">
        <v>1</v>
      </c>
      <c r="I1337" s="4">
        <f t="shared" si="30"/>
        <v>782</v>
      </c>
      <c r="J1337" s="4">
        <f t="shared" si="31"/>
        <v>1172</v>
      </c>
      <c r="K1337" s="4" t="s">
        <v>1765</v>
      </c>
    </row>
    <row r="1338" spans="1:11" s="4" customFormat="1">
      <c r="A1338" s="4">
        <v>111978</v>
      </c>
      <c r="B1338" s="4">
        <v>1</v>
      </c>
      <c r="C1338" s="4">
        <v>1</v>
      </c>
      <c r="D1338" s="4">
        <v>0</v>
      </c>
      <c r="E1338" s="4">
        <v>0</v>
      </c>
      <c r="F1338" s="4">
        <v>1</v>
      </c>
      <c r="G1338" s="4">
        <v>111001</v>
      </c>
      <c r="H1338" s="4">
        <v>1</v>
      </c>
      <c r="I1338" s="4">
        <f t="shared" si="30"/>
        <v>782</v>
      </c>
      <c r="J1338" s="4">
        <f t="shared" si="31"/>
        <v>1174</v>
      </c>
      <c r="K1338" s="4" t="s">
        <v>1766</v>
      </c>
    </row>
    <row r="1339" spans="1:11" s="4" customFormat="1">
      <c r="A1339" s="4">
        <v>111979</v>
      </c>
      <c r="B1339" s="4">
        <v>1</v>
      </c>
      <c r="C1339" s="4">
        <v>1</v>
      </c>
      <c r="D1339" s="4">
        <v>0</v>
      </c>
      <c r="E1339" s="4">
        <v>0</v>
      </c>
      <c r="F1339" s="4">
        <v>1</v>
      </c>
      <c r="G1339" s="4">
        <v>111001</v>
      </c>
      <c r="H1339" s="4">
        <v>1</v>
      </c>
      <c r="I1339" s="4">
        <f t="shared" si="30"/>
        <v>783</v>
      </c>
      <c r="J1339" s="4">
        <f t="shared" si="31"/>
        <v>1175</v>
      </c>
      <c r="K1339" s="4" t="s">
        <v>1767</v>
      </c>
    </row>
    <row r="1340" spans="1:11" s="4" customFormat="1">
      <c r="A1340" s="4">
        <v>111980</v>
      </c>
      <c r="B1340" s="4">
        <v>1</v>
      </c>
      <c r="C1340" s="4">
        <v>1</v>
      </c>
      <c r="D1340" s="4">
        <v>0</v>
      </c>
      <c r="E1340" s="4">
        <v>0</v>
      </c>
      <c r="F1340" s="4">
        <v>1</v>
      </c>
      <c r="G1340" s="4">
        <v>111001</v>
      </c>
      <c r="H1340" s="4">
        <v>1</v>
      </c>
      <c r="I1340" s="4">
        <f t="shared" si="30"/>
        <v>784</v>
      </c>
      <c r="J1340" s="4">
        <f t="shared" si="31"/>
        <v>1176</v>
      </c>
      <c r="K1340" s="4" t="s">
        <v>1768</v>
      </c>
    </row>
    <row r="1341" spans="1:11" s="4" customFormat="1">
      <c r="A1341" s="4">
        <v>111981</v>
      </c>
      <c r="B1341" s="4">
        <v>1</v>
      </c>
      <c r="C1341" s="4">
        <v>1</v>
      </c>
      <c r="D1341" s="4">
        <v>0</v>
      </c>
      <c r="E1341" s="4">
        <v>0</v>
      </c>
      <c r="F1341" s="4">
        <v>1</v>
      </c>
      <c r="G1341" s="4">
        <v>111001</v>
      </c>
      <c r="H1341" s="4">
        <v>1</v>
      </c>
      <c r="I1341" s="4">
        <f t="shared" si="30"/>
        <v>785</v>
      </c>
      <c r="J1341" s="4">
        <f t="shared" si="31"/>
        <v>1177</v>
      </c>
      <c r="K1341" s="4" t="s">
        <v>1769</v>
      </c>
    </row>
    <row r="1342" spans="1:11" s="4" customFormat="1">
      <c r="A1342" s="4">
        <v>111982</v>
      </c>
      <c r="B1342" s="4">
        <v>1</v>
      </c>
      <c r="C1342" s="4">
        <v>1</v>
      </c>
      <c r="D1342" s="4">
        <v>0</v>
      </c>
      <c r="E1342" s="4">
        <v>0</v>
      </c>
      <c r="F1342" s="4">
        <v>1</v>
      </c>
      <c r="G1342" s="4">
        <v>111001</v>
      </c>
      <c r="H1342" s="4">
        <v>1</v>
      </c>
      <c r="I1342" s="4">
        <f t="shared" si="30"/>
        <v>786</v>
      </c>
      <c r="J1342" s="4">
        <f t="shared" si="31"/>
        <v>1178</v>
      </c>
      <c r="K1342" s="4" t="s">
        <v>1770</v>
      </c>
    </row>
    <row r="1343" spans="1:11" s="4" customFormat="1">
      <c r="A1343" s="4">
        <v>111983</v>
      </c>
      <c r="B1343" s="4">
        <v>1</v>
      </c>
      <c r="C1343" s="4">
        <v>1</v>
      </c>
      <c r="D1343" s="4">
        <v>0</v>
      </c>
      <c r="E1343" s="4">
        <v>0</v>
      </c>
      <c r="F1343" s="4">
        <v>1</v>
      </c>
      <c r="G1343" s="4">
        <v>111001</v>
      </c>
      <c r="H1343" s="4">
        <v>1</v>
      </c>
      <c r="I1343" s="4">
        <f t="shared" si="30"/>
        <v>786</v>
      </c>
      <c r="J1343" s="4">
        <f t="shared" si="31"/>
        <v>1180</v>
      </c>
      <c r="K1343" s="4" t="s">
        <v>1771</v>
      </c>
    </row>
    <row r="1344" spans="1:11" s="4" customFormat="1">
      <c r="A1344" s="4">
        <v>111984</v>
      </c>
      <c r="B1344" s="4">
        <v>1</v>
      </c>
      <c r="C1344" s="4">
        <v>1</v>
      </c>
      <c r="D1344" s="4">
        <v>0</v>
      </c>
      <c r="E1344" s="4">
        <v>0</v>
      </c>
      <c r="F1344" s="4">
        <v>1</v>
      </c>
      <c r="G1344" s="4">
        <v>111001</v>
      </c>
      <c r="H1344" s="4">
        <v>1</v>
      </c>
      <c r="I1344" s="4">
        <f t="shared" si="30"/>
        <v>787</v>
      </c>
      <c r="J1344" s="4">
        <f t="shared" si="31"/>
        <v>1181</v>
      </c>
      <c r="K1344" s="4" t="s">
        <v>1772</v>
      </c>
    </row>
    <row r="1345" spans="1:11" s="4" customFormat="1">
      <c r="A1345" s="4">
        <v>111985</v>
      </c>
      <c r="B1345" s="4">
        <v>1</v>
      </c>
      <c r="C1345" s="4">
        <v>1</v>
      </c>
      <c r="D1345" s="4">
        <v>0</v>
      </c>
      <c r="E1345" s="4">
        <v>0</v>
      </c>
      <c r="F1345" s="4">
        <v>1</v>
      </c>
      <c r="G1345" s="4">
        <v>111001</v>
      </c>
      <c r="H1345" s="4">
        <v>1</v>
      </c>
      <c r="I1345" s="4">
        <f t="shared" si="30"/>
        <v>788</v>
      </c>
      <c r="J1345" s="4">
        <f t="shared" si="31"/>
        <v>1182</v>
      </c>
      <c r="K1345" s="4" t="s">
        <v>1773</v>
      </c>
    </row>
    <row r="1346" spans="1:11" s="4" customFormat="1">
      <c r="A1346" s="4">
        <v>111986</v>
      </c>
      <c r="B1346" s="4">
        <v>1</v>
      </c>
      <c r="C1346" s="4">
        <v>1</v>
      </c>
      <c r="D1346" s="4">
        <v>0</v>
      </c>
      <c r="E1346" s="4">
        <v>0</v>
      </c>
      <c r="F1346" s="4">
        <v>1</v>
      </c>
      <c r="G1346" s="4">
        <v>111001</v>
      </c>
      <c r="H1346" s="4">
        <v>1</v>
      </c>
      <c r="I1346" s="4">
        <f t="shared" si="30"/>
        <v>789</v>
      </c>
      <c r="J1346" s="4">
        <f t="shared" si="31"/>
        <v>1183</v>
      </c>
      <c r="K1346" s="4" t="s">
        <v>1774</v>
      </c>
    </row>
    <row r="1347" spans="1:11" s="4" customFormat="1">
      <c r="A1347" s="4">
        <v>111987</v>
      </c>
      <c r="B1347" s="4">
        <v>1</v>
      </c>
      <c r="C1347" s="4">
        <v>1</v>
      </c>
      <c r="D1347" s="4">
        <v>0</v>
      </c>
      <c r="E1347" s="4">
        <v>0</v>
      </c>
      <c r="F1347" s="4">
        <v>1</v>
      </c>
      <c r="G1347" s="4">
        <v>111001</v>
      </c>
      <c r="H1347" s="4">
        <v>1</v>
      </c>
      <c r="I1347" s="4">
        <f t="shared" si="30"/>
        <v>790</v>
      </c>
      <c r="J1347" s="4">
        <f t="shared" si="31"/>
        <v>1184</v>
      </c>
      <c r="K1347" s="4" t="s">
        <v>1775</v>
      </c>
    </row>
    <row r="1348" spans="1:11" s="4" customFormat="1">
      <c r="A1348" s="4">
        <v>111988</v>
      </c>
      <c r="B1348" s="4">
        <v>1</v>
      </c>
      <c r="C1348" s="4">
        <v>1</v>
      </c>
      <c r="D1348" s="4">
        <v>0</v>
      </c>
      <c r="E1348" s="4">
        <v>0</v>
      </c>
      <c r="F1348" s="4">
        <v>1</v>
      </c>
      <c r="G1348" s="4">
        <v>111001</v>
      </c>
      <c r="H1348" s="4">
        <v>1</v>
      </c>
      <c r="I1348" s="4">
        <f t="shared" si="30"/>
        <v>790</v>
      </c>
      <c r="J1348" s="4">
        <f t="shared" si="31"/>
        <v>1186</v>
      </c>
      <c r="K1348" s="4" t="s">
        <v>1776</v>
      </c>
    </row>
    <row r="1349" spans="1:11" s="4" customFormat="1">
      <c r="A1349" s="4">
        <v>111989</v>
      </c>
      <c r="B1349" s="4">
        <v>1</v>
      </c>
      <c r="C1349" s="4">
        <v>1</v>
      </c>
      <c r="D1349" s="4">
        <v>0</v>
      </c>
      <c r="E1349" s="4">
        <v>0</v>
      </c>
      <c r="F1349" s="4">
        <v>1</v>
      </c>
      <c r="G1349" s="4">
        <v>111001</v>
      </c>
      <c r="H1349" s="4">
        <v>1</v>
      </c>
      <c r="I1349" s="4">
        <f t="shared" si="30"/>
        <v>791</v>
      </c>
      <c r="J1349" s="4">
        <f t="shared" si="31"/>
        <v>1187</v>
      </c>
      <c r="K1349" s="4" t="s">
        <v>1777</v>
      </c>
    </row>
    <row r="1350" spans="1:11" s="4" customFormat="1">
      <c r="A1350" s="4">
        <v>111990</v>
      </c>
      <c r="B1350" s="4">
        <v>1</v>
      </c>
      <c r="C1350" s="4">
        <v>1</v>
      </c>
      <c r="D1350" s="4">
        <v>0</v>
      </c>
      <c r="E1350" s="4">
        <v>0</v>
      </c>
      <c r="F1350" s="4">
        <v>1</v>
      </c>
      <c r="G1350" s="4">
        <v>111001</v>
      </c>
      <c r="H1350" s="4">
        <v>1</v>
      </c>
      <c r="I1350" s="4">
        <f t="shared" si="30"/>
        <v>792</v>
      </c>
      <c r="J1350" s="4">
        <f t="shared" si="31"/>
        <v>1188</v>
      </c>
      <c r="K1350" s="4" t="s">
        <v>1778</v>
      </c>
    </row>
    <row r="1351" spans="1:11" s="4" customFormat="1">
      <c r="A1351" s="4">
        <v>111991</v>
      </c>
      <c r="B1351" s="4">
        <v>1</v>
      </c>
      <c r="C1351" s="4">
        <v>1</v>
      </c>
      <c r="D1351" s="4">
        <v>0</v>
      </c>
      <c r="E1351" s="4">
        <v>0</v>
      </c>
      <c r="F1351" s="4">
        <v>1</v>
      </c>
      <c r="G1351" s="4">
        <v>111001</v>
      </c>
      <c r="H1351" s="4">
        <v>1</v>
      </c>
      <c r="I1351" s="4">
        <f t="shared" si="30"/>
        <v>793</v>
      </c>
      <c r="J1351" s="4">
        <f t="shared" si="31"/>
        <v>1189</v>
      </c>
      <c r="K1351" s="4" t="s">
        <v>1779</v>
      </c>
    </row>
    <row r="1352" spans="1:11" s="4" customFormat="1">
      <c r="A1352" s="4">
        <v>111992</v>
      </c>
      <c r="B1352" s="4">
        <v>1</v>
      </c>
      <c r="C1352" s="4">
        <v>1</v>
      </c>
      <c r="D1352" s="4">
        <v>0</v>
      </c>
      <c r="E1352" s="4">
        <v>0</v>
      </c>
      <c r="F1352" s="4">
        <v>1</v>
      </c>
      <c r="G1352" s="4">
        <v>111001</v>
      </c>
      <c r="H1352" s="4">
        <v>1</v>
      </c>
      <c r="I1352" s="4">
        <f t="shared" si="30"/>
        <v>794</v>
      </c>
      <c r="J1352" s="4">
        <f t="shared" si="31"/>
        <v>1190</v>
      </c>
      <c r="K1352" s="4" t="s">
        <v>1780</v>
      </c>
    </row>
    <row r="1353" spans="1:11" s="4" customFormat="1">
      <c r="A1353" s="4">
        <v>111993</v>
      </c>
      <c r="B1353" s="4">
        <v>1</v>
      </c>
      <c r="C1353" s="4">
        <v>1</v>
      </c>
      <c r="D1353" s="4">
        <v>0</v>
      </c>
      <c r="E1353" s="4">
        <v>0</v>
      </c>
      <c r="F1353" s="4">
        <v>1</v>
      </c>
      <c r="G1353" s="4">
        <v>111001</v>
      </c>
      <c r="H1353" s="4">
        <v>1</v>
      </c>
      <c r="I1353" s="4">
        <f t="shared" si="30"/>
        <v>794</v>
      </c>
      <c r="J1353" s="4">
        <f t="shared" si="31"/>
        <v>1192</v>
      </c>
      <c r="K1353" s="4" t="s">
        <v>1781</v>
      </c>
    </row>
    <row r="1354" spans="1:11" s="4" customFormat="1">
      <c r="A1354" s="4">
        <v>111994</v>
      </c>
      <c r="B1354" s="4">
        <v>1</v>
      </c>
      <c r="C1354" s="4">
        <v>1</v>
      </c>
      <c r="D1354" s="4">
        <v>0</v>
      </c>
      <c r="E1354" s="4">
        <v>0</v>
      </c>
      <c r="F1354" s="4">
        <v>1</v>
      </c>
      <c r="G1354" s="4">
        <v>111001</v>
      </c>
      <c r="H1354" s="4">
        <v>1</v>
      </c>
      <c r="I1354" s="4">
        <f t="shared" si="30"/>
        <v>795</v>
      </c>
      <c r="J1354" s="4">
        <f t="shared" si="31"/>
        <v>1193</v>
      </c>
      <c r="K1354" s="4" t="s">
        <v>1782</v>
      </c>
    </row>
    <row r="1355" spans="1:11" s="4" customFormat="1">
      <c r="A1355" s="4">
        <v>111995</v>
      </c>
      <c r="B1355" s="4">
        <v>1</v>
      </c>
      <c r="C1355" s="4">
        <v>1</v>
      </c>
      <c r="D1355" s="4">
        <v>0</v>
      </c>
      <c r="E1355" s="4">
        <v>0</v>
      </c>
      <c r="F1355" s="4">
        <v>1</v>
      </c>
      <c r="G1355" s="4">
        <v>111001</v>
      </c>
      <c r="H1355" s="4">
        <v>1</v>
      </c>
      <c r="I1355" s="4">
        <f t="shared" si="30"/>
        <v>796</v>
      </c>
      <c r="J1355" s="4">
        <f t="shared" si="31"/>
        <v>1194</v>
      </c>
      <c r="K1355" s="4" t="s">
        <v>1783</v>
      </c>
    </row>
    <row r="1356" spans="1:11" s="4" customFormat="1">
      <c r="A1356" s="4">
        <v>111996</v>
      </c>
      <c r="B1356" s="4">
        <v>1</v>
      </c>
      <c r="C1356" s="4">
        <v>1</v>
      </c>
      <c r="D1356" s="4">
        <v>0</v>
      </c>
      <c r="E1356" s="4">
        <v>0</v>
      </c>
      <c r="F1356" s="4">
        <v>1</v>
      </c>
      <c r="G1356" s="4">
        <v>111001</v>
      </c>
      <c r="H1356" s="4">
        <v>1</v>
      </c>
      <c r="I1356" s="4">
        <f t="shared" si="30"/>
        <v>797</v>
      </c>
      <c r="J1356" s="4">
        <f t="shared" si="31"/>
        <v>1195</v>
      </c>
      <c r="K1356" s="4" t="s">
        <v>1784</v>
      </c>
    </row>
    <row r="1357" spans="1:11" s="4" customFormat="1">
      <c r="A1357" s="4">
        <v>111997</v>
      </c>
      <c r="B1357" s="4">
        <v>1</v>
      </c>
      <c r="C1357" s="4">
        <v>1</v>
      </c>
      <c r="D1357" s="4">
        <v>0</v>
      </c>
      <c r="E1357" s="4">
        <v>0</v>
      </c>
      <c r="F1357" s="4">
        <v>1</v>
      </c>
      <c r="G1357" s="4">
        <v>111001</v>
      </c>
      <c r="H1357" s="4">
        <v>1</v>
      </c>
      <c r="I1357" s="4">
        <f t="shared" si="30"/>
        <v>798</v>
      </c>
      <c r="J1357" s="4">
        <f t="shared" si="31"/>
        <v>1196</v>
      </c>
      <c r="K1357" s="4" t="s">
        <v>1785</v>
      </c>
    </row>
    <row r="1358" spans="1:11" s="4" customFormat="1">
      <c r="A1358" s="4">
        <v>111998</v>
      </c>
      <c r="B1358" s="4">
        <v>1</v>
      </c>
      <c r="C1358" s="4">
        <v>1</v>
      </c>
      <c r="D1358" s="4">
        <v>0</v>
      </c>
      <c r="E1358" s="4">
        <v>0</v>
      </c>
      <c r="F1358" s="4">
        <v>1</v>
      </c>
      <c r="G1358" s="4">
        <v>111001</v>
      </c>
      <c r="H1358" s="4">
        <v>1</v>
      </c>
      <c r="I1358" s="4">
        <f t="shared" si="30"/>
        <v>798</v>
      </c>
      <c r="J1358" s="4">
        <f t="shared" si="31"/>
        <v>1198</v>
      </c>
      <c r="K1358" s="4" t="s">
        <v>1786</v>
      </c>
    </row>
    <row r="1359" spans="1:11" s="4" customFormat="1">
      <c r="A1359" s="4">
        <v>111999</v>
      </c>
      <c r="B1359" s="4">
        <v>1</v>
      </c>
      <c r="C1359" s="4">
        <v>1</v>
      </c>
      <c r="D1359" s="4">
        <v>0</v>
      </c>
      <c r="E1359" s="4">
        <v>0</v>
      </c>
      <c r="F1359" s="4">
        <v>1</v>
      </c>
      <c r="G1359" s="4">
        <v>111001</v>
      </c>
      <c r="H1359" s="4">
        <v>1</v>
      </c>
      <c r="I1359" s="4">
        <f t="shared" si="30"/>
        <v>799</v>
      </c>
      <c r="J1359" s="4">
        <f t="shared" si="31"/>
        <v>1199</v>
      </c>
      <c r="K1359" s="4" t="s">
        <v>1787</v>
      </c>
    </row>
    <row r="1360" spans="1:11" s="4" customFormat="1">
      <c r="A1360" s="4">
        <v>112001</v>
      </c>
      <c r="B1360" s="4">
        <v>1</v>
      </c>
      <c r="C1360" s="4">
        <v>1</v>
      </c>
      <c r="D1360" s="4">
        <v>0</v>
      </c>
      <c r="E1360" s="4">
        <v>0</v>
      </c>
      <c r="F1360" s="4">
        <v>1</v>
      </c>
      <c r="G1360" s="4">
        <v>111003</v>
      </c>
      <c r="H1360" s="4">
        <v>1</v>
      </c>
      <c r="I1360" s="4">
        <f>ROUND(RIGHT(A1360,3)*80%,0)</f>
        <v>1</v>
      </c>
      <c r="J1360" s="4">
        <f>ROUND(RIGHT(A1360,3)*120%,0)</f>
        <v>1</v>
      </c>
      <c r="K1360" s="4" t="s">
        <v>2448</v>
      </c>
    </row>
    <row r="1361" spans="1:11" s="4" customFormat="1">
      <c r="A1361" s="4">
        <v>112002</v>
      </c>
      <c r="B1361" s="4">
        <v>1</v>
      </c>
      <c r="C1361" s="4">
        <v>1</v>
      </c>
      <c r="D1361" s="4">
        <v>0</v>
      </c>
      <c r="E1361" s="4">
        <v>0</v>
      </c>
      <c r="F1361" s="4">
        <v>1</v>
      </c>
      <c r="G1361" s="4">
        <v>111003</v>
      </c>
      <c r="H1361" s="4">
        <v>1</v>
      </c>
      <c r="I1361" s="4">
        <f t="shared" ref="I1361:I1424" si="32">ROUND(RIGHT(A1361,3)*80%,0)</f>
        <v>2</v>
      </c>
      <c r="J1361" s="4">
        <f t="shared" ref="J1361:J1424" si="33">ROUND(RIGHT(A1361,3)*120%,0)</f>
        <v>2</v>
      </c>
      <c r="K1361" s="4" t="s">
        <v>2449</v>
      </c>
    </row>
    <row r="1362" spans="1:11" s="4" customFormat="1">
      <c r="A1362" s="4">
        <v>112003</v>
      </c>
      <c r="B1362" s="4">
        <v>1</v>
      </c>
      <c r="C1362" s="4">
        <v>1</v>
      </c>
      <c r="D1362" s="4">
        <v>0</v>
      </c>
      <c r="E1362" s="4">
        <v>0</v>
      </c>
      <c r="F1362" s="4">
        <v>1</v>
      </c>
      <c r="G1362" s="4">
        <v>111003</v>
      </c>
      <c r="H1362" s="4">
        <v>1</v>
      </c>
      <c r="I1362" s="4">
        <f t="shared" si="32"/>
        <v>2</v>
      </c>
      <c r="J1362" s="4">
        <f t="shared" si="33"/>
        <v>4</v>
      </c>
      <c r="K1362" s="4" t="s">
        <v>2450</v>
      </c>
    </row>
    <row r="1363" spans="1:11" s="4" customFormat="1">
      <c r="A1363" s="4">
        <v>112004</v>
      </c>
      <c r="B1363" s="4">
        <v>1</v>
      </c>
      <c r="C1363" s="4">
        <v>1</v>
      </c>
      <c r="D1363" s="4">
        <v>0</v>
      </c>
      <c r="E1363" s="4">
        <v>0</v>
      </c>
      <c r="F1363" s="4">
        <v>1</v>
      </c>
      <c r="G1363" s="4">
        <v>111003</v>
      </c>
      <c r="H1363" s="4">
        <v>1</v>
      </c>
      <c r="I1363" s="4">
        <f t="shared" si="32"/>
        <v>3</v>
      </c>
      <c r="J1363" s="4">
        <f t="shared" si="33"/>
        <v>5</v>
      </c>
      <c r="K1363" s="4" t="s">
        <v>2451</v>
      </c>
    </row>
    <row r="1364" spans="1:11" s="4" customFormat="1">
      <c r="A1364" s="4">
        <v>112005</v>
      </c>
      <c r="B1364" s="4">
        <v>1</v>
      </c>
      <c r="C1364" s="4">
        <v>1</v>
      </c>
      <c r="D1364" s="4">
        <v>0</v>
      </c>
      <c r="E1364" s="4">
        <v>0</v>
      </c>
      <c r="F1364" s="4">
        <v>1</v>
      </c>
      <c r="G1364" s="4">
        <v>111003</v>
      </c>
      <c r="H1364" s="4">
        <v>1</v>
      </c>
      <c r="I1364" s="4">
        <f t="shared" si="32"/>
        <v>4</v>
      </c>
      <c r="J1364" s="4">
        <f t="shared" si="33"/>
        <v>6</v>
      </c>
      <c r="K1364" s="4" t="s">
        <v>2452</v>
      </c>
    </row>
    <row r="1365" spans="1:11" s="4" customFormat="1">
      <c r="A1365" s="4">
        <v>112006</v>
      </c>
      <c r="B1365" s="4">
        <v>1</v>
      </c>
      <c r="C1365" s="4">
        <v>1</v>
      </c>
      <c r="D1365" s="4">
        <v>0</v>
      </c>
      <c r="E1365" s="4">
        <v>0</v>
      </c>
      <c r="F1365" s="4">
        <v>1</v>
      </c>
      <c r="G1365" s="4">
        <v>111003</v>
      </c>
      <c r="H1365" s="4">
        <v>1</v>
      </c>
      <c r="I1365" s="4">
        <f t="shared" si="32"/>
        <v>5</v>
      </c>
      <c r="J1365" s="4">
        <f t="shared" si="33"/>
        <v>7</v>
      </c>
      <c r="K1365" s="4" t="s">
        <v>2453</v>
      </c>
    </row>
    <row r="1366" spans="1:11" s="4" customFormat="1">
      <c r="A1366" s="4">
        <v>112007</v>
      </c>
      <c r="B1366" s="4">
        <v>1</v>
      </c>
      <c r="C1366" s="4">
        <v>1</v>
      </c>
      <c r="D1366" s="4">
        <v>0</v>
      </c>
      <c r="E1366" s="4">
        <v>0</v>
      </c>
      <c r="F1366" s="4">
        <v>1</v>
      </c>
      <c r="G1366" s="4">
        <v>111003</v>
      </c>
      <c r="H1366" s="4">
        <v>1</v>
      </c>
      <c r="I1366" s="4">
        <f t="shared" si="32"/>
        <v>6</v>
      </c>
      <c r="J1366" s="4">
        <f t="shared" si="33"/>
        <v>8</v>
      </c>
      <c r="K1366" s="4" t="s">
        <v>2454</v>
      </c>
    </row>
    <row r="1367" spans="1:11" s="4" customFormat="1">
      <c r="A1367" s="4">
        <v>112008</v>
      </c>
      <c r="B1367" s="4">
        <v>1</v>
      </c>
      <c r="C1367" s="4">
        <v>1</v>
      </c>
      <c r="D1367" s="4">
        <v>0</v>
      </c>
      <c r="E1367" s="4">
        <v>0</v>
      </c>
      <c r="F1367" s="4">
        <v>1</v>
      </c>
      <c r="G1367" s="4">
        <v>111003</v>
      </c>
      <c r="H1367" s="4">
        <v>1</v>
      </c>
      <c r="I1367" s="4">
        <f t="shared" si="32"/>
        <v>6</v>
      </c>
      <c r="J1367" s="4">
        <f t="shared" si="33"/>
        <v>10</v>
      </c>
      <c r="K1367" s="4" t="s">
        <v>2455</v>
      </c>
    </row>
    <row r="1368" spans="1:11" s="4" customFormat="1">
      <c r="A1368" s="4">
        <v>112009</v>
      </c>
      <c r="B1368" s="4">
        <v>1</v>
      </c>
      <c r="C1368" s="4">
        <v>1</v>
      </c>
      <c r="D1368" s="4">
        <v>0</v>
      </c>
      <c r="E1368" s="4">
        <v>0</v>
      </c>
      <c r="F1368" s="4">
        <v>1</v>
      </c>
      <c r="G1368" s="4">
        <v>111003</v>
      </c>
      <c r="H1368" s="4">
        <v>1</v>
      </c>
      <c r="I1368" s="4">
        <f t="shared" si="32"/>
        <v>7</v>
      </c>
      <c r="J1368" s="4">
        <f t="shared" si="33"/>
        <v>11</v>
      </c>
      <c r="K1368" s="4" t="s">
        <v>2456</v>
      </c>
    </row>
    <row r="1369" spans="1:11" s="4" customFormat="1">
      <c r="A1369" s="4">
        <v>112010</v>
      </c>
      <c r="B1369" s="4">
        <v>1</v>
      </c>
      <c r="C1369" s="4">
        <v>1</v>
      </c>
      <c r="D1369" s="4">
        <v>0</v>
      </c>
      <c r="E1369" s="4">
        <v>0</v>
      </c>
      <c r="F1369" s="4">
        <v>1</v>
      </c>
      <c r="G1369" s="4">
        <v>111003</v>
      </c>
      <c r="H1369" s="4">
        <v>1</v>
      </c>
      <c r="I1369" s="4">
        <f t="shared" si="32"/>
        <v>8</v>
      </c>
      <c r="J1369" s="4">
        <f t="shared" si="33"/>
        <v>12</v>
      </c>
      <c r="K1369" s="4" t="s">
        <v>2457</v>
      </c>
    </row>
    <row r="1370" spans="1:11" s="4" customFormat="1">
      <c r="A1370" s="4">
        <v>112011</v>
      </c>
      <c r="B1370" s="4">
        <v>1</v>
      </c>
      <c r="C1370" s="4">
        <v>1</v>
      </c>
      <c r="D1370" s="4">
        <v>0</v>
      </c>
      <c r="E1370" s="4">
        <v>0</v>
      </c>
      <c r="F1370" s="4">
        <v>1</v>
      </c>
      <c r="G1370" s="4">
        <v>111003</v>
      </c>
      <c r="H1370" s="4">
        <v>1</v>
      </c>
      <c r="I1370" s="4">
        <f t="shared" si="32"/>
        <v>9</v>
      </c>
      <c r="J1370" s="4">
        <f t="shared" si="33"/>
        <v>13</v>
      </c>
      <c r="K1370" s="4" t="s">
        <v>2458</v>
      </c>
    </row>
    <row r="1371" spans="1:11" s="4" customFormat="1">
      <c r="A1371" s="4">
        <v>112012</v>
      </c>
      <c r="B1371" s="4">
        <v>1</v>
      </c>
      <c r="C1371" s="4">
        <v>1</v>
      </c>
      <c r="D1371" s="4">
        <v>0</v>
      </c>
      <c r="E1371" s="4">
        <v>0</v>
      </c>
      <c r="F1371" s="4">
        <v>1</v>
      </c>
      <c r="G1371" s="4">
        <v>111003</v>
      </c>
      <c r="H1371" s="4">
        <v>1</v>
      </c>
      <c r="I1371" s="4">
        <f t="shared" si="32"/>
        <v>10</v>
      </c>
      <c r="J1371" s="4">
        <f t="shared" si="33"/>
        <v>14</v>
      </c>
      <c r="K1371" s="4" t="s">
        <v>2459</v>
      </c>
    </row>
    <row r="1372" spans="1:11" s="4" customFormat="1">
      <c r="A1372" s="4">
        <v>112013</v>
      </c>
      <c r="B1372" s="4">
        <v>1</v>
      </c>
      <c r="C1372" s="4">
        <v>1</v>
      </c>
      <c r="D1372" s="4">
        <v>0</v>
      </c>
      <c r="E1372" s="4">
        <v>0</v>
      </c>
      <c r="F1372" s="4">
        <v>1</v>
      </c>
      <c r="G1372" s="4">
        <v>111003</v>
      </c>
      <c r="H1372" s="4">
        <v>1</v>
      </c>
      <c r="I1372" s="4">
        <f t="shared" si="32"/>
        <v>10</v>
      </c>
      <c r="J1372" s="4">
        <f t="shared" si="33"/>
        <v>16</v>
      </c>
      <c r="K1372" s="4" t="s">
        <v>2460</v>
      </c>
    </row>
    <row r="1373" spans="1:11" s="4" customFormat="1">
      <c r="A1373" s="4">
        <v>112014</v>
      </c>
      <c r="B1373" s="4">
        <v>1</v>
      </c>
      <c r="C1373" s="4">
        <v>1</v>
      </c>
      <c r="D1373" s="4">
        <v>0</v>
      </c>
      <c r="E1373" s="4">
        <v>0</v>
      </c>
      <c r="F1373" s="4">
        <v>1</v>
      </c>
      <c r="G1373" s="4">
        <v>111003</v>
      </c>
      <c r="H1373" s="4">
        <v>1</v>
      </c>
      <c r="I1373" s="4">
        <f t="shared" si="32"/>
        <v>11</v>
      </c>
      <c r="J1373" s="4">
        <f t="shared" si="33"/>
        <v>17</v>
      </c>
      <c r="K1373" s="4" t="s">
        <v>2461</v>
      </c>
    </row>
    <row r="1374" spans="1:11" s="4" customFormat="1">
      <c r="A1374" s="4">
        <v>112015</v>
      </c>
      <c r="B1374" s="4">
        <v>1</v>
      </c>
      <c r="C1374" s="4">
        <v>1</v>
      </c>
      <c r="D1374" s="4">
        <v>0</v>
      </c>
      <c r="E1374" s="4">
        <v>0</v>
      </c>
      <c r="F1374" s="4">
        <v>1</v>
      </c>
      <c r="G1374" s="4">
        <v>111003</v>
      </c>
      <c r="H1374" s="4">
        <v>1</v>
      </c>
      <c r="I1374" s="4">
        <f t="shared" si="32"/>
        <v>12</v>
      </c>
      <c r="J1374" s="4">
        <f t="shared" si="33"/>
        <v>18</v>
      </c>
      <c r="K1374" s="4" t="s">
        <v>2462</v>
      </c>
    </row>
    <row r="1375" spans="1:11" s="4" customFormat="1">
      <c r="A1375" s="4">
        <v>112016</v>
      </c>
      <c r="B1375" s="4">
        <v>1</v>
      </c>
      <c r="C1375" s="4">
        <v>1</v>
      </c>
      <c r="D1375" s="4">
        <v>0</v>
      </c>
      <c r="E1375" s="4">
        <v>0</v>
      </c>
      <c r="F1375" s="4">
        <v>1</v>
      </c>
      <c r="G1375" s="4">
        <v>111003</v>
      </c>
      <c r="H1375" s="4">
        <v>1</v>
      </c>
      <c r="I1375" s="4">
        <f t="shared" si="32"/>
        <v>13</v>
      </c>
      <c r="J1375" s="4">
        <f t="shared" si="33"/>
        <v>19</v>
      </c>
      <c r="K1375" s="4" t="s">
        <v>2463</v>
      </c>
    </row>
    <row r="1376" spans="1:11" s="4" customFormat="1">
      <c r="A1376" s="4">
        <v>112017</v>
      </c>
      <c r="B1376" s="4">
        <v>1</v>
      </c>
      <c r="C1376" s="4">
        <v>1</v>
      </c>
      <c r="D1376" s="4">
        <v>0</v>
      </c>
      <c r="E1376" s="4">
        <v>0</v>
      </c>
      <c r="F1376" s="4">
        <v>1</v>
      </c>
      <c r="G1376" s="4">
        <v>111003</v>
      </c>
      <c r="H1376" s="4">
        <v>1</v>
      </c>
      <c r="I1376" s="4">
        <f t="shared" si="32"/>
        <v>14</v>
      </c>
      <c r="J1376" s="4">
        <f t="shared" si="33"/>
        <v>20</v>
      </c>
      <c r="K1376" s="4" t="s">
        <v>2464</v>
      </c>
    </row>
    <row r="1377" spans="1:11" s="4" customFormat="1">
      <c r="A1377" s="4">
        <v>112018</v>
      </c>
      <c r="B1377" s="4">
        <v>1</v>
      </c>
      <c r="C1377" s="4">
        <v>1</v>
      </c>
      <c r="D1377" s="4">
        <v>0</v>
      </c>
      <c r="E1377" s="4">
        <v>0</v>
      </c>
      <c r="F1377" s="4">
        <v>1</v>
      </c>
      <c r="G1377" s="4">
        <v>111003</v>
      </c>
      <c r="H1377" s="4">
        <v>1</v>
      </c>
      <c r="I1377" s="4">
        <f t="shared" si="32"/>
        <v>14</v>
      </c>
      <c r="J1377" s="4">
        <f t="shared" si="33"/>
        <v>22</v>
      </c>
      <c r="K1377" s="4" t="s">
        <v>2465</v>
      </c>
    </row>
    <row r="1378" spans="1:11" s="4" customFormat="1">
      <c r="A1378" s="4">
        <v>112019</v>
      </c>
      <c r="B1378" s="4">
        <v>1</v>
      </c>
      <c r="C1378" s="4">
        <v>1</v>
      </c>
      <c r="D1378" s="4">
        <v>0</v>
      </c>
      <c r="E1378" s="4">
        <v>0</v>
      </c>
      <c r="F1378" s="4">
        <v>1</v>
      </c>
      <c r="G1378" s="4">
        <v>111003</v>
      </c>
      <c r="H1378" s="4">
        <v>1</v>
      </c>
      <c r="I1378" s="4">
        <f t="shared" si="32"/>
        <v>15</v>
      </c>
      <c r="J1378" s="4">
        <f t="shared" si="33"/>
        <v>23</v>
      </c>
      <c r="K1378" s="4" t="s">
        <v>2466</v>
      </c>
    </row>
    <row r="1379" spans="1:11" s="4" customFormat="1">
      <c r="A1379" s="4">
        <v>112020</v>
      </c>
      <c r="B1379" s="4">
        <v>1</v>
      </c>
      <c r="C1379" s="4">
        <v>1</v>
      </c>
      <c r="D1379" s="4">
        <v>0</v>
      </c>
      <c r="E1379" s="4">
        <v>0</v>
      </c>
      <c r="F1379" s="4">
        <v>1</v>
      </c>
      <c r="G1379" s="4">
        <v>111003</v>
      </c>
      <c r="H1379" s="4">
        <v>1</v>
      </c>
      <c r="I1379" s="4">
        <f t="shared" si="32"/>
        <v>16</v>
      </c>
      <c r="J1379" s="4">
        <f t="shared" si="33"/>
        <v>24</v>
      </c>
      <c r="K1379" s="4" t="s">
        <v>2467</v>
      </c>
    </row>
    <row r="1380" spans="1:11" s="4" customFormat="1">
      <c r="A1380" s="4">
        <v>112021</v>
      </c>
      <c r="B1380" s="4">
        <v>1</v>
      </c>
      <c r="C1380" s="4">
        <v>1</v>
      </c>
      <c r="D1380" s="4">
        <v>0</v>
      </c>
      <c r="E1380" s="4">
        <v>0</v>
      </c>
      <c r="F1380" s="4">
        <v>1</v>
      </c>
      <c r="G1380" s="4">
        <v>111003</v>
      </c>
      <c r="H1380" s="4">
        <v>1</v>
      </c>
      <c r="I1380" s="4">
        <f t="shared" si="32"/>
        <v>17</v>
      </c>
      <c r="J1380" s="4">
        <f t="shared" si="33"/>
        <v>25</v>
      </c>
      <c r="K1380" s="4" t="s">
        <v>2468</v>
      </c>
    </row>
    <row r="1381" spans="1:11" s="4" customFormat="1">
      <c r="A1381" s="4">
        <v>112022</v>
      </c>
      <c r="B1381" s="4">
        <v>1</v>
      </c>
      <c r="C1381" s="4">
        <v>1</v>
      </c>
      <c r="D1381" s="4">
        <v>0</v>
      </c>
      <c r="E1381" s="4">
        <v>0</v>
      </c>
      <c r="F1381" s="4">
        <v>1</v>
      </c>
      <c r="G1381" s="4">
        <v>111003</v>
      </c>
      <c r="H1381" s="4">
        <v>1</v>
      </c>
      <c r="I1381" s="4">
        <f t="shared" si="32"/>
        <v>18</v>
      </c>
      <c r="J1381" s="4">
        <f t="shared" si="33"/>
        <v>26</v>
      </c>
      <c r="K1381" s="4" t="s">
        <v>2469</v>
      </c>
    </row>
    <row r="1382" spans="1:11" s="4" customFormat="1">
      <c r="A1382" s="4">
        <v>112023</v>
      </c>
      <c r="B1382" s="4">
        <v>1</v>
      </c>
      <c r="C1382" s="4">
        <v>1</v>
      </c>
      <c r="D1382" s="4">
        <v>0</v>
      </c>
      <c r="E1382" s="4">
        <v>0</v>
      </c>
      <c r="F1382" s="4">
        <v>1</v>
      </c>
      <c r="G1382" s="4">
        <v>111003</v>
      </c>
      <c r="H1382" s="4">
        <v>1</v>
      </c>
      <c r="I1382" s="4">
        <f t="shared" si="32"/>
        <v>18</v>
      </c>
      <c r="J1382" s="4">
        <f t="shared" si="33"/>
        <v>28</v>
      </c>
      <c r="K1382" s="4" t="s">
        <v>2470</v>
      </c>
    </row>
    <row r="1383" spans="1:11" s="4" customFormat="1">
      <c r="A1383" s="4">
        <v>112024</v>
      </c>
      <c r="B1383" s="4">
        <v>1</v>
      </c>
      <c r="C1383" s="4">
        <v>1</v>
      </c>
      <c r="D1383" s="4">
        <v>0</v>
      </c>
      <c r="E1383" s="4">
        <v>0</v>
      </c>
      <c r="F1383" s="4">
        <v>1</v>
      </c>
      <c r="G1383" s="4">
        <v>111003</v>
      </c>
      <c r="H1383" s="4">
        <v>1</v>
      </c>
      <c r="I1383" s="4">
        <f t="shared" si="32"/>
        <v>19</v>
      </c>
      <c r="J1383" s="4">
        <f t="shared" si="33"/>
        <v>29</v>
      </c>
      <c r="K1383" s="4" t="s">
        <v>2471</v>
      </c>
    </row>
    <row r="1384" spans="1:11" s="4" customFormat="1">
      <c r="A1384" s="4">
        <v>112025</v>
      </c>
      <c r="B1384" s="4">
        <v>1</v>
      </c>
      <c r="C1384" s="4">
        <v>1</v>
      </c>
      <c r="D1384" s="4">
        <v>0</v>
      </c>
      <c r="E1384" s="4">
        <v>0</v>
      </c>
      <c r="F1384" s="4">
        <v>1</v>
      </c>
      <c r="G1384" s="4">
        <v>111003</v>
      </c>
      <c r="H1384" s="4">
        <v>1</v>
      </c>
      <c r="I1384" s="4">
        <f t="shared" si="32"/>
        <v>20</v>
      </c>
      <c r="J1384" s="4">
        <f t="shared" si="33"/>
        <v>30</v>
      </c>
      <c r="K1384" s="4" t="s">
        <v>2472</v>
      </c>
    </row>
    <row r="1385" spans="1:11" s="4" customFormat="1">
      <c r="A1385" s="4">
        <v>112026</v>
      </c>
      <c r="B1385" s="4">
        <v>1</v>
      </c>
      <c r="C1385" s="4">
        <v>1</v>
      </c>
      <c r="D1385" s="4">
        <v>0</v>
      </c>
      <c r="E1385" s="4">
        <v>0</v>
      </c>
      <c r="F1385" s="4">
        <v>1</v>
      </c>
      <c r="G1385" s="4">
        <v>111003</v>
      </c>
      <c r="H1385" s="4">
        <v>1</v>
      </c>
      <c r="I1385" s="4">
        <f t="shared" si="32"/>
        <v>21</v>
      </c>
      <c r="J1385" s="4">
        <f t="shared" si="33"/>
        <v>31</v>
      </c>
      <c r="K1385" s="4" t="s">
        <v>2473</v>
      </c>
    </row>
    <row r="1386" spans="1:11" s="4" customFormat="1">
      <c r="A1386" s="4">
        <v>112027</v>
      </c>
      <c r="B1386" s="4">
        <v>1</v>
      </c>
      <c r="C1386" s="4">
        <v>1</v>
      </c>
      <c r="D1386" s="4">
        <v>0</v>
      </c>
      <c r="E1386" s="4">
        <v>0</v>
      </c>
      <c r="F1386" s="4">
        <v>1</v>
      </c>
      <c r="G1386" s="4">
        <v>111003</v>
      </c>
      <c r="H1386" s="4">
        <v>1</v>
      </c>
      <c r="I1386" s="4">
        <f t="shared" si="32"/>
        <v>22</v>
      </c>
      <c r="J1386" s="4">
        <f t="shared" si="33"/>
        <v>32</v>
      </c>
      <c r="K1386" s="4" t="s">
        <v>2474</v>
      </c>
    </row>
    <row r="1387" spans="1:11" s="4" customFormat="1">
      <c r="A1387" s="4">
        <v>112028</v>
      </c>
      <c r="B1387" s="4">
        <v>1</v>
      </c>
      <c r="C1387" s="4">
        <v>1</v>
      </c>
      <c r="D1387" s="4">
        <v>0</v>
      </c>
      <c r="E1387" s="4">
        <v>0</v>
      </c>
      <c r="F1387" s="4">
        <v>1</v>
      </c>
      <c r="G1387" s="4">
        <v>111003</v>
      </c>
      <c r="H1387" s="4">
        <v>1</v>
      </c>
      <c r="I1387" s="4">
        <f t="shared" si="32"/>
        <v>22</v>
      </c>
      <c r="J1387" s="4">
        <f t="shared" si="33"/>
        <v>34</v>
      </c>
      <c r="K1387" s="4" t="s">
        <v>2475</v>
      </c>
    </row>
    <row r="1388" spans="1:11" s="4" customFormat="1">
      <c r="A1388" s="4">
        <v>112029</v>
      </c>
      <c r="B1388" s="4">
        <v>1</v>
      </c>
      <c r="C1388" s="4">
        <v>1</v>
      </c>
      <c r="D1388" s="4">
        <v>0</v>
      </c>
      <c r="E1388" s="4">
        <v>0</v>
      </c>
      <c r="F1388" s="4">
        <v>1</v>
      </c>
      <c r="G1388" s="4">
        <v>111003</v>
      </c>
      <c r="H1388" s="4">
        <v>1</v>
      </c>
      <c r="I1388" s="4">
        <f t="shared" si="32"/>
        <v>23</v>
      </c>
      <c r="J1388" s="4">
        <f t="shared" si="33"/>
        <v>35</v>
      </c>
      <c r="K1388" s="4" t="s">
        <v>2476</v>
      </c>
    </row>
    <row r="1389" spans="1:11" s="4" customFormat="1">
      <c r="A1389" s="4">
        <v>112030</v>
      </c>
      <c r="B1389" s="4">
        <v>1</v>
      </c>
      <c r="C1389" s="4">
        <v>1</v>
      </c>
      <c r="D1389" s="4">
        <v>0</v>
      </c>
      <c r="E1389" s="4">
        <v>0</v>
      </c>
      <c r="F1389" s="4">
        <v>1</v>
      </c>
      <c r="G1389" s="4">
        <v>111003</v>
      </c>
      <c r="H1389" s="4">
        <v>1</v>
      </c>
      <c r="I1389" s="4">
        <f t="shared" si="32"/>
        <v>24</v>
      </c>
      <c r="J1389" s="4">
        <f t="shared" si="33"/>
        <v>36</v>
      </c>
      <c r="K1389" s="4" t="s">
        <v>2477</v>
      </c>
    </row>
    <row r="1390" spans="1:11" s="4" customFormat="1">
      <c r="A1390" s="4">
        <v>112031</v>
      </c>
      <c r="B1390" s="4">
        <v>1</v>
      </c>
      <c r="C1390" s="4">
        <v>1</v>
      </c>
      <c r="D1390" s="4">
        <v>0</v>
      </c>
      <c r="E1390" s="4">
        <v>0</v>
      </c>
      <c r="F1390" s="4">
        <v>1</v>
      </c>
      <c r="G1390" s="4">
        <v>111003</v>
      </c>
      <c r="H1390" s="4">
        <v>1</v>
      </c>
      <c r="I1390" s="4">
        <f t="shared" si="32"/>
        <v>25</v>
      </c>
      <c r="J1390" s="4">
        <f t="shared" si="33"/>
        <v>37</v>
      </c>
      <c r="K1390" s="4" t="s">
        <v>2478</v>
      </c>
    </row>
    <row r="1391" spans="1:11" s="4" customFormat="1">
      <c r="A1391" s="4">
        <v>112032</v>
      </c>
      <c r="B1391" s="4">
        <v>1</v>
      </c>
      <c r="C1391" s="4">
        <v>1</v>
      </c>
      <c r="D1391" s="4">
        <v>0</v>
      </c>
      <c r="E1391" s="4">
        <v>0</v>
      </c>
      <c r="F1391" s="4">
        <v>1</v>
      </c>
      <c r="G1391" s="4">
        <v>111003</v>
      </c>
      <c r="H1391" s="4">
        <v>1</v>
      </c>
      <c r="I1391" s="4">
        <f t="shared" si="32"/>
        <v>26</v>
      </c>
      <c r="J1391" s="4">
        <f t="shared" si="33"/>
        <v>38</v>
      </c>
      <c r="K1391" s="4" t="s">
        <v>2479</v>
      </c>
    </row>
    <row r="1392" spans="1:11" s="4" customFormat="1">
      <c r="A1392" s="4">
        <v>112033</v>
      </c>
      <c r="B1392" s="4">
        <v>1</v>
      </c>
      <c r="C1392" s="4">
        <v>1</v>
      </c>
      <c r="D1392" s="4">
        <v>0</v>
      </c>
      <c r="E1392" s="4">
        <v>0</v>
      </c>
      <c r="F1392" s="4">
        <v>1</v>
      </c>
      <c r="G1392" s="4">
        <v>111003</v>
      </c>
      <c r="H1392" s="4">
        <v>1</v>
      </c>
      <c r="I1392" s="4">
        <f t="shared" si="32"/>
        <v>26</v>
      </c>
      <c r="J1392" s="4">
        <f t="shared" si="33"/>
        <v>40</v>
      </c>
      <c r="K1392" s="4" t="s">
        <v>2480</v>
      </c>
    </row>
    <row r="1393" spans="1:11" s="4" customFormat="1">
      <c r="A1393" s="4">
        <v>112034</v>
      </c>
      <c r="B1393" s="4">
        <v>1</v>
      </c>
      <c r="C1393" s="4">
        <v>1</v>
      </c>
      <c r="D1393" s="4">
        <v>0</v>
      </c>
      <c r="E1393" s="4">
        <v>0</v>
      </c>
      <c r="F1393" s="4">
        <v>1</v>
      </c>
      <c r="G1393" s="4">
        <v>111003</v>
      </c>
      <c r="H1393" s="4">
        <v>1</v>
      </c>
      <c r="I1393" s="4">
        <f t="shared" si="32"/>
        <v>27</v>
      </c>
      <c r="J1393" s="4">
        <f t="shared" si="33"/>
        <v>41</v>
      </c>
      <c r="K1393" s="4" t="s">
        <v>2481</v>
      </c>
    </row>
    <row r="1394" spans="1:11" s="4" customFormat="1">
      <c r="A1394" s="4">
        <v>112035</v>
      </c>
      <c r="B1394" s="4">
        <v>1</v>
      </c>
      <c r="C1394" s="4">
        <v>1</v>
      </c>
      <c r="D1394" s="4">
        <v>0</v>
      </c>
      <c r="E1394" s="4">
        <v>0</v>
      </c>
      <c r="F1394" s="4">
        <v>1</v>
      </c>
      <c r="G1394" s="4">
        <v>111003</v>
      </c>
      <c r="H1394" s="4">
        <v>1</v>
      </c>
      <c r="I1394" s="4">
        <f t="shared" si="32"/>
        <v>28</v>
      </c>
      <c r="J1394" s="4">
        <f t="shared" si="33"/>
        <v>42</v>
      </c>
      <c r="K1394" s="4" t="s">
        <v>2482</v>
      </c>
    </row>
    <row r="1395" spans="1:11" s="4" customFormat="1">
      <c r="A1395" s="4">
        <v>112036</v>
      </c>
      <c r="B1395" s="4">
        <v>1</v>
      </c>
      <c r="C1395" s="4">
        <v>1</v>
      </c>
      <c r="D1395" s="4">
        <v>0</v>
      </c>
      <c r="E1395" s="4">
        <v>0</v>
      </c>
      <c r="F1395" s="4">
        <v>1</v>
      </c>
      <c r="G1395" s="4">
        <v>111003</v>
      </c>
      <c r="H1395" s="4">
        <v>1</v>
      </c>
      <c r="I1395" s="4">
        <f t="shared" si="32"/>
        <v>29</v>
      </c>
      <c r="J1395" s="4">
        <f t="shared" si="33"/>
        <v>43</v>
      </c>
      <c r="K1395" s="4" t="s">
        <v>2483</v>
      </c>
    </row>
    <row r="1396" spans="1:11" s="4" customFormat="1">
      <c r="A1396" s="4">
        <v>112037</v>
      </c>
      <c r="B1396" s="4">
        <v>1</v>
      </c>
      <c r="C1396" s="4">
        <v>1</v>
      </c>
      <c r="D1396" s="4">
        <v>0</v>
      </c>
      <c r="E1396" s="4">
        <v>0</v>
      </c>
      <c r="F1396" s="4">
        <v>1</v>
      </c>
      <c r="G1396" s="4">
        <v>111003</v>
      </c>
      <c r="H1396" s="4">
        <v>1</v>
      </c>
      <c r="I1396" s="4">
        <f t="shared" si="32"/>
        <v>30</v>
      </c>
      <c r="J1396" s="4">
        <f t="shared" si="33"/>
        <v>44</v>
      </c>
      <c r="K1396" s="4" t="s">
        <v>2484</v>
      </c>
    </row>
    <row r="1397" spans="1:11" s="4" customFormat="1">
      <c r="A1397" s="4">
        <v>112038</v>
      </c>
      <c r="B1397" s="4">
        <v>1</v>
      </c>
      <c r="C1397" s="4">
        <v>1</v>
      </c>
      <c r="D1397" s="4">
        <v>0</v>
      </c>
      <c r="E1397" s="4">
        <v>0</v>
      </c>
      <c r="F1397" s="4">
        <v>1</v>
      </c>
      <c r="G1397" s="4">
        <v>111003</v>
      </c>
      <c r="H1397" s="4">
        <v>1</v>
      </c>
      <c r="I1397" s="4">
        <f t="shared" si="32"/>
        <v>30</v>
      </c>
      <c r="J1397" s="4">
        <f t="shared" si="33"/>
        <v>46</v>
      </c>
      <c r="K1397" s="4" t="s">
        <v>2485</v>
      </c>
    </row>
    <row r="1398" spans="1:11" s="4" customFormat="1">
      <c r="A1398" s="4">
        <v>112039</v>
      </c>
      <c r="B1398" s="4">
        <v>1</v>
      </c>
      <c r="C1398" s="4">
        <v>1</v>
      </c>
      <c r="D1398" s="4">
        <v>0</v>
      </c>
      <c r="E1398" s="4">
        <v>0</v>
      </c>
      <c r="F1398" s="4">
        <v>1</v>
      </c>
      <c r="G1398" s="4">
        <v>111003</v>
      </c>
      <c r="H1398" s="4">
        <v>1</v>
      </c>
      <c r="I1398" s="4">
        <f t="shared" si="32"/>
        <v>31</v>
      </c>
      <c r="J1398" s="4">
        <f t="shared" si="33"/>
        <v>47</v>
      </c>
      <c r="K1398" s="4" t="s">
        <v>2486</v>
      </c>
    </row>
    <row r="1399" spans="1:11" s="4" customFormat="1">
      <c r="A1399" s="4">
        <v>112040</v>
      </c>
      <c r="B1399" s="4">
        <v>1</v>
      </c>
      <c r="C1399" s="4">
        <v>1</v>
      </c>
      <c r="D1399" s="4">
        <v>0</v>
      </c>
      <c r="E1399" s="4">
        <v>0</v>
      </c>
      <c r="F1399" s="4">
        <v>1</v>
      </c>
      <c r="G1399" s="4">
        <v>111003</v>
      </c>
      <c r="H1399" s="4">
        <v>1</v>
      </c>
      <c r="I1399" s="4">
        <f t="shared" si="32"/>
        <v>32</v>
      </c>
      <c r="J1399" s="4">
        <f t="shared" si="33"/>
        <v>48</v>
      </c>
      <c r="K1399" s="4" t="s">
        <v>2487</v>
      </c>
    </row>
    <row r="1400" spans="1:11" s="4" customFormat="1">
      <c r="A1400" s="4">
        <v>112041</v>
      </c>
      <c r="B1400" s="4">
        <v>1</v>
      </c>
      <c r="C1400" s="4">
        <v>1</v>
      </c>
      <c r="D1400" s="4">
        <v>0</v>
      </c>
      <c r="E1400" s="4">
        <v>0</v>
      </c>
      <c r="F1400" s="4">
        <v>1</v>
      </c>
      <c r="G1400" s="4">
        <v>111003</v>
      </c>
      <c r="H1400" s="4">
        <v>1</v>
      </c>
      <c r="I1400" s="4">
        <f t="shared" si="32"/>
        <v>33</v>
      </c>
      <c r="J1400" s="4">
        <f t="shared" si="33"/>
        <v>49</v>
      </c>
      <c r="K1400" s="4" t="s">
        <v>2488</v>
      </c>
    </row>
    <row r="1401" spans="1:11" s="4" customFormat="1">
      <c r="A1401" s="4">
        <v>112042</v>
      </c>
      <c r="B1401" s="4">
        <v>1</v>
      </c>
      <c r="C1401" s="4">
        <v>1</v>
      </c>
      <c r="D1401" s="4">
        <v>0</v>
      </c>
      <c r="E1401" s="4">
        <v>0</v>
      </c>
      <c r="F1401" s="4">
        <v>1</v>
      </c>
      <c r="G1401" s="4">
        <v>111003</v>
      </c>
      <c r="H1401" s="4">
        <v>1</v>
      </c>
      <c r="I1401" s="4">
        <f t="shared" si="32"/>
        <v>34</v>
      </c>
      <c r="J1401" s="4">
        <f t="shared" si="33"/>
        <v>50</v>
      </c>
      <c r="K1401" s="4" t="s">
        <v>2489</v>
      </c>
    </row>
    <row r="1402" spans="1:11" s="4" customFormat="1">
      <c r="A1402" s="4">
        <v>112043</v>
      </c>
      <c r="B1402" s="4">
        <v>1</v>
      </c>
      <c r="C1402" s="4">
        <v>1</v>
      </c>
      <c r="D1402" s="4">
        <v>0</v>
      </c>
      <c r="E1402" s="4">
        <v>0</v>
      </c>
      <c r="F1402" s="4">
        <v>1</v>
      </c>
      <c r="G1402" s="4">
        <v>111003</v>
      </c>
      <c r="H1402" s="4">
        <v>1</v>
      </c>
      <c r="I1402" s="4">
        <f t="shared" si="32"/>
        <v>34</v>
      </c>
      <c r="J1402" s="4">
        <f t="shared" si="33"/>
        <v>52</v>
      </c>
      <c r="K1402" s="4" t="s">
        <v>2490</v>
      </c>
    </row>
    <row r="1403" spans="1:11" s="4" customFormat="1">
      <c r="A1403" s="4">
        <v>112044</v>
      </c>
      <c r="B1403" s="4">
        <v>1</v>
      </c>
      <c r="C1403" s="4">
        <v>1</v>
      </c>
      <c r="D1403" s="4">
        <v>0</v>
      </c>
      <c r="E1403" s="4">
        <v>0</v>
      </c>
      <c r="F1403" s="4">
        <v>1</v>
      </c>
      <c r="G1403" s="4">
        <v>111003</v>
      </c>
      <c r="H1403" s="4">
        <v>1</v>
      </c>
      <c r="I1403" s="4">
        <f t="shared" si="32"/>
        <v>35</v>
      </c>
      <c r="J1403" s="4">
        <f t="shared" si="33"/>
        <v>53</v>
      </c>
      <c r="K1403" s="4" t="s">
        <v>2491</v>
      </c>
    </row>
    <row r="1404" spans="1:11" s="4" customFormat="1">
      <c r="A1404" s="4">
        <v>112045</v>
      </c>
      <c r="B1404" s="4">
        <v>1</v>
      </c>
      <c r="C1404" s="4">
        <v>1</v>
      </c>
      <c r="D1404" s="4">
        <v>0</v>
      </c>
      <c r="E1404" s="4">
        <v>0</v>
      </c>
      <c r="F1404" s="4">
        <v>1</v>
      </c>
      <c r="G1404" s="4">
        <v>111003</v>
      </c>
      <c r="H1404" s="4">
        <v>1</v>
      </c>
      <c r="I1404" s="4">
        <f t="shared" si="32"/>
        <v>36</v>
      </c>
      <c r="J1404" s="4">
        <f t="shared" si="33"/>
        <v>54</v>
      </c>
      <c r="K1404" s="4" t="s">
        <v>2492</v>
      </c>
    </row>
    <row r="1405" spans="1:11" s="4" customFormat="1">
      <c r="A1405" s="4">
        <v>112046</v>
      </c>
      <c r="B1405" s="4">
        <v>1</v>
      </c>
      <c r="C1405" s="4">
        <v>1</v>
      </c>
      <c r="D1405" s="4">
        <v>0</v>
      </c>
      <c r="E1405" s="4">
        <v>0</v>
      </c>
      <c r="F1405" s="4">
        <v>1</v>
      </c>
      <c r="G1405" s="4">
        <v>111003</v>
      </c>
      <c r="H1405" s="4">
        <v>1</v>
      </c>
      <c r="I1405" s="4">
        <f t="shared" si="32"/>
        <v>37</v>
      </c>
      <c r="J1405" s="4">
        <f t="shared" si="33"/>
        <v>55</v>
      </c>
      <c r="K1405" s="4" t="s">
        <v>2493</v>
      </c>
    </row>
    <row r="1406" spans="1:11" s="4" customFormat="1">
      <c r="A1406" s="4">
        <v>112047</v>
      </c>
      <c r="B1406" s="4">
        <v>1</v>
      </c>
      <c r="C1406" s="4">
        <v>1</v>
      </c>
      <c r="D1406" s="4">
        <v>0</v>
      </c>
      <c r="E1406" s="4">
        <v>0</v>
      </c>
      <c r="F1406" s="4">
        <v>1</v>
      </c>
      <c r="G1406" s="4">
        <v>111003</v>
      </c>
      <c r="H1406" s="4">
        <v>1</v>
      </c>
      <c r="I1406" s="4">
        <f t="shared" si="32"/>
        <v>38</v>
      </c>
      <c r="J1406" s="4">
        <f t="shared" si="33"/>
        <v>56</v>
      </c>
      <c r="K1406" s="4" t="s">
        <v>2494</v>
      </c>
    </row>
    <row r="1407" spans="1:11" s="4" customFormat="1">
      <c r="A1407" s="4">
        <v>112048</v>
      </c>
      <c r="B1407" s="4">
        <v>1</v>
      </c>
      <c r="C1407" s="4">
        <v>1</v>
      </c>
      <c r="D1407" s="4">
        <v>0</v>
      </c>
      <c r="E1407" s="4">
        <v>0</v>
      </c>
      <c r="F1407" s="4">
        <v>1</v>
      </c>
      <c r="G1407" s="4">
        <v>111003</v>
      </c>
      <c r="H1407" s="4">
        <v>1</v>
      </c>
      <c r="I1407" s="4">
        <f t="shared" si="32"/>
        <v>38</v>
      </c>
      <c r="J1407" s="4">
        <f t="shared" si="33"/>
        <v>58</v>
      </c>
      <c r="K1407" s="4" t="s">
        <v>2495</v>
      </c>
    </row>
    <row r="1408" spans="1:11" s="4" customFormat="1">
      <c r="A1408" s="4">
        <v>112049</v>
      </c>
      <c r="B1408" s="4">
        <v>1</v>
      </c>
      <c r="C1408" s="4">
        <v>1</v>
      </c>
      <c r="D1408" s="4">
        <v>0</v>
      </c>
      <c r="E1408" s="4">
        <v>0</v>
      </c>
      <c r="F1408" s="4">
        <v>1</v>
      </c>
      <c r="G1408" s="4">
        <v>111003</v>
      </c>
      <c r="H1408" s="4">
        <v>1</v>
      </c>
      <c r="I1408" s="4">
        <f t="shared" si="32"/>
        <v>39</v>
      </c>
      <c r="J1408" s="4">
        <f t="shared" si="33"/>
        <v>59</v>
      </c>
      <c r="K1408" s="4" t="s">
        <v>2496</v>
      </c>
    </row>
    <row r="1409" spans="1:11" s="4" customFormat="1">
      <c r="A1409" s="4">
        <v>112050</v>
      </c>
      <c r="B1409" s="4">
        <v>1</v>
      </c>
      <c r="C1409" s="4">
        <v>1</v>
      </c>
      <c r="D1409" s="4">
        <v>0</v>
      </c>
      <c r="E1409" s="4">
        <v>0</v>
      </c>
      <c r="F1409" s="4">
        <v>1</v>
      </c>
      <c r="G1409" s="4">
        <v>111003</v>
      </c>
      <c r="H1409" s="4">
        <v>1</v>
      </c>
      <c r="I1409" s="4">
        <f t="shared" si="32"/>
        <v>40</v>
      </c>
      <c r="J1409" s="4">
        <f t="shared" si="33"/>
        <v>60</v>
      </c>
      <c r="K1409" s="4" t="s">
        <v>2497</v>
      </c>
    </row>
    <row r="1410" spans="1:11" s="4" customFormat="1">
      <c r="A1410" s="4">
        <v>112051</v>
      </c>
      <c r="B1410" s="4">
        <v>1</v>
      </c>
      <c r="C1410" s="4">
        <v>1</v>
      </c>
      <c r="D1410" s="4">
        <v>0</v>
      </c>
      <c r="E1410" s="4">
        <v>0</v>
      </c>
      <c r="F1410" s="4">
        <v>1</v>
      </c>
      <c r="G1410" s="4">
        <v>111003</v>
      </c>
      <c r="H1410" s="4">
        <v>1</v>
      </c>
      <c r="I1410" s="4">
        <f t="shared" si="32"/>
        <v>41</v>
      </c>
      <c r="J1410" s="4">
        <f t="shared" si="33"/>
        <v>61</v>
      </c>
      <c r="K1410" s="4" t="s">
        <v>2498</v>
      </c>
    </row>
    <row r="1411" spans="1:11" s="4" customFormat="1">
      <c r="A1411" s="4">
        <v>112052</v>
      </c>
      <c r="B1411" s="4">
        <v>1</v>
      </c>
      <c r="C1411" s="4">
        <v>1</v>
      </c>
      <c r="D1411" s="4">
        <v>0</v>
      </c>
      <c r="E1411" s="4">
        <v>0</v>
      </c>
      <c r="F1411" s="4">
        <v>1</v>
      </c>
      <c r="G1411" s="4">
        <v>111003</v>
      </c>
      <c r="H1411" s="4">
        <v>1</v>
      </c>
      <c r="I1411" s="4">
        <f t="shared" si="32"/>
        <v>42</v>
      </c>
      <c r="J1411" s="4">
        <f t="shared" si="33"/>
        <v>62</v>
      </c>
      <c r="K1411" s="4" t="s">
        <v>2499</v>
      </c>
    </row>
    <row r="1412" spans="1:11" s="4" customFormat="1">
      <c r="A1412" s="4">
        <v>112053</v>
      </c>
      <c r="B1412" s="4">
        <v>1</v>
      </c>
      <c r="C1412" s="4">
        <v>1</v>
      </c>
      <c r="D1412" s="4">
        <v>0</v>
      </c>
      <c r="E1412" s="4">
        <v>0</v>
      </c>
      <c r="F1412" s="4">
        <v>1</v>
      </c>
      <c r="G1412" s="4">
        <v>111003</v>
      </c>
      <c r="H1412" s="4">
        <v>1</v>
      </c>
      <c r="I1412" s="4">
        <f t="shared" si="32"/>
        <v>42</v>
      </c>
      <c r="J1412" s="4">
        <f t="shared" si="33"/>
        <v>64</v>
      </c>
      <c r="K1412" s="4" t="s">
        <v>2500</v>
      </c>
    </row>
    <row r="1413" spans="1:11" s="4" customFormat="1">
      <c r="A1413" s="4">
        <v>112054</v>
      </c>
      <c r="B1413" s="4">
        <v>1</v>
      </c>
      <c r="C1413" s="4">
        <v>1</v>
      </c>
      <c r="D1413" s="4">
        <v>0</v>
      </c>
      <c r="E1413" s="4">
        <v>0</v>
      </c>
      <c r="F1413" s="4">
        <v>1</v>
      </c>
      <c r="G1413" s="4">
        <v>111003</v>
      </c>
      <c r="H1413" s="4">
        <v>1</v>
      </c>
      <c r="I1413" s="4">
        <f t="shared" si="32"/>
        <v>43</v>
      </c>
      <c r="J1413" s="4">
        <f t="shared" si="33"/>
        <v>65</v>
      </c>
      <c r="K1413" s="4" t="s">
        <v>2501</v>
      </c>
    </row>
    <row r="1414" spans="1:11" s="4" customFormat="1">
      <c r="A1414" s="4">
        <v>112055</v>
      </c>
      <c r="B1414" s="4">
        <v>1</v>
      </c>
      <c r="C1414" s="4">
        <v>1</v>
      </c>
      <c r="D1414" s="4">
        <v>0</v>
      </c>
      <c r="E1414" s="4">
        <v>0</v>
      </c>
      <c r="F1414" s="4">
        <v>1</v>
      </c>
      <c r="G1414" s="4">
        <v>111003</v>
      </c>
      <c r="H1414" s="4">
        <v>1</v>
      </c>
      <c r="I1414" s="4">
        <f t="shared" si="32"/>
        <v>44</v>
      </c>
      <c r="J1414" s="4">
        <f t="shared" si="33"/>
        <v>66</v>
      </c>
      <c r="K1414" s="4" t="s">
        <v>2502</v>
      </c>
    </row>
    <row r="1415" spans="1:11" s="4" customFormat="1">
      <c r="A1415" s="4">
        <v>112056</v>
      </c>
      <c r="B1415" s="4">
        <v>1</v>
      </c>
      <c r="C1415" s="4">
        <v>1</v>
      </c>
      <c r="D1415" s="4">
        <v>0</v>
      </c>
      <c r="E1415" s="4">
        <v>0</v>
      </c>
      <c r="F1415" s="4">
        <v>1</v>
      </c>
      <c r="G1415" s="4">
        <v>111003</v>
      </c>
      <c r="H1415" s="4">
        <v>1</v>
      </c>
      <c r="I1415" s="4">
        <f t="shared" si="32"/>
        <v>45</v>
      </c>
      <c r="J1415" s="4">
        <f t="shared" si="33"/>
        <v>67</v>
      </c>
      <c r="K1415" s="4" t="s">
        <v>2503</v>
      </c>
    </row>
    <row r="1416" spans="1:11" s="4" customFormat="1">
      <c r="A1416" s="4">
        <v>112057</v>
      </c>
      <c r="B1416" s="4">
        <v>1</v>
      </c>
      <c r="C1416" s="4">
        <v>1</v>
      </c>
      <c r="D1416" s="4">
        <v>0</v>
      </c>
      <c r="E1416" s="4">
        <v>0</v>
      </c>
      <c r="F1416" s="4">
        <v>1</v>
      </c>
      <c r="G1416" s="4">
        <v>111003</v>
      </c>
      <c r="H1416" s="4">
        <v>1</v>
      </c>
      <c r="I1416" s="4">
        <f t="shared" si="32"/>
        <v>46</v>
      </c>
      <c r="J1416" s="4">
        <f t="shared" si="33"/>
        <v>68</v>
      </c>
      <c r="K1416" s="4" t="s">
        <v>2504</v>
      </c>
    </row>
    <row r="1417" spans="1:11" s="4" customFormat="1">
      <c r="A1417" s="4">
        <v>112058</v>
      </c>
      <c r="B1417" s="4">
        <v>1</v>
      </c>
      <c r="C1417" s="4">
        <v>1</v>
      </c>
      <c r="D1417" s="4">
        <v>0</v>
      </c>
      <c r="E1417" s="4">
        <v>0</v>
      </c>
      <c r="F1417" s="4">
        <v>1</v>
      </c>
      <c r="G1417" s="4">
        <v>111003</v>
      </c>
      <c r="H1417" s="4">
        <v>1</v>
      </c>
      <c r="I1417" s="4">
        <f t="shared" si="32"/>
        <v>46</v>
      </c>
      <c r="J1417" s="4">
        <f t="shared" si="33"/>
        <v>70</v>
      </c>
      <c r="K1417" s="4" t="s">
        <v>2505</v>
      </c>
    </row>
    <row r="1418" spans="1:11" s="4" customFormat="1">
      <c r="A1418" s="4">
        <v>112059</v>
      </c>
      <c r="B1418" s="4">
        <v>1</v>
      </c>
      <c r="C1418" s="4">
        <v>1</v>
      </c>
      <c r="D1418" s="4">
        <v>0</v>
      </c>
      <c r="E1418" s="4">
        <v>0</v>
      </c>
      <c r="F1418" s="4">
        <v>1</v>
      </c>
      <c r="G1418" s="4">
        <v>111003</v>
      </c>
      <c r="H1418" s="4">
        <v>1</v>
      </c>
      <c r="I1418" s="4">
        <f t="shared" si="32"/>
        <v>47</v>
      </c>
      <c r="J1418" s="4">
        <f t="shared" si="33"/>
        <v>71</v>
      </c>
      <c r="K1418" s="4" t="s">
        <v>2506</v>
      </c>
    </row>
    <row r="1419" spans="1:11" s="4" customFormat="1">
      <c r="A1419" s="4">
        <v>112060</v>
      </c>
      <c r="B1419" s="4">
        <v>1</v>
      </c>
      <c r="C1419" s="4">
        <v>1</v>
      </c>
      <c r="D1419" s="4">
        <v>0</v>
      </c>
      <c r="E1419" s="4">
        <v>0</v>
      </c>
      <c r="F1419" s="4">
        <v>1</v>
      </c>
      <c r="G1419" s="4">
        <v>111003</v>
      </c>
      <c r="H1419" s="4">
        <v>1</v>
      </c>
      <c r="I1419" s="4">
        <f t="shared" si="32"/>
        <v>48</v>
      </c>
      <c r="J1419" s="4">
        <f t="shared" si="33"/>
        <v>72</v>
      </c>
      <c r="K1419" s="4" t="s">
        <v>2507</v>
      </c>
    </row>
    <row r="1420" spans="1:11" s="4" customFormat="1">
      <c r="A1420" s="4">
        <v>112061</v>
      </c>
      <c r="B1420" s="4">
        <v>1</v>
      </c>
      <c r="C1420" s="4">
        <v>1</v>
      </c>
      <c r="D1420" s="4">
        <v>0</v>
      </c>
      <c r="E1420" s="4">
        <v>0</v>
      </c>
      <c r="F1420" s="4">
        <v>1</v>
      </c>
      <c r="G1420" s="4">
        <v>111003</v>
      </c>
      <c r="H1420" s="4">
        <v>1</v>
      </c>
      <c r="I1420" s="4">
        <f t="shared" si="32"/>
        <v>49</v>
      </c>
      <c r="J1420" s="4">
        <f t="shared" si="33"/>
        <v>73</v>
      </c>
      <c r="K1420" s="4" t="s">
        <v>2508</v>
      </c>
    </row>
    <row r="1421" spans="1:11" s="4" customFormat="1">
      <c r="A1421" s="4">
        <v>112062</v>
      </c>
      <c r="B1421" s="4">
        <v>1</v>
      </c>
      <c r="C1421" s="4">
        <v>1</v>
      </c>
      <c r="D1421" s="4">
        <v>0</v>
      </c>
      <c r="E1421" s="4">
        <v>0</v>
      </c>
      <c r="F1421" s="4">
        <v>1</v>
      </c>
      <c r="G1421" s="4">
        <v>111003</v>
      </c>
      <c r="H1421" s="4">
        <v>1</v>
      </c>
      <c r="I1421" s="4">
        <f t="shared" si="32"/>
        <v>50</v>
      </c>
      <c r="J1421" s="4">
        <f t="shared" si="33"/>
        <v>74</v>
      </c>
      <c r="K1421" s="4" t="s">
        <v>2509</v>
      </c>
    </row>
    <row r="1422" spans="1:11" s="4" customFormat="1">
      <c r="A1422" s="4">
        <v>112063</v>
      </c>
      <c r="B1422" s="4">
        <v>1</v>
      </c>
      <c r="C1422" s="4">
        <v>1</v>
      </c>
      <c r="D1422" s="4">
        <v>0</v>
      </c>
      <c r="E1422" s="4">
        <v>0</v>
      </c>
      <c r="F1422" s="4">
        <v>1</v>
      </c>
      <c r="G1422" s="4">
        <v>111003</v>
      </c>
      <c r="H1422" s="4">
        <v>1</v>
      </c>
      <c r="I1422" s="4">
        <f t="shared" si="32"/>
        <v>50</v>
      </c>
      <c r="J1422" s="4">
        <f t="shared" si="33"/>
        <v>76</v>
      </c>
      <c r="K1422" s="4" t="s">
        <v>2510</v>
      </c>
    </row>
    <row r="1423" spans="1:11" s="4" customFormat="1">
      <c r="A1423" s="4">
        <v>112064</v>
      </c>
      <c r="B1423" s="4">
        <v>1</v>
      </c>
      <c r="C1423" s="4">
        <v>1</v>
      </c>
      <c r="D1423" s="4">
        <v>0</v>
      </c>
      <c r="E1423" s="4">
        <v>0</v>
      </c>
      <c r="F1423" s="4">
        <v>1</v>
      </c>
      <c r="G1423" s="4">
        <v>111003</v>
      </c>
      <c r="H1423" s="4">
        <v>1</v>
      </c>
      <c r="I1423" s="4">
        <f t="shared" si="32"/>
        <v>51</v>
      </c>
      <c r="J1423" s="4">
        <f t="shared" si="33"/>
        <v>77</v>
      </c>
      <c r="K1423" s="4" t="s">
        <v>2511</v>
      </c>
    </row>
    <row r="1424" spans="1:11" s="4" customFormat="1">
      <c r="A1424" s="4">
        <v>112065</v>
      </c>
      <c r="B1424" s="4">
        <v>1</v>
      </c>
      <c r="C1424" s="4">
        <v>1</v>
      </c>
      <c r="D1424" s="4">
        <v>0</v>
      </c>
      <c r="E1424" s="4">
        <v>0</v>
      </c>
      <c r="F1424" s="4">
        <v>1</v>
      </c>
      <c r="G1424" s="4">
        <v>111003</v>
      </c>
      <c r="H1424" s="4">
        <v>1</v>
      </c>
      <c r="I1424" s="4">
        <f t="shared" si="32"/>
        <v>52</v>
      </c>
      <c r="J1424" s="4">
        <f t="shared" si="33"/>
        <v>78</v>
      </c>
      <c r="K1424" s="4" t="s">
        <v>2512</v>
      </c>
    </row>
    <row r="1425" spans="1:11" s="4" customFormat="1">
      <c r="A1425" s="4">
        <v>112066</v>
      </c>
      <c r="B1425" s="4">
        <v>1</v>
      </c>
      <c r="C1425" s="4">
        <v>1</v>
      </c>
      <c r="D1425" s="4">
        <v>0</v>
      </c>
      <c r="E1425" s="4">
        <v>0</v>
      </c>
      <c r="F1425" s="4">
        <v>1</v>
      </c>
      <c r="G1425" s="4">
        <v>111003</v>
      </c>
      <c r="H1425" s="4">
        <v>1</v>
      </c>
      <c r="I1425" s="4">
        <f t="shared" ref="I1425:I1488" si="34">ROUND(RIGHT(A1425,3)*80%,0)</f>
        <v>53</v>
      </c>
      <c r="J1425" s="4">
        <f t="shared" ref="J1425:J1488" si="35">ROUND(RIGHT(A1425,3)*120%,0)</f>
        <v>79</v>
      </c>
      <c r="K1425" s="4" t="s">
        <v>2513</v>
      </c>
    </row>
    <row r="1426" spans="1:11" s="4" customFormat="1">
      <c r="A1426" s="4">
        <v>112067</v>
      </c>
      <c r="B1426" s="4">
        <v>1</v>
      </c>
      <c r="C1426" s="4">
        <v>1</v>
      </c>
      <c r="D1426" s="4">
        <v>0</v>
      </c>
      <c r="E1426" s="4">
        <v>0</v>
      </c>
      <c r="F1426" s="4">
        <v>1</v>
      </c>
      <c r="G1426" s="4">
        <v>111003</v>
      </c>
      <c r="H1426" s="4">
        <v>1</v>
      </c>
      <c r="I1426" s="4">
        <f t="shared" si="34"/>
        <v>54</v>
      </c>
      <c r="J1426" s="4">
        <f t="shared" si="35"/>
        <v>80</v>
      </c>
      <c r="K1426" s="4" t="s">
        <v>2514</v>
      </c>
    </row>
    <row r="1427" spans="1:11" s="4" customFormat="1">
      <c r="A1427" s="4">
        <v>112068</v>
      </c>
      <c r="B1427" s="4">
        <v>1</v>
      </c>
      <c r="C1427" s="4">
        <v>1</v>
      </c>
      <c r="D1427" s="4">
        <v>0</v>
      </c>
      <c r="E1427" s="4">
        <v>0</v>
      </c>
      <c r="F1427" s="4">
        <v>1</v>
      </c>
      <c r="G1427" s="4">
        <v>111003</v>
      </c>
      <c r="H1427" s="4">
        <v>1</v>
      </c>
      <c r="I1427" s="4">
        <f t="shared" si="34"/>
        <v>54</v>
      </c>
      <c r="J1427" s="4">
        <f t="shared" si="35"/>
        <v>82</v>
      </c>
      <c r="K1427" s="4" t="s">
        <v>2515</v>
      </c>
    </row>
    <row r="1428" spans="1:11" s="4" customFormat="1">
      <c r="A1428" s="4">
        <v>112069</v>
      </c>
      <c r="B1428" s="4">
        <v>1</v>
      </c>
      <c r="C1428" s="4">
        <v>1</v>
      </c>
      <c r="D1428" s="4">
        <v>0</v>
      </c>
      <c r="E1428" s="4">
        <v>0</v>
      </c>
      <c r="F1428" s="4">
        <v>1</v>
      </c>
      <c r="G1428" s="4">
        <v>111003</v>
      </c>
      <c r="H1428" s="4">
        <v>1</v>
      </c>
      <c r="I1428" s="4">
        <f t="shared" si="34"/>
        <v>55</v>
      </c>
      <c r="J1428" s="4">
        <f t="shared" si="35"/>
        <v>83</v>
      </c>
      <c r="K1428" s="4" t="s">
        <v>2516</v>
      </c>
    </row>
    <row r="1429" spans="1:11" s="4" customFormat="1">
      <c r="A1429" s="4">
        <v>112070</v>
      </c>
      <c r="B1429" s="4">
        <v>1</v>
      </c>
      <c r="C1429" s="4">
        <v>1</v>
      </c>
      <c r="D1429" s="4">
        <v>0</v>
      </c>
      <c r="E1429" s="4">
        <v>0</v>
      </c>
      <c r="F1429" s="4">
        <v>1</v>
      </c>
      <c r="G1429" s="4">
        <v>111003</v>
      </c>
      <c r="H1429" s="4">
        <v>1</v>
      </c>
      <c r="I1429" s="4">
        <f t="shared" si="34"/>
        <v>56</v>
      </c>
      <c r="J1429" s="4">
        <f t="shared" si="35"/>
        <v>84</v>
      </c>
      <c r="K1429" s="4" t="s">
        <v>2517</v>
      </c>
    </row>
    <row r="1430" spans="1:11" s="4" customFormat="1">
      <c r="A1430" s="4">
        <v>112071</v>
      </c>
      <c r="B1430" s="4">
        <v>1</v>
      </c>
      <c r="C1430" s="4">
        <v>1</v>
      </c>
      <c r="D1430" s="4">
        <v>0</v>
      </c>
      <c r="E1430" s="4">
        <v>0</v>
      </c>
      <c r="F1430" s="4">
        <v>1</v>
      </c>
      <c r="G1430" s="4">
        <v>111003</v>
      </c>
      <c r="H1430" s="4">
        <v>1</v>
      </c>
      <c r="I1430" s="4">
        <f t="shared" si="34"/>
        <v>57</v>
      </c>
      <c r="J1430" s="4">
        <f t="shared" si="35"/>
        <v>85</v>
      </c>
      <c r="K1430" s="4" t="s">
        <v>2518</v>
      </c>
    </row>
    <row r="1431" spans="1:11" s="4" customFormat="1">
      <c r="A1431" s="4">
        <v>112072</v>
      </c>
      <c r="B1431" s="4">
        <v>1</v>
      </c>
      <c r="C1431" s="4">
        <v>1</v>
      </c>
      <c r="D1431" s="4">
        <v>0</v>
      </c>
      <c r="E1431" s="4">
        <v>0</v>
      </c>
      <c r="F1431" s="4">
        <v>1</v>
      </c>
      <c r="G1431" s="4">
        <v>111003</v>
      </c>
      <c r="H1431" s="4">
        <v>1</v>
      </c>
      <c r="I1431" s="4">
        <f t="shared" si="34"/>
        <v>58</v>
      </c>
      <c r="J1431" s="4">
        <f t="shared" si="35"/>
        <v>86</v>
      </c>
      <c r="K1431" s="4" t="s">
        <v>2519</v>
      </c>
    </row>
    <row r="1432" spans="1:11" s="4" customFormat="1">
      <c r="A1432" s="4">
        <v>112073</v>
      </c>
      <c r="B1432" s="4">
        <v>1</v>
      </c>
      <c r="C1432" s="4">
        <v>1</v>
      </c>
      <c r="D1432" s="4">
        <v>0</v>
      </c>
      <c r="E1432" s="4">
        <v>0</v>
      </c>
      <c r="F1432" s="4">
        <v>1</v>
      </c>
      <c r="G1432" s="4">
        <v>111003</v>
      </c>
      <c r="H1432" s="4">
        <v>1</v>
      </c>
      <c r="I1432" s="4">
        <f t="shared" si="34"/>
        <v>58</v>
      </c>
      <c r="J1432" s="4">
        <f t="shared" si="35"/>
        <v>88</v>
      </c>
      <c r="K1432" s="4" t="s">
        <v>2520</v>
      </c>
    </row>
    <row r="1433" spans="1:11" s="4" customFormat="1">
      <c r="A1433" s="4">
        <v>112074</v>
      </c>
      <c r="B1433" s="4">
        <v>1</v>
      </c>
      <c r="C1433" s="4">
        <v>1</v>
      </c>
      <c r="D1433" s="4">
        <v>0</v>
      </c>
      <c r="E1433" s="4">
        <v>0</v>
      </c>
      <c r="F1433" s="4">
        <v>1</v>
      </c>
      <c r="G1433" s="4">
        <v>111003</v>
      </c>
      <c r="H1433" s="4">
        <v>1</v>
      </c>
      <c r="I1433" s="4">
        <f t="shared" si="34"/>
        <v>59</v>
      </c>
      <c r="J1433" s="4">
        <f t="shared" si="35"/>
        <v>89</v>
      </c>
      <c r="K1433" s="4" t="s">
        <v>2521</v>
      </c>
    </row>
    <row r="1434" spans="1:11" s="4" customFormat="1">
      <c r="A1434" s="4">
        <v>112075</v>
      </c>
      <c r="B1434" s="4">
        <v>1</v>
      </c>
      <c r="C1434" s="4">
        <v>1</v>
      </c>
      <c r="D1434" s="4">
        <v>0</v>
      </c>
      <c r="E1434" s="4">
        <v>0</v>
      </c>
      <c r="F1434" s="4">
        <v>1</v>
      </c>
      <c r="G1434" s="4">
        <v>111003</v>
      </c>
      <c r="H1434" s="4">
        <v>1</v>
      </c>
      <c r="I1434" s="4">
        <f t="shared" si="34"/>
        <v>60</v>
      </c>
      <c r="J1434" s="4">
        <f t="shared" si="35"/>
        <v>90</v>
      </c>
      <c r="K1434" s="4" t="s">
        <v>2522</v>
      </c>
    </row>
    <row r="1435" spans="1:11" s="4" customFormat="1">
      <c r="A1435" s="4">
        <v>112076</v>
      </c>
      <c r="B1435" s="4">
        <v>1</v>
      </c>
      <c r="C1435" s="4">
        <v>1</v>
      </c>
      <c r="D1435" s="4">
        <v>0</v>
      </c>
      <c r="E1435" s="4">
        <v>0</v>
      </c>
      <c r="F1435" s="4">
        <v>1</v>
      </c>
      <c r="G1435" s="4">
        <v>111003</v>
      </c>
      <c r="H1435" s="4">
        <v>1</v>
      </c>
      <c r="I1435" s="4">
        <f t="shared" si="34"/>
        <v>61</v>
      </c>
      <c r="J1435" s="4">
        <f t="shared" si="35"/>
        <v>91</v>
      </c>
      <c r="K1435" s="4" t="s">
        <v>2523</v>
      </c>
    </row>
    <row r="1436" spans="1:11" s="4" customFormat="1">
      <c r="A1436" s="4">
        <v>112077</v>
      </c>
      <c r="B1436" s="4">
        <v>1</v>
      </c>
      <c r="C1436" s="4">
        <v>1</v>
      </c>
      <c r="D1436" s="4">
        <v>0</v>
      </c>
      <c r="E1436" s="4">
        <v>0</v>
      </c>
      <c r="F1436" s="4">
        <v>1</v>
      </c>
      <c r="G1436" s="4">
        <v>111003</v>
      </c>
      <c r="H1436" s="4">
        <v>1</v>
      </c>
      <c r="I1436" s="4">
        <f t="shared" si="34"/>
        <v>62</v>
      </c>
      <c r="J1436" s="4">
        <f t="shared" si="35"/>
        <v>92</v>
      </c>
      <c r="K1436" s="4" t="s">
        <v>2524</v>
      </c>
    </row>
    <row r="1437" spans="1:11" s="4" customFormat="1">
      <c r="A1437" s="4">
        <v>112078</v>
      </c>
      <c r="B1437" s="4">
        <v>1</v>
      </c>
      <c r="C1437" s="4">
        <v>1</v>
      </c>
      <c r="D1437" s="4">
        <v>0</v>
      </c>
      <c r="E1437" s="4">
        <v>0</v>
      </c>
      <c r="F1437" s="4">
        <v>1</v>
      </c>
      <c r="G1437" s="4">
        <v>111003</v>
      </c>
      <c r="H1437" s="4">
        <v>1</v>
      </c>
      <c r="I1437" s="4">
        <f t="shared" si="34"/>
        <v>62</v>
      </c>
      <c r="J1437" s="4">
        <f t="shared" si="35"/>
        <v>94</v>
      </c>
      <c r="K1437" s="4" t="s">
        <v>2525</v>
      </c>
    </row>
    <row r="1438" spans="1:11" s="4" customFormat="1">
      <c r="A1438" s="4">
        <v>112079</v>
      </c>
      <c r="B1438" s="4">
        <v>1</v>
      </c>
      <c r="C1438" s="4">
        <v>1</v>
      </c>
      <c r="D1438" s="4">
        <v>0</v>
      </c>
      <c r="E1438" s="4">
        <v>0</v>
      </c>
      <c r="F1438" s="4">
        <v>1</v>
      </c>
      <c r="G1438" s="4">
        <v>111003</v>
      </c>
      <c r="H1438" s="4">
        <v>1</v>
      </c>
      <c r="I1438" s="4">
        <f t="shared" si="34"/>
        <v>63</v>
      </c>
      <c r="J1438" s="4">
        <f t="shared" si="35"/>
        <v>95</v>
      </c>
      <c r="K1438" s="4" t="s">
        <v>2526</v>
      </c>
    </row>
    <row r="1439" spans="1:11" s="4" customFormat="1">
      <c r="A1439" s="4">
        <v>112080</v>
      </c>
      <c r="B1439" s="4">
        <v>1</v>
      </c>
      <c r="C1439" s="4">
        <v>1</v>
      </c>
      <c r="D1439" s="4">
        <v>0</v>
      </c>
      <c r="E1439" s="4">
        <v>0</v>
      </c>
      <c r="F1439" s="4">
        <v>1</v>
      </c>
      <c r="G1439" s="4">
        <v>111003</v>
      </c>
      <c r="H1439" s="4">
        <v>1</v>
      </c>
      <c r="I1439" s="4">
        <f t="shared" si="34"/>
        <v>64</v>
      </c>
      <c r="J1439" s="4">
        <f t="shared" si="35"/>
        <v>96</v>
      </c>
      <c r="K1439" s="4" t="s">
        <v>2527</v>
      </c>
    </row>
    <row r="1440" spans="1:11" s="4" customFormat="1">
      <c r="A1440" s="4">
        <v>112081</v>
      </c>
      <c r="B1440" s="4">
        <v>1</v>
      </c>
      <c r="C1440" s="4">
        <v>1</v>
      </c>
      <c r="D1440" s="4">
        <v>0</v>
      </c>
      <c r="E1440" s="4">
        <v>0</v>
      </c>
      <c r="F1440" s="4">
        <v>1</v>
      </c>
      <c r="G1440" s="4">
        <v>111003</v>
      </c>
      <c r="H1440" s="4">
        <v>1</v>
      </c>
      <c r="I1440" s="4">
        <f t="shared" si="34"/>
        <v>65</v>
      </c>
      <c r="J1440" s="4">
        <f t="shared" si="35"/>
        <v>97</v>
      </c>
      <c r="K1440" s="4" t="s">
        <v>2528</v>
      </c>
    </row>
    <row r="1441" spans="1:11" s="4" customFormat="1">
      <c r="A1441" s="4">
        <v>112082</v>
      </c>
      <c r="B1441" s="4">
        <v>1</v>
      </c>
      <c r="C1441" s="4">
        <v>1</v>
      </c>
      <c r="D1441" s="4">
        <v>0</v>
      </c>
      <c r="E1441" s="4">
        <v>0</v>
      </c>
      <c r="F1441" s="4">
        <v>1</v>
      </c>
      <c r="G1441" s="4">
        <v>111003</v>
      </c>
      <c r="H1441" s="4">
        <v>1</v>
      </c>
      <c r="I1441" s="4">
        <f t="shared" si="34"/>
        <v>66</v>
      </c>
      <c r="J1441" s="4">
        <f t="shared" si="35"/>
        <v>98</v>
      </c>
      <c r="K1441" s="4" t="s">
        <v>2529</v>
      </c>
    </row>
    <row r="1442" spans="1:11" s="4" customFormat="1">
      <c r="A1442" s="4">
        <v>112083</v>
      </c>
      <c r="B1442" s="4">
        <v>1</v>
      </c>
      <c r="C1442" s="4">
        <v>1</v>
      </c>
      <c r="D1442" s="4">
        <v>0</v>
      </c>
      <c r="E1442" s="4">
        <v>0</v>
      </c>
      <c r="F1442" s="4">
        <v>1</v>
      </c>
      <c r="G1442" s="4">
        <v>111003</v>
      </c>
      <c r="H1442" s="4">
        <v>1</v>
      </c>
      <c r="I1442" s="4">
        <f t="shared" si="34"/>
        <v>66</v>
      </c>
      <c r="J1442" s="4">
        <f t="shared" si="35"/>
        <v>100</v>
      </c>
      <c r="K1442" s="4" t="s">
        <v>2530</v>
      </c>
    </row>
    <row r="1443" spans="1:11" s="4" customFormat="1">
      <c r="A1443" s="4">
        <v>112084</v>
      </c>
      <c r="B1443" s="4">
        <v>1</v>
      </c>
      <c r="C1443" s="4">
        <v>1</v>
      </c>
      <c r="D1443" s="4">
        <v>0</v>
      </c>
      <c r="E1443" s="4">
        <v>0</v>
      </c>
      <c r="F1443" s="4">
        <v>1</v>
      </c>
      <c r="G1443" s="4">
        <v>111003</v>
      </c>
      <c r="H1443" s="4">
        <v>1</v>
      </c>
      <c r="I1443" s="4">
        <f t="shared" si="34"/>
        <v>67</v>
      </c>
      <c r="J1443" s="4">
        <f t="shared" si="35"/>
        <v>101</v>
      </c>
      <c r="K1443" s="4" t="s">
        <v>2531</v>
      </c>
    </row>
    <row r="1444" spans="1:11" s="4" customFormat="1">
      <c r="A1444" s="4">
        <v>112085</v>
      </c>
      <c r="B1444" s="4">
        <v>1</v>
      </c>
      <c r="C1444" s="4">
        <v>1</v>
      </c>
      <c r="D1444" s="4">
        <v>0</v>
      </c>
      <c r="E1444" s="4">
        <v>0</v>
      </c>
      <c r="F1444" s="4">
        <v>1</v>
      </c>
      <c r="G1444" s="4">
        <v>111003</v>
      </c>
      <c r="H1444" s="4">
        <v>1</v>
      </c>
      <c r="I1444" s="4">
        <f t="shared" si="34"/>
        <v>68</v>
      </c>
      <c r="J1444" s="4">
        <f t="shared" si="35"/>
        <v>102</v>
      </c>
      <c r="K1444" s="4" t="s">
        <v>2532</v>
      </c>
    </row>
    <row r="1445" spans="1:11" s="4" customFormat="1">
      <c r="A1445" s="4">
        <v>112086</v>
      </c>
      <c r="B1445" s="4">
        <v>1</v>
      </c>
      <c r="C1445" s="4">
        <v>1</v>
      </c>
      <c r="D1445" s="4">
        <v>0</v>
      </c>
      <c r="E1445" s="4">
        <v>0</v>
      </c>
      <c r="F1445" s="4">
        <v>1</v>
      </c>
      <c r="G1445" s="4">
        <v>111003</v>
      </c>
      <c r="H1445" s="4">
        <v>1</v>
      </c>
      <c r="I1445" s="4">
        <f t="shared" si="34"/>
        <v>69</v>
      </c>
      <c r="J1445" s="4">
        <f t="shared" si="35"/>
        <v>103</v>
      </c>
      <c r="K1445" s="4" t="s">
        <v>2533</v>
      </c>
    </row>
    <row r="1446" spans="1:11" s="4" customFormat="1">
      <c r="A1446" s="4">
        <v>112087</v>
      </c>
      <c r="B1446" s="4">
        <v>1</v>
      </c>
      <c r="C1446" s="4">
        <v>1</v>
      </c>
      <c r="D1446" s="4">
        <v>0</v>
      </c>
      <c r="E1446" s="4">
        <v>0</v>
      </c>
      <c r="F1446" s="4">
        <v>1</v>
      </c>
      <c r="G1446" s="4">
        <v>111003</v>
      </c>
      <c r="H1446" s="4">
        <v>1</v>
      </c>
      <c r="I1446" s="4">
        <f t="shared" si="34"/>
        <v>70</v>
      </c>
      <c r="J1446" s="4">
        <f t="shared" si="35"/>
        <v>104</v>
      </c>
      <c r="K1446" s="4" t="s">
        <v>2534</v>
      </c>
    </row>
    <row r="1447" spans="1:11" s="4" customFormat="1">
      <c r="A1447" s="4">
        <v>112088</v>
      </c>
      <c r="B1447" s="4">
        <v>1</v>
      </c>
      <c r="C1447" s="4">
        <v>1</v>
      </c>
      <c r="D1447" s="4">
        <v>0</v>
      </c>
      <c r="E1447" s="4">
        <v>0</v>
      </c>
      <c r="F1447" s="4">
        <v>1</v>
      </c>
      <c r="G1447" s="4">
        <v>111003</v>
      </c>
      <c r="H1447" s="4">
        <v>1</v>
      </c>
      <c r="I1447" s="4">
        <f t="shared" si="34"/>
        <v>70</v>
      </c>
      <c r="J1447" s="4">
        <f t="shared" si="35"/>
        <v>106</v>
      </c>
      <c r="K1447" s="4" t="s">
        <v>2535</v>
      </c>
    </row>
    <row r="1448" spans="1:11" s="4" customFormat="1">
      <c r="A1448" s="4">
        <v>112089</v>
      </c>
      <c r="B1448" s="4">
        <v>1</v>
      </c>
      <c r="C1448" s="4">
        <v>1</v>
      </c>
      <c r="D1448" s="4">
        <v>0</v>
      </c>
      <c r="E1448" s="4">
        <v>0</v>
      </c>
      <c r="F1448" s="4">
        <v>1</v>
      </c>
      <c r="G1448" s="4">
        <v>111003</v>
      </c>
      <c r="H1448" s="4">
        <v>1</v>
      </c>
      <c r="I1448" s="4">
        <f t="shared" si="34"/>
        <v>71</v>
      </c>
      <c r="J1448" s="4">
        <f t="shared" si="35"/>
        <v>107</v>
      </c>
      <c r="K1448" s="4" t="s">
        <v>2536</v>
      </c>
    </row>
    <row r="1449" spans="1:11" s="4" customFormat="1">
      <c r="A1449" s="4">
        <v>112090</v>
      </c>
      <c r="B1449" s="4">
        <v>1</v>
      </c>
      <c r="C1449" s="4">
        <v>1</v>
      </c>
      <c r="D1449" s="4">
        <v>0</v>
      </c>
      <c r="E1449" s="4">
        <v>0</v>
      </c>
      <c r="F1449" s="4">
        <v>1</v>
      </c>
      <c r="G1449" s="4">
        <v>111003</v>
      </c>
      <c r="H1449" s="4">
        <v>1</v>
      </c>
      <c r="I1449" s="4">
        <f t="shared" si="34"/>
        <v>72</v>
      </c>
      <c r="J1449" s="4">
        <f t="shared" si="35"/>
        <v>108</v>
      </c>
      <c r="K1449" s="4" t="s">
        <v>2537</v>
      </c>
    </row>
    <row r="1450" spans="1:11" s="4" customFormat="1">
      <c r="A1450" s="4">
        <v>112091</v>
      </c>
      <c r="B1450" s="4">
        <v>1</v>
      </c>
      <c r="C1450" s="4">
        <v>1</v>
      </c>
      <c r="D1450" s="4">
        <v>0</v>
      </c>
      <c r="E1450" s="4">
        <v>0</v>
      </c>
      <c r="F1450" s="4">
        <v>1</v>
      </c>
      <c r="G1450" s="4">
        <v>111003</v>
      </c>
      <c r="H1450" s="4">
        <v>1</v>
      </c>
      <c r="I1450" s="4">
        <f t="shared" si="34"/>
        <v>73</v>
      </c>
      <c r="J1450" s="4">
        <f t="shared" si="35"/>
        <v>109</v>
      </c>
      <c r="K1450" s="4" t="s">
        <v>2538</v>
      </c>
    </row>
    <row r="1451" spans="1:11" s="4" customFormat="1">
      <c r="A1451" s="4">
        <v>112092</v>
      </c>
      <c r="B1451" s="4">
        <v>1</v>
      </c>
      <c r="C1451" s="4">
        <v>1</v>
      </c>
      <c r="D1451" s="4">
        <v>0</v>
      </c>
      <c r="E1451" s="4">
        <v>0</v>
      </c>
      <c r="F1451" s="4">
        <v>1</v>
      </c>
      <c r="G1451" s="4">
        <v>111003</v>
      </c>
      <c r="H1451" s="4">
        <v>1</v>
      </c>
      <c r="I1451" s="4">
        <f t="shared" si="34"/>
        <v>74</v>
      </c>
      <c r="J1451" s="4">
        <f t="shared" si="35"/>
        <v>110</v>
      </c>
      <c r="K1451" s="4" t="s">
        <v>2539</v>
      </c>
    </row>
    <row r="1452" spans="1:11" s="4" customFormat="1">
      <c r="A1452" s="4">
        <v>112093</v>
      </c>
      <c r="B1452" s="4">
        <v>1</v>
      </c>
      <c r="C1452" s="4">
        <v>1</v>
      </c>
      <c r="D1452" s="4">
        <v>0</v>
      </c>
      <c r="E1452" s="4">
        <v>0</v>
      </c>
      <c r="F1452" s="4">
        <v>1</v>
      </c>
      <c r="G1452" s="4">
        <v>111003</v>
      </c>
      <c r="H1452" s="4">
        <v>1</v>
      </c>
      <c r="I1452" s="4">
        <f t="shared" si="34"/>
        <v>74</v>
      </c>
      <c r="J1452" s="4">
        <f t="shared" si="35"/>
        <v>112</v>
      </c>
      <c r="K1452" s="4" t="s">
        <v>2540</v>
      </c>
    </row>
    <row r="1453" spans="1:11" s="4" customFormat="1">
      <c r="A1453" s="4">
        <v>112094</v>
      </c>
      <c r="B1453" s="4">
        <v>1</v>
      </c>
      <c r="C1453" s="4">
        <v>1</v>
      </c>
      <c r="D1453" s="4">
        <v>0</v>
      </c>
      <c r="E1453" s="4">
        <v>0</v>
      </c>
      <c r="F1453" s="4">
        <v>1</v>
      </c>
      <c r="G1453" s="4">
        <v>111003</v>
      </c>
      <c r="H1453" s="4">
        <v>1</v>
      </c>
      <c r="I1453" s="4">
        <f t="shared" si="34"/>
        <v>75</v>
      </c>
      <c r="J1453" s="4">
        <f t="shared" si="35"/>
        <v>113</v>
      </c>
      <c r="K1453" s="4" t="s">
        <v>2541</v>
      </c>
    </row>
    <row r="1454" spans="1:11" s="4" customFormat="1">
      <c r="A1454" s="4">
        <v>112095</v>
      </c>
      <c r="B1454" s="4">
        <v>1</v>
      </c>
      <c r="C1454" s="4">
        <v>1</v>
      </c>
      <c r="D1454" s="4">
        <v>0</v>
      </c>
      <c r="E1454" s="4">
        <v>0</v>
      </c>
      <c r="F1454" s="4">
        <v>1</v>
      </c>
      <c r="G1454" s="4">
        <v>111003</v>
      </c>
      <c r="H1454" s="4">
        <v>1</v>
      </c>
      <c r="I1454" s="4">
        <f t="shared" si="34"/>
        <v>76</v>
      </c>
      <c r="J1454" s="4">
        <f t="shared" si="35"/>
        <v>114</v>
      </c>
      <c r="K1454" s="4" t="s">
        <v>2542</v>
      </c>
    </row>
    <row r="1455" spans="1:11" s="4" customFormat="1">
      <c r="A1455" s="4">
        <v>112096</v>
      </c>
      <c r="B1455" s="4">
        <v>1</v>
      </c>
      <c r="C1455" s="4">
        <v>1</v>
      </c>
      <c r="D1455" s="4">
        <v>0</v>
      </c>
      <c r="E1455" s="4">
        <v>0</v>
      </c>
      <c r="F1455" s="4">
        <v>1</v>
      </c>
      <c r="G1455" s="4">
        <v>111003</v>
      </c>
      <c r="H1455" s="4">
        <v>1</v>
      </c>
      <c r="I1455" s="4">
        <f t="shared" si="34"/>
        <v>77</v>
      </c>
      <c r="J1455" s="4">
        <f t="shared" si="35"/>
        <v>115</v>
      </c>
      <c r="K1455" s="4" t="s">
        <v>2543</v>
      </c>
    </row>
    <row r="1456" spans="1:11" s="4" customFormat="1">
      <c r="A1456" s="4">
        <v>112097</v>
      </c>
      <c r="B1456" s="4">
        <v>1</v>
      </c>
      <c r="C1456" s="4">
        <v>1</v>
      </c>
      <c r="D1456" s="4">
        <v>0</v>
      </c>
      <c r="E1456" s="4">
        <v>0</v>
      </c>
      <c r="F1456" s="4">
        <v>1</v>
      </c>
      <c r="G1456" s="4">
        <v>111003</v>
      </c>
      <c r="H1456" s="4">
        <v>1</v>
      </c>
      <c r="I1456" s="4">
        <f t="shared" si="34"/>
        <v>78</v>
      </c>
      <c r="J1456" s="4">
        <f t="shared" si="35"/>
        <v>116</v>
      </c>
      <c r="K1456" s="4" t="s">
        <v>2544</v>
      </c>
    </row>
    <row r="1457" spans="1:11" s="4" customFormat="1">
      <c r="A1457" s="4">
        <v>112098</v>
      </c>
      <c r="B1457" s="4">
        <v>1</v>
      </c>
      <c r="C1457" s="4">
        <v>1</v>
      </c>
      <c r="D1457" s="4">
        <v>0</v>
      </c>
      <c r="E1457" s="4">
        <v>0</v>
      </c>
      <c r="F1457" s="4">
        <v>1</v>
      </c>
      <c r="G1457" s="4">
        <v>111003</v>
      </c>
      <c r="H1457" s="4">
        <v>1</v>
      </c>
      <c r="I1457" s="4">
        <f t="shared" si="34"/>
        <v>78</v>
      </c>
      <c r="J1457" s="4">
        <f t="shared" si="35"/>
        <v>118</v>
      </c>
      <c r="K1457" s="4" t="s">
        <v>2545</v>
      </c>
    </row>
    <row r="1458" spans="1:11" s="4" customFormat="1">
      <c r="A1458" s="4">
        <v>112099</v>
      </c>
      <c r="B1458" s="4">
        <v>1</v>
      </c>
      <c r="C1458" s="4">
        <v>1</v>
      </c>
      <c r="D1458" s="4">
        <v>0</v>
      </c>
      <c r="E1458" s="4">
        <v>0</v>
      </c>
      <c r="F1458" s="4">
        <v>1</v>
      </c>
      <c r="G1458" s="4">
        <v>111003</v>
      </c>
      <c r="H1458" s="4">
        <v>1</v>
      </c>
      <c r="I1458" s="4">
        <f t="shared" si="34"/>
        <v>79</v>
      </c>
      <c r="J1458" s="4">
        <f t="shared" si="35"/>
        <v>119</v>
      </c>
      <c r="K1458" s="4" t="s">
        <v>2546</v>
      </c>
    </row>
    <row r="1459" spans="1:11" s="4" customFormat="1">
      <c r="A1459" s="4">
        <v>112100</v>
      </c>
      <c r="B1459" s="4">
        <v>1</v>
      </c>
      <c r="C1459" s="4">
        <v>1</v>
      </c>
      <c r="D1459" s="4">
        <v>0</v>
      </c>
      <c r="E1459" s="4">
        <v>0</v>
      </c>
      <c r="F1459" s="4">
        <v>1</v>
      </c>
      <c r="G1459" s="4">
        <v>111003</v>
      </c>
      <c r="H1459" s="4">
        <v>1</v>
      </c>
      <c r="I1459" s="4">
        <f t="shared" si="34"/>
        <v>80</v>
      </c>
      <c r="J1459" s="4">
        <f t="shared" si="35"/>
        <v>120</v>
      </c>
      <c r="K1459" s="4" t="s">
        <v>2547</v>
      </c>
    </row>
    <row r="1460" spans="1:11" s="4" customFormat="1">
      <c r="A1460" s="4">
        <v>112101</v>
      </c>
      <c r="B1460" s="4">
        <v>1</v>
      </c>
      <c r="C1460" s="4">
        <v>1</v>
      </c>
      <c r="D1460" s="4">
        <v>0</v>
      </c>
      <c r="E1460" s="4">
        <v>0</v>
      </c>
      <c r="F1460" s="4">
        <v>1</v>
      </c>
      <c r="G1460" s="4">
        <v>111003</v>
      </c>
      <c r="H1460" s="4">
        <v>1</v>
      </c>
      <c r="I1460" s="4">
        <f t="shared" si="34"/>
        <v>81</v>
      </c>
      <c r="J1460" s="4">
        <f t="shared" si="35"/>
        <v>121</v>
      </c>
      <c r="K1460" s="4" t="s">
        <v>2548</v>
      </c>
    </row>
    <row r="1461" spans="1:11" s="4" customFormat="1">
      <c r="A1461" s="4">
        <v>112102</v>
      </c>
      <c r="B1461" s="4">
        <v>1</v>
      </c>
      <c r="C1461" s="4">
        <v>1</v>
      </c>
      <c r="D1461" s="4">
        <v>0</v>
      </c>
      <c r="E1461" s="4">
        <v>0</v>
      </c>
      <c r="F1461" s="4">
        <v>1</v>
      </c>
      <c r="G1461" s="4">
        <v>111003</v>
      </c>
      <c r="H1461" s="4">
        <v>1</v>
      </c>
      <c r="I1461" s="4">
        <f t="shared" si="34"/>
        <v>82</v>
      </c>
      <c r="J1461" s="4">
        <f t="shared" si="35"/>
        <v>122</v>
      </c>
      <c r="K1461" s="4" t="s">
        <v>2549</v>
      </c>
    </row>
    <row r="1462" spans="1:11" s="4" customFormat="1">
      <c r="A1462" s="4">
        <v>112103</v>
      </c>
      <c r="B1462" s="4">
        <v>1</v>
      </c>
      <c r="C1462" s="4">
        <v>1</v>
      </c>
      <c r="D1462" s="4">
        <v>0</v>
      </c>
      <c r="E1462" s="4">
        <v>0</v>
      </c>
      <c r="F1462" s="4">
        <v>1</v>
      </c>
      <c r="G1462" s="4">
        <v>111003</v>
      </c>
      <c r="H1462" s="4">
        <v>1</v>
      </c>
      <c r="I1462" s="4">
        <f t="shared" si="34"/>
        <v>82</v>
      </c>
      <c r="J1462" s="4">
        <f t="shared" si="35"/>
        <v>124</v>
      </c>
      <c r="K1462" s="4" t="s">
        <v>2550</v>
      </c>
    </row>
    <row r="1463" spans="1:11" s="4" customFormat="1">
      <c r="A1463" s="4">
        <v>112104</v>
      </c>
      <c r="B1463" s="4">
        <v>1</v>
      </c>
      <c r="C1463" s="4">
        <v>1</v>
      </c>
      <c r="D1463" s="4">
        <v>0</v>
      </c>
      <c r="E1463" s="4">
        <v>0</v>
      </c>
      <c r="F1463" s="4">
        <v>1</v>
      </c>
      <c r="G1463" s="4">
        <v>111003</v>
      </c>
      <c r="H1463" s="4">
        <v>1</v>
      </c>
      <c r="I1463" s="4">
        <f t="shared" si="34"/>
        <v>83</v>
      </c>
      <c r="J1463" s="4">
        <f t="shared" si="35"/>
        <v>125</v>
      </c>
      <c r="K1463" s="4" t="s">
        <v>2551</v>
      </c>
    </row>
    <row r="1464" spans="1:11" s="4" customFormat="1">
      <c r="A1464" s="4">
        <v>112105</v>
      </c>
      <c r="B1464" s="4">
        <v>1</v>
      </c>
      <c r="C1464" s="4">
        <v>1</v>
      </c>
      <c r="D1464" s="4">
        <v>0</v>
      </c>
      <c r="E1464" s="4">
        <v>0</v>
      </c>
      <c r="F1464" s="4">
        <v>1</v>
      </c>
      <c r="G1464" s="4">
        <v>111003</v>
      </c>
      <c r="H1464" s="4">
        <v>1</v>
      </c>
      <c r="I1464" s="4">
        <f t="shared" si="34"/>
        <v>84</v>
      </c>
      <c r="J1464" s="4">
        <f t="shared" si="35"/>
        <v>126</v>
      </c>
      <c r="K1464" s="4" t="s">
        <v>2552</v>
      </c>
    </row>
    <row r="1465" spans="1:11" s="4" customFormat="1">
      <c r="A1465" s="4">
        <v>112106</v>
      </c>
      <c r="B1465" s="4">
        <v>1</v>
      </c>
      <c r="C1465" s="4">
        <v>1</v>
      </c>
      <c r="D1465" s="4">
        <v>0</v>
      </c>
      <c r="E1465" s="4">
        <v>0</v>
      </c>
      <c r="F1465" s="4">
        <v>1</v>
      </c>
      <c r="G1465" s="4">
        <v>111003</v>
      </c>
      <c r="H1465" s="4">
        <v>1</v>
      </c>
      <c r="I1465" s="4">
        <f t="shared" si="34"/>
        <v>85</v>
      </c>
      <c r="J1465" s="4">
        <f t="shared" si="35"/>
        <v>127</v>
      </c>
      <c r="K1465" s="4" t="s">
        <v>2553</v>
      </c>
    </row>
    <row r="1466" spans="1:11" s="4" customFormat="1">
      <c r="A1466" s="4">
        <v>112107</v>
      </c>
      <c r="B1466" s="4">
        <v>1</v>
      </c>
      <c r="C1466" s="4">
        <v>1</v>
      </c>
      <c r="D1466" s="4">
        <v>0</v>
      </c>
      <c r="E1466" s="4">
        <v>0</v>
      </c>
      <c r="F1466" s="4">
        <v>1</v>
      </c>
      <c r="G1466" s="4">
        <v>111003</v>
      </c>
      <c r="H1466" s="4">
        <v>1</v>
      </c>
      <c r="I1466" s="4">
        <f t="shared" si="34"/>
        <v>86</v>
      </c>
      <c r="J1466" s="4">
        <f t="shared" si="35"/>
        <v>128</v>
      </c>
      <c r="K1466" s="4" t="s">
        <v>2554</v>
      </c>
    </row>
    <row r="1467" spans="1:11" s="4" customFormat="1">
      <c r="A1467" s="4">
        <v>112108</v>
      </c>
      <c r="B1467" s="4">
        <v>1</v>
      </c>
      <c r="C1467" s="4">
        <v>1</v>
      </c>
      <c r="D1467" s="4">
        <v>0</v>
      </c>
      <c r="E1467" s="4">
        <v>0</v>
      </c>
      <c r="F1467" s="4">
        <v>1</v>
      </c>
      <c r="G1467" s="4">
        <v>111003</v>
      </c>
      <c r="H1467" s="4">
        <v>1</v>
      </c>
      <c r="I1467" s="4">
        <f t="shared" si="34"/>
        <v>86</v>
      </c>
      <c r="J1467" s="4">
        <f t="shared" si="35"/>
        <v>130</v>
      </c>
      <c r="K1467" s="4" t="s">
        <v>2555</v>
      </c>
    </row>
    <row r="1468" spans="1:11" s="4" customFormat="1">
      <c r="A1468" s="4">
        <v>112109</v>
      </c>
      <c r="B1468" s="4">
        <v>1</v>
      </c>
      <c r="C1468" s="4">
        <v>1</v>
      </c>
      <c r="D1468" s="4">
        <v>0</v>
      </c>
      <c r="E1468" s="4">
        <v>0</v>
      </c>
      <c r="F1468" s="4">
        <v>1</v>
      </c>
      <c r="G1468" s="4">
        <v>111003</v>
      </c>
      <c r="H1468" s="4">
        <v>1</v>
      </c>
      <c r="I1468" s="4">
        <f t="shared" si="34"/>
        <v>87</v>
      </c>
      <c r="J1468" s="4">
        <f t="shared" si="35"/>
        <v>131</v>
      </c>
      <c r="K1468" s="4" t="s">
        <v>2556</v>
      </c>
    </row>
    <row r="1469" spans="1:11" s="4" customFormat="1">
      <c r="A1469" s="4">
        <v>112110</v>
      </c>
      <c r="B1469" s="4">
        <v>1</v>
      </c>
      <c r="C1469" s="4">
        <v>1</v>
      </c>
      <c r="D1469" s="4">
        <v>0</v>
      </c>
      <c r="E1469" s="4">
        <v>0</v>
      </c>
      <c r="F1469" s="4">
        <v>1</v>
      </c>
      <c r="G1469" s="4">
        <v>111003</v>
      </c>
      <c r="H1469" s="4">
        <v>1</v>
      </c>
      <c r="I1469" s="4">
        <f t="shared" si="34"/>
        <v>88</v>
      </c>
      <c r="J1469" s="4">
        <f t="shared" si="35"/>
        <v>132</v>
      </c>
      <c r="K1469" s="4" t="s">
        <v>2557</v>
      </c>
    </row>
    <row r="1470" spans="1:11" s="4" customFormat="1">
      <c r="A1470" s="4">
        <v>112111</v>
      </c>
      <c r="B1470" s="4">
        <v>1</v>
      </c>
      <c r="C1470" s="4">
        <v>1</v>
      </c>
      <c r="D1470" s="4">
        <v>0</v>
      </c>
      <c r="E1470" s="4">
        <v>0</v>
      </c>
      <c r="F1470" s="4">
        <v>1</v>
      </c>
      <c r="G1470" s="4">
        <v>111003</v>
      </c>
      <c r="H1470" s="4">
        <v>1</v>
      </c>
      <c r="I1470" s="4">
        <f t="shared" si="34"/>
        <v>89</v>
      </c>
      <c r="J1470" s="4">
        <f t="shared" si="35"/>
        <v>133</v>
      </c>
      <c r="K1470" s="4" t="s">
        <v>2558</v>
      </c>
    </row>
    <row r="1471" spans="1:11" s="4" customFormat="1">
      <c r="A1471" s="4">
        <v>112112</v>
      </c>
      <c r="B1471" s="4">
        <v>1</v>
      </c>
      <c r="C1471" s="4">
        <v>1</v>
      </c>
      <c r="D1471" s="4">
        <v>0</v>
      </c>
      <c r="E1471" s="4">
        <v>0</v>
      </c>
      <c r="F1471" s="4">
        <v>1</v>
      </c>
      <c r="G1471" s="4">
        <v>111003</v>
      </c>
      <c r="H1471" s="4">
        <v>1</v>
      </c>
      <c r="I1471" s="4">
        <f t="shared" si="34"/>
        <v>90</v>
      </c>
      <c r="J1471" s="4">
        <f t="shared" si="35"/>
        <v>134</v>
      </c>
      <c r="K1471" s="4" t="s">
        <v>2559</v>
      </c>
    </row>
    <row r="1472" spans="1:11" s="4" customFormat="1">
      <c r="A1472" s="4">
        <v>112113</v>
      </c>
      <c r="B1472" s="4">
        <v>1</v>
      </c>
      <c r="C1472" s="4">
        <v>1</v>
      </c>
      <c r="D1472" s="4">
        <v>0</v>
      </c>
      <c r="E1472" s="4">
        <v>0</v>
      </c>
      <c r="F1472" s="4">
        <v>1</v>
      </c>
      <c r="G1472" s="4">
        <v>111003</v>
      </c>
      <c r="H1472" s="4">
        <v>1</v>
      </c>
      <c r="I1472" s="4">
        <f t="shared" si="34"/>
        <v>90</v>
      </c>
      <c r="J1472" s="4">
        <f t="shared" si="35"/>
        <v>136</v>
      </c>
      <c r="K1472" s="4" t="s">
        <v>2560</v>
      </c>
    </row>
    <row r="1473" spans="1:11" s="4" customFormat="1">
      <c r="A1473" s="4">
        <v>112114</v>
      </c>
      <c r="B1473" s="4">
        <v>1</v>
      </c>
      <c r="C1473" s="4">
        <v>1</v>
      </c>
      <c r="D1473" s="4">
        <v>0</v>
      </c>
      <c r="E1473" s="4">
        <v>0</v>
      </c>
      <c r="F1473" s="4">
        <v>1</v>
      </c>
      <c r="G1473" s="4">
        <v>111003</v>
      </c>
      <c r="H1473" s="4">
        <v>1</v>
      </c>
      <c r="I1473" s="4">
        <f t="shared" si="34"/>
        <v>91</v>
      </c>
      <c r="J1473" s="4">
        <f t="shared" si="35"/>
        <v>137</v>
      </c>
      <c r="K1473" s="4" t="s">
        <v>2561</v>
      </c>
    </row>
    <row r="1474" spans="1:11" s="4" customFormat="1">
      <c r="A1474" s="4">
        <v>112115</v>
      </c>
      <c r="B1474" s="4">
        <v>1</v>
      </c>
      <c r="C1474" s="4">
        <v>1</v>
      </c>
      <c r="D1474" s="4">
        <v>0</v>
      </c>
      <c r="E1474" s="4">
        <v>0</v>
      </c>
      <c r="F1474" s="4">
        <v>1</v>
      </c>
      <c r="G1474" s="4">
        <v>111003</v>
      </c>
      <c r="H1474" s="4">
        <v>1</v>
      </c>
      <c r="I1474" s="4">
        <f t="shared" si="34"/>
        <v>92</v>
      </c>
      <c r="J1474" s="4">
        <f t="shared" si="35"/>
        <v>138</v>
      </c>
      <c r="K1474" s="4" t="s">
        <v>2562</v>
      </c>
    </row>
    <row r="1475" spans="1:11" s="4" customFormat="1">
      <c r="A1475" s="4">
        <v>112116</v>
      </c>
      <c r="B1475" s="4">
        <v>1</v>
      </c>
      <c r="C1475" s="4">
        <v>1</v>
      </c>
      <c r="D1475" s="4">
        <v>0</v>
      </c>
      <c r="E1475" s="4">
        <v>0</v>
      </c>
      <c r="F1475" s="4">
        <v>1</v>
      </c>
      <c r="G1475" s="4">
        <v>111003</v>
      </c>
      <c r="H1475" s="4">
        <v>1</v>
      </c>
      <c r="I1475" s="4">
        <f t="shared" si="34"/>
        <v>93</v>
      </c>
      <c r="J1475" s="4">
        <f t="shared" si="35"/>
        <v>139</v>
      </c>
      <c r="K1475" s="4" t="s">
        <v>2563</v>
      </c>
    </row>
    <row r="1476" spans="1:11" s="4" customFormat="1">
      <c r="A1476" s="4">
        <v>112117</v>
      </c>
      <c r="B1476" s="4">
        <v>1</v>
      </c>
      <c r="C1476" s="4">
        <v>1</v>
      </c>
      <c r="D1476" s="4">
        <v>0</v>
      </c>
      <c r="E1476" s="4">
        <v>0</v>
      </c>
      <c r="F1476" s="4">
        <v>1</v>
      </c>
      <c r="G1476" s="4">
        <v>111003</v>
      </c>
      <c r="H1476" s="4">
        <v>1</v>
      </c>
      <c r="I1476" s="4">
        <f t="shared" si="34"/>
        <v>94</v>
      </c>
      <c r="J1476" s="4">
        <f t="shared" si="35"/>
        <v>140</v>
      </c>
      <c r="K1476" s="4" t="s">
        <v>2564</v>
      </c>
    </row>
    <row r="1477" spans="1:11" s="4" customFormat="1">
      <c r="A1477" s="4">
        <v>112118</v>
      </c>
      <c r="B1477" s="4">
        <v>1</v>
      </c>
      <c r="C1477" s="4">
        <v>1</v>
      </c>
      <c r="D1477" s="4">
        <v>0</v>
      </c>
      <c r="E1477" s="4">
        <v>0</v>
      </c>
      <c r="F1477" s="4">
        <v>1</v>
      </c>
      <c r="G1477" s="4">
        <v>111003</v>
      </c>
      <c r="H1477" s="4">
        <v>1</v>
      </c>
      <c r="I1477" s="4">
        <f t="shared" si="34"/>
        <v>94</v>
      </c>
      <c r="J1477" s="4">
        <f t="shared" si="35"/>
        <v>142</v>
      </c>
      <c r="K1477" s="4" t="s">
        <v>2565</v>
      </c>
    </row>
    <row r="1478" spans="1:11" s="4" customFormat="1">
      <c r="A1478" s="4">
        <v>112119</v>
      </c>
      <c r="B1478" s="4">
        <v>1</v>
      </c>
      <c r="C1478" s="4">
        <v>1</v>
      </c>
      <c r="D1478" s="4">
        <v>0</v>
      </c>
      <c r="E1478" s="4">
        <v>0</v>
      </c>
      <c r="F1478" s="4">
        <v>1</v>
      </c>
      <c r="G1478" s="4">
        <v>111003</v>
      </c>
      <c r="H1478" s="4">
        <v>1</v>
      </c>
      <c r="I1478" s="4">
        <f t="shared" si="34"/>
        <v>95</v>
      </c>
      <c r="J1478" s="4">
        <f t="shared" si="35"/>
        <v>143</v>
      </c>
      <c r="K1478" s="4" t="s">
        <v>2566</v>
      </c>
    </row>
    <row r="1479" spans="1:11" s="4" customFormat="1">
      <c r="A1479" s="4">
        <v>112120</v>
      </c>
      <c r="B1479" s="4">
        <v>1</v>
      </c>
      <c r="C1479" s="4">
        <v>1</v>
      </c>
      <c r="D1479" s="4">
        <v>0</v>
      </c>
      <c r="E1479" s="4">
        <v>0</v>
      </c>
      <c r="F1479" s="4">
        <v>1</v>
      </c>
      <c r="G1479" s="4">
        <v>111003</v>
      </c>
      <c r="H1479" s="4">
        <v>1</v>
      </c>
      <c r="I1479" s="4">
        <f t="shared" si="34"/>
        <v>96</v>
      </c>
      <c r="J1479" s="4">
        <f t="shared" si="35"/>
        <v>144</v>
      </c>
      <c r="K1479" s="4" t="s">
        <v>2567</v>
      </c>
    </row>
    <row r="1480" spans="1:11" s="4" customFormat="1">
      <c r="A1480" s="4">
        <v>112121</v>
      </c>
      <c r="B1480" s="4">
        <v>1</v>
      </c>
      <c r="C1480" s="4">
        <v>1</v>
      </c>
      <c r="D1480" s="4">
        <v>0</v>
      </c>
      <c r="E1480" s="4">
        <v>0</v>
      </c>
      <c r="F1480" s="4">
        <v>1</v>
      </c>
      <c r="G1480" s="4">
        <v>111003</v>
      </c>
      <c r="H1480" s="4">
        <v>1</v>
      </c>
      <c r="I1480" s="4">
        <f t="shared" si="34"/>
        <v>97</v>
      </c>
      <c r="J1480" s="4">
        <f t="shared" si="35"/>
        <v>145</v>
      </c>
      <c r="K1480" s="4" t="s">
        <v>2568</v>
      </c>
    </row>
    <row r="1481" spans="1:11" s="4" customFormat="1">
      <c r="A1481" s="4">
        <v>112122</v>
      </c>
      <c r="B1481" s="4">
        <v>1</v>
      </c>
      <c r="C1481" s="4">
        <v>1</v>
      </c>
      <c r="D1481" s="4">
        <v>0</v>
      </c>
      <c r="E1481" s="4">
        <v>0</v>
      </c>
      <c r="F1481" s="4">
        <v>1</v>
      </c>
      <c r="G1481" s="4">
        <v>111003</v>
      </c>
      <c r="H1481" s="4">
        <v>1</v>
      </c>
      <c r="I1481" s="4">
        <f t="shared" si="34"/>
        <v>98</v>
      </c>
      <c r="J1481" s="4">
        <f t="shared" si="35"/>
        <v>146</v>
      </c>
      <c r="K1481" s="4" t="s">
        <v>2569</v>
      </c>
    </row>
    <row r="1482" spans="1:11" s="4" customFormat="1">
      <c r="A1482" s="4">
        <v>112123</v>
      </c>
      <c r="B1482" s="4">
        <v>1</v>
      </c>
      <c r="C1482" s="4">
        <v>1</v>
      </c>
      <c r="D1482" s="4">
        <v>0</v>
      </c>
      <c r="E1482" s="4">
        <v>0</v>
      </c>
      <c r="F1482" s="4">
        <v>1</v>
      </c>
      <c r="G1482" s="4">
        <v>111003</v>
      </c>
      <c r="H1482" s="4">
        <v>1</v>
      </c>
      <c r="I1482" s="4">
        <f t="shared" si="34"/>
        <v>98</v>
      </c>
      <c r="J1482" s="4">
        <f t="shared" si="35"/>
        <v>148</v>
      </c>
      <c r="K1482" s="4" t="s">
        <v>2570</v>
      </c>
    </row>
    <row r="1483" spans="1:11" s="4" customFormat="1">
      <c r="A1483" s="4">
        <v>112124</v>
      </c>
      <c r="B1483" s="4">
        <v>1</v>
      </c>
      <c r="C1483" s="4">
        <v>1</v>
      </c>
      <c r="D1483" s="4">
        <v>0</v>
      </c>
      <c r="E1483" s="4">
        <v>0</v>
      </c>
      <c r="F1483" s="4">
        <v>1</v>
      </c>
      <c r="G1483" s="4">
        <v>111003</v>
      </c>
      <c r="H1483" s="4">
        <v>1</v>
      </c>
      <c r="I1483" s="4">
        <f t="shared" si="34"/>
        <v>99</v>
      </c>
      <c r="J1483" s="4">
        <f t="shared" si="35"/>
        <v>149</v>
      </c>
      <c r="K1483" s="4" t="s">
        <v>2571</v>
      </c>
    </row>
    <row r="1484" spans="1:11" s="4" customFormat="1">
      <c r="A1484" s="4">
        <v>112125</v>
      </c>
      <c r="B1484" s="4">
        <v>1</v>
      </c>
      <c r="C1484" s="4">
        <v>1</v>
      </c>
      <c r="D1484" s="4">
        <v>0</v>
      </c>
      <c r="E1484" s="4">
        <v>0</v>
      </c>
      <c r="F1484" s="4">
        <v>1</v>
      </c>
      <c r="G1484" s="4">
        <v>111003</v>
      </c>
      <c r="H1484" s="4">
        <v>1</v>
      </c>
      <c r="I1484" s="4">
        <f t="shared" si="34"/>
        <v>100</v>
      </c>
      <c r="J1484" s="4">
        <f t="shared" si="35"/>
        <v>150</v>
      </c>
      <c r="K1484" s="4" t="s">
        <v>2572</v>
      </c>
    </row>
    <row r="1485" spans="1:11" s="4" customFormat="1">
      <c r="A1485" s="4">
        <v>112126</v>
      </c>
      <c r="B1485" s="4">
        <v>1</v>
      </c>
      <c r="C1485" s="4">
        <v>1</v>
      </c>
      <c r="D1485" s="4">
        <v>0</v>
      </c>
      <c r="E1485" s="4">
        <v>0</v>
      </c>
      <c r="F1485" s="4">
        <v>1</v>
      </c>
      <c r="G1485" s="4">
        <v>111003</v>
      </c>
      <c r="H1485" s="4">
        <v>1</v>
      </c>
      <c r="I1485" s="4">
        <f t="shared" si="34"/>
        <v>101</v>
      </c>
      <c r="J1485" s="4">
        <f t="shared" si="35"/>
        <v>151</v>
      </c>
      <c r="K1485" s="4" t="s">
        <v>2573</v>
      </c>
    </row>
    <row r="1486" spans="1:11" s="4" customFormat="1">
      <c r="A1486" s="4">
        <v>112127</v>
      </c>
      <c r="B1486" s="4">
        <v>1</v>
      </c>
      <c r="C1486" s="4">
        <v>1</v>
      </c>
      <c r="D1486" s="4">
        <v>0</v>
      </c>
      <c r="E1486" s="4">
        <v>0</v>
      </c>
      <c r="F1486" s="4">
        <v>1</v>
      </c>
      <c r="G1486" s="4">
        <v>111003</v>
      </c>
      <c r="H1486" s="4">
        <v>1</v>
      </c>
      <c r="I1486" s="4">
        <f t="shared" si="34"/>
        <v>102</v>
      </c>
      <c r="J1486" s="4">
        <f t="shared" si="35"/>
        <v>152</v>
      </c>
      <c r="K1486" s="4" t="s">
        <v>2574</v>
      </c>
    </row>
    <row r="1487" spans="1:11" s="4" customFormat="1">
      <c r="A1487" s="4">
        <v>112128</v>
      </c>
      <c r="B1487" s="4">
        <v>1</v>
      </c>
      <c r="C1487" s="4">
        <v>1</v>
      </c>
      <c r="D1487" s="4">
        <v>0</v>
      </c>
      <c r="E1487" s="4">
        <v>0</v>
      </c>
      <c r="F1487" s="4">
        <v>1</v>
      </c>
      <c r="G1487" s="4">
        <v>111003</v>
      </c>
      <c r="H1487" s="4">
        <v>1</v>
      </c>
      <c r="I1487" s="4">
        <f t="shared" si="34"/>
        <v>102</v>
      </c>
      <c r="J1487" s="4">
        <f t="shared" si="35"/>
        <v>154</v>
      </c>
      <c r="K1487" s="4" t="s">
        <v>2575</v>
      </c>
    </row>
    <row r="1488" spans="1:11" s="4" customFormat="1">
      <c r="A1488" s="4">
        <v>112129</v>
      </c>
      <c r="B1488" s="4">
        <v>1</v>
      </c>
      <c r="C1488" s="4">
        <v>1</v>
      </c>
      <c r="D1488" s="4">
        <v>0</v>
      </c>
      <c r="E1488" s="4">
        <v>0</v>
      </c>
      <c r="F1488" s="4">
        <v>1</v>
      </c>
      <c r="G1488" s="4">
        <v>111003</v>
      </c>
      <c r="H1488" s="4">
        <v>1</v>
      </c>
      <c r="I1488" s="4">
        <f t="shared" si="34"/>
        <v>103</v>
      </c>
      <c r="J1488" s="4">
        <f t="shared" si="35"/>
        <v>155</v>
      </c>
      <c r="K1488" s="4" t="s">
        <v>2576</v>
      </c>
    </row>
    <row r="1489" spans="1:11" s="4" customFormat="1">
      <c r="A1489" s="4">
        <v>112130</v>
      </c>
      <c r="B1489" s="4">
        <v>1</v>
      </c>
      <c r="C1489" s="4">
        <v>1</v>
      </c>
      <c r="D1489" s="4">
        <v>0</v>
      </c>
      <c r="E1489" s="4">
        <v>0</v>
      </c>
      <c r="F1489" s="4">
        <v>1</v>
      </c>
      <c r="G1489" s="4">
        <v>111003</v>
      </c>
      <c r="H1489" s="4">
        <v>1</v>
      </c>
      <c r="I1489" s="4">
        <f t="shared" ref="I1489:I1552" si="36">ROUND(RIGHT(A1489,3)*80%,0)</f>
        <v>104</v>
      </c>
      <c r="J1489" s="4">
        <f t="shared" ref="J1489:J1552" si="37">ROUND(RIGHT(A1489,3)*120%,0)</f>
        <v>156</v>
      </c>
      <c r="K1489" s="4" t="s">
        <v>2577</v>
      </c>
    </row>
    <row r="1490" spans="1:11" s="4" customFormat="1">
      <c r="A1490" s="4">
        <v>112131</v>
      </c>
      <c r="B1490" s="4">
        <v>1</v>
      </c>
      <c r="C1490" s="4">
        <v>1</v>
      </c>
      <c r="D1490" s="4">
        <v>0</v>
      </c>
      <c r="E1490" s="4">
        <v>0</v>
      </c>
      <c r="F1490" s="4">
        <v>1</v>
      </c>
      <c r="G1490" s="4">
        <v>111003</v>
      </c>
      <c r="H1490" s="4">
        <v>1</v>
      </c>
      <c r="I1490" s="4">
        <f t="shared" si="36"/>
        <v>105</v>
      </c>
      <c r="J1490" s="4">
        <f t="shared" si="37"/>
        <v>157</v>
      </c>
      <c r="K1490" s="4" t="s">
        <v>2578</v>
      </c>
    </row>
    <row r="1491" spans="1:11" s="4" customFormat="1">
      <c r="A1491" s="4">
        <v>112132</v>
      </c>
      <c r="B1491" s="4">
        <v>1</v>
      </c>
      <c r="C1491" s="4">
        <v>1</v>
      </c>
      <c r="D1491" s="4">
        <v>0</v>
      </c>
      <c r="E1491" s="4">
        <v>0</v>
      </c>
      <c r="F1491" s="4">
        <v>1</v>
      </c>
      <c r="G1491" s="4">
        <v>111003</v>
      </c>
      <c r="H1491" s="4">
        <v>1</v>
      </c>
      <c r="I1491" s="4">
        <f t="shared" si="36"/>
        <v>106</v>
      </c>
      <c r="J1491" s="4">
        <f t="shared" si="37"/>
        <v>158</v>
      </c>
      <c r="K1491" s="4" t="s">
        <v>2579</v>
      </c>
    </row>
    <row r="1492" spans="1:11" s="4" customFormat="1">
      <c r="A1492" s="4">
        <v>112133</v>
      </c>
      <c r="B1492" s="4">
        <v>1</v>
      </c>
      <c r="C1492" s="4">
        <v>1</v>
      </c>
      <c r="D1492" s="4">
        <v>0</v>
      </c>
      <c r="E1492" s="4">
        <v>0</v>
      </c>
      <c r="F1492" s="4">
        <v>1</v>
      </c>
      <c r="G1492" s="4">
        <v>111003</v>
      </c>
      <c r="H1492" s="4">
        <v>1</v>
      </c>
      <c r="I1492" s="4">
        <f t="shared" si="36"/>
        <v>106</v>
      </c>
      <c r="J1492" s="4">
        <f t="shared" si="37"/>
        <v>160</v>
      </c>
      <c r="K1492" s="4" t="s">
        <v>2580</v>
      </c>
    </row>
    <row r="1493" spans="1:11" s="4" customFormat="1">
      <c r="A1493" s="4">
        <v>112134</v>
      </c>
      <c r="B1493" s="4">
        <v>1</v>
      </c>
      <c r="C1493" s="4">
        <v>1</v>
      </c>
      <c r="D1493" s="4">
        <v>0</v>
      </c>
      <c r="E1493" s="4">
        <v>0</v>
      </c>
      <c r="F1493" s="4">
        <v>1</v>
      </c>
      <c r="G1493" s="4">
        <v>111003</v>
      </c>
      <c r="H1493" s="4">
        <v>1</v>
      </c>
      <c r="I1493" s="4">
        <f t="shared" si="36"/>
        <v>107</v>
      </c>
      <c r="J1493" s="4">
        <f t="shared" si="37"/>
        <v>161</v>
      </c>
      <c r="K1493" s="4" t="s">
        <v>2581</v>
      </c>
    </row>
    <row r="1494" spans="1:11" s="4" customFormat="1">
      <c r="A1494" s="4">
        <v>112135</v>
      </c>
      <c r="B1494" s="4">
        <v>1</v>
      </c>
      <c r="C1494" s="4">
        <v>1</v>
      </c>
      <c r="D1494" s="4">
        <v>0</v>
      </c>
      <c r="E1494" s="4">
        <v>0</v>
      </c>
      <c r="F1494" s="4">
        <v>1</v>
      </c>
      <c r="G1494" s="4">
        <v>111003</v>
      </c>
      <c r="H1494" s="4">
        <v>1</v>
      </c>
      <c r="I1494" s="4">
        <f t="shared" si="36"/>
        <v>108</v>
      </c>
      <c r="J1494" s="4">
        <f t="shared" si="37"/>
        <v>162</v>
      </c>
      <c r="K1494" s="4" t="s">
        <v>2582</v>
      </c>
    </row>
    <row r="1495" spans="1:11" s="4" customFormat="1">
      <c r="A1495" s="4">
        <v>112136</v>
      </c>
      <c r="B1495" s="4">
        <v>1</v>
      </c>
      <c r="C1495" s="4">
        <v>1</v>
      </c>
      <c r="D1495" s="4">
        <v>0</v>
      </c>
      <c r="E1495" s="4">
        <v>0</v>
      </c>
      <c r="F1495" s="4">
        <v>1</v>
      </c>
      <c r="G1495" s="4">
        <v>111003</v>
      </c>
      <c r="H1495" s="4">
        <v>1</v>
      </c>
      <c r="I1495" s="4">
        <f t="shared" si="36"/>
        <v>109</v>
      </c>
      <c r="J1495" s="4">
        <f t="shared" si="37"/>
        <v>163</v>
      </c>
      <c r="K1495" s="4" t="s">
        <v>2583</v>
      </c>
    </row>
    <row r="1496" spans="1:11" s="4" customFormat="1">
      <c r="A1496" s="4">
        <v>112137</v>
      </c>
      <c r="B1496" s="4">
        <v>1</v>
      </c>
      <c r="C1496" s="4">
        <v>1</v>
      </c>
      <c r="D1496" s="4">
        <v>0</v>
      </c>
      <c r="E1496" s="4">
        <v>0</v>
      </c>
      <c r="F1496" s="4">
        <v>1</v>
      </c>
      <c r="G1496" s="4">
        <v>111003</v>
      </c>
      <c r="H1496" s="4">
        <v>1</v>
      </c>
      <c r="I1496" s="4">
        <f t="shared" si="36"/>
        <v>110</v>
      </c>
      <c r="J1496" s="4">
        <f t="shared" si="37"/>
        <v>164</v>
      </c>
      <c r="K1496" s="4" t="s">
        <v>2584</v>
      </c>
    </row>
    <row r="1497" spans="1:11" s="4" customFormat="1">
      <c r="A1497" s="4">
        <v>112138</v>
      </c>
      <c r="B1497" s="4">
        <v>1</v>
      </c>
      <c r="C1497" s="4">
        <v>1</v>
      </c>
      <c r="D1497" s="4">
        <v>0</v>
      </c>
      <c r="E1497" s="4">
        <v>0</v>
      </c>
      <c r="F1497" s="4">
        <v>1</v>
      </c>
      <c r="G1497" s="4">
        <v>111003</v>
      </c>
      <c r="H1497" s="4">
        <v>1</v>
      </c>
      <c r="I1497" s="4">
        <f t="shared" si="36"/>
        <v>110</v>
      </c>
      <c r="J1497" s="4">
        <f t="shared" si="37"/>
        <v>166</v>
      </c>
      <c r="K1497" s="4" t="s">
        <v>2585</v>
      </c>
    </row>
    <row r="1498" spans="1:11" s="4" customFormat="1">
      <c r="A1498" s="4">
        <v>112139</v>
      </c>
      <c r="B1498" s="4">
        <v>1</v>
      </c>
      <c r="C1498" s="4">
        <v>1</v>
      </c>
      <c r="D1498" s="4">
        <v>0</v>
      </c>
      <c r="E1498" s="4">
        <v>0</v>
      </c>
      <c r="F1498" s="4">
        <v>1</v>
      </c>
      <c r="G1498" s="4">
        <v>111003</v>
      </c>
      <c r="H1498" s="4">
        <v>1</v>
      </c>
      <c r="I1498" s="4">
        <f t="shared" si="36"/>
        <v>111</v>
      </c>
      <c r="J1498" s="4">
        <f t="shared" si="37"/>
        <v>167</v>
      </c>
      <c r="K1498" s="4" t="s">
        <v>2586</v>
      </c>
    </row>
    <row r="1499" spans="1:11" s="4" customFormat="1">
      <c r="A1499" s="4">
        <v>112140</v>
      </c>
      <c r="B1499" s="4">
        <v>1</v>
      </c>
      <c r="C1499" s="4">
        <v>1</v>
      </c>
      <c r="D1499" s="4">
        <v>0</v>
      </c>
      <c r="E1499" s="4">
        <v>0</v>
      </c>
      <c r="F1499" s="4">
        <v>1</v>
      </c>
      <c r="G1499" s="4">
        <v>111003</v>
      </c>
      <c r="H1499" s="4">
        <v>1</v>
      </c>
      <c r="I1499" s="4">
        <f t="shared" si="36"/>
        <v>112</v>
      </c>
      <c r="J1499" s="4">
        <f t="shared" si="37"/>
        <v>168</v>
      </c>
      <c r="K1499" s="4" t="s">
        <v>2587</v>
      </c>
    </row>
    <row r="1500" spans="1:11" s="4" customFormat="1">
      <c r="A1500" s="4">
        <v>112141</v>
      </c>
      <c r="B1500" s="4">
        <v>1</v>
      </c>
      <c r="C1500" s="4">
        <v>1</v>
      </c>
      <c r="D1500" s="4">
        <v>0</v>
      </c>
      <c r="E1500" s="4">
        <v>0</v>
      </c>
      <c r="F1500" s="4">
        <v>1</v>
      </c>
      <c r="G1500" s="4">
        <v>111003</v>
      </c>
      <c r="H1500" s="4">
        <v>1</v>
      </c>
      <c r="I1500" s="4">
        <f t="shared" si="36"/>
        <v>113</v>
      </c>
      <c r="J1500" s="4">
        <f t="shared" si="37"/>
        <v>169</v>
      </c>
      <c r="K1500" s="4" t="s">
        <v>2588</v>
      </c>
    </row>
    <row r="1501" spans="1:11" s="4" customFormat="1">
      <c r="A1501" s="4">
        <v>112142</v>
      </c>
      <c r="B1501" s="4">
        <v>1</v>
      </c>
      <c r="C1501" s="4">
        <v>1</v>
      </c>
      <c r="D1501" s="4">
        <v>0</v>
      </c>
      <c r="E1501" s="4">
        <v>0</v>
      </c>
      <c r="F1501" s="4">
        <v>1</v>
      </c>
      <c r="G1501" s="4">
        <v>111003</v>
      </c>
      <c r="H1501" s="4">
        <v>1</v>
      </c>
      <c r="I1501" s="4">
        <f t="shared" si="36"/>
        <v>114</v>
      </c>
      <c r="J1501" s="4">
        <f t="shared" si="37"/>
        <v>170</v>
      </c>
      <c r="K1501" s="4" t="s">
        <v>2589</v>
      </c>
    </row>
    <row r="1502" spans="1:11" s="4" customFormat="1">
      <c r="A1502" s="4">
        <v>112143</v>
      </c>
      <c r="B1502" s="4">
        <v>1</v>
      </c>
      <c r="C1502" s="4">
        <v>1</v>
      </c>
      <c r="D1502" s="4">
        <v>0</v>
      </c>
      <c r="E1502" s="4">
        <v>0</v>
      </c>
      <c r="F1502" s="4">
        <v>1</v>
      </c>
      <c r="G1502" s="4">
        <v>111003</v>
      </c>
      <c r="H1502" s="4">
        <v>1</v>
      </c>
      <c r="I1502" s="4">
        <f t="shared" si="36"/>
        <v>114</v>
      </c>
      <c r="J1502" s="4">
        <f t="shared" si="37"/>
        <v>172</v>
      </c>
      <c r="K1502" s="4" t="s">
        <v>2590</v>
      </c>
    </row>
    <row r="1503" spans="1:11" s="4" customFormat="1">
      <c r="A1503" s="4">
        <v>112144</v>
      </c>
      <c r="B1503" s="4">
        <v>1</v>
      </c>
      <c r="C1503" s="4">
        <v>1</v>
      </c>
      <c r="D1503" s="4">
        <v>0</v>
      </c>
      <c r="E1503" s="4">
        <v>0</v>
      </c>
      <c r="F1503" s="4">
        <v>1</v>
      </c>
      <c r="G1503" s="4">
        <v>111003</v>
      </c>
      <c r="H1503" s="4">
        <v>1</v>
      </c>
      <c r="I1503" s="4">
        <f t="shared" si="36"/>
        <v>115</v>
      </c>
      <c r="J1503" s="4">
        <f t="shared" si="37"/>
        <v>173</v>
      </c>
      <c r="K1503" s="4" t="s">
        <v>2591</v>
      </c>
    </row>
    <row r="1504" spans="1:11" s="4" customFormat="1">
      <c r="A1504" s="4">
        <v>112145</v>
      </c>
      <c r="B1504" s="4">
        <v>1</v>
      </c>
      <c r="C1504" s="4">
        <v>1</v>
      </c>
      <c r="D1504" s="4">
        <v>0</v>
      </c>
      <c r="E1504" s="4">
        <v>0</v>
      </c>
      <c r="F1504" s="4">
        <v>1</v>
      </c>
      <c r="G1504" s="4">
        <v>111003</v>
      </c>
      <c r="H1504" s="4">
        <v>1</v>
      </c>
      <c r="I1504" s="4">
        <f t="shared" si="36"/>
        <v>116</v>
      </c>
      <c r="J1504" s="4">
        <f t="shared" si="37"/>
        <v>174</v>
      </c>
      <c r="K1504" s="4" t="s">
        <v>2592</v>
      </c>
    </row>
    <row r="1505" spans="1:11" s="4" customFormat="1">
      <c r="A1505" s="4">
        <v>112146</v>
      </c>
      <c r="B1505" s="4">
        <v>1</v>
      </c>
      <c r="C1505" s="4">
        <v>1</v>
      </c>
      <c r="D1505" s="4">
        <v>0</v>
      </c>
      <c r="E1505" s="4">
        <v>0</v>
      </c>
      <c r="F1505" s="4">
        <v>1</v>
      </c>
      <c r="G1505" s="4">
        <v>111003</v>
      </c>
      <c r="H1505" s="4">
        <v>1</v>
      </c>
      <c r="I1505" s="4">
        <f t="shared" si="36"/>
        <v>117</v>
      </c>
      <c r="J1505" s="4">
        <f t="shared" si="37"/>
        <v>175</v>
      </c>
      <c r="K1505" s="4" t="s">
        <v>2593</v>
      </c>
    </row>
    <row r="1506" spans="1:11" s="4" customFormat="1">
      <c r="A1506" s="4">
        <v>112147</v>
      </c>
      <c r="B1506" s="4">
        <v>1</v>
      </c>
      <c r="C1506" s="4">
        <v>1</v>
      </c>
      <c r="D1506" s="4">
        <v>0</v>
      </c>
      <c r="E1506" s="4">
        <v>0</v>
      </c>
      <c r="F1506" s="4">
        <v>1</v>
      </c>
      <c r="G1506" s="4">
        <v>111003</v>
      </c>
      <c r="H1506" s="4">
        <v>1</v>
      </c>
      <c r="I1506" s="4">
        <f t="shared" si="36"/>
        <v>118</v>
      </c>
      <c r="J1506" s="4">
        <f t="shared" si="37"/>
        <v>176</v>
      </c>
      <c r="K1506" s="4" t="s">
        <v>2594</v>
      </c>
    </row>
    <row r="1507" spans="1:11" s="4" customFormat="1">
      <c r="A1507" s="4">
        <v>112148</v>
      </c>
      <c r="B1507" s="4">
        <v>1</v>
      </c>
      <c r="C1507" s="4">
        <v>1</v>
      </c>
      <c r="D1507" s="4">
        <v>0</v>
      </c>
      <c r="E1507" s="4">
        <v>0</v>
      </c>
      <c r="F1507" s="4">
        <v>1</v>
      </c>
      <c r="G1507" s="4">
        <v>111003</v>
      </c>
      <c r="H1507" s="4">
        <v>1</v>
      </c>
      <c r="I1507" s="4">
        <f t="shared" si="36"/>
        <v>118</v>
      </c>
      <c r="J1507" s="4">
        <f t="shared" si="37"/>
        <v>178</v>
      </c>
      <c r="K1507" s="4" t="s">
        <v>2595</v>
      </c>
    </row>
    <row r="1508" spans="1:11" s="4" customFormat="1">
      <c r="A1508" s="4">
        <v>112149</v>
      </c>
      <c r="B1508" s="4">
        <v>1</v>
      </c>
      <c r="C1508" s="4">
        <v>1</v>
      </c>
      <c r="D1508" s="4">
        <v>0</v>
      </c>
      <c r="E1508" s="4">
        <v>0</v>
      </c>
      <c r="F1508" s="4">
        <v>1</v>
      </c>
      <c r="G1508" s="4">
        <v>111003</v>
      </c>
      <c r="H1508" s="4">
        <v>1</v>
      </c>
      <c r="I1508" s="4">
        <f t="shared" si="36"/>
        <v>119</v>
      </c>
      <c r="J1508" s="4">
        <f t="shared" si="37"/>
        <v>179</v>
      </c>
      <c r="K1508" s="4" t="s">
        <v>2596</v>
      </c>
    </row>
    <row r="1509" spans="1:11" s="4" customFormat="1">
      <c r="A1509" s="4">
        <v>112150</v>
      </c>
      <c r="B1509" s="4">
        <v>1</v>
      </c>
      <c r="C1509" s="4">
        <v>1</v>
      </c>
      <c r="D1509" s="4">
        <v>0</v>
      </c>
      <c r="E1509" s="4">
        <v>0</v>
      </c>
      <c r="F1509" s="4">
        <v>1</v>
      </c>
      <c r="G1509" s="4">
        <v>111003</v>
      </c>
      <c r="H1509" s="4">
        <v>1</v>
      </c>
      <c r="I1509" s="4">
        <f t="shared" si="36"/>
        <v>120</v>
      </c>
      <c r="J1509" s="4">
        <f t="shared" si="37"/>
        <v>180</v>
      </c>
      <c r="K1509" s="4" t="s">
        <v>2597</v>
      </c>
    </row>
    <row r="1510" spans="1:11" s="4" customFormat="1">
      <c r="A1510" s="4">
        <v>112151</v>
      </c>
      <c r="B1510" s="4">
        <v>1</v>
      </c>
      <c r="C1510" s="4">
        <v>1</v>
      </c>
      <c r="D1510" s="4">
        <v>0</v>
      </c>
      <c r="E1510" s="4">
        <v>0</v>
      </c>
      <c r="F1510" s="4">
        <v>1</v>
      </c>
      <c r="G1510" s="4">
        <v>111003</v>
      </c>
      <c r="H1510" s="4">
        <v>1</v>
      </c>
      <c r="I1510" s="4">
        <f t="shared" si="36"/>
        <v>121</v>
      </c>
      <c r="J1510" s="4">
        <f t="shared" si="37"/>
        <v>181</v>
      </c>
      <c r="K1510" s="4" t="s">
        <v>2598</v>
      </c>
    </row>
    <row r="1511" spans="1:11" s="4" customFormat="1">
      <c r="A1511" s="4">
        <v>112152</v>
      </c>
      <c r="B1511" s="4">
        <v>1</v>
      </c>
      <c r="C1511" s="4">
        <v>1</v>
      </c>
      <c r="D1511" s="4">
        <v>0</v>
      </c>
      <c r="E1511" s="4">
        <v>0</v>
      </c>
      <c r="F1511" s="4">
        <v>1</v>
      </c>
      <c r="G1511" s="4">
        <v>111003</v>
      </c>
      <c r="H1511" s="4">
        <v>1</v>
      </c>
      <c r="I1511" s="4">
        <f t="shared" si="36"/>
        <v>122</v>
      </c>
      <c r="J1511" s="4">
        <f t="shared" si="37"/>
        <v>182</v>
      </c>
      <c r="K1511" s="4" t="s">
        <v>2599</v>
      </c>
    </row>
    <row r="1512" spans="1:11" s="4" customFormat="1">
      <c r="A1512" s="4">
        <v>112153</v>
      </c>
      <c r="B1512" s="4">
        <v>1</v>
      </c>
      <c r="C1512" s="4">
        <v>1</v>
      </c>
      <c r="D1512" s="4">
        <v>0</v>
      </c>
      <c r="E1512" s="4">
        <v>0</v>
      </c>
      <c r="F1512" s="4">
        <v>1</v>
      </c>
      <c r="G1512" s="4">
        <v>111003</v>
      </c>
      <c r="H1512" s="4">
        <v>1</v>
      </c>
      <c r="I1512" s="4">
        <f t="shared" si="36"/>
        <v>122</v>
      </c>
      <c r="J1512" s="4">
        <f t="shared" si="37"/>
        <v>184</v>
      </c>
      <c r="K1512" s="4" t="s">
        <v>2600</v>
      </c>
    </row>
    <row r="1513" spans="1:11" s="4" customFormat="1">
      <c r="A1513" s="4">
        <v>112154</v>
      </c>
      <c r="B1513" s="4">
        <v>1</v>
      </c>
      <c r="C1513" s="4">
        <v>1</v>
      </c>
      <c r="D1513" s="4">
        <v>0</v>
      </c>
      <c r="E1513" s="4">
        <v>0</v>
      </c>
      <c r="F1513" s="4">
        <v>1</v>
      </c>
      <c r="G1513" s="4">
        <v>111003</v>
      </c>
      <c r="H1513" s="4">
        <v>1</v>
      </c>
      <c r="I1513" s="4">
        <f t="shared" si="36"/>
        <v>123</v>
      </c>
      <c r="J1513" s="4">
        <f t="shared" si="37"/>
        <v>185</v>
      </c>
      <c r="K1513" s="4" t="s">
        <v>2601</v>
      </c>
    </row>
    <row r="1514" spans="1:11" s="4" customFormat="1">
      <c r="A1514" s="4">
        <v>112155</v>
      </c>
      <c r="B1514" s="4">
        <v>1</v>
      </c>
      <c r="C1514" s="4">
        <v>1</v>
      </c>
      <c r="D1514" s="4">
        <v>0</v>
      </c>
      <c r="E1514" s="4">
        <v>0</v>
      </c>
      <c r="F1514" s="4">
        <v>1</v>
      </c>
      <c r="G1514" s="4">
        <v>111003</v>
      </c>
      <c r="H1514" s="4">
        <v>1</v>
      </c>
      <c r="I1514" s="4">
        <f t="shared" si="36"/>
        <v>124</v>
      </c>
      <c r="J1514" s="4">
        <f t="shared" si="37"/>
        <v>186</v>
      </c>
      <c r="K1514" s="4" t="s">
        <v>2602</v>
      </c>
    </row>
    <row r="1515" spans="1:11" s="4" customFormat="1">
      <c r="A1515" s="4">
        <v>112156</v>
      </c>
      <c r="B1515" s="4">
        <v>1</v>
      </c>
      <c r="C1515" s="4">
        <v>1</v>
      </c>
      <c r="D1515" s="4">
        <v>0</v>
      </c>
      <c r="E1515" s="4">
        <v>0</v>
      </c>
      <c r="F1515" s="4">
        <v>1</v>
      </c>
      <c r="G1515" s="4">
        <v>111003</v>
      </c>
      <c r="H1515" s="4">
        <v>1</v>
      </c>
      <c r="I1515" s="4">
        <f t="shared" si="36"/>
        <v>125</v>
      </c>
      <c r="J1515" s="4">
        <f t="shared" si="37"/>
        <v>187</v>
      </c>
      <c r="K1515" s="4" t="s">
        <v>2603</v>
      </c>
    </row>
    <row r="1516" spans="1:11" s="4" customFormat="1">
      <c r="A1516" s="4">
        <v>112157</v>
      </c>
      <c r="B1516" s="4">
        <v>1</v>
      </c>
      <c r="C1516" s="4">
        <v>1</v>
      </c>
      <c r="D1516" s="4">
        <v>0</v>
      </c>
      <c r="E1516" s="4">
        <v>0</v>
      </c>
      <c r="F1516" s="4">
        <v>1</v>
      </c>
      <c r="G1516" s="4">
        <v>111003</v>
      </c>
      <c r="H1516" s="4">
        <v>1</v>
      </c>
      <c r="I1516" s="4">
        <f t="shared" si="36"/>
        <v>126</v>
      </c>
      <c r="J1516" s="4">
        <f t="shared" si="37"/>
        <v>188</v>
      </c>
      <c r="K1516" s="4" t="s">
        <v>2604</v>
      </c>
    </row>
    <row r="1517" spans="1:11" s="4" customFormat="1">
      <c r="A1517" s="4">
        <v>112158</v>
      </c>
      <c r="B1517" s="4">
        <v>1</v>
      </c>
      <c r="C1517" s="4">
        <v>1</v>
      </c>
      <c r="D1517" s="4">
        <v>0</v>
      </c>
      <c r="E1517" s="4">
        <v>0</v>
      </c>
      <c r="F1517" s="4">
        <v>1</v>
      </c>
      <c r="G1517" s="4">
        <v>111003</v>
      </c>
      <c r="H1517" s="4">
        <v>1</v>
      </c>
      <c r="I1517" s="4">
        <f t="shared" si="36"/>
        <v>126</v>
      </c>
      <c r="J1517" s="4">
        <f t="shared" si="37"/>
        <v>190</v>
      </c>
      <c r="K1517" s="4" t="s">
        <v>2605</v>
      </c>
    </row>
    <row r="1518" spans="1:11" s="4" customFormat="1">
      <c r="A1518" s="4">
        <v>112159</v>
      </c>
      <c r="B1518" s="4">
        <v>1</v>
      </c>
      <c r="C1518" s="4">
        <v>1</v>
      </c>
      <c r="D1518" s="4">
        <v>0</v>
      </c>
      <c r="E1518" s="4">
        <v>0</v>
      </c>
      <c r="F1518" s="4">
        <v>1</v>
      </c>
      <c r="G1518" s="4">
        <v>111003</v>
      </c>
      <c r="H1518" s="4">
        <v>1</v>
      </c>
      <c r="I1518" s="4">
        <f t="shared" si="36"/>
        <v>127</v>
      </c>
      <c r="J1518" s="4">
        <f t="shared" si="37"/>
        <v>191</v>
      </c>
      <c r="K1518" s="4" t="s">
        <v>2606</v>
      </c>
    </row>
    <row r="1519" spans="1:11" s="4" customFormat="1">
      <c r="A1519" s="4">
        <v>112160</v>
      </c>
      <c r="B1519" s="4">
        <v>1</v>
      </c>
      <c r="C1519" s="4">
        <v>1</v>
      </c>
      <c r="D1519" s="4">
        <v>0</v>
      </c>
      <c r="E1519" s="4">
        <v>0</v>
      </c>
      <c r="F1519" s="4">
        <v>1</v>
      </c>
      <c r="G1519" s="4">
        <v>111003</v>
      </c>
      <c r="H1519" s="4">
        <v>1</v>
      </c>
      <c r="I1519" s="4">
        <f t="shared" si="36"/>
        <v>128</v>
      </c>
      <c r="J1519" s="4">
        <f t="shared" si="37"/>
        <v>192</v>
      </c>
      <c r="K1519" s="4" t="s">
        <v>2607</v>
      </c>
    </row>
    <row r="1520" spans="1:11" s="4" customFormat="1">
      <c r="A1520" s="4">
        <v>112161</v>
      </c>
      <c r="B1520" s="4">
        <v>1</v>
      </c>
      <c r="C1520" s="4">
        <v>1</v>
      </c>
      <c r="D1520" s="4">
        <v>0</v>
      </c>
      <c r="E1520" s="4">
        <v>0</v>
      </c>
      <c r="F1520" s="4">
        <v>1</v>
      </c>
      <c r="G1520" s="4">
        <v>111003</v>
      </c>
      <c r="H1520" s="4">
        <v>1</v>
      </c>
      <c r="I1520" s="4">
        <f t="shared" si="36"/>
        <v>129</v>
      </c>
      <c r="J1520" s="4">
        <f t="shared" si="37"/>
        <v>193</v>
      </c>
      <c r="K1520" s="4" t="s">
        <v>2608</v>
      </c>
    </row>
    <row r="1521" spans="1:11" s="4" customFormat="1">
      <c r="A1521" s="4">
        <v>112162</v>
      </c>
      <c r="B1521" s="4">
        <v>1</v>
      </c>
      <c r="C1521" s="4">
        <v>1</v>
      </c>
      <c r="D1521" s="4">
        <v>0</v>
      </c>
      <c r="E1521" s="4">
        <v>0</v>
      </c>
      <c r="F1521" s="4">
        <v>1</v>
      </c>
      <c r="G1521" s="4">
        <v>111003</v>
      </c>
      <c r="H1521" s="4">
        <v>1</v>
      </c>
      <c r="I1521" s="4">
        <f t="shared" si="36"/>
        <v>130</v>
      </c>
      <c r="J1521" s="4">
        <f t="shared" si="37"/>
        <v>194</v>
      </c>
      <c r="K1521" s="4" t="s">
        <v>2609</v>
      </c>
    </row>
    <row r="1522" spans="1:11" s="4" customFormat="1">
      <c r="A1522" s="4">
        <v>112163</v>
      </c>
      <c r="B1522" s="4">
        <v>1</v>
      </c>
      <c r="C1522" s="4">
        <v>1</v>
      </c>
      <c r="D1522" s="4">
        <v>0</v>
      </c>
      <c r="E1522" s="4">
        <v>0</v>
      </c>
      <c r="F1522" s="4">
        <v>1</v>
      </c>
      <c r="G1522" s="4">
        <v>111003</v>
      </c>
      <c r="H1522" s="4">
        <v>1</v>
      </c>
      <c r="I1522" s="4">
        <f t="shared" si="36"/>
        <v>130</v>
      </c>
      <c r="J1522" s="4">
        <f t="shared" si="37"/>
        <v>196</v>
      </c>
      <c r="K1522" s="4" t="s">
        <v>2610</v>
      </c>
    </row>
    <row r="1523" spans="1:11" s="4" customFormat="1">
      <c r="A1523" s="4">
        <v>112164</v>
      </c>
      <c r="B1523" s="4">
        <v>1</v>
      </c>
      <c r="C1523" s="4">
        <v>1</v>
      </c>
      <c r="D1523" s="4">
        <v>0</v>
      </c>
      <c r="E1523" s="4">
        <v>0</v>
      </c>
      <c r="F1523" s="4">
        <v>1</v>
      </c>
      <c r="G1523" s="4">
        <v>111003</v>
      </c>
      <c r="H1523" s="4">
        <v>1</v>
      </c>
      <c r="I1523" s="4">
        <f t="shared" si="36"/>
        <v>131</v>
      </c>
      <c r="J1523" s="4">
        <f t="shared" si="37"/>
        <v>197</v>
      </c>
      <c r="K1523" s="4" t="s">
        <v>2611</v>
      </c>
    </row>
    <row r="1524" spans="1:11" s="4" customFormat="1">
      <c r="A1524" s="4">
        <v>112165</v>
      </c>
      <c r="B1524" s="4">
        <v>1</v>
      </c>
      <c r="C1524" s="4">
        <v>1</v>
      </c>
      <c r="D1524" s="4">
        <v>0</v>
      </c>
      <c r="E1524" s="4">
        <v>0</v>
      </c>
      <c r="F1524" s="4">
        <v>1</v>
      </c>
      <c r="G1524" s="4">
        <v>111003</v>
      </c>
      <c r="H1524" s="4">
        <v>1</v>
      </c>
      <c r="I1524" s="4">
        <f t="shared" si="36"/>
        <v>132</v>
      </c>
      <c r="J1524" s="4">
        <f t="shared" si="37"/>
        <v>198</v>
      </c>
      <c r="K1524" s="4" t="s">
        <v>2612</v>
      </c>
    </row>
    <row r="1525" spans="1:11" s="4" customFormat="1">
      <c r="A1525" s="4">
        <v>112166</v>
      </c>
      <c r="B1525" s="4">
        <v>1</v>
      </c>
      <c r="C1525" s="4">
        <v>1</v>
      </c>
      <c r="D1525" s="4">
        <v>0</v>
      </c>
      <c r="E1525" s="4">
        <v>0</v>
      </c>
      <c r="F1525" s="4">
        <v>1</v>
      </c>
      <c r="G1525" s="4">
        <v>111003</v>
      </c>
      <c r="H1525" s="4">
        <v>1</v>
      </c>
      <c r="I1525" s="4">
        <f t="shared" si="36"/>
        <v>133</v>
      </c>
      <c r="J1525" s="4">
        <f t="shared" si="37"/>
        <v>199</v>
      </c>
      <c r="K1525" s="4" t="s">
        <v>2613</v>
      </c>
    </row>
    <row r="1526" spans="1:11" s="4" customFormat="1">
      <c r="A1526" s="4">
        <v>112167</v>
      </c>
      <c r="B1526" s="4">
        <v>1</v>
      </c>
      <c r="C1526" s="4">
        <v>1</v>
      </c>
      <c r="D1526" s="4">
        <v>0</v>
      </c>
      <c r="E1526" s="4">
        <v>0</v>
      </c>
      <c r="F1526" s="4">
        <v>1</v>
      </c>
      <c r="G1526" s="4">
        <v>111003</v>
      </c>
      <c r="H1526" s="4">
        <v>1</v>
      </c>
      <c r="I1526" s="4">
        <f t="shared" si="36"/>
        <v>134</v>
      </c>
      <c r="J1526" s="4">
        <f t="shared" si="37"/>
        <v>200</v>
      </c>
      <c r="K1526" s="4" t="s">
        <v>2614</v>
      </c>
    </row>
    <row r="1527" spans="1:11" s="4" customFormat="1">
      <c r="A1527" s="4">
        <v>112168</v>
      </c>
      <c r="B1527" s="4">
        <v>1</v>
      </c>
      <c r="C1527" s="4">
        <v>1</v>
      </c>
      <c r="D1527" s="4">
        <v>0</v>
      </c>
      <c r="E1527" s="4">
        <v>0</v>
      </c>
      <c r="F1527" s="4">
        <v>1</v>
      </c>
      <c r="G1527" s="4">
        <v>111003</v>
      </c>
      <c r="H1527" s="4">
        <v>1</v>
      </c>
      <c r="I1527" s="4">
        <f t="shared" si="36"/>
        <v>134</v>
      </c>
      <c r="J1527" s="4">
        <f t="shared" si="37"/>
        <v>202</v>
      </c>
      <c r="K1527" s="4" t="s">
        <v>2615</v>
      </c>
    </row>
    <row r="1528" spans="1:11" s="4" customFormat="1">
      <c r="A1528" s="4">
        <v>112169</v>
      </c>
      <c r="B1528" s="4">
        <v>1</v>
      </c>
      <c r="C1528" s="4">
        <v>1</v>
      </c>
      <c r="D1528" s="4">
        <v>0</v>
      </c>
      <c r="E1528" s="4">
        <v>0</v>
      </c>
      <c r="F1528" s="4">
        <v>1</v>
      </c>
      <c r="G1528" s="4">
        <v>111003</v>
      </c>
      <c r="H1528" s="4">
        <v>1</v>
      </c>
      <c r="I1528" s="4">
        <f t="shared" si="36"/>
        <v>135</v>
      </c>
      <c r="J1528" s="4">
        <f t="shared" si="37"/>
        <v>203</v>
      </c>
      <c r="K1528" s="4" t="s">
        <v>2616</v>
      </c>
    </row>
    <row r="1529" spans="1:11" s="4" customFormat="1">
      <c r="A1529" s="4">
        <v>112170</v>
      </c>
      <c r="B1529" s="4">
        <v>1</v>
      </c>
      <c r="C1529" s="4">
        <v>1</v>
      </c>
      <c r="D1529" s="4">
        <v>0</v>
      </c>
      <c r="E1529" s="4">
        <v>0</v>
      </c>
      <c r="F1529" s="4">
        <v>1</v>
      </c>
      <c r="G1529" s="4">
        <v>111003</v>
      </c>
      <c r="H1529" s="4">
        <v>1</v>
      </c>
      <c r="I1529" s="4">
        <f t="shared" si="36"/>
        <v>136</v>
      </c>
      <c r="J1529" s="4">
        <f t="shared" si="37"/>
        <v>204</v>
      </c>
      <c r="K1529" s="4" t="s">
        <v>2617</v>
      </c>
    </row>
    <row r="1530" spans="1:11" s="4" customFormat="1">
      <c r="A1530" s="4">
        <v>112171</v>
      </c>
      <c r="B1530" s="4">
        <v>1</v>
      </c>
      <c r="C1530" s="4">
        <v>1</v>
      </c>
      <c r="D1530" s="4">
        <v>0</v>
      </c>
      <c r="E1530" s="4">
        <v>0</v>
      </c>
      <c r="F1530" s="4">
        <v>1</v>
      </c>
      <c r="G1530" s="4">
        <v>111003</v>
      </c>
      <c r="H1530" s="4">
        <v>1</v>
      </c>
      <c r="I1530" s="4">
        <f t="shared" si="36"/>
        <v>137</v>
      </c>
      <c r="J1530" s="4">
        <f t="shared" si="37"/>
        <v>205</v>
      </c>
      <c r="K1530" s="4" t="s">
        <v>2618</v>
      </c>
    </row>
    <row r="1531" spans="1:11" s="4" customFormat="1">
      <c r="A1531" s="4">
        <v>112172</v>
      </c>
      <c r="B1531" s="4">
        <v>1</v>
      </c>
      <c r="C1531" s="4">
        <v>1</v>
      </c>
      <c r="D1531" s="4">
        <v>0</v>
      </c>
      <c r="E1531" s="4">
        <v>0</v>
      </c>
      <c r="F1531" s="4">
        <v>1</v>
      </c>
      <c r="G1531" s="4">
        <v>111003</v>
      </c>
      <c r="H1531" s="4">
        <v>1</v>
      </c>
      <c r="I1531" s="4">
        <f t="shared" si="36"/>
        <v>138</v>
      </c>
      <c r="J1531" s="4">
        <f t="shared" si="37"/>
        <v>206</v>
      </c>
      <c r="K1531" s="4" t="s">
        <v>2619</v>
      </c>
    </row>
    <row r="1532" spans="1:11" s="4" customFormat="1">
      <c r="A1532" s="4">
        <v>112173</v>
      </c>
      <c r="B1532" s="4">
        <v>1</v>
      </c>
      <c r="C1532" s="4">
        <v>1</v>
      </c>
      <c r="D1532" s="4">
        <v>0</v>
      </c>
      <c r="E1532" s="4">
        <v>0</v>
      </c>
      <c r="F1532" s="4">
        <v>1</v>
      </c>
      <c r="G1532" s="4">
        <v>111003</v>
      </c>
      <c r="H1532" s="4">
        <v>1</v>
      </c>
      <c r="I1532" s="4">
        <f t="shared" si="36"/>
        <v>138</v>
      </c>
      <c r="J1532" s="4">
        <f t="shared" si="37"/>
        <v>208</v>
      </c>
      <c r="K1532" s="4" t="s">
        <v>2620</v>
      </c>
    </row>
    <row r="1533" spans="1:11" s="4" customFormat="1">
      <c r="A1533" s="4">
        <v>112174</v>
      </c>
      <c r="B1533" s="4">
        <v>1</v>
      </c>
      <c r="C1533" s="4">
        <v>1</v>
      </c>
      <c r="D1533" s="4">
        <v>0</v>
      </c>
      <c r="E1533" s="4">
        <v>0</v>
      </c>
      <c r="F1533" s="4">
        <v>1</v>
      </c>
      <c r="G1533" s="4">
        <v>111003</v>
      </c>
      <c r="H1533" s="4">
        <v>1</v>
      </c>
      <c r="I1533" s="4">
        <f t="shared" si="36"/>
        <v>139</v>
      </c>
      <c r="J1533" s="4">
        <f t="shared" si="37"/>
        <v>209</v>
      </c>
      <c r="K1533" s="4" t="s">
        <v>2621</v>
      </c>
    </row>
    <row r="1534" spans="1:11" s="4" customFormat="1">
      <c r="A1534" s="4">
        <v>112175</v>
      </c>
      <c r="B1534" s="4">
        <v>1</v>
      </c>
      <c r="C1534" s="4">
        <v>1</v>
      </c>
      <c r="D1534" s="4">
        <v>0</v>
      </c>
      <c r="E1534" s="4">
        <v>0</v>
      </c>
      <c r="F1534" s="4">
        <v>1</v>
      </c>
      <c r="G1534" s="4">
        <v>111003</v>
      </c>
      <c r="H1534" s="4">
        <v>1</v>
      </c>
      <c r="I1534" s="4">
        <f t="shared" si="36"/>
        <v>140</v>
      </c>
      <c r="J1534" s="4">
        <f t="shared" si="37"/>
        <v>210</v>
      </c>
      <c r="K1534" s="4" t="s">
        <v>2622</v>
      </c>
    </row>
    <row r="1535" spans="1:11" s="4" customFormat="1">
      <c r="A1535" s="4">
        <v>112176</v>
      </c>
      <c r="B1535" s="4">
        <v>1</v>
      </c>
      <c r="C1535" s="4">
        <v>1</v>
      </c>
      <c r="D1535" s="4">
        <v>0</v>
      </c>
      <c r="E1535" s="4">
        <v>0</v>
      </c>
      <c r="F1535" s="4">
        <v>1</v>
      </c>
      <c r="G1535" s="4">
        <v>111003</v>
      </c>
      <c r="H1535" s="4">
        <v>1</v>
      </c>
      <c r="I1535" s="4">
        <f t="shared" si="36"/>
        <v>141</v>
      </c>
      <c r="J1535" s="4">
        <f t="shared" si="37"/>
        <v>211</v>
      </c>
      <c r="K1535" s="4" t="s">
        <v>2623</v>
      </c>
    </row>
    <row r="1536" spans="1:11" s="4" customFormat="1">
      <c r="A1536" s="4">
        <v>112177</v>
      </c>
      <c r="B1536" s="4">
        <v>1</v>
      </c>
      <c r="C1536" s="4">
        <v>1</v>
      </c>
      <c r="D1536" s="4">
        <v>0</v>
      </c>
      <c r="E1536" s="4">
        <v>0</v>
      </c>
      <c r="F1536" s="4">
        <v>1</v>
      </c>
      <c r="G1536" s="4">
        <v>111003</v>
      </c>
      <c r="H1536" s="4">
        <v>1</v>
      </c>
      <c r="I1536" s="4">
        <f t="shared" si="36"/>
        <v>142</v>
      </c>
      <c r="J1536" s="4">
        <f t="shared" si="37"/>
        <v>212</v>
      </c>
      <c r="K1536" s="4" t="s">
        <v>2624</v>
      </c>
    </row>
    <row r="1537" spans="1:11" s="4" customFormat="1">
      <c r="A1537" s="4">
        <v>112178</v>
      </c>
      <c r="B1537" s="4">
        <v>1</v>
      </c>
      <c r="C1537" s="4">
        <v>1</v>
      </c>
      <c r="D1537" s="4">
        <v>0</v>
      </c>
      <c r="E1537" s="4">
        <v>0</v>
      </c>
      <c r="F1537" s="4">
        <v>1</v>
      </c>
      <c r="G1537" s="4">
        <v>111003</v>
      </c>
      <c r="H1537" s="4">
        <v>1</v>
      </c>
      <c r="I1537" s="4">
        <f t="shared" si="36"/>
        <v>142</v>
      </c>
      <c r="J1537" s="4">
        <f t="shared" si="37"/>
        <v>214</v>
      </c>
      <c r="K1537" s="4" t="s">
        <v>2625</v>
      </c>
    </row>
    <row r="1538" spans="1:11" s="4" customFormat="1">
      <c r="A1538" s="4">
        <v>112179</v>
      </c>
      <c r="B1538" s="4">
        <v>1</v>
      </c>
      <c r="C1538" s="4">
        <v>1</v>
      </c>
      <c r="D1538" s="4">
        <v>0</v>
      </c>
      <c r="E1538" s="4">
        <v>0</v>
      </c>
      <c r="F1538" s="4">
        <v>1</v>
      </c>
      <c r="G1538" s="4">
        <v>111003</v>
      </c>
      <c r="H1538" s="4">
        <v>1</v>
      </c>
      <c r="I1538" s="4">
        <f t="shared" si="36"/>
        <v>143</v>
      </c>
      <c r="J1538" s="4">
        <f t="shared" si="37"/>
        <v>215</v>
      </c>
      <c r="K1538" s="4" t="s">
        <v>2626</v>
      </c>
    </row>
    <row r="1539" spans="1:11" s="4" customFormat="1">
      <c r="A1539" s="4">
        <v>112180</v>
      </c>
      <c r="B1539" s="4">
        <v>1</v>
      </c>
      <c r="C1539" s="4">
        <v>1</v>
      </c>
      <c r="D1539" s="4">
        <v>0</v>
      </c>
      <c r="E1539" s="4">
        <v>0</v>
      </c>
      <c r="F1539" s="4">
        <v>1</v>
      </c>
      <c r="G1539" s="4">
        <v>111003</v>
      </c>
      <c r="H1539" s="4">
        <v>1</v>
      </c>
      <c r="I1539" s="4">
        <f t="shared" si="36"/>
        <v>144</v>
      </c>
      <c r="J1539" s="4">
        <f t="shared" si="37"/>
        <v>216</v>
      </c>
      <c r="K1539" s="4" t="s">
        <v>2627</v>
      </c>
    </row>
    <row r="1540" spans="1:11" s="4" customFormat="1">
      <c r="A1540" s="4">
        <v>112181</v>
      </c>
      <c r="B1540" s="4">
        <v>1</v>
      </c>
      <c r="C1540" s="4">
        <v>1</v>
      </c>
      <c r="D1540" s="4">
        <v>0</v>
      </c>
      <c r="E1540" s="4">
        <v>0</v>
      </c>
      <c r="F1540" s="4">
        <v>1</v>
      </c>
      <c r="G1540" s="4">
        <v>111003</v>
      </c>
      <c r="H1540" s="4">
        <v>1</v>
      </c>
      <c r="I1540" s="4">
        <f t="shared" si="36"/>
        <v>145</v>
      </c>
      <c r="J1540" s="4">
        <f t="shared" si="37"/>
        <v>217</v>
      </c>
      <c r="K1540" s="4" t="s">
        <v>2628</v>
      </c>
    </row>
    <row r="1541" spans="1:11" s="4" customFormat="1">
      <c r="A1541" s="4">
        <v>112182</v>
      </c>
      <c r="B1541" s="4">
        <v>1</v>
      </c>
      <c r="C1541" s="4">
        <v>1</v>
      </c>
      <c r="D1541" s="4">
        <v>0</v>
      </c>
      <c r="E1541" s="4">
        <v>0</v>
      </c>
      <c r="F1541" s="4">
        <v>1</v>
      </c>
      <c r="G1541" s="4">
        <v>111003</v>
      </c>
      <c r="H1541" s="4">
        <v>1</v>
      </c>
      <c r="I1541" s="4">
        <f t="shared" si="36"/>
        <v>146</v>
      </c>
      <c r="J1541" s="4">
        <f t="shared" si="37"/>
        <v>218</v>
      </c>
      <c r="K1541" s="4" t="s">
        <v>2629</v>
      </c>
    </row>
    <row r="1542" spans="1:11" s="4" customFormat="1">
      <c r="A1542" s="4">
        <v>112183</v>
      </c>
      <c r="B1542" s="4">
        <v>1</v>
      </c>
      <c r="C1542" s="4">
        <v>1</v>
      </c>
      <c r="D1542" s="4">
        <v>0</v>
      </c>
      <c r="E1542" s="4">
        <v>0</v>
      </c>
      <c r="F1542" s="4">
        <v>1</v>
      </c>
      <c r="G1542" s="4">
        <v>111003</v>
      </c>
      <c r="H1542" s="4">
        <v>1</v>
      </c>
      <c r="I1542" s="4">
        <f t="shared" si="36"/>
        <v>146</v>
      </c>
      <c r="J1542" s="4">
        <f t="shared" si="37"/>
        <v>220</v>
      </c>
      <c r="K1542" s="4" t="s">
        <v>2630</v>
      </c>
    </row>
    <row r="1543" spans="1:11" s="4" customFormat="1">
      <c r="A1543" s="4">
        <v>112184</v>
      </c>
      <c r="B1543" s="4">
        <v>1</v>
      </c>
      <c r="C1543" s="4">
        <v>1</v>
      </c>
      <c r="D1543" s="4">
        <v>0</v>
      </c>
      <c r="E1543" s="4">
        <v>0</v>
      </c>
      <c r="F1543" s="4">
        <v>1</v>
      </c>
      <c r="G1543" s="4">
        <v>111003</v>
      </c>
      <c r="H1543" s="4">
        <v>1</v>
      </c>
      <c r="I1543" s="4">
        <f t="shared" si="36"/>
        <v>147</v>
      </c>
      <c r="J1543" s="4">
        <f t="shared" si="37"/>
        <v>221</v>
      </c>
      <c r="K1543" s="4" t="s">
        <v>2631</v>
      </c>
    </row>
    <row r="1544" spans="1:11" s="4" customFormat="1">
      <c r="A1544" s="4">
        <v>112185</v>
      </c>
      <c r="B1544" s="4">
        <v>1</v>
      </c>
      <c r="C1544" s="4">
        <v>1</v>
      </c>
      <c r="D1544" s="4">
        <v>0</v>
      </c>
      <c r="E1544" s="4">
        <v>0</v>
      </c>
      <c r="F1544" s="4">
        <v>1</v>
      </c>
      <c r="G1544" s="4">
        <v>111003</v>
      </c>
      <c r="H1544" s="4">
        <v>1</v>
      </c>
      <c r="I1544" s="4">
        <f t="shared" si="36"/>
        <v>148</v>
      </c>
      <c r="J1544" s="4">
        <f t="shared" si="37"/>
        <v>222</v>
      </c>
      <c r="K1544" s="4" t="s">
        <v>2632</v>
      </c>
    </row>
    <row r="1545" spans="1:11" s="4" customFormat="1">
      <c r="A1545" s="4">
        <v>112186</v>
      </c>
      <c r="B1545" s="4">
        <v>1</v>
      </c>
      <c r="C1545" s="4">
        <v>1</v>
      </c>
      <c r="D1545" s="4">
        <v>0</v>
      </c>
      <c r="E1545" s="4">
        <v>0</v>
      </c>
      <c r="F1545" s="4">
        <v>1</v>
      </c>
      <c r="G1545" s="4">
        <v>111003</v>
      </c>
      <c r="H1545" s="4">
        <v>1</v>
      </c>
      <c r="I1545" s="4">
        <f t="shared" si="36"/>
        <v>149</v>
      </c>
      <c r="J1545" s="4">
        <f t="shared" si="37"/>
        <v>223</v>
      </c>
      <c r="K1545" s="4" t="s">
        <v>2633</v>
      </c>
    </row>
    <row r="1546" spans="1:11" s="4" customFormat="1">
      <c r="A1546" s="4">
        <v>112187</v>
      </c>
      <c r="B1546" s="4">
        <v>1</v>
      </c>
      <c r="C1546" s="4">
        <v>1</v>
      </c>
      <c r="D1546" s="4">
        <v>0</v>
      </c>
      <c r="E1546" s="4">
        <v>0</v>
      </c>
      <c r="F1546" s="4">
        <v>1</v>
      </c>
      <c r="G1546" s="4">
        <v>111003</v>
      </c>
      <c r="H1546" s="4">
        <v>1</v>
      </c>
      <c r="I1546" s="4">
        <f t="shared" si="36"/>
        <v>150</v>
      </c>
      <c r="J1546" s="4">
        <f t="shared" si="37"/>
        <v>224</v>
      </c>
      <c r="K1546" s="4" t="s">
        <v>2634</v>
      </c>
    </row>
    <row r="1547" spans="1:11" s="4" customFormat="1">
      <c r="A1547" s="4">
        <v>112188</v>
      </c>
      <c r="B1547" s="4">
        <v>1</v>
      </c>
      <c r="C1547" s="4">
        <v>1</v>
      </c>
      <c r="D1547" s="4">
        <v>0</v>
      </c>
      <c r="E1547" s="4">
        <v>0</v>
      </c>
      <c r="F1547" s="4">
        <v>1</v>
      </c>
      <c r="G1547" s="4">
        <v>111003</v>
      </c>
      <c r="H1547" s="4">
        <v>1</v>
      </c>
      <c r="I1547" s="4">
        <f t="shared" si="36"/>
        <v>150</v>
      </c>
      <c r="J1547" s="4">
        <f t="shared" si="37"/>
        <v>226</v>
      </c>
      <c r="K1547" s="4" t="s">
        <v>2635</v>
      </c>
    </row>
    <row r="1548" spans="1:11" s="4" customFormat="1">
      <c r="A1548" s="4">
        <v>112189</v>
      </c>
      <c r="B1548" s="4">
        <v>1</v>
      </c>
      <c r="C1548" s="4">
        <v>1</v>
      </c>
      <c r="D1548" s="4">
        <v>0</v>
      </c>
      <c r="E1548" s="4">
        <v>0</v>
      </c>
      <c r="F1548" s="4">
        <v>1</v>
      </c>
      <c r="G1548" s="4">
        <v>111003</v>
      </c>
      <c r="H1548" s="4">
        <v>1</v>
      </c>
      <c r="I1548" s="4">
        <f t="shared" si="36"/>
        <v>151</v>
      </c>
      <c r="J1548" s="4">
        <f t="shared" si="37"/>
        <v>227</v>
      </c>
      <c r="K1548" s="4" t="s">
        <v>2636</v>
      </c>
    </row>
    <row r="1549" spans="1:11" s="4" customFormat="1">
      <c r="A1549" s="4">
        <v>112190</v>
      </c>
      <c r="B1549" s="4">
        <v>1</v>
      </c>
      <c r="C1549" s="4">
        <v>1</v>
      </c>
      <c r="D1549" s="4">
        <v>0</v>
      </c>
      <c r="E1549" s="4">
        <v>0</v>
      </c>
      <c r="F1549" s="4">
        <v>1</v>
      </c>
      <c r="G1549" s="4">
        <v>111003</v>
      </c>
      <c r="H1549" s="4">
        <v>1</v>
      </c>
      <c r="I1549" s="4">
        <f t="shared" si="36"/>
        <v>152</v>
      </c>
      <c r="J1549" s="4">
        <f t="shared" si="37"/>
        <v>228</v>
      </c>
      <c r="K1549" s="4" t="s">
        <v>2637</v>
      </c>
    </row>
    <row r="1550" spans="1:11" s="4" customFormat="1">
      <c r="A1550" s="4">
        <v>112191</v>
      </c>
      <c r="B1550" s="4">
        <v>1</v>
      </c>
      <c r="C1550" s="4">
        <v>1</v>
      </c>
      <c r="D1550" s="4">
        <v>0</v>
      </c>
      <c r="E1550" s="4">
        <v>0</v>
      </c>
      <c r="F1550" s="4">
        <v>1</v>
      </c>
      <c r="G1550" s="4">
        <v>111003</v>
      </c>
      <c r="H1550" s="4">
        <v>1</v>
      </c>
      <c r="I1550" s="4">
        <f t="shared" si="36"/>
        <v>153</v>
      </c>
      <c r="J1550" s="4">
        <f t="shared" si="37"/>
        <v>229</v>
      </c>
      <c r="K1550" s="4" t="s">
        <v>2638</v>
      </c>
    </row>
    <row r="1551" spans="1:11" s="4" customFormat="1">
      <c r="A1551" s="4">
        <v>112192</v>
      </c>
      <c r="B1551" s="4">
        <v>1</v>
      </c>
      <c r="C1551" s="4">
        <v>1</v>
      </c>
      <c r="D1551" s="4">
        <v>0</v>
      </c>
      <c r="E1551" s="4">
        <v>0</v>
      </c>
      <c r="F1551" s="4">
        <v>1</v>
      </c>
      <c r="G1551" s="4">
        <v>111003</v>
      </c>
      <c r="H1551" s="4">
        <v>1</v>
      </c>
      <c r="I1551" s="4">
        <f t="shared" si="36"/>
        <v>154</v>
      </c>
      <c r="J1551" s="4">
        <f t="shared" si="37"/>
        <v>230</v>
      </c>
      <c r="K1551" s="4" t="s">
        <v>2639</v>
      </c>
    </row>
    <row r="1552" spans="1:11" s="4" customFormat="1">
      <c r="A1552" s="4">
        <v>112193</v>
      </c>
      <c r="B1552" s="4">
        <v>1</v>
      </c>
      <c r="C1552" s="4">
        <v>1</v>
      </c>
      <c r="D1552" s="4">
        <v>0</v>
      </c>
      <c r="E1552" s="4">
        <v>0</v>
      </c>
      <c r="F1552" s="4">
        <v>1</v>
      </c>
      <c r="G1552" s="4">
        <v>111003</v>
      </c>
      <c r="H1552" s="4">
        <v>1</v>
      </c>
      <c r="I1552" s="4">
        <f t="shared" si="36"/>
        <v>154</v>
      </c>
      <c r="J1552" s="4">
        <f t="shared" si="37"/>
        <v>232</v>
      </c>
      <c r="K1552" s="4" t="s">
        <v>2640</v>
      </c>
    </row>
    <row r="1553" spans="1:11" s="4" customFormat="1">
      <c r="A1553" s="4">
        <v>112194</v>
      </c>
      <c r="B1553" s="4">
        <v>1</v>
      </c>
      <c r="C1553" s="4">
        <v>1</v>
      </c>
      <c r="D1553" s="4">
        <v>0</v>
      </c>
      <c r="E1553" s="4">
        <v>0</v>
      </c>
      <c r="F1553" s="4">
        <v>1</v>
      </c>
      <c r="G1553" s="4">
        <v>111003</v>
      </c>
      <c r="H1553" s="4">
        <v>1</v>
      </c>
      <c r="I1553" s="4">
        <f t="shared" ref="I1553:I1616" si="38">ROUND(RIGHT(A1553,3)*80%,0)</f>
        <v>155</v>
      </c>
      <c r="J1553" s="4">
        <f t="shared" ref="J1553:J1616" si="39">ROUND(RIGHT(A1553,3)*120%,0)</f>
        <v>233</v>
      </c>
      <c r="K1553" s="4" t="s">
        <v>2641</v>
      </c>
    </row>
    <row r="1554" spans="1:11" s="4" customFormat="1">
      <c r="A1554" s="4">
        <v>112195</v>
      </c>
      <c r="B1554" s="4">
        <v>1</v>
      </c>
      <c r="C1554" s="4">
        <v>1</v>
      </c>
      <c r="D1554" s="4">
        <v>0</v>
      </c>
      <c r="E1554" s="4">
        <v>0</v>
      </c>
      <c r="F1554" s="4">
        <v>1</v>
      </c>
      <c r="G1554" s="4">
        <v>111003</v>
      </c>
      <c r="H1554" s="4">
        <v>1</v>
      </c>
      <c r="I1554" s="4">
        <f t="shared" si="38"/>
        <v>156</v>
      </c>
      <c r="J1554" s="4">
        <f t="shared" si="39"/>
        <v>234</v>
      </c>
      <c r="K1554" s="4" t="s">
        <v>2642</v>
      </c>
    </row>
    <row r="1555" spans="1:11" s="4" customFormat="1">
      <c r="A1555" s="4">
        <v>112196</v>
      </c>
      <c r="B1555" s="4">
        <v>1</v>
      </c>
      <c r="C1555" s="4">
        <v>1</v>
      </c>
      <c r="D1555" s="4">
        <v>0</v>
      </c>
      <c r="E1555" s="4">
        <v>0</v>
      </c>
      <c r="F1555" s="4">
        <v>1</v>
      </c>
      <c r="G1555" s="4">
        <v>111003</v>
      </c>
      <c r="H1555" s="4">
        <v>1</v>
      </c>
      <c r="I1555" s="4">
        <f t="shared" si="38"/>
        <v>157</v>
      </c>
      <c r="J1555" s="4">
        <f t="shared" si="39"/>
        <v>235</v>
      </c>
      <c r="K1555" s="4" t="s">
        <v>2643</v>
      </c>
    </row>
    <row r="1556" spans="1:11" s="4" customFormat="1">
      <c r="A1556" s="4">
        <v>112197</v>
      </c>
      <c r="B1556" s="4">
        <v>1</v>
      </c>
      <c r="C1556" s="4">
        <v>1</v>
      </c>
      <c r="D1556" s="4">
        <v>0</v>
      </c>
      <c r="E1556" s="4">
        <v>0</v>
      </c>
      <c r="F1556" s="4">
        <v>1</v>
      </c>
      <c r="G1556" s="4">
        <v>111003</v>
      </c>
      <c r="H1556" s="4">
        <v>1</v>
      </c>
      <c r="I1556" s="4">
        <f t="shared" si="38"/>
        <v>158</v>
      </c>
      <c r="J1556" s="4">
        <f t="shared" si="39"/>
        <v>236</v>
      </c>
      <c r="K1556" s="4" t="s">
        <v>2644</v>
      </c>
    </row>
    <row r="1557" spans="1:11" s="4" customFormat="1">
      <c r="A1557" s="4">
        <v>112198</v>
      </c>
      <c r="B1557" s="4">
        <v>1</v>
      </c>
      <c r="C1557" s="4">
        <v>1</v>
      </c>
      <c r="D1557" s="4">
        <v>0</v>
      </c>
      <c r="E1557" s="4">
        <v>0</v>
      </c>
      <c r="F1557" s="4">
        <v>1</v>
      </c>
      <c r="G1557" s="4">
        <v>111003</v>
      </c>
      <c r="H1557" s="4">
        <v>1</v>
      </c>
      <c r="I1557" s="4">
        <f t="shared" si="38"/>
        <v>158</v>
      </c>
      <c r="J1557" s="4">
        <f t="shared" si="39"/>
        <v>238</v>
      </c>
      <c r="K1557" s="4" t="s">
        <v>2645</v>
      </c>
    </row>
    <row r="1558" spans="1:11" s="4" customFormat="1">
      <c r="A1558" s="4">
        <v>112199</v>
      </c>
      <c r="B1558" s="4">
        <v>1</v>
      </c>
      <c r="C1558" s="4">
        <v>1</v>
      </c>
      <c r="D1558" s="4">
        <v>0</v>
      </c>
      <c r="E1558" s="4">
        <v>0</v>
      </c>
      <c r="F1558" s="4">
        <v>1</v>
      </c>
      <c r="G1558" s="4">
        <v>111003</v>
      </c>
      <c r="H1558" s="4">
        <v>1</v>
      </c>
      <c r="I1558" s="4">
        <f t="shared" si="38"/>
        <v>159</v>
      </c>
      <c r="J1558" s="4">
        <f t="shared" si="39"/>
        <v>239</v>
      </c>
      <c r="K1558" s="4" t="s">
        <v>2646</v>
      </c>
    </row>
    <row r="1559" spans="1:11" s="4" customFormat="1">
      <c r="A1559" s="4">
        <v>112200</v>
      </c>
      <c r="B1559" s="4">
        <v>1</v>
      </c>
      <c r="C1559" s="4">
        <v>1</v>
      </c>
      <c r="D1559" s="4">
        <v>0</v>
      </c>
      <c r="E1559" s="4">
        <v>0</v>
      </c>
      <c r="F1559" s="4">
        <v>1</v>
      </c>
      <c r="G1559" s="4">
        <v>111003</v>
      </c>
      <c r="H1559" s="4">
        <v>1</v>
      </c>
      <c r="I1559" s="4">
        <f t="shared" si="38"/>
        <v>160</v>
      </c>
      <c r="J1559" s="4">
        <f t="shared" si="39"/>
        <v>240</v>
      </c>
      <c r="K1559" s="4" t="s">
        <v>2647</v>
      </c>
    </row>
    <row r="1560" spans="1:11" s="4" customFormat="1">
      <c r="A1560" s="4">
        <v>112201</v>
      </c>
      <c r="B1560" s="4">
        <v>1</v>
      </c>
      <c r="C1560" s="4">
        <v>1</v>
      </c>
      <c r="D1560" s="4">
        <v>0</v>
      </c>
      <c r="E1560" s="4">
        <v>0</v>
      </c>
      <c r="F1560" s="4">
        <v>1</v>
      </c>
      <c r="G1560" s="4">
        <v>111003</v>
      </c>
      <c r="H1560" s="4">
        <v>1</v>
      </c>
      <c r="I1560" s="4">
        <f t="shared" si="38"/>
        <v>161</v>
      </c>
      <c r="J1560" s="4">
        <f t="shared" si="39"/>
        <v>241</v>
      </c>
      <c r="K1560" s="4" t="s">
        <v>2648</v>
      </c>
    </row>
    <row r="1561" spans="1:11" s="4" customFormat="1">
      <c r="A1561" s="4">
        <v>112202</v>
      </c>
      <c r="B1561" s="4">
        <v>1</v>
      </c>
      <c r="C1561" s="4">
        <v>1</v>
      </c>
      <c r="D1561" s="4">
        <v>0</v>
      </c>
      <c r="E1561" s="4">
        <v>0</v>
      </c>
      <c r="F1561" s="4">
        <v>1</v>
      </c>
      <c r="G1561" s="4">
        <v>111003</v>
      </c>
      <c r="H1561" s="4">
        <v>1</v>
      </c>
      <c r="I1561" s="4">
        <f t="shared" si="38"/>
        <v>162</v>
      </c>
      <c r="J1561" s="4">
        <f t="shared" si="39"/>
        <v>242</v>
      </c>
      <c r="K1561" s="4" t="s">
        <v>2649</v>
      </c>
    </row>
    <row r="1562" spans="1:11" s="4" customFormat="1">
      <c r="A1562" s="4">
        <v>112203</v>
      </c>
      <c r="B1562" s="4">
        <v>1</v>
      </c>
      <c r="C1562" s="4">
        <v>1</v>
      </c>
      <c r="D1562" s="4">
        <v>0</v>
      </c>
      <c r="E1562" s="4">
        <v>0</v>
      </c>
      <c r="F1562" s="4">
        <v>1</v>
      </c>
      <c r="G1562" s="4">
        <v>111003</v>
      </c>
      <c r="H1562" s="4">
        <v>1</v>
      </c>
      <c r="I1562" s="4">
        <f t="shared" si="38"/>
        <v>162</v>
      </c>
      <c r="J1562" s="4">
        <f t="shared" si="39"/>
        <v>244</v>
      </c>
      <c r="K1562" s="4" t="s">
        <v>2650</v>
      </c>
    </row>
    <row r="1563" spans="1:11" s="4" customFormat="1">
      <c r="A1563" s="4">
        <v>112204</v>
      </c>
      <c r="B1563" s="4">
        <v>1</v>
      </c>
      <c r="C1563" s="4">
        <v>1</v>
      </c>
      <c r="D1563" s="4">
        <v>0</v>
      </c>
      <c r="E1563" s="4">
        <v>0</v>
      </c>
      <c r="F1563" s="4">
        <v>1</v>
      </c>
      <c r="G1563" s="4">
        <v>111003</v>
      </c>
      <c r="H1563" s="4">
        <v>1</v>
      </c>
      <c r="I1563" s="4">
        <f t="shared" si="38"/>
        <v>163</v>
      </c>
      <c r="J1563" s="4">
        <f t="shared" si="39"/>
        <v>245</v>
      </c>
      <c r="K1563" s="4" t="s">
        <v>2651</v>
      </c>
    </row>
    <row r="1564" spans="1:11" s="4" customFormat="1">
      <c r="A1564" s="4">
        <v>112205</v>
      </c>
      <c r="B1564" s="4">
        <v>1</v>
      </c>
      <c r="C1564" s="4">
        <v>1</v>
      </c>
      <c r="D1564" s="4">
        <v>0</v>
      </c>
      <c r="E1564" s="4">
        <v>0</v>
      </c>
      <c r="F1564" s="4">
        <v>1</v>
      </c>
      <c r="G1564" s="4">
        <v>111003</v>
      </c>
      <c r="H1564" s="4">
        <v>1</v>
      </c>
      <c r="I1564" s="4">
        <f t="shared" si="38"/>
        <v>164</v>
      </c>
      <c r="J1564" s="4">
        <f t="shared" si="39"/>
        <v>246</v>
      </c>
      <c r="K1564" s="4" t="s">
        <v>2652</v>
      </c>
    </row>
    <row r="1565" spans="1:11" s="4" customFormat="1">
      <c r="A1565" s="4">
        <v>112206</v>
      </c>
      <c r="B1565" s="4">
        <v>1</v>
      </c>
      <c r="C1565" s="4">
        <v>1</v>
      </c>
      <c r="D1565" s="4">
        <v>0</v>
      </c>
      <c r="E1565" s="4">
        <v>0</v>
      </c>
      <c r="F1565" s="4">
        <v>1</v>
      </c>
      <c r="G1565" s="4">
        <v>111003</v>
      </c>
      <c r="H1565" s="4">
        <v>1</v>
      </c>
      <c r="I1565" s="4">
        <f t="shared" si="38"/>
        <v>165</v>
      </c>
      <c r="J1565" s="4">
        <f t="shared" si="39"/>
        <v>247</v>
      </c>
      <c r="K1565" s="4" t="s">
        <v>2653</v>
      </c>
    </row>
    <row r="1566" spans="1:11" s="4" customFormat="1">
      <c r="A1566" s="4">
        <v>112207</v>
      </c>
      <c r="B1566" s="4">
        <v>1</v>
      </c>
      <c r="C1566" s="4">
        <v>1</v>
      </c>
      <c r="D1566" s="4">
        <v>0</v>
      </c>
      <c r="E1566" s="4">
        <v>0</v>
      </c>
      <c r="F1566" s="4">
        <v>1</v>
      </c>
      <c r="G1566" s="4">
        <v>111003</v>
      </c>
      <c r="H1566" s="4">
        <v>1</v>
      </c>
      <c r="I1566" s="4">
        <f t="shared" si="38"/>
        <v>166</v>
      </c>
      <c r="J1566" s="4">
        <f t="shared" si="39"/>
        <v>248</v>
      </c>
      <c r="K1566" s="4" t="s">
        <v>2654</v>
      </c>
    </row>
    <row r="1567" spans="1:11" s="4" customFormat="1">
      <c r="A1567" s="4">
        <v>112208</v>
      </c>
      <c r="B1567" s="4">
        <v>1</v>
      </c>
      <c r="C1567" s="4">
        <v>1</v>
      </c>
      <c r="D1567" s="4">
        <v>0</v>
      </c>
      <c r="E1567" s="4">
        <v>0</v>
      </c>
      <c r="F1567" s="4">
        <v>1</v>
      </c>
      <c r="G1567" s="4">
        <v>111003</v>
      </c>
      <c r="H1567" s="4">
        <v>1</v>
      </c>
      <c r="I1567" s="4">
        <f t="shared" si="38"/>
        <v>166</v>
      </c>
      <c r="J1567" s="4">
        <f t="shared" si="39"/>
        <v>250</v>
      </c>
      <c r="K1567" s="4" t="s">
        <v>2655</v>
      </c>
    </row>
    <row r="1568" spans="1:11" s="4" customFormat="1">
      <c r="A1568" s="4">
        <v>112209</v>
      </c>
      <c r="B1568" s="4">
        <v>1</v>
      </c>
      <c r="C1568" s="4">
        <v>1</v>
      </c>
      <c r="D1568" s="4">
        <v>0</v>
      </c>
      <c r="E1568" s="4">
        <v>0</v>
      </c>
      <c r="F1568" s="4">
        <v>1</v>
      </c>
      <c r="G1568" s="4">
        <v>111003</v>
      </c>
      <c r="H1568" s="4">
        <v>1</v>
      </c>
      <c r="I1568" s="4">
        <f t="shared" si="38"/>
        <v>167</v>
      </c>
      <c r="J1568" s="4">
        <f t="shared" si="39"/>
        <v>251</v>
      </c>
      <c r="K1568" s="4" t="s">
        <v>2656</v>
      </c>
    </row>
    <row r="1569" spans="1:11" s="4" customFormat="1">
      <c r="A1569" s="4">
        <v>112210</v>
      </c>
      <c r="B1569" s="4">
        <v>1</v>
      </c>
      <c r="C1569" s="4">
        <v>1</v>
      </c>
      <c r="D1569" s="4">
        <v>0</v>
      </c>
      <c r="E1569" s="4">
        <v>0</v>
      </c>
      <c r="F1569" s="4">
        <v>1</v>
      </c>
      <c r="G1569" s="4">
        <v>111003</v>
      </c>
      <c r="H1569" s="4">
        <v>1</v>
      </c>
      <c r="I1569" s="4">
        <f t="shared" si="38"/>
        <v>168</v>
      </c>
      <c r="J1569" s="4">
        <f t="shared" si="39"/>
        <v>252</v>
      </c>
      <c r="K1569" s="4" t="s">
        <v>2657</v>
      </c>
    </row>
    <row r="1570" spans="1:11" s="4" customFormat="1">
      <c r="A1570" s="4">
        <v>112211</v>
      </c>
      <c r="B1570" s="4">
        <v>1</v>
      </c>
      <c r="C1570" s="4">
        <v>1</v>
      </c>
      <c r="D1570" s="4">
        <v>0</v>
      </c>
      <c r="E1570" s="4">
        <v>0</v>
      </c>
      <c r="F1570" s="4">
        <v>1</v>
      </c>
      <c r="G1570" s="4">
        <v>111003</v>
      </c>
      <c r="H1570" s="4">
        <v>1</v>
      </c>
      <c r="I1570" s="4">
        <f t="shared" si="38"/>
        <v>169</v>
      </c>
      <c r="J1570" s="4">
        <f t="shared" si="39"/>
        <v>253</v>
      </c>
      <c r="K1570" s="4" t="s">
        <v>2658</v>
      </c>
    </row>
    <row r="1571" spans="1:11" s="4" customFormat="1">
      <c r="A1571" s="4">
        <v>112212</v>
      </c>
      <c r="B1571" s="4">
        <v>1</v>
      </c>
      <c r="C1571" s="4">
        <v>1</v>
      </c>
      <c r="D1571" s="4">
        <v>0</v>
      </c>
      <c r="E1571" s="4">
        <v>0</v>
      </c>
      <c r="F1571" s="4">
        <v>1</v>
      </c>
      <c r="G1571" s="4">
        <v>111003</v>
      </c>
      <c r="H1571" s="4">
        <v>1</v>
      </c>
      <c r="I1571" s="4">
        <f t="shared" si="38"/>
        <v>170</v>
      </c>
      <c r="J1571" s="4">
        <f t="shared" si="39"/>
        <v>254</v>
      </c>
      <c r="K1571" s="4" t="s">
        <v>2659</v>
      </c>
    </row>
    <row r="1572" spans="1:11" s="4" customFormat="1">
      <c r="A1572" s="4">
        <v>112213</v>
      </c>
      <c r="B1572" s="4">
        <v>1</v>
      </c>
      <c r="C1572" s="4">
        <v>1</v>
      </c>
      <c r="D1572" s="4">
        <v>0</v>
      </c>
      <c r="E1572" s="4">
        <v>0</v>
      </c>
      <c r="F1572" s="4">
        <v>1</v>
      </c>
      <c r="G1572" s="4">
        <v>111003</v>
      </c>
      <c r="H1572" s="4">
        <v>1</v>
      </c>
      <c r="I1572" s="4">
        <f t="shared" si="38"/>
        <v>170</v>
      </c>
      <c r="J1572" s="4">
        <f t="shared" si="39"/>
        <v>256</v>
      </c>
      <c r="K1572" s="4" t="s">
        <v>2660</v>
      </c>
    </row>
    <row r="1573" spans="1:11" s="4" customFormat="1">
      <c r="A1573" s="4">
        <v>112214</v>
      </c>
      <c r="B1573" s="4">
        <v>1</v>
      </c>
      <c r="C1573" s="4">
        <v>1</v>
      </c>
      <c r="D1573" s="4">
        <v>0</v>
      </c>
      <c r="E1573" s="4">
        <v>0</v>
      </c>
      <c r="F1573" s="4">
        <v>1</v>
      </c>
      <c r="G1573" s="4">
        <v>111003</v>
      </c>
      <c r="H1573" s="4">
        <v>1</v>
      </c>
      <c r="I1573" s="4">
        <f t="shared" si="38"/>
        <v>171</v>
      </c>
      <c r="J1573" s="4">
        <f t="shared" si="39"/>
        <v>257</v>
      </c>
      <c r="K1573" s="4" t="s">
        <v>2661</v>
      </c>
    </row>
    <row r="1574" spans="1:11" s="4" customFormat="1">
      <c r="A1574" s="4">
        <v>112215</v>
      </c>
      <c r="B1574" s="4">
        <v>1</v>
      </c>
      <c r="C1574" s="4">
        <v>1</v>
      </c>
      <c r="D1574" s="4">
        <v>0</v>
      </c>
      <c r="E1574" s="4">
        <v>0</v>
      </c>
      <c r="F1574" s="4">
        <v>1</v>
      </c>
      <c r="G1574" s="4">
        <v>111003</v>
      </c>
      <c r="H1574" s="4">
        <v>1</v>
      </c>
      <c r="I1574" s="4">
        <f t="shared" si="38"/>
        <v>172</v>
      </c>
      <c r="J1574" s="4">
        <f t="shared" si="39"/>
        <v>258</v>
      </c>
      <c r="K1574" s="4" t="s">
        <v>2662</v>
      </c>
    </row>
    <row r="1575" spans="1:11" s="4" customFormat="1">
      <c r="A1575" s="4">
        <v>112216</v>
      </c>
      <c r="B1575" s="4">
        <v>1</v>
      </c>
      <c r="C1575" s="4">
        <v>1</v>
      </c>
      <c r="D1575" s="4">
        <v>0</v>
      </c>
      <c r="E1575" s="4">
        <v>0</v>
      </c>
      <c r="F1575" s="4">
        <v>1</v>
      </c>
      <c r="G1575" s="4">
        <v>111003</v>
      </c>
      <c r="H1575" s="4">
        <v>1</v>
      </c>
      <c r="I1575" s="4">
        <f t="shared" si="38"/>
        <v>173</v>
      </c>
      <c r="J1575" s="4">
        <f t="shared" si="39"/>
        <v>259</v>
      </c>
      <c r="K1575" s="4" t="s">
        <v>2663</v>
      </c>
    </row>
    <row r="1576" spans="1:11" s="4" customFormat="1">
      <c r="A1576" s="4">
        <v>112217</v>
      </c>
      <c r="B1576" s="4">
        <v>1</v>
      </c>
      <c r="C1576" s="4">
        <v>1</v>
      </c>
      <c r="D1576" s="4">
        <v>0</v>
      </c>
      <c r="E1576" s="4">
        <v>0</v>
      </c>
      <c r="F1576" s="4">
        <v>1</v>
      </c>
      <c r="G1576" s="4">
        <v>111003</v>
      </c>
      <c r="H1576" s="4">
        <v>1</v>
      </c>
      <c r="I1576" s="4">
        <f t="shared" si="38"/>
        <v>174</v>
      </c>
      <c r="J1576" s="4">
        <f t="shared" si="39"/>
        <v>260</v>
      </c>
      <c r="K1576" s="4" t="s">
        <v>2664</v>
      </c>
    </row>
    <row r="1577" spans="1:11" s="4" customFormat="1">
      <c r="A1577" s="4">
        <v>112218</v>
      </c>
      <c r="B1577" s="4">
        <v>1</v>
      </c>
      <c r="C1577" s="4">
        <v>1</v>
      </c>
      <c r="D1577" s="4">
        <v>0</v>
      </c>
      <c r="E1577" s="4">
        <v>0</v>
      </c>
      <c r="F1577" s="4">
        <v>1</v>
      </c>
      <c r="G1577" s="4">
        <v>111003</v>
      </c>
      <c r="H1577" s="4">
        <v>1</v>
      </c>
      <c r="I1577" s="4">
        <f t="shared" si="38"/>
        <v>174</v>
      </c>
      <c r="J1577" s="4">
        <f t="shared" si="39"/>
        <v>262</v>
      </c>
      <c r="K1577" s="4" t="s">
        <v>2665</v>
      </c>
    </row>
    <row r="1578" spans="1:11" s="4" customFormat="1">
      <c r="A1578" s="4">
        <v>112219</v>
      </c>
      <c r="B1578" s="4">
        <v>1</v>
      </c>
      <c r="C1578" s="4">
        <v>1</v>
      </c>
      <c r="D1578" s="4">
        <v>0</v>
      </c>
      <c r="E1578" s="4">
        <v>0</v>
      </c>
      <c r="F1578" s="4">
        <v>1</v>
      </c>
      <c r="G1578" s="4">
        <v>111003</v>
      </c>
      <c r="H1578" s="4">
        <v>1</v>
      </c>
      <c r="I1578" s="4">
        <f t="shared" si="38"/>
        <v>175</v>
      </c>
      <c r="J1578" s="4">
        <f t="shared" si="39"/>
        <v>263</v>
      </c>
      <c r="K1578" s="4" t="s">
        <v>2666</v>
      </c>
    </row>
    <row r="1579" spans="1:11" s="4" customFormat="1">
      <c r="A1579" s="4">
        <v>112220</v>
      </c>
      <c r="B1579" s="4">
        <v>1</v>
      </c>
      <c r="C1579" s="4">
        <v>1</v>
      </c>
      <c r="D1579" s="4">
        <v>0</v>
      </c>
      <c r="E1579" s="4">
        <v>0</v>
      </c>
      <c r="F1579" s="4">
        <v>1</v>
      </c>
      <c r="G1579" s="4">
        <v>111003</v>
      </c>
      <c r="H1579" s="4">
        <v>1</v>
      </c>
      <c r="I1579" s="4">
        <f t="shared" si="38"/>
        <v>176</v>
      </c>
      <c r="J1579" s="4">
        <f t="shared" si="39"/>
        <v>264</v>
      </c>
      <c r="K1579" s="4" t="s">
        <v>2667</v>
      </c>
    </row>
    <row r="1580" spans="1:11" s="4" customFormat="1">
      <c r="A1580" s="4">
        <v>112221</v>
      </c>
      <c r="B1580" s="4">
        <v>1</v>
      </c>
      <c r="C1580" s="4">
        <v>1</v>
      </c>
      <c r="D1580" s="4">
        <v>0</v>
      </c>
      <c r="E1580" s="4">
        <v>0</v>
      </c>
      <c r="F1580" s="4">
        <v>1</v>
      </c>
      <c r="G1580" s="4">
        <v>111003</v>
      </c>
      <c r="H1580" s="4">
        <v>1</v>
      </c>
      <c r="I1580" s="4">
        <f t="shared" si="38"/>
        <v>177</v>
      </c>
      <c r="J1580" s="4">
        <f t="shared" si="39"/>
        <v>265</v>
      </c>
      <c r="K1580" s="4" t="s">
        <v>2668</v>
      </c>
    </row>
    <row r="1581" spans="1:11" s="4" customFormat="1">
      <c r="A1581" s="4">
        <v>112222</v>
      </c>
      <c r="B1581" s="4">
        <v>1</v>
      </c>
      <c r="C1581" s="4">
        <v>1</v>
      </c>
      <c r="D1581" s="4">
        <v>0</v>
      </c>
      <c r="E1581" s="4">
        <v>0</v>
      </c>
      <c r="F1581" s="4">
        <v>1</v>
      </c>
      <c r="G1581" s="4">
        <v>111003</v>
      </c>
      <c r="H1581" s="4">
        <v>1</v>
      </c>
      <c r="I1581" s="4">
        <f t="shared" si="38"/>
        <v>178</v>
      </c>
      <c r="J1581" s="4">
        <f t="shared" si="39"/>
        <v>266</v>
      </c>
      <c r="K1581" s="4" t="s">
        <v>2669</v>
      </c>
    </row>
    <row r="1582" spans="1:11" s="4" customFormat="1">
      <c r="A1582" s="4">
        <v>112223</v>
      </c>
      <c r="B1582" s="4">
        <v>1</v>
      </c>
      <c r="C1582" s="4">
        <v>1</v>
      </c>
      <c r="D1582" s="4">
        <v>0</v>
      </c>
      <c r="E1582" s="4">
        <v>0</v>
      </c>
      <c r="F1582" s="4">
        <v>1</v>
      </c>
      <c r="G1582" s="4">
        <v>111003</v>
      </c>
      <c r="H1582" s="4">
        <v>1</v>
      </c>
      <c r="I1582" s="4">
        <f t="shared" si="38"/>
        <v>178</v>
      </c>
      <c r="J1582" s="4">
        <f t="shared" si="39"/>
        <v>268</v>
      </c>
      <c r="K1582" s="4" t="s">
        <v>2670</v>
      </c>
    </row>
    <row r="1583" spans="1:11" s="4" customFormat="1">
      <c r="A1583" s="4">
        <v>112224</v>
      </c>
      <c r="B1583" s="4">
        <v>1</v>
      </c>
      <c r="C1583" s="4">
        <v>1</v>
      </c>
      <c r="D1583" s="4">
        <v>0</v>
      </c>
      <c r="E1583" s="4">
        <v>0</v>
      </c>
      <c r="F1583" s="4">
        <v>1</v>
      </c>
      <c r="G1583" s="4">
        <v>111003</v>
      </c>
      <c r="H1583" s="4">
        <v>1</v>
      </c>
      <c r="I1583" s="4">
        <f t="shared" si="38"/>
        <v>179</v>
      </c>
      <c r="J1583" s="4">
        <f t="shared" si="39"/>
        <v>269</v>
      </c>
      <c r="K1583" s="4" t="s">
        <v>2671</v>
      </c>
    </row>
    <row r="1584" spans="1:11" s="4" customFormat="1">
      <c r="A1584" s="4">
        <v>112225</v>
      </c>
      <c r="B1584" s="4">
        <v>1</v>
      </c>
      <c r="C1584" s="4">
        <v>1</v>
      </c>
      <c r="D1584" s="4">
        <v>0</v>
      </c>
      <c r="E1584" s="4">
        <v>0</v>
      </c>
      <c r="F1584" s="4">
        <v>1</v>
      </c>
      <c r="G1584" s="4">
        <v>111003</v>
      </c>
      <c r="H1584" s="4">
        <v>1</v>
      </c>
      <c r="I1584" s="4">
        <f t="shared" si="38"/>
        <v>180</v>
      </c>
      <c r="J1584" s="4">
        <f t="shared" si="39"/>
        <v>270</v>
      </c>
      <c r="K1584" s="4" t="s">
        <v>2672</v>
      </c>
    </row>
    <row r="1585" spans="1:11" s="4" customFormat="1">
      <c r="A1585" s="4">
        <v>112226</v>
      </c>
      <c r="B1585" s="4">
        <v>1</v>
      </c>
      <c r="C1585" s="4">
        <v>1</v>
      </c>
      <c r="D1585" s="4">
        <v>0</v>
      </c>
      <c r="E1585" s="4">
        <v>0</v>
      </c>
      <c r="F1585" s="4">
        <v>1</v>
      </c>
      <c r="G1585" s="4">
        <v>111003</v>
      </c>
      <c r="H1585" s="4">
        <v>1</v>
      </c>
      <c r="I1585" s="4">
        <f t="shared" si="38"/>
        <v>181</v>
      </c>
      <c r="J1585" s="4">
        <f t="shared" si="39"/>
        <v>271</v>
      </c>
      <c r="K1585" s="4" t="s">
        <v>2673</v>
      </c>
    </row>
    <row r="1586" spans="1:11" s="4" customFormat="1">
      <c r="A1586" s="4">
        <v>112227</v>
      </c>
      <c r="B1586" s="4">
        <v>1</v>
      </c>
      <c r="C1586" s="4">
        <v>1</v>
      </c>
      <c r="D1586" s="4">
        <v>0</v>
      </c>
      <c r="E1586" s="4">
        <v>0</v>
      </c>
      <c r="F1586" s="4">
        <v>1</v>
      </c>
      <c r="G1586" s="4">
        <v>111003</v>
      </c>
      <c r="H1586" s="4">
        <v>1</v>
      </c>
      <c r="I1586" s="4">
        <f t="shared" si="38"/>
        <v>182</v>
      </c>
      <c r="J1586" s="4">
        <f t="shared" si="39"/>
        <v>272</v>
      </c>
      <c r="K1586" s="4" t="s">
        <v>2674</v>
      </c>
    </row>
    <row r="1587" spans="1:11" s="4" customFormat="1">
      <c r="A1587" s="4">
        <v>112228</v>
      </c>
      <c r="B1587" s="4">
        <v>1</v>
      </c>
      <c r="C1587" s="4">
        <v>1</v>
      </c>
      <c r="D1587" s="4">
        <v>0</v>
      </c>
      <c r="E1587" s="4">
        <v>0</v>
      </c>
      <c r="F1587" s="4">
        <v>1</v>
      </c>
      <c r="G1587" s="4">
        <v>111003</v>
      </c>
      <c r="H1587" s="4">
        <v>1</v>
      </c>
      <c r="I1587" s="4">
        <f t="shared" si="38"/>
        <v>182</v>
      </c>
      <c r="J1587" s="4">
        <f t="shared" si="39"/>
        <v>274</v>
      </c>
      <c r="K1587" s="4" t="s">
        <v>2675</v>
      </c>
    </row>
    <row r="1588" spans="1:11" s="4" customFormat="1">
      <c r="A1588" s="4">
        <v>112229</v>
      </c>
      <c r="B1588" s="4">
        <v>1</v>
      </c>
      <c r="C1588" s="4">
        <v>1</v>
      </c>
      <c r="D1588" s="4">
        <v>0</v>
      </c>
      <c r="E1588" s="4">
        <v>0</v>
      </c>
      <c r="F1588" s="4">
        <v>1</v>
      </c>
      <c r="G1588" s="4">
        <v>111003</v>
      </c>
      <c r="H1588" s="4">
        <v>1</v>
      </c>
      <c r="I1588" s="4">
        <f t="shared" si="38"/>
        <v>183</v>
      </c>
      <c r="J1588" s="4">
        <f t="shared" si="39"/>
        <v>275</v>
      </c>
      <c r="K1588" s="4" t="s">
        <v>2676</v>
      </c>
    </row>
    <row r="1589" spans="1:11" s="4" customFormat="1">
      <c r="A1589" s="4">
        <v>112230</v>
      </c>
      <c r="B1589" s="4">
        <v>1</v>
      </c>
      <c r="C1589" s="4">
        <v>1</v>
      </c>
      <c r="D1589" s="4">
        <v>0</v>
      </c>
      <c r="E1589" s="4">
        <v>0</v>
      </c>
      <c r="F1589" s="4">
        <v>1</v>
      </c>
      <c r="G1589" s="4">
        <v>111003</v>
      </c>
      <c r="H1589" s="4">
        <v>1</v>
      </c>
      <c r="I1589" s="4">
        <f t="shared" si="38"/>
        <v>184</v>
      </c>
      <c r="J1589" s="4">
        <f t="shared" si="39"/>
        <v>276</v>
      </c>
      <c r="K1589" s="4" t="s">
        <v>2677</v>
      </c>
    </row>
    <row r="1590" spans="1:11" s="4" customFormat="1">
      <c r="A1590" s="4">
        <v>112231</v>
      </c>
      <c r="B1590" s="4">
        <v>1</v>
      </c>
      <c r="C1590" s="4">
        <v>1</v>
      </c>
      <c r="D1590" s="4">
        <v>0</v>
      </c>
      <c r="E1590" s="4">
        <v>0</v>
      </c>
      <c r="F1590" s="4">
        <v>1</v>
      </c>
      <c r="G1590" s="4">
        <v>111003</v>
      </c>
      <c r="H1590" s="4">
        <v>1</v>
      </c>
      <c r="I1590" s="4">
        <f t="shared" si="38"/>
        <v>185</v>
      </c>
      <c r="J1590" s="4">
        <f t="shared" si="39"/>
        <v>277</v>
      </c>
      <c r="K1590" s="4" t="s">
        <v>2678</v>
      </c>
    </row>
    <row r="1591" spans="1:11" s="4" customFormat="1">
      <c r="A1591" s="4">
        <v>112232</v>
      </c>
      <c r="B1591" s="4">
        <v>1</v>
      </c>
      <c r="C1591" s="4">
        <v>1</v>
      </c>
      <c r="D1591" s="4">
        <v>0</v>
      </c>
      <c r="E1591" s="4">
        <v>0</v>
      </c>
      <c r="F1591" s="4">
        <v>1</v>
      </c>
      <c r="G1591" s="4">
        <v>111003</v>
      </c>
      <c r="H1591" s="4">
        <v>1</v>
      </c>
      <c r="I1591" s="4">
        <f t="shared" si="38"/>
        <v>186</v>
      </c>
      <c r="J1591" s="4">
        <f t="shared" si="39"/>
        <v>278</v>
      </c>
      <c r="K1591" s="4" t="s">
        <v>2679</v>
      </c>
    </row>
    <row r="1592" spans="1:11" s="4" customFormat="1">
      <c r="A1592" s="4">
        <v>112233</v>
      </c>
      <c r="B1592" s="4">
        <v>1</v>
      </c>
      <c r="C1592" s="4">
        <v>1</v>
      </c>
      <c r="D1592" s="4">
        <v>0</v>
      </c>
      <c r="E1592" s="4">
        <v>0</v>
      </c>
      <c r="F1592" s="4">
        <v>1</v>
      </c>
      <c r="G1592" s="4">
        <v>111003</v>
      </c>
      <c r="H1592" s="4">
        <v>1</v>
      </c>
      <c r="I1592" s="4">
        <f t="shared" si="38"/>
        <v>186</v>
      </c>
      <c r="J1592" s="4">
        <f t="shared" si="39"/>
        <v>280</v>
      </c>
      <c r="K1592" s="4" t="s">
        <v>2680</v>
      </c>
    </row>
    <row r="1593" spans="1:11" s="4" customFormat="1">
      <c r="A1593" s="4">
        <v>112234</v>
      </c>
      <c r="B1593" s="4">
        <v>1</v>
      </c>
      <c r="C1593" s="4">
        <v>1</v>
      </c>
      <c r="D1593" s="4">
        <v>0</v>
      </c>
      <c r="E1593" s="4">
        <v>0</v>
      </c>
      <c r="F1593" s="4">
        <v>1</v>
      </c>
      <c r="G1593" s="4">
        <v>111003</v>
      </c>
      <c r="H1593" s="4">
        <v>1</v>
      </c>
      <c r="I1593" s="4">
        <f t="shared" si="38"/>
        <v>187</v>
      </c>
      <c r="J1593" s="4">
        <f t="shared" si="39"/>
        <v>281</v>
      </c>
      <c r="K1593" s="4" t="s">
        <v>2681</v>
      </c>
    </row>
    <row r="1594" spans="1:11" s="4" customFormat="1">
      <c r="A1594" s="4">
        <v>112235</v>
      </c>
      <c r="B1594" s="4">
        <v>1</v>
      </c>
      <c r="C1594" s="4">
        <v>1</v>
      </c>
      <c r="D1594" s="4">
        <v>0</v>
      </c>
      <c r="E1594" s="4">
        <v>0</v>
      </c>
      <c r="F1594" s="4">
        <v>1</v>
      </c>
      <c r="G1594" s="4">
        <v>111003</v>
      </c>
      <c r="H1594" s="4">
        <v>1</v>
      </c>
      <c r="I1594" s="4">
        <f t="shared" si="38"/>
        <v>188</v>
      </c>
      <c r="J1594" s="4">
        <f t="shared" si="39"/>
        <v>282</v>
      </c>
      <c r="K1594" s="4" t="s">
        <v>2682</v>
      </c>
    </row>
    <row r="1595" spans="1:11" s="4" customFormat="1">
      <c r="A1595" s="4">
        <v>112236</v>
      </c>
      <c r="B1595" s="4">
        <v>1</v>
      </c>
      <c r="C1595" s="4">
        <v>1</v>
      </c>
      <c r="D1595" s="4">
        <v>0</v>
      </c>
      <c r="E1595" s="4">
        <v>0</v>
      </c>
      <c r="F1595" s="4">
        <v>1</v>
      </c>
      <c r="G1595" s="4">
        <v>111003</v>
      </c>
      <c r="H1595" s="4">
        <v>1</v>
      </c>
      <c r="I1595" s="4">
        <f t="shared" si="38"/>
        <v>189</v>
      </c>
      <c r="J1595" s="4">
        <f t="shared" si="39"/>
        <v>283</v>
      </c>
      <c r="K1595" s="4" t="s">
        <v>2683</v>
      </c>
    </row>
    <row r="1596" spans="1:11" s="4" customFormat="1">
      <c r="A1596" s="4">
        <v>112237</v>
      </c>
      <c r="B1596" s="4">
        <v>1</v>
      </c>
      <c r="C1596" s="4">
        <v>1</v>
      </c>
      <c r="D1596" s="4">
        <v>0</v>
      </c>
      <c r="E1596" s="4">
        <v>0</v>
      </c>
      <c r="F1596" s="4">
        <v>1</v>
      </c>
      <c r="G1596" s="4">
        <v>111003</v>
      </c>
      <c r="H1596" s="4">
        <v>1</v>
      </c>
      <c r="I1596" s="4">
        <f t="shared" si="38"/>
        <v>190</v>
      </c>
      <c r="J1596" s="4">
        <f t="shared" si="39"/>
        <v>284</v>
      </c>
      <c r="K1596" s="4" t="s">
        <v>2684</v>
      </c>
    </row>
    <row r="1597" spans="1:11" s="4" customFormat="1">
      <c r="A1597" s="4">
        <v>112238</v>
      </c>
      <c r="B1597" s="4">
        <v>1</v>
      </c>
      <c r="C1597" s="4">
        <v>1</v>
      </c>
      <c r="D1597" s="4">
        <v>0</v>
      </c>
      <c r="E1597" s="4">
        <v>0</v>
      </c>
      <c r="F1597" s="4">
        <v>1</v>
      </c>
      <c r="G1597" s="4">
        <v>111003</v>
      </c>
      <c r="H1597" s="4">
        <v>1</v>
      </c>
      <c r="I1597" s="4">
        <f t="shared" si="38"/>
        <v>190</v>
      </c>
      <c r="J1597" s="4">
        <f t="shared" si="39"/>
        <v>286</v>
      </c>
      <c r="K1597" s="4" t="s">
        <v>2685</v>
      </c>
    </row>
    <row r="1598" spans="1:11" s="4" customFormat="1">
      <c r="A1598" s="4">
        <v>112239</v>
      </c>
      <c r="B1598" s="4">
        <v>1</v>
      </c>
      <c r="C1598" s="4">
        <v>1</v>
      </c>
      <c r="D1598" s="4">
        <v>0</v>
      </c>
      <c r="E1598" s="4">
        <v>0</v>
      </c>
      <c r="F1598" s="4">
        <v>1</v>
      </c>
      <c r="G1598" s="4">
        <v>111003</v>
      </c>
      <c r="H1598" s="4">
        <v>1</v>
      </c>
      <c r="I1598" s="4">
        <f t="shared" si="38"/>
        <v>191</v>
      </c>
      <c r="J1598" s="4">
        <f t="shared" si="39"/>
        <v>287</v>
      </c>
      <c r="K1598" s="4" t="s">
        <v>2686</v>
      </c>
    </row>
    <row r="1599" spans="1:11" s="4" customFormat="1">
      <c r="A1599" s="4">
        <v>112240</v>
      </c>
      <c r="B1599" s="4">
        <v>1</v>
      </c>
      <c r="C1599" s="4">
        <v>1</v>
      </c>
      <c r="D1599" s="4">
        <v>0</v>
      </c>
      <c r="E1599" s="4">
        <v>0</v>
      </c>
      <c r="F1599" s="4">
        <v>1</v>
      </c>
      <c r="G1599" s="4">
        <v>111003</v>
      </c>
      <c r="H1599" s="4">
        <v>1</v>
      </c>
      <c r="I1599" s="4">
        <f t="shared" si="38"/>
        <v>192</v>
      </c>
      <c r="J1599" s="4">
        <f t="shared" si="39"/>
        <v>288</v>
      </c>
      <c r="K1599" s="4" t="s">
        <v>2687</v>
      </c>
    </row>
    <row r="1600" spans="1:11" s="4" customFormat="1">
      <c r="A1600" s="4">
        <v>112241</v>
      </c>
      <c r="B1600" s="4">
        <v>1</v>
      </c>
      <c r="C1600" s="4">
        <v>1</v>
      </c>
      <c r="D1600" s="4">
        <v>0</v>
      </c>
      <c r="E1600" s="4">
        <v>0</v>
      </c>
      <c r="F1600" s="4">
        <v>1</v>
      </c>
      <c r="G1600" s="4">
        <v>111003</v>
      </c>
      <c r="H1600" s="4">
        <v>1</v>
      </c>
      <c r="I1600" s="4">
        <f t="shared" si="38"/>
        <v>193</v>
      </c>
      <c r="J1600" s="4">
        <f t="shared" si="39"/>
        <v>289</v>
      </c>
      <c r="K1600" s="4" t="s">
        <v>2688</v>
      </c>
    </row>
    <row r="1601" spans="1:11" s="4" customFormat="1">
      <c r="A1601" s="4">
        <v>112242</v>
      </c>
      <c r="B1601" s="4">
        <v>1</v>
      </c>
      <c r="C1601" s="4">
        <v>1</v>
      </c>
      <c r="D1601" s="4">
        <v>0</v>
      </c>
      <c r="E1601" s="4">
        <v>0</v>
      </c>
      <c r="F1601" s="4">
        <v>1</v>
      </c>
      <c r="G1601" s="4">
        <v>111003</v>
      </c>
      <c r="H1601" s="4">
        <v>1</v>
      </c>
      <c r="I1601" s="4">
        <f t="shared" si="38"/>
        <v>194</v>
      </c>
      <c r="J1601" s="4">
        <f t="shared" si="39"/>
        <v>290</v>
      </c>
      <c r="K1601" s="4" t="s">
        <v>2689</v>
      </c>
    </row>
    <row r="1602" spans="1:11" s="4" customFormat="1">
      <c r="A1602" s="4">
        <v>112243</v>
      </c>
      <c r="B1602" s="4">
        <v>1</v>
      </c>
      <c r="C1602" s="4">
        <v>1</v>
      </c>
      <c r="D1602" s="4">
        <v>0</v>
      </c>
      <c r="E1602" s="4">
        <v>0</v>
      </c>
      <c r="F1602" s="4">
        <v>1</v>
      </c>
      <c r="G1602" s="4">
        <v>111003</v>
      </c>
      <c r="H1602" s="4">
        <v>1</v>
      </c>
      <c r="I1602" s="4">
        <f t="shared" si="38"/>
        <v>194</v>
      </c>
      <c r="J1602" s="4">
        <f t="shared" si="39"/>
        <v>292</v>
      </c>
      <c r="K1602" s="4" t="s">
        <v>2690</v>
      </c>
    </row>
    <row r="1603" spans="1:11" s="4" customFormat="1">
      <c r="A1603" s="4">
        <v>112244</v>
      </c>
      <c r="B1603" s="4">
        <v>1</v>
      </c>
      <c r="C1603" s="4">
        <v>1</v>
      </c>
      <c r="D1603" s="4">
        <v>0</v>
      </c>
      <c r="E1603" s="4">
        <v>0</v>
      </c>
      <c r="F1603" s="4">
        <v>1</v>
      </c>
      <c r="G1603" s="4">
        <v>111003</v>
      </c>
      <c r="H1603" s="4">
        <v>1</v>
      </c>
      <c r="I1603" s="4">
        <f t="shared" si="38"/>
        <v>195</v>
      </c>
      <c r="J1603" s="4">
        <f t="shared" si="39"/>
        <v>293</v>
      </c>
      <c r="K1603" s="4" t="s">
        <v>2691</v>
      </c>
    </row>
    <row r="1604" spans="1:11" s="4" customFormat="1">
      <c r="A1604" s="4">
        <v>112245</v>
      </c>
      <c r="B1604" s="4">
        <v>1</v>
      </c>
      <c r="C1604" s="4">
        <v>1</v>
      </c>
      <c r="D1604" s="4">
        <v>0</v>
      </c>
      <c r="E1604" s="4">
        <v>0</v>
      </c>
      <c r="F1604" s="4">
        <v>1</v>
      </c>
      <c r="G1604" s="4">
        <v>111003</v>
      </c>
      <c r="H1604" s="4">
        <v>1</v>
      </c>
      <c r="I1604" s="4">
        <f t="shared" si="38"/>
        <v>196</v>
      </c>
      <c r="J1604" s="4">
        <f t="shared" si="39"/>
        <v>294</v>
      </c>
      <c r="K1604" s="4" t="s">
        <v>2692</v>
      </c>
    </row>
    <row r="1605" spans="1:11" s="4" customFormat="1">
      <c r="A1605" s="4">
        <v>112246</v>
      </c>
      <c r="B1605" s="4">
        <v>1</v>
      </c>
      <c r="C1605" s="4">
        <v>1</v>
      </c>
      <c r="D1605" s="4">
        <v>0</v>
      </c>
      <c r="E1605" s="4">
        <v>0</v>
      </c>
      <c r="F1605" s="4">
        <v>1</v>
      </c>
      <c r="G1605" s="4">
        <v>111003</v>
      </c>
      <c r="H1605" s="4">
        <v>1</v>
      </c>
      <c r="I1605" s="4">
        <f t="shared" si="38"/>
        <v>197</v>
      </c>
      <c r="J1605" s="4">
        <f t="shared" si="39"/>
        <v>295</v>
      </c>
      <c r="K1605" s="4" t="s">
        <v>2693</v>
      </c>
    </row>
    <row r="1606" spans="1:11" s="4" customFormat="1">
      <c r="A1606" s="4">
        <v>112247</v>
      </c>
      <c r="B1606" s="4">
        <v>1</v>
      </c>
      <c r="C1606" s="4">
        <v>1</v>
      </c>
      <c r="D1606" s="4">
        <v>0</v>
      </c>
      <c r="E1606" s="4">
        <v>0</v>
      </c>
      <c r="F1606" s="4">
        <v>1</v>
      </c>
      <c r="G1606" s="4">
        <v>111003</v>
      </c>
      <c r="H1606" s="4">
        <v>1</v>
      </c>
      <c r="I1606" s="4">
        <f t="shared" si="38"/>
        <v>198</v>
      </c>
      <c r="J1606" s="4">
        <f t="shared" si="39"/>
        <v>296</v>
      </c>
      <c r="K1606" s="4" t="s">
        <v>2694</v>
      </c>
    </row>
    <row r="1607" spans="1:11" s="4" customFormat="1">
      <c r="A1607" s="4">
        <v>112248</v>
      </c>
      <c r="B1607" s="4">
        <v>1</v>
      </c>
      <c r="C1607" s="4">
        <v>1</v>
      </c>
      <c r="D1607" s="4">
        <v>0</v>
      </c>
      <c r="E1607" s="4">
        <v>0</v>
      </c>
      <c r="F1607" s="4">
        <v>1</v>
      </c>
      <c r="G1607" s="4">
        <v>111003</v>
      </c>
      <c r="H1607" s="4">
        <v>1</v>
      </c>
      <c r="I1607" s="4">
        <f t="shared" si="38"/>
        <v>198</v>
      </c>
      <c r="J1607" s="4">
        <f t="shared" si="39"/>
        <v>298</v>
      </c>
      <c r="K1607" s="4" t="s">
        <v>2695</v>
      </c>
    </row>
    <row r="1608" spans="1:11" s="4" customFormat="1">
      <c r="A1608" s="4">
        <v>112249</v>
      </c>
      <c r="B1608" s="4">
        <v>1</v>
      </c>
      <c r="C1608" s="4">
        <v>1</v>
      </c>
      <c r="D1608" s="4">
        <v>0</v>
      </c>
      <c r="E1608" s="4">
        <v>0</v>
      </c>
      <c r="F1608" s="4">
        <v>1</v>
      </c>
      <c r="G1608" s="4">
        <v>111003</v>
      </c>
      <c r="H1608" s="4">
        <v>1</v>
      </c>
      <c r="I1608" s="4">
        <f t="shared" si="38"/>
        <v>199</v>
      </c>
      <c r="J1608" s="4">
        <f t="shared" si="39"/>
        <v>299</v>
      </c>
      <c r="K1608" s="4" t="s">
        <v>2696</v>
      </c>
    </row>
    <row r="1609" spans="1:11" s="4" customFormat="1">
      <c r="A1609" s="4">
        <v>112250</v>
      </c>
      <c r="B1609" s="4">
        <v>1</v>
      </c>
      <c r="C1609" s="4">
        <v>1</v>
      </c>
      <c r="D1609" s="4">
        <v>0</v>
      </c>
      <c r="E1609" s="4">
        <v>0</v>
      </c>
      <c r="F1609" s="4">
        <v>1</v>
      </c>
      <c r="G1609" s="4">
        <v>111003</v>
      </c>
      <c r="H1609" s="4">
        <v>1</v>
      </c>
      <c r="I1609" s="4">
        <f t="shared" si="38"/>
        <v>200</v>
      </c>
      <c r="J1609" s="4">
        <f t="shared" si="39"/>
        <v>300</v>
      </c>
      <c r="K1609" s="4" t="s">
        <v>2697</v>
      </c>
    </row>
    <row r="1610" spans="1:11" s="4" customFormat="1">
      <c r="A1610" s="4">
        <v>112251</v>
      </c>
      <c r="B1610" s="4">
        <v>1</v>
      </c>
      <c r="C1610" s="4">
        <v>1</v>
      </c>
      <c r="D1610" s="4">
        <v>0</v>
      </c>
      <c r="E1610" s="4">
        <v>0</v>
      </c>
      <c r="F1610" s="4">
        <v>1</v>
      </c>
      <c r="G1610" s="4">
        <v>111003</v>
      </c>
      <c r="H1610" s="4">
        <v>1</v>
      </c>
      <c r="I1610" s="4">
        <f t="shared" si="38"/>
        <v>201</v>
      </c>
      <c r="J1610" s="4">
        <f t="shared" si="39"/>
        <v>301</v>
      </c>
      <c r="K1610" s="4" t="s">
        <v>2698</v>
      </c>
    </row>
    <row r="1611" spans="1:11" s="4" customFormat="1">
      <c r="A1611" s="4">
        <v>112252</v>
      </c>
      <c r="B1611" s="4">
        <v>1</v>
      </c>
      <c r="C1611" s="4">
        <v>1</v>
      </c>
      <c r="D1611" s="4">
        <v>0</v>
      </c>
      <c r="E1611" s="4">
        <v>0</v>
      </c>
      <c r="F1611" s="4">
        <v>1</v>
      </c>
      <c r="G1611" s="4">
        <v>111003</v>
      </c>
      <c r="H1611" s="4">
        <v>1</v>
      </c>
      <c r="I1611" s="4">
        <f t="shared" si="38"/>
        <v>202</v>
      </c>
      <c r="J1611" s="4">
        <f t="shared" si="39"/>
        <v>302</v>
      </c>
      <c r="K1611" s="4" t="s">
        <v>2699</v>
      </c>
    </row>
    <row r="1612" spans="1:11" s="4" customFormat="1">
      <c r="A1612" s="4">
        <v>112253</v>
      </c>
      <c r="B1612" s="4">
        <v>1</v>
      </c>
      <c r="C1612" s="4">
        <v>1</v>
      </c>
      <c r="D1612" s="4">
        <v>0</v>
      </c>
      <c r="E1612" s="4">
        <v>0</v>
      </c>
      <c r="F1612" s="4">
        <v>1</v>
      </c>
      <c r="G1612" s="4">
        <v>111003</v>
      </c>
      <c r="H1612" s="4">
        <v>1</v>
      </c>
      <c r="I1612" s="4">
        <f t="shared" si="38"/>
        <v>202</v>
      </c>
      <c r="J1612" s="4">
        <f t="shared" si="39"/>
        <v>304</v>
      </c>
      <c r="K1612" s="4" t="s">
        <v>2700</v>
      </c>
    </row>
    <row r="1613" spans="1:11" s="4" customFormat="1">
      <c r="A1613" s="4">
        <v>112254</v>
      </c>
      <c r="B1613" s="4">
        <v>1</v>
      </c>
      <c r="C1613" s="4">
        <v>1</v>
      </c>
      <c r="D1613" s="4">
        <v>0</v>
      </c>
      <c r="E1613" s="4">
        <v>0</v>
      </c>
      <c r="F1613" s="4">
        <v>1</v>
      </c>
      <c r="G1613" s="4">
        <v>111003</v>
      </c>
      <c r="H1613" s="4">
        <v>1</v>
      </c>
      <c r="I1613" s="4">
        <f t="shared" si="38"/>
        <v>203</v>
      </c>
      <c r="J1613" s="4">
        <f t="shared" si="39"/>
        <v>305</v>
      </c>
      <c r="K1613" s="4" t="s">
        <v>2701</v>
      </c>
    </row>
    <row r="1614" spans="1:11" s="4" customFormat="1">
      <c r="A1614" s="4">
        <v>112255</v>
      </c>
      <c r="B1614" s="4">
        <v>1</v>
      </c>
      <c r="C1614" s="4">
        <v>1</v>
      </c>
      <c r="D1614" s="4">
        <v>0</v>
      </c>
      <c r="E1614" s="4">
        <v>0</v>
      </c>
      <c r="F1614" s="4">
        <v>1</v>
      </c>
      <c r="G1614" s="4">
        <v>111003</v>
      </c>
      <c r="H1614" s="4">
        <v>1</v>
      </c>
      <c r="I1614" s="4">
        <f t="shared" si="38"/>
        <v>204</v>
      </c>
      <c r="J1614" s="4">
        <f t="shared" si="39"/>
        <v>306</v>
      </c>
      <c r="K1614" s="4" t="s">
        <v>2702</v>
      </c>
    </row>
    <row r="1615" spans="1:11" s="4" customFormat="1">
      <c r="A1615" s="4">
        <v>112256</v>
      </c>
      <c r="B1615" s="4">
        <v>1</v>
      </c>
      <c r="C1615" s="4">
        <v>1</v>
      </c>
      <c r="D1615" s="4">
        <v>0</v>
      </c>
      <c r="E1615" s="4">
        <v>0</v>
      </c>
      <c r="F1615" s="4">
        <v>1</v>
      </c>
      <c r="G1615" s="4">
        <v>111003</v>
      </c>
      <c r="H1615" s="4">
        <v>1</v>
      </c>
      <c r="I1615" s="4">
        <f t="shared" si="38"/>
        <v>205</v>
      </c>
      <c r="J1615" s="4">
        <f t="shared" si="39"/>
        <v>307</v>
      </c>
      <c r="K1615" s="4" t="s">
        <v>2703</v>
      </c>
    </row>
    <row r="1616" spans="1:11" s="4" customFormat="1">
      <c r="A1616" s="4">
        <v>112257</v>
      </c>
      <c r="B1616" s="4">
        <v>1</v>
      </c>
      <c r="C1616" s="4">
        <v>1</v>
      </c>
      <c r="D1616" s="4">
        <v>0</v>
      </c>
      <c r="E1616" s="4">
        <v>0</v>
      </c>
      <c r="F1616" s="4">
        <v>1</v>
      </c>
      <c r="G1616" s="4">
        <v>111003</v>
      </c>
      <c r="H1616" s="4">
        <v>1</v>
      </c>
      <c r="I1616" s="4">
        <f t="shared" si="38"/>
        <v>206</v>
      </c>
      <c r="J1616" s="4">
        <f t="shared" si="39"/>
        <v>308</v>
      </c>
      <c r="K1616" s="4" t="s">
        <v>2704</v>
      </c>
    </row>
    <row r="1617" spans="1:11" s="4" customFormat="1">
      <c r="A1617" s="4">
        <v>112258</v>
      </c>
      <c r="B1617" s="4">
        <v>1</v>
      </c>
      <c r="C1617" s="4">
        <v>1</v>
      </c>
      <c r="D1617" s="4">
        <v>0</v>
      </c>
      <c r="E1617" s="4">
        <v>0</v>
      </c>
      <c r="F1617" s="4">
        <v>1</v>
      </c>
      <c r="G1617" s="4">
        <v>111003</v>
      </c>
      <c r="H1617" s="4">
        <v>1</v>
      </c>
      <c r="I1617" s="4">
        <f t="shared" ref="I1617:I1680" si="40">ROUND(RIGHT(A1617,3)*80%,0)</f>
        <v>206</v>
      </c>
      <c r="J1617" s="4">
        <f t="shared" ref="J1617:J1680" si="41">ROUND(RIGHT(A1617,3)*120%,0)</f>
        <v>310</v>
      </c>
      <c r="K1617" s="4" t="s">
        <v>2705</v>
      </c>
    </row>
    <row r="1618" spans="1:11" s="4" customFormat="1">
      <c r="A1618" s="4">
        <v>112259</v>
      </c>
      <c r="B1618" s="4">
        <v>1</v>
      </c>
      <c r="C1618" s="4">
        <v>1</v>
      </c>
      <c r="D1618" s="4">
        <v>0</v>
      </c>
      <c r="E1618" s="4">
        <v>0</v>
      </c>
      <c r="F1618" s="4">
        <v>1</v>
      </c>
      <c r="G1618" s="4">
        <v>111003</v>
      </c>
      <c r="H1618" s="4">
        <v>1</v>
      </c>
      <c r="I1618" s="4">
        <f t="shared" si="40"/>
        <v>207</v>
      </c>
      <c r="J1618" s="4">
        <f t="shared" si="41"/>
        <v>311</v>
      </c>
      <c r="K1618" s="4" t="s">
        <v>2706</v>
      </c>
    </row>
    <row r="1619" spans="1:11" s="4" customFormat="1">
      <c r="A1619" s="4">
        <v>112260</v>
      </c>
      <c r="B1619" s="4">
        <v>1</v>
      </c>
      <c r="C1619" s="4">
        <v>1</v>
      </c>
      <c r="D1619" s="4">
        <v>0</v>
      </c>
      <c r="E1619" s="4">
        <v>0</v>
      </c>
      <c r="F1619" s="4">
        <v>1</v>
      </c>
      <c r="G1619" s="4">
        <v>111003</v>
      </c>
      <c r="H1619" s="4">
        <v>1</v>
      </c>
      <c r="I1619" s="4">
        <f t="shared" si="40"/>
        <v>208</v>
      </c>
      <c r="J1619" s="4">
        <f t="shared" si="41"/>
        <v>312</v>
      </c>
      <c r="K1619" s="4" t="s">
        <v>2707</v>
      </c>
    </row>
    <row r="1620" spans="1:11" s="4" customFormat="1">
      <c r="A1620" s="4">
        <v>112261</v>
      </c>
      <c r="B1620" s="4">
        <v>1</v>
      </c>
      <c r="C1620" s="4">
        <v>1</v>
      </c>
      <c r="D1620" s="4">
        <v>0</v>
      </c>
      <c r="E1620" s="4">
        <v>0</v>
      </c>
      <c r="F1620" s="4">
        <v>1</v>
      </c>
      <c r="G1620" s="4">
        <v>111003</v>
      </c>
      <c r="H1620" s="4">
        <v>1</v>
      </c>
      <c r="I1620" s="4">
        <f t="shared" si="40"/>
        <v>209</v>
      </c>
      <c r="J1620" s="4">
        <f t="shared" si="41"/>
        <v>313</v>
      </c>
      <c r="K1620" s="4" t="s">
        <v>2708</v>
      </c>
    </row>
    <row r="1621" spans="1:11" s="4" customFormat="1">
      <c r="A1621" s="4">
        <v>112262</v>
      </c>
      <c r="B1621" s="4">
        <v>1</v>
      </c>
      <c r="C1621" s="4">
        <v>1</v>
      </c>
      <c r="D1621" s="4">
        <v>0</v>
      </c>
      <c r="E1621" s="4">
        <v>0</v>
      </c>
      <c r="F1621" s="4">
        <v>1</v>
      </c>
      <c r="G1621" s="4">
        <v>111003</v>
      </c>
      <c r="H1621" s="4">
        <v>1</v>
      </c>
      <c r="I1621" s="4">
        <f t="shared" si="40"/>
        <v>210</v>
      </c>
      <c r="J1621" s="4">
        <f t="shared" si="41"/>
        <v>314</v>
      </c>
      <c r="K1621" s="4" t="s">
        <v>2709</v>
      </c>
    </row>
    <row r="1622" spans="1:11" s="4" customFormat="1">
      <c r="A1622" s="4">
        <v>112263</v>
      </c>
      <c r="B1622" s="4">
        <v>1</v>
      </c>
      <c r="C1622" s="4">
        <v>1</v>
      </c>
      <c r="D1622" s="4">
        <v>0</v>
      </c>
      <c r="E1622" s="4">
        <v>0</v>
      </c>
      <c r="F1622" s="4">
        <v>1</v>
      </c>
      <c r="G1622" s="4">
        <v>111003</v>
      </c>
      <c r="H1622" s="4">
        <v>1</v>
      </c>
      <c r="I1622" s="4">
        <f t="shared" si="40"/>
        <v>210</v>
      </c>
      <c r="J1622" s="4">
        <f t="shared" si="41"/>
        <v>316</v>
      </c>
      <c r="K1622" s="4" t="s">
        <v>2710</v>
      </c>
    </row>
    <row r="1623" spans="1:11" s="4" customFormat="1">
      <c r="A1623" s="4">
        <v>112264</v>
      </c>
      <c r="B1623" s="4">
        <v>1</v>
      </c>
      <c r="C1623" s="4">
        <v>1</v>
      </c>
      <c r="D1623" s="4">
        <v>0</v>
      </c>
      <c r="E1623" s="4">
        <v>0</v>
      </c>
      <c r="F1623" s="4">
        <v>1</v>
      </c>
      <c r="G1623" s="4">
        <v>111003</v>
      </c>
      <c r="H1623" s="4">
        <v>1</v>
      </c>
      <c r="I1623" s="4">
        <f t="shared" si="40"/>
        <v>211</v>
      </c>
      <c r="J1623" s="4">
        <f t="shared" si="41"/>
        <v>317</v>
      </c>
      <c r="K1623" s="4" t="s">
        <v>2711</v>
      </c>
    </row>
    <row r="1624" spans="1:11" s="4" customFormat="1">
      <c r="A1624" s="4">
        <v>112265</v>
      </c>
      <c r="B1624" s="4">
        <v>1</v>
      </c>
      <c r="C1624" s="4">
        <v>1</v>
      </c>
      <c r="D1624" s="4">
        <v>0</v>
      </c>
      <c r="E1624" s="4">
        <v>0</v>
      </c>
      <c r="F1624" s="4">
        <v>1</v>
      </c>
      <c r="G1624" s="4">
        <v>111003</v>
      </c>
      <c r="H1624" s="4">
        <v>1</v>
      </c>
      <c r="I1624" s="4">
        <f t="shared" si="40"/>
        <v>212</v>
      </c>
      <c r="J1624" s="4">
        <f t="shared" si="41"/>
        <v>318</v>
      </c>
      <c r="K1624" s="4" t="s">
        <v>2712</v>
      </c>
    </row>
    <row r="1625" spans="1:11" s="4" customFormat="1">
      <c r="A1625" s="4">
        <v>112266</v>
      </c>
      <c r="B1625" s="4">
        <v>1</v>
      </c>
      <c r="C1625" s="4">
        <v>1</v>
      </c>
      <c r="D1625" s="4">
        <v>0</v>
      </c>
      <c r="E1625" s="4">
        <v>0</v>
      </c>
      <c r="F1625" s="4">
        <v>1</v>
      </c>
      <c r="G1625" s="4">
        <v>111003</v>
      </c>
      <c r="H1625" s="4">
        <v>1</v>
      </c>
      <c r="I1625" s="4">
        <f t="shared" si="40"/>
        <v>213</v>
      </c>
      <c r="J1625" s="4">
        <f t="shared" si="41"/>
        <v>319</v>
      </c>
      <c r="K1625" s="4" t="s">
        <v>2713</v>
      </c>
    </row>
    <row r="1626" spans="1:11" s="4" customFormat="1">
      <c r="A1626" s="4">
        <v>112267</v>
      </c>
      <c r="B1626" s="4">
        <v>1</v>
      </c>
      <c r="C1626" s="4">
        <v>1</v>
      </c>
      <c r="D1626" s="4">
        <v>0</v>
      </c>
      <c r="E1626" s="4">
        <v>0</v>
      </c>
      <c r="F1626" s="4">
        <v>1</v>
      </c>
      <c r="G1626" s="4">
        <v>111003</v>
      </c>
      <c r="H1626" s="4">
        <v>1</v>
      </c>
      <c r="I1626" s="4">
        <f t="shared" si="40"/>
        <v>214</v>
      </c>
      <c r="J1626" s="4">
        <f t="shared" si="41"/>
        <v>320</v>
      </c>
      <c r="K1626" s="4" t="s">
        <v>2714</v>
      </c>
    </row>
    <row r="1627" spans="1:11" s="4" customFormat="1">
      <c r="A1627" s="4">
        <v>112268</v>
      </c>
      <c r="B1627" s="4">
        <v>1</v>
      </c>
      <c r="C1627" s="4">
        <v>1</v>
      </c>
      <c r="D1627" s="4">
        <v>0</v>
      </c>
      <c r="E1627" s="4">
        <v>0</v>
      </c>
      <c r="F1627" s="4">
        <v>1</v>
      </c>
      <c r="G1627" s="4">
        <v>111003</v>
      </c>
      <c r="H1627" s="4">
        <v>1</v>
      </c>
      <c r="I1627" s="4">
        <f t="shared" si="40"/>
        <v>214</v>
      </c>
      <c r="J1627" s="4">
        <f t="shared" si="41"/>
        <v>322</v>
      </c>
      <c r="K1627" s="4" t="s">
        <v>2715</v>
      </c>
    </row>
    <row r="1628" spans="1:11" s="4" customFormat="1">
      <c r="A1628" s="4">
        <v>112269</v>
      </c>
      <c r="B1628" s="4">
        <v>1</v>
      </c>
      <c r="C1628" s="4">
        <v>1</v>
      </c>
      <c r="D1628" s="4">
        <v>0</v>
      </c>
      <c r="E1628" s="4">
        <v>0</v>
      </c>
      <c r="F1628" s="4">
        <v>1</v>
      </c>
      <c r="G1628" s="4">
        <v>111003</v>
      </c>
      <c r="H1628" s="4">
        <v>1</v>
      </c>
      <c r="I1628" s="4">
        <f t="shared" si="40"/>
        <v>215</v>
      </c>
      <c r="J1628" s="4">
        <f t="shared" si="41"/>
        <v>323</v>
      </c>
      <c r="K1628" s="4" t="s">
        <v>2716</v>
      </c>
    </row>
    <row r="1629" spans="1:11" s="4" customFormat="1">
      <c r="A1629" s="4">
        <v>112270</v>
      </c>
      <c r="B1629" s="4">
        <v>1</v>
      </c>
      <c r="C1629" s="4">
        <v>1</v>
      </c>
      <c r="D1629" s="4">
        <v>0</v>
      </c>
      <c r="E1629" s="4">
        <v>0</v>
      </c>
      <c r="F1629" s="4">
        <v>1</v>
      </c>
      <c r="G1629" s="4">
        <v>111003</v>
      </c>
      <c r="H1629" s="4">
        <v>1</v>
      </c>
      <c r="I1629" s="4">
        <f t="shared" si="40"/>
        <v>216</v>
      </c>
      <c r="J1629" s="4">
        <f t="shared" si="41"/>
        <v>324</v>
      </c>
      <c r="K1629" s="4" t="s">
        <v>2717</v>
      </c>
    </row>
    <row r="1630" spans="1:11" s="4" customFormat="1">
      <c r="A1630" s="4">
        <v>112271</v>
      </c>
      <c r="B1630" s="4">
        <v>1</v>
      </c>
      <c r="C1630" s="4">
        <v>1</v>
      </c>
      <c r="D1630" s="4">
        <v>0</v>
      </c>
      <c r="E1630" s="4">
        <v>0</v>
      </c>
      <c r="F1630" s="4">
        <v>1</v>
      </c>
      <c r="G1630" s="4">
        <v>111003</v>
      </c>
      <c r="H1630" s="4">
        <v>1</v>
      </c>
      <c r="I1630" s="4">
        <f t="shared" si="40"/>
        <v>217</v>
      </c>
      <c r="J1630" s="4">
        <f t="shared" si="41"/>
        <v>325</v>
      </c>
      <c r="K1630" s="4" t="s">
        <v>2718</v>
      </c>
    </row>
    <row r="1631" spans="1:11" s="4" customFormat="1">
      <c r="A1631" s="4">
        <v>112272</v>
      </c>
      <c r="B1631" s="4">
        <v>1</v>
      </c>
      <c r="C1631" s="4">
        <v>1</v>
      </c>
      <c r="D1631" s="4">
        <v>0</v>
      </c>
      <c r="E1631" s="4">
        <v>0</v>
      </c>
      <c r="F1631" s="4">
        <v>1</v>
      </c>
      <c r="G1631" s="4">
        <v>111003</v>
      </c>
      <c r="H1631" s="4">
        <v>1</v>
      </c>
      <c r="I1631" s="4">
        <f t="shared" si="40"/>
        <v>218</v>
      </c>
      <c r="J1631" s="4">
        <f t="shared" si="41"/>
        <v>326</v>
      </c>
      <c r="K1631" s="4" t="s">
        <v>2719</v>
      </c>
    </row>
    <row r="1632" spans="1:11" s="4" customFormat="1">
      <c r="A1632" s="4">
        <v>112273</v>
      </c>
      <c r="B1632" s="4">
        <v>1</v>
      </c>
      <c r="C1632" s="4">
        <v>1</v>
      </c>
      <c r="D1632" s="4">
        <v>0</v>
      </c>
      <c r="E1632" s="4">
        <v>0</v>
      </c>
      <c r="F1632" s="4">
        <v>1</v>
      </c>
      <c r="G1632" s="4">
        <v>111003</v>
      </c>
      <c r="H1632" s="4">
        <v>1</v>
      </c>
      <c r="I1632" s="4">
        <f t="shared" si="40"/>
        <v>218</v>
      </c>
      <c r="J1632" s="4">
        <f t="shared" si="41"/>
        <v>328</v>
      </c>
      <c r="K1632" s="4" t="s">
        <v>2720</v>
      </c>
    </row>
    <row r="1633" spans="1:11" s="4" customFormat="1">
      <c r="A1633" s="4">
        <v>112274</v>
      </c>
      <c r="B1633" s="4">
        <v>1</v>
      </c>
      <c r="C1633" s="4">
        <v>1</v>
      </c>
      <c r="D1633" s="4">
        <v>0</v>
      </c>
      <c r="E1633" s="4">
        <v>0</v>
      </c>
      <c r="F1633" s="4">
        <v>1</v>
      </c>
      <c r="G1633" s="4">
        <v>111003</v>
      </c>
      <c r="H1633" s="4">
        <v>1</v>
      </c>
      <c r="I1633" s="4">
        <f t="shared" si="40"/>
        <v>219</v>
      </c>
      <c r="J1633" s="4">
        <f t="shared" si="41"/>
        <v>329</v>
      </c>
      <c r="K1633" s="4" t="s">
        <v>2721</v>
      </c>
    </row>
    <row r="1634" spans="1:11" s="4" customFormat="1">
      <c r="A1634" s="4">
        <v>112275</v>
      </c>
      <c r="B1634" s="4">
        <v>1</v>
      </c>
      <c r="C1634" s="4">
        <v>1</v>
      </c>
      <c r="D1634" s="4">
        <v>0</v>
      </c>
      <c r="E1634" s="4">
        <v>0</v>
      </c>
      <c r="F1634" s="4">
        <v>1</v>
      </c>
      <c r="G1634" s="4">
        <v>111003</v>
      </c>
      <c r="H1634" s="4">
        <v>1</v>
      </c>
      <c r="I1634" s="4">
        <f t="shared" si="40"/>
        <v>220</v>
      </c>
      <c r="J1634" s="4">
        <f t="shared" si="41"/>
        <v>330</v>
      </c>
      <c r="K1634" s="4" t="s">
        <v>2722</v>
      </c>
    </row>
    <row r="1635" spans="1:11" s="4" customFormat="1">
      <c r="A1635" s="4">
        <v>112276</v>
      </c>
      <c r="B1635" s="4">
        <v>1</v>
      </c>
      <c r="C1635" s="4">
        <v>1</v>
      </c>
      <c r="D1635" s="4">
        <v>0</v>
      </c>
      <c r="E1635" s="4">
        <v>0</v>
      </c>
      <c r="F1635" s="4">
        <v>1</v>
      </c>
      <c r="G1635" s="4">
        <v>111003</v>
      </c>
      <c r="H1635" s="4">
        <v>1</v>
      </c>
      <c r="I1635" s="4">
        <f t="shared" si="40"/>
        <v>221</v>
      </c>
      <c r="J1635" s="4">
        <f t="shared" si="41"/>
        <v>331</v>
      </c>
      <c r="K1635" s="4" t="s">
        <v>2723</v>
      </c>
    </row>
    <row r="1636" spans="1:11" s="4" customFormat="1">
      <c r="A1636" s="4">
        <v>112277</v>
      </c>
      <c r="B1636" s="4">
        <v>1</v>
      </c>
      <c r="C1636" s="4">
        <v>1</v>
      </c>
      <c r="D1636" s="4">
        <v>0</v>
      </c>
      <c r="E1636" s="4">
        <v>0</v>
      </c>
      <c r="F1636" s="4">
        <v>1</v>
      </c>
      <c r="G1636" s="4">
        <v>111003</v>
      </c>
      <c r="H1636" s="4">
        <v>1</v>
      </c>
      <c r="I1636" s="4">
        <f t="shared" si="40"/>
        <v>222</v>
      </c>
      <c r="J1636" s="4">
        <f t="shared" si="41"/>
        <v>332</v>
      </c>
      <c r="K1636" s="4" t="s">
        <v>2724</v>
      </c>
    </row>
    <row r="1637" spans="1:11" s="4" customFormat="1">
      <c r="A1637" s="4">
        <v>112278</v>
      </c>
      <c r="B1637" s="4">
        <v>1</v>
      </c>
      <c r="C1637" s="4">
        <v>1</v>
      </c>
      <c r="D1637" s="4">
        <v>0</v>
      </c>
      <c r="E1637" s="4">
        <v>0</v>
      </c>
      <c r="F1637" s="4">
        <v>1</v>
      </c>
      <c r="G1637" s="4">
        <v>111003</v>
      </c>
      <c r="H1637" s="4">
        <v>1</v>
      </c>
      <c r="I1637" s="4">
        <f t="shared" si="40"/>
        <v>222</v>
      </c>
      <c r="J1637" s="4">
        <f t="shared" si="41"/>
        <v>334</v>
      </c>
      <c r="K1637" s="4" t="s">
        <v>2725</v>
      </c>
    </row>
    <row r="1638" spans="1:11" s="4" customFormat="1">
      <c r="A1638" s="4">
        <v>112279</v>
      </c>
      <c r="B1638" s="4">
        <v>1</v>
      </c>
      <c r="C1638" s="4">
        <v>1</v>
      </c>
      <c r="D1638" s="4">
        <v>0</v>
      </c>
      <c r="E1638" s="4">
        <v>0</v>
      </c>
      <c r="F1638" s="4">
        <v>1</v>
      </c>
      <c r="G1638" s="4">
        <v>111003</v>
      </c>
      <c r="H1638" s="4">
        <v>1</v>
      </c>
      <c r="I1638" s="4">
        <f t="shared" si="40"/>
        <v>223</v>
      </c>
      <c r="J1638" s="4">
        <f t="shared" si="41"/>
        <v>335</v>
      </c>
      <c r="K1638" s="4" t="s">
        <v>2726</v>
      </c>
    </row>
    <row r="1639" spans="1:11" s="4" customFormat="1">
      <c r="A1639" s="4">
        <v>112280</v>
      </c>
      <c r="B1639" s="4">
        <v>1</v>
      </c>
      <c r="C1639" s="4">
        <v>1</v>
      </c>
      <c r="D1639" s="4">
        <v>0</v>
      </c>
      <c r="E1639" s="4">
        <v>0</v>
      </c>
      <c r="F1639" s="4">
        <v>1</v>
      </c>
      <c r="G1639" s="4">
        <v>111003</v>
      </c>
      <c r="H1639" s="4">
        <v>1</v>
      </c>
      <c r="I1639" s="4">
        <f t="shared" si="40"/>
        <v>224</v>
      </c>
      <c r="J1639" s="4">
        <f t="shared" si="41"/>
        <v>336</v>
      </c>
      <c r="K1639" s="4" t="s">
        <v>2727</v>
      </c>
    </row>
    <row r="1640" spans="1:11" s="4" customFormat="1">
      <c r="A1640" s="4">
        <v>112281</v>
      </c>
      <c r="B1640" s="4">
        <v>1</v>
      </c>
      <c r="C1640" s="4">
        <v>1</v>
      </c>
      <c r="D1640" s="4">
        <v>0</v>
      </c>
      <c r="E1640" s="4">
        <v>0</v>
      </c>
      <c r="F1640" s="4">
        <v>1</v>
      </c>
      <c r="G1640" s="4">
        <v>111003</v>
      </c>
      <c r="H1640" s="4">
        <v>1</v>
      </c>
      <c r="I1640" s="4">
        <f t="shared" si="40"/>
        <v>225</v>
      </c>
      <c r="J1640" s="4">
        <f t="shared" si="41"/>
        <v>337</v>
      </c>
      <c r="K1640" s="4" t="s">
        <v>2728</v>
      </c>
    </row>
    <row r="1641" spans="1:11" s="4" customFormat="1">
      <c r="A1641" s="4">
        <v>112282</v>
      </c>
      <c r="B1641" s="4">
        <v>1</v>
      </c>
      <c r="C1641" s="4">
        <v>1</v>
      </c>
      <c r="D1641" s="4">
        <v>0</v>
      </c>
      <c r="E1641" s="4">
        <v>0</v>
      </c>
      <c r="F1641" s="4">
        <v>1</v>
      </c>
      <c r="G1641" s="4">
        <v>111003</v>
      </c>
      <c r="H1641" s="4">
        <v>1</v>
      </c>
      <c r="I1641" s="4">
        <f t="shared" si="40"/>
        <v>226</v>
      </c>
      <c r="J1641" s="4">
        <f t="shared" si="41"/>
        <v>338</v>
      </c>
      <c r="K1641" s="4" t="s">
        <v>2729</v>
      </c>
    </row>
    <row r="1642" spans="1:11" s="4" customFormat="1">
      <c r="A1642" s="4">
        <v>112283</v>
      </c>
      <c r="B1642" s="4">
        <v>1</v>
      </c>
      <c r="C1642" s="4">
        <v>1</v>
      </c>
      <c r="D1642" s="4">
        <v>0</v>
      </c>
      <c r="E1642" s="4">
        <v>0</v>
      </c>
      <c r="F1642" s="4">
        <v>1</v>
      </c>
      <c r="G1642" s="4">
        <v>111003</v>
      </c>
      <c r="H1642" s="4">
        <v>1</v>
      </c>
      <c r="I1642" s="4">
        <f t="shared" si="40"/>
        <v>226</v>
      </c>
      <c r="J1642" s="4">
        <f t="shared" si="41"/>
        <v>340</v>
      </c>
      <c r="K1642" s="4" t="s">
        <v>2730</v>
      </c>
    </row>
    <row r="1643" spans="1:11" s="4" customFormat="1">
      <c r="A1643" s="4">
        <v>112284</v>
      </c>
      <c r="B1643" s="4">
        <v>1</v>
      </c>
      <c r="C1643" s="4">
        <v>1</v>
      </c>
      <c r="D1643" s="4">
        <v>0</v>
      </c>
      <c r="E1643" s="4">
        <v>0</v>
      </c>
      <c r="F1643" s="4">
        <v>1</v>
      </c>
      <c r="G1643" s="4">
        <v>111003</v>
      </c>
      <c r="H1643" s="4">
        <v>1</v>
      </c>
      <c r="I1643" s="4">
        <f t="shared" si="40"/>
        <v>227</v>
      </c>
      <c r="J1643" s="4">
        <f t="shared" si="41"/>
        <v>341</v>
      </c>
      <c r="K1643" s="4" t="s">
        <v>2731</v>
      </c>
    </row>
    <row r="1644" spans="1:11" s="4" customFormat="1">
      <c r="A1644" s="4">
        <v>112285</v>
      </c>
      <c r="B1644" s="4">
        <v>1</v>
      </c>
      <c r="C1644" s="4">
        <v>1</v>
      </c>
      <c r="D1644" s="4">
        <v>0</v>
      </c>
      <c r="E1644" s="4">
        <v>0</v>
      </c>
      <c r="F1644" s="4">
        <v>1</v>
      </c>
      <c r="G1644" s="4">
        <v>111003</v>
      </c>
      <c r="H1644" s="4">
        <v>1</v>
      </c>
      <c r="I1644" s="4">
        <f t="shared" si="40"/>
        <v>228</v>
      </c>
      <c r="J1644" s="4">
        <f t="shared" si="41"/>
        <v>342</v>
      </c>
      <c r="K1644" s="4" t="s">
        <v>2732</v>
      </c>
    </row>
    <row r="1645" spans="1:11" s="4" customFormat="1">
      <c r="A1645" s="4">
        <v>112286</v>
      </c>
      <c r="B1645" s="4">
        <v>1</v>
      </c>
      <c r="C1645" s="4">
        <v>1</v>
      </c>
      <c r="D1645" s="4">
        <v>0</v>
      </c>
      <c r="E1645" s="4">
        <v>0</v>
      </c>
      <c r="F1645" s="4">
        <v>1</v>
      </c>
      <c r="G1645" s="4">
        <v>111003</v>
      </c>
      <c r="H1645" s="4">
        <v>1</v>
      </c>
      <c r="I1645" s="4">
        <f t="shared" si="40"/>
        <v>229</v>
      </c>
      <c r="J1645" s="4">
        <f t="shared" si="41"/>
        <v>343</v>
      </c>
      <c r="K1645" s="4" t="s">
        <v>2733</v>
      </c>
    </row>
    <row r="1646" spans="1:11" s="4" customFormat="1">
      <c r="A1646" s="4">
        <v>112287</v>
      </c>
      <c r="B1646" s="4">
        <v>1</v>
      </c>
      <c r="C1646" s="4">
        <v>1</v>
      </c>
      <c r="D1646" s="4">
        <v>0</v>
      </c>
      <c r="E1646" s="4">
        <v>0</v>
      </c>
      <c r="F1646" s="4">
        <v>1</v>
      </c>
      <c r="G1646" s="4">
        <v>111003</v>
      </c>
      <c r="H1646" s="4">
        <v>1</v>
      </c>
      <c r="I1646" s="4">
        <f t="shared" si="40"/>
        <v>230</v>
      </c>
      <c r="J1646" s="4">
        <f t="shared" si="41"/>
        <v>344</v>
      </c>
      <c r="K1646" s="4" t="s">
        <v>2734</v>
      </c>
    </row>
    <row r="1647" spans="1:11" s="4" customFormat="1">
      <c r="A1647" s="4">
        <v>112288</v>
      </c>
      <c r="B1647" s="4">
        <v>1</v>
      </c>
      <c r="C1647" s="4">
        <v>1</v>
      </c>
      <c r="D1647" s="4">
        <v>0</v>
      </c>
      <c r="E1647" s="4">
        <v>0</v>
      </c>
      <c r="F1647" s="4">
        <v>1</v>
      </c>
      <c r="G1647" s="4">
        <v>111003</v>
      </c>
      <c r="H1647" s="4">
        <v>1</v>
      </c>
      <c r="I1647" s="4">
        <f t="shared" si="40"/>
        <v>230</v>
      </c>
      <c r="J1647" s="4">
        <f t="shared" si="41"/>
        <v>346</v>
      </c>
      <c r="K1647" s="4" t="s">
        <v>2735</v>
      </c>
    </row>
    <row r="1648" spans="1:11" s="4" customFormat="1">
      <c r="A1648" s="4">
        <v>112289</v>
      </c>
      <c r="B1648" s="4">
        <v>1</v>
      </c>
      <c r="C1648" s="4">
        <v>1</v>
      </c>
      <c r="D1648" s="4">
        <v>0</v>
      </c>
      <c r="E1648" s="4">
        <v>0</v>
      </c>
      <c r="F1648" s="4">
        <v>1</v>
      </c>
      <c r="G1648" s="4">
        <v>111003</v>
      </c>
      <c r="H1648" s="4">
        <v>1</v>
      </c>
      <c r="I1648" s="4">
        <f t="shared" si="40"/>
        <v>231</v>
      </c>
      <c r="J1648" s="4">
        <f t="shared" si="41"/>
        <v>347</v>
      </c>
      <c r="K1648" s="4" t="s">
        <v>2736</v>
      </c>
    </row>
    <row r="1649" spans="1:11" s="4" customFormat="1">
      <c r="A1649" s="4">
        <v>112290</v>
      </c>
      <c r="B1649" s="4">
        <v>1</v>
      </c>
      <c r="C1649" s="4">
        <v>1</v>
      </c>
      <c r="D1649" s="4">
        <v>0</v>
      </c>
      <c r="E1649" s="4">
        <v>0</v>
      </c>
      <c r="F1649" s="4">
        <v>1</v>
      </c>
      <c r="G1649" s="4">
        <v>111003</v>
      </c>
      <c r="H1649" s="4">
        <v>1</v>
      </c>
      <c r="I1649" s="4">
        <f t="shared" si="40"/>
        <v>232</v>
      </c>
      <c r="J1649" s="4">
        <f t="shared" si="41"/>
        <v>348</v>
      </c>
      <c r="K1649" s="4" t="s">
        <v>2737</v>
      </c>
    </row>
    <row r="1650" spans="1:11" s="4" customFormat="1">
      <c r="A1650" s="4">
        <v>112291</v>
      </c>
      <c r="B1650" s="4">
        <v>1</v>
      </c>
      <c r="C1650" s="4">
        <v>1</v>
      </c>
      <c r="D1650" s="4">
        <v>0</v>
      </c>
      <c r="E1650" s="4">
        <v>0</v>
      </c>
      <c r="F1650" s="4">
        <v>1</v>
      </c>
      <c r="G1650" s="4">
        <v>111003</v>
      </c>
      <c r="H1650" s="4">
        <v>1</v>
      </c>
      <c r="I1650" s="4">
        <f t="shared" si="40"/>
        <v>233</v>
      </c>
      <c r="J1650" s="4">
        <f t="shared" si="41"/>
        <v>349</v>
      </c>
      <c r="K1650" s="4" t="s">
        <v>2738</v>
      </c>
    </row>
    <row r="1651" spans="1:11" s="4" customFormat="1">
      <c r="A1651" s="4">
        <v>112292</v>
      </c>
      <c r="B1651" s="4">
        <v>1</v>
      </c>
      <c r="C1651" s="4">
        <v>1</v>
      </c>
      <c r="D1651" s="4">
        <v>0</v>
      </c>
      <c r="E1651" s="4">
        <v>0</v>
      </c>
      <c r="F1651" s="4">
        <v>1</v>
      </c>
      <c r="G1651" s="4">
        <v>111003</v>
      </c>
      <c r="H1651" s="4">
        <v>1</v>
      </c>
      <c r="I1651" s="4">
        <f t="shared" si="40"/>
        <v>234</v>
      </c>
      <c r="J1651" s="4">
        <f t="shared" si="41"/>
        <v>350</v>
      </c>
      <c r="K1651" s="4" t="s">
        <v>2739</v>
      </c>
    </row>
    <row r="1652" spans="1:11" s="4" customFormat="1">
      <c r="A1652" s="4">
        <v>112293</v>
      </c>
      <c r="B1652" s="4">
        <v>1</v>
      </c>
      <c r="C1652" s="4">
        <v>1</v>
      </c>
      <c r="D1652" s="4">
        <v>0</v>
      </c>
      <c r="E1652" s="4">
        <v>0</v>
      </c>
      <c r="F1652" s="4">
        <v>1</v>
      </c>
      <c r="G1652" s="4">
        <v>111003</v>
      </c>
      <c r="H1652" s="4">
        <v>1</v>
      </c>
      <c r="I1652" s="4">
        <f t="shared" si="40"/>
        <v>234</v>
      </c>
      <c r="J1652" s="4">
        <f t="shared" si="41"/>
        <v>352</v>
      </c>
      <c r="K1652" s="4" t="s">
        <v>2740</v>
      </c>
    </row>
    <row r="1653" spans="1:11" s="4" customFormat="1">
      <c r="A1653" s="4">
        <v>112294</v>
      </c>
      <c r="B1653" s="4">
        <v>1</v>
      </c>
      <c r="C1653" s="4">
        <v>1</v>
      </c>
      <c r="D1653" s="4">
        <v>0</v>
      </c>
      <c r="E1653" s="4">
        <v>0</v>
      </c>
      <c r="F1653" s="4">
        <v>1</v>
      </c>
      <c r="G1653" s="4">
        <v>111003</v>
      </c>
      <c r="H1653" s="4">
        <v>1</v>
      </c>
      <c r="I1653" s="4">
        <f t="shared" si="40"/>
        <v>235</v>
      </c>
      <c r="J1653" s="4">
        <f t="shared" si="41"/>
        <v>353</v>
      </c>
      <c r="K1653" s="4" t="s">
        <v>2741</v>
      </c>
    </row>
    <row r="1654" spans="1:11" s="4" customFormat="1">
      <c r="A1654" s="4">
        <v>112295</v>
      </c>
      <c r="B1654" s="4">
        <v>1</v>
      </c>
      <c r="C1654" s="4">
        <v>1</v>
      </c>
      <c r="D1654" s="4">
        <v>0</v>
      </c>
      <c r="E1654" s="4">
        <v>0</v>
      </c>
      <c r="F1654" s="4">
        <v>1</v>
      </c>
      <c r="G1654" s="4">
        <v>111003</v>
      </c>
      <c r="H1654" s="4">
        <v>1</v>
      </c>
      <c r="I1654" s="4">
        <f t="shared" si="40"/>
        <v>236</v>
      </c>
      <c r="J1654" s="4">
        <f t="shared" si="41"/>
        <v>354</v>
      </c>
      <c r="K1654" s="4" t="s">
        <v>2742</v>
      </c>
    </row>
    <row r="1655" spans="1:11" s="4" customFormat="1">
      <c r="A1655" s="4">
        <v>112296</v>
      </c>
      <c r="B1655" s="4">
        <v>1</v>
      </c>
      <c r="C1655" s="4">
        <v>1</v>
      </c>
      <c r="D1655" s="4">
        <v>0</v>
      </c>
      <c r="E1655" s="4">
        <v>0</v>
      </c>
      <c r="F1655" s="4">
        <v>1</v>
      </c>
      <c r="G1655" s="4">
        <v>111003</v>
      </c>
      <c r="H1655" s="4">
        <v>1</v>
      </c>
      <c r="I1655" s="4">
        <f t="shared" si="40"/>
        <v>237</v>
      </c>
      <c r="J1655" s="4">
        <f t="shared" si="41"/>
        <v>355</v>
      </c>
      <c r="K1655" s="4" t="s">
        <v>2743</v>
      </c>
    </row>
    <row r="1656" spans="1:11" s="4" customFormat="1">
      <c r="A1656" s="4">
        <v>112297</v>
      </c>
      <c r="B1656" s="4">
        <v>1</v>
      </c>
      <c r="C1656" s="4">
        <v>1</v>
      </c>
      <c r="D1656" s="4">
        <v>0</v>
      </c>
      <c r="E1656" s="4">
        <v>0</v>
      </c>
      <c r="F1656" s="4">
        <v>1</v>
      </c>
      <c r="G1656" s="4">
        <v>111003</v>
      </c>
      <c r="H1656" s="4">
        <v>1</v>
      </c>
      <c r="I1656" s="4">
        <f t="shared" si="40"/>
        <v>238</v>
      </c>
      <c r="J1656" s="4">
        <f t="shared" si="41"/>
        <v>356</v>
      </c>
      <c r="K1656" s="4" t="s">
        <v>2744</v>
      </c>
    </row>
    <row r="1657" spans="1:11" s="4" customFormat="1">
      <c r="A1657" s="4">
        <v>112298</v>
      </c>
      <c r="B1657" s="4">
        <v>1</v>
      </c>
      <c r="C1657" s="4">
        <v>1</v>
      </c>
      <c r="D1657" s="4">
        <v>0</v>
      </c>
      <c r="E1657" s="4">
        <v>0</v>
      </c>
      <c r="F1657" s="4">
        <v>1</v>
      </c>
      <c r="G1657" s="4">
        <v>111003</v>
      </c>
      <c r="H1657" s="4">
        <v>1</v>
      </c>
      <c r="I1657" s="4">
        <f t="shared" si="40"/>
        <v>238</v>
      </c>
      <c r="J1657" s="4">
        <f t="shared" si="41"/>
        <v>358</v>
      </c>
      <c r="K1657" s="4" t="s">
        <v>2745</v>
      </c>
    </row>
    <row r="1658" spans="1:11" s="4" customFormat="1">
      <c r="A1658" s="4">
        <v>112299</v>
      </c>
      <c r="B1658" s="4">
        <v>1</v>
      </c>
      <c r="C1658" s="4">
        <v>1</v>
      </c>
      <c r="D1658" s="4">
        <v>0</v>
      </c>
      <c r="E1658" s="4">
        <v>0</v>
      </c>
      <c r="F1658" s="4">
        <v>1</v>
      </c>
      <c r="G1658" s="4">
        <v>111003</v>
      </c>
      <c r="H1658" s="4">
        <v>1</v>
      </c>
      <c r="I1658" s="4">
        <f t="shared" si="40"/>
        <v>239</v>
      </c>
      <c r="J1658" s="4">
        <f t="shared" si="41"/>
        <v>359</v>
      </c>
      <c r="K1658" s="4" t="s">
        <v>2746</v>
      </c>
    </row>
    <row r="1659" spans="1:11" s="4" customFormat="1">
      <c r="A1659" s="4">
        <v>112300</v>
      </c>
      <c r="B1659" s="4">
        <v>1</v>
      </c>
      <c r="C1659" s="4">
        <v>1</v>
      </c>
      <c r="D1659" s="4">
        <v>0</v>
      </c>
      <c r="E1659" s="4">
        <v>0</v>
      </c>
      <c r="F1659" s="4">
        <v>1</v>
      </c>
      <c r="G1659" s="4">
        <v>111003</v>
      </c>
      <c r="H1659" s="4">
        <v>1</v>
      </c>
      <c r="I1659" s="4">
        <f t="shared" si="40"/>
        <v>240</v>
      </c>
      <c r="J1659" s="4">
        <f t="shared" si="41"/>
        <v>360</v>
      </c>
      <c r="K1659" s="4" t="s">
        <v>2747</v>
      </c>
    </row>
    <row r="1660" spans="1:11" s="4" customFormat="1">
      <c r="A1660" s="4">
        <v>112301</v>
      </c>
      <c r="B1660" s="4">
        <v>1</v>
      </c>
      <c r="C1660" s="4">
        <v>1</v>
      </c>
      <c r="D1660" s="4">
        <v>0</v>
      </c>
      <c r="E1660" s="4">
        <v>0</v>
      </c>
      <c r="F1660" s="4">
        <v>1</v>
      </c>
      <c r="G1660" s="4">
        <v>111003</v>
      </c>
      <c r="H1660" s="4">
        <v>1</v>
      </c>
      <c r="I1660" s="4">
        <f t="shared" si="40"/>
        <v>241</v>
      </c>
      <c r="J1660" s="4">
        <f t="shared" si="41"/>
        <v>361</v>
      </c>
      <c r="K1660" s="4" t="s">
        <v>2748</v>
      </c>
    </row>
    <row r="1661" spans="1:11" s="4" customFormat="1">
      <c r="A1661" s="4">
        <v>112302</v>
      </c>
      <c r="B1661" s="4">
        <v>1</v>
      </c>
      <c r="C1661" s="4">
        <v>1</v>
      </c>
      <c r="D1661" s="4">
        <v>0</v>
      </c>
      <c r="E1661" s="4">
        <v>0</v>
      </c>
      <c r="F1661" s="4">
        <v>1</v>
      </c>
      <c r="G1661" s="4">
        <v>111003</v>
      </c>
      <c r="H1661" s="4">
        <v>1</v>
      </c>
      <c r="I1661" s="4">
        <f t="shared" si="40"/>
        <v>242</v>
      </c>
      <c r="J1661" s="4">
        <f t="shared" si="41"/>
        <v>362</v>
      </c>
      <c r="K1661" s="4" t="s">
        <v>2749</v>
      </c>
    </row>
    <row r="1662" spans="1:11" s="4" customFormat="1">
      <c r="A1662" s="4">
        <v>112303</v>
      </c>
      <c r="B1662" s="4">
        <v>1</v>
      </c>
      <c r="C1662" s="4">
        <v>1</v>
      </c>
      <c r="D1662" s="4">
        <v>0</v>
      </c>
      <c r="E1662" s="4">
        <v>0</v>
      </c>
      <c r="F1662" s="4">
        <v>1</v>
      </c>
      <c r="G1662" s="4">
        <v>111003</v>
      </c>
      <c r="H1662" s="4">
        <v>1</v>
      </c>
      <c r="I1662" s="4">
        <f t="shared" si="40"/>
        <v>242</v>
      </c>
      <c r="J1662" s="4">
        <f t="shared" si="41"/>
        <v>364</v>
      </c>
      <c r="K1662" s="4" t="s">
        <v>2750</v>
      </c>
    </row>
    <row r="1663" spans="1:11" s="4" customFormat="1">
      <c r="A1663" s="4">
        <v>112304</v>
      </c>
      <c r="B1663" s="4">
        <v>1</v>
      </c>
      <c r="C1663" s="4">
        <v>1</v>
      </c>
      <c r="D1663" s="4">
        <v>0</v>
      </c>
      <c r="E1663" s="4">
        <v>0</v>
      </c>
      <c r="F1663" s="4">
        <v>1</v>
      </c>
      <c r="G1663" s="4">
        <v>111003</v>
      </c>
      <c r="H1663" s="4">
        <v>1</v>
      </c>
      <c r="I1663" s="4">
        <f t="shared" si="40"/>
        <v>243</v>
      </c>
      <c r="J1663" s="4">
        <f t="shared" si="41"/>
        <v>365</v>
      </c>
      <c r="K1663" s="4" t="s">
        <v>2751</v>
      </c>
    </row>
    <row r="1664" spans="1:11" s="4" customFormat="1">
      <c r="A1664" s="4">
        <v>112305</v>
      </c>
      <c r="B1664" s="4">
        <v>1</v>
      </c>
      <c r="C1664" s="4">
        <v>1</v>
      </c>
      <c r="D1664" s="4">
        <v>0</v>
      </c>
      <c r="E1664" s="4">
        <v>0</v>
      </c>
      <c r="F1664" s="4">
        <v>1</v>
      </c>
      <c r="G1664" s="4">
        <v>111003</v>
      </c>
      <c r="H1664" s="4">
        <v>1</v>
      </c>
      <c r="I1664" s="4">
        <f t="shared" si="40"/>
        <v>244</v>
      </c>
      <c r="J1664" s="4">
        <f t="shared" si="41"/>
        <v>366</v>
      </c>
      <c r="K1664" s="4" t="s">
        <v>2752</v>
      </c>
    </row>
    <row r="1665" spans="1:11" s="4" customFormat="1">
      <c r="A1665" s="4">
        <v>112306</v>
      </c>
      <c r="B1665" s="4">
        <v>1</v>
      </c>
      <c r="C1665" s="4">
        <v>1</v>
      </c>
      <c r="D1665" s="4">
        <v>0</v>
      </c>
      <c r="E1665" s="4">
        <v>0</v>
      </c>
      <c r="F1665" s="4">
        <v>1</v>
      </c>
      <c r="G1665" s="4">
        <v>111003</v>
      </c>
      <c r="H1665" s="4">
        <v>1</v>
      </c>
      <c r="I1665" s="4">
        <f t="shared" si="40"/>
        <v>245</v>
      </c>
      <c r="J1665" s="4">
        <f t="shared" si="41"/>
        <v>367</v>
      </c>
      <c r="K1665" s="4" t="s">
        <v>2753</v>
      </c>
    </row>
    <row r="1666" spans="1:11" s="4" customFormat="1">
      <c r="A1666" s="4">
        <v>112307</v>
      </c>
      <c r="B1666" s="4">
        <v>1</v>
      </c>
      <c r="C1666" s="4">
        <v>1</v>
      </c>
      <c r="D1666" s="4">
        <v>0</v>
      </c>
      <c r="E1666" s="4">
        <v>0</v>
      </c>
      <c r="F1666" s="4">
        <v>1</v>
      </c>
      <c r="G1666" s="4">
        <v>111003</v>
      </c>
      <c r="H1666" s="4">
        <v>1</v>
      </c>
      <c r="I1666" s="4">
        <f t="shared" si="40"/>
        <v>246</v>
      </c>
      <c r="J1666" s="4">
        <f t="shared" si="41"/>
        <v>368</v>
      </c>
      <c r="K1666" s="4" t="s">
        <v>2754</v>
      </c>
    </row>
    <row r="1667" spans="1:11" s="4" customFormat="1">
      <c r="A1667" s="4">
        <v>112308</v>
      </c>
      <c r="B1667" s="4">
        <v>1</v>
      </c>
      <c r="C1667" s="4">
        <v>1</v>
      </c>
      <c r="D1667" s="4">
        <v>0</v>
      </c>
      <c r="E1667" s="4">
        <v>0</v>
      </c>
      <c r="F1667" s="4">
        <v>1</v>
      </c>
      <c r="G1667" s="4">
        <v>111003</v>
      </c>
      <c r="H1667" s="4">
        <v>1</v>
      </c>
      <c r="I1667" s="4">
        <f t="shared" si="40"/>
        <v>246</v>
      </c>
      <c r="J1667" s="4">
        <f t="shared" si="41"/>
        <v>370</v>
      </c>
      <c r="K1667" s="4" t="s">
        <v>2755</v>
      </c>
    </row>
    <row r="1668" spans="1:11" s="4" customFormat="1">
      <c r="A1668" s="4">
        <v>112309</v>
      </c>
      <c r="B1668" s="4">
        <v>1</v>
      </c>
      <c r="C1668" s="4">
        <v>1</v>
      </c>
      <c r="D1668" s="4">
        <v>0</v>
      </c>
      <c r="E1668" s="4">
        <v>0</v>
      </c>
      <c r="F1668" s="4">
        <v>1</v>
      </c>
      <c r="G1668" s="4">
        <v>111003</v>
      </c>
      <c r="H1668" s="4">
        <v>1</v>
      </c>
      <c r="I1668" s="4">
        <f t="shared" si="40"/>
        <v>247</v>
      </c>
      <c r="J1668" s="4">
        <f t="shared" si="41"/>
        <v>371</v>
      </c>
      <c r="K1668" s="4" t="s">
        <v>2756</v>
      </c>
    </row>
    <row r="1669" spans="1:11" s="4" customFormat="1">
      <c r="A1669" s="4">
        <v>112310</v>
      </c>
      <c r="B1669" s="4">
        <v>1</v>
      </c>
      <c r="C1669" s="4">
        <v>1</v>
      </c>
      <c r="D1669" s="4">
        <v>0</v>
      </c>
      <c r="E1669" s="4">
        <v>0</v>
      </c>
      <c r="F1669" s="4">
        <v>1</v>
      </c>
      <c r="G1669" s="4">
        <v>111003</v>
      </c>
      <c r="H1669" s="4">
        <v>1</v>
      </c>
      <c r="I1669" s="4">
        <f t="shared" si="40"/>
        <v>248</v>
      </c>
      <c r="J1669" s="4">
        <f t="shared" si="41"/>
        <v>372</v>
      </c>
      <c r="K1669" s="4" t="s">
        <v>2757</v>
      </c>
    </row>
    <row r="1670" spans="1:11" s="4" customFormat="1">
      <c r="A1670" s="4">
        <v>112311</v>
      </c>
      <c r="B1670" s="4">
        <v>1</v>
      </c>
      <c r="C1670" s="4">
        <v>1</v>
      </c>
      <c r="D1670" s="4">
        <v>0</v>
      </c>
      <c r="E1670" s="4">
        <v>0</v>
      </c>
      <c r="F1670" s="4">
        <v>1</v>
      </c>
      <c r="G1670" s="4">
        <v>111003</v>
      </c>
      <c r="H1670" s="4">
        <v>1</v>
      </c>
      <c r="I1670" s="4">
        <f t="shared" si="40"/>
        <v>249</v>
      </c>
      <c r="J1670" s="4">
        <f t="shared" si="41"/>
        <v>373</v>
      </c>
      <c r="K1670" s="4" t="s">
        <v>2758</v>
      </c>
    </row>
    <row r="1671" spans="1:11" s="4" customFormat="1">
      <c r="A1671" s="4">
        <v>112312</v>
      </c>
      <c r="B1671" s="4">
        <v>1</v>
      </c>
      <c r="C1671" s="4">
        <v>1</v>
      </c>
      <c r="D1671" s="4">
        <v>0</v>
      </c>
      <c r="E1671" s="4">
        <v>0</v>
      </c>
      <c r="F1671" s="4">
        <v>1</v>
      </c>
      <c r="G1671" s="4">
        <v>111003</v>
      </c>
      <c r="H1671" s="4">
        <v>1</v>
      </c>
      <c r="I1671" s="4">
        <f t="shared" si="40"/>
        <v>250</v>
      </c>
      <c r="J1671" s="4">
        <f t="shared" si="41"/>
        <v>374</v>
      </c>
      <c r="K1671" s="4" t="s">
        <v>2759</v>
      </c>
    </row>
    <row r="1672" spans="1:11" s="4" customFormat="1">
      <c r="A1672" s="4">
        <v>112313</v>
      </c>
      <c r="B1672" s="4">
        <v>1</v>
      </c>
      <c r="C1672" s="4">
        <v>1</v>
      </c>
      <c r="D1672" s="4">
        <v>0</v>
      </c>
      <c r="E1672" s="4">
        <v>0</v>
      </c>
      <c r="F1672" s="4">
        <v>1</v>
      </c>
      <c r="G1672" s="4">
        <v>111003</v>
      </c>
      <c r="H1672" s="4">
        <v>1</v>
      </c>
      <c r="I1672" s="4">
        <f t="shared" si="40"/>
        <v>250</v>
      </c>
      <c r="J1672" s="4">
        <f t="shared" si="41"/>
        <v>376</v>
      </c>
      <c r="K1672" s="4" t="s">
        <v>2760</v>
      </c>
    </row>
    <row r="1673" spans="1:11" s="4" customFormat="1">
      <c r="A1673" s="4">
        <v>112314</v>
      </c>
      <c r="B1673" s="4">
        <v>1</v>
      </c>
      <c r="C1673" s="4">
        <v>1</v>
      </c>
      <c r="D1673" s="4">
        <v>0</v>
      </c>
      <c r="E1673" s="4">
        <v>0</v>
      </c>
      <c r="F1673" s="4">
        <v>1</v>
      </c>
      <c r="G1673" s="4">
        <v>111003</v>
      </c>
      <c r="H1673" s="4">
        <v>1</v>
      </c>
      <c r="I1673" s="4">
        <f t="shared" si="40"/>
        <v>251</v>
      </c>
      <c r="J1673" s="4">
        <f t="shared" si="41"/>
        <v>377</v>
      </c>
      <c r="K1673" s="4" t="s">
        <v>2761</v>
      </c>
    </row>
    <row r="1674" spans="1:11" s="4" customFormat="1">
      <c r="A1674" s="4">
        <v>112315</v>
      </c>
      <c r="B1674" s="4">
        <v>1</v>
      </c>
      <c r="C1674" s="4">
        <v>1</v>
      </c>
      <c r="D1674" s="4">
        <v>0</v>
      </c>
      <c r="E1674" s="4">
        <v>0</v>
      </c>
      <c r="F1674" s="4">
        <v>1</v>
      </c>
      <c r="G1674" s="4">
        <v>111003</v>
      </c>
      <c r="H1674" s="4">
        <v>1</v>
      </c>
      <c r="I1674" s="4">
        <f t="shared" si="40"/>
        <v>252</v>
      </c>
      <c r="J1674" s="4">
        <f t="shared" si="41"/>
        <v>378</v>
      </c>
      <c r="K1674" s="4" t="s">
        <v>2762</v>
      </c>
    </row>
    <row r="1675" spans="1:11" s="4" customFormat="1">
      <c r="A1675" s="4">
        <v>112316</v>
      </c>
      <c r="B1675" s="4">
        <v>1</v>
      </c>
      <c r="C1675" s="4">
        <v>1</v>
      </c>
      <c r="D1675" s="4">
        <v>0</v>
      </c>
      <c r="E1675" s="4">
        <v>0</v>
      </c>
      <c r="F1675" s="4">
        <v>1</v>
      </c>
      <c r="G1675" s="4">
        <v>111003</v>
      </c>
      <c r="H1675" s="4">
        <v>1</v>
      </c>
      <c r="I1675" s="4">
        <f t="shared" si="40"/>
        <v>253</v>
      </c>
      <c r="J1675" s="4">
        <f t="shared" si="41"/>
        <v>379</v>
      </c>
      <c r="K1675" s="4" t="s">
        <v>2763</v>
      </c>
    </row>
    <row r="1676" spans="1:11" s="4" customFormat="1">
      <c r="A1676" s="4">
        <v>112317</v>
      </c>
      <c r="B1676" s="4">
        <v>1</v>
      </c>
      <c r="C1676" s="4">
        <v>1</v>
      </c>
      <c r="D1676" s="4">
        <v>0</v>
      </c>
      <c r="E1676" s="4">
        <v>0</v>
      </c>
      <c r="F1676" s="4">
        <v>1</v>
      </c>
      <c r="G1676" s="4">
        <v>111003</v>
      </c>
      <c r="H1676" s="4">
        <v>1</v>
      </c>
      <c r="I1676" s="4">
        <f t="shared" si="40"/>
        <v>254</v>
      </c>
      <c r="J1676" s="4">
        <f t="shared" si="41"/>
        <v>380</v>
      </c>
      <c r="K1676" s="4" t="s">
        <v>2764</v>
      </c>
    </row>
    <row r="1677" spans="1:11" s="4" customFormat="1">
      <c r="A1677" s="4">
        <v>112318</v>
      </c>
      <c r="B1677" s="4">
        <v>1</v>
      </c>
      <c r="C1677" s="4">
        <v>1</v>
      </c>
      <c r="D1677" s="4">
        <v>0</v>
      </c>
      <c r="E1677" s="4">
        <v>0</v>
      </c>
      <c r="F1677" s="4">
        <v>1</v>
      </c>
      <c r="G1677" s="4">
        <v>111003</v>
      </c>
      <c r="H1677" s="4">
        <v>1</v>
      </c>
      <c r="I1677" s="4">
        <f t="shared" si="40"/>
        <v>254</v>
      </c>
      <c r="J1677" s="4">
        <f t="shared" si="41"/>
        <v>382</v>
      </c>
      <c r="K1677" s="4" t="s">
        <v>2765</v>
      </c>
    </row>
    <row r="1678" spans="1:11" s="4" customFormat="1">
      <c r="A1678" s="4">
        <v>112319</v>
      </c>
      <c r="B1678" s="4">
        <v>1</v>
      </c>
      <c r="C1678" s="4">
        <v>1</v>
      </c>
      <c r="D1678" s="4">
        <v>0</v>
      </c>
      <c r="E1678" s="4">
        <v>0</v>
      </c>
      <c r="F1678" s="4">
        <v>1</v>
      </c>
      <c r="G1678" s="4">
        <v>111003</v>
      </c>
      <c r="H1678" s="4">
        <v>1</v>
      </c>
      <c r="I1678" s="4">
        <f t="shared" si="40"/>
        <v>255</v>
      </c>
      <c r="J1678" s="4">
        <f t="shared" si="41"/>
        <v>383</v>
      </c>
      <c r="K1678" s="4" t="s">
        <v>2766</v>
      </c>
    </row>
    <row r="1679" spans="1:11" s="4" customFormat="1">
      <c r="A1679" s="4">
        <v>112320</v>
      </c>
      <c r="B1679" s="4">
        <v>1</v>
      </c>
      <c r="C1679" s="4">
        <v>1</v>
      </c>
      <c r="D1679" s="4">
        <v>0</v>
      </c>
      <c r="E1679" s="4">
        <v>0</v>
      </c>
      <c r="F1679" s="4">
        <v>1</v>
      </c>
      <c r="G1679" s="4">
        <v>111003</v>
      </c>
      <c r="H1679" s="4">
        <v>1</v>
      </c>
      <c r="I1679" s="4">
        <f t="shared" si="40"/>
        <v>256</v>
      </c>
      <c r="J1679" s="4">
        <f t="shared" si="41"/>
        <v>384</v>
      </c>
      <c r="K1679" s="4" t="s">
        <v>2767</v>
      </c>
    </row>
    <row r="1680" spans="1:11" s="4" customFormat="1">
      <c r="A1680" s="4">
        <v>112321</v>
      </c>
      <c r="B1680" s="4">
        <v>1</v>
      </c>
      <c r="C1680" s="4">
        <v>1</v>
      </c>
      <c r="D1680" s="4">
        <v>0</v>
      </c>
      <c r="E1680" s="4">
        <v>0</v>
      </c>
      <c r="F1680" s="4">
        <v>1</v>
      </c>
      <c r="G1680" s="4">
        <v>111003</v>
      </c>
      <c r="H1680" s="4">
        <v>1</v>
      </c>
      <c r="I1680" s="4">
        <f t="shared" si="40"/>
        <v>257</v>
      </c>
      <c r="J1680" s="4">
        <f t="shared" si="41"/>
        <v>385</v>
      </c>
      <c r="K1680" s="4" t="s">
        <v>2768</v>
      </c>
    </row>
    <row r="1681" spans="1:11" s="4" customFormat="1">
      <c r="A1681" s="4">
        <v>112322</v>
      </c>
      <c r="B1681" s="4">
        <v>1</v>
      </c>
      <c r="C1681" s="4">
        <v>1</v>
      </c>
      <c r="D1681" s="4">
        <v>0</v>
      </c>
      <c r="E1681" s="4">
        <v>0</v>
      </c>
      <c r="F1681" s="4">
        <v>1</v>
      </c>
      <c r="G1681" s="4">
        <v>111003</v>
      </c>
      <c r="H1681" s="4">
        <v>1</v>
      </c>
      <c r="I1681" s="4">
        <f t="shared" ref="I1681:I1744" si="42">ROUND(RIGHT(A1681,3)*80%,0)</f>
        <v>258</v>
      </c>
      <c r="J1681" s="4">
        <f t="shared" ref="J1681:J1744" si="43">ROUND(RIGHT(A1681,3)*120%,0)</f>
        <v>386</v>
      </c>
      <c r="K1681" s="4" t="s">
        <v>2769</v>
      </c>
    </row>
    <row r="1682" spans="1:11" s="4" customFormat="1">
      <c r="A1682" s="4">
        <v>112323</v>
      </c>
      <c r="B1682" s="4">
        <v>1</v>
      </c>
      <c r="C1682" s="4">
        <v>1</v>
      </c>
      <c r="D1682" s="4">
        <v>0</v>
      </c>
      <c r="E1682" s="4">
        <v>0</v>
      </c>
      <c r="F1682" s="4">
        <v>1</v>
      </c>
      <c r="G1682" s="4">
        <v>111003</v>
      </c>
      <c r="H1682" s="4">
        <v>1</v>
      </c>
      <c r="I1682" s="4">
        <f t="shared" si="42"/>
        <v>258</v>
      </c>
      <c r="J1682" s="4">
        <f t="shared" si="43"/>
        <v>388</v>
      </c>
      <c r="K1682" s="4" t="s">
        <v>2770</v>
      </c>
    </row>
    <row r="1683" spans="1:11" s="4" customFormat="1">
      <c r="A1683" s="4">
        <v>112324</v>
      </c>
      <c r="B1683" s="4">
        <v>1</v>
      </c>
      <c r="C1683" s="4">
        <v>1</v>
      </c>
      <c r="D1683" s="4">
        <v>0</v>
      </c>
      <c r="E1683" s="4">
        <v>0</v>
      </c>
      <c r="F1683" s="4">
        <v>1</v>
      </c>
      <c r="G1683" s="4">
        <v>111003</v>
      </c>
      <c r="H1683" s="4">
        <v>1</v>
      </c>
      <c r="I1683" s="4">
        <f t="shared" si="42"/>
        <v>259</v>
      </c>
      <c r="J1683" s="4">
        <f t="shared" si="43"/>
        <v>389</v>
      </c>
      <c r="K1683" s="4" t="s">
        <v>2771</v>
      </c>
    </row>
    <row r="1684" spans="1:11" s="4" customFormat="1">
      <c r="A1684" s="4">
        <v>112325</v>
      </c>
      <c r="B1684" s="4">
        <v>1</v>
      </c>
      <c r="C1684" s="4">
        <v>1</v>
      </c>
      <c r="D1684" s="4">
        <v>0</v>
      </c>
      <c r="E1684" s="4">
        <v>0</v>
      </c>
      <c r="F1684" s="4">
        <v>1</v>
      </c>
      <c r="G1684" s="4">
        <v>111003</v>
      </c>
      <c r="H1684" s="4">
        <v>1</v>
      </c>
      <c r="I1684" s="4">
        <f t="shared" si="42"/>
        <v>260</v>
      </c>
      <c r="J1684" s="4">
        <f t="shared" si="43"/>
        <v>390</v>
      </c>
      <c r="K1684" s="4" t="s">
        <v>2772</v>
      </c>
    </row>
    <row r="1685" spans="1:11" s="4" customFormat="1">
      <c r="A1685" s="4">
        <v>112326</v>
      </c>
      <c r="B1685" s="4">
        <v>1</v>
      </c>
      <c r="C1685" s="4">
        <v>1</v>
      </c>
      <c r="D1685" s="4">
        <v>0</v>
      </c>
      <c r="E1685" s="4">
        <v>0</v>
      </c>
      <c r="F1685" s="4">
        <v>1</v>
      </c>
      <c r="G1685" s="4">
        <v>111003</v>
      </c>
      <c r="H1685" s="4">
        <v>1</v>
      </c>
      <c r="I1685" s="4">
        <f t="shared" si="42"/>
        <v>261</v>
      </c>
      <c r="J1685" s="4">
        <f t="shared" si="43"/>
        <v>391</v>
      </c>
      <c r="K1685" s="4" t="s">
        <v>2773</v>
      </c>
    </row>
    <row r="1686" spans="1:11" s="4" customFormat="1">
      <c r="A1686" s="4">
        <v>112327</v>
      </c>
      <c r="B1686" s="4">
        <v>1</v>
      </c>
      <c r="C1686" s="4">
        <v>1</v>
      </c>
      <c r="D1686" s="4">
        <v>0</v>
      </c>
      <c r="E1686" s="4">
        <v>0</v>
      </c>
      <c r="F1686" s="4">
        <v>1</v>
      </c>
      <c r="G1686" s="4">
        <v>111003</v>
      </c>
      <c r="H1686" s="4">
        <v>1</v>
      </c>
      <c r="I1686" s="4">
        <f t="shared" si="42"/>
        <v>262</v>
      </c>
      <c r="J1686" s="4">
        <f t="shared" si="43"/>
        <v>392</v>
      </c>
      <c r="K1686" s="4" t="s">
        <v>2774</v>
      </c>
    </row>
    <row r="1687" spans="1:11" s="4" customFormat="1">
      <c r="A1687" s="4">
        <v>112328</v>
      </c>
      <c r="B1687" s="4">
        <v>1</v>
      </c>
      <c r="C1687" s="4">
        <v>1</v>
      </c>
      <c r="D1687" s="4">
        <v>0</v>
      </c>
      <c r="E1687" s="4">
        <v>0</v>
      </c>
      <c r="F1687" s="4">
        <v>1</v>
      </c>
      <c r="G1687" s="4">
        <v>111003</v>
      </c>
      <c r="H1687" s="4">
        <v>1</v>
      </c>
      <c r="I1687" s="4">
        <f t="shared" si="42"/>
        <v>262</v>
      </c>
      <c r="J1687" s="4">
        <f t="shared" si="43"/>
        <v>394</v>
      </c>
      <c r="K1687" s="4" t="s">
        <v>2775</v>
      </c>
    </row>
    <row r="1688" spans="1:11" s="4" customFormat="1">
      <c r="A1688" s="4">
        <v>112329</v>
      </c>
      <c r="B1688" s="4">
        <v>1</v>
      </c>
      <c r="C1688" s="4">
        <v>1</v>
      </c>
      <c r="D1688" s="4">
        <v>0</v>
      </c>
      <c r="E1688" s="4">
        <v>0</v>
      </c>
      <c r="F1688" s="4">
        <v>1</v>
      </c>
      <c r="G1688" s="4">
        <v>111003</v>
      </c>
      <c r="H1688" s="4">
        <v>1</v>
      </c>
      <c r="I1688" s="4">
        <f t="shared" si="42"/>
        <v>263</v>
      </c>
      <c r="J1688" s="4">
        <f t="shared" si="43"/>
        <v>395</v>
      </c>
      <c r="K1688" s="4" t="s">
        <v>2776</v>
      </c>
    </row>
    <row r="1689" spans="1:11" s="4" customFormat="1">
      <c r="A1689" s="4">
        <v>112330</v>
      </c>
      <c r="B1689" s="4">
        <v>1</v>
      </c>
      <c r="C1689" s="4">
        <v>1</v>
      </c>
      <c r="D1689" s="4">
        <v>0</v>
      </c>
      <c r="E1689" s="4">
        <v>0</v>
      </c>
      <c r="F1689" s="4">
        <v>1</v>
      </c>
      <c r="G1689" s="4">
        <v>111003</v>
      </c>
      <c r="H1689" s="4">
        <v>1</v>
      </c>
      <c r="I1689" s="4">
        <f t="shared" si="42"/>
        <v>264</v>
      </c>
      <c r="J1689" s="4">
        <f t="shared" si="43"/>
        <v>396</v>
      </c>
      <c r="K1689" s="4" t="s">
        <v>2777</v>
      </c>
    </row>
    <row r="1690" spans="1:11" s="4" customFormat="1">
      <c r="A1690" s="4">
        <v>112331</v>
      </c>
      <c r="B1690" s="4">
        <v>1</v>
      </c>
      <c r="C1690" s="4">
        <v>1</v>
      </c>
      <c r="D1690" s="4">
        <v>0</v>
      </c>
      <c r="E1690" s="4">
        <v>0</v>
      </c>
      <c r="F1690" s="4">
        <v>1</v>
      </c>
      <c r="G1690" s="4">
        <v>111003</v>
      </c>
      <c r="H1690" s="4">
        <v>1</v>
      </c>
      <c r="I1690" s="4">
        <f t="shared" si="42"/>
        <v>265</v>
      </c>
      <c r="J1690" s="4">
        <f t="shared" si="43"/>
        <v>397</v>
      </c>
      <c r="K1690" s="4" t="s">
        <v>2778</v>
      </c>
    </row>
    <row r="1691" spans="1:11" s="4" customFormat="1">
      <c r="A1691" s="4">
        <v>112332</v>
      </c>
      <c r="B1691" s="4">
        <v>1</v>
      </c>
      <c r="C1691" s="4">
        <v>1</v>
      </c>
      <c r="D1691" s="4">
        <v>0</v>
      </c>
      <c r="E1691" s="4">
        <v>0</v>
      </c>
      <c r="F1691" s="4">
        <v>1</v>
      </c>
      <c r="G1691" s="4">
        <v>111003</v>
      </c>
      <c r="H1691" s="4">
        <v>1</v>
      </c>
      <c r="I1691" s="4">
        <f t="shared" si="42"/>
        <v>266</v>
      </c>
      <c r="J1691" s="4">
        <f t="shared" si="43"/>
        <v>398</v>
      </c>
      <c r="K1691" s="4" t="s">
        <v>2779</v>
      </c>
    </row>
    <row r="1692" spans="1:11" s="4" customFormat="1">
      <c r="A1692" s="4">
        <v>112333</v>
      </c>
      <c r="B1692" s="4">
        <v>1</v>
      </c>
      <c r="C1692" s="4">
        <v>1</v>
      </c>
      <c r="D1692" s="4">
        <v>0</v>
      </c>
      <c r="E1692" s="4">
        <v>0</v>
      </c>
      <c r="F1692" s="4">
        <v>1</v>
      </c>
      <c r="G1692" s="4">
        <v>111003</v>
      </c>
      <c r="H1692" s="4">
        <v>1</v>
      </c>
      <c r="I1692" s="4">
        <f t="shared" si="42"/>
        <v>266</v>
      </c>
      <c r="J1692" s="4">
        <f t="shared" si="43"/>
        <v>400</v>
      </c>
      <c r="K1692" s="4" t="s">
        <v>2780</v>
      </c>
    </row>
    <row r="1693" spans="1:11" s="4" customFormat="1">
      <c r="A1693" s="4">
        <v>112334</v>
      </c>
      <c r="B1693" s="4">
        <v>1</v>
      </c>
      <c r="C1693" s="4">
        <v>1</v>
      </c>
      <c r="D1693" s="4">
        <v>0</v>
      </c>
      <c r="E1693" s="4">
        <v>0</v>
      </c>
      <c r="F1693" s="4">
        <v>1</v>
      </c>
      <c r="G1693" s="4">
        <v>111003</v>
      </c>
      <c r="H1693" s="4">
        <v>1</v>
      </c>
      <c r="I1693" s="4">
        <f t="shared" si="42"/>
        <v>267</v>
      </c>
      <c r="J1693" s="4">
        <f t="shared" si="43"/>
        <v>401</v>
      </c>
      <c r="K1693" s="4" t="s">
        <v>2781</v>
      </c>
    </row>
    <row r="1694" spans="1:11" s="4" customFormat="1">
      <c r="A1694" s="4">
        <v>112335</v>
      </c>
      <c r="B1694" s="4">
        <v>1</v>
      </c>
      <c r="C1694" s="4">
        <v>1</v>
      </c>
      <c r="D1694" s="4">
        <v>0</v>
      </c>
      <c r="E1694" s="4">
        <v>0</v>
      </c>
      <c r="F1694" s="4">
        <v>1</v>
      </c>
      <c r="G1694" s="4">
        <v>111003</v>
      </c>
      <c r="H1694" s="4">
        <v>1</v>
      </c>
      <c r="I1694" s="4">
        <f t="shared" si="42"/>
        <v>268</v>
      </c>
      <c r="J1694" s="4">
        <f t="shared" si="43"/>
        <v>402</v>
      </c>
      <c r="K1694" s="4" t="s">
        <v>2782</v>
      </c>
    </row>
    <row r="1695" spans="1:11" s="4" customFormat="1">
      <c r="A1695" s="4">
        <v>112336</v>
      </c>
      <c r="B1695" s="4">
        <v>1</v>
      </c>
      <c r="C1695" s="4">
        <v>1</v>
      </c>
      <c r="D1695" s="4">
        <v>0</v>
      </c>
      <c r="E1695" s="4">
        <v>0</v>
      </c>
      <c r="F1695" s="4">
        <v>1</v>
      </c>
      <c r="G1695" s="4">
        <v>111003</v>
      </c>
      <c r="H1695" s="4">
        <v>1</v>
      </c>
      <c r="I1695" s="4">
        <f t="shared" si="42"/>
        <v>269</v>
      </c>
      <c r="J1695" s="4">
        <f t="shared" si="43"/>
        <v>403</v>
      </c>
      <c r="K1695" s="4" t="s">
        <v>2783</v>
      </c>
    </row>
    <row r="1696" spans="1:11" s="4" customFormat="1">
      <c r="A1696" s="4">
        <v>112337</v>
      </c>
      <c r="B1696" s="4">
        <v>1</v>
      </c>
      <c r="C1696" s="4">
        <v>1</v>
      </c>
      <c r="D1696" s="4">
        <v>0</v>
      </c>
      <c r="E1696" s="4">
        <v>0</v>
      </c>
      <c r="F1696" s="4">
        <v>1</v>
      </c>
      <c r="G1696" s="4">
        <v>111003</v>
      </c>
      <c r="H1696" s="4">
        <v>1</v>
      </c>
      <c r="I1696" s="4">
        <f t="shared" si="42"/>
        <v>270</v>
      </c>
      <c r="J1696" s="4">
        <f t="shared" si="43"/>
        <v>404</v>
      </c>
      <c r="K1696" s="4" t="s">
        <v>2784</v>
      </c>
    </row>
    <row r="1697" spans="1:11" s="4" customFormat="1">
      <c r="A1697" s="4">
        <v>112338</v>
      </c>
      <c r="B1697" s="4">
        <v>1</v>
      </c>
      <c r="C1697" s="4">
        <v>1</v>
      </c>
      <c r="D1697" s="4">
        <v>0</v>
      </c>
      <c r="E1697" s="4">
        <v>0</v>
      </c>
      <c r="F1697" s="4">
        <v>1</v>
      </c>
      <c r="G1697" s="4">
        <v>111003</v>
      </c>
      <c r="H1697" s="4">
        <v>1</v>
      </c>
      <c r="I1697" s="4">
        <f t="shared" si="42"/>
        <v>270</v>
      </c>
      <c r="J1697" s="4">
        <f t="shared" si="43"/>
        <v>406</v>
      </c>
      <c r="K1697" s="4" t="s">
        <v>2785</v>
      </c>
    </row>
    <row r="1698" spans="1:11" s="4" customFormat="1">
      <c r="A1698" s="4">
        <v>112339</v>
      </c>
      <c r="B1698" s="4">
        <v>1</v>
      </c>
      <c r="C1698" s="4">
        <v>1</v>
      </c>
      <c r="D1698" s="4">
        <v>0</v>
      </c>
      <c r="E1698" s="4">
        <v>0</v>
      </c>
      <c r="F1698" s="4">
        <v>1</v>
      </c>
      <c r="G1698" s="4">
        <v>111003</v>
      </c>
      <c r="H1698" s="4">
        <v>1</v>
      </c>
      <c r="I1698" s="4">
        <f t="shared" si="42"/>
        <v>271</v>
      </c>
      <c r="J1698" s="4">
        <f t="shared" si="43"/>
        <v>407</v>
      </c>
      <c r="K1698" s="4" t="s">
        <v>2786</v>
      </c>
    </row>
    <row r="1699" spans="1:11" s="4" customFormat="1">
      <c r="A1699" s="4">
        <v>112340</v>
      </c>
      <c r="B1699" s="4">
        <v>1</v>
      </c>
      <c r="C1699" s="4">
        <v>1</v>
      </c>
      <c r="D1699" s="4">
        <v>0</v>
      </c>
      <c r="E1699" s="4">
        <v>0</v>
      </c>
      <c r="F1699" s="4">
        <v>1</v>
      </c>
      <c r="G1699" s="4">
        <v>111003</v>
      </c>
      <c r="H1699" s="4">
        <v>1</v>
      </c>
      <c r="I1699" s="4">
        <f t="shared" si="42"/>
        <v>272</v>
      </c>
      <c r="J1699" s="4">
        <f t="shared" si="43"/>
        <v>408</v>
      </c>
      <c r="K1699" s="4" t="s">
        <v>2787</v>
      </c>
    </row>
    <row r="1700" spans="1:11" s="4" customFormat="1">
      <c r="A1700" s="4">
        <v>112341</v>
      </c>
      <c r="B1700" s="4">
        <v>1</v>
      </c>
      <c r="C1700" s="4">
        <v>1</v>
      </c>
      <c r="D1700" s="4">
        <v>0</v>
      </c>
      <c r="E1700" s="4">
        <v>0</v>
      </c>
      <c r="F1700" s="4">
        <v>1</v>
      </c>
      <c r="G1700" s="4">
        <v>111003</v>
      </c>
      <c r="H1700" s="4">
        <v>1</v>
      </c>
      <c r="I1700" s="4">
        <f t="shared" si="42"/>
        <v>273</v>
      </c>
      <c r="J1700" s="4">
        <f t="shared" si="43"/>
        <v>409</v>
      </c>
      <c r="K1700" s="4" t="s">
        <v>2788</v>
      </c>
    </row>
    <row r="1701" spans="1:11" s="4" customFormat="1">
      <c r="A1701" s="4">
        <v>112342</v>
      </c>
      <c r="B1701" s="4">
        <v>1</v>
      </c>
      <c r="C1701" s="4">
        <v>1</v>
      </c>
      <c r="D1701" s="4">
        <v>0</v>
      </c>
      <c r="E1701" s="4">
        <v>0</v>
      </c>
      <c r="F1701" s="4">
        <v>1</v>
      </c>
      <c r="G1701" s="4">
        <v>111003</v>
      </c>
      <c r="H1701" s="4">
        <v>1</v>
      </c>
      <c r="I1701" s="4">
        <f t="shared" si="42"/>
        <v>274</v>
      </c>
      <c r="J1701" s="4">
        <f t="shared" si="43"/>
        <v>410</v>
      </c>
      <c r="K1701" s="4" t="s">
        <v>2789</v>
      </c>
    </row>
    <row r="1702" spans="1:11" s="4" customFormat="1">
      <c r="A1702" s="4">
        <v>112343</v>
      </c>
      <c r="B1702" s="4">
        <v>1</v>
      </c>
      <c r="C1702" s="4">
        <v>1</v>
      </c>
      <c r="D1702" s="4">
        <v>0</v>
      </c>
      <c r="E1702" s="4">
        <v>0</v>
      </c>
      <c r="F1702" s="4">
        <v>1</v>
      </c>
      <c r="G1702" s="4">
        <v>111003</v>
      </c>
      <c r="H1702" s="4">
        <v>1</v>
      </c>
      <c r="I1702" s="4">
        <f t="shared" si="42"/>
        <v>274</v>
      </c>
      <c r="J1702" s="4">
        <f t="shared" si="43"/>
        <v>412</v>
      </c>
      <c r="K1702" s="4" t="s">
        <v>2790</v>
      </c>
    </row>
    <row r="1703" spans="1:11" s="4" customFormat="1">
      <c r="A1703" s="4">
        <v>112344</v>
      </c>
      <c r="B1703" s="4">
        <v>1</v>
      </c>
      <c r="C1703" s="4">
        <v>1</v>
      </c>
      <c r="D1703" s="4">
        <v>0</v>
      </c>
      <c r="E1703" s="4">
        <v>0</v>
      </c>
      <c r="F1703" s="4">
        <v>1</v>
      </c>
      <c r="G1703" s="4">
        <v>111003</v>
      </c>
      <c r="H1703" s="4">
        <v>1</v>
      </c>
      <c r="I1703" s="4">
        <f t="shared" si="42"/>
        <v>275</v>
      </c>
      <c r="J1703" s="4">
        <f t="shared" si="43"/>
        <v>413</v>
      </c>
      <c r="K1703" s="4" t="s">
        <v>2791</v>
      </c>
    </row>
    <row r="1704" spans="1:11" s="4" customFormat="1">
      <c r="A1704" s="4">
        <v>112345</v>
      </c>
      <c r="B1704" s="4">
        <v>1</v>
      </c>
      <c r="C1704" s="4">
        <v>1</v>
      </c>
      <c r="D1704" s="4">
        <v>0</v>
      </c>
      <c r="E1704" s="4">
        <v>0</v>
      </c>
      <c r="F1704" s="4">
        <v>1</v>
      </c>
      <c r="G1704" s="4">
        <v>111003</v>
      </c>
      <c r="H1704" s="4">
        <v>1</v>
      </c>
      <c r="I1704" s="4">
        <f t="shared" si="42"/>
        <v>276</v>
      </c>
      <c r="J1704" s="4">
        <f t="shared" si="43"/>
        <v>414</v>
      </c>
      <c r="K1704" s="4" t="s">
        <v>2792</v>
      </c>
    </row>
    <row r="1705" spans="1:11" s="4" customFormat="1">
      <c r="A1705" s="4">
        <v>112346</v>
      </c>
      <c r="B1705" s="4">
        <v>1</v>
      </c>
      <c r="C1705" s="4">
        <v>1</v>
      </c>
      <c r="D1705" s="4">
        <v>0</v>
      </c>
      <c r="E1705" s="4">
        <v>0</v>
      </c>
      <c r="F1705" s="4">
        <v>1</v>
      </c>
      <c r="G1705" s="4">
        <v>111003</v>
      </c>
      <c r="H1705" s="4">
        <v>1</v>
      </c>
      <c r="I1705" s="4">
        <f t="shared" si="42"/>
        <v>277</v>
      </c>
      <c r="J1705" s="4">
        <f t="shared" si="43"/>
        <v>415</v>
      </c>
      <c r="K1705" s="4" t="s">
        <v>2793</v>
      </c>
    </row>
    <row r="1706" spans="1:11" s="4" customFormat="1">
      <c r="A1706" s="4">
        <v>112347</v>
      </c>
      <c r="B1706" s="4">
        <v>1</v>
      </c>
      <c r="C1706" s="4">
        <v>1</v>
      </c>
      <c r="D1706" s="4">
        <v>0</v>
      </c>
      <c r="E1706" s="4">
        <v>0</v>
      </c>
      <c r="F1706" s="4">
        <v>1</v>
      </c>
      <c r="G1706" s="4">
        <v>111003</v>
      </c>
      <c r="H1706" s="4">
        <v>1</v>
      </c>
      <c r="I1706" s="4">
        <f t="shared" si="42"/>
        <v>278</v>
      </c>
      <c r="J1706" s="4">
        <f t="shared" si="43"/>
        <v>416</v>
      </c>
      <c r="K1706" s="4" t="s">
        <v>2794</v>
      </c>
    </row>
    <row r="1707" spans="1:11" s="4" customFormat="1">
      <c r="A1707" s="4">
        <v>112348</v>
      </c>
      <c r="B1707" s="4">
        <v>1</v>
      </c>
      <c r="C1707" s="4">
        <v>1</v>
      </c>
      <c r="D1707" s="4">
        <v>0</v>
      </c>
      <c r="E1707" s="4">
        <v>0</v>
      </c>
      <c r="F1707" s="4">
        <v>1</v>
      </c>
      <c r="G1707" s="4">
        <v>111003</v>
      </c>
      <c r="H1707" s="4">
        <v>1</v>
      </c>
      <c r="I1707" s="4">
        <f t="shared" si="42"/>
        <v>278</v>
      </c>
      <c r="J1707" s="4">
        <f t="shared" si="43"/>
        <v>418</v>
      </c>
      <c r="K1707" s="4" t="s">
        <v>2795</v>
      </c>
    </row>
    <row r="1708" spans="1:11" s="4" customFormat="1">
      <c r="A1708" s="4">
        <v>112349</v>
      </c>
      <c r="B1708" s="4">
        <v>1</v>
      </c>
      <c r="C1708" s="4">
        <v>1</v>
      </c>
      <c r="D1708" s="4">
        <v>0</v>
      </c>
      <c r="E1708" s="4">
        <v>0</v>
      </c>
      <c r="F1708" s="4">
        <v>1</v>
      </c>
      <c r="G1708" s="4">
        <v>111003</v>
      </c>
      <c r="H1708" s="4">
        <v>1</v>
      </c>
      <c r="I1708" s="4">
        <f t="shared" si="42"/>
        <v>279</v>
      </c>
      <c r="J1708" s="4">
        <f t="shared" si="43"/>
        <v>419</v>
      </c>
      <c r="K1708" s="4" t="s">
        <v>2796</v>
      </c>
    </row>
    <row r="1709" spans="1:11" s="4" customFormat="1">
      <c r="A1709" s="4">
        <v>112350</v>
      </c>
      <c r="B1709" s="4">
        <v>1</v>
      </c>
      <c r="C1709" s="4">
        <v>1</v>
      </c>
      <c r="D1709" s="4">
        <v>0</v>
      </c>
      <c r="E1709" s="4">
        <v>0</v>
      </c>
      <c r="F1709" s="4">
        <v>1</v>
      </c>
      <c r="G1709" s="4">
        <v>111003</v>
      </c>
      <c r="H1709" s="4">
        <v>1</v>
      </c>
      <c r="I1709" s="4">
        <f t="shared" si="42"/>
        <v>280</v>
      </c>
      <c r="J1709" s="4">
        <f t="shared" si="43"/>
        <v>420</v>
      </c>
      <c r="K1709" s="4" t="s">
        <v>2797</v>
      </c>
    </row>
    <row r="1710" spans="1:11" s="4" customFormat="1">
      <c r="A1710" s="4">
        <v>112351</v>
      </c>
      <c r="B1710" s="4">
        <v>1</v>
      </c>
      <c r="C1710" s="4">
        <v>1</v>
      </c>
      <c r="D1710" s="4">
        <v>0</v>
      </c>
      <c r="E1710" s="4">
        <v>0</v>
      </c>
      <c r="F1710" s="4">
        <v>1</v>
      </c>
      <c r="G1710" s="4">
        <v>111003</v>
      </c>
      <c r="H1710" s="4">
        <v>1</v>
      </c>
      <c r="I1710" s="4">
        <f t="shared" si="42"/>
        <v>281</v>
      </c>
      <c r="J1710" s="4">
        <f t="shared" si="43"/>
        <v>421</v>
      </c>
      <c r="K1710" s="4" t="s">
        <v>2798</v>
      </c>
    </row>
    <row r="1711" spans="1:11" s="4" customFormat="1">
      <c r="A1711" s="4">
        <v>112352</v>
      </c>
      <c r="B1711" s="4">
        <v>1</v>
      </c>
      <c r="C1711" s="4">
        <v>1</v>
      </c>
      <c r="D1711" s="4">
        <v>0</v>
      </c>
      <c r="E1711" s="4">
        <v>0</v>
      </c>
      <c r="F1711" s="4">
        <v>1</v>
      </c>
      <c r="G1711" s="4">
        <v>111003</v>
      </c>
      <c r="H1711" s="4">
        <v>1</v>
      </c>
      <c r="I1711" s="4">
        <f t="shared" si="42"/>
        <v>282</v>
      </c>
      <c r="J1711" s="4">
        <f t="shared" si="43"/>
        <v>422</v>
      </c>
      <c r="K1711" s="4" t="s">
        <v>2799</v>
      </c>
    </row>
    <row r="1712" spans="1:11" s="4" customFormat="1">
      <c r="A1712" s="4">
        <v>112353</v>
      </c>
      <c r="B1712" s="4">
        <v>1</v>
      </c>
      <c r="C1712" s="4">
        <v>1</v>
      </c>
      <c r="D1712" s="4">
        <v>0</v>
      </c>
      <c r="E1712" s="4">
        <v>0</v>
      </c>
      <c r="F1712" s="4">
        <v>1</v>
      </c>
      <c r="G1712" s="4">
        <v>111003</v>
      </c>
      <c r="H1712" s="4">
        <v>1</v>
      </c>
      <c r="I1712" s="4">
        <f t="shared" si="42"/>
        <v>282</v>
      </c>
      <c r="J1712" s="4">
        <f t="shared" si="43"/>
        <v>424</v>
      </c>
      <c r="K1712" s="4" t="s">
        <v>2800</v>
      </c>
    </row>
    <row r="1713" spans="1:11" s="4" customFormat="1">
      <c r="A1713" s="4">
        <v>112354</v>
      </c>
      <c r="B1713" s="4">
        <v>1</v>
      </c>
      <c r="C1713" s="4">
        <v>1</v>
      </c>
      <c r="D1713" s="4">
        <v>0</v>
      </c>
      <c r="E1713" s="4">
        <v>0</v>
      </c>
      <c r="F1713" s="4">
        <v>1</v>
      </c>
      <c r="G1713" s="4">
        <v>111003</v>
      </c>
      <c r="H1713" s="4">
        <v>1</v>
      </c>
      <c r="I1713" s="4">
        <f t="shared" si="42"/>
        <v>283</v>
      </c>
      <c r="J1713" s="4">
        <f t="shared" si="43"/>
        <v>425</v>
      </c>
      <c r="K1713" s="4" t="s">
        <v>2801</v>
      </c>
    </row>
    <row r="1714" spans="1:11" s="4" customFormat="1">
      <c r="A1714" s="4">
        <v>112355</v>
      </c>
      <c r="B1714" s="4">
        <v>1</v>
      </c>
      <c r="C1714" s="4">
        <v>1</v>
      </c>
      <c r="D1714" s="4">
        <v>0</v>
      </c>
      <c r="E1714" s="4">
        <v>0</v>
      </c>
      <c r="F1714" s="4">
        <v>1</v>
      </c>
      <c r="G1714" s="4">
        <v>111003</v>
      </c>
      <c r="H1714" s="4">
        <v>1</v>
      </c>
      <c r="I1714" s="4">
        <f t="shared" si="42"/>
        <v>284</v>
      </c>
      <c r="J1714" s="4">
        <f t="shared" si="43"/>
        <v>426</v>
      </c>
      <c r="K1714" s="4" t="s">
        <v>2802</v>
      </c>
    </row>
    <row r="1715" spans="1:11" s="4" customFormat="1">
      <c r="A1715" s="4">
        <v>112356</v>
      </c>
      <c r="B1715" s="4">
        <v>1</v>
      </c>
      <c r="C1715" s="4">
        <v>1</v>
      </c>
      <c r="D1715" s="4">
        <v>0</v>
      </c>
      <c r="E1715" s="4">
        <v>0</v>
      </c>
      <c r="F1715" s="4">
        <v>1</v>
      </c>
      <c r="G1715" s="4">
        <v>111003</v>
      </c>
      <c r="H1715" s="4">
        <v>1</v>
      </c>
      <c r="I1715" s="4">
        <f t="shared" si="42"/>
        <v>285</v>
      </c>
      <c r="J1715" s="4">
        <f t="shared" si="43"/>
        <v>427</v>
      </c>
      <c r="K1715" s="4" t="s">
        <v>2803</v>
      </c>
    </row>
    <row r="1716" spans="1:11" s="4" customFormat="1">
      <c r="A1716" s="4">
        <v>112357</v>
      </c>
      <c r="B1716" s="4">
        <v>1</v>
      </c>
      <c r="C1716" s="4">
        <v>1</v>
      </c>
      <c r="D1716" s="4">
        <v>0</v>
      </c>
      <c r="E1716" s="4">
        <v>0</v>
      </c>
      <c r="F1716" s="4">
        <v>1</v>
      </c>
      <c r="G1716" s="4">
        <v>111003</v>
      </c>
      <c r="H1716" s="4">
        <v>1</v>
      </c>
      <c r="I1716" s="4">
        <f t="shared" si="42"/>
        <v>286</v>
      </c>
      <c r="J1716" s="4">
        <f t="shared" si="43"/>
        <v>428</v>
      </c>
      <c r="K1716" s="4" t="s">
        <v>2804</v>
      </c>
    </row>
    <row r="1717" spans="1:11" s="4" customFormat="1">
      <c r="A1717" s="4">
        <v>112358</v>
      </c>
      <c r="B1717" s="4">
        <v>1</v>
      </c>
      <c r="C1717" s="4">
        <v>1</v>
      </c>
      <c r="D1717" s="4">
        <v>0</v>
      </c>
      <c r="E1717" s="4">
        <v>0</v>
      </c>
      <c r="F1717" s="4">
        <v>1</v>
      </c>
      <c r="G1717" s="4">
        <v>111003</v>
      </c>
      <c r="H1717" s="4">
        <v>1</v>
      </c>
      <c r="I1717" s="4">
        <f t="shared" si="42"/>
        <v>286</v>
      </c>
      <c r="J1717" s="4">
        <f t="shared" si="43"/>
        <v>430</v>
      </c>
      <c r="K1717" s="4" t="s">
        <v>2805</v>
      </c>
    </row>
    <row r="1718" spans="1:11" s="4" customFormat="1">
      <c r="A1718" s="4">
        <v>112359</v>
      </c>
      <c r="B1718" s="4">
        <v>1</v>
      </c>
      <c r="C1718" s="4">
        <v>1</v>
      </c>
      <c r="D1718" s="4">
        <v>0</v>
      </c>
      <c r="E1718" s="4">
        <v>0</v>
      </c>
      <c r="F1718" s="4">
        <v>1</v>
      </c>
      <c r="G1718" s="4">
        <v>111003</v>
      </c>
      <c r="H1718" s="4">
        <v>1</v>
      </c>
      <c r="I1718" s="4">
        <f t="shared" si="42"/>
        <v>287</v>
      </c>
      <c r="J1718" s="4">
        <f t="shared" si="43"/>
        <v>431</v>
      </c>
      <c r="K1718" s="4" t="s">
        <v>2806</v>
      </c>
    </row>
    <row r="1719" spans="1:11" s="4" customFormat="1">
      <c r="A1719" s="4">
        <v>112360</v>
      </c>
      <c r="B1719" s="4">
        <v>1</v>
      </c>
      <c r="C1719" s="4">
        <v>1</v>
      </c>
      <c r="D1719" s="4">
        <v>0</v>
      </c>
      <c r="E1719" s="4">
        <v>0</v>
      </c>
      <c r="F1719" s="4">
        <v>1</v>
      </c>
      <c r="G1719" s="4">
        <v>111003</v>
      </c>
      <c r="H1719" s="4">
        <v>1</v>
      </c>
      <c r="I1719" s="4">
        <f t="shared" si="42"/>
        <v>288</v>
      </c>
      <c r="J1719" s="4">
        <f t="shared" si="43"/>
        <v>432</v>
      </c>
      <c r="K1719" s="4" t="s">
        <v>2807</v>
      </c>
    </row>
    <row r="1720" spans="1:11" s="4" customFormat="1">
      <c r="A1720" s="4">
        <v>112361</v>
      </c>
      <c r="B1720" s="4">
        <v>1</v>
      </c>
      <c r="C1720" s="4">
        <v>1</v>
      </c>
      <c r="D1720" s="4">
        <v>0</v>
      </c>
      <c r="E1720" s="4">
        <v>0</v>
      </c>
      <c r="F1720" s="4">
        <v>1</v>
      </c>
      <c r="G1720" s="4">
        <v>111003</v>
      </c>
      <c r="H1720" s="4">
        <v>1</v>
      </c>
      <c r="I1720" s="4">
        <f t="shared" si="42"/>
        <v>289</v>
      </c>
      <c r="J1720" s="4">
        <f t="shared" si="43"/>
        <v>433</v>
      </c>
      <c r="K1720" s="4" t="s">
        <v>2808</v>
      </c>
    </row>
    <row r="1721" spans="1:11" s="4" customFormat="1">
      <c r="A1721" s="4">
        <v>112362</v>
      </c>
      <c r="B1721" s="4">
        <v>1</v>
      </c>
      <c r="C1721" s="4">
        <v>1</v>
      </c>
      <c r="D1721" s="4">
        <v>0</v>
      </c>
      <c r="E1721" s="4">
        <v>0</v>
      </c>
      <c r="F1721" s="4">
        <v>1</v>
      </c>
      <c r="G1721" s="4">
        <v>111003</v>
      </c>
      <c r="H1721" s="4">
        <v>1</v>
      </c>
      <c r="I1721" s="4">
        <f t="shared" si="42"/>
        <v>290</v>
      </c>
      <c r="J1721" s="4">
        <f t="shared" si="43"/>
        <v>434</v>
      </c>
      <c r="K1721" s="4" t="s">
        <v>2809</v>
      </c>
    </row>
    <row r="1722" spans="1:11" s="4" customFormat="1">
      <c r="A1722" s="4">
        <v>112363</v>
      </c>
      <c r="B1722" s="4">
        <v>1</v>
      </c>
      <c r="C1722" s="4">
        <v>1</v>
      </c>
      <c r="D1722" s="4">
        <v>0</v>
      </c>
      <c r="E1722" s="4">
        <v>0</v>
      </c>
      <c r="F1722" s="4">
        <v>1</v>
      </c>
      <c r="G1722" s="4">
        <v>111003</v>
      </c>
      <c r="H1722" s="4">
        <v>1</v>
      </c>
      <c r="I1722" s="4">
        <f t="shared" si="42"/>
        <v>290</v>
      </c>
      <c r="J1722" s="4">
        <f t="shared" si="43"/>
        <v>436</v>
      </c>
      <c r="K1722" s="4" t="s">
        <v>2810</v>
      </c>
    </row>
    <row r="1723" spans="1:11" s="4" customFormat="1">
      <c r="A1723" s="4">
        <v>112364</v>
      </c>
      <c r="B1723" s="4">
        <v>1</v>
      </c>
      <c r="C1723" s="4">
        <v>1</v>
      </c>
      <c r="D1723" s="4">
        <v>0</v>
      </c>
      <c r="E1723" s="4">
        <v>0</v>
      </c>
      <c r="F1723" s="4">
        <v>1</v>
      </c>
      <c r="G1723" s="4">
        <v>111003</v>
      </c>
      <c r="H1723" s="4">
        <v>1</v>
      </c>
      <c r="I1723" s="4">
        <f t="shared" si="42"/>
        <v>291</v>
      </c>
      <c r="J1723" s="4">
        <f t="shared" si="43"/>
        <v>437</v>
      </c>
      <c r="K1723" s="4" t="s">
        <v>2811</v>
      </c>
    </row>
    <row r="1724" spans="1:11" s="4" customFormat="1">
      <c r="A1724" s="4">
        <v>112365</v>
      </c>
      <c r="B1724" s="4">
        <v>1</v>
      </c>
      <c r="C1724" s="4">
        <v>1</v>
      </c>
      <c r="D1724" s="4">
        <v>0</v>
      </c>
      <c r="E1724" s="4">
        <v>0</v>
      </c>
      <c r="F1724" s="4">
        <v>1</v>
      </c>
      <c r="G1724" s="4">
        <v>111003</v>
      </c>
      <c r="H1724" s="4">
        <v>1</v>
      </c>
      <c r="I1724" s="4">
        <f t="shared" si="42"/>
        <v>292</v>
      </c>
      <c r="J1724" s="4">
        <f t="shared" si="43"/>
        <v>438</v>
      </c>
      <c r="K1724" s="4" t="s">
        <v>2812</v>
      </c>
    </row>
    <row r="1725" spans="1:11" s="4" customFormat="1">
      <c r="A1725" s="4">
        <v>112366</v>
      </c>
      <c r="B1725" s="4">
        <v>1</v>
      </c>
      <c r="C1725" s="4">
        <v>1</v>
      </c>
      <c r="D1725" s="4">
        <v>0</v>
      </c>
      <c r="E1725" s="4">
        <v>0</v>
      </c>
      <c r="F1725" s="4">
        <v>1</v>
      </c>
      <c r="G1725" s="4">
        <v>111003</v>
      </c>
      <c r="H1725" s="4">
        <v>1</v>
      </c>
      <c r="I1725" s="4">
        <f t="shared" si="42"/>
        <v>293</v>
      </c>
      <c r="J1725" s="4">
        <f t="shared" si="43"/>
        <v>439</v>
      </c>
      <c r="K1725" s="4" t="s">
        <v>2813</v>
      </c>
    </row>
    <row r="1726" spans="1:11" s="4" customFormat="1">
      <c r="A1726" s="4">
        <v>112367</v>
      </c>
      <c r="B1726" s="4">
        <v>1</v>
      </c>
      <c r="C1726" s="4">
        <v>1</v>
      </c>
      <c r="D1726" s="4">
        <v>0</v>
      </c>
      <c r="E1726" s="4">
        <v>0</v>
      </c>
      <c r="F1726" s="4">
        <v>1</v>
      </c>
      <c r="G1726" s="4">
        <v>111003</v>
      </c>
      <c r="H1726" s="4">
        <v>1</v>
      </c>
      <c r="I1726" s="4">
        <f t="shared" si="42"/>
        <v>294</v>
      </c>
      <c r="J1726" s="4">
        <f t="shared" si="43"/>
        <v>440</v>
      </c>
      <c r="K1726" s="4" t="s">
        <v>2814</v>
      </c>
    </row>
    <row r="1727" spans="1:11" s="4" customFormat="1">
      <c r="A1727" s="4">
        <v>112368</v>
      </c>
      <c r="B1727" s="4">
        <v>1</v>
      </c>
      <c r="C1727" s="4">
        <v>1</v>
      </c>
      <c r="D1727" s="4">
        <v>0</v>
      </c>
      <c r="E1727" s="4">
        <v>0</v>
      </c>
      <c r="F1727" s="4">
        <v>1</v>
      </c>
      <c r="G1727" s="4">
        <v>111003</v>
      </c>
      <c r="H1727" s="4">
        <v>1</v>
      </c>
      <c r="I1727" s="4">
        <f t="shared" si="42"/>
        <v>294</v>
      </c>
      <c r="J1727" s="4">
        <f t="shared" si="43"/>
        <v>442</v>
      </c>
      <c r="K1727" s="4" t="s">
        <v>2815</v>
      </c>
    </row>
    <row r="1728" spans="1:11" s="4" customFormat="1">
      <c r="A1728" s="4">
        <v>112369</v>
      </c>
      <c r="B1728" s="4">
        <v>1</v>
      </c>
      <c r="C1728" s="4">
        <v>1</v>
      </c>
      <c r="D1728" s="4">
        <v>0</v>
      </c>
      <c r="E1728" s="4">
        <v>0</v>
      </c>
      <c r="F1728" s="4">
        <v>1</v>
      </c>
      <c r="G1728" s="4">
        <v>111003</v>
      </c>
      <c r="H1728" s="4">
        <v>1</v>
      </c>
      <c r="I1728" s="4">
        <f t="shared" si="42"/>
        <v>295</v>
      </c>
      <c r="J1728" s="4">
        <f t="shared" si="43"/>
        <v>443</v>
      </c>
      <c r="K1728" s="4" t="s">
        <v>2816</v>
      </c>
    </row>
    <row r="1729" spans="1:11" s="4" customFormat="1">
      <c r="A1729" s="4">
        <v>112370</v>
      </c>
      <c r="B1729" s="4">
        <v>1</v>
      </c>
      <c r="C1729" s="4">
        <v>1</v>
      </c>
      <c r="D1729" s="4">
        <v>0</v>
      </c>
      <c r="E1729" s="4">
        <v>0</v>
      </c>
      <c r="F1729" s="4">
        <v>1</v>
      </c>
      <c r="G1729" s="4">
        <v>111003</v>
      </c>
      <c r="H1729" s="4">
        <v>1</v>
      </c>
      <c r="I1729" s="4">
        <f t="shared" si="42"/>
        <v>296</v>
      </c>
      <c r="J1729" s="4">
        <f t="shared" si="43"/>
        <v>444</v>
      </c>
      <c r="K1729" s="4" t="s">
        <v>2817</v>
      </c>
    </row>
    <row r="1730" spans="1:11" s="4" customFormat="1">
      <c r="A1730" s="4">
        <v>112371</v>
      </c>
      <c r="B1730" s="4">
        <v>1</v>
      </c>
      <c r="C1730" s="4">
        <v>1</v>
      </c>
      <c r="D1730" s="4">
        <v>0</v>
      </c>
      <c r="E1730" s="4">
        <v>0</v>
      </c>
      <c r="F1730" s="4">
        <v>1</v>
      </c>
      <c r="G1730" s="4">
        <v>111003</v>
      </c>
      <c r="H1730" s="4">
        <v>1</v>
      </c>
      <c r="I1730" s="4">
        <f t="shared" si="42"/>
        <v>297</v>
      </c>
      <c r="J1730" s="4">
        <f t="shared" si="43"/>
        <v>445</v>
      </c>
      <c r="K1730" s="4" t="s">
        <v>2818</v>
      </c>
    </row>
    <row r="1731" spans="1:11" s="4" customFormat="1">
      <c r="A1731" s="4">
        <v>112372</v>
      </c>
      <c r="B1731" s="4">
        <v>1</v>
      </c>
      <c r="C1731" s="4">
        <v>1</v>
      </c>
      <c r="D1731" s="4">
        <v>0</v>
      </c>
      <c r="E1731" s="4">
        <v>0</v>
      </c>
      <c r="F1731" s="4">
        <v>1</v>
      </c>
      <c r="G1731" s="4">
        <v>111003</v>
      </c>
      <c r="H1731" s="4">
        <v>1</v>
      </c>
      <c r="I1731" s="4">
        <f t="shared" si="42"/>
        <v>298</v>
      </c>
      <c r="J1731" s="4">
        <f t="shared" si="43"/>
        <v>446</v>
      </c>
      <c r="K1731" s="4" t="s">
        <v>2819</v>
      </c>
    </row>
    <row r="1732" spans="1:11" s="4" customFormat="1">
      <c r="A1732" s="4">
        <v>112373</v>
      </c>
      <c r="B1732" s="4">
        <v>1</v>
      </c>
      <c r="C1732" s="4">
        <v>1</v>
      </c>
      <c r="D1732" s="4">
        <v>0</v>
      </c>
      <c r="E1732" s="4">
        <v>0</v>
      </c>
      <c r="F1732" s="4">
        <v>1</v>
      </c>
      <c r="G1732" s="4">
        <v>111003</v>
      </c>
      <c r="H1732" s="4">
        <v>1</v>
      </c>
      <c r="I1732" s="4">
        <f t="shared" si="42"/>
        <v>298</v>
      </c>
      <c r="J1732" s="4">
        <f t="shared" si="43"/>
        <v>448</v>
      </c>
      <c r="K1732" s="4" t="s">
        <v>2820</v>
      </c>
    </row>
    <row r="1733" spans="1:11" s="4" customFormat="1">
      <c r="A1733" s="4">
        <v>112374</v>
      </c>
      <c r="B1733" s="4">
        <v>1</v>
      </c>
      <c r="C1733" s="4">
        <v>1</v>
      </c>
      <c r="D1733" s="4">
        <v>0</v>
      </c>
      <c r="E1733" s="4">
        <v>0</v>
      </c>
      <c r="F1733" s="4">
        <v>1</v>
      </c>
      <c r="G1733" s="4">
        <v>111003</v>
      </c>
      <c r="H1733" s="4">
        <v>1</v>
      </c>
      <c r="I1733" s="4">
        <f t="shared" si="42"/>
        <v>299</v>
      </c>
      <c r="J1733" s="4">
        <f t="shared" si="43"/>
        <v>449</v>
      </c>
      <c r="K1733" s="4" t="s">
        <v>2821</v>
      </c>
    </row>
    <row r="1734" spans="1:11" s="4" customFormat="1">
      <c r="A1734" s="4">
        <v>112375</v>
      </c>
      <c r="B1734" s="4">
        <v>1</v>
      </c>
      <c r="C1734" s="4">
        <v>1</v>
      </c>
      <c r="D1734" s="4">
        <v>0</v>
      </c>
      <c r="E1734" s="4">
        <v>0</v>
      </c>
      <c r="F1734" s="4">
        <v>1</v>
      </c>
      <c r="G1734" s="4">
        <v>111003</v>
      </c>
      <c r="H1734" s="4">
        <v>1</v>
      </c>
      <c r="I1734" s="4">
        <f t="shared" si="42"/>
        <v>300</v>
      </c>
      <c r="J1734" s="4">
        <f t="shared" si="43"/>
        <v>450</v>
      </c>
      <c r="K1734" s="4" t="s">
        <v>2822</v>
      </c>
    </row>
    <row r="1735" spans="1:11" s="4" customFormat="1">
      <c r="A1735" s="4">
        <v>112376</v>
      </c>
      <c r="B1735" s="4">
        <v>1</v>
      </c>
      <c r="C1735" s="4">
        <v>1</v>
      </c>
      <c r="D1735" s="4">
        <v>0</v>
      </c>
      <c r="E1735" s="4">
        <v>0</v>
      </c>
      <c r="F1735" s="4">
        <v>1</v>
      </c>
      <c r="G1735" s="4">
        <v>111003</v>
      </c>
      <c r="H1735" s="4">
        <v>1</v>
      </c>
      <c r="I1735" s="4">
        <f t="shared" si="42"/>
        <v>301</v>
      </c>
      <c r="J1735" s="4">
        <f t="shared" si="43"/>
        <v>451</v>
      </c>
      <c r="K1735" s="4" t="s">
        <v>2823</v>
      </c>
    </row>
    <row r="1736" spans="1:11" s="4" customFormat="1">
      <c r="A1736" s="4">
        <v>112377</v>
      </c>
      <c r="B1736" s="4">
        <v>1</v>
      </c>
      <c r="C1736" s="4">
        <v>1</v>
      </c>
      <c r="D1736" s="4">
        <v>0</v>
      </c>
      <c r="E1736" s="4">
        <v>0</v>
      </c>
      <c r="F1736" s="4">
        <v>1</v>
      </c>
      <c r="G1736" s="4">
        <v>111003</v>
      </c>
      <c r="H1736" s="4">
        <v>1</v>
      </c>
      <c r="I1736" s="4">
        <f t="shared" si="42"/>
        <v>302</v>
      </c>
      <c r="J1736" s="4">
        <f t="shared" si="43"/>
        <v>452</v>
      </c>
      <c r="K1736" s="4" t="s">
        <v>2824</v>
      </c>
    </row>
    <row r="1737" spans="1:11" s="4" customFormat="1">
      <c r="A1737" s="4">
        <v>112378</v>
      </c>
      <c r="B1737" s="4">
        <v>1</v>
      </c>
      <c r="C1737" s="4">
        <v>1</v>
      </c>
      <c r="D1737" s="4">
        <v>0</v>
      </c>
      <c r="E1737" s="4">
        <v>0</v>
      </c>
      <c r="F1737" s="4">
        <v>1</v>
      </c>
      <c r="G1737" s="4">
        <v>111003</v>
      </c>
      <c r="H1737" s="4">
        <v>1</v>
      </c>
      <c r="I1737" s="4">
        <f t="shared" si="42"/>
        <v>302</v>
      </c>
      <c r="J1737" s="4">
        <f t="shared" si="43"/>
        <v>454</v>
      </c>
      <c r="K1737" s="4" t="s">
        <v>2825</v>
      </c>
    </row>
    <row r="1738" spans="1:11" s="4" customFormat="1">
      <c r="A1738" s="4">
        <v>112379</v>
      </c>
      <c r="B1738" s="4">
        <v>1</v>
      </c>
      <c r="C1738" s="4">
        <v>1</v>
      </c>
      <c r="D1738" s="4">
        <v>0</v>
      </c>
      <c r="E1738" s="4">
        <v>0</v>
      </c>
      <c r="F1738" s="4">
        <v>1</v>
      </c>
      <c r="G1738" s="4">
        <v>111003</v>
      </c>
      <c r="H1738" s="4">
        <v>1</v>
      </c>
      <c r="I1738" s="4">
        <f t="shared" si="42"/>
        <v>303</v>
      </c>
      <c r="J1738" s="4">
        <f t="shared" si="43"/>
        <v>455</v>
      </c>
      <c r="K1738" s="4" t="s">
        <v>2826</v>
      </c>
    </row>
    <row r="1739" spans="1:11" s="4" customFormat="1">
      <c r="A1739" s="4">
        <v>112380</v>
      </c>
      <c r="B1739" s="4">
        <v>1</v>
      </c>
      <c r="C1739" s="4">
        <v>1</v>
      </c>
      <c r="D1739" s="4">
        <v>0</v>
      </c>
      <c r="E1739" s="4">
        <v>0</v>
      </c>
      <c r="F1739" s="4">
        <v>1</v>
      </c>
      <c r="G1739" s="4">
        <v>111003</v>
      </c>
      <c r="H1739" s="4">
        <v>1</v>
      </c>
      <c r="I1739" s="4">
        <f t="shared" si="42"/>
        <v>304</v>
      </c>
      <c r="J1739" s="4">
        <f t="shared" si="43"/>
        <v>456</v>
      </c>
      <c r="K1739" s="4" t="s">
        <v>2827</v>
      </c>
    </row>
    <row r="1740" spans="1:11" s="4" customFormat="1">
      <c r="A1740" s="4">
        <v>112381</v>
      </c>
      <c r="B1740" s="4">
        <v>1</v>
      </c>
      <c r="C1740" s="4">
        <v>1</v>
      </c>
      <c r="D1740" s="4">
        <v>0</v>
      </c>
      <c r="E1740" s="4">
        <v>0</v>
      </c>
      <c r="F1740" s="4">
        <v>1</v>
      </c>
      <c r="G1740" s="4">
        <v>111003</v>
      </c>
      <c r="H1740" s="4">
        <v>1</v>
      </c>
      <c r="I1740" s="4">
        <f t="shared" si="42"/>
        <v>305</v>
      </c>
      <c r="J1740" s="4">
        <f t="shared" si="43"/>
        <v>457</v>
      </c>
      <c r="K1740" s="4" t="s">
        <v>2828</v>
      </c>
    </row>
    <row r="1741" spans="1:11" s="4" customFormat="1">
      <c r="A1741" s="4">
        <v>112382</v>
      </c>
      <c r="B1741" s="4">
        <v>1</v>
      </c>
      <c r="C1741" s="4">
        <v>1</v>
      </c>
      <c r="D1741" s="4">
        <v>0</v>
      </c>
      <c r="E1741" s="4">
        <v>0</v>
      </c>
      <c r="F1741" s="4">
        <v>1</v>
      </c>
      <c r="G1741" s="4">
        <v>111003</v>
      </c>
      <c r="H1741" s="4">
        <v>1</v>
      </c>
      <c r="I1741" s="4">
        <f t="shared" si="42"/>
        <v>306</v>
      </c>
      <c r="J1741" s="4">
        <f t="shared" si="43"/>
        <v>458</v>
      </c>
      <c r="K1741" s="4" t="s">
        <v>2829</v>
      </c>
    </row>
    <row r="1742" spans="1:11" s="4" customFormat="1">
      <c r="A1742" s="4">
        <v>112383</v>
      </c>
      <c r="B1742" s="4">
        <v>1</v>
      </c>
      <c r="C1742" s="4">
        <v>1</v>
      </c>
      <c r="D1742" s="4">
        <v>0</v>
      </c>
      <c r="E1742" s="4">
        <v>0</v>
      </c>
      <c r="F1742" s="4">
        <v>1</v>
      </c>
      <c r="G1742" s="4">
        <v>111003</v>
      </c>
      <c r="H1742" s="4">
        <v>1</v>
      </c>
      <c r="I1742" s="4">
        <f t="shared" si="42"/>
        <v>306</v>
      </c>
      <c r="J1742" s="4">
        <f t="shared" si="43"/>
        <v>460</v>
      </c>
      <c r="K1742" s="4" t="s">
        <v>2830</v>
      </c>
    </row>
    <row r="1743" spans="1:11" s="4" customFormat="1">
      <c r="A1743" s="4">
        <v>112384</v>
      </c>
      <c r="B1743" s="4">
        <v>1</v>
      </c>
      <c r="C1743" s="4">
        <v>1</v>
      </c>
      <c r="D1743" s="4">
        <v>0</v>
      </c>
      <c r="E1743" s="4">
        <v>0</v>
      </c>
      <c r="F1743" s="4">
        <v>1</v>
      </c>
      <c r="G1743" s="4">
        <v>111003</v>
      </c>
      <c r="H1743" s="4">
        <v>1</v>
      </c>
      <c r="I1743" s="4">
        <f t="shared" si="42"/>
        <v>307</v>
      </c>
      <c r="J1743" s="4">
        <f t="shared" si="43"/>
        <v>461</v>
      </c>
      <c r="K1743" s="4" t="s">
        <v>2831</v>
      </c>
    </row>
    <row r="1744" spans="1:11" s="4" customFormat="1">
      <c r="A1744" s="4">
        <v>112385</v>
      </c>
      <c r="B1744" s="4">
        <v>1</v>
      </c>
      <c r="C1744" s="4">
        <v>1</v>
      </c>
      <c r="D1744" s="4">
        <v>0</v>
      </c>
      <c r="E1744" s="4">
        <v>0</v>
      </c>
      <c r="F1744" s="4">
        <v>1</v>
      </c>
      <c r="G1744" s="4">
        <v>111003</v>
      </c>
      <c r="H1744" s="4">
        <v>1</v>
      </c>
      <c r="I1744" s="4">
        <f t="shared" si="42"/>
        <v>308</v>
      </c>
      <c r="J1744" s="4">
        <f t="shared" si="43"/>
        <v>462</v>
      </c>
      <c r="K1744" s="4" t="s">
        <v>2832</v>
      </c>
    </row>
    <row r="1745" spans="1:11" s="4" customFormat="1">
      <c r="A1745" s="4">
        <v>112386</v>
      </c>
      <c r="B1745" s="4">
        <v>1</v>
      </c>
      <c r="C1745" s="4">
        <v>1</v>
      </c>
      <c r="D1745" s="4">
        <v>0</v>
      </c>
      <c r="E1745" s="4">
        <v>0</v>
      </c>
      <c r="F1745" s="4">
        <v>1</v>
      </c>
      <c r="G1745" s="4">
        <v>111003</v>
      </c>
      <c r="H1745" s="4">
        <v>1</v>
      </c>
      <c r="I1745" s="4">
        <f t="shared" ref="I1745:I1808" si="44">ROUND(RIGHT(A1745,3)*80%,0)</f>
        <v>309</v>
      </c>
      <c r="J1745" s="4">
        <f t="shared" ref="J1745:J1808" si="45">ROUND(RIGHT(A1745,3)*120%,0)</f>
        <v>463</v>
      </c>
      <c r="K1745" s="4" t="s">
        <v>2833</v>
      </c>
    </row>
    <row r="1746" spans="1:11" s="4" customFormat="1">
      <c r="A1746" s="4">
        <v>112387</v>
      </c>
      <c r="B1746" s="4">
        <v>1</v>
      </c>
      <c r="C1746" s="4">
        <v>1</v>
      </c>
      <c r="D1746" s="4">
        <v>0</v>
      </c>
      <c r="E1746" s="4">
        <v>0</v>
      </c>
      <c r="F1746" s="4">
        <v>1</v>
      </c>
      <c r="G1746" s="4">
        <v>111003</v>
      </c>
      <c r="H1746" s="4">
        <v>1</v>
      </c>
      <c r="I1746" s="4">
        <f t="shared" si="44"/>
        <v>310</v>
      </c>
      <c r="J1746" s="4">
        <f t="shared" si="45"/>
        <v>464</v>
      </c>
      <c r="K1746" s="4" t="s">
        <v>2834</v>
      </c>
    </row>
    <row r="1747" spans="1:11" s="4" customFormat="1">
      <c r="A1747" s="4">
        <v>112388</v>
      </c>
      <c r="B1747" s="4">
        <v>1</v>
      </c>
      <c r="C1747" s="4">
        <v>1</v>
      </c>
      <c r="D1747" s="4">
        <v>0</v>
      </c>
      <c r="E1747" s="4">
        <v>0</v>
      </c>
      <c r="F1747" s="4">
        <v>1</v>
      </c>
      <c r="G1747" s="4">
        <v>111003</v>
      </c>
      <c r="H1747" s="4">
        <v>1</v>
      </c>
      <c r="I1747" s="4">
        <f t="shared" si="44"/>
        <v>310</v>
      </c>
      <c r="J1747" s="4">
        <f t="shared" si="45"/>
        <v>466</v>
      </c>
      <c r="K1747" s="4" t="s">
        <v>2835</v>
      </c>
    </row>
    <row r="1748" spans="1:11" s="4" customFormat="1">
      <c r="A1748" s="4">
        <v>112389</v>
      </c>
      <c r="B1748" s="4">
        <v>1</v>
      </c>
      <c r="C1748" s="4">
        <v>1</v>
      </c>
      <c r="D1748" s="4">
        <v>0</v>
      </c>
      <c r="E1748" s="4">
        <v>0</v>
      </c>
      <c r="F1748" s="4">
        <v>1</v>
      </c>
      <c r="G1748" s="4">
        <v>111003</v>
      </c>
      <c r="H1748" s="4">
        <v>1</v>
      </c>
      <c r="I1748" s="4">
        <f t="shared" si="44"/>
        <v>311</v>
      </c>
      <c r="J1748" s="4">
        <f t="shared" si="45"/>
        <v>467</v>
      </c>
      <c r="K1748" s="4" t="s">
        <v>2836</v>
      </c>
    </row>
    <row r="1749" spans="1:11" s="4" customFormat="1">
      <c r="A1749" s="4">
        <v>112390</v>
      </c>
      <c r="B1749" s="4">
        <v>1</v>
      </c>
      <c r="C1749" s="4">
        <v>1</v>
      </c>
      <c r="D1749" s="4">
        <v>0</v>
      </c>
      <c r="E1749" s="4">
        <v>0</v>
      </c>
      <c r="F1749" s="4">
        <v>1</v>
      </c>
      <c r="G1749" s="4">
        <v>111003</v>
      </c>
      <c r="H1749" s="4">
        <v>1</v>
      </c>
      <c r="I1749" s="4">
        <f t="shared" si="44"/>
        <v>312</v>
      </c>
      <c r="J1749" s="4">
        <f t="shared" si="45"/>
        <v>468</v>
      </c>
      <c r="K1749" s="4" t="s">
        <v>2837</v>
      </c>
    </row>
    <row r="1750" spans="1:11" s="4" customFormat="1">
      <c r="A1750" s="4">
        <v>112391</v>
      </c>
      <c r="B1750" s="4">
        <v>1</v>
      </c>
      <c r="C1750" s="4">
        <v>1</v>
      </c>
      <c r="D1750" s="4">
        <v>0</v>
      </c>
      <c r="E1750" s="4">
        <v>0</v>
      </c>
      <c r="F1750" s="4">
        <v>1</v>
      </c>
      <c r="G1750" s="4">
        <v>111003</v>
      </c>
      <c r="H1750" s="4">
        <v>1</v>
      </c>
      <c r="I1750" s="4">
        <f t="shared" si="44"/>
        <v>313</v>
      </c>
      <c r="J1750" s="4">
        <f t="shared" si="45"/>
        <v>469</v>
      </c>
      <c r="K1750" s="4" t="s">
        <v>2838</v>
      </c>
    </row>
    <row r="1751" spans="1:11" s="4" customFormat="1">
      <c r="A1751" s="4">
        <v>112392</v>
      </c>
      <c r="B1751" s="4">
        <v>1</v>
      </c>
      <c r="C1751" s="4">
        <v>1</v>
      </c>
      <c r="D1751" s="4">
        <v>0</v>
      </c>
      <c r="E1751" s="4">
        <v>0</v>
      </c>
      <c r="F1751" s="4">
        <v>1</v>
      </c>
      <c r="G1751" s="4">
        <v>111003</v>
      </c>
      <c r="H1751" s="4">
        <v>1</v>
      </c>
      <c r="I1751" s="4">
        <f t="shared" si="44"/>
        <v>314</v>
      </c>
      <c r="J1751" s="4">
        <f t="shared" si="45"/>
        <v>470</v>
      </c>
      <c r="K1751" s="4" t="s">
        <v>2839</v>
      </c>
    </row>
    <row r="1752" spans="1:11" s="4" customFormat="1">
      <c r="A1752" s="4">
        <v>112393</v>
      </c>
      <c r="B1752" s="4">
        <v>1</v>
      </c>
      <c r="C1752" s="4">
        <v>1</v>
      </c>
      <c r="D1752" s="4">
        <v>0</v>
      </c>
      <c r="E1752" s="4">
        <v>0</v>
      </c>
      <c r="F1752" s="4">
        <v>1</v>
      </c>
      <c r="G1752" s="4">
        <v>111003</v>
      </c>
      <c r="H1752" s="4">
        <v>1</v>
      </c>
      <c r="I1752" s="4">
        <f t="shared" si="44"/>
        <v>314</v>
      </c>
      <c r="J1752" s="4">
        <f t="shared" si="45"/>
        <v>472</v>
      </c>
      <c r="K1752" s="4" t="s">
        <v>2840</v>
      </c>
    </row>
    <row r="1753" spans="1:11" s="4" customFormat="1">
      <c r="A1753" s="4">
        <v>112394</v>
      </c>
      <c r="B1753" s="4">
        <v>1</v>
      </c>
      <c r="C1753" s="4">
        <v>1</v>
      </c>
      <c r="D1753" s="4">
        <v>0</v>
      </c>
      <c r="E1753" s="4">
        <v>0</v>
      </c>
      <c r="F1753" s="4">
        <v>1</v>
      </c>
      <c r="G1753" s="4">
        <v>111003</v>
      </c>
      <c r="H1753" s="4">
        <v>1</v>
      </c>
      <c r="I1753" s="4">
        <f t="shared" si="44"/>
        <v>315</v>
      </c>
      <c r="J1753" s="4">
        <f t="shared" si="45"/>
        <v>473</v>
      </c>
      <c r="K1753" s="4" t="s">
        <v>2841</v>
      </c>
    </row>
    <row r="1754" spans="1:11" s="4" customFormat="1">
      <c r="A1754" s="4">
        <v>112395</v>
      </c>
      <c r="B1754" s="4">
        <v>1</v>
      </c>
      <c r="C1754" s="4">
        <v>1</v>
      </c>
      <c r="D1754" s="4">
        <v>0</v>
      </c>
      <c r="E1754" s="4">
        <v>0</v>
      </c>
      <c r="F1754" s="4">
        <v>1</v>
      </c>
      <c r="G1754" s="4">
        <v>111003</v>
      </c>
      <c r="H1754" s="4">
        <v>1</v>
      </c>
      <c r="I1754" s="4">
        <f t="shared" si="44"/>
        <v>316</v>
      </c>
      <c r="J1754" s="4">
        <f t="shared" si="45"/>
        <v>474</v>
      </c>
      <c r="K1754" s="4" t="s">
        <v>2842</v>
      </c>
    </row>
    <row r="1755" spans="1:11" s="4" customFormat="1">
      <c r="A1755" s="4">
        <v>112396</v>
      </c>
      <c r="B1755" s="4">
        <v>1</v>
      </c>
      <c r="C1755" s="4">
        <v>1</v>
      </c>
      <c r="D1755" s="4">
        <v>0</v>
      </c>
      <c r="E1755" s="4">
        <v>0</v>
      </c>
      <c r="F1755" s="4">
        <v>1</v>
      </c>
      <c r="G1755" s="4">
        <v>111003</v>
      </c>
      <c r="H1755" s="4">
        <v>1</v>
      </c>
      <c r="I1755" s="4">
        <f t="shared" si="44"/>
        <v>317</v>
      </c>
      <c r="J1755" s="4">
        <f t="shared" si="45"/>
        <v>475</v>
      </c>
      <c r="K1755" s="4" t="s">
        <v>2843</v>
      </c>
    </row>
    <row r="1756" spans="1:11" s="4" customFormat="1">
      <c r="A1756" s="4">
        <v>112397</v>
      </c>
      <c r="B1756" s="4">
        <v>1</v>
      </c>
      <c r="C1756" s="4">
        <v>1</v>
      </c>
      <c r="D1756" s="4">
        <v>0</v>
      </c>
      <c r="E1756" s="4">
        <v>0</v>
      </c>
      <c r="F1756" s="4">
        <v>1</v>
      </c>
      <c r="G1756" s="4">
        <v>111003</v>
      </c>
      <c r="H1756" s="4">
        <v>1</v>
      </c>
      <c r="I1756" s="4">
        <f t="shared" si="44"/>
        <v>318</v>
      </c>
      <c r="J1756" s="4">
        <f t="shared" si="45"/>
        <v>476</v>
      </c>
      <c r="K1756" s="4" t="s">
        <v>2844</v>
      </c>
    </row>
    <row r="1757" spans="1:11" s="4" customFormat="1">
      <c r="A1757" s="4">
        <v>112398</v>
      </c>
      <c r="B1757" s="4">
        <v>1</v>
      </c>
      <c r="C1757" s="4">
        <v>1</v>
      </c>
      <c r="D1757" s="4">
        <v>0</v>
      </c>
      <c r="E1757" s="4">
        <v>0</v>
      </c>
      <c r="F1757" s="4">
        <v>1</v>
      </c>
      <c r="G1757" s="4">
        <v>111003</v>
      </c>
      <c r="H1757" s="4">
        <v>1</v>
      </c>
      <c r="I1757" s="4">
        <f t="shared" si="44"/>
        <v>318</v>
      </c>
      <c r="J1757" s="4">
        <f t="shared" si="45"/>
        <v>478</v>
      </c>
      <c r="K1757" s="4" t="s">
        <v>2845</v>
      </c>
    </row>
    <row r="1758" spans="1:11" s="4" customFormat="1">
      <c r="A1758" s="4">
        <v>112399</v>
      </c>
      <c r="B1758" s="4">
        <v>1</v>
      </c>
      <c r="C1758" s="4">
        <v>1</v>
      </c>
      <c r="D1758" s="4">
        <v>0</v>
      </c>
      <c r="E1758" s="4">
        <v>0</v>
      </c>
      <c r="F1758" s="4">
        <v>1</v>
      </c>
      <c r="G1758" s="4">
        <v>111003</v>
      </c>
      <c r="H1758" s="4">
        <v>1</v>
      </c>
      <c r="I1758" s="4">
        <f t="shared" si="44"/>
        <v>319</v>
      </c>
      <c r="J1758" s="4">
        <f t="shared" si="45"/>
        <v>479</v>
      </c>
      <c r="K1758" s="4" t="s">
        <v>2846</v>
      </c>
    </row>
    <row r="1759" spans="1:11" s="4" customFormat="1">
      <c r="A1759" s="4">
        <v>112400</v>
      </c>
      <c r="B1759" s="4">
        <v>1</v>
      </c>
      <c r="C1759" s="4">
        <v>1</v>
      </c>
      <c r="D1759" s="4">
        <v>0</v>
      </c>
      <c r="E1759" s="4">
        <v>0</v>
      </c>
      <c r="F1759" s="4">
        <v>1</v>
      </c>
      <c r="G1759" s="4">
        <v>111003</v>
      </c>
      <c r="H1759" s="4">
        <v>1</v>
      </c>
      <c r="I1759" s="4">
        <f t="shared" si="44"/>
        <v>320</v>
      </c>
      <c r="J1759" s="4">
        <f t="shared" si="45"/>
        <v>480</v>
      </c>
      <c r="K1759" s="4" t="s">
        <v>2847</v>
      </c>
    </row>
    <row r="1760" spans="1:11" s="4" customFormat="1">
      <c r="A1760" s="4">
        <v>112401</v>
      </c>
      <c r="B1760" s="4">
        <v>1</v>
      </c>
      <c r="C1760" s="4">
        <v>1</v>
      </c>
      <c r="D1760" s="4">
        <v>0</v>
      </c>
      <c r="E1760" s="4">
        <v>0</v>
      </c>
      <c r="F1760" s="4">
        <v>1</v>
      </c>
      <c r="G1760" s="4">
        <v>111003</v>
      </c>
      <c r="H1760" s="4">
        <v>1</v>
      </c>
      <c r="I1760" s="4">
        <f t="shared" si="44"/>
        <v>321</v>
      </c>
      <c r="J1760" s="4">
        <f t="shared" si="45"/>
        <v>481</v>
      </c>
      <c r="K1760" s="4" t="s">
        <v>2848</v>
      </c>
    </row>
    <row r="1761" spans="1:11" s="4" customFormat="1">
      <c r="A1761" s="4">
        <v>112402</v>
      </c>
      <c r="B1761" s="4">
        <v>1</v>
      </c>
      <c r="C1761" s="4">
        <v>1</v>
      </c>
      <c r="D1761" s="4">
        <v>0</v>
      </c>
      <c r="E1761" s="4">
        <v>0</v>
      </c>
      <c r="F1761" s="4">
        <v>1</v>
      </c>
      <c r="G1761" s="4">
        <v>111003</v>
      </c>
      <c r="H1761" s="4">
        <v>1</v>
      </c>
      <c r="I1761" s="4">
        <f t="shared" si="44"/>
        <v>322</v>
      </c>
      <c r="J1761" s="4">
        <f t="shared" si="45"/>
        <v>482</v>
      </c>
      <c r="K1761" s="4" t="s">
        <v>2849</v>
      </c>
    </row>
    <row r="1762" spans="1:11" s="4" customFormat="1">
      <c r="A1762" s="4">
        <v>112403</v>
      </c>
      <c r="B1762" s="4">
        <v>1</v>
      </c>
      <c r="C1762" s="4">
        <v>1</v>
      </c>
      <c r="D1762" s="4">
        <v>0</v>
      </c>
      <c r="E1762" s="4">
        <v>0</v>
      </c>
      <c r="F1762" s="4">
        <v>1</v>
      </c>
      <c r="G1762" s="4">
        <v>111003</v>
      </c>
      <c r="H1762" s="4">
        <v>1</v>
      </c>
      <c r="I1762" s="4">
        <f t="shared" si="44"/>
        <v>322</v>
      </c>
      <c r="J1762" s="4">
        <f t="shared" si="45"/>
        <v>484</v>
      </c>
      <c r="K1762" s="4" t="s">
        <v>2850</v>
      </c>
    </row>
    <row r="1763" spans="1:11" s="4" customFormat="1">
      <c r="A1763" s="4">
        <v>112404</v>
      </c>
      <c r="B1763" s="4">
        <v>1</v>
      </c>
      <c r="C1763" s="4">
        <v>1</v>
      </c>
      <c r="D1763" s="4">
        <v>0</v>
      </c>
      <c r="E1763" s="4">
        <v>0</v>
      </c>
      <c r="F1763" s="4">
        <v>1</v>
      </c>
      <c r="G1763" s="4">
        <v>111003</v>
      </c>
      <c r="H1763" s="4">
        <v>1</v>
      </c>
      <c r="I1763" s="4">
        <f t="shared" si="44"/>
        <v>323</v>
      </c>
      <c r="J1763" s="4">
        <f t="shared" si="45"/>
        <v>485</v>
      </c>
      <c r="K1763" s="4" t="s">
        <v>2851</v>
      </c>
    </row>
    <row r="1764" spans="1:11" s="4" customFormat="1">
      <c r="A1764" s="4">
        <v>112405</v>
      </c>
      <c r="B1764" s="4">
        <v>1</v>
      </c>
      <c r="C1764" s="4">
        <v>1</v>
      </c>
      <c r="D1764" s="4">
        <v>0</v>
      </c>
      <c r="E1764" s="4">
        <v>0</v>
      </c>
      <c r="F1764" s="4">
        <v>1</v>
      </c>
      <c r="G1764" s="4">
        <v>111003</v>
      </c>
      <c r="H1764" s="4">
        <v>1</v>
      </c>
      <c r="I1764" s="4">
        <f t="shared" si="44"/>
        <v>324</v>
      </c>
      <c r="J1764" s="4">
        <f t="shared" si="45"/>
        <v>486</v>
      </c>
      <c r="K1764" s="4" t="s">
        <v>2852</v>
      </c>
    </row>
    <row r="1765" spans="1:11" s="4" customFormat="1">
      <c r="A1765" s="4">
        <v>112406</v>
      </c>
      <c r="B1765" s="4">
        <v>1</v>
      </c>
      <c r="C1765" s="4">
        <v>1</v>
      </c>
      <c r="D1765" s="4">
        <v>0</v>
      </c>
      <c r="E1765" s="4">
        <v>0</v>
      </c>
      <c r="F1765" s="4">
        <v>1</v>
      </c>
      <c r="G1765" s="4">
        <v>111003</v>
      </c>
      <c r="H1765" s="4">
        <v>1</v>
      </c>
      <c r="I1765" s="4">
        <f t="shared" si="44"/>
        <v>325</v>
      </c>
      <c r="J1765" s="4">
        <f t="shared" si="45"/>
        <v>487</v>
      </c>
      <c r="K1765" s="4" t="s">
        <v>2853</v>
      </c>
    </row>
    <row r="1766" spans="1:11" s="4" customFormat="1">
      <c r="A1766" s="4">
        <v>112407</v>
      </c>
      <c r="B1766" s="4">
        <v>1</v>
      </c>
      <c r="C1766" s="4">
        <v>1</v>
      </c>
      <c r="D1766" s="4">
        <v>0</v>
      </c>
      <c r="E1766" s="4">
        <v>0</v>
      </c>
      <c r="F1766" s="4">
        <v>1</v>
      </c>
      <c r="G1766" s="4">
        <v>111003</v>
      </c>
      <c r="H1766" s="4">
        <v>1</v>
      </c>
      <c r="I1766" s="4">
        <f t="shared" si="44"/>
        <v>326</v>
      </c>
      <c r="J1766" s="4">
        <f t="shared" si="45"/>
        <v>488</v>
      </c>
      <c r="K1766" s="4" t="s">
        <v>2854</v>
      </c>
    </row>
    <row r="1767" spans="1:11" s="4" customFormat="1">
      <c r="A1767" s="4">
        <v>112408</v>
      </c>
      <c r="B1767" s="4">
        <v>1</v>
      </c>
      <c r="C1767" s="4">
        <v>1</v>
      </c>
      <c r="D1767" s="4">
        <v>0</v>
      </c>
      <c r="E1767" s="4">
        <v>0</v>
      </c>
      <c r="F1767" s="4">
        <v>1</v>
      </c>
      <c r="G1767" s="4">
        <v>111003</v>
      </c>
      <c r="H1767" s="4">
        <v>1</v>
      </c>
      <c r="I1767" s="4">
        <f t="shared" si="44"/>
        <v>326</v>
      </c>
      <c r="J1767" s="4">
        <f t="shared" si="45"/>
        <v>490</v>
      </c>
      <c r="K1767" s="4" t="s">
        <v>2855</v>
      </c>
    </row>
    <row r="1768" spans="1:11" s="4" customFormat="1">
      <c r="A1768" s="4">
        <v>112409</v>
      </c>
      <c r="B1768" s="4">
        <v>1</v>
      </c>
      <c r="C1768" s="4">
        <v>1</v>
      </c>
      <c r="D1768" s="4">
        <v>0</v>
      </c>
      <c r="E1768" s="4">
        <v>0</v>
      </c>
      <c r="F1768" s="4">
        <v>1</v>
      </c>
      <c r="G1768" s="4">
        <v>111003</v>
      </c>
      <c r="H1768" s="4">
        <v>1</v>
      </c>
      <c r="I1768" s="4">
        <f t="shared" si="44"/>
        <v>327</v>
      </c>
      <c r="J1768" s="4">
        <f t="shared" si="45"/>
        <v>491</v>
      </c>
      <c r="K1768" s="4" t="s">
        <v>2856</v>
      </c>
    </row>
    <row r="1769" spans="1:11" s="4" customFormat="1">
      <c r="A1769" s="4">
        <v>112410</v>
      </c>
      <c r="B1769" s="4">
        <v>1</v>
      </c>
      <c r="C1769" s="4">
        <v>1</v>
      </c>
      <c r="D1769" s="4">
        <v>0</v>
      </c>
      <c r="E1769" s="4">
        <v>0</v>
      </c>
      <c r="F1769" s="4">
        <v>1</v>
      </c>
      <c r="G1769" s="4">
        <v>111003</v>
      </c>
      <c r="H1769" s="4">
        <v>1</v>
      </c>
      <c r="I1769" s="4">
        <f t="shared" si="44"/>
        <v>328</v>
      </c>
      <c r="J1769" s="4">
        <f t="shared" si="45"/>
        <v>492</v>
      </c>
      <c r="K1769" s="4" t="s">
        <v>2857</v>
      </c>
    </row>
    <row r="1770" spans="1:11" s="4" customFormat="1">
      <c r="A1770" s="4">
        <v>112411</v>
      </c>
      <c r="B1770" s="4">
        <v>1</v>
      </c>
      <c r="C1770" s="4">
        <v>1</v>
      </c>
      <c r="D1770" s="4">
        <v>0</v>
      </c>
      <c r="E1770" s="4">
        <v>0</v>
      </c>
      <c r="F1770" s="4">
        <v>1</v>
      </c>
      <c r="G1770" s="4">
        <v>111003</v>
      </c>
      <c r="H1770" s="4">
        <v>1</v>
      </c>
      <c r="I1770" s="4">
        <f t="shared" si="44"/>
        <v>329</v>
      </c>
      <c r="J1770" s="4">
        <f t="shared" si="45"/>
        <v>493</v>
      </c>
      <c r="K1770" s="4" t="s">
        <v>2858</v>
      </c>
    </row>
    <row r="1771" spans="1:11" s="4" customFormat="1">
      <c r="A1771" s="4">
        <v>112412</v>
      </c>
      <c r="B1771" s="4">
        <v>1</v>
      </c>
      <c r="C1771" s="4">
        <v>1</v>
      </c>
      <c r="D1771" s="4">
        <v>0</v>
      </c>
      <c r="E1771" s="4">
        <v>0</v>
      </c>
      <c r="F1771" s="4">
        <v>1</v>
      </c>
      <c r="G1771" s="4">
        <v>111003</v>
      </c>
      <c r="H1771" s="4">
        <v>1</v>
      </c>
      <c r="I1771" s="4">
        <f t="shared" si="44"/>
        <v>330</v>
      </c>
      <c r="J1771" s="4">
        <f t="shared" si="45"/>
        <v>494</v>
      </c>
      <c r="K1771" s="4" t="s">
        <v>2859</v>
      </c>
    </row>
    <row r="1772" spans="1:11" s="4" customFormat="1">
      <c r="A1772" s="4">
        <v>112413</v>
      </c>
      <c r="B1772" s="4">
        <v>1</v>
      </c>
      <c r="C1772" s="4">
        <v>1</v>
      </c>
      <c r="D1772" s="4">
        <v>0</v>
      </c>
      <c r="E1772" s="4">
        <v>0</v>
      </c>
      <c r="F1772" s="4">
        <v>1</v>
      </c>
      <c r="G1772" s="4">
        <v>111003</v>
      </c>
      <c r="H1772" s="4">
        <v>1</v>
      </c>
      <c r="I1772" s="4">
        <f t="shared" si="44"/>
        <v>330</v>
      </c>
      <c r="J1772" s="4">
        <f t="shared" si="45"/>
        <v>496</v>
      </c>
      <c r="K1772" s="4" t="s">
        <v>2860</v>
      </c>
    </row>
    <row r="1773" spans="1:11" s="4" customFormat="1">
      <c r="A1773" s="4">
        <v>112414</v>
      </c>
      <c r="B1773" s="4">
        <v>1</v>
      </c>
      <c r="C1773" s="4">
        <v>1</v>
      </c>
      <c r="D1773" s="4">
        <v>0</v>
      </c>
      <c r="E1773" s="4">
        <v>0</v>
      </c>
      <c r="F1773" s="4">
        <v>1</v>
      </c>
      <c r="G1773" s="4">
        <v>111003</v>
      </c>
      <c r="H1773" s="4">
        <v>1</v>
      </c>
      <c r="I1773" s="4">
        <f t="shared" si="44"/>
        <v>331</v>
      </c>
      <c r="J1773" s="4">
        <f t="shared" si="45"/>
        <v>497</v>
      </c>
      <c r="K1773" s="4" t="s">
        <v>2861</v>
      </c>
    </row>
    <row r="1774" spans="1:11" s="4" customFormat="1">
      <c r="A1774" s="4">
        <v>112415</v>
      </c>
      <c r="B1774" s="4">
        <v>1</v>
      </c>
      <c r="C1774" s="4">
        <v>1</v>
      </c>
      <c r="D1774" s="4">
        <v>0</v>
      </c>
      <c r="E1774" s="4">
        <v>0</v>
      </c>
      <c r="F1774" s="4">
        <v>1</v>
      </c>
      <c r="G1774" s="4">
        <v>111003</v>
      </c>
      <c r="H1774" s="4">
        <v>1</v>
      </c>
      <c r="I1774" s="4">
        <f t="shared" si="44"/>
        <v>332</v>
      </c>
      <c r="J1774" s="4">
        <f t="shared" si="45"/>
        <v>498</v>
      </c>
      <c r="K1774" s="4" t="s">
        <v>2862</v>
      </c>
    </row>
    <row r="1775" spans="1:11" s="4" customFormat="1">
      <c r="A1775" s="4">
        <v>112416</v>
      </c>
      <c r="B1775" s="4">
        <v>1</v>
      </c>
      <c r="C1775" s="4">
        <v>1</v>
      </c>
      <c r="D1775" s="4">
        <v>0</v>
      </c>
      <c r="E1775" s="4">
        <v>0</v>
      </c>
      <c r="F1775" s="4">
        <v>1</v>
      </c>
      <c r="G1775" s="4">
        <v>111003</v>
      </c>
      <c r="H1775" s="4">
        <v>1</v>
      </c>
      <c r="I1775" s="4">
        <f t="shared" si="44"/>
        <v>333</v>
      </c>
      <c r="J1775" s="4">
        <f t="shared" si="45"/>
        <v>499</v>
      </c>
      <c r="K1775" s="4" t="s">
        <v>2863</v>
      </c>
    </row>
    <row r="1776" spans="1:11" s="4" customFormat="1">
      <c r="A1776" s="4">
        <v>112417</v>
      </c>
      <c r="B1776" s="4">
        <v>1</v>
      </c>
      <c r="C1776" s="4">
        <v>1</v>
      </c>
      <c r="D1776" s="4">
        <v>0</v>
      </c>
      <c r="E1776" s="4">
        <v>0</v>
      </c>
      <c r="F1776" s="4">
        <v>1</v>
      </c>
      <c r="G1776" s="4">
        <v>111003</v>
      </c>
      <c r="H1776" s="4">
        <v>1</v>
      </c>
      <c r="I1776" s="4">
        <f t="shared" si="44"/>
        <v>334</v>
      </c>
      <c r="J1776" s="4">
        <f t="shared" si="45"/>
        <v>500</v>
      </c>
      <c r="K1776" s="4" t="s">
        <v>2864</v>
      </c>
    </row>
    <row r="1777" spans="1:11" s="4" customFormat="1">
      <c r="A1777" s="4">
        <v>112418</v>
      </c>
      <c r="B1777" s="4">
        <v>1</v>
      </c>
      <c r="C1777" s="4">
        <v>1</v>
      </c>
      <c r="D1777" s="4">
        <v>0</v>
      </c>
      <c r="E1777" s="4">
        <v>0</v>
      </c>
      <c r="F1777" s="4">
        <v>1</v>
      </c>
      <c r="G1777" s="4">
        <v>111003</v>
      </c>
      <c r="H1777" s="4">
        <v>1</v>
      </c>
      <c r="I1777" s="4">
        <f t="shared" si="44"/>
        <v>334</v>
      </c>
      <c r="J1777" s="4">
        <f t="shared" si="45"/>
        <v>502</v>
      </c>
      <c r="K1777" s="4" t="s">
        <v>2865</v>
      </c>
    </row>
    <row r="1778" spans="1:11" s="4" customFormat="1">
      <c r="A1778" s="4">
        <v>112419</v>
      </c>
      <c r="B1778" s="4">
        <v>1</v>
      </c>
      <c r="C1778" s="4">
        <v>1</v>
      </c>
      <c r="D1778" s="4">
        <v>0</v>
      </c>
      <c r="E1778" s="4">
        <v>0</v>
      </c>
      <c r="F1778" s="4">
        <v>1</v>
      </c>
      <c r="G1778" s="4">
        <v>111003</v>
      </c>
      <c r="H1778" s="4">
        <v>1</v>
      </c>
      <c r="I1778" s="4">
        <f t="shared" si="44"/>
        <v>335</v>
      </c>
      <c r="J1778" s="4">
        <f t="shared" si="45"/>
        <v>503</v>
      </c>
      <c r="K1778" s="4" t="s">
        <v>2866</v>
      </c>
    </row>
    <row r="1779" spans="1:11" s="4" customFormat="1">
      <c r="A1779" s="4">
        <v>112420</v>
      </c>
      <c r="B1779" s="4">
        <v>1</v>
      </c>
      <c r="C1779" s="4">
        <v>1</v>
      </c>
      <c r="D1779" s="4">
        <v>0</v>
      </c>
      <c r="E1779" s="4">
        <v>0</v>
      </c>
      <c r="F1779" s="4">
        <v>1</v>
      </c>
      <c r="G1779" s="4">
        <v>111003</v>
      </c>
      <c r="H1779" s="4">
        <v>1</v>
      </c>
      <c r="I1779" s="4">
        <f t="shared" si="44"/>
        <v>336</v>
      </c>
      <c r="J1779" s="4">
        <f t="shared" si="45"/>
        <v>504</v>
      </c>
      <c r="K1779" s="4" t="s">
        <v>2867</v>
      </c>
    </row>
    <row r="1780" spans="1:11" s="4" customFormat="1">
      <c r="A1780" s="4">
        <v>112421</v>
      </c>
      <c r="B1780" s="4">
        <v>1</v>
      </c>
      <c r="C1780" s="4">
        <v>1</v>
      </c>
      <c r="D1780" s="4">
        <v>0</v>
      </c>
      <c r="E1780" s="4">
        <v>0</v>
      </c>
      <c r="F1780" s="4">
        <v>1</v>
      </c>
      <c r="G1780" s="4">
        <v>111003</v>
      </c>
      <c r="H1780" s="4">
        <v>1</v>
      </c>
      <c r="I1780" s="4">
        <f t="shared" si="44"/>
        <v>337</v>
      </c>
      <c r="J1780" s="4">
        <f t="shared" si="45"/>
        <v>505</v>
      </c>
      <c r="K1780" s="4" t="s">
        <v>2868</v>
      </c>
    </row>
    <row r="1781" spans="1:11" s="4" customFormat="1">
      <c r="A1781" s="4">
        <v>112422</v>
      </c>
      <c r="B1781" s="4">
        <v>1</v>
      </c>
      <c r="C1781" s="4">
        <v>1</v>
      </c>
      <c r="D1781" s="4">
        <v>0</v>
      </c>
      <c r="E1781" s="4">
        <v>0</v>
      </c>
      <c r="F1781" s="4">
        <v>1</v>
      </c>
      <c r="G1781" s="4">
        <v>111003</v>
      </c>
      <c r="H1781" s="4">
        <v>1</v>
      </c>
      <c r="I1781" s="4">
        <f t="shared" si="44"/>
        <v>338</v>
      </c>
      <c r="J1781" s="4">
        <f t="shared" si="45"/>
        <v>506</v>
      </c>
      <c r="K1781" s="4" t="s">
        <v>2869</v>
      </c>
    </row>
    <row r="1782" spans="1:11" s="4" customFormat="1">
      <c r="A1782" s="4">
        <v>112423</v>
      </c>
      <c r="B1782" s="4">
        <v>1</v>
      </c>
      <c r="C1782" s="4">
        <v>1</v>
      </c>
      <c r="D1782" s="4">
        <v>0</v>
      </c>
      <c r="E1782" s="4">
        <v>0</v>
      </c>
      <c r="F1782" s="4">
        <v>1</v>
      </c>
      <c r="G1782" s="4">
        <v>111003</v>
      </c>
      <c r="H1782" s="4">
        <v>1</v>
      </c>
      <c r="I1782" s="4">
        <f t="shared" si="44"/>
        <v>338</v>
      </c>
      <c r="J1782" s="4">
        <f t="shared" si="45"/>
        <v>508</v>
      </c>
      <c r="K1782" s="4" t="s">
        <v>2870</v>
      </c>
    </row>
    <row r="1783" spans="1:11" s="4" customFormat="1">
      <c r="A1783" s="4">
        <v>112424</v>
      </c>
      <c r="B1783" s="4">
        <v>1</v>
      </c>
      <c r="C1783" s="4">
        <v>1</v>
      </c>
      <c r="D1783" s="4">
        <v>0</v>
      </c>
      <c r="E1783" s="4">
        <v>0</v>
      </c>
      <c r="F1783" s="4">
        <v>1</v>
      </c>
      <c r="G1783" s="4">
        <v>111003</v>
      </c>
      <c r="H1783" s="4">
        <v>1</v>
      </c>
      <c r="I1783" s="4">
        <f t="shared" si="44"/>
        <v>339</v>
      </c>
      <c r="J1783" s="4">
        <f t="shared" si="45"/>
        <v>509</v>
      </c>
      <c r="K1783" s="4" t="s">
        <v>2871</v>
      </c>
    </row>
    <row r="1784" spans="1:11" s="4" customFormat="1">
      <c r="A1784" s="4">
        <v>112425</v>
      </c>
      <c r="B1784" s="4">
        <v>1</v>
      </c>
      <c r="C1784" s="4">
        <v>1</v>
      </c>
      <c r="D1784" s="4">
        <v>0</v>
      </c>
      <c r="E1784" s="4">
        <v>0</v>
      </c>
      <c r="F1784" s="4">
        <v>1</v>
      </c>
      <c r="G1784" s="4">
        <v>111003</v>
      </c>
      <c r="H1784" s="4">
        <v>1</v>
      </c>
      <c r="I1784" s="4">
        <f t="shared" si="44"/>
        <v>340</v>
      </c>
      <c r="J1784" s="4">
        <f t="shared" si="45"/>
        <v>510</v>
      </c>
      <c r="K1784" s="4" t="s">
        <v>2872</v>
      </c>
    </row>
    <row r="1785" spans="1:11" s="4" customFormat="1">
      <c r="A1785" s="4">
        <v>112426</v>
      </c>
      <c r="B1785" s="4">
        <v>1</v>
      </c>
      <c r="C1785" s="4">
        <v>1</v>
      </c>
      <c r="D1785" s="4">
        <v>0</v>
      </c>
      <c r="E1785" s="4">
        <v>0</v>
      </c>
      <c r="F1785" s="4">
        <v>1</v>
      </c>
      <c r="G1785" s="4">
        <v>111003</v>
      </c>
      <c r="H1785" s="4">
        <v>1</v>
      </c>
      <c r="I1785" s="4">
        <f t="shared" si="44"/>
        <v>341</v>
      </c>
      <c r="J1785" s="4">
        <f t="shared" si="45"/>
        <v>511</v>
      </c>
      <c r="K1785" s="4" t="s">
        <v>2873</v>
      </c>
    </row>
    <row r="1786" spans="1:11" s="4" customFormat="1">
      <c r="A1786" s="4">
        <v>112427</v>
      </c>
      <c r="B1786" s="4">
        <v>1</v>
      </c>
      <c r="C1786" s="4">
        <v>1</v>
      </c>
      <c r="D1786" s="4">
        <v>0</v>
      </c>
      <c r="E1786" s="4">
        <v>0</v>
      </c>
      <c r="F1786" s="4">
        <v>1</v>
      </c>
      <c r="G1786" s="4">
        <v>111003</v>
      </c>
      <c r="H1786" s="4">
        <v>1</v>
      </c>
      <c r="I1786" s="4">
        <f t="shared" si="44"/>
        <v>342</v>
      </c>
      <c r="J1786" s="4">
        <f t="shared" si="45"/>
        <v>512</v>
      </c>
      <c r="K1786" s="4" t="s">
        <v>2874</v>
      </c>
    </row>
    <row r="1787" spans="1:11" s="4" customFormat="1">
      <c r="A1787" s="4">
        <v>112428</v>
      </c>
      <c r="B1787" s="4">
        <v>1</v>
      </c>
      <c r="C1787" s="4">
        <v>1</v>
      </c>
      <c r="D1787" s="4">
        <v>0</v>
      </c>
      <c r="E1787" s="4">
        <v>0</v>
      </c>
      <c r="F1787" s="4">
        <v>1</v>
      </c>
      <c r="G1787" s="4">
        <v>111003</v>
      </c>
      <c r="H1787" s="4">
        <v>1</v>
      </c>
      <c r="I1787" s="4">
        <f t="shared" si="44"/>
        <v>342</v>
      </c>
      <c r="J1787" s="4">
        <f t="shared" si="45"/>
        <v>514</v>
      </c>
      <c r="K1787" s="4" t="s">
        <v>2875</v>
      </c>
    </row>
    <row r="1788" spans="1:11" s="4" customFormat="1">
      <c r="A1788" s="4">
        <v>112429</v>
      </c>
      <c r="B1788" s="4">
        <v>1</v>
      </c>
      <c r="C1788" s="4">
        <v>1</v>
      </c>
      <c r="D1788" s="4">
        <v>0</v>
      </c>
      <c r="E1788" s="4">
        <v>0</v>
      </c>
      <c r="F1788" s="4">
        <v>1</v>
      </c>
      <c r="G1788" s="4">
        <v>111003</v>
      </c>
      <c r="H1788" s="4">
        <v>1</v>
      </c>
      <c r="I1788" s="4">
        <f t="shared" si="44"/>
        <v>343</v>
      </c>
      <c r="J1788" s="4">
        <f t="shared" si="45"/>
        <v>515</v>
      </c>
      <c r="K1788" s="4" t="s">
        <v>2876</v>
      </c>
    </row>
    <row r="1789" spans="1:11" s="4" customFormat="1">
      <c r="A1789" s="4">
        <v>112430</v>
      </c>
      <c r="B1789" s="4">
        <v>1</v>
      </c>
      <c r="C1789" s="4">
        <v>1</v>
      </c>
      <c r="D1789" s="4">
        <v>0</v>
      </c>
      <c r="E1789" s="4">
        <v>0</v>
      </c>
      <c r="F1789" s="4">
        <v>1</v>
      </c>
      <c r="G1789" s="4">
        <v>111003</v>
      </c>
      <c r="H1789" s="4">
        <v>1</v>
      </c>
      <c r="I1789" s="4">
        <f t="shared" si="44"/>
        <v>344</v>
      </c>
      <c r="J1789" s="4">
        <f t="shared" si="45"/>
        <v>516</v>
      </c>
      <c r="K1789" s="4" t="s">
        <v>2877</v>
      </c>
    </row>
    <row r="1790" spans="1:11" s="4" customFormat="1">
      <c r="A1790" s="4">
        <v>112431</v>
      </c>
      <c r="B1790" s="4">
        <v>1</v>
      </c>
      <c r="C1790" s="4">
        <v>1</v>
      </c>
      <c r="D1790" s="4">
        <v>0</v>
      </c>
      <c r="E1790" s="4">
        <v>0</v>
      </c>
      <c r="F1790" s="4">
        <v>1</v>
      </c>
      <c r="G1790" s="4">
        <v>111003</v>
      </c>
      <c r="H1790" s="4">
        <v>1</v>
      </c>
      <c r="I1790" s="4">
        <f t="shared" si="44"/>
        <v>345</v>
      </c>
      <c r="J1790" s="4">
        <f t="shared" si="45"/>
        <v>517</v>
      </c>
      <c r="K1790" s="4" t="s">
        <v>2878</v>
      </c>
    </row>
    <row r="1791" spans="1:11" s="4" customFormat="1">
      <c r="A1791" s="4">
        <v>112432</v>
      </c>
      <c r="B1791" s="4">
        <v>1</v>
      </c>
      <c r="C1791" s="4">
        <v>1</v>
      </c>
      <c r="D1791" s="4">
        <v>0</v>
      </c>
      <c r="E1791" s="4">
        <v>0</v>
      </c>
      <c r="F1791" s="4">
        <v>1</v>
      </c>
      <c r="G1791" s="4">
        <v>111003</v>
      </c>
      <c r="H1791" s="4">
        <v>1</v>
      </c>
      <c r="I1791" s="4">
        <f t="shared" si="44"/>
        <v>346</v>
      </c>
      <c r="J1791" s="4">
        <f t="shared" si="45"/>
        <v>518</v>
      </c>
      <c r="K1791" s="4" t="s">
        <v>2879</v>
      </c>
    </row>
    <row r="1792" spans="1:11" s="4" customFormat="1">
      <c r="A1792" s="4">
        <v>112433</v>
      </c>
      <c r="B1792" s="4">
        <v>1</v>
      </c>
      <c r="C1792" s="4">
        <v>1</v>
      </c>
      <c r="D1792" s="4">
        <v>0</v>
      </c>
      <c r="E1792" s="4">
        <v>0</v>
      </c>
      <c r="F1792" s="4">
        <v>1</v>
      </c>
      <c r="G1792" s="4">
        <v>111003</v>
      </c>
      <c r="H1792" s="4">
        <v>1</v>
      </c>
      <c r="I1792" s="4">
        <f t="shared" si="44"/>
        <v>346</v>
      </c>
      <c r="J1792" s="4">
        <f t="shared" si="45"/>
        <v>520</v>
      </c>
      <c r="K1792" s="4" t="s">
        <v>2880</v>
      </c>
    </row>
    <row r="1793" spans="1:11" s="4" customFormat="1">
      <c r="A1793" s="4">
        <v>112434</v>
      </c>
      <c r="B1793" s="4">
        <v>1</v>
      </c>
      <c r="C1793" s="4">
        <v>1</v>
      </c>
      <c r="D1793" s="4">
        <v>0</v>
      </c>
      <c r="E1793" s="4">
        <v>0</v>
      </c>
      <c r="F1793" s="4">
        <v>1</v>
      </c>
      <c r="G1793" s="4">
        <v>111003</v>
      </c>
      <c r="H1793" s="4">
        <v>1</v>
      </c>
      <c r="I1793" s="4">
        <f t="shared" si="44"/>
        <v>347</v>
      </c>
      <c r="J1793" s="4">
        <f t="shared" si="45"/>
        <v>521</v>
      </c>
      <c r="K1793" s="4" t="s">
        <v>2881</v>
      </c>
    </row>
    <row r="1794" spans="1:11" s="4" customFormat="1">
      <c r="A1794" s="4">
        <v>112435</v>
      </c>
      <c r="B1794" s="4">
        <v>1</v>
      </c>
      <c r="C1794" s="4">
        <v>1</v>
      </c>
      <c r="D1794" s="4">
        <v>0</v>
      </c>
      <c r="E1794" s="4">
        <v>0</v>
      </c>
      <c r="F1794" s="4">
        <v>1</v>
      </c>
      <c r="G1794" s="4">
        <v>111003</v>
      </c>
      <c r="H1794" s="4">
        <v>1</v>
      </c>
      <c r="I1794" s="4">
        <f t="shared" si="44"/>
        <v>348</v>
      </c>
      <c r="J1794" s="4">
        <f t="shared" si="45"/>
        <v>522</v>
      </c>
      <c r="K1794" s="4" t="s">
        <v>2882</v>
      </c>
    </row>
    <row r="1795" spans="1:11" s="4" customFormat="1">
      <c r="A1795" s="4">
        <v>112436</v>
      </c>
      <c r="B1795" s="4">
        <v>1</v>
      </c>
      <c r="C1795" s="4">
        <v>1</v>
      </c>
      <c r="D1795" s="4">
        <v>0</v>
      </c>
      <c r="E1795" s="4">
        <v>0</v>
      </c>
      <c r="F1795" s="4">
        <v>1</v>
      </c>
      <c r="G1795" s="4">
        <v>111003</v>
      </c>
      <c r="H1795" s="4">
        <v>1</v>
      </c>
      <c r="I1795" s="4">
        <f t="shared" si="44"/>
        <v>349</v>
      </c>
      <c r="J1795" s="4">
        <f t="shared" si="45"/>
        <v>523</v>
      </c>
      <c r="K1795" s="4" t="s">
        <v>2883</v>
      </c>
    </row>
    <row r="1796" spans="1:11" s="4" customFormat="1">
      <c r="A1796" s="4">
        <v>112437</v>
      </c>
      <c r="B1796" s="4">
        <v>1</v>
      </c>
      <c r="C1796" s="4">
        <v>1</v>
      </c>
      <c r="D1796" s="4">
        <v>0</v>
      </c>
      <c r="E1796" s="4">
        <v>0</v>
      </c>
      <c r="F1796" s="4">
        <v>1</v>
      </c>
      <c r="G1796" s="4">
        <v>111003</v>
      </c>
      <c r="H1796" s="4">
        <v>1</v>
      </c>
      <c r="I1796" s="4">
        <f t="shared" si="44"/>
        <v>350</v>
      </c>
      <c r="J1796" s="4">
        <f t="shared" si="45"/>
        <v>524</v>
      </c>
      <c r="K1796" s="4" t="s">
        <v>2884</v>
      </c>
    </row>
    <row r="1797" spans="1:11" s="4" customFormat="1">
      <c r="A1797" s="4">
        <v>112438</v>
      </c>
      <c r="B1797" s="4">
        <v>1</v>
      </c>
      <c r="C1797" s="4">
        <v>1</v>
      </c>
      <c r="D1797" s="4">
        <v>0</v>
      </c>
      <c r="E1797" s="4">
        <v>0</v>
      </c>
      <c r="F1797" s="4">
        <v>1</v>
      </c>
      <c r="G1797" s="4">
        <v>111003</v>
      </c>
      <c r="H1797" s="4">
        <v>1</v>
      </c>
      <c r="I1797" s="4">
        <f t="shared" si="44"/>
        <v>350</v>
      </c>
      <c r="J1797" s="4">
        <f t="shared" si="45"/>
        <v>526</v>
      </c>
      <c r="K1797" s="4" t="s">
        <v>2885</v>
      </c>
    </row>
    <row r="1798" spans="1:11" s="4" customFormat="1">
      <c r="A1798" s="4">
        <v>112439</v>
      </c>
      <c r="B1798" s="4">
        <v>1</v>
      </c>
      <c r="C1798" s="4">
        <v>1</v>
      </c>
      <c r="D1798" s="4">
        <v>0</v>
      </c>
      <c r="E1798" s="4">
        <v>0</v>
      </c>
      <c r="F1798" s="4">
        <v>1</v>
      </c>
      <c r="G1798" s="4">
        <v>111003</v>
      </c>
      <c r="H1798" s="4">
        <v>1</v>
      </c>
      <c r="I1798" s="4">
        <f t="shared" si="44"/>
        <v>351</v>
      </c>
      <c r="J1798" s="4">
        <f t="shared" si="45"/>
        <v>527</v>
      </c>
      <c r="K1798" s="4" t="s">
        <v>2886</v>
      </c>
    </row>
    <row r="1799" spans="1:11" s="4" customFormat="1">
      <c r="A1799" s="4">
        <v>112440</v>
      </c>
      <c r="B1799" s="4">
        <v>1</v>
      </c>
      <c r="C1799" s="4">
        <v>1</v>
      </c>
      <c r="D1799" s="4">
        <v>0</v>
      </c>
      <c r="E1799" s="4">
        <v>0</v>
      </c>
      <c r="F1799" s="4">
        <v>1</v>
      </c>
      <c r="G1799" s="4">
        <v>111003</v>
      </c>
      <c r="H1799" s="4">
        <v>1</v>
      </c>
      <c r="I1799" s="4">
        <f t="shared" si="44"/>
        <v>352</v>
      </c>
      <c r="J1799" s="4">
        <f t="shared" si="45"/>
        <v>528</v>
      </c>
      <c r="K1799" s="4" t="s">
        <v>2887</v>
      </c>
    </row>
    <row r="1800" spans="1:11" s="4" customFormat="1">
      <c r="A1800" s="4">
        <v>112441</v>
      </c>
      <c r="B1800" s="4">
        <v>1</v>
      </c>
      <c r="C1800" s="4">
        <v>1</v>
      </c>
      <c r="D1800" s="4">
        <v>0</v>
      </c>
      <c r="E1800" s="4">
        <v>0</v>
      </c>
      <c r="F1800" s="4">
        <v>1</v>
      </c>
      <c r="G1800" s="4">
        <v>111003</v>
      </c>
      <c r="H1800" s="4">
        <v>1</v>
      </c>
      <c r="I1800" s="4">
        <f t="shared" si="44"/>
        <v>353</v>
      </c>
      <c r="J1800" s="4">
        <f t="shared" si="45"/>
        <v>529</v>
      </c>
      <c r="K1800" s="4" t="s">
        <v>2888</v>
      </c>
    </row>
    <row r="1801" spans="1:11" s="4" customFormat="1">
      <c r="A1801" s="4">
        <v>112442</v>
      </c>
      <c r="B1801" s="4">
        <v>1</v>
      </c>
      <c r="C1801" s="4">
        <v>1</v>
      </c>
      <c r="D1801" s="4">
        <v>0</v>
      </c>
      <c r="E1801" s="4">
        <v>0</v>
      </c>
      <c r="F1801" s="4">
        <v>1</v>
      </c>
      <c r="G1801" s="4">
        <v>111003</v>
      </c>
      <c r="H1801" s="4">
        <v>1</v>
      </c>
      <c r="I1801" s="4">
        <f t="shared" si="44"/>
        <v>354</v>
      </c>
      <c r="J1801" s="4">
        <f t="shared" si="45"/>
        <v>530</v>
      </c>
      <c r="K1801" s="4" t="s">
        <v>2889</v>
      </c>
    </row>
    <row r="1802" spans="1:11" s="4" customFormat="1">
      <c r="A1802" s="4">
        <v>112443</v>
      </c>
      <c r="B1802" s="4">
        <v>1</v>
      </c>
      <c r="C1802" s="4">
        <v>1</v>
      </c>
      <c r="D1802" s="4">
        <v>0</v>
      </c>
      <c r="E1802" s="4">
        <v>0</v>
      </c>
      <c r="F1802" s="4">
        <v>1</v>
      </c>
      <c r="G1802" s="4">
        <v>111003</v>
      </c>
      <c r="H1802" s="4">
        <v>1</v>
      </c>
      <c r="I1802" s="4">
        <f t="shared" si="44"/>
        <v>354</v>
      </c>
      <c r="J1802" s="4">
        <f t="shared" si="45"/>
        <v>532</v>
      </c>
      <c r="K1802" s="4" t="s">
        <v>2890</v>
      </c>
    </row>
    <row r="1803" spans="1:11" s="4" customFormat="1">
      <c r="A1803" s="4">
        <v>112444</v>
      </c>
      <c r="B1803" s="4">
        <v>1</v>
      </c>
      <c r="C1803" s="4">
        <v>1</v>
      </c>
      <c r="D1803" s="4">
        <v>0</v>
      </c>
      <c r="E1803" s="4">
        <v>0</v>
      </c>
      <c r="F1803" s="4">
        <v>1</v>
      </c>
      <c r="G1803" s="4">
        <v>111003</v>
      </c>
      <c r="H1803" s="4">
        <v>1</v>
      </c>
      <c r="I1803" s="4">
        <f t="shared" si="44"/>
        <v>355</v>
      </c>
      <c r="J1803" s="4">
        <f t="shared" si="45"/>
        <v>533</v>
      </c>
      <c r="K1803" s="4" t="s">
        <v>2891</v>
      </c>
    </row>
    <row r="1804" spans="1:11" s="4" customFormat="1">
      <c r="A1804" s="4">
        <v>112445</v>
      </c>
      <c r="B1804" s="4">
        <v>1</v>
      </c>
      <c r="C1804" s="4">
        <v>1</v>
      </c>
      <c r="D1804" s="4">
        <v>0</v>
      </c>
      <c r="E1804" s="4">
        <v>0</v>
      </c>
      <c r="F1804" s="4">
        <v>1</v>
      </c>
      <c r="G1804" s="4">
        <v>111003</v>
      </c>
      <c r="H1804" s="4">
        <v>1</v>
      </c>
      <c r="I1804" s="4">
        <f t="shared" si="44"/>
        <v>356</v>
      </c>
      <c r="J1804" s="4">
        <f t="shared" si="45"/>
        <v>534</v>
      </c>
      <c r="K1804" s="4" t="s">
        <v>2892</v>
      </c>
    </row>
    <row r="1805" spans="1:11" s="4" customFormat="1">
      <c r="A1805" s="4">
        <v>112446</v>
      </c>
      <c r="B1805" s="4">
        <v>1</v>
      </c>
      <c r="C1805" s="4">
        <v>1</v>
      </c>
      <c r="D1805" s="4">
        <v>0</v>
      </c>
      <c r="E1805" s="4">
        <v>0</v>
      </c>
      <c r="F1805" s="4">
        <v>1</v>
      </c>
      <c r="G1805" s="4">
        <v>111003</v>
      </c>
      <c r="H1805" s="4">
        <v>1</v>
      </c>
      <c r="I1805" s="4">
        <f t="shared" si="44"/>
        <v>357</v>
      </c>
      <c r="J1805" s="4">
        <f t="shared" si="45"/>
        <v>535</v>
      </c>
      <c r="K1805" s="4" t="s">
        <v>2893</v>
      </c>
    </row>
    <row r="1806" spans="1:11" s="4" customFormat="1">
      <c r="A1806" s="4">
        <v>112447</v>
      </c>
      <c r="B1806" s="4">
        <v>1</v>
      </c>
      <c r="C1806" s="4">
        <v>1</v>
      </c>
      <c r="D1806" s="4">
        <v>0</v>
      </c>
      <c r="E1806" s="4">
        <v>0</v>
      </c>
      <c r="F1806" s="4">
        <v>1</v>
      </c>
      <c r="G1806" s="4">
        <v>111003</v>
      </c>
      <c r="H1806" s="4">
        <v>1</v>
      </c>
      <c r="I1806" s="4">
        <f t="shared" si="44"/>
        <v>358</v>
      </c>
      <c r="J1806" s="4">
        <f t="shared" si="45"/>
        <v>536</v>
      </c>
      <c r="K1806" s="4" t="s">
        <v>2894</v>
      </c>
    </row>
    <row r="1807" spans="1:11" s="4" customFormat="1">
      <c r="A1807" s="4">
        <v>112448</v>
      </c>
      <c r="B1807" s="4">
        <v>1</v>
      </c>
      <c r="C1807" s="4">
        <v>1</v>
      </c>
      <c r="D1807" s="4">
        <v>0</v>
      </c>
      <c r="E1807" s="4">
        <v>0</v>
      </c>
      <c r="F1807" s="4">
        <v>1</v>
      </c>
      <c r="G1807" s="4">
        <v>111003</v>
      </c>
      <c r="H1807" s="4">
        <v>1</v>
      </c>
      <c r="I1807" s="4">
        <f t="shared" si="44"/>
        <v>358</v>
      </c>
      <c r="J1807" s="4">
        <f t="shared" si="45"/>
        <v>538</v>
      </c>
      <c r="K1807" s="4" t="s">
        <v>2895</v>
      </c>
    </row>
    <row r="1808" spans="1:11" s="4" customFormat="1">
      <c r="A1808" s="4">
        <v>112449</v>
      </c>
      <c r="B1808" s="4">
        <v>1</v>
      </c>
      <c r="C1808" s="4">
        <v>1</v>
      </c>
      <c r="D1808" s="4">
        <v>0</v>
      </c>
      <c r="E1808" s="4">
        <v>0</v>
      </c>
      <c r="F1808" s="4">
        <v>1</v>
      </c>
      <c r="G1808" s="4">
        <v>111003</v>
      </c>
      <c r="H1808" s="4">
        <v>1</v>
      </c>
      <c r="I1808" s="4">
        <f t="shared" si="44"/>
        <v>359</v>
      </c>
      <c r="J1808" s="4">
        <f t="shared" si="45"/>
        <v>539</v>
      </c>
      <c r="K1808" s="4" t="s">
        <v>2896</v>
      </c>
    </row>
    <row r="1809" spans="1:11" s="4" customFormat="1">
      <c r="A1809" s="4">
        <v>112450</v>
      </c>
      <c r="B1809" s="4">
        <v>1</v>
      </c>
      <c r="C1809" s="4">
        <v>1</v>
      </c>
      <c r="D1809" s="4">
        <v>0</v>
      </c>
      <c r="E1809" s="4">
        <v>0</v>
      </c>
      <c r="F1809" s="4">
        <v>1</v>
      </c>
      <c r="G1809" s="4">
        <v>111003</v>
      </c>
      <c r="H1809" s="4">
        <v>1</v>
      </c>
      <c r="I1809" s="4">
        <f t="shared" ref="I1809:I1859" si="46">ROUND(RIGHT(A1809,3)*80%,0)</f>
        <v>360</v>
      </c>
      <c r="J1809" s="4">
        <f t="shared" ref="J1809:J1859" si="47">ROUND(RIGHT(A1809,3)*120%,0)</f>
        <v>540</v>
      </c>
      <c r="K1809" s="4" t="s">
        <v>2897</v>
      </c>
    </row>
    <row r="1810" spans="1:11" s="4" customFormat="1">
      <c r="A1810" s="4">
        <v>112451</v>
      </c>
      <c r="B1810" s="4">
        <v>1</v>
      </c>
      <c r="C1810" s="4">
        <v>1</v>
      </c>
      <c r="D1810" s="4">
        <v>0</v>
      </c>
      <c r="E1810" s="4">
        <v>0</v>
      </c>
      <c r="F1810" s="4">
        <v>1</v>
      </c>
      <c r="G1810" s="4">
        <v>111003</v>
      </c>
      <c r="H1810" s="4">
        <v>1</v>
      </c>
      <c r="I1810" s="4">
        <f t="shared" si="46"/>
        <v>361</v>
      </c>
      <c r="J1810" s="4">
        <f t="shared" si="47"/>
        <v>541</v>
      </c>
      <c r="K1810" s="4" t="s">
        <v>2898</v>
      </c>
    </row>
    <row r="1811" spans="1:11" s="4" customFormat="1">
      <c r="A1811" s="4">
        <v>112452</v>
      </c>
      <c r="B1811" s="4">
        <v>1</v>
      </c>
      <c r="C1811" s="4">
        <v>1</v>
      </c>
      <c r="D1811" s="4">
        <v>0</v>
      </c>
      <c r="E1811" s="4">
        <v>0</v>
      </c>
      <c r="F1811" s="4">
        <v>1</v>
      </c>
      <c r="G1811" s="4">
        <v>111003</v>
      </c>
      <c r="H1811" s="4">
        <v>1</v>
      </c>
      <c r="I1811" s="4">
        <f t="shared" si="46"/>
        <v>362</v>
      </c>
      <c r="J1811" s="4">
        <f t="shared" si="47"/>
        <v>542</v>
      </c>
      <c r="K1811" s="4" t="s">
        <v>2899</v>
      </c>
    </row>
    <row r="1812" spans="1:11" s="4" customFormat="1">
      <c r="A1812" s="4">
        <v>112453</v>
      </c>
      <c r="B1812" s="4">
        <v>1</v>
      </c>
      <c r="C1812" s="4">
        <v>1</v>
      </c>
      <c r="D1812" s="4">
        <v>0</v>
      </c>
      <c r="E1812" s="4">
        <v>0</v>
      </c>
      <c r="F1812" s="4">
        <v>1</v>
      </c>
      <c r="G1812" s="4">
        <v>111003</v>
      </c>
      <c r="H1812" s="4">
        <v>1</v>
      </c>
      <c r="I1812" s="4">
        <f t="shared" si="46"/>
        <v>362</v>
      </c>
      <c r="J1812" s="4">
        <f t="shared" si="47"/>
        <v>544</v>
      </c>
      <c r="K1812" s="4" t="s">
        <v>2900</v>
      </c>
    </row>
    <row r="1813" spans="1:11" s="4" customFormat="1">
      <c r="A1813" s="4">
        <v>112454</v>
      </c>
      <c r="B1813" s="4">
        <v>1</v>
      </c>
      <c r="C1813" s="4">
        <v>1</v>
      </c>
      <c r="D1813" s="4">
        <v>0</v>
      </c>
      <c r="E1813" s="4">
        <v>0</v>
      </c>
      <c r="F1813" s="4">
        <v>1</v>
      </c>
      <c r="G1813" s="4">
        <v>111003</v>
      </c>
      <c r="H1813" s="4">
        <v>1</v>
      </c>
      <c r="I1813" s="4">
        <f t="shared" si="46"/>
        <v>363</v>
      </c>
      <c r="J1813" s="4">
        <f t="shared" si="47"/>
        <v>545</v>
      </c>
      <c r="K1813" s="4" t="s">
        <v>2901</v>
      </c>
    </row>
    <row r="1814" spans="1:11" s="4" customFormat="1">
      <c r="A1814" s="4">
        <v>112455</v>
      </c>
      <c r="B1814" s="4">
        <v>1</v>
      </c>
      <c r="C1814" s="4">
        <v>1</v>
      </c>
      <c r="D1814" s="4">
        <v>0</v>
      </c>
      <c r="E1814" s="4">
        <v>0</v>
      </c>
      <c r="F1814" s="4">
        <v>1</v>
      </c>
      <c r="G1814" s="4">
        <v>111003</v>
      </c>
      <c r="H1814" s="4">
        <v>1</v>
      </c>
      <c r="I1814" s="4">
        <f t="shared" si="46"/>
        <v>364</v>
      </c>
      <c r="J1814" s="4">
        <f t="shared" si="47"/>
        <v>546</v>
      </c>
      <c r="K1814" s="4" t="s">
        <v>2902</v>
      </c>
    </row>
    <row r="1815" spans="1:11" s="4" customFormat="1">
      <c r="A1815" s="4">
        <v>112456</v>
      </c>
      <c r="B1815" s="4">
        <v>1</v>
      </c>
      <c r="C1815" s="4">
        <v>1</v>
      </c>
      <c r="D1815" s="4">
        <v>0</v>
      </c>
      <c r="E1815" s="4">
        <v>0</v>
      </c>
      <c r="F1815" s="4">
        <v>1</v>
      </c>
      <c r="G1815" s="4">
        <v>111003</v>
      </c>
      <c r="H1815" s="4">
        <v>1</v>
      </c>
      <c r="I1815" s="4">
        <f t="shared" si="46"/>
        <v>365</v>
      </c>
      <c r="J1815" s="4">
        <f t="shared" si="47"/>
        <v>547</v>
      </c>
      <c r="K1815" s="4" t="s">
        <v>2903</v>
      </c>
    </row>
    <row r="1816" spans="1:11" s="4" customFormat="1">
      <c r="A1816" s="4">
        <v>112457</v>
      </c>
      <c r="B1816" s="4">
        <v>1</v>
      </c>
      <c r="C1816" s="4">
        <v>1</v>
      </c>
      <c r="D1816" s="4">
        <v>0</v>
      </c>
      <c r="E1816" s="4">
        <v>0</v>
      </c>
      <c r="F1816" s="4">
        <v>1</v>
      </c>
      <c r="G1816" s="4">
        <v>111003</v>
      </c>
      <c r="H1816" s="4">
        <v>1</v>
      </c>
      <c r="I1816" s="4">
        <f t="shared" si="46"/>
        <v>366</v>
      </c>
      <c r="J1816" s="4">
        <f t="shared" si="47"/>
        <v>548</v>
      </c>
      <c r="K1816" s="4" t="s">
        <v>2904</v>
      </c>
    </row>
    <row r="1817" spans="1:11" s="4" customFormat="1">
      <c r="A1817" s="4">
        <v>112458</v>
      </c>
      <c r="B1817" s="4">
        <v>1</v>
      </c>
      <c r="C1817" s="4">
        <v>1</v>
      </c>
      <c r="D1817" s="4">
        <v>0</v>
      </c>
      <c r="E1817" s="4">
        <v>0</v>
      </c>
      <c r="F1817" s="4">
        <v>1</v>
      </c>
      <c r="G1817" s="4">
        <v>111003</v>
      </c>
      <c r="H1817" s="4">
        <v>1</v>
      </c>
      <c r="I1817" s="4">
        <f t="shared" si="46"/>
        <v>366</v>
      </c>
      <c r="J1817" s="4">
        <f t="shared" si="47"/>
        <v>550</v>
      </c>
      <c r="K1817" s="4" t="s">
        <v>2905</v>
      </c>
    </row>
    <row r="1818" spans="1:11" s="4" customFormat="1">
      <c r="A1818" s="4">
        <v>112459</v>
      </c>
      <c r="B1818" s="4">
        <v>1</v>
      </c>
      <c r="C1818" s="4">
        <v>1</v>
      </c>
      <c r="D1818" s="4">
        <v>0</v>
      </c>
      <c r="E1818" s="4">
        <v>0</v>
      </c>
      <c r="F1818" s="4">
        <v>1</v>
      </c>
      <c r="G1818" s="4">
        <v>111003</v>
      </c>
      <c r="H1818" s="4">
        <v>1</v>
      </c>
      <c r="I1818" s="4">
        <f t="shared" si="46"/>
        <v>367</v>
      </c>
      <c r="J1818" s="4">
        <f t="shared" si="47"/>
        <v>551</v>
      </c>
      <c r="K1818" s="4" t="s">
        <v>2906</v>
      </c>
    </row>
    <row r="1819" spans="1:11" s="4" customFormat="1">
      <c r="A1819" s="4">
        <v>112460</v>
      </c>
      <c r="B1819" s="4">
        <v>1</v>
      </c>
      <c r="C1819" s="4">
        <v>1</v>
      </c>
      <c r="D1819" s="4">
        <v>0</v>
      </c>
      <c r="E1819" s="4">
        <v>0</v>
      </c>
      <c r="F1819" s="4">
        <v>1</v>
      </c>
      <c r="G1819" s="4">
        <v>111003</v>
      </c>
      <c r="H1819" s="4">
        <v>1</v>
      </c>
      <c r="I1819" s="4">
        <f t="shared" si="46"/>
        <v>368</v>
      </c>
      <c r="J1819" s="4">
        <f t="shared" si="47"/>
        <v>552</v>
      </c>
      <c r="K1819" s="4" t="s">
        <v>2907</v>
      </c>
    </row>
    <row r="1820" spans="1:11" s="4" customFormat="1">
      <c r="A1820" s="4">
        <v>112461</v>
      </c>
      <c r="B1820" s="4">
        <v>1</v>
      </c>
      <c r="C1820" s="4">
        <v>1</v>
      </c>
      <c r="D1820" s="4">
        <v>0</v>
      </c>
      <c r="E1820" s="4">
        <v>0</v>
      </c>
      <c r="F1820" s="4">
        <v>1</v>
      </c>
      <c r="G1820" s="4">
        <v>111003</v>
      </c>
      <c r="H1820" s="4">
        <v>1</v>
      </c>
      <c r="I1820" s="4">
        <f t="shared" si="46"/>
        <v>369</v>
      </c>
      <c r="J1820" s="4">
        <f t="shared" si="47"/>
        <v>553</v>
      </c>
      <c r="K1820" s="4" t="s">
        <v>2908</v>
      </c>
    </row>
    <row r="1821" spans="1:11" s="4" customFormat="1">
      <c r="A1821" s="4">
        <v>112462</v>
      </c>
      <c r="B1821" s="4">
        <v>1</v>
      </c>
      <c r="C1821" s="4">
        <v>1</v>
      </c>
      <c r="D1821" s="4">
        <v>0</v>
      </c>
      <c r="E1821" s="4">
        <v>0</v>
      </c>
      <c r="F1821" s="4">
        <v>1</v>
      </c>
      <c r="G1821" s="4">
        <v>111003</v>
      </c>
      <c r="H1821" s="4">
        <v>1</v>
      </c>
      <c r="I1821" s="4">
        <f t="shared" si="46"/>
        <v>370</v>
      </c>
      <c r="J1821" s="4">
        <f t="shared" si="47"/>
        <v>554</v>
      </c>
      <c r="K1821" s="4" t="s">
        <v>2909</v>
      </c>
    </row>
    <row r="1822" spans="1:11" s="4" customFormat="1">
      <c r="A1822" s="4">
        <v>112463</v>
      </c>
      <c r="B1822" s="4">
        <v>1</v>
      </c>
      <c r="C1822" s="4">
        <v>1</v>
      </c>
      <c r="D1822" s="4">
        <v>0</v>
      </c>
      <c r="E1822" s="4">
        <v>0</v>
      </c>
      <c r="F1822" s="4">
        <v>1</v>
      </c>
      <c r="G1822" s="4">
        <v>111003</v>
      </c>
      <c r="H1822" s="4">
        <v>1</v>
      </c>
      <c r="I1822" s="4">
        <f t="shared" si="46"/>
        <v>370</v>
      </c>
      <c r="J1822" s="4">
        <f t="shared" si="47"/>
        <v>556</v>
      </c>
      <c r="K1822" s="4" t="s">
        <v>2910</v>
      </c>
    </row>
    <row r="1823" spans="1:11" s="4" customFormat="1">
      <c r="A1823" s="4">
        <v>112464</v>
      </c>
      <c r="B1823" s="4">
        <v>1</v>
      </c>
      <c r="C1823" s="4">
        <v>1</v>
      </c>
      <c r="D1823" s="4">
        <v>0</v>
      </c>
      <c r="E1823" s="4">
        <v>0</v>
      </c>
      <c r="F1823" s="4">
        <v>1</v>
      </c>
      <c r="G1823" s="4">
        <v>111003</v>
      </c>
      <c r="H1823" s="4">
        <v>1</v>
      </c>
      <c r="I1823" s="4">
        <f t="shared" si="46"/>
        <v>371</v>
      </c>
      <c r="J1823" s="4">
        <f t="shared" si="47"/>
        <v>557</v>
      </c>
      <c r="K1823" s="4" t="s">
        <v>2911</v>
      </c>
    </row>
    <row r="1824" spans="1:11" s="4" customFormat="1">
      <c r="A1824" s="4">
        <v>112465</v>
      </c>
      <c r="B1824" s="4">
        <v>1</v>
      </c>
      <c r="C1824" s="4">
        <v>1</v>
      </c>
      <c r="D1824" s="4">
        <v>0</v>
      </c>
      <c r="E1824" s="4">
        <v>0</v>
      </c>
      <c r="F1824" s="4">
        <v>1</v>
      </c>
      <c r="G1824" s="4">
        <v>111003</v>
      </c>
      <c r="H1824" s="4">
        <v>1</v>
      </c>
      <c r="I1824" s="4">
        <f t="shared" si="46"/>
        <v>372</v>
      </c>
      <c r="J1824" s="4">
        <f t="shared" si="47"/>
        <v>558</v>
      </c>
      <c r="K1824" s="4" t="s">
        <v>2912</v>
      </c>
    </row>
    <row r="1825" spans="1:11" s="4" customFormat="1">
      <c r="A1825" s="4">
        <v>112466</v>
      </c>
      <c r="B1825" s="4">
        <v>1</v>
      </c>
      <c r="C1825" s="4">
        <v>1</v>
      </c>
      <c r="D1825" s="4">
        <v>0</v>
      </c>
      <c r="E1825" s="4">
        <v>0</v>
      </c>
      <c r="F1825" s="4">
        <v>1</v>
      </c>
      <c r="G1825" s="4">
        <v>111003</v>
      </c>
      <c r="H1825" s="4">
        <v>1</v>
      </c>
      <c r="I1825" s="4">
        <f t="shared" si="46"/>
        <v>373</v>
      </c>
      <c r="J1825" s="4">
        <f t="shared" si="47"/>
        <v>559</v>
      </c>
      <c r="K1825" s="4" t="s">
        <v>2913</v>
      </c>
    </row>
    <row r="1826" spans="1:11" s="4" customFormat="1">
      <c r="A1826" s="4">
        <v>112467</v>
      </c>
      <c r="B1826" s="4">
        <v>1</v>
      </c>
      <c r="C1826" s="4">
        <v>1</v>
      </c>
      <c r="D1826" s="4">
        <v>0</v>
      </c>
      <c r="E1826" s="4">
        <v>0</v>
      </c>
      <c r="F1826" s="4">
        <v>1</v>
      </c>
      <c r="G1826" s="4">
        <v>111003</v>
      </c>
      <c r="H1826" s="4">
        <v>1</v>
      </c>
      <c r="I1826" s="4">
        <f t="shared" si="46"/>
        <v>374</v>
      </c>
      <c r="J1826" s="4">
        <f t="shared" si="47"/>
        <v>560</v>
      </c>
      <c r="K1826" s="4" t="s">
        <v>2914</v>
      </c>
    </row>
    <row r="1827" spans="1:11" s="4" customFormat="1">
      <c r="A1827" s="4">
        <v>112468</v>
      </c>
      <c r="B1827" s="4">
        <v>1</v>
      </c>
      <c r="C1827" s="4">
        <v>1</v>
      </c>
      <c r="D1827" s="4">
        <v>0</v>
      </c>
      <c r="E1827" s="4">
        <v>0</v>
      </c>
      <c r="F1827" s="4">
        <v>1</v>
      </c>
      <c r="G1827" s="4">
        <v>111003</v>
      </c>
      <c r="H1827" s="4">
        <v>1</v>
      </c>
      <c r="I1827" s="4">
        <f t="shared" si="46"/>
        <v>374</v>
      </c>
      <c r="J1827" s="4">
        <f t="shared" si="47"/>
        <v>562</v>
      </c>
      <c r="K1827" s="4" t="s">
        <v>2915</v>
      </c>
    </row>
    <row r="1828" spans="1:11" s="4" customFormat="1">
      <c r="A1828" s="4">
        <v>112469</v>
      </c>
      <c r="B1828" s="4">
        <v>1</v>
      </c>
      <c r="C1828" s="4">
        <v>1</v>
      </c>
      <c r="D1828" s="4">
        <v>0</v>
      </c>
      <c r="E1828" s="4">
        <v>0</v>
      </c>
      <c r="F1828" s="4">
        <v>1</v>
      </c>
      <c r="G1828" s="4">
        <v>111003</v>
      </c>
      <c r="H1828" s="4">
        <v>1</v>
      </c>
      <c r="I1828" s="4">
        <f t="shared" si="46"/>
        <v>375</v>
      </c>
      <c r="J1828" s="4">
        <f t="shared" si="47"/>
        <v>563</v>
      </c>
      <c r="K1828" s="4" t="s">
        <v>2916</v>
      </c>
    </row>
    <row r="1829" spans="1:11" s="4" customFormat="1">
      <c r="A1829" s="4">
        <v>112470</v>
      </c>
      <c r="B1829" s="4">
        <v>1</v>
      </c>
      <c r="C1829" s="4">
        <v>1</v>
      </c>
      <c r="D1829" s="4">
        <v>0</v>
      </c>
      <c r="E1829" s="4">
        <v>0</v>
      </c>
      <c r="F1829" s="4">
        <v>1</v>
      </c>
      <c r="G1829" s="4">
        <v>111003</v>
      </c>
      <c r="H1829" s="4">
        <v>1</v>
      </c>
      <c r="I1829" s="4">
        <f t="shared" si="46"/>
        <v>376</v>
      </c>
      <c r="J1829" s="4">
        <f t="shared" si="47"/>
        <v>564</v>
      </c>
      <c r="K1829" s="4" t="s">
        <v>2917</v>
      </c>
    </row>
    <row r="1830" spans="1:11" s="4" customFormat="1">
      <c r="A1830" s="4">
        <v>112471</v>
      </c>
      <c r="B1830" s="4">
        <v>1</v>
      </c>
      <c r="C1830" s="4">
        <v>1</v>
      </c>
      <c r="D1830" s="4">
        <v>0</v>
      </c>
      <c r="E1830" s="4">
        <v>0</v>
      </c>
      <c r="F1830" s="4">
        <v>1</v>
      </c>
      <c r="G1830" s="4">
        <v>111003</v>
      </c>
      <c r="H1830" s="4">
        <v>1</v>
      </c>
      <c r="I1830" s="4">
        <f t="shared" si="46"/>
        <v>377</v>
      </c>
      <c r="J1830" s="4">
        <f t="shared" si="47"/>
        <v>565</v>
      </c>
      <c r="K1830" s="4" t="s">
        <v>2918</v>
      </c>
    </row>
    <row r="1831" spans="1:11" s="4" customFormat="1">
      <c r="A1831" s="4">
        <v>112472</v>
      </c>
      <c r="B1831" s="4">
        <v>1</v>
      </c>
      <c r="C1831" s="4">
        <v>1</v>
      </c>
      <c r="D1831" s="4">
        <v>0</v>
      </c>
      <c r="E1831" s="4">
        <v>0</v>
      </c>
      <c r="F1831" s="4">
        <v>1</v>
      </c>
      <c r="G1831" s="4">
        <v>111003</v>
      </c>
      <c r="H1831" s="4">
        <v>1</v>
      </c>
      <c r="I1831" s="4">
        <f t="shared" si="46"/>
        <v>378</v>
      </c>
      <c r="J1831" s="4">
        <f t="shared" si="47"/>
        <v>566</v>
      </c>
      <c r="K1831" s="4" t="s">
        <v>2919</v>
      </c>
    </row>
    <row r="1832" spans="1:11" s="4" customFormat="1">
      <c r="A1832" s="4">
        <v>112473</v>
      </c>
      <c r="B1832" s="4">
        <v>1</v>
      </c>
      <c r="C1832" s="4">
        <v>1</v>
      </c>
      <c r="D1832" s="4">
        <v>0</v>
      </c>
      <c r="E1832" s="4">
        <v>0</v>
      </c>
      <c r="F1832" s="4">
        <v>1</v>
      </c>
      <c r="G1832" s="4">
        <v>111003</v>
      </c>
      <c r="H1832" s="4">
        <v>1</v>
      </c>
      <c r="I1832" s="4">
        <f t="shared" si="46"/>
        <v>378</v>
      </c>
      <c r="J1832" s="4">
        <f t="shared" si="47"/>
        <v>568</v>
      </c>
      <c r="K1832" s="4" t="s">
        <v>2920</v>
      </c>
    </row>
    <row r="1833" spans="1:11" s="4" customFormat="1">
      <c r="A1833" s="4">
        <v>112474</v>
      </c>
      <c r="B1833" s="4">
        <v>1</v>
      </c>
      <c r="C1833" s="4">
        <v>1</v>
      </c>
      <c r="D1833" s="4">
        <v>0</v>
      </c>
      <c r="E1833" s="4">
        <v>0</v>
      </c>
      <c r="F1833" s="4">
        <v>1</v>
      </c>
      <c r="G1833" s="4">
        <v>111003</v>
      </c>
      <c r="H1833" s="4">
        <v>1</v>
      </c>
      <c r="I1833" s="4">
        <f t="shared" si="46"/>
        <v>379</v>
      </c>
      <c r="J1833" s="4">
        <f t="shared" si="47"/>
        <v>569</v>
      </c>
      <c r="K1833" s="4" t="s">
        <v>2921</v>
      </c>
    </row>
    <row r="1834" spans="1:11" s="4" customFormat="1">
      <c r="A1834" s="4">
        <v>112475</v>
      </c>
      <c r="B1834" s="4">
        <v>1</v>
      </c>
      <c r="C1834" s="4">
        <v>1</v>
      </c>
      <c r="D1834" s="4">
        <v>0</v>
      </c>
      <c r="E1834" s="4">
        <v>0</v>
      </c>
      <c r="F1834" s="4">
        <v>1</v>
      </c>
      <c r="G1834" s="4">
        <v>111003</v>
      </c>
      <c r="H1834" s="4">
        <v>1</v>
      </c>
      <c r="I1834" s="4">
        <f t="shared" si="46"/>
        <v>380</v>
      </c>
      <c r="J1834" s="4">
        <f t="shared" si="47"/>
        <v>570</v>
      </c>
      <c r="K1834" s="4" t="s">
        <v>2922</v>
      </c>
    </row>
    <row r="1835" spans="1:11" s="4" customFormat="1">
      <c r="A1835" s="4">
        <v>112476</v>
      </c>
      <c r="B1835" s="4">
        <v>1</v>
      </c>
      <c r="C1835" s="4">
        <v>1</v>
      </c>
      <c r="D1835" s="4">
        <v>0</v>
      </c>
      <c r="E1835" s="4">
        <v>0</v>
      </c>
      <c r="F1835" s="4">
        <v>1</v>
      </c>
      <c r="G1835" s="4">
        <v>111003</v>
      </c>
      <c r="H1835" s="4">
        <v>1</v>
      </c>
      <c r="I1835" s="4">
        <f t="shared" si="46"/>
        <v>381</v>
      </c>
      <c r="J1835" s="4">
        <f t="shared" si="47"/>
        <v>571</v>
      </c>
      <c r="K1835" s="4" t="s">
        <v>2923</v>
      </c>
    </row>
    <row r="1836" spans="1:11" s="4" customFormat="1">
      <c r="A1836" s="4">
        <v>112477</v>
      </c>
      <c r="B1836" s="4">
        <v>1</v>
      </c>
      <c r="C1836" s="4">
        <v>1</v>
      </c>
      <c r="D1836" s="4">
        <v>0</v>
      </c>
      <c r="E1836" s="4">
        <v>0</v>
      </c>
      <c r="F1836" s="4">
        <v>1</v>
      </c>
      <c r="G1836" s="4">
        <v>111003</v>
      </c>
      <c r="H1836" s="4">
        <v>1</v>
      </c>
      <c r="I1836" s="4">
        <f t="shared" si="46"/>
        <v>382</v>
      </c>
      <c r="J1836" s="4">
        <f t="shared" si="47"/>
        <v>572</v>
      </c>
      <c r="K1836" s="4" t="s">
        <v>2924</v>
      </c>
    </row>
    <row r="1837" spans="1:11" s="4" customFormat="1">
      <c r="A1837" s="4">
        <v>112478</v>
      </c>
      <c r="B1837" s="4">
        <v>1</v>
      </c>
      <c r="C1837" s="4">
        <v>1</v>
      </c>
      <c r="D1837" s="4">
        <v>0</v>
      </c>
      <c r="E1837" s="4">
        <v>0</v>
      </c>
      <c r="F1837" s="4">
        <v>1</v>
      </c>
      <c r="G1837" s="4">
        <v>111003</v>
      </c>
      <c r="H1837" s="4">
        <v>1</v>
      </c>
      <c r="I1837" s="4">
        <f t="shared" si="46"/>
        <v>382</v>
      </c>
      <c r="J1837" s="4">
        <f t="shared" si="47"/>
        <v>574</v>
      </c>
      <c r="K1837" s="4" t="s">
        <v>2925</v>
      </c>
    </row>
    <row r="1838" spans="1:11" s="4" customFormat="1">
      <c r="A1838" s="4">
        <v>112479</v>
      </c>
      <c r="B1838" s="4">
        <v>1</v>
      </c>
      <c r="C1838" s="4">
        <v>1</v>
      </c>
      <c r="D1838" s="4">
        <v>0</v>
      </c>
      <c r="E1838" s="4">
        <v>0</v>
      </c>
      <c r="F1838" s="4">
        <v>1</v>
      </c>
      <c r="G1838" s="4">
        <v>111003</v>
      </c>
      <c r="H1838" s="4">
        <v>1</v>
      </c>
      <c r="I1838" s="4">
        <f t="shared" si="46"/>
        <v>383</v>
      </c>
      <c r="J1838" s="4">
        <f t="shared" si="47"/>
        <v>575</v>
      </c>
      <c r="K1838" s="4" t="s">
        <v>2926</v>
      </c>
    </row>
    <row r="1839" spans="1:11" s="4" customFormat="1">
      <c r="A1839" s="4">
        <v>112480</v>
      </c>
      <c r="B1839" s="4">
        <v>1</v>
      </c>
      <c r="C1839" s="4">
        <v>1</v>
      </c>
      <c r="D1839" s="4">
        <v>0</v>
      </c>
      <c r="E1839" s="4">
        <v>0</v>
      </c>
      <c r="F1839" s="4">
        <v>1</v>
      </c>
      <c r="G1839" s="4">
        <v>111003</v>
      </c>
      <c r="H1839" s="4">
        <v>1</v>
      </c>
      <c r="I1839" s="4">
        <f t="shared" si="46"/>
        <v>384</v>
      </c>
      <c r="J1839" s="4">
        <f t="shared" si="47"/>
        <v>576</v>
      </c>
      <c r="K1839" s="4" t="s">
        <v>2927</v>
      </c>
    </row>
    <row r="1840" spans="1:11" s="4" customFormat="1">
      <c r="A1840" s="4">
        <v>112481</v>
      </c>
      <c r="B1840" s="4">
        <v>1</v>
      </c>
      <c r="C1840" s="4">
        <v>1</v>
      </c>
      <c r="D1840" s="4">
        <v>0</v>
      </c>
      <c r="E1840" s="4">
        <v>0</v>
      </c>
      <c r="F1840" s="4">
        <v>1</v>
      </c>
      <c r="G1840" s="4">
        <v>111003</v>
      </c>
      <c r="H1840" s="4">
        <v>1</v>
      </c>
      <c r="I1840" s="4">
        <f t="shared" si="46"/>
        <v>385</v>
      </c>
      <c r="J1840" s="4">
        <f t="shared" si="47"/>
        <v>577</v>
      </c>
      <c r="K1840" s="4" t="s">
        <v>2928</v>
      </c>
    </row>
    <row r="1841" spans="1:11" s="4" customFormat="1">
      <c r="A1841" s="4">
        <v>112482</v>
      </c>
      <c r="B1841" s="4">
        <v>1</v>
      </c>
      <c r="C1841" s="4">
        <v>1</v>
      </c>
      <c r="D1841" s="4">
        <v>0</v>
      </c>
      <c r="E1841" s="4">
        <v>0</v>
      </c>
      <c r="F1841" s="4">
        <v>1</v>
      </c>
      <c r="G1841" s="4">
        <v>111003</v>
      </c>
      <c r="H1841" s="4">
        <v>1</v>
      </c>
      <c r="I1841" s="4">
        <f t="shared" si="46"/>
        <v>386</v>
      </c>
      <c r="J1841" s="4">
        <f t="shared" si="47"/>
        <v>578</v>
      </c>
      <c r="K1841" s="4" t="s">
        <v>2929</v>
      </c>
    </row>
    <row r="1842" spans="1:11" s="4" customFormat="1">
      <c r="A1842" s="4">
        <v>112483</v>
      </c>
      <c r="B1842" s="4">
        <v>1</v>
      </c>
      <c r="C1842" s="4">
        <v>1</v>
      </c>
      <c r="D1842" s="4">
        <v>0</v>
      </c>
      <c r="E1842" s="4">
        <v>0</v>
      </c>
      <c r="F1842" s="4">
        <v>1</v>
      </c>
      <c r="G1842" s="4">
        <v>111003</v>
      </c>
      <c r="H1842" s="4">
        <v>1</v>
      </c>
      <c r="I1842" s="4">
        <f t="shared" si="46"/>
        <v>386</v>
      </c>
      <c r="J1842" s="4">
        <f t="shared" si="47"/>
        <v>580</v>
      </c>
      <c r="K1842" s="4" t="s">
        <v>2930</v>
      </c>
    </row>
    <row r="1843" spans="1:11" s="4" customFormat="1">
      <c r="A1843" s="4">
        <v>112484</v>
      </c>
      <c r="B1843" s="4">
        <v>1</v>
      </c>
      <c r="C1843" s="4">
        <v>1</v>
      </c>
      <c r="D1843" s="4">
        <v>0</v>
      </c>
      <c r="E1843" s="4">
        <v>0</v>
      </c>
      <c r="F1843" s="4">
        <v>1</v>
      </c>
      <c r="G1843" s="4">
        <v>111003</v>
      </c>
      <c r="H1843" s="4">
        <v>1</v>
      </c>
      <c r="I1843" s="4">
        <f t="shared" si="46"/>
        <v>387</v>
      </c>
      <c r="J1843" s="4">
        <f t="shared" si="47"/>
        <v>581</v>
      </c>
      <c r="K1843" s="4" t="s">
        <v>2931</v>
      </c>
    </row>
    <row r="1844" spans="1:11" s="4" customFormat="1">
      <c r="A1844" s="4">
        <v>112485</v>
      </c>
      <c r="B1844" s="4">
        <v>1</v>
      </c>
      <c r="C1844" s="4">
        <v>1</v>
      </c>
      <c r="D1844" s="4">
        <v>0</v>
      </c>
      <c r="E1844" s="4">
        <v>0</v>
      </c>
      <c r="F1844" s="4">
        <v>1</v>
      </c>
      <c r="G1844" s="4">
        <v>111003</v>
      </c>
      <c r="H1844" s="4">
        <v>1</v>
      </c>
      <c r="I1844" s="4">
        <f t="shared" si="46"/>
        <v>388</v>
      </c>
      <c r="J1844" s="4">
        <f t="shared" si="47"/>
        <v>582</v>
      </c>
      <c r="K1844" s="4" t="s">
        <v>2932</v>
      </c>
    </row>
    <row r="1845" spans="1:11" s="4" customFormat="1">
      <c r="A1845" s="4">
        <v>112486</v>
      </c>
      <c r="B1845" s="4">
        <v>1</v>
      </c>
      <c r="C1845" s="4">
        <v>1</v>
      </c>
      <c r="D1845" s="4">
        <v>0</v>
      </c>
      <c r="E1845" s="4">
        <v>0</v>
      </c>
      <c r="F1845" s="4">
        <v>1</v>
      </c>
      <c r="G1845" s="4">
        <v>111003</v>
      </c>
      <c r="H1845" s="4">
        <v>1</v>
      </c>
      <c r="I1845" s="4">
        <f t="shared" si="46"/>
        <v>389</v>
      </c>
      <c r="J1845" s="4">
        <f t="shared" si="47"/>
        <v>583</v>
      </c>
      <c r="K1845" s="4" t="s">
        <v>2933</v>
      </c>
    </row>
    <row r="1846" spans="1:11" s="4" customFormat="1">
      <c r="A1846" s="4">
        <v>112487</v>
      </c>
      <c r="B1846" s="4">
        <v>1</v>
      </c>
      <c r="C1846" s="4">
        <v>1</v>
      </c>
      <c r="D1846" s="4">
        <v>0</v>
      </c>
      <c r="E1846" s="4">
        <v>0</v>
      </c>
      <c r="F1846" s="4">
        <v>1</v>
      </c>
      <c r="G1846" s="4">
        <v>111003</v>
      </c>
      <c r="H1846" s="4">
        <v>1</v>
      </c>
      <c r="I1846" s="4">
        <f t="shared" si="46"/>
        <v>390</v>
      </c>
      <c r="J1846" s="4">
        <f t="shared" si="47"/>
        <v>584</v>
      </c>
      <c r="K1846" s="4" t="s">
        <v>2934</v>
      </c>
    </row>
    <row r="1847" spans="1:11" s="4" customFormat="1">
      <c r="A1847" s="4">
        <v>112488</v>
      </c>
      <c r="B1847" s="4">
        <v>1</v>
      </c>
      <c r="C1847" s="4">
        <v>1</v>
      </c>
      <c r="D1847" s="4">
        <v>0</v>
      </c>
      <c r="E1847" s="4">
        <v>0</v>
      </c>
      <c r="F1847" s="4">
        <v>1</v>
      </c>
      <c r="G1847" s="4">
        <v>111003</v>
      </c>
      <c r="H1847" s="4">
        <v>1</v>
      </c>
      <c r="I1847" s="4">
        <f t="shared" si="46"/>
        <v>390</v>
      </c>
      <c r="J1847" s="4">
        <f t="shared" si="47"/>
        <v>586</v>
      </c>
      <c r="K1847" s="4" t="s">
        <v>2935</v>
      </c>
    </row>
    <row r="1848" spans="1:11" s="4" customFormat="1">
      <c r="A1848" s="4">
        <v>112489</v>
      </c>
      <c r="B1848" s="4">
        <v>1</v>
      </c>
      <c r="C1848" s="4">
        <v>1</v>
      </c>
      <c r="D1848" s="4">
        <v>0</v>
      </c>
      <c r="E1848" s="4">
        <v>0</v>
      </c>
      <c r="F1848" s="4">
        <v>1</v>
      </c>
      <c r="G1848" s="4">
        <v>111003</v>
      </c>
      <c r="H1848" s="4">
        <v>1</v>
      </c>
      <c r="I1848" s="4">
        <f t="shared" si="46"/>
        <v>391</v>
      </c>
      <c r="J1848" s="4">
        <f t="shared" si="47"/>
        <v>587</v>
      </c>
      <c r="K1848" s="4" t="s">
        <v>2936</v>
      </c>
    </row>
    <row r="1849" spans="1:11" s="4" customFormat="1">
      <c r="A1849" s="4">
        <v>112490</v>
      </c>
      <c r="B1849" s="4">
        <v>1</v>
      </c>
      <c r="C1849" s="4">
        <v>1</v>
      </c>
      <c r="D1849" s="4">
        <v>0</v>
      </c>
      <c r="E1849" s="4">
        <v>0</v>
      </c>
      <c r="F1849" s="4">
        <v>1</v>
      </c>
      <c r="G1849" s="4">
        <v>111003</v>
      </c>
      <c r="H1849" s="4">
        <v>1</v>
      </c>
      <c r="I1849" s="4">
        <f t="shared" si="46"/>
        <v>392</v>
      </c>
      <c r="J1849" s="4">
        <f t="shared" si="47"/>
        <v>588</v>
      </c>
      <c r="K1849" s="4" t="s">
        <v>2937</v>
      </c>
    </row>
    <row r="1850" spans="1:11" s="4" customFormat="1">
      <c r="A1850" s="4">
        <v>112491</v>
      </c>
      <c r="B1850" s="4">
        <v>1</v>
      </c>
      <c r="C1850" s="4">
        <v>1</v>
      </c>
      <c r="D1850" s="4">
        <v>0</v>
      </c>
      <c r="E1850" s="4">
        <v>0</v>
      </c>
      <c r="F1850" s="4">
        <v>1</v>
      </c>
      <c r="G1850" s="4">
        <v>111003</v>
      </c>
      <c r="H1850" s="4">
        <v>1</v>
      </c>
      <c r="I1850" s="4">
        <f t="shared" si="46"/>
        <v>393</v>
      </c>
      <c r="J1850" s="4">
        <f t="shared" si="47"/>
        <v>589</v>
      </c>
      <c r="K1850" s="4" t="s">
        <v>2938</v>
      </c>
    </row>
    <row r="1851" spans="1:11" s="4" customFormat="1">
      <c r="A1851" s="4">
        <v>112492</v>
      </c>
      <c r="B1851" s="4">
        <v>1</v>
      </c>
      <c r="C1851" s="4">
        <v>1</v>
      </c>
      <c r="D1851" s="4">
        <v>0</v>
      </c>
      <c r="E1851" s="4">
        <v>0</v>
      </c>
      <c r="F1851" s="4">
        <v>1</v>
      </c>
      <c r="G1851" s="4">
        <v>111003</v>
      </c>
      <c r="H1851" s="4">
        <v>1</v>
      </c>
      <c r="I1851" s="4">
        <f t="shared" si="46"/>
        <v>394</v>
      </c>
      <c r="J1851" s="4">
        <f t="shared" si="47"/>
        <v>590</v>
      </c>
      <c r="K1851" s="4" t="s">
        <v>2939</v>
      </c>
    </row>
    <row r="1852" spans="1:11" s="4" customFormat="1">
      <c r="A1852" s="4">
        <v>112493</v>
      </c>
      <c r="B1852" s="4">
        <v>1</v>
      </c>
      <c r="C1852" s="4">
        <v>1</v>
      </c>
      <c r="D1852" s="4">
        <v>0</v>
      </c>
      <c r="E1852" s="4">
        <v>0</v>
      </c>
      <c r="F1852" s="4">
        <v>1</v>
      </c>
      <c r="G1852" s="4">
        <v>111003</v>
      </c>
      <c r="H1852" s="4">
        <v>1</v>
      </c>
      <c r="I1852" s="4">
        <f t="shared" si="46"/>
        <v>394</v>
      </c>
      <c r="J1852" s="4">
        <f t="shared" si="47"/>
        <v>592</v>
      </c>
      <c r="K1852" s="4" t="s">
        <v>2940</v>
      </c>
    </row>
    <row r="1853" spans="1:11" s="4" customFormat="1">
      <c r="A1853" s="4">
        <v>112494</v>
      </c>
      <c r="B1853" s="4">
        <v>1</v>
      </c>
      <c r="C1853" s="4">
        <v>1</v>
      </c>
      <c r="D1853" s="4">
        <v>0</v>
      </c>
      <c r="E1853" s="4">
        <v>0</v>
      </c>
      <c r="F1853" s="4">
        <v>1</v>
      </c>
      <c r="G1853" s="4">
        <v>111003</v>
      </c>
      <c r="H1853" s="4">
        <v>1</v>
      </c>
      <c r="I1853" s="4">
        <f t="shared" si="46"/>
        <v>395</v>
      </c>
      <c r="J1853" s="4">
        <f t="shared" si="47"/>
        <v>593</v>
      </c>
      <c r="K1853" s="4" t="s">
        <v>2941</v>
      </c>
    </row>
    <row r="1854" spans="1:11" s="4" customFormat="1">
      <c r="A1854" s="4">
        <v>112495</v>
      </c>
      <c r="B1854" s="4">
        <v>1</v>
      </c>
      <c r="C1854" s="4">
        <v>1</v>
      </c>
      <c r="D1854" s="4">
        <v>0</v>
      </c>
      <c r="E1854" s="4">
        <v>0</v>
      </c>
      <c r="F1854" s="4">
        <v>1</v>
      </c>
      <c r="G1854" s="4">
        <v>111003</v>
      </c>
      <c r="H1854" s="4">
        <v>1</v>
      </c>
      <c r="I1854" s="4">
        <f t="shared" si="46"/>
        <v>396</v>
      </c>
      <c r="J1854" s="4">
        <f t="shared" si="47"/>
        <v>594</v>
      </c>
      <c r="K1854" s="4" t="s">
        <v>2942</v>
      </c>
    </row>
    <row r="1855" spans="1:11" s="4" customFormat="1">
      <c r="A1855" s="4">
        <v>112496</v>
      </c>
      <c r="B1855" s="4">
        <v>1</v>
      </c>
      <c r="C1855" s="4">
        <v>1</v>
      </c>
      <c r="D1855" s="4">
        <v>0</v>
      </c>
      <c r="E1855" s="4">
        <v>0</v>
      </c>
      <c r="F1855" s="4">
        <v>1</v>
      </c>
      <c r="G1855" s="4">
        <v>111003</v>
      </c>
      <c r="H1855" s="4">
        <v>1</v>
      </c>
      <c r="I1855" s="4">
        <f t="shared" si="46"/>
        <v>397</v>
      </c>
      <c r="J1855" s="4">
        <f t="shared" si="47"/>
        <v>595</v>
      </c>
      <c r="K1855" s="4" t="s">
        <v>2943</v>
      </c>
    </row>
    <row r="1856" spans="1:11" s="4" customFormat="1">
      <c r="A1856" s="4">
        <v>112497</v>
      </c>
      <c r="B1856" s="4">
        <v>1</v>
      </c>
      <c r="C1856" s="4">
        <v>1</v>
      </c>
      <c r="D1856" s="4">
        <v>0</v>
      </c>
      <c r="E1856" s="4">
        <v>0</v>
      </c>
      <c r="F1856" s="4">
        <v>1</v>
      </c>
      <c r="G1856" s="4">
        <v>111003</v>
      </c>
      <c r="H1856" s="4">
        <v>1</v>
      </c>
      <c r="I1856" s="4">
        <f t="shared" si="46"/>
        <v>398</v>
      </c>
      <c r="J1856" s="4">
        <f t="shared" si="47"/>
        <v>596</v>
      </c>
      <c r="K1856" s="4" t="s">
        <v>2944</v>
      </c>
    </row>
    <row r="1857" spans="1:11" s="4" customFormat="1">
      <c r="A1857" s="4">
        <v>112498</v>
      </c>
      <c r="B1857" s="4">
        <v>1</v>
      </c>
      <c r="C1857" s="4">
        <v>1</v>
      </c>
      <c r="D1857" s="4">
        <v>0</v>
      </c>
      <c r="E1857" s="4">
        <v>0</v>
      </c>
      <c r="F1857" s="4">
        <v>1</v>
      </c>
      <c r="G1857" s="4">
        <v>111003</v>
      </c>
      <c r="H1857" s="4">
        <v>1</v>
      </c>
      <c r="I1857" s="4">
        <f t="shared" si="46"/>
        <v>398</v>
      </c>
      <c r="J1857" s="4">
        <f t="shared" si="47"/>
        <v>598</v>
      </c>
      <c r="K1857" s="4" t="s">
        <v>2945</v>
      </c>
    </row>
    <row r="1858" spans="1:11" s="4" customFormat="1">
      <c r="A1858" s="4">
        <v>112499</v>
      </c>
      <c r="B1858" s="4">
        <v>1</v>
      </c>
      <c r="C1858" s="4">
        <v>1</v>
      </c>
      <c r="D1858" s="4">
        <v>0</v>
      </c>
      <c r="E1858" s="4">
        <v>0</v>
      </c>
      <c r="F1858" s="4">
        <v>1</v>
      </c>
      <c r="G1858" s="4">
        <v>111003</v>
      </c>
      <c r="H1858" s="4">
        <v>1</v>
      </c>
      <c r="I1858" s="4">
        <f t="shared" si="46"/>
        <v>399</v>
      </c>
      <c r="J1858" s="4">
        <f t="shared" si="47"/>
        <v>599</v>
      </c>
      <c r="K1858" s="4" t="s">
        <v>2946</v>
      </c>
    </row>
    <row r="1859" spans="1:11" s="4" customFormat="1">
      <c r="A1859" s="4">
        <v>112500</v>
      </c>
      <c r="B1859" s="4">
        <v>1</v>
      </c>
      <c r="C1859" s="4">
        <v>1</v>
      </c>
      <c r="D1859" s="4">
        <v>0</v>
      </c>
      <c r="E1859" s="4">
        <v>0</v>
      </c>
      <c r="F1859" s="4">
        <v>1</v>
      </c>
      <c r="G1859" s="4">
        <v>111003</v>
      </c>
      <c r="H1859" s="4">
        <v>1</v>
      </c>
      <c r="I1859" s="4">
        <f t="shared" si="46"/>
        <v>400</v>
      </c>
      <c r="J1859" s="4">
        <f t="shared" si="47"/>
        <v>600</v>
      </c>
      <c r="K1859" s="4" t="s">
        <v>2947</v>
      </c>
    </row>
    <row r="1860" spans="1:11" s="4" customFormat="1">
      <c r="A1860" s="4">
        <v>114000</v>
      </c>
      <c r="B1860" s="4">
        <v>1</v>
      </c>
      <c r="C1860" s="4">
        <v>1</v>
      </c>
      <c r="D1860" s="4">
        <v>0</v>
      </c>
      <c r="E1860" s="4">
        <v>0</v>
      </c>
      <c r="F1860" s="4">
        <v>1</v>
      </c>
      <c r="G1860" s="4">
        <v>114003</v>
      </c>
      <c r="H1860" s="4">
        <v>6818</v>
      </c>
      <c r="I1860" s="4">
        <v>1</v>
      </c>
      <c r="J1860" s="4">
        <v>1</v>
      </c>
      <c r="K1860" s="4" t="s">
        <v>1788</v>
      </c>
    </row>
    <row r="1861" spans="1:11" s="4" customFormat="1">
      <c r="A1861" s="4">
        <v>114000</v>
      </c>
      <c r="B1861" s="4">
        <v>1</v>
      </c>
      <c r="C1861" s="4">
        <v>1</v>
      </c>
      <c r="D1861" s="4">
        <v>0</v>
      </c>
      <c r="E1861" s="4">
        <v>0</v>
      </c>
      <c r="F1861" s="4">
        <v>1</v>
      </c>
      <c r="G1861" s="4">
        <v>114004</v>
      </c>
      <c r="H1861" s="4">
        <v>6851</v>
      </c>
      <c r="I1861" s="4">
        <v>1</v>
      </c>
      <c r="J1861" s="4">
        <v>1</v>
      </c>
      <c r="K1861" s="4" t="s">
        <v>1789</v>
      </c>
    </row>
    <row r="1862" spans="1:11" s="4" customFormat="1">
      <c r="A1862" s="4">
        <v>114000</v>
      </c>
      <c r="B1862" s="4">
        <v>1</v>
      </c>
      <c r="C1862" s="4">
        <v>1</v>
      </c>
      <c r="D1862" s="4">
        <v>0</v>
      </c>
      <c r="E1862" s="4">
        <v>0</v>
      </c>
      <c r="F1862" s="4">
        <v>1</v>
      </c>
      <c r="G1862" s="4">
        <v>114005</v>
      </c>
      <c r="H1862" s="4">
        <v>6883</v>
      </c>
      <c r="I1862" s="4">
        <v>1</v>
      </c>
      <c r="J1862" s="4">
        <v>1</v>
      </c>
      <c r="K1862" s="4" t="s">
        <v>1790</v>
      </c>
    </row>
    <row r="1863" spans="1:11" s="4" customFormat="1">
      <c r="A1863" s="4">
        <v>114000</v>
      </c>
      <c r="B1863" s="4">
        <v>1</v>
      </c>
      <c r="C1863" s="4">
        <v>1</v>
      </c>
      <c r="D1863" s="4">
        <v>0</v>
      </c>
      <c r="E1863" s="4">
        <v>0</v>
      </c>
      <c r="F1863" s="4">
        <v>1</v>
      </c>
      <c r="G1863" s="4">
        <v>114006</v>
      </c>
      <c r="H1863" s="4">
        <v>6916</v>
      </c>
      <c r="I1863" s="4">
        <v>1</v>
      </c>
      <c r="J1863" s="4">
        <v>1</v>
      </c>
      <c r="K1863" s="4" t="s">
        <v>1791</v>
      </c>
    </row>
    <row r="1864" spans="1:11" s="4" customFormat="1">
      <c r="A1864" s="4">
        <v>114000</v>
      </c>
      <c r="B1864" s="4">
        <v>1</v>
      </c>
      <c r="C1864" s="4">
        <v>1</v>
      </c>
      <c r="D1864" s="4">
        <v>0</v>
      </c>
      <c r="E1864" s="4">
        <v>0</v>
      </c>
      <c r="F1864" s="4">
        <v>1</v>
      </c>
      <c r="G1864" s="4">
        <v>114007</v>
      </c>
      <c r="H1864" s="4">
        <v>6948</v>
      </c>
      <c r="I1864" s="4">
        <v>1</v>
      </c>
      <c r="J1864" s="4">
        <v>1</v>
      </c>
      <c r="K1864" s="4" t="s">
        <v>1792</v>
      </c>
    </row>
    <row r="1865" spans="1:11" s="4" customFormat="1">
      <c r="A1865" s="4">
        <v>114000</v>
      </c>
      <c r="B1865" s="4">
        <v>1</v>
      </c>
      <c r="C1865" s="4">
        <v>1</v>
      </c>
      <c r="D1865" s="4">
        <v>0</v>
      </c>
      <c r="E1865" s="4">
        <v>0</v>
      </c>
      <c r="F1865" s="4">
        <v>1</v>
      </c>
      <c r="G1865" s="4">
        <v>114008</v>
      </c>
      <c r="H1865" s="4">
        <v>6981</v>
      </c>
      <c r="I1865" s="4">
        <v>1</v>
      </c>
      <c r="J1865" s="4">
        <v>1</v>
      </c>
      <c r="K1865" s="4" t="s">
        <v>1793</v>
      </c>
    </row>
    <row r="1866" spans="1:11" s="4" customFormat="1">
      <c r="A1866" s="4">
        <v>114000</v>
      </c>
      <c r="B1866" s="4">
        <v>1</v>
      </c>
      <c r="C1866" s="4">
        <v>1</v>
      </c>
      <c r="D1866" s="4">
        <v>0</v>
      </c>
      <c r="E1866" s="4">
        <v>0</v>
      </c>
      <c r="F1866" s="4">
        <v>1</v>
      </c>
      <c r="G1866" s="4">
        <v>114009</v>
      </c>
      <c r="H1866" s="4">
        <v>7013</v>
      </c>
      <c r="I1866" s="4">
        <v>1</v>
      </c>
      <c r="J1866" s="4">
        <v>1</v>
      </c>
      <c r="K1866" s="4" t="s">
        <v>1794</v>
      </c>
    </row>
    <row r="1867" spans="1:11" s="4" customFormat="1">
      <c r="A1867" s="4">
        <v>114000</v>
      </c>
      <c r="B1867" s="4">
        <v>1</v>
      </c>
      <c r="C1867" s="4">
        <v>1</v>
      </c>
      <c r="D1867" s="4">
        <v>0</v>
      </c>
      <c r="E1867" s="4">
        <v>0</v>
      </c>
      <c r="F1867" s="4">
        <v>1</v>
      </c>
      <c r="G1867" s="4">
        <v>114010</v>
      </c>
      <c r="H1867" s="4">
        <v>7045</v>
      </c>
      <c r="I1867" s="4">
        <v>1</v>
      </c>
      <c r="J1867" s="4">
        <v>1</v>
      </c>
      <c r="K1867" s="4" t="s">
        <v>1795</v>
      </c>
    </row>
    <row r="1868" spans="1:11" s="4" customFormat="1">
      <c r="A1868" s="4">
        <v>114000</v>
      </c>
      <c r="B1868" s="4">
        <v>1</v>
      </c>
      <c r="C1868" s="4">
        <v>1</v>
      </c>
      <c r="D1868" s="4">
        <v>0</v>
      </c>
      <c r="E1868" s="4">
        <v>0</v>
      </c>
      <c r="F1868" s="4">
        <v>1</v>
      </c>
      <c r="G1868" s="4">
        <v>114011</v>
      </c>
      <c r="H1868" s="4">
        <v>7078</v>
      </c>
      <c r="I1868" s="4">
        <v>1</v>
      </c>
      <c r="J1868" s="4">
        <v>1</v>
      </c>
      <c r="K1868" s="4" t="s">
        <v>1796</v>
      </c>
    </row>
    <row r="1869" spans="1:11" s="4" customFormat="1">
      <c r="A1869" s="4">
        <v>114000</v>
      </c>
      <c r="B1869" s="4">
        <v>1</v>
      </c>
      <c r="C1869" s="4">
        <v>1</v>
      </c>
      <c r="D1869" s="4">
        <v>0</v>
      </c>
      <c r="E1869" s="4">
        <v>0</v>
      </c>
      <c r="F1869" s="4">
        <v>1</v>
      </c>
      <c r="G1869" s="4">
        <v>114012</v>
      </c>
      <c r="H1869" s="4">
        <v>7110</v>
      </c>
      <c r="I1869" s="4">
        <v>1</v>
      </c>
      <c r="J1869" s="4">
        <v>1</v>
      </c>
      <c r="K1869" s="4" t="s">
        <v>1797</v>
      </c>
    </row>
    <row r="1870" spans="1:11" s="4" customFormat="1">
      <c r="A1870" s="4">
        <v>114000</v>
      </c>
      <c r="B1870" s="4">
        <v>1</v>
      </c>
      <c r="C1870" s="4">
        <v>1</v>
      </c>
      <c r="D1870" s="4">
        <v>0</v>
      </c>
      <c r="E1870" s="4">
        <v>0</v>
      </c>
      <c r="F1870" s="4">
        <v>1</v>
      </c>
      <c r="G1870" s="4">
        <v>114013</v>
      </c>
      <c r="H1870" s="4">
        <v>7143</v>
      </c>
      <c r="I1870" s="4">
        <v>1</v>
      </c>
      <c r="J1870" s="4">
        <v>1</v>
      </c>
      <c r="K1870" s="4" t="s">
        <v>1798</v>
      </c>
    </row>
    <row r="1871" spans="1:11" s="4" customFormat="1">
      <c r="A1871" s="4">
        <v>114000</v>
      </c>
      <c r="B1871" s="4">
        <v>1</v>
      </c>
      <c r="C1871" s="4">
        <v>1</v>
      </c>
      <c r="D1871" s="4">
        <v>0</v>
      </c>
      <c r="E1871" s="4">
        <v>0</v>
      </c>
      <c r="F1871" s="4">
        <v>1</v>
      </c>
      <c r="G1871" s="4">
        <v>114014</v>
      </c>
      <c r="H1871" s="4">
        <v>7143</v>
      </c>
      <c r="I1871" s="4">
        <v>1</v>
      </c>
      <c r="J1871" s="4">
        <v>1</v>
      </c>
      <c r="K1871" s="4" t="s">
        <v>1799</v>
      </c>
    </row>
    <row r="1872" spans="1:11" s="4" customFormat="1">
      <c r="A1872" s="4">
        <v>114000</v>
      </c>
      <c r="B1872" s="4">
        <v>1</v>
      </c>
      <c r="C1872" s="4">
        <v>1</v>
      </c>
      <c r="D1872" s="4">
        <v>0</v>
      </c>
      <c r="E1872" s="4">
        <v>0</v>
      </c>
      <c r="F1872" s="4">
        <v>1</v>
      </c>
      <c r="G1872" s="4">
        <v>114015</v>
      </c>
      <c r="H1872" s="4">
        <v>7143</v>
      </c>
      <c r="I1872" s="4">
        <v>1</v>
      </c>
      <c r="J1872" s="4">
        <v>1</v>
      </c>
      <c r="K1872" s="4" t="s">
        <v>1800</v>
      </c>
    </row>
    <row r="1873" spans="1:11" s="4" customFormat="1">
      <c r="A1873" s="4">
        <v>114000</v>
      </c>
      <c r="B1873" s="4">
        <v>1</v>
      </c>
      <c r="C1873" s="4">
        <v>1</v>
      </c>
      <c r="D1873" s="4">
        <v>0</v>
      </c>
      <c r="E1873" s="4">
        <v>0</v>
      </c>
      <c r="F1873" s="4">
        <v>1</v>
      </c>
      <c r="G1873" s="4">
        <v>114016</v>
      </c>
      <c r="H1873" s="4">
        <v>7143</v>
      </c>
      <c r="I1873" s="4">
        <v>1</v>
      </c>
      <c r="J1873" s="4">
        <v>1</v>
      </c>
      <c r="K1873" s="4" t="s">
        <v>1801</v>
      </c>
    </row>
    <row r="1874" spans="1:11" s="4" customFormat="1">
      <c r="A1874" s="4">
        <v>114000</v>
      </c>
      <c r="B1874" s="4">
        <v>1</v>
      </c>
      <c r="C1874" s="4">
        <v>1</v>
      </c>
      <c r="D1874" s="4">
        <v>0</v>
      </c>
      <c r="E1874" s="4">
        <v>0</v>
      </c>
      <c r="F1874" s="4">
        <v>1</v>
      </c>
      <c r="G1874" s="4">
        <v>114017</v>
      </c>
      <c r="H1874" s="4">
        <v>325</v>
      </c>
      <c r="I1874" s="4">
        <v>1</v>
      </c>
      <c r="J1874" s="4">
        <v>1</v>
      </c>
      <c r="K1874" s="4" t="s">
        <v>1802</v>
      </c>
    </row>
    <row r="1875" spans="1:11" s="4" customFormat="1">
      <c r="A1875" s="4">
        <v>114000</v>
      </c>
      <c r="B1875" s="4">
        <v>1</v>
      </c>
      <c r="C1875" s="4">
        <v>1</v>
      </c>
      <c r="D1875" s="4">
        <v>0</v>
      </c>
      <c r="E1875" s="4">
        <v>0</v>
      </c>
      <c r="F1875" s="4">
        <v>1</v>
      </c>
      <c r="G1875" s="4">
        <v>114018</v>
      </c>
      <c r="H1875" s="4">
        <v>292</v>
      </c>
      <c r="I1875" s="4">
        <v>1</v>
      </c>
      <c r="J1875" s="4">
        <v>1</v>
      </c>
      <c r="K1875" s="4" t="s">
        <v>1803</v>
      </c>
    </row>
    <row r="1876" spans="1:11" s="4" customFormat="1">
      <c r="A1876" s="4">
        <v>114000</v>
      </c>
      <c r="B1876" s="4">
        <v>1</v>
      </c>
      <c r="C1876" s="4">
        <v>1</v>
      </c>
      <c r="D1876" s="4">
        <v>0</v>
      </c>
      <c r="E1876" s="4">
        <v>0</v>
      </c>
      <c r="F1876" s="4">
        <v>1</v>
      </c>
      <c r="G1876" s="4">
        <v>114019</v>
      </c>
      <c r="H1876" s="4">
        <v>260</v>
      </c>
      <c r="I1876" s="4">
        <v>1</v>
      </c>
      <c r="J1876" s="4">
        <v>1</v>
      </c>
      <c r="K1876" s="4" t="s">
        <v>1804</v>
      </c>
    </row>
    <row r="1877" spans="1:11" s="4" customFormat="1">
      <c r="A1877" s="4">
        <v>114000</v>
      </c>
      <c r="B1877" s="4">
        <v>1</v>
      </c>
      <c r="C1877" s="4">
        <v>1</v>
      </c>
      <c r="D1877" s="4">
        <v>0</v>
      </c>
      <c r="E1877" s="4">
        <v>0</v>
      </c>
      <c r="F1877" s="4">
        <v>1</v>
      </c>
      <c r="G1877" s="4">
        <v>114020</v>
      </c>
      <c r="H1877" s="4">
        <v>227</v>
      </c>
      <c r="I1877" s="4">
        <v>1</v>
      </c>
      <c r="J1877" s="4">
        <v>1</v>
      </c>
      <c r="K1877" s="4" t="s">
        <v>1805</v>
      </c>
    </row>
    <row r="1878" spans="1:11" s="4" customFormat="1">
      <c r="A1878" s="4">
        <v>114000</v>
      </c>
      <c r="B1878" s="4">
        <v>1</v>
      </c>
      <c r="C1878" s="4">
        <v>1</v>
      </c>
      <c r="D1878" s="4">
        <v>0</v>
      </c>
      <c r="E1878" s="4">
        <v>0</v>
      </c>
      <c r="F1878" s="4">
        <v>1</v>
      </c>
      <c r="G1878" s="4">
        <v>114021</v>
      </c>
      <c r="H1878" s="4">
        <v>195</v>
      </c>
      <c r="I1878" s="4">
        <v>1</v>
      </c>
      <c r="J1878" s="4">
        <v>1</v>
      </c>
      <c r="K1878" s="4" t="s">
        <v>1806</v>
      </c>
    </row>
    <row r="1879" spans="1:11" s="4" customFormat="1">
      <c r="A1879" s="4">
        <v>114000</v>
      </c>
      <c r="B1879" s="4">
        <v>1</v>
      </c>
      <c r="C1879" s="4">
        <v>1</v>
      </c>
      <c r="D1879" s="4">
        <v>0</v>
      </c>
      <c r="E1879" s="4">
        <v>0</v>
      </c>
      <c r="F1879" s="4">
        <v>1</v>
      </c>
      <c r="G1879" s="4">
        <v>114022</v>
      </c>
      <c r="H1879" s="4">
        <v>162</v>
      </c>
      <c r="I1879" s="4">
        <v>1</v>
      </c>
      <c r="J1879" s="4">
        <v>1</v>
      </c>
      <c r="K1879" s="4" t="s">
        <v>1807</v>
      </c>
    </row>
    <row r="1880" spans="1:11" s="4" customFormat="1">
      <c r="A1880" s="4">
        <v>114000</v>
      </c>
      <c r="B1880" s="4">
        <v>1</v>
      </c>
      <c r="C1880" s="4">
        <v>1</v>
      </c>
      <c r="D1880" s="4">
        <v>0</v>
      </c>
      <c r="E1880" s="4">
        <v>0</v>
      </c>
      <c r="F1880" s="4">
        <v>1</v>
      </c>
      <c r="G1880" s="4">
        <v>114023</v>
      </c>
      <c r="H1880" s="4">
        <v>130</v>
      </c>
      <c r="I1880" s="4">
        <v>1</v>
      </c>
      <c r="J1880" s="4">
        <v>1</v>
      </c>
      <c r="K1880" s="4" t="s">
        <v>1808</v>
      </c>
    </row>
    <row r="1881" spans="1:11" s="4" customFormat="1">
      <c r="A1881" s="4">
        <v>114000</v>
      </c>
      <c r="B1881" s="4">
        <v>1</v>
      </c>
      <c r="C1881" s="4">
        <v>1</v>
      </c>
      <c r="D1881" s="4">
        <v>0</v>
      </c>
      <c r="E1881" s="4">
        <v>0</v>
      </c>
      <c r="F1881" s="4">
        <v>1</v>
      </c>
      <c r="G1881" s="4">
        <v>114024</v>
      </c>
      <c r="H1881" s="4">
        <v>97</v>
      </c>
      <c r="I1881" s="4">
        <v>1</v>
      </c>
      <c r="J1881" s="4">
        <v>1</v>
      </c>
      <c r="K1881" s="4" t="s">
        <v>1809</v>
      </c>
    </row>
    <row r="1882" spans="1:11" s="4" customFormat="1">
      <c r="A1882" s="4">
        <v>114000</v>
      </c>
      <c r="B1882" s="4">
        <v>1</v>
      </c>
      <c r="C1882" s="4">
        <v>1</v>
      </c>
      <c r="D1882" s="4">
        <v>0</v>
      </c>
      <c r="E1882" s="4">
        <v>0</v>
      </c>
      <c r="F1882" s="4">
        <v>1</v>
      </c>
      <c r="G1882" s="4">
        <v>114025</v>
      </c>
      <c r="H1882" s="4">
        <v>65</v>
      </c>
      <c r="I1882" s="4">
        <v>1</v>
      </c>
      <c r="J1882" s="4">
        <v>1</v>
      </c>
      <c r="K1882" s="4" t="s">
        <v>1810</v>
      </c>
    </row>
    <row r="1883" spans="1:11" s="4" customFormat="1">
      <c r="A1883" s="4">
        <v>114000</v>
      </c>
      <c r="B1883" s="4">
        <v>1</v>
      </c>
      <c r="C1883" s="4">
        <v>1</v>
      </c>
      <c r="D1883" s="4">
        <v>0</v>
      </c>
      <c r="E1883" s="4">
        <v>0</v>
      </c>
      <c r="F1883" s="4">
        <v>1</v>
      </c>
      <c r="G1883" s="4">
        <v>114026</v>
      </c>
      <c r="H1883" s="4">
        <v>32</v>
      </c>
      <c r="I1883" s="4">
        <v>1</v>
      </c>
      <c r="J1883" s="4">
        <v>1</v>
      </c>
      <c r="K1883" s="4" t="s">
        <v>1811</v>
      </c>
    </row>
    <row r="1884" spans="1:11" s="4" customFormat="1">
      <c r="A1884" s="4">
        <v>115000</v>
      </c>
      <c r="B1884" s="4">
        <v>1</v>
      </c>
      <c r="C1884" s="4">
        <v>1</v>
      </c>
      <c r="D1884" s="4">
        <v>0</v>
      </c>
      <c r="E1884" s="4">
        <v>0</v>
      </c>
      <c r="F1884" s="4">
        <v>1</v>
      </c>
      <c r="G1884" s="4">
        <v>115003</v>
      </c>
      <c r="H1884" s="4">
        <v>6818</v>
      </c>
      <c r="I1884" s="4">
        <v>1</v>
      </c>
      <c r="J1884" s="4">
        <v>1</v>
      </c>
      <c r="K1884" s="4" t="s">
        <v>1812</v>
      </c>
    </row>
    <row r="1885" spans="1:11" s="4" customFormat="1">
      <c r="A1885" s="4">
        <v>115000</v>
      </c>
      <c r="B1885" s="4">
        <v>1</v>
      </c>
      <c r="C1885" s="4">
        <v>1</v>
      </c>
      <c r="D1885" s="4">
        <v>0</v>
      </c>
      <c r="E1885" s="4">
        <v>0</v>
      </c>
      <c r="F1885" s="4">
        <v>1</v>
      </c>
      <c r="G1885" s="4">
        <v>115004</v>
      </c>
      <c r="H1885" s="4">
        <v>6851</v>
      </c>
      <c r="I1885" s="4">
        <v>1</v>
      </c>
      <c r="J1885" s="4">
        <v>1</v>
      </c>
      <c r="K1885" s="4" t="s">
        <v>1813</v>
      </c>
    </row>
    <row r="1886" spans="1:11" s="4" customFormat="1">
      <c r="A1886" s="4">
        <v>115000</v>
      </c>
      <c r="B1886" s="4">
        <v>1</v>
      </c>
      <c r="C1886" s="4">
        <v>1</v>
      </c>
      <c r="D1886" s="4">
        <v>0</v>
      </c>
      <c r="E1886" s="4">
        <v>0</v>
      </c>
      <c r="F1886" s="4">
        <v>1</v>
      </c>
      <c r="G1886" s="4">
        <v>115005</v>
      </c>
      <c r="H1886" s="4">
        <v>6883</v>
      </c>
      <c r="I1886" s="4">
        <v>1</v>
      </c>
      <c r="J1886" s="4">
        <v>1</v>
      </c>
      <c r="K1886" s="4" t="s">
        <v>1814</v>
      </c>
    </row>
    <row r="1887" spans="1:11" s="4" customFormat="1">
      <c r="A1887" s="4">
        <v>115000</v>
      </c>
      <c r="B1887" s="4">
        <v>1</v>
      </c>
      <c r="C1887" s="4">
        <v>1</v>
      </c>
      <c r="D1887" s="4">
        <v>0</v>
      </c>
      <c r="E1887" s="4">
        <v>0</v>
      </c>
      <c r="F1887" s="4">
        <v>1</v>
      </c>
      <c r="G1887" s="4">
        <v>115006</v>
      </c>
      <c r="H1887" s="4">
        <v>6916</v>
      </c>
      <c r="I1887" s="4">
        <v>1</v>
      </c>
      <c r="J1887" s="4">
        <v>1</v>
      </c>
      <c r="K1887" s="4" t="s">
        <v>1815</v>
      </c>
    </row>
    <row r="1888" spans="1:11" s="4" customFormat="1">
      <c r="A1888" s="4">
        <v>115000</v>
      </c>
      <c r="B1888" s="4">
        <v>1</v>
      </c>
      <c r="C1888" s="4">
        <v>1</v>
      </c>
      <c r="D1888" s="4">
        <v>0</v>
      </c>
      <c r="E1888" s="4">
        <v>0</v>
      </c>
      <c r="F1888" s="4">
        <v>1</v>
      </c>
      <c r="G1888" s="4">
        <v>115007</v>
      </c>
      <c r="H1888" s="4">
        <v>6948</v>
      </c>
      <c r="I1888" s="4">
        <v>1</v>
      </c>
      <c r="J1888" s="4">
        <v>1</v>
      </c>
      <c r="K1888" s="4" t="s">
        <v>1816</v>
      </c>
    </row>
    <row r="1889" spans="1:11" s="4" customFormat="1">
      <c r="A1889" s="4">
        <v>115000</v>
      </c>
      <c r="B1889" s="4">
        <v>1</v>
      </c>
      <c r="C1889" s="4">
        <v>1</v>
      </c>
      <c r="D1889" s="4">
        <v>0</v>
      </c>
      <c r="E1889" s="4">
        <v>0</v>
      </c>
      <c r="F1889" s="4">
        <v>1</v>
      </c>
      <c r="G1889" s="4">
        <v>115008</v>
      </c>
      <c r="H1889" s="4">
        <v>6981</v>
      </c>
      <c r="I1889" s="4">
        <v>1</v>
      </c>
      <c r="J1889" s="4">
        <v>1</v>
      </c>
      <c r="K1889" s="4" t="s">
        <v>1817</v>
      </c>
    </row>
    <row r="1890" spans="1:11" s="4" customFormat="1">
      <c r="A1890" s="4">
        <v>115000</v>
      </c>
      <c r="B1890" s="4">
        <v>1</v>
      </c>
      <c r="C1890" s="4">
        <v>1</v>
      </c>
      <c r="D1890" s="4">
        <v>0</v>
      </c>
      <c r="E1890" s="4">
        <v>0</v>
      </c>
      <c r="F1890" s="4">
        <v>1</v>
      </c>
      <c r="G1890" s="4">
        <v>115009</v>
      </c>
      <c r="H1890" s="4">
        <v>7013</v>
      </c>
      <c r="I1890" s="4">
        <v>1</v>
      </c>
      <c r="J1890" s="4">
        <v>1</v>
      </c>
      <c r="K1890" s="4" t="s">
        <v>1818</v>
      </c>
    </row>
    <row r="1891" spans="1:11" s="4" customFormat="1">
      <c r="A1891" s="4">
        <v>115000</v>
      </c>
      <c r="B1891" s="4">
        <v>1</v>
      </c>
      <c r="C1891" s="4">
        <v>1</v>
      </c>
      <c r="D1891" s="4">
        <v>0</v>
      </c>
      <c r="E1891" s="4">
        <v>0</v>
      </c>
      <c r="F1891" s="4">
        <v>1</v>
      </c>
      <c r="G1891" s="4">
        <v>115010</v>
      </c>
      <c r="H1891" s="4">
        <v>7045</v>
      </c>
      <c r="I1891" s="4">
        <v>1</v>
      </c>
      <c r="J1891" s="4">
        <v>1</v>
      </c>
      <c r="K1891" s="4" t="s">
        <v>1819</v>
      </c>
    </row>
    <row r="1892" spans="1:11" s="4" customFormat="1">
      <c r="A1892" s="4">
        <v>115000</v>
      </c>
      <c r="B1892" s="4">
        <v>1</v>
      </c>
      <c r="C1892" s="4">
        <v>1</v>
      </c>
      <c r="D1892" s="4">
        <v>0</v>
      </c>
      <c r="E1892" s="4">
        <v>0</v>
      </c>
      <c r="F1892" s="4">
        <v>1</v>
      </c>
      <c r="G1892" s="4">
        <v>115011</v>
      </c>
      <c r="H1892" s="4">
        <v>7078</v>
      </c>
      <c r="I1892" s="4">
        <v>1</v>
      </c>
      <c r="J1892" s="4">
        <v>1</v>
      </c>
      <c r="K1892" s="4" t="s">
        <v>1820</v>
      </c>
    </row>
    <row r="1893" spans="1:11" s="4" customFormat="1">
      <c r="A1893" s="4">
        <v>115000</v>
      </c>
      <c r="B1893" s="4">
        <v>1</v>
      </c>
      <c r="C1893" s="4">
        <v>1</v>
      </c>
      <c r="D1893" s="4">
        <v>0</v>
      </c>
      <c r="E1893" s="4">
        <v>0</v>
      </c>
      <c r="F1893" s="4">
        <v>1</v>
      </c>
      <c r="G1893" s="4">
        <v>115012</v>
      </c>
      <c r="H1893" s="4">
        <v>7110</v>
      </c>
      <c r="I1893" s="4">
        <v>1</v>
      </c>
      <c r="J1893" s="4">
        <v>1</v>
      </c>
      <c r="K1893" s="4" t="s">
        <v>1821</v>
      </c>
    </row>
    <row r="1894" spans="1:11" s="4" customFormat="1">
      <c r="A1894" s="4">
        <v>115000</v>
      </c>
      <c r="B1894" s="4">
        <v>1</v>
      </c>
      <c r="C1894" s="4">
        <v>1</v>
      </c>
      <c r="D1894" s="4">
        <v>0</v>
      </c>
      <c r="E1894" s="4">
        <v>0</v>
      </c>
      <c r="F1894" s="4">
        <v>1</v>
      </c>
      <c r="G1894" s="4">
        <v>115013</v>
      </c>
      <c r="H1894" s="4">
        <v>7143</v>
      </c>
      <c r="I1894" s="4">
        <v>1</v>
      </c>
      <c r="J1894" s="4">
        <v>1</v>
      </c>
      <c r="K1894" s="4" t="s">
        <v>1822</v>
      </c>
    </row>
    <row r="1895" spans="1:11" s="4" customFormat="1">
      <c r="A1895" s="4">
        <v>115000</v>
      </c>
      <c r="B1895" s="4">
        <v>1</v>
      </c>
      <c r="C1895" s="4">
        <v>1</v>
      </c>
      <c r="D1895" s="4">
        <v>0</v>
      </c>
      <c r="E1895" s="4">
        <v>0</v>
      </c>
      <c r="F1895" s="4">
        <v>1</v>
      </c>
      <c r="G1895" s="4">
        <v>115014</v>
      </c>
      <c r="H1895" s="4">
        <v>7143</v>
      </c>
      <c r="I1895" s="4">
        <v>1</v>
      </c>
      <c r="J1895" s="4">
        <v>1</v>
      </c>
      <c r="K1895" s="4" t="s">
        <v>1823</v>
      </c>
    </row>
    <row r="1896" spans="1:11" s="4" customFormat="1">
      <c r="A1896" s="4">
        <v>115000</v>
      </c>
      <c r="B1896" s="4">
        <v>1</v>
      </c>
      <c r="C1896" s="4">
        <v>1</v>
      </c>
      <c r="D1896" s="4">
        <v>0</v>
      </c>
      <c r="E1896" s="4">
        <v>0</v>
      </c>
      <c r="F1896" s="4">
        <v>1</v>
      </c>
      <c r="G1896" s="4">
        <v>115015</v>
      </c>
      <c r="H1896" s="4">
        <v>7143</v>
      </c>
      <c r="I1896" s="4">
        <v>1</v>
      </c>
      <c r="J1896" s="4">
        <v>1</v>
      </c>
      <c r="K1896" s="4" t="s">
        <v>1824</v>
      </c>
    </row>
    <row r="1897" spans="1:11" s="4" customFormat="1">
      <c r="A1897" s="4">
        <v>115000</v>
      </c>
      <c r="B1897" s="4">
        <v>1</v>
      </c>
      <c r="C1897" s="4">
        <v>1</v>
      </c>
      <c r="D1897" s="4">
        <v>0</v>
      </c>
      <c r="E1897" s="4">
        <v>0</v>
      </c>
      <c r="F1897" s="4">
        <v>1</v>
      </c>
      <c r="G1897" s="4">
        <v>115016</v>
      </c>
      <c r="H1897" s="4">
        <v>7143</v>
      </c>
      <c r="I1897" s="4">
        <v>1</v>
      </c>
      <c r="J1897" s="4">
        <v>1</v>
      </c>
      <c r="K1897" s="4" t="s">
        <v>1825</v>
      </c>
    </row>
    <row r="1898" spans="1:11" s="4" customFormat="1">
      <c r="A1898" s="4">
        <v>115000</v>
      </c>
      <c r="B1898" s="4">
        <v>1</v>
      </c>
      <c r="C1898" s="4">
        <v>1</v>
      </c>
      <c r="D1898" s="4">
        <v>0</v>
      </c>
      <c r="E1898" s="4">
        <v>0</v>
      </c>
      <c r="F1898" s="4">
        <v>1</v>
      </c>
      <c r="G1898" s="4">
        <v>115017</v>
      </c>
      <c r="H1898" s="4">
        <v>325</v>
      </c>
      <c r="I1898" s="4">
        <v>1</v>
      </c>
      <c r="J1898" s="4">
        <v>1</v>
      </c>
      <c r="K1898" s="4" t="s">
        <v>1826</v>
      </c>
    </row>
    <row r="1899" spans="1:11" s="4" customFormat="1">
      <c r="A1899" s="4">
        <v>115000</v>
      </c>
      <c r="B1899" s="4">
        <v>1</v>
      </c>
      <c r="C1899" s="4">
        <v>1</v>
      </c>
      <c r="D1899" s="4">
        <v>0</v>
      </c>
      <c r="E1899" s="4">
        <v>0</v>
      </c>
      <c r="F1899" s="4">
        <v>1</v>
      </c>
      <c r="G1899" s="4">
        <v>115018</v>
      </c>
      <c r="H1899" s="4">
        <v>292</v>
      </c>
      <c r="I1899" s="4">
        <v>1</v>
      </c>
      <c r="J1899" s="4">
        <v>1</v>
      </c>
      <c r="K1899" s="4" t="s">
        <v>1827</v>
      </c>
    </row>
    <row r="1900" spans="1:11" s="4" customFormat="1">
      <c r="A1900" s="4">
        <v>115000</v>
      </c>
      <c r="B1900" s="4">
        <v>1</v>
      </c>
      <c r="C1900" s="4">
        <v>1</v>
      </c>
      <c r="D1900" s="4">
        <v>0</v>
      </c>
      <c r="E1900" s="4">
        <v>0</v>
      </c>
      <c r="F1900" s="4">
        <v>1</v>
      </c>
      <c r="G1900" s="4">
        <v>115019</v>
      </c>
      <c r="H1900" s="4">
        <v>260</v>
      </c>
      <c r="I1900" s="4">
        <v>1</v>
      </c>
      <c r="J1900" s="4">
        <v>1</v>
      </c>
      <c r="K1900" s="4" t="s">
        <v>1828</v>
      </c>
    </row>
    <row r="1901" spans="1:11" s="4" customFormat="1">
      <c r="A1901" s="4">
        <v>115000</v>
      </c>
      <c r="B1901" s="4">
        <v>1</v>
      </c>
      <c r="C1901" s="4">
        <v>1</v>
      </c>
      <c r="D1901" s="4">
        <v>0</v>
      </c>
      <c r="E1901" s="4">
        <v>0</v>
      </c>
      <c r="F1901" s="4">
        <v>1</v>
      </c>
      <c r="G1901" s="4">
        <v>115020</v>
      </c>
      <c r="H1901" s="4">
        <v>227</v>
      </c>
      <c r="I1901" s="4">
        <v>1</v>
      </c>
      <c r="J1901" s="4">
        <v>1</v>
      </c>
      <c r="K1901" s="4" t="s">
        <v>1829</v>
      </c>
    </row>
    <row r="1902" spans="1:11" s="4" customFormat="1">
      <c r="A1902" s="4">
        <v>115000</v>
      </c>
      <c r="B1902" s="4">
        <v>1</v>
      </c>
      <c r="C1902" s="4">
        <v>1</v>
      </c>
      <c r="D1902" s="4">
        <v>0</v>
      </c>
      <c r="E1902" s="4">
        <v>0</v>
      </c>
      <c r="F1902" s="4">
        <v>1</v>
      </c>
      <c r="G1902" s="4">
        <v>115021</v>
      </c>
      <c r="H1902" s="4">
        <v>195</v>
      </c>
      <c r="I1902" s="4">
        <v>1</v>
      </c>
      <c r="J1902" s="4">
        <v>1</v>
      </c>
      <c r="K1902" s="4" t="s">
        <v>1830</v>
      </c>
    </row>
    <row r="1903" spans="1:11" s="4" customFormat="1">
      <c r="A1903" s="4">
        <v>115000</v>
      </c>
      <c r="B1903" s="4">
        <v>1</v>
      </c>
      <c r="C1903" s="4">
        <v>1</v>
      </c>
      <c r="D1903" s="4">
        <v>0</v>
      </c>
      <c r="E1903" s="4">
        <v>0</v>
      </c>
      <c r="F1903" s="4">
        <v>1</v>
      </c>
      <c r="G1903" s="4">
        <v>115022</v>
      </c>
      <c r="H1903" s="4">
        <v>162</v>
      </c>
      <c r="I1903" s="4">
        <v>1</v>
      </c>
      <c r="J1903" s="4">
        <v>1</v>
      </c>
      <c r="K1903" s="4" t="s">
        <v>1831</v>
      </c>
    </row>
    <row r="1904" spans="1:11" s="4" customFormat="1">
      <c r="A1904" s="4">
        <v>115000</v>
      </c>
      <c r="B1904" s="4">
        <v>1</v>
      </c>
      <c r="C1904" s="4">
        <v>1</v>
      </c>
      <c r="D1904" s="4">
        <v>0</v>
      </c>
      <c r="E1904" s="4">
        <v>0</v>
      </c>
      <c r="F1904" s="4">
        <v>1</v>
      </c>
      <c r="G1904" s="4">
        <v>115023</v>
      </c>
      <c r="H1904" s="4">
        <v>130</v>
      </c>
      <c r="I1904" s="4">
        <v>1</v>
      </c>
      <c r="J1904" s="4">
        <v>1</v>
      </c>
      <c r="K1904" s="4" t="s">
        <v>1832</v>
      </c>
    </row>
    <row r="1905" spans="1:11" s="4" customFormat="1">
      <c r="A1905" s="4">
        <v>115000</v>
      </c>
      <c r="B1905" s="4">
        <v>1</v>
      </c>
      <c r="C1905" s="4">
        <v>1</v>
      </c>
      <c r="D1905" s="4">
        <v>0</v>
      </c>
      <c r="E1905" s="4">
        <v>0</v>
      </c>
      <c r="F1905" s="4">
        <v>1</v>
      </c>
      <c r="G1905" s="4">
        <v>115024</v>
      </c>
      <c r="H1905" s="4">
        <v>97</v>
      </c>
      <c r="I1905" s="4">
        <v>1</v>
      </c>
      <c r="J1905" s="4">
        <v>1</v>
      </c>
      <c r="K1905" s="4" t="s">
        <v>1833</v>
      </c>
    </row>
    <row r="1906" spans="1:11" s="4" customFormat="1">
      <c r="A1906" s="4">
        <v>115000</v>
      </c>
      <c r="B1906" s="4">
        <v>1</v>
      </c>
      <c r="C1906" s="4">
        <v>1</v>
      </c>
      <c r="D1906" s="4">
        <v>0</v>
      </c>
      <c r="E1906" s="4">
        <v>0</v>
      </c>
      <c r="F1906" s="4">
        <v>1</v>
      </c>
      <c r="G1906" s="4">
        <v>115025</v>
      </c>
      <c r="H1906" s="4">
        <v>65</v>
      </c>
      <c r="I1906" s="4">
        <v>1</v>
      </c>
      <c r="J1906" s="4">
        <v>1</v>
      </c>
      <c r="K1906" s="4" t="s">
        <v>1834</v>
      </c>
    </row>
    <row r="1907" spans="1:11" s="4" customFormat="1">
      <c r="A1907" s="4">
        <v>115000</v>
      </c>
      <c r="B1907" s="4">
        <v>1</v>
      </c>
      <c r="C1907" s="4">
        <v>1</v>
      </c>
      <c r="D1907" s="4">
        <v>0</v>
      </c>
      <c r="E1907" s="4">
        <v>0</v>
      </c>
      <c r="F1907" s="4">
        <v>1</v>
      </c>
      <c r="G1907" s="4">
        <v>115026</v>
      </c>
      <c r="H1907" s="4">
        <v>32</v>
      </c>
      <c r="I1907" s="4">
        <v>1</v>
      </c>
      <c r="J1907" s="4">
        <v>1</v>
      </c>
      <c r="K1907" s="4" t="s">
        <v>1835</v>
      </c>
    </row>
    <row r="1908" spans="1:11" s="4" customFormat="1">
      <c r="A1908" s="4">
        <v>116000</v>
      </c>
      <c r="B1908" s="4">
        <v>1</v>
      </c>
      <c r="C1908" s="4">
        <v>1</v>
      </c>
      <c r="D1908" s="4">
        <v>0</v>
      </c>
      <c r="E1908" s="4">
        <v>0</v>
      </c>
      <c r="F1908" s="4">
        <v>1</v>
      </c>
      <c r="G1908" s="4">
        <v>116003</v>
      </c>
      <c r="H1908" s="4">
        <v>6818</v>
      </c>
      <c r="I1908" s="4">
        <v>1</v>
      </c>
      <c r="J1908" s="4">
        <v>1</v>
      </c>
      <c r="K1908" s="4" t="s">
        <v>1836</v>
      </c>
    </row>
    <row r="1909" spans="1:11" s="4" customFormat="1">
      <c r="A1909" s="4">
        <v>116000</v>
      </c>
      <c r="B1909" s="4">
        <v>1</v>
      </c>
      <c r="C1909" s="4">
        <v>1</v>
      </c>
      <c r="D1909" s="4">
        <v>0</v>
      </c>
      <c r="E1909" s="4">
        <v>0</v>
      </c>
      <c r="F1909" s="4">
        <v>1</v>
      </c>
      <c r="G1909" s="4">
        <v>116004</v>
      </c>
      <c r="H1909" s="4">
        <v>6851</v>
      </c>
      <c r="I1909" s="4">
        <v>1</v>
      </c>
      <c r="J1909" s="4">
        <v>1</v>
      </c>
      <c r="K1909" s="4" t="s">
        <v>1837</v>
      </c>
    </row>
    <row r="1910" spans="1:11" s="4" customFormat="1">
      <c r="A1910" s="4">
        <v>116000</v>
      </c>
      <c r="B1910" s="4">
        <v>1</v>
      </c>
      <c r="C1910" s="4">
        <v>1</v>
      </c>
      <c r="D1910" s="4">
        <v>0</v>
      </c>
      <c r="E1910" s="4">
        <v>0</v>
      </c>
      <c r="F1910" s="4">
        <v>1</v>
      </c>
      <c r="G1910" s="4">
        <v>116005</v>
      </c>
      <c r="H1910" s="4">
        <v>6883</v>
      </c>
      <c r="I1910" s="4">
        <v>1</v>
      </c>
      <c r="J1910" s="4">
        <v>1</v>
      </c>
      <c r="K1910" s="4" t="s">
        <v>1838</v>
      </c>
    </row>
    <row r="1911" spans="1:11" s="4" customFormat="1">
      <c r="A1911" s="4">
        <v>116000</v>
      </c>
      <c r="B1911" s="4">
        <v>1</v>
      </c>
      <c r="C1911" s="4">
        <v>1</v>
      </c>
      <c r="D1911" s="4">
        <v>0</v>
      </c>
      <c r="E1911" s="4">
        <v>0</v>
      </c>
      <c r="F1911" s="4">
        <v>1</v>
      </c>
      <c r="G1911" s="4">
        <v>116006</v>
      </c>
      <c r="H1911" s="4">
        <v>6916</v>
      </c>
      <c r="I1911" s="4">
        <v>1</v>
      </c>
      <c r="J1911" s="4">
        <v>1</v>
      </c>
      <c r="K1911" s="4" t="s">
        <v>1839</v>
      </c>
    </row>
    <row r="1912" spans="1:11" s="4" customFormat="1">
      <c r="A1912" s="4">
        <v>116000</v>
      </c>
      <c r="B1912" s="4">
        <v>1</v>
      </c>
      <c r="C1912" s="4">
        <v>1</v>
      </c>
      <c r="D1912" s="4">
        <v>0</v>
      </c>
      <c r="E1912" s="4">
        <v>0</v>
      </c>
      <c r="F1912" s="4">
        <v>1</v>
      </c>
      <c r="G1912" s="4">
        <v>116007</v>
      </c>
      <c r="H1912" s="4">
        <v>6948</v>
      </c>
      <c r="I1912" s="4">
        <v>1</v>
      </c>
      <c r="J1912" s="4">
        <v>1</v>
      </c>
      <c r="K1912" s="4" t="s">
        <v>1840</v>
      </c>
    </row>
    <row r="1913" spans="1:11" s="4" customFormat="1">
      <c r="A1913" s="4">
        <v>116000</v>
      </c>
      <c r="B1913" s="4">
        <v>1</v>
      </c>
      <c r="C1913" s="4">
        <v>1</v>
      </c>
      <c r="D1913" s="4">
        <v>0</v>
      </c>
      <c r="E1913" s="4">
        <v>0</v>
      </c>
      <c r="F1913" s="4">
        <v>1</v>
      </c>
      <c r="G1913" s="4">
        <v>116008</v>
      </c>
      <c r="H1913" s="4">
        <v>6981</v>
      </c>
      <c r="I1913" s="4">
        <v>1</v>
      </c>
      <c r="J1913" s="4">
        <v>1</v>
      </c>
      <c r="K1913" s="4" t="s">
        <v>1841</v>
      </c>
    </row>
    <row r="1914" spans="1:11" s="4" customFormat="1">
      <c r="A1914" s="4">
        <v>116000</v>
      </c>
      <c r="B1914" s="4">
        <v>1</v>
      </c>
      <c r="C1914" s="4">
        <v>1</v>
      </c>
      <c r="D1914" s="4">
        <v>0</v>
      </c>
      <c r="E1914" s="4">
        <v>0</v>
      </c>
      <c r="F1914" s="4">
        <v>1</v>
      </c>
      <c r="G1914" s="4">
        <v>116009</v>
      </c>
      <c r="H1914" s="4">
        <v>7013</v>
      </c>
      <c r="I1914" s="4">
        <v>1</v>
      </c>
      <c r="J1914" s="4">
        <v>1</v>
      </c>
      <c r="K1914" s="4" t="s">
        <v>1842</v>
      </c>
    </row>
    <row r="1915" spans="1:11" s="4" customFormat="1">
      <c r="A1915" s="4">
        <v>116000</v>
      </c>
      <c r="B1915" s="4">
        <v>1</v>
      </c>
      <c r="C1915" s="4">
        <v>1</v>
      </c>
      <c r="D1915" s="4">
        <v>0</v>
      </c>
      <c r="E1915" s="4">
        <v>0</v>
      </c>
      <c r="F1915" s="4">
        <v>1</v>
      </c>
      <c r="G1915" s="4">
        <v>116010</v>
      </c>
      <c r="H1915" s="4">
        <v>7045</v>
      </c>
      <c r="I1915" s="4">
        <v>1</v>
      </c>
      <c r="J1915" s="4">
        <v>1</v>
      </c>
      <c r="K1915" s="4" t="s">
        <v>1843</v>
      </c>
    </row>
    <row r="1916" spans="1:11" s="4" customFormat="1">
      <c r="A1916" s="4">
        <v>116000</v>
      </c>
      <c r="B1916" s="4">
        <v>1</v>
      </c>
      <c r="C1916" s="4">
        <v>1</v>
      </c>
      <c r="D1916" s="4">
        <v>0</v>
      </c>
      <c r="E1916" s="4">
        <v>0</v>
      </c>
      <c r="F1916" s="4">
        <v>1</v>
      </c>
      <c r="G1916" s="4">
        <v>116011</v>
      </c>
      <c r="H1916" s="4">
        <v>7078</v>
      </c>
      <c r="I1916" s="4">
        <v>1</v>
      </c>
      <c r="J1916" s="4">
        <v>1</v>
      </c>
      <c r="K1916" s="4" t="s">
        <v>1844</v>
      </c>
    </row>
    <row r="1917" spans="1:11" s="4" customFormat="1">
      <c r="A1917" s="4">
        <v>116000</v>
      </c>
      <c r="B1917" s="4">
        <v>1</v>
      </c>
      <c r="C1917" s="4">
        <v>1</v>
      </c>
      <c r="D1917" s="4">
        <v>0</v>
      </c>
      <c r="E1917" s="4">
        <v>0</v>
      </c>
      <c r="F1917" s="4">
        <v>1</v>
      </c>
      <c r="G1917" s="4">
        <v>116012</v>
      </c>
      <c r="H1917" s="4">
        <v>7110</v>
      </c>
      <c r="I1917" s="4">
        <v>1</v>
      </c>
      <c r="J1917" s="4">
        <v>1</v>
      </c>
      <c r="K1917" s="4" t="s">
        <v>1845</v>
      </c>
    </row>
    <row r="1918" spans="1:11" s="4" customFormat="1">
      <c r="A1918" s="4">
        <v>116000</v>
      </c>
      <c r="B1918" s="4">
        <v>1</v>
      </c>
      <c r="C1918" s="4">
        <v>1</v>
      </c>
      <c r="D1918" s="4">
        <v>0</v>
      </c>
      <c r="E1918" s="4">
        <v>0</v>
      </c>
      <c r="F1918" s="4">
        <v>1</v>
      </c>
      <c r="G1918" s="4">
        <v>116013</v>
      </c>
      <c r="H1918" s="4">
        <v>7143</v>
      </c>
      <c r="I1918" s="4">
        <v>1</v>
      </c>
      <c r="J1918" s="4">
        <v>1</v>
      </c>
      <c r="K1918" s="4" t="s">
        <v>1846</v>
      </c>
    </row>
    <row r="1919" spans="1:11" s="4" customFormat="1">
      <c r="A1919" s="4">
        <v>116000</v>
      </c>
      <c r="B1919" s="4">
        <v>1</v>
      </c>
      <c r="C1919" s="4">
        <v>1</v>
      </c>
      <c r="D1919" s="4">
        <v>0</v>
      </c>
      <c r="E1919" s="4">
        <v>0</v>
      </c>
      <c r="F1919" s="4">
        <v>1</v>
      </c>
      <c r="G1919" s="4">
        <v>116014</v>
      </c>
      <c r="H1919" s="4">
        <v>7143</v>
      </c>
      <c r="I1919" s="4">
        <v>1</v>
      </c>
      <c r="J1919" s="4">
        <v>1</v>
      </c>
      <c r="K1919" s="4" t="s">
        <v>1847</v>
      </c>
    </row>
    <row r="1920" spans="1:11" s="4" customFormat="1">
      <c r="A1920" s="4">
        <v>116000</v>
      </c>
      <c r="B1920" s="4">
        <v>1</v>
      </c>
      <c r="C1920" s="4">
        <v>1</v>
      </c>
      <c r="D1920" s="4">
        <v>0</v>
      </c>
      <c r="E1920" s="4">
        <v>0</v>
      </c>
      <c r="F1920" s="4">
        <v>1</v>
      </c>
      <c r="G1920" s="4">
        <v>116015</v>
      </c>
      <c r="H1920" s="4">
        <v>7143</v>
      </c>
      <c r="I1920" s="4">
        <v>1</v>
      </c>
      <c r="J1920" s="4">
        <v>1</v>
      </c>
      <c r="K1920" s="4" t="s">
        <v>1848</v>
      </c>
    </row>
    <row r="1921" spans="1:11" s="4" customFormat="1">
      <c r="A1921" s="4">
        <v>116000</v>
      </c>
      <c r="B1921" s="4">
        <v>1</v>
      </c>
      <c r="C1921" s="4">
        <v>1</v>
      </c>
      <c r="D1921" s="4">
        <v>0</v>
      </c>
      <c r="E1921" s="4">
        <v>0</v>
      </c>
      <c r="F1921" s="4">
        <v>1</v>
      </c>
      <c r="G1921" s="4">
        <v>116016</v>
      </c>
      <c r="H1921" s="4">
        <v>7143</v>
      </c>
      <c r="I1921" s="4">
        <v>1</v>
      </c>
      <c r="J1921" s="4">
        <v>1</v>
      </c>
      <c r="K1921" s="4" t="s">
        <v>1849</v>
      </c>
    </row>
    <row r="1922" spans="1:11" s="4" customFormat="1">
      <c r="A1922" s="4">
        <v>116000</v>
      </c>
      <c r="B1922" s="4">
        <v>1</v>
      </c>
      <c r="C1922" s="4">
        <v>1</v>
      </c>
      <c r="D1922" s="4">
        <v>0</v>
      </c>
      <c r="E1922" s="4">
        <v>0</v>
      </c>
      <c r="F1922" s="4">
        <v>1</v>
      </c>
      <c r="G1922" s="4">
        <v>116017</v>
      </c>
      <c r="H1922" s="4">
        <v>325</v>
      </c>
      <c r="I1922" s="4">
        <v>1</v>
      </c>
      <c r="J1922" s="4">
        <v>1</v>
      </c>
      <c r="K1922" s="4" t="s">
        <v>1850</v>
      </c>
    </row>
    <row r="1923" spans="1:11" s="4" customFormat="1">
      <c r="A1923" s="4">
        <v>116000</v>
      </c>
      <c r="B1923" s="4">
        <v>1</v>
      </c>
      <c r="C1923" s="4">
        <v>1</v>
      </c>
      <c r="D1923" s="4">
        <v>0</v>
      </c>
      <c r="E1923" s="4">
        <v>0</v>
      </c>
      <c r="F1923" s="4">
        <v>1</v>
      </c>
      <c r="G1923" s="4">
        <v>116018</v>
      </c>
      <c r="H1923" s="4">
        <v>292</v>
      </c>
      <c r="I1923" s="4">
        <v>1</v>
      </c>
      <c r="J1923" s="4">
        <v>1</v>
      </c>
      <c r="K1923" s="4" t="s">
        <v>1851</v>
      </c>
    </row>
    <row r="1924" spans="1:11" s="4" customFormat="1">
      <c r="A1924" s="4">
        <v>116000</v>
      </c>
      <c r="B1924" s="4">
        <v>1</v>
      </c>
      <c r="C1924" s="4">
        <v>1</v>
      </c>
      <c r="D1924" s="4">
        <v>0</v>
      </c>
      <c r="E1924" s="4">
        <v>0</v>
      </c>
      <c r="F1924" s="4">
        <v>1</v>
      </c>
      <c r="G1924" s="4">
        <v>116019</v>
      </c>
      <c r="H1924" s="4">
        <v>260</v>
      </c>
      <c r="I1924" s="4">
        <v>1</v>
      </c>
      <c r="J1924" s="4">
        <v>1</v>
      </c>
      <c r="K1924" s="4" t="s">
        <v>1852</v>
      </c>
    </row>
    <row r="1925" spans="1:11" s="4" customFormat="1">
      <c r="A1925" s="4">
        <v>116000</v>
      </c>
      <c r="B1925" s="4">
        <v>1</v>
      </c>
      <c r="C1925" s="4">
        <v>1</v>
      </c>
      <c r="D1925" s="4">
        <v>0</v>
      </c>
      <c r="E1925" s="4">
        <v>0</v>
      </c>
      <c r="F1925" s="4">
        <v>1</v>
      </c>
      <c r="G1925" s="4">
        <v>116020</v>
      </c>
      <c r="H1925" s="4">
        <v>227</v>
      </c>
      <c r="I1925" s="4">
        <v>1</v>
      </c>
      <c r="J1925" s="4">
        <v>1</v>
      </c>
      <c r="K1925" s="4" t="s">
        <v>1853</v>
      </c>
    </row>
    <row r="1926" spans="1:11" s="4" customFormat="1">
      <c r="A1926" s="4">
        <v>116000</v>
      </c>
      <c r="B1926" s="4">
        <v>1</v>
      </c>
      <c r="C1926" s="4">
        <v>1</v>
      </c>
      <c r="D1926" s="4">
        <v>0</v>
      </c>
      <c r="E1926" s="4">
        <v>0</v>
      </c>
      <c r="F1926" s="4">
        <v>1</v>
      </c>
      <c r="G1926" s="4">
        <v>116021</v>
      </c>
      <c r="H1926" s="4">
        <v>195</v>
      </c>
      <c r="I1926" s="4">
        <v>1</v>
      </c>
      <c r="J1926" s="4">
        <v>1</v>
      </c>
      <c r="K1926" s="4" t="s">
        <v>1854</v>
      </c>
    </row>
    <row r="1927" spans="1:11" s="4" customFormat="1">
      <c r="A1927" s="4">
        <v>116000</v>
      </c>
      <c r="B1927" s="4">
        <v>1</v>
      </c>
      <c r="C1927" s="4">
        <v>1</v>
      </c>
      <c r="D1927" s="4">
        <v>0</v>
      </c>
      <c r="E1927" s="4">
        <v>0</v>
      </c>
      <c r="F1927" s="4">
        <v>1</v>
      </c>
      <c r="G1927" s="4">
        <v>116022</v>
      </c>
      <c r="H1927" s="4">
        <v>162</v>
      </c>
      <c r="I1927" s="4">
        <v>1</v>
      </c>
      <c r="J1927" s="4">
        <v>1</v>
      </c>
      <c r="K1927" s="4" t="s">
        <v>1855</v>
      </c>
    </row>
    <row r="1928" spans="1:11" s="4" customFormat="1">
      <c r="A1928" s="4">
        <v>116000</v>
      </c>
      <c r="B1928" s="4">
        <v>1</v>
      </c>
      <c r="C1928" s="4">
        <v>1</v>
      </c>
      <c r="D1928" s="4">
        <v>0</v>
      </c>
      <c r="E1928" s="4">
        <v>0</v>
      </c>
      <c r="F1928" s="4">
        <v>1</v>
      </c>
      <c r="G1928" s="4">
        <v>116023</v>
      </c>
      <c r="H1928" s="4">
        <v>130</v>
      </c>
      <c r="I1928" s="4">
        <v>1</v>
      </c>
      <c r="J1928" s="4">
        <v>1</v>
      </c>
      <c r="K1928" s="4" t="s">
        <v>1856</v>
      </c>
    </row>
    <row r="1929" spans="1:11" s="4" customFormat="1">
      <c r="A1929" s="4">
        <v>116000</v>
      </c>
      <c r="B1929" s="4">
        <v>1</v>
      </c>
      <c r="C1929" s="4">
        <v>1</v>
      </c>
      <c r="D1929" s="4">
        <v>0</v>
      </c>
      <c r="E1929" s="4">
        <v>0</v>
      </c>
      <c r="F1929" s="4">
        <v>1</v>
      </c>
      <c r="G1929" s="4">
        <v>116024</v>
      </c>
      <c r="H1929" s="4">
        <v>97</v>
      </c>
      <c r="I1929" s="4">
        <v>1</v>
      </c>
      <c r="J1929" s="4">
        <v>1</v>
      </c>
      <c r="K1929" s="4" t="s">
        <v>1857</v>
      </c>
    </row>
    <row r="1930" spans="1:11" s="4" customFormat="1">
      <c r="A1930" s="4">
        <v>116000</v>
      </c>
      <c r="B1930" s="4">
        <v>1</v>
      </c>
      <c r="C1930" s="4">
        <v>1</v>
      </c>
      <c r="D1930" s="4">
        <v>0</v>
      </c>
      <c r="E1930" s="4">
        <v>0</v>
      </c>
      <c r="F1930" s="4">
        <v>1</v>
      </c>
      <c r="G1930" s="4">
        <v>116025</v>
      </c>
      <c r="H1930" s="4">
        <v>65</v>
      </c>
      <c r="I1930" s="4">
        <v>1</v>
      </c>
      <c r="J1930" s="4">
        <v>1</v>
      </c>
      <c r="K1930" s="4" t="s">
        <v>1858</v>
      </c>
    </row>
    <row r="1931" spans="1:11" s="4" customFormat="1">
      <c r="A1931" s="4">
        <v>116000</v>
      </c>
      <c r="B1931" s="4">
        <v>1</v>
      </c>
      <c r="C1931" s="4">
        <v>1</v>
      </c>
      <c r="D1931" s="4">
        <v>0</v>
      </c>
      <c r="E1931" s="4">
        <v>0</v>
      </c>
      <c r="F1931" s="4">
        <v>1</v>
      </c>
      <c r="G1931" s="4">
        <v>116026</v>
      </c>
      <c r="H1931" s="4">
        <v>32</v>
      </c>
      <c r="I1931" s="4">
        <v>1</v>
      </c>
      <c r="J1931" s="4">
        <v>1</v>
      </c>
      <c r="K1931" s="4" t="s">
        <v>1859</v>
      </c>
    </row>
    <row r="1932" spans="1:11" s="4" customFormat="1">
      <c r="A1932" s="4">
        <v>117000</v>
      </c>
      <c r="B1932" s="4">
        <v>1</v>
      </c>
      <c r="C1932" s="4">
        <v>1</v>
      </c>
      <c r="D1932" s="4">
        <v>0</v>
      </c>
      <c r="E1932" s="4">
        <v>0</v>
      </c>
      <c r="F1932" s="4">
        <v>1</v>
      </c>
      <c r="G1932" s="4">
        <v>117003</v>
      </c>
      <c r="H1932" s="4">
        <v>6818</v>
      </c>
      <c r="I1932" s="4">
        <v>1</v>
      </c>
      <c r="J1932" s="4">
        <v>1</v>
      </c>
      <c r="K1932" s="4" t="s">
        <v>1860</v>
      </c>
    </row>
    <row r="1933" spans="1:11" s="4" customFormat="1">
      <c r="A1933" s="4">
        <v>117000</v>
      </c>
      <c r="B1933" s="4">
        <v>1</v>
      </c>
      <c r="C1933" s="4">
        <v>1</v>
      </c>
      <c r="D1933" s="4">
        <v>0</v>
      </c>
      <c r="E1933" s="4">
        <v>0</v>
      </c>
      <c r="F1933" s="4">
        <v>1</v>
      </c>
      <c r="G1933" s="4">
        <v>117004</v>
      </c>
      <c r="H1933" s="4">
        <v>6851</v>
      </c>
      <c r="I1933" s="4">
        <v>1</v>
      </c>
      <c r="J1933" s="4">
        <v>1</v>
      </c>
      <c r="K1933" s="4" t="s">
        <v>1861</v>
      </c>
    </row>
    <row r="1934" spans="1:11" s="4" customFormat="1">
      <c r="A1934" s="4">
        <v>117000</v>
      </c>
      <c r="B1934" s="4">
        <v>1</v>
      </c>
      <c r="C1934" s="4">
        <v>1</v>
      </c>
      <c r="D1934" s="4">
        <v>0</v>
      </c>
      <c r="E1934" s="4">
        <v>0</v>
      </c>
      <c r="F1934" s="4">
        <v>1</v>
      </c>
      <c r="G1934" s="4">
        <v>117005</v>
      </c>
      <c r="H1934" s="4">
        <v>6883</v>
      </c>
      <c r="I1934" s="4">
        <v>1</v>
      </c>
      <c r="J1934" s="4">
        <v>1</v>
      </c>
      <c r="K1934" s="4" t="s">
        <v>1862</v>
      </c>
    </row>
    <row r="1935" spans="1:11" s="4" customFormat="1">
      <c r="A1935" s="4">
        <v>117000</v>
      </c>
      <c r="B1935" s="4">
        <v>1</v>
      </c>
      <c r="C1935" s="4">
        <v>1</v>
      </c>
      <c r="D1935" s="4">
        <v>0</v>
      </c>
      <c r="E1935" s="4">
        <v>0</v>
      </c>
      <c r="F1935" s="4">
        <v>1</v>
      </c>
      <c r="G1935" s="4">
        <v>117006</v>
      </c>
      <c r="H1935" s="4">
        <v>6916</v>
      </c>
      <c r="I1935" s="4">
        <v>1</v>
      </c>
      <c r="J1935" s="4">
        <v>1</v>
      </c>
      <c r="K1935" s="4" t="s">
        <v>1863</v>
      </c>
    </row>
    <row r="1936" spans="1:11" s="4" customFormat="1">
      <c r="A1936" s="4">
        <v>117000</v>
      </c>
      <c r="B1936" s="4">
        <v>1</v>
      </c>
      <c r="C1936" s="4">
        <v>1</v>
      </c>
      <c r="D1936" s="4">
        <v>0</v>
      </c>
      <c r="E1936" s="4">
        <v>0</v>
      </c>
      <c r="F1936" s="4">
        <v>1</v>
      </c>
      <c r="G1936" s="4">
        <v>117007</v>
      </c>
      <c r="H1936" s="4">
        <v>6948</v>
      </c>
      <c r="I1936" s="4">
        <v>1</v>
      </c>
      <c r="J1936" s="4">
        <v>1</v>
      </c>
      <c r="K1936" s="4" t="s">
        <v>1864</v>
      </c>
    </row>
    <row r="1937" spans="1:11" s="4" customFormat="1">
      <c r="A1937" s="4">
        <v>117000</v>
      </c>
      <c r="B1937" s="4">
        <v>1</v>
      </c>
      <c r="C1937" s="4">
        <v>1</v>
      </c>
      <c r="D1937" s="4">
        <v>0</v>
      </c>
      <c r="E1937" s="4">
        <v>0</v>
      </c>
      <c r="F1937" s="4">
        <v>1</v>
      </c>
      <c r="G1937" s="4">
        <v>117008</v>
      </c>
      <c r="H1937" s="4">
        <v>6981</v>
      </c>
      <c r="I1937" s="4">
        <v>1</v>
      </c>
      <c r="J1937" s="4">
        <v>1</v>
      </c>
      <c r="K1937" s="4" t="s">
        <v>1865</v>
      </c>
    </row>
    <row r="1938" spans="1:11" s="4" customFormat="1">
      <c r="A1938" s="4">
        <v>117000</v>
      </c>
      <c r="B1938" s="4">
        <v>1</v>
      </c>
      <c r="C1938" s="4">
        <v>1</v>
      </c>
      <c r="D1938" s="4">
        <v>0</v>
      </c>
      <c r="E1938" s="4">
        <v>0</v>
      </c>
      <c r="F1938" s="4">
        <v>1</v>
      </c>
      <c r="G1938" s="4">
        <v>117009</v>
      </c>
      <c r="H1938" s="4">
        <v>7013</v>
      </c>
      <c r="I1938" s="4">
        <v>1</v>
      </c>
      <c r="J1938" s="4">
        <v>1</v>
      </c>
      <c r="K1938" s="4" t="s">
        <v>1866</v>
      </c>
    </row>
    <row r="1939" spans="1:11" s="4" customFormat="1">
      <c r="A1939" s="4">
        <v>117000</v>
      </c>
      <c r="B1939" s="4">
        <v>1</v>
      </c>
      <c r="C1939" s="4">
        <v>1</v>
      </c>
      <c r="D1939" s="4">
        <v>0</v>
      </c>
      <c r="E1939" s="4">
        <v>0</v>
      </c>
      <c r="F1939" s="4">
        <v>1</v>
      </c>
      <c r="G1939" s="4">
        <v>117010</v>
      </c>
      <c r="H1939" s="4">
        <v>7045</v>
      </c>
      <c r="I1939" s="4">
        <v>1</v>
      </c>
      <c r="J1939" s="4">
        <v>1</v>
      </c>
      <c r="K1939" s="4" t="s">
        <v>1867</v>
      </c>
    </row>
    <row r="1940" spans="1:11" s="4" customFormat="1">
      <c r="A1940" s="4">
        <v>117000</v>
      </c>
      <c r="B1940" s="4">
        <v>1</v>
      </c>
      <c r="C1940" s="4">
        <v>1</v>
      </c>
      <c r="D1940" s="4">
        <v>0</v>
      </c>
      <c r="E1940" s="4">
        <v>0</v>
      </c>
      <c r="F1940" s="4">
        <v>1</v>
      </c>
      <c r="G1940" s="4">
        <v>117011</v>
      </c>
      <c r="H1940" s="4">
        <v>7078</v>
      </c>
      <c r="I1940" s="4">
        <v>1</v>
      </c>
      <c r="J1940" s="4">
        <v>1</v>
      </c>
      <c r="K1940" s="4" t="s">
        <v>1868</v>
      </c>
    </row>
    <row r="1941" spans="1:11" s="4" customFormat="1">
      <c r="A1941" s="4">
        <v>117000</v>
      </c>
      <c r="B1941" s="4">
        <v>1</v>
      </c>
      <c r="C1941" s="4">
        <v>1</v>
      </c>
      <c r="D1941" s="4">
        <v>0</v>
      </c>
      <c r="E1941" s="4">
        <v>0</v>
      </c>
      <c r="F1941" s="4">
        <v>1</v>
      </c>
      <c r="G1941" s="4">
        <v>117012</v>
      </c>
      <c r="H1941" s="4">
        <v>7110</v>
      </c>
      <c r="I1941" s="4">
        <v>1</v>
      </c>
      <c r="J1941" s="4">
        <v>1</v>
      </c>
      <c r="K1941" s="4" t="s">
        <v>1869</v>
      </c>
    </row>
    <row r="1942" spans="1:11" s="4" customFormat="1">
      <c r="A1942" s="4">
        <v>117000</v>
      </c>
      <c r="B1942" s="4">
        <v>1</v>
      </c>
      <c r="C1942" s="4">
        <v>1</v>
      </c>
      <c r="D1942" s="4">
        <v>0</v>
      </c>
      <c r="E1942" s="4">
        <v>0</v>
      </c>
      <c r="F1942" s="4">
        <v>1</v>
      </c>
      <c r="G1942" s="4">
        <v>117013</v>
      </c>
      <c r="H1942" s="4">
        <v>7143</v>
      </c>
      <c r="I1942" s="4">
        <v>1</v>
      </c>
      <c r="J1942" s="4">
        <v>1</v>
      </c>
      <c r="K1942" s="4" t="s">
        <v>1870</v>
      </c>
    </row>
    <row r="1943" spans="1:11" s="4" customFormat="1">
      <c r="A1943" s="4">
        <v>117000</v>
      </c>
      <c r="B1943" s="4">
        <v>1</v>
      </c>
      <c r="C1943" s="4">
        <v>1</v>
      </c>
      <c r="D1943" s="4">
        <v>0</v>
      </c>
      <c r="E1943" s="4">
        <v>0</v>
      </c>
      <c r="F1943" s="4">
        <v>1</v>
      </c>
      <c r="G1943" s="4">
        <v>117014</v>
      </c>
      <c r="H1943" s="4">
        <v>7143</v>
      </c>
      <c r="I1943" s="4">
        <v>1</v>
      </c>
      <c r="J1943" s="4">
        <v>1</v>
      </c>
      <c r="K1943" s="4" t="s">
        <v>1871</v>
      </c>
    </row>
    <row r="1944" spans="1:11" s="4" customFormat="1">
      <c r="A1944" s="4">
        <v>117000</v>
      </c>
      <c r="B1944" s="4">
        <v>1</v>
      </c>
      <c r="C1944" s="4">
        <v>1</v>
      </c>
      <c r="D1944" s="4">
        <v>0</v>
      </c>
      <c r="E1944" s="4">
        <v>0</v>
      </c>
      <c r="F1944" s="4">
        <v>1</v>
      </c>
      <c r="G1944" s="4">
        <v>117015</v>
      </c>
      <c r="H1944" s="4">
        <v>7143</v>
      </c>
      <c r="I1944" s="4">
        <v>1</v>
      </c>
      <c r="J1944" s="4">
        <v>1</v>
      </c>
      <c r="K1944" s="4" t="s">
        <v>1872</v>
      </c>
    </row>
    <row r="1945" spans="1:11" s="4" customFormat="1">
      <c r="A1945" s="4">
        <v>117000</v>
      </c>
      <c r="B1945" s="4">
        <v>1</v>
      </c>
      <c r="C1945" s="4">
        <v>1</v>
      </c>
      <c r="D1945" s="4">
        <v>0</v>
      </c>
      <c r="E1945" s="4">
        <v>0</v>
      </c>
      <c r="F1945" s="4">
        <v>1</v>
      </c>
      <c r="G1945" s="4">
        <v>117016</v>
      </c>
      <c r="H1945" s="4">
        <v>7143</v>
      </c>
      <c r="I1945" s="4">
        <v>1</v>
      </c>
      <c r="J1945" s="4">
        <v>1</v>
      </c>
      <c r="K1945" s="4" t="s">
        <v>1873</v>
      </c>
    </row>
    <row r="1946" spans="1:11" s="4" customFormat="1">
      <c r="A1946" s="4">
        <v>117000</v>
      </c>
      <c r="B1946" s="4">
        <v>1</v>
      </c>
      <c r="C1946" s="4">
        <v>1</v>
      </c>
      <c r="D1946" s="4">
        <v>0</v>
      </c>
      <c r="E1946" s="4">
        <v>0</v>
      </c>
      <c r="F1946" s="4">
        <v>1</v>
      </c>
      <c r="G1946" s="4">
        <v>117017</v>
      </c>
      <c r="H1946" s="4">
        <v>325</v>
      </c>
      <c r="I1946" s="4">
        <v>1</v>
      </c>
      <c r="J1946" s="4">
        <v>1</v>
      </c>
      <c r="K1946" s="4" t="s">
        <v>1874</v>
      </c>
    </row>
    <row r="1947" spans="1:11" s="4" customFormat="1">
      <c r="A1947" s="4">
        <v>117000</v>
      </c>
      <c r="B1947" s="4">
        <v>1</v>
      </c>
      <c r="C1947" s="4">
        <v>1</v>
      </c>
      <c r="D1947" s="4">
        <v>0</v>
      </c>
      <c r="E1947" s="4">
        <v>0</v>
      </c>
      <c r="F1947" s="4">
        <v>1</v>
      </c>
      <c r="G1947" s="4">
        <v>117018</v>
      </c>
      <c r="H1947" s="4">
        <v>292</v>
      </c>
      <c r="I1947" s="4">
        <v>1</v>
      </c>
      <c r="J1947" s="4">
        <v>1</v>
      </c>
      <c r="K1947" s="4" t="s">
        <v>1875</v>
      </c>
    </row>
    <row r="1948" spans="1:11" s="4" customFormat="1">
      <c r="A1948" s="4">
        <v>117000</v>
      </c>
      <c r="B1948" s="4">
        <v>1</v>
      </c>
      <c r="C1948" s="4">
        <v>1</v>
      </c>
      <c r="D1948" s="4">
        <v>0</v>
      </c>
      <c r="E1948" s="4">
        <v>0</v>
      </c>
      <c r="F1948" s="4">
        <v>1</v>
      </c>
      <c r="G1948" s="4">
        <v>117019</v>
      </c>
      <c r="H1948" s="4">
        <v>260</v>
      </c>
      <c r="I1948" s="4">
        <v>1</v>
      </c>
      <c r="J1948" s="4">
        <v>1</v>
      </c>
      <c r="K1948" s="4" t="s">
        <v>1876</v>
      </c>
    </row>
    <row r="1949" spans="1:11" s="4" customFormat="1">
      <c r="A1949" s="4">
        <v>117000</v>
      </c>
      <c r="B1949" s="4">
        <v>1</v>
      </c>
      <c r="C1949" s="4">
        <v>1</v>
      </c>
      <c r="D1949" s="4">
        <v>0</v>
      </c>
      <c r="E1949" s="4">
        <v>0</v>
      </c>
      <c r="F1949" s="4">
        <v>1</v>
      </c>
      <c r="G1949" s="4">
        <v>117020</v>
      </c>
      <c r="H1949" s="4">
        <v>227</v>
      </c>
      <c r="I1949" s="4">
        <v>1</v>
      </c>
      <c r="J1949" s="4">
        <v>1</v>
      </c>
      <c r="K1949" s="4" t="s">
        <v>1877</v>
      </c>
    </row>
    <row r="1950" spans="1:11" s="4" customFormat="1">
      <c r="A1950" s="4">
        <v>117000</v>
      </c>
      <c r="B1950" s="4">
        <v>1</v>
      </c>
      <c r="C1950" s="4">
        <v>1</v>
      </c>
      <c r="D1950" s="4">
        <v>0</v>
      </c>
      <c r="E1950" s="4">
        <v>0</v>
      </c>
      <c r="F1950" s="4">
        <v>1</v>
      </c>
      <c r="G1950" s="4">
        <v>117021</v>
      </c>
      <c r="H1950" s="4">
        <v>195</v>
      </c>
      <c r="I1950" s="4">
        <v>1</v>
      </c>
      <c r="J1950" s="4">
        <v>1</v>
      </c>
      <c r="K1950" s="4" t="s">
        <v>1878</v>
      </c>
    </row>
    <row r="1951" spans="1:11" s="4" customFormat="1">
      <c r="A1951" s="4">
        <v>117000</v>
      </c>
      <c r="B1951" s="4">
        <v>1</v>
      </c>
      <c r="C1951" s="4">
        <v>1</v>
      </c>
      <c r="D1951" s="4">
        <v>0</v>
      </c>
      <c r="E1951" s="4">
        <v>0</v>
      </c>
      <c r="F1951" s="4">
        <v>1</v>
      </c>
      <c r="G1951" s="4">
        <v>117022</v>
      </c>
      <c r="H1951" s="4">
        <v>162</v>
      </c>
      <c r="I1951" s="4">
        <v>1</v>
      </c>
      <c r="J1951" s="4">
        <v>1</v>
      </c>
      <c r="K1951" s="4" t="s">
        <v>1879</v>
      </c>
    </row>
    <row r="1952" spans="1:11" s="4" customFormat="1">
      <c r="A1952" s="4">
        <v>117000</v>
      </c>
      <c r="B1952" s="4">
        <v>1</v>
      </c>
      <c r="C1952" s="4">
        <v>1</v>
      </c>
      <c r="D1952" s="4">
        <v>0</v>
      </c>
      <c r="E1952" s="4">
        <v>0</v>
      </c>
      <c r="F1952" s="4">
        <v>1</v>
      </c>
      <c r="G1952" s="4">
        <v>117023</v>
      </c>
      <c r="H1952" s="4">
        <v>130</v>
      </c>
      <c r="I1952" s="4">
        <v>1</v>
      </c>
      <c r="J1952" s="4">
        <v>1</v>
      </c>
      <c r="K1952" s="4" t="s">
        <v>1880</v>
      </c>
    </row>
    <row r="1953" spans="1:11" s="4" customFormat="1">
      <c r="A1953" s="4">
        <v>117000</v>
      </c>
      <c r="B1953" s="4">
        <v>1</v>
      </c>
      <c r="C1953" s="4">
        <v>1</v>
      </c>
      <c r="D1953" s="4">
        <v>0</v>
      </c>
      <c r="E1953" s="4">
        <v>0</v>
      </c>
      <c r="F1953" s="4">
        <v>1</v>
      </c>
      <c r="G1953" s="4">
        <v>117024</v>
      </c>
      <c r="H1953" s="4">
        <v>97</v>
      </c>
      <c r="I1953" s="4">
        <v>1</v>
      </c>
      <c r="J1953" s="4">
        <v>1</v>
      </c>
      <c r="K1953" s="4" t="s">
        <v>1881</v>
      </c>
    </row>
    <row r="1954" spans="1:11" s="4" customFormat="1">
      <c r="A1954" s="4">
        <v>117000</v>
      </c>
      <c r="B1954" s="4">
        <v>1</v>
      </c>
      <c r="C1954" s="4">
        <v>1</v>
      </c>
      <c r="D1954" s="4">
        <v>0</v>
      </c>
      <c r="E1954" s="4">
        <v>0</v>
      </c>
      <c r="F1954" s="4">
        <v>1</v>
      </c>
      <c r="G1954" s="4">
        <v>117025</v>
      </c>
      <c r="H1954" s="4">
        <v>65</v>
      </c>
      <c r="I1954" s="4">
        <v>1</v>
      </c>
      <c r="J1954" s="4">
        <v>1</v>
      </c>
      <c r="K1954" s="4" t="s">
        <v>1882</v>
      </c>
    </row>
    <row r="1955" spans="1:11" s="4" customFormat="1">
      <c r="A1955" s="4">
        <v>117000</v>
      </c>
      <c r="B1955" s="4">
        <v>1</v>
      </c>
      <c r="C1955" s="4">
        <v>1</v>
      </c>
      <c r="D1955" s="4">
        <v>0</v>
      </c>
      <c r="E1955" s="4">
        <v>0</v>
      </c>
      <c r="F1955" s="4">
        <v>1</v>
      </c>
      <c r="G1955" s="4">
        <v>117026</v>
      </c>
      <c r="H1955" s="4">
        <v>32</v>
      </c>
      <c r="I1955" s="4">
        <v>1</v>
      </c>
      <c r="J1955" s="4">
        <v>1</v>
      </c>
      <c r="K1955" s="4" t="s">
        <v>1883</v>
      </c>
    </row>
    <row r="1956" spans="1:11" s="4" customFormat="1">
      <c r="A1956" s="4">
        <v>118000</v>
      </c>
      <c r="B1956" s="4">
        <v>1</v>
      </c>
      <c r="C1956" s="4">
        <v>1</v>
      </c>
      <c r="D1956" s="4">
        <v>0</v>
      </c>
      <c r="E1956" s="4">
        <v>0</v>
      </c>
      <c r="F1956" s="4">
        <v>1</v>
      </c>
      <c r="G1956" s="4">
        <v>118003</v>
      </c>
      <c r="H1956" s="4">
        <v>6818</v>
      </c>
      <c r="I1956" s="4">
        <v>1</v>
      </c>
      <c r="J1956" s="4">
        <v>1</v>
      </c>
      <c r="K1956" s="4" t="s">
        <v>1884</v>
      </c>
    </row>
    <row r="1957" spans="1:11" s="4" customFormat="1">
      <c r="A1957" s="4">
        <v>118000</v>
      </c>
      <c r="B1957" s="4">
        <v>1</v>
      </c>
      <c r="C1957" s="4">
        <v>1</v>
      </c>
      <c r="D1957" s="4">
        <v>0</v>
      </c>
      <c r="E1957" s="4">
        <v>0</v>
      </c>
      <c r="F1957" s="4">
        <v>1</v>
      </c>
      <c r="G1957" s="4">
        <v>118004</v>
      </c>
      <c r="H1957" s="4">
        <v>6851</v>
      </c>
      <c r="I1957" s="4">
        <v>1</v>
      </c>
      <c r="J1957" s="4">
        <v>1</v>
      </c>
      <c r="K1957" s="4" t="s">
        <v>1885</v>
      </c>
    </row>
    <row r="1958" spans="1:11" s="4" customFormat="1">
      <c r="A1958" s="4">
        <v>118000</v>
      </c>
      <c r="B1958" s="4">
        <v>1</v>
      </c>
      <c r="C1958" s="4">
        <v>1</v>
      </c>
      <c r="D1958" s="4">
        <v>0</v>
      </c>
      <c r="E1958" s="4">
        <v>0</v>
      </c>
      <c r="F1958" s="4">
        <v>1</v>
      </c>
      <c r="G1958" s="4">
        <v>118005</v>
      </c>
      <c r="H1958" s="4">
        <v>6883</v>
      </c>
      <c r="I1958" s="4">
        <v>1</v>
      </c>
      <c r="J1958" s="4">
        <v>1</v>
      </c>
      <c r="K1958" s="4" t="s">
        <v>1886</v>
      </c>
    </row>
    <row r="1959" spans="1:11" s="4" customFormat="1">
      <c r="A1959" s="4">
        <v>118000</v>
      </c>
      <c r="B1959" s="4">
        <v>1</v>
      </c>
      <c r="C1959" s="4">
        <v>1</v>
      </c>
      <c r="D1959" s="4">
        <v>0</v>
      </c>
      <c r="E1959" s="4">
        <v>0</v>
      </c>
      <c r="F1959" s="4">
        <v>1</v>
      </c>
      <c r="G1959" s="4">
        <v>118006</v>
      </c>
      <c r="H1959" s="4">
        <v>6916</v>
      </c>
      <c r="I1959" s="4">
        <v>1</v>
      </c>
      <c r="J1959" s="4">
        <v>1</v>
      </c>
      <c r="K1959" s="4" t="s">
        <v>1887</v>
      </c>
    </row>
    <row r="1960" spans="1:11" s="4" customFormat="1">
      <c r="A1960" s="4">
        <v>118000</v>
      </c>
      <c r="B1960" s="4">
        <v>1</v>
      </c>
      <c r="C1960" s="4">
        <v>1</v>
      </c>
      <c r="D1960" s="4">
        <v>0</v>
      </c>
      <c r="E1960" s="4">
        <v>0</v>
      </c>
      <c r="F1960" s="4">
        <v>1</v>
      </c>
      <c r="G1960" s="4">
        <v>118007</v>
      </c>
      <c r="H1960" s="4">
        <v>6948</v>
      </c>
      <c r="I1960" s="4">
        <v>1</v>
      </c>
      <c r="J1960" s="4">
        <v>1</v>
      </c>
      <c r="K1960" s="4" t="s">
        <v>1888</v>
      </c>
    </row>
    <row r="1961" spans="1:11" s="4" customFormat="1">
      <c r="A1961" s="4">
        <v>118000</v>
      </c>
      <c r="B1961" s="4">
        <v>1</v>
      </c>
      <c r="C1961" s="4">
        <v>1</v>
      </c>
      <c r="D1961" s="4">
        <v>0</v>
      </c>
      <c r="E1961" s="4">
        <v>0</v>
      </c>
      <c r="F1961" s="4">
        <v>1</v>
      </c>
      <c r="G1961" s="4">
        <v>118008</v>
      </c>
      <c r="H1961" s="4">
        <v>6981</v>
      </c>
      <c r="I1961" s="4">
        <v>1</v>
      </c>
      <c r="J1961" s="4">
        <v>1</v>
      </c>
      <c r="K1961" s="4" t="s">
        <v>1889</v>
      </c>
    </row>
    <row r="1962" spans="1:11" s="4" customFormat="1">
      <c r="A1962" s="4">
        <v>118000</v>
      </c>
      <c r="B1962" s="4">
        <v>1</v>
      </c>
      <c r="C1962" s="4">
        <v>1</v>
      </c>
      <c r="D1962" s="4">
        <v>0</v>
      </c>
      <c r="E1962" s="4">
        <v>0</v>
      </c>
      <c r="F1962" s="4">
        <v>1</v>
      </c>
      <c r="G1962" s="4">
        <v>118009</v>
      </c>
      <c r="H1962" s="4">
        <v>7013</v>
      </c>
      <c r="I1962" s="4">
        <v>1</v>
      </c>
      <c r="J1962" s="4">
        <v>1</v>
      </c>
      <c r="K1962" s="4" t="s">
        <v>1890</v>
      </c>
    </row>
    <row r="1963" spans="1:11" s="4" customFormat="1">
      <c r="A1963" s="4">
        <v>118000</v>
      </c>
      <c r="B1963" s="4">
        <v>1</v>
      </c>
      <c r="C1963" s="4">
        <v>1</v>
      </c>
      <c r="D1963" s="4">
        <v>0</v>
      </c>
      <c r="E1963" s="4">
        <v>0</v>
      </c>
      <c r="F1963" s="4">
        <v>1</v>
      </c>
      <c r="G1963" s="4">
        <v>118010</v>
      </c>
      <c r="H1963" s="4">
        <v>7045</v>
      </c>
      <c r="I1963" s="4">
        <v>1</v>
      </c>
      <c r="J1963" s="4">
        <v>1</v>
      </c>
      <c r="K1963" s="4" t="s">
        <v>1891</v>
      </c>
    </row>
    <row r="1964" spans="1:11" s="4" customFormat="1">
      <c r="A1964" s="4">
        <v>118000</v>
      </c>
      <c r="B1964" s="4">
        <v>1</v>
      </c>
      <c r="C1964" s="4">
        <v>1</v>
      </c>
      <c r="D1964" s="4">
        <v>0</v>
      </c>
      <c r="E1964" s="4">
        <v>0</v>
      </c>
      <c r="F1964" s="4">
        <v>1</v>
      </c>
      <c r="G1964" s="4">
        <v>118011</v>
      </c>
      <c r="H1964" s="4">
        <v>7078</v>
      </c>
      <c r="I1964" s="4">
        <v>1</v>
      </c>
      <c r="J1964" s="4">
        <v>1</v>
      </c>
      <c r="K1964" s="4" t="s">
        <v>1892</v>
      </c>
    </row>
    <row r="1965" spans="1:11" s="4" customFormat="1">
      <c r="A1965" s="4">
        <v>118000</v>
      </c>
      <c r="B1965" s="4">
        <v>1</v>
      </c>
      <c r="C1965" s="4">
        <v>1</v>
      </c>
      <c r="D1965" s="4">
        <v>0</v>
      </c>
      <c r="E1965" s="4">
        <v>0</v>
      </c>
      <c r="F1965" s="4">
        <v>1</v>
      </c>
      <c r="G1965" s="4">
        <v>118012</v>
      </c>
      <c r="H1965" s="4">
        <v>7110</v>
      </c>
      <c r="I1965" s="4">
        <v>1</v>
      </c>
      <c r="J1965" s="4">
        <v>1</v>
      </c>
      <c r="K1965" s="4" t="s">
        <v>1893</v>
      </c>
    </row>
    <row r="1966" spans="1:11" s="4" customFormat="1">
      <c r="A1966" s="4">
        <v>118000</v>
      </c>
      <c r="B1966" s="4">
        <v>1</v>
      </c>
      <c r="C1966" s="4">
        <v>1</v>
      </c>
      <c r="D1966" s="4">
        <v>0</v>
      </c>
      <c r="E1966" s="4">
        <v>0</v>
      </c>
      <c r="F1966" s="4">
        <v>1</v>
      </c>
      <c r="G1966" s="4">
        <v>118013</v>
      </c>
      <c r="H1966" s="4">
        <v>7143</v>
      </c>
      <c r="I1966" s="4">
        <v>1</v>
      </c>
      <c r="J1966" s="4">
        <v>1</v>
      </c>
      <c r="K1966" s="4" t="s">
        <v>1894</v>
      </c>
    </row>
    <row r="1967" spans="1:11" s="4" customFormat="1">
      <c r="A1967" s="4">
        <v>118000</v>
      </c>
      <c r="B1967" s="4">
        <v>1</v>
      </c>
      <c r="C1967" s="4">
        <v>1</v>
      </c>
      <c r="D1967" s="4">
        <v>0</v>
      </c>
      <c r="E1967" s="4">
        <v>0</v>
      </c>
      <c r="F1967" s="4">
        <v>1</v>
      </c>
      <c r="G1967" s="4">
        <v>118014</v>
      </c>
      <c r="H1967" s="4">
        <v>7143</v>
      </c>
      <c r="I1967" s="4">
        <v>1</v>
      </c>
      <c r="J1967" s="4">
        <v>1</v>
      </c>
      <c r="K1967" s="4" t="s">
        <v>1895</v>
      </c>
    </row>
    <row r="1968" spans="1:11" s="4" customFormat="1">
      <c r="A1968" s="4">
        <v>118000</v>
      </c>
      <c r="B1968" s="4">
        <v>1</v>
      </c>
      <c r="C1968" s="4">
        <v>1</v>
      </c>
      <c r="D1968" s="4">
        <v>0</v>
      </c>
      <c r="E1968" s="4">
        <v>0</v>
      </c>
      <c r="F1968" s="4">
        <v>1</v>
      </c>
      <c r="G1968" s="4">
        <v>118015</v>
      </c>
      <c r="H1968" s="4">
        <v>7143</v>
      </c>
      <c r="I1968" s="4">
        <v>1</v>
      </c>
      <c r="J1968" s="4">
        <v>1</v>
      </c>
      <c r="K1968" s="4" t="s">
        <v>1896</v>
      </c>
    </row>
    <row r="1969" spans="1:11" s="4" customFormat="1">
      <c r="A1969" s="4">
        <v>118000</v>
      </c>
      <c r="B1969" s="4">
        <v>1</v>
      </c>
      <c r="C1969" s="4">
        <v>1</v>
      </c>
      <c r="D1969" s="4">
        <v>0</v>
      </c>
      <c r="E1969" s="4">
        <v>0</v>
      </c>
      <c r="F1969" s="4">
        <v>1</v>
      </c>
      <c r="G1969" s="4">
        <v>118016</v>
      </c>
      <c r="H1969" s="4">
        <v>7143</v>
      </c>
      <c r="I1969" s="4">
        <v>1</v>
      </c>
      <c r="J1969" s="4">
        <v>1</v>
      </c>
      <c r="K1969" s="4" t="s">
        <v>1897</v>
      </c>
    </row>
    <row r="1970" spans="1:11" s="4" customFormat="1">
      <c r="A1970" s="4">
        <v>118000</v>
      </c>
      <c r="B1970" s="4">
        <v>1</v>
      </c>
      <c r="C1970" s="4">
        <v>1</v>
      </c>
      <c r="D1970" s="4">
        <v>0</v>
      </c>
      <c r="E1970" s="4">
        <v>0</v>
      </c>
      <c r="F1970" s="4">
        <v>1</v>
      </c>
      <c r="G1970" s="4">
        <v>118017</v>
      </c>
      <c r="H1970" s="4">
        <v>325</v>
      </c>
      <c r="I1970" s="4">
        <v>1</v>
      </c>
      <c r="J1970" s="4">
        <v>1</v>
      </c>
      <c r="K1970" s="4" t="s">
        <v>1898</v>
      </c>
    </row>
    <row r="1971" spans="1:11" s="4" customFormat="1">
      <c r="A1971" s="4">
        <v>118000</v>
      </c>
      <c r="B1971" s="4">
        <v>1</v>
      </c>
      <c r="C1971" s="4">
        <v>1</v>
      </c>
      <c r="D1971" s="4">
        <v>0</v>
      </c>
      <c r="E1971" s="4">
        <v>0</v>
      </c>
      <c r="F1971" s="4">
        <v>1</v>
      </c>
      <c r="G1971" s="4">
        <v>118018</v>
      </c>
      <c r="H1971" s="4">
        <v>292</v>
      </c>
      <c r="I1971" s="4">
        <v>1</v>
      </c>
      <c r="J1971" s="4">
        <v>1</v>
      </c>
      <c r="K1971" s="4" t="s">
        <v>1899</v>
      </c>
    </row>
    <row r="1972" spans="1:11" s="4" customFormat="1">
      <c r="A1972" s="4">
        <v>118000</v>
      </c>
      <c r="B1972" s="4">
        <v>1</v>
      </c>
      <c r="C1972" s="4">
        <v>1</v>
      </c>
      <c r="D1972" s="4">
        <v>0</v>
      </c>
      <c r="E1972" s="4">
        <v>0</v>
      </c>
      <c r="F1972" s="4">
        <v>1</v>
      </c>
      <c r="G1972" s="4">
        <v>118019</v>
      </c>
      <c r="H1972" s="4">
        <v>260</v>
      </c>
      <c r="I1972" s="4">
        <v>1</v>
      </c>
      <c r="J1972" s="4">
        <v>1</v>
      </c>
      <c r="K1972" s="4" t="s">
        <v>1900</v>
      </c>
    </row>
    <row r="1973" spans="1:11" s="4" customFormat="1">
      <c r="A1973" s="4">
        <v>118000</v>
      </c>
      <c r="B1973" s="4">
        <v>1</v>
      </c>
      <c r="C1973" s="4">
        <v>1</v>
      </c>
      <c r="D1973" s="4">
        <v>0</v>
      </c>
      <c r="E1973" s="4">
        <v>0</v>
      </c>
      <c r="F1973" s="4">
        <v>1</v>
      </c>
      <c r="G1973" s="4">
        <v>118020</v>
      </c>
      <c r="H1973" s="4">
        <v>227</v>
      </c>
      <c r="I1973" s="4">
        <v>1</v>
      </c>
      <c r="J1973" s="4">
        <v>1</v>
      </c>
      <c r="K1973" s="4" t="s">
        <v>1901</v>
      </c>
    </row>
    <row r="1974" spans="1:11" s="4" customFormat="1">
      <c r="A1974" s="4">
        <v>118000</v>
      </c>
      <c r="B1974" s="4">
        <v>1</v>
      </c>
      <c r="C1974" s="4">
        <v>1</v>
      </c>
      <c r="D1974" s="4">
        <v>0</v>
      </c>
      <c r="E1974" s="4">
        <v>0</v>
      </c>
      <c r="F1974" s="4">
        <v>1</v>
      </c>
      <c r="G1974" s="4">
        <v>118021</v>
      </c>
      <c r="H1974" s="4">
        <v>195</v>
      </c>
      <c r="I1974" s="4">
        <v>1</v>
      </c>
      <c r="J1974" s="4">
        <v>1</v>
      </c>
      <c r="K1974" s="4" t="s">
        <v>1902</v>
      </c>
    </row>
    <row r="1975" spans="1:11" s="4" customFormat="1">
      <c r="A1975" s="4">
        <v>118000</v>
      </c>
      <c r="B1975" s="4">
        <v>1</v>
      </c>
      <c r="C1975" s="4">
        <v>1</v>
      </c>
      <c r="D1975" s="4">
        <v>0</v>
      </c>
      <c r="E1975" s="4">
        <v>0</v>
      </c>
      <c r="F1975" s="4">
        <v>1</v>
      </c>
      <c r="G1975" s="4">
        <v>118022</v>
      </c>
      <c r="H1975" s="4">
        <v>162</v>
      </c>
      <c r="I1975" s="4">
        <v>1</v>
      </c>
      <c r="J1975" s="4">
        <v>1</v>
      </c>
      <c r="K1975" s="4" t="s">
        <v>1903</v>
      </c>
    </row>
    <row r="1976" spans="1:11" s="4" customFormat="1">
      <c r="A1976" s="4">
        <v>118000</v>
      </c>
      <c r="B1976" s="4">
        <v>1</v>
      </c>
      <c r="C1976" s="4">
        <v>1</v>
      </c>
      <c r="D1976" s="4">
        <v>0</v>
      </c>
      <c r="E1976" s="4">
        <v>0</v>
      </c>
      <c r="F1976" s="4">
        <v>1</v>
      </c>
      <c r="G1976" s="4">
        <v>118023</v>
      </c>
      <c r="H1976" s="4">
        <v>130</v>
      </c>
      <c r="I1976" s="4">
        <v>1</v>
      </c>
      <c r="J1976" s="4">
        <v>1</v>
      </c>
      <c r="K1976" s="4" t="s">
        <v>1904</v>
      </c>
    </row>
    <row r="1977" spans="1:11" s="4" customFormat="1">
      <c r="A1977" s="4">
        <v>118000</v>
      </c>
      <c r="B1977" s="4">
        <v>1</v>
      </c>
      <c r="C1977" s="4">
        <v>1</v>
      </c>
      <c r="D1977" s="4">
        <v>0</v>
      </c>
      <c r="E1977" s="4">
        <v>0</v>
      </c>
      <c r="F1977" s="4">
        <v>1</v>
      </c>
      <c r="G1977" s="4">
        <v>118024</v>
      </c>
      <c r="H1977" s="4">
        <v>97</v>
      </c>
      <c r="I1977" s="4">
        <v>1</v>
      </c>
      <c r="J1977" s="4">
        <v>1</v>
      </c>
      <c r="K1977" s="4" t="s">
        <v>1905</v>
      </c>
    </row>
    <row r="1978" spans="1:11" s="4" customFormat="1">
      <c r="A1978" s="4">
        <v>118000</v>
      </c>
      <c r="B1978" s="4">
        <v>1</v>
      </c>
      <c r="C1978" s="4">
        <v>1</v>
      </c>
      <c r="D1978" s="4">
        <v>0</v>
      </c>
      <c r="E1978" s="4">
        <v>0</v>
      </c>
      <c r="F1978" s="4">
        <v>1</v>
      </c>
      <c r="G1978" s="4">
        <v>118025</v>
      </c>
      <c r="H1978" s="4">
        <v>65</v>
      </c>
      <c r="I1978" s="4">
        <v>1</v>
      </c>
      <c r="J1978" s="4">
        <v>1</v>
      </c>
      <c r="K1978" s="4" t="s">
        <v>1906</v>
      </c>
    </row>
    <row r="1979" spans="1:11" s="4" customFormat="1">
      <c r="A1979" s="4">
        <v>118000</v>
      </c>
      <c r="B1979" s="4">
        <v>1</v>
      </c>
      <c r="C1979" s="4">
        <v>1</v>
      </c>
      <c r="D1979" s="4">
        <v>0</v>
      </c>
      <c r="E1979" s="4">
        <v>0</v>
      </c>
      <c r="F1979" s="4">
        <v>1</v>
      </c>
      <c r="G1979" s="4">
        <v>118026</v>
      </c>
      <c r="H1979" s="4">
        <v>32</v>
      </c>
      <c r="I1979" s="4">
        <v>1</v>
      </c>
      <c r="J1979" s="4">
        <v>1</v>
      </c>
      <c r="K1979" s="4" t="s">
        <v>1907</v>
      </c>
    </row>
    <row r="1980" spans="1:11" s="4" customFormat="1">
      <c r="A1980" s="4">
        <v>115003</v>
      </c>
      <c r="B1980" s="4">
        <v>1</v>
      </c>
      <c r="C1980" s="4">
        <v>1</v>
      </c>
      <c r="D1980" s="4">
        <v>0</v>
      </c>
      <c r="E1980" s="4">
        <v>0</v>
      </c>
      <c r="F1980" s="4">
        <v>1</v>
      </c>
      <c r="G1980" s="4">
        <v>114000</v>
      </c>
      <c r="H1980" s="4">
        <f>INT(VLOOKUP(A1980,洗矿索引!$B$2:$H$97,IF(INT(G1980/10000)=11,7,IF(INT(G1980/10000)=2,6,IF(RIGHT(G1980,1)="0",4,5))),TRUE)/IF(INT(G1980/10000)=11,1,IF(INT(G1980/10000)=2,3,IF(RIGHT(G1980,1)=0,6,6)))*100000)</f>
        <v>99960</v>
      </c>
      <c r="I1980" s="4">
        <v>1</v>
      </c>
      <c r="J1980" s="4">
        <v>1</v>
      </c>
      <c r="K1980" s="6" t="s">
        <v>1908</v>
      </c>
    </row>
    <row r="1981" spans="1:11" s="4" customFormat="1">
      <c r="A1981" s="4">
        <v>115003</v>
      </c>
      <c r="B1981" s="4">
        <v>1</v>
      </c>
      <c r="C1981" s="4">
        <v>1</v>
      </c>
      <c r="D1981" s="4">
        <v>0</v>
      </c>
      <c r="E1981" s="4">
        <v>0</v>
      </c>
      <c r="F1981" s="4">
        <v>1</v>
      </c>
      <c r="G1981" s="4">
        <v>21001</v>
      </c>
      <c r="H1981" s="4">
        <f>INT(VLOOKUP(A1981,洗矿索引!$B$2:$H$97,IF(INT(G1981/10000)=11,7,IF(INT(G1981/10000)=2,6,IF(RIGHT(G1981,1)="0",4,5))),TRUE)/IF(INT(G1981/10000)=11,1,IF(INT(G1981/10000)=2,3,IF(RIGHT(G1981,1)=0,6,6)))*100000)</f>
        <v>13</v>
      </c>
      <c r="I1981" s="4">
        <v>1</v>
      </c>
      <c r="J1981" s="4">
        <v>1</v>
      </c>
      <c r="K1981" s="6" t="s">
        <v>1909</v>
      </c>
    </row>
    <row r="1982" spans="1:11" s="4" customFormat="1">
      <c r="A1982" s="4">
        <v>115003</v>
      </c>
      <c r="B1982" s="4">
        <v>1</v>
      </c>
      <c r="C1982" s="4">
        <v>1</v>
      </c>
      <c r="D1982" s="4">
        <v>0</v>
      </c>
      <c r="E1982" s="4">
        <v>0</v>
      </c>
      <c r="F1982" s="4">
        <v>1</v>
      </c>
      <c r="G1982" s="4">
        <v>21002</v>
      </c>
      <c r="H1982" s="4">
        <f>INT(VLOOKUP(A1982,洗矿索引!$B$2:$H$97,IF(INT(G1982/10000)=11,7,IF(INT(G1982/10000)=2,6,IF(RIGHT(G1982,1)="0",4,5))),TRUE)/IF(INT(G1982/10000)=11,1,IF(INT(G1982/10000)=2,3,IF(RIGHT(G1982,1)=0,6,6)))*100000)</f>
        <v>13</v>
      </c>
      <c r="I1982" s="4">
        <v>1</v>
      </c>
      <c r="J1982" s="4">
        <v>1</v>
      </c>
      <c r="K1982" s="6" t="s">
        <v>1910</v>
      </c>
    </row>
    <row r="1983" spans="1:11" s="4" customFormat="1">
      <c r="A1983" s="4">
        <v>115003</v>
      </c>
      <c r="B1983" s="4">
        <v>1</v>
      </c>
      <c r="C1983" s="4">
        <v>1</v>
      </c>
      <c r="D1983" s="4">
        <v>0</v>
      </c>
      <c r="E1983" s="4">
        <v>0</v>
      </c>
      <c r="F1983" s="4">
        <v>1</v>
      </c>
      <c r="G1983" s="4">
        <v>21003</v>
      </c>
      <c r="H1983" s="4">
        <f>INT(VLOOKUP(A1983,洗矿索引!$B$2:$H$97,IF(INT(G1983/10000)=11,7,IF(INT(G1983/10000)=2,6,IF(RIGHT(G1983,1)="0",4,5))),TRUE)/IF(INT(G1983/10000)=11,1,IF(INT(G1983/10000)=2,3,IF(RIGHT(G1983,1)=0,6,6)))*100000)</f>
        <v>13</v>
      </c>
      <c r="I1983" s="4">
        <v>1</v>
      </c>
      <c r="J1983" s="4">
        <v>1</v>
      </c>
      <c r="K1983" s="6" t="s">
        <v>1911</v>
      </c>
    </row>
    <row r="1984" spans="1:11" s="4" customFormat="1">
      <c r="A1984" s="4">
        <v>115004</v>
      </c>
      <c r="B1984" s="4">
        <v>1</v>
      </c>
      <c r="C1984" s="4">
        <v>1</v>
      </c>
      <c r="D1984" s="4">
        <v>0</v>
      </c>
      <c r="E1984" s="4">
        <v>0</v>
      </c>
      <c r="F1984" s="4">
        <v>1</v>
      </c>
      <c r="G1984" s="4">
        <v>114000</v>
      </c>
      <c r="H1984" s="4">
        <f>INT(VLOOKUP(A1984,洗矿索引!$B$2:$H$97,IF(INT(G1984/10000)=11,7,IF(INT(G1984/10000)=2,6,IF(RIGHT(G1984,1)="0",4,5))),TRUE)/IF(INT(G1984/10000)=11,1,IF(INT(G1984/10000)=2,3,IF(RIGHT(G1984,1)=0,6,6)))*100000)</f>
        <v>99952</v>
      </c>
      <c r="I1984" s="4">
        <f>IF(G1984=114000,VLOOKUP(A1984,洗矿索引!$B$2:$H$97,3,FALSE),1)</f>
        <v>1</v>
      </c>
      <c r="J1984" s="4">
        <f>I1984</f>
        <v>1</v>
      </c>
      <c r="K1984" s="6" t="s">
        <v>1912</v>
      </c>
    </row>
    <row r="1985" spans="1:11" s="4" customFormat="1">
      <c r="A1985" s="4">
        <v>115004</v>
      </c>
      <c r="B1985" s="4">
        <v>1</v>
      </c>
      <c r="C1985" s="4">
        <v>1</v>
      </c>
      <c r="D1985" s="4">
        <v>0</v>
      </c>
      <c r="E1985" s="4">
        <v>0</v>
      </c>
      <c r="F1985" s="4">
        <v>1</v>
      </c>
      <c r="G1985" s="4">
        <v>21001</v>
      </c>
      <c r="H1985" s="4">
        <f>INT(VLOOKUP(A1985,洗矿索引!$B$2:$H$97,IF(INT(G1985/10000)=11,7,IF(INT(G1985/10000)=2,6,IF(RIGHT(G1985,1)="0",4,5))),TRUE)/IF(INT(G1985/10000)=11,1,IF(INT(G1985/10000)=2,3,IF(RIGHT(G1985,1)=0,6,6)))*100000)</f>
        <v>16</v>
      </c>
      <c r="I1985" s="4">
        <f>IF(G1985=114000,VLOOKUP(A1985,洗矿索引!$B$2:$H$97,3,FALSE),1)</f>
        <v>1</v>
      </c>
      <c r="J1985" s="4">
        <f t="shared" ref="J1985:J2048" si="48">I1985</f>
        <v>1</v>
      </c>
      <c r="K1985" s="6" t="s">
        <v>1913</v>
      </c>
    </row>
    <row r="1986" spans="1:11" s="4" customFormat="1">
      <c r="A1986" s="4">
        <v>115004</v>
      </c>
      <c r="B1986" s="4">
        <v>1</v>
      </c>
      <c r="C1986" s="4">
        <v>1</v>
      </c>
      <c r="D1986" s="4">
        <v>0</v>
      </c>
      <c r="E1986" s="4">
        <v>0</v>
      </c>
      <c r="F1986" s="4">
        <v>1</v>
      </c>
      <c r="G1986" s="4">
        <v>21002</v>
      </c>
      <c r="H1986" s="4">
        <f>INT(VLOOKUP(A1986,洗矿索引!$B$2:$H$97,IF(INT(G1986/10000)=11,7,IF(INT(G1986/10000)=2,6,IF(RIGHT(G1986,1)="0",4,5))),TRUE)/IF(INT(G1986/10000)=11,1,IF(INT(G1986/10000)=2,3,IF(RIGHT(G1986,1)=0,6,6)))*100000)</f>
        <v>16</v>
      </c>
      <c r="I1986" s="4">
        <f>IF(G1986=114000,VLOOKUP(A1986,洗矿索引!$B$2:$H$97,3,FALSE),1)</f>
        <v>1</v>
      </c>
      <c r="J1986" s="4">
        <f t="shared" si="48"/>
        <v>1</v>
      </c>
      <c r="K1986" s="6" t="s">
        <v>1914</v>
      </c>
    </row>
    <row r="1987" spans="1:11" s="4" customFormat="1">
      <c r="A1987" s="4">
        <v>115004</v>
      </c>
      <c r="B1987" s="4">
        <v>1</v>
      </c>
      <c r="C1987" s="4">
        <v>1</v>
      </c>
      <c r="D1987" s="4">
        <v>0</v>
      </c>
      <c r="E1987" s="4">
        <v>0</v>
      </c>
      <c r="F1987" s="4">
        <v>1</v>
      </c>
      <c r="G1987" s="4">
        <v>21003</v>
      </c>
      <c r="H1987" s="4">
        <f>INT(VLOOKUP(A1987,洗矿索引!$B$2:$H$97,IF(INT(G1987/10000)=11,7,IF(INT(G1987/10000)=2,6,IF(RIGHT(G1987,1)="0",4,5))),TRUE)/IF(INT(G1987/10000)=11,1,IF(INT(G1987/10000)=2,3,IF(RIGHT(G1987,1)=0,6,6)))*100000)</f>
        <v>16</v>
      </c>
      <c r="I1987" s="4">
        <f>IF(G1987=114000,VLOOKUP(A1987,洗矿索引!$B$2:$H$97,3,FALSE),1)</f>
        <v>1</v>
      </c>
      <c r="J1987" s="4">
        <f t="shared" si="48"/>
        <v>1</v>
      </c>
      <c r="K1987" s="6" t="s">
        <v>1915</v>
      </c>
    </row>
    <row r="1988" spans="1:11" s="4" customFormat="1">
      <c r="A1988" s="4">
        <v>115005</v>
      </c>
      <c r="B1988" s="4">
        <v>1</v>
      </c>
      <c r="C1988" s="4">
        <v>1</v>
      </c>
      <c r="D1988" s="4">
        <v>0</v>
      </c>
      <c r="E1988" s="4">
        <v>0</v>
      </c>
      <c r="F1988" s="4">
        <v>1</v>
      </c>
      <c r="G1988" s="4">
        <v>114000</v>
      </c>
      <c r="H1988" s="4">
        <f>INT(VLOOKUP(A1988,洗矿索引!$B$2:$H$97,IF(INT(G1988/10000)=11,7,IF(INT(G1988/10000)=2,6,IF(RIGHT(G1988,1)="0",4,5))),TRUE)/IF(INT(G1988/10000)=11,1,IF(INT(G1988/10000)=2,3,IF(RIGHT(G1988,1)=0,6,6)))*100000)</f>
        <v>99944</v>
      </c>
      <c r="I1988" s="4">
        <f>IF(G1988=114000,VLOOKUP(A1988,洗矿索引!$B$2:$H$97,3,FALSE),1)</f>
        <v>1</v>
      </c>
      <c r="J1988" s="4">
        <f t="shared" si="48"/>
        <v>1</v>
      </c>
      <c r="K1988" s="6" t="s">
        <v>1916</v>
      </c>
    </row>
    <row r="1989" spans="1:11" s="4" customFormat="1">
      <c r="A1989" s="4">
        <v>115005</v>
      </c>
      <c r="B1989" s="4">
        <v>1</v>
      </c>
      <c r="C1989" s="4">
        <v>1</v>
      </c>
      <c r="D1989" s="4">
        <v>0</v>
      </c>
      <c r="E1989" s="4">
        <v>0</v>
      </c>
      <c r="F1989" s="4">
        <v>1</v>
      </c>
      <c r="G1989" s="4">
        <v>21001</v>
      </c>
      <c r="H1989" s="4">
        <f>INT(VLOOKUP(A1989,洗矿索引!$B$2:$H$97,IF(INT(G1989/10000)=11,7,IF(INT(G1989/10000)=2,6,IF(RIGHT(G1989,1)="0",4,5))),TRUE)/IF(INT(G1989/10000)=11,1,IF(INT(G1989/10000)=2,3,IF(RIGHT(G1989,1)=0,6,6)))*100000)</f>
        <v>18</v>
      </c>
      <c r="I1989" s="4">
        <f>IF(G1989=114000,VLOOKUP(A1989,洗矿索引!$B$2:$H$97,3,FALSE),1)</f>
        <v>1</v>
      </c>
      <c r="J1989" s="4">
        <f t="shared" si="48"/>
        <v>1</v>
      </c>
      <c r="K1989" s="6" t="s">
        <v>1917</v>
      </c>
    </row>
    <row r="1990" spans="1:11" s="4" customFormat="1">
      <c r="A1990" s="4">
        <v>115005</v>
      </c>
      <c r="B1990" s="4">
        <v>1</v>
      </c>
      <c r="C1990" s="4">
        <v>1</v>
      </c>
      <c r="D1990" s="4">
        <v>0</v>
      </c>
      <c r="E1990" s="4">
        <v>0</v>
      </c>
      <c r="F1990" s="4">
        <v>1</v>
      </c>
      <c r="G1990" s="4">
        <v>21002</v>
      </c>
      <c r="H1990" s="4">
        <f>INT(VLOOKUP(A1990,洗矿索引!$B$2:$H$97,IF(INT(G1990/10000)=11,7,IF(INT(G1990/10000)=2,6,IF(RIGHT(G1990,1)="0",4,5))),TRUE)/IF(INT(G1990/10000)=11,1,IF(INT(G1990/10000)=2,3,IF(RIGHT(G1990,1)=0,6,6)))*100000)</f>
        <v>18</v>
      </c>
      <c r="I1990" s="4">
        <f>IF(G1990=114000,VLOOKUP(A1990,洗矿索引!$B$2:$H$97,3,FALSE),1)</f>
        <v>1</v>
      </c>
      <c r="J1990" s="4">
        <f t="shared" si="48"/>
        <v>1</v>
      </c>
      <c r="K1990" s="6" t="s">
        <v>1918</v>
      </c>
    </row>
    <row r="1991" spans="1:11" s="4" customFormat="1">
      <c r="A1991" s="4">
        <v>115005</v>
      </c>
      <c r="B1991" s="4">
        <v>1</v>
      </c>
      <c r="C1991" s="4">
        <v>1</v>
      </c>
      <c r="D1991" s="4">
        <v>0</v>
      </c>
      <c r="E1991" s="4">
        <v>0</v>
      </c>
      <c r="F1991" s="4">
        <v>1</v>
      </c>
      <c r="G1991" s="4">
        <v>21003</v>
      </c>
      <c r="H1991" s="4">
        <f>INT(VLOOKUP(A1991,洗矿索引!$B$2:$H$97,IF(INT(G1991/10000)=11,7,IF(INT(G1991/10000)=2,6,IF(RIGHT(G1991,1)="0",4,5))),TRUE)/IF(INT(G1991/10000)=11,1,IF(INT(G1991/10000)=2,3,IF(RIGHT(G1991,1)=0,6,6)))*100000)</f>
        <v>18</v>
      </c>
      <c r="I1991" s="4">
        <f>IF(G1991=114000,VLOOKUP(A1991,洗矿索引!$B$2:$H$97,3,FALSE),1)</f>
        <v>1</v>
      </c>
      <c r="J1991" s="4">
        <f t="shared" si="48"/>
        <v>1</v>
      </c>
      <c r="K1991" s="6" t="s">
        <v>1919</v>
      </c>
    </row>
    <row r="1992" spans="1:11" s="4" customFormat="1">
      <c r="A1992" s="4">
        <v>115006</v>
      </c>
      <c r="B1992" s="4">
        <v>1</v>
      </c>
      <c r="C1992" s="4">
        <v>1</v>
      </c>
      <c r="D1992" s="4">
        <v>0</v>
      </c>
      <c r="E1992" s="4">
        <v>0</v>
      </c>
      <c r="F1992" s="4">
        <v>1</v>
      </c>
      <c r="G1992" s="4">
        <v>114000</v>
      </c>
      <c r="H1992" s="4">
        <f>INT(VLOOKUP(A1992,洗矿索引!$B$2:$H$97,IF(INT(G1992/10000)=11,7,IF(INT(G1992/10000)=2,6,IF(RIGHT(G1992,1)="0",4,5))),TRUE)/IF(INT(G1992/10000)=11,1,IF(INT(G1992/10000)=2,3,IF(RIGHT(G1992,1)=0,6,6)))*100000)</f>
        <v>99936</v>
      </c>
      <c r="I1992" s="4">
        <f>IF(G1992=114000,VLOOKUP(A1992,洗矿索引!$B$2:$H$97,3,FALSE),1)</f>
        <v>1</v>
      </c>
      <c r="J1992" s="4">
        <f t="shared" si="48"/>
        <v>1</v>
      </c>
      <c r="K1992" s="6" t="s">
        <v>1920</v>
      </c>
    </row>
    <row r="1993" spans="1:11" s="4" customFormat="1">
      <c r="A1993" s="4">
        <v>115006</v>
      </c>
      <c r="B1993" s="4">
        <v>1</v>
      </c>
      <c r="C1993" s="4">
        <v>1</v>
      </c>
      <c r="D1993" s="4">
        <v>0</v>
      </c>
      <c r="E1993" s="4">
        <v>0</v>
      </c>
      <c r="F1993" s="4">
        <v>1</v>
      </c>
      <c r="G1993" s="4">
        <v>21001</v>
      </c>
      <c r="H1993" s="4">
        <f>INT(VLOOKUP(A1993,洗矿索引!$B$2:$H$97,IF(INT(G1993/10000)=11,7,IF(INT(G1993/10000)=2,6,IF(RIGHT(G1993,1)="0",4,5))),TRUE)/IF(INT(G1993/10000)=11,1,IF(INT(G1993/10000)=2,3,IF(RIGHT(G1993,1)=0,6,6)))*100000)</f>
        <v>21</v>
      </c>
      <c r="I1993" s="4">
        <f>IF(G1993=114000,VLOOKUP(A1993,洗矿索引!$B$2:$H$97,3,FALSE),1)</f>
        <v>1</v>
      </c>
      <c r="J1993" s="4">
        <f t="shared" si="48"/>
        <v>1</v>
      </c>
      <c r="K1993" s="6" t="s">
        <v>1921</v>
      </c>
    </row>
    <row r="1994" spans="1:11" s="4" customFormat="1">
      <c r="A1994" s="4">
        <v>115006</v>
      </c>
      <c r="B1994" s="4">
        <v>1</v>
      </c>
      <c r="C1994" s="4">
        <v>1</v>
      </c>
      <c r="D1994" s="4">
        <v>0</v>
      </c>
      <c r="E1994" s="4">
        <v>0</v>
      </c>
      <c r="F1994" s="4">
        <v>1</v>
      </c>
      <c r="G1994" s="4">
        <v>21002</v>
      </c>
      <c r="H1994" s="4">
        <f>INT(VLOOKUP(A1994,洗矿索引!$B$2:$H$97,IF(INT(G1994/10000)=11,7,IF(INT(G1994/10000)=2,6,IF(RIGHT(G1994,1)="0",4,5))),TRUE)/IF(INT(G1994/10000)=11,1,IF(INT(G1994/10000)=2,3,IF(RIGHT(G1994,1)=0,6,6)))*100000)</f>
        <v>21</v>
      </c>
      <c r="I1994" s="4">
        <f>IF(G1994=114000,VLOOKUP(A1994,洗矿索引!$B$2:$H$97,3,FALSE),1)</f>
        <v>1</v>
      </c>
      <c r="J1994" s="4">
        <f t="shared" si="48"/>
        <v>1</v>
      </c>
      <c r="K1994" s="6" t="s">
        <v>1922</v>
      </c>
    </row>
    <row r="1995" spans="1:11" s="4" customFormat="1">
      <c r="A1995" s="4">
        <v>115006</v>
      </c>
      <c r="B1995" s="4">
        <v>1</v>
      </c>
      <c r="C1995" s="4">
        <v>1</v>
      </c>
      <c r="D1995" s="4">
        <v>0</v>
      </c>
      <c r="E1995" s="4">
        <v>0</v>
      </c>
      <c r="F1995" s="4">
        <v>1</v>
      </c>
      <c r="G1995" s="4">
        <v>21003</v>
      </c>
      <c r="H1995" s="4">
        <f>INT(VLOOKUP(A1995,洗矿索引!$B$2:$H$97,IF(INT(G1995/10000)=11,7,IF(INT(G1995/10000)=2,6,IF(RIGHT(G1995,1)="0",4,5))),TRUE)/IF(INT(G1995/10000)=11,1,IF(INT(G1995/10000)=2,3,IF(RIGHT(G1995,1)=0,6,6)))*100000)</f>
        <v>21</v>
      </c>
      <c r="I1995" s="4">
        <f>IF(G1995=114000,VLOOKUP(A1995,洗矿索引!$B$2:$H$97,3,FALSE),1)</f>
        <v>1</v>
      </c>
      <c r="J1995" s="4">
        <f t="shared" si="48"/>
        <v>1</v>
      </c>
      <c r="K1995" s="6" t="s">
        <v>1923</v>
      </c>
    </row>
    <row r="1996" spans="1:11" s="4" customFormat="1">
      <c r="A1996" s="4">
        <v>115007</v>
      </c>
      <c r="B1996" s="4">
        <v>1</v>
      </c>
      <c r="C1996" s="4">
        <v>1</v>
      </c>
      <c r="D1996" s="4">
        <v>0</v>
      </c>
      <c r="E1996" s="4">
        <v>0</v>
      </c>
      <c r="F1996" s="4">
        <v>1</v>
      </c>
      <c r="G1996" s="4">
        <v>114000</v>
      </c>
      <c r="H1996" s="4">
        <f>INT(VLOOKUP(A1996,洗矿索引!$B$2:$H$97,IF(INT(G1996/10000)=11,7,IF(INT(G1996/10000)=2,6,IF(RIGHT(G1996,1)="0",4,5))),TRUE)/IF(INT(G1996/10000)=11,1,IF(INT(G1996/10000)=2,3,IF(RIGHT(G1996,1)=0,6,6)))*100000)</f>
        <v>99928</v>
      </c>
      <c r="I1996" s="4">
        <f>IF(G1996=114000,VLOOKUP(A1996,洗矿索引!$B$2:$H$97,3,FALSE),1)</f>
        <v>1</v>
      </c>
      <c r="J1996" s="4">
        <f t="shared" si="48"/>
        <v>1</v>
      </c>
      <c r="K1996" s="6" t="s">
        <v>1924</v>
      </c>
    </row>
    <row r="1997" spans="1:11" s="4" customFormat="1">
      <c r="A1997" s="4">
        <v>115007</v>
      </c>
      <c r="B1997" s="4">
        <v>1</v>
      </c>
      <c r="C1997" s="4">
        <v>1</v>
      </c>
      <c r="D1997" s="4">
        <v>0</v>
      </c>
      <c r="E1997" s="4">
        <v>0</v>
      </c>
      <c r="F1997" s="4">
        <v>1</v>
      </c>
      <c r="G1997" s="4">
        <v>21001</v>
      </c>
      <c r="H1997" s="4">
        <f>INT(VLOOKUP(A1997,洗矿索引!$B$2:$H$97,IF(INT(G1997/10000)=11,7,IF(INT(G1997/10000)=2,6,IF(RIGHT(G1997,1)="0",4,5))),TRUE)/IF(INT(G1997/10000)=11,1,IF(INT(G1997/10000)=2,3,IF(RIGHT(G1997,1)=0,6,6)))*100000)</f>
        <v>24</v>
      </c>
      <c r="I1997" s="4">
        <f>IF(G1997=114000,VLOOKUP(A1997,洗矿索引!$B$2:$H$97,3,FALSE),1)</f>
        <v>1</v>
      </c>
      <c r="J1997" s="4">
        <f t="shared" si="48"/>
        <v>1</v>
      </c>
      <c r="K1997" s="6" t="s">
        <v>1925</v>
      </c>
    </row>
    <row r="1998" spans="1:11" s="4" customFormat="1">
      <c r="A1998" s="4">
        <v>115007</v>
      </c>
      <c r="B1998" s="4">
        <v>1</v>
      </c>
      <c r="C1998" s="4">
        <v>1</v>
      </c>
      <c r="D1998" s="4">
        <v>0</v>
      </c>
      <c r="E1998" s="4">
        <v>0</v>
      </c>
      <c r="F1998" s="4">
        <v>1</v>
      </c>
      <c r="G1998" s="4">
        <v>21002</v>
      </c>
      <c r="H1998" s="4">
        <f>INT(VLOOKUP(A1998,洗矿索引!$B$2:$H$97,IF(INT(G1998/10000)=11,7,IF(INT(G1998/10000)=2,6,IF(RIGHT(G1998,1)="0",4,5))),TRUE)/IF(INT(G1998/10000)=11,1,IF(INT(G1998/10000)=2,3,IF(RIGHT(G1998,1)=0,6,6)))*100000)</f>
        <v>24</v>
      </c>
      <c r="I1998" s="4">
        <f>IF(G1998=114000,VLOOKUP(A1998,洗矿索引!$B$2:$H$97,3,FALSE),1)</f>
        <v>1</v>
      </c>
      <c r="J1998" s="4">
        <f t="shared" si="48"/>
        <v>1</v>
      </c>
      <c r="K1998" s="6" t="s">
        <v>1926</v>
      </c>
    </row>
    <row r="1999" spans="1:11" s="4" customFormat="1">
      <c r="A1999" s="4">
        <v>115007</v>
      </c>
      <c r="B1999" s="4">
        <v>1</v>
      </c>
      <c r="C1999" s="4">
        <v>1</v>
      </c>
      <c r="D1999" s="4">
        <v>0</v>
      </c>
      <c r="E1999" s="4">
        <v>0</v>
      </c>
      <c r="F1999" s="4">
        <v>1</v>
      </c>
      <c r="G1999" s="4">
        <v>21003</v>
      </c>
      <c r="H1999" s="4">
        <f>INT(VLOOKUP(A1999,洗矿索引!$B$2:$H$97,IF(INT(G1999/10000)=11,7,IF(INT(G1999/10000)=2,6,IF(RIGHT(G1999,1)="0",4,5))),TRUE)/IF(INT(G1999/10000)=11,1,IF(INT(G1999/10000)=2,3,IF(RIGHT(G1999,1)=0,6,6)))*100000)</f>
        <v>24</v>
      </c>
      <c r="I1999" s="4">
        <f>IF(G1999=114000,VLOOKUP(A1999,洗矿索引!$B$2:$H$97,3,FALSE),1)</f>
        <v>1</v>
      </c>
      <c r="J1999" s="4">
        <f t="shared" si="48"/>
        <v>1</v>
      </c>
      <c r="K1999" s="6" t="s">
        <v>1927</v>
      </c>
    </row>
    <row r="2000" spans="1:11" s="4" customFormat="1">
      <c r="A2000" s="4">
        <v>115008</v>
      </c>
      <c r="B2000" s="4">
        <v>1</v>
      </c>
      <c r="C2000" s="4">
        <v>1</v>
      </c>
      <c r="D2000" s="4">
        <v>0</v>
      </c>
      <c r="E2000" s="4">
        <v>0</v>
      </c>
      <c r="F2000" s="4">
        <v>1</v>
      </c>
      <c r="G2000" s="4">
        <v>114000</v>
      </c>
      <c r="H2000" s="4">
        <f>INT(VLOOKUP(A2000,洗矿索引!$B$2:$H$97,IF(INT(G2000/10000)=11,7,IF(INT(G2000/10000)=2,6,IF(RIGHT(G2000,1)="0",4,5))),TRUE)/IF(INT(G2000/10000)=11,1,IF(INT(G2000/10000)=2,3,IF(RIGHT(G2000,1)=0,6,6)))*100000)</f>
        <v>99920</v>
      </c>
      <c r="I2000" s="4">
        <f>IF(G2000=114000,VLOOKUP(A2000,洗矿索引!$B$2:$H$97,3,FALSE),1)</f>
        <v>1</v>
      </c>
      <c r="J2000" s="4">
        <f t="shared" si="48"/>
        <v>1</v>
      </c>
      <c r="K2000" s="6" t="s">
        <v>1928</v>
      </c>
    </row>
    <row r="2001" spans="1:11" s="4" customFormat="1">
      <c r="A2001" s="4">
        <v>115008</v>
      </c>
      <c r="B2001" s="4">
        <v>1</v>
      </c>
      <c r="C2001" s="4">
        <v>1</v>
      </c>
      <c r="D2001" s="4">
        <v>0</v>
      </c>
      <c r="E2001" s="4">
        <v>0</v>
      </c>
      <c r="F2001" s="4">
        <v>1</v>
      </c>
      <c r="G2001" s="4">
        <v>21001</v>
      </c>
      <c r="H2001" s="4">
        <f>INT(VLOOKUP(A2001,洗矿索引!$B$2:$H$97,IF(INT(G2001/10000)=11,7,IF(INT(G2001/10000)=2,6,IF(RIGHT(G2001,1)="0",4,5))),TRUE)/IF(INT(G2001/10000)=11,1,IF(INT(G2001/10000)=2,3,IF(RIGHT(G2001,1)=0,6,6)))*100000)</f>
        <v>26</v>
      </c>
      <c r="I2001" s="4">
        <f>IF(G2001=114000,VLOOKUP(A2001,洗矿索引!$B$2:$H$97,3,FALSE),1)</f>
        <v>1</v>
      </c>
      <c r="J2001" s="4">
        <f t="shared" si="48"/>
        <v>1</v>
      </c>
      <c r="K2001" s="6" t="s">
        <v>1929</v>
      </c>
    </row>
    <row r="2002" spans="1:11" s="4" customFormat="1">
      <c r="A2002" s="4">
        <v>115008</v>
      </c>
      <c r="B2002" s="4">
        <v>1</v>
      </c>
      <c r="C2002" s="4">
        <v>1</v>
      </c>
      <c r="D2002" s="4">
        <v>0</v>
      </c>
      <c r="E2002" s="4">
        <v>0</v>
      </c>
      <c r="F2002" s="4">
        <v>1</v>
      </c>
      <c r="G2002" s="4">
        <v>21002</v>
      </c>
      <c r="H2002" s="4">
        <f>INT(VLOOKUP(A2002,洗矿索引!$B$2:$H$97,IF(INT(G2002/10000)=11,7,IF(INT(G2002/10000)=2,6,IF(RIGHT(G2002,1)="0",4,5))),TRUE)/IF(INT(G2002/10000)=11,1,IF(INT(G2002/10000)=2,3,IF(RIGHT(G2002,1)=0,6,6)))*100000)</f>
        <v>26</v>
      </c>
      <c r="I2002" s="4">
        <f>IF(G2002=114000,VLOOKUP(A2002,洗矿索引!$B$2:$H$97,3,FALSE),1)</f>
        <v>1</v>
      </c>
      <c r="J2002" s="4">
        <f t="shared" si="48"/>
        <v>1</v>
      </c>
      <c r="K2002" s="6" t="s">
        <v>1930</v>
      </c>
    </row>
    <row r="2003" spans="1:11" s="4" customFormat="1">
      <c r="A2003" s="4">
        <v>115008</v>
      </c>
      <c r="B2003" s="4">
        <v>1</v>
      </c>
      <c r="C2003" s="4">
        <v>1</v>
      </c>
      <c r="D2003" s="4">
        <v>0</v>
      </c>
      <c r="E2003" s="4">
        <v>0</v>
      </c>
      <c r="F2003" s="4">
        <v>1</v>
      </c>
      <c r="G2003" s="4">
        <v>21003</v>
      </c>
      <c r="H2003" s="4">
        <f>INT(VLOOKUP(A2003,洗矿索引!$B$2:$H$97,IF(INT(G2003/10000)=11,7,IF(INT(G2003/10000)=2,6,IF(RIGHT(G2003,1)="0",4,5))),TRUE)/IF(INT(G2003/10000)=11,1,IF(INT(G2003/10000)=2,3,IF(RIGHT(G2003,1)=0,6,6)))*100000)</f>
        <v>26</v>
      </c>
      <c r="I2003" s="4">
        <f>IF(G2003=114000,VLOOKUP(A2003,洗矿索引!$B$2:$H$97,3,FALSE),1)</f>
        <v>1</v>
      </c>
      <c r="J2003" s="4">
        <f t="shared" si="48"/>
        <v>1</v>
      </c>
      <c r="K2003" s="6" t="s">
        <v>1931</v>
      </c>
    </row>
    <row r="2004" spans="1:11" s="4" customFormat="1">
      <c r="A2004" s="4">
        <v>115009</v>
      </c>
      <c r="B2004" s="4">
        <v>1</v>
      </c>
      <c r="C2004" s="4">
        <v>1</v>
      </c>
      <c r="D2004" s="4">
        <v>0</v>
      </c>
      <c r="E2004" s="4">
        <v>0</v>
      </c>
      <c r="F2004" s="4">
        <v>1</v>
      </c>
      <c r="G2004" s="4">
        <v>114000</v>
      </c>
      <c r="H2004" s="4">
        <f>INT(VLOOKUP(A2004,洗矿索引!$B$2:$H$97,IF(INT(G2004/10000)=11,7,IF(INT(G2004/10000)=2,6,IF(RIGHT(G2004,1)="0",4,5))),TRUE)/IF(INT(G2004/10000)=11,1,IF(INT(G2004/10000)=2,3,IF(RIGHT(G2004,1)=0,6,6)))*100000)</f>
        <v>99912</v>
      </c>
      <c r="I2004" s="4">
        <f>IF(G2004=114000,VLOOKUP(A2004,洗矿索引!$B$2:$H$97,3,FALSE),1)</f>
        <v>1</v>
      </c>
      <c r="J2004" s="4">
        <f t="shared" si="48"/>
        <v>1</v>
      </c>
      <c r="K2004" s="6" t="s">
        <v>1932</v>
      </c>
    </row>
    <row r="2005" spans="1:11" s="4" customFormat="1">
      <c r="A2005" s="4">
        <v>115009</v>
      </c>
      <c r="B2005" s="4">
        <v>1</v>
      </c>
      <c r="C2005" s="4">
        <v>1</v>
      </c>
      <c r="D2005" s="4">
        <v>0</v>
      </c>
      <c r="E2005" s="4">
        <v>0</v>
      </c>
      <c r="F2005" s="4">
        <v>1</v>
      </c>
      <c r="G2005" s="4">
        <v>21001</v>
      </c>
      <c r="H2005" s="4">
        <f>INT(VLOOKUP(A2005,洗矿索引!$B$2:$H$97,IF(INT(G2005/10000)=11,7,IF(INT(G2005/10000)=2,6,IF(RIGHT(G2005,1)="0",4,5))),TRUE)/IF(INT(G2005/10000)=11,1,IF(INT(G2005/10000)=2,3,IF(RIGHT(G2005,1)=0,6,6)))*100000)</f>
        <v>29</v>
      </c>
      <c r="I2005" s="4">
        <f>IF(G2005=114000,VLOOKUP(A2005,洗矿索引!$B$2:$H$97,3,FALSE),1)</f>
        <v>1</v>
      </c>
      <c r="J2005" s="4">
        <f t="shared" si="48"/>
        <v>1</v>
      </c>
      <c r="K2005" s="6" t="s">
        <v>1933</v>
      </c>
    </row>
    <row r="2006" spans="1:11" s="4" customFormat="1">
      <c r="A2006" s="4">
        <v>115009</v>
      </c>
      <c r="B2006" s="4">
        <v>1</v>
      </c>
      <c r="C2006" s="4">
        <v>1</v>
      </c>
      <c r="D2006" s="4">
        <v>0</v>
      </c>
      <c r="E2006" s="4">
        <v>0</v>
      </c>
      <c r="F2006" s="4">
        <v>1</v>
      </c>
      <c r="G2006" s="4">
        <v>21002</v>
      </c>
      <c r="H2006" s="4">
        <f>INT(VLOOKUP(A2006,洗矿索引!$B$2:$H$97,IF(INT(G2006/10000)=11,7,IF(INT(G2006/10000)=2,6,IF(RIGHT(G2006,1)="0",4,5))),TRUE)/IF(INT(G2006/10000)=11,1,IF(INT(G2006/10000)=2,3,IF(RIGHT(G2006,1)=0,6,6)))*100000)</f>
        <v>29</v>
      </c>
      <c r="I2006" s="4">
        <f>IF(G2006=114000,VLOOKUP(A2006,洗矿索引!$B$2:$H$97,3,FALSE),1)</f>
        <v>1</v>
      </c>
      <c r="J2006" s="4">
        <f t="shared" si="48"/>
        <v>1</v>
      </c>
      <c r="K2006" s="6" t="s">
        <v>1934</v>
      </c>
    </row>
    <row r="2007" spans="1:11" s="4" customFormat="1">
      <c r="A2007" s="4">
        <v>115009</v>
      </c>
      <c r="B2007" s="4">
        <v>1</v>
      </c>
      <c r="C2007" s="4">
        <v>1</v>
      </c>
      <c r="D2007" s="4">
        <v>0</v>
      </c>
      <c r="E2007" s="4">
        <v>0</v>
      </c>
      <c r="F2007" s="4">
        <v>1</v>
      </c>
      <c r="G2007" s="4">
        <v>21003</v>
      </c>
      <c r="H2007" s="4">
        <f>INT(VLOOKUP(A2007,洗矿索引!$B$2:$H$97,IF(INT(G2007/10000)=11,7,IF(INT(G2007/10000)=2,6,IF(RIGHT(G2007,1)="0",4,5))),TRUE)/IF(INT(G2007/10000)=11,1,IF(INT(G2007/10000)=2,3,IF(RIGHT(G2007,1)=0,6,6)))*100000)</f>
        <v>29</v>
      </c>
      <c r="I2007" s="4">
        <f>IF(G2007=114000,VLOOKUP(A2007,洗矿索引!$B$2:$H$97,3,FALSE),1)</f>
        <v>1</v>
      </c>
      <c r="J2007" s="4">
        <f t="shared" si="48"/>
        <v>1</v>
      </c>
      <c r="K2007" s="6" t="s">
        <v>1935</v>
      </c>
    </row>
    <row r="2008" spans="1:11" s="4" customFormat="1">
      <c r="A2008" s="4">
        <v>115010</v>
      </c>
      <c r="B2008" s="4">
        <v>1</v>
      </c>
      <c r="C2008" s="4">
        <v>1</v>
      </c>
      <c r="D2008" s="4">
        <v>0</v>
      </c>
      <c r="E2008" s="4">
        <v>0</v>
      </c>
      <c r="F2008" s="4">
        <v>1</v>
      </c>
      <c r="G2008" s="4">
        <v>114000</v>
      </c>
      <c r="H2008" s="4">
        <f>INT(VLOOKUP(A2008,洗矿索引!$B$2:$H$97,IF(INT(G2008/10000)=11,7,IF(INT(G2008/10000)=2,6,IF(RIGHT(G2008,1)="0",4,5))),TRUE)/IF(INT(G2008/10000)=11,1,IF(INT(G2008/10000)=2,3,IF(RIGHT(G2008,1)=0,6,6)))*100000)</f>
        <v>99904</v>
      </c>
      <c r="I2008" s="4">
        <f>IF(G2008=114000,VLOOKUP(A2008,洗矿索引!$B$2:$H$97,3,FALSE),1)</f>
        <v>1</v>
      </c>
      <c r="J2008" s="4">
        <f t="shared" si="48"/>
        <v>1</v>
      </c>
      <c r="K2008" s="6" t="s">
        <v>1936</v>
      </c>
    </row>
    <row r="2009" spans="1:11" s="4" customFormat="1">
      <c r="A2009" s="4">
        <v>115010</v>
      </c>
      <c r="B2009" s="4">
        <v>1</v>
      </c>
      <c r="C2009" s="4">
        <v>1</v>
      </c>
      <c r="D2009" s="4">
        <v>0</v>
      </c>
      <c r="E2009" s="4">
        <v>0</v>
      </c>
      <c r="F2009" s="4">
        <v>1</v>
      </c>
      <c r="G2009" s="4">
        <v>21001</v>
      </c>
      <c r="H2009" s="4">
        <f>INT(VLOOKUP(A2009,洗矿索引!$B$2:$H$97,IF(INT(G2009/10000)=11,7,IF(INT(G2009/10000)=2,6,IF(RIGHT(G2009,1)="0",4,5))),TRUE)/IF(INT(G2009/10000)=11,1,IF(INT(G2009/10000)=2,3,IF(RIGHT(G2009,1)=0,6,6)))*100000)</f>
        <v>32</v>
      </c>
      <c r="I2009" s="4">
        <f>IF(G2009=114000,VLOOKUP(A2009,洗矿索引!$B$2:$H$97,3,FALSE),1)</f>
        <v>1</v>
      </c>
      <c r="J2009" s="4">
        <f t="shared" si="48"/>
        <v>1</v>
      </c>
      <c r="K2009" s="6" t="s">
        <v>1937</v>
      </c>
    </row>
    <row r="2010" spans="1:11" s="4" customFormat="1">
      <c r="A2010" s="4">
        <v>115010</v>
      </c>
      <c r="B2010" s="4">
        <v>1</v>
      </c>
      <c r="C2010" s="4">
        <v>1</v>
      </c>
      <c r="D2010" s="4">
        <v>0</v>
      </c>
      <c r="E2010" s="4">
        <v>0</v>
      </c>
      <c r="F2010" s="4">
        <v>1</v>
      </c>
      <c r="G2010" s="4">
        <v>21002</v>
      </c>
      <c r="H2010" s="4">
        <f>INT(VLOOKUP(A2010,洗矿索引!$B$2:$H$97,IF(INT(G2010/10000)=11,7,IF(INT(G2010/10000)=2,6,IF(RIGHT(G2010,1)="0",4,5))),TRUE)/IF(INT(G2010/10000)=11,1,IF(INT(G2010/10000)=2,3,IF(RIGHT(G2010,1)=0,6,6)))*100000)</f>
        <v>32</v>
      </c>
      <c r="I2010" s="4">
        <f>IF(G2010=114000,VLOOKUP(A2010,洗矿索引!$B$2:$H$97,3,FALSE),1)</f>
        <v>1</v>
      </c>
      <c r="J2010" s="4">
        <f t="shared" si="48"/>
        <v>1</v>
      </c>
      <c r="K2010" s="6" t="s">
        <v>1938</v>
      </c>
    </row>
    <row r="2011" spans="1:11" s="4" customFormat="1">
      <c r="A2011" s="4">
        <v>115010</v>
      </c>
      <c r="B2011" s="4">
        <v>1</v>
      </c>
      <c r="C2011" s="4">
        <v>1</v>
      </c>
      <c r="D2011" s="4">
        <v>0</v>
      </c>
      <c r="E2011" s="4">
        <v>0</v>
      </c>
      <c r="F2011" s="4">
        <v>1</v>
      </c>
      <c r="G2011" s="4">
        <v>21003</v>
      </c>
      <c r="H2011" s="4">
        <f>INT(VLOOKUP(A2011,洗矿索引!$B$2:$H$97,IF(INT(G2011/10000)=11,7,IF(INT(G2011/10000)=2,6,IF(RIGHT(G2011,1)="0",4,5))),TRUE)/IF(INT(G2011/10000)=11,1,IF(INT(G2011/10000)=2,3,IF(RIGHT(G2011,1)=0,6,6)))*100000)</f>
        <v>32</v>
      </c>
      <c r="I2011" s="4">
        <f>IF(G2011=114000,VLOOKUP(A2011,洗矿索引!$B$2:$H$97,3,FALSE),1)</f>
        <v>1</v>
      </c>
      <c r="J2011" s="4">
        <f t="shared" si="48"/>
        <v>1</v>
      </c>
      <c r="K2011" s="6" t="s">
        <v>1939</v>
      </c>
    </row>
    <row r="2012" spans="1:11" s="4" customFormat="1">
      <c r="A2012" s="4">
        <v>115011</v>
      </c>
      <c r="B2012" s="4">
        <v>1</v>
      </c>
      <c r="C2012" s="4">
        <v>1</v>
      </c>
      <c r="D2012" s="4">
        <v>0</v>
      </c>
      <c r="E2012" s="4">
        <v>0</v>
      </c>
      <c r="F2012" s="4">
        <v>1</v>
      </c>
      <c r="G2012" s="4">
        <v>114000</v>
      </c>
      <c r="H2012" s="4">
        <f>INT(VLOOKUP(A2012,洗矿索引!$B$2:$H$97,IF(INT(G2012/10000)=11,7,IF(INT(G2012/10000)=2,6,IF(RIGHT(G2012,1)="0",4,5))),TRUE)/IF(INT(G2012/10000)=11,1,IF(INT(G2012/10000)=2,3,IF(RIGHT(G2012,1)=0,6,6)))*100000)</f>
        <v>99896</v>
      </c>
      <c r="I2012" s="4">
        <f>IF(G2012=114000,VLOOKUP(A2012,洗矿索引!$B$2:$H$97,3,FALSE),1)</f>
        <v>1</v>
      </c>
      <c r="J2012" s="4">
        <f t="shared" si="48"/>
        <v>1</v>
      </c>
      <c r="K2012" s="6" t="s">
        <v>1940</v>
      </c>
    </row>
    <row r="2013" spans="1:11" s="4" customFormat="1">
      <c r="A2013" s="4">
        <v>115011</v>
      </c>
      <c r="B2013" s="4">
        <v>1</v>
      </c>
      <c r="C2013" s="4">
        <v>1</v>
      </c>
      <c r="D2013" s="4">
        <v>0</v>
      </c>
      <c r="E2013" s="4">
        <v>0</v>
      </c>
      <c r="F2013" s="4">
        <v>1</v>
      </c>
      <c r="G2013" s="4">
        <v>21001</v>
      </c>
      <c r="H2013" s="4">
        <f>INT(VLOOKUP(A2013,洗矿索引!$B$2:$H$97,IF(INT(G2013/10000)=11,7,IF(INT(G2013/10000)=2,6,IF(RIGHT(G2013,1)="0",4,5))),TRUE)/IF(INT(G2013/10000)=11,1,IF(INT(G2013/10000)=2,3,IF(RIGHT(G2013,1)=0,6,6)))*100000)</f>
        <v>34</v>
      </c>
      <c r="I2013" s="4">
        <f>IF(G2013=114000,VLOOKUP(A2013,洗矿索引!$B$2:$H$97,3,FALSE),1)</f>
        <v>1</v>
      </c>
      <c r="J2013" s="4">
        <f t="shared" si="48"/>
        <v>1</v>
      </c>
      <c r="K2013" s="6" t="s">
        <v>1941</v>
      </c>
    </row>
    <row r="2014" spans="1:11" s="4" customFormat="1">
      <c r="A2014" s="4">
        <v>115011</v>
      </c>
      <c r="B2014" s="4">
        <v>1</v>
      </c>
      <c r="C2014" s="4">
        <v>1</v>
      </c>
      <c r="D2014" s="4">
        <v>0</v>
      </c>
      <c r="E2014" s="4">
        <v>0</v>
      </c>
      <c r="F2014" s="4">
        <v>1</v>
      </c>
      <c r="G2014" s="4">
        <v>21002</v>
      </c>
      <c r="H2014" s="4">
        <f>INT(VLOOKUP(A2014,洗矿索引!$B$2:$H$97,IF(INT(G2014/10000)=11,7,IF(INT(G2014/10000)=2,6,IF(RIGHT(G2014,1)="0",4,5))),TRUE)/IF(INT(G2014/10000)=11,1,IF(INT(G2014/10000)=2,3,IF(RIGHT(G2014,1)=0,6,6)))*100000)</f>
        <v>34</v>
      </c>
      <c r="I2014" s="4">
        <f>IF(G2014=114000,VLOOKUP(A2014,洗矿索引!$B$2:$H$97,3,FALSE),1)</f>
        <v>1</v>
      </c>
      <c r="J2014" s="4">
        <f t="shared" si="48"/>
        <v>1</v>
      </c>
      <c r="K2014" s="6" t="s">
        <v>1942</v>
      </c>
    </row>
    <row r="2015" spans="1:11" s="4" customFormat="1">
      <c r="A2015" s="4">
        <v>115011</v>
      </c>
      <c r="B2015" s="4">
        <v>1</v>
      </c>
      <c r="C2015" s="4">
        <v>1</v>
      </c>
      <c r="D2015" s="4">
        <v>0</v>
      </c>
      <c r="E2015" s="4">
        <v>0</v>
      </c>
      <c r="F2015" s="4">
        <v>1</v>
      </c>
      <c r="G2015" s="4">
        <v>21003</v>
      </c>
      <c r="H2015" s="4">
        <f>INT(VLOOKUP(A2015,洗矿索引!$B$2:$H$97,IF(INT(G2015/10000)=11,7,IF(INT(G2015/10000)=2,6,IF(RIGHT(G2015,1)="0",4,5))),TRUE)/IF(INT(G2015/10000)=11,1,IF(INT(G2015/10000)=2,3,IF(RIGHT(G2015,1)=0,6,6)))*100000)</f>
        <v>34</v>
      </c>
      <c r="I2015" s="4">
        <f>IF(G2015=114000,VLOOKUP(A2015,洗矿索引!$B$2:$H$97,3,FALSE),1)</f>
        <v>1</v>
      </c>
      <c r="J2015" s="4">
        <f t="shared" si="48"/>
        <v>1</v>
      </c>
      <c r="K2015" s="6" t="s">
        <v>1943</v>
      </c>
    </row>
    <row r="2016" spans="1:11" s="4" customFormat="1">
      <c r="A2016" s="4">
        <v>115012</v>
      </c>
      <c r="B2016" s="4">
        <v>1</v>
      </c>
      <c r="C2016" s="4">
        <v>1</v>
      </c>
      <c r="D2016" s="4">
        <v>0</v>
      </c>
      <c r="E2016" s="4">
        <v>0</v>
      </c>
      <c r="F2016" s="4">
        <v>1</v>
      </c>
      <c r="G2016" s="4">
        <v>114000</v>
      </c>
      <c r="H2016" s="4">
        <f>INT(VLOOKUP(A2016,洗矿索引!$B$2:$H$97,IF(INT(G2016/10000)=11,7,IF(INT(G2016/10000)=2,6,IF(RIGHT(G2016,1)="0",4,5))),TRUE)/IF(INT(G2016/10000)=11,1,IF(INT(G2016/10000)=2,3,IF(RIGHT(G2016,1)=0,6,6)))*100000)</f>
        <v>99888</v>
      </c>
      <c r="I2016" s="4">
        <f>IF(G2016=114000,VLOOKUP(A2016,洗矿索引!$B$2:$H$97,3,FALSE),1)</f>
        <v>1</v>
      </c>
      <c r="J2016" s="4">
        <f t="shared" si="48"/>
        <v>1</v>
      </c>
      <c r="K2016" s="6" t="s">
        <v>1944</v>
      </c>
    </row>
    <row r="2017" spans="1:11" s="4" customFormat="1">
      <c r="A2017" s="4">
        <v>115012</v>
      </c>
      <c r="B2017" s="4">
        <v>1</v>
      </c>
      <c r="C2017" s="4">
        <v>1</v>
      </c>
      <c r="D2017" s="4">
        <v>0</v>
      </c>
      <c r="E2017" s="4">
        <v>0</v>
      </c>
      <c r="F2017" s="4">
        <v>1</v>
      </c>
      <c r="G2017" s="4">
        <v>21001</v>
      </c>
      <c r="H2017" s="4">
        <f>INT(VLOOKUP(A2017,洗矿索引!$B$2:$H$97,IF(INT(G2017/10000)=11,7,IF(INT(G2017/10000)=2,6,IF(RIGHT(G2017,1)="0",4,5))),TRUE)/IF(INT(G2017/10000)=11,1,IF(INT(G2017/10000)=2,3,IF(RIGHT(G2017,1)=0,6,6)))*100000)</f>
        <v>37</v>
      </c>
      <c r="I2017" s="4">
        <f>IF(G2017=114000,VLOOKUP(A2017,洗矿索引!$B$2:$H$97,3,FALSE),1)</f>
        <v>1</v>
      </c>
      <c r="J2017" s="4">
        <f t="shared" si="48"/>
        <v>1</v>
      </c>
      <c r="K2017" s="6" t="s">
        <v>1945</v>
      </c>
    </row>
    <row r="2018" spans="1:11" s="4" customFormat="1">
      <c r="A2018" s="4">
        <v>115012</v>
      </c>
      <c r="B2018" s="4">
        <v>1</v>
      </c>
      <c r="C2018" s="4">
        <v>1</v>
      </c>
      <c r="D2018" s="4">
        <v>0</v>
      </c>
      <c r="E2018" s="4">
        <v>0</v>
      </c>
      <c r="F2018" s="4">
        <v>1</v>
      </c>
      <c r="G2018" s="4">
        <v>21002</v>
      </c>
      <c r="H2018" s="4">
        <f>INT(VLOOKUP(A2018,洗矿索引!$B$2:$H$97,IF(INT(G2018/10000)=11,7,IF(INT(G2018/10000)=2,6,IF(RIGHT(G2018,1)="0",4,5))),TRUE)/IF(INT(G2018/10000)=11,1,IF(INT(G2018/10000)=2,3,IF(RIGHT(G2018,1)=0,6,6)))*100000)</f>
        <v>37</v>
      </c>
      <c r="I2018" s="4">
        <f>IF(G2018=114000,VLOOKUP(A2018,洗矿索引!$B$2:$H$97,3,FALSE),1)</f>
        <v>1</v>
      </c>
      <c r="J2018" s="4">
        <f t="shared" si="48"/>
        <v>1</v>
      </c>
      <c r="K2018" s="6" t="s">
        <v>1946</v>
      </c>
    </row>
    <row r="2019" spans="1:11" s="4" customFormat="1">
      <c r="A2019" s="4">
        <v>115012</v>
      </c>
      <c r="B2019" s="4">
        <v>1</v>
      </c>
      <c r="C2019" s="4">
        <v>1</v>
      </c>
      <c r="D2019" s="4">
        <v>0</v>
      </c>
      <c r="E2019" s="4">
        <v>0</v>
      </c>
      <c r="F2019" s="4">
        <v>1</v>
      </c>
      <c r="G2019" s="4">
        <v>21003</v>
      </c>
      <c r="H2019" s="4">
        <f>INT(VLOOKUP(A2019,洗矿索引!$B$2:$H$97,IF(INT(G2019/10000)=11,7,IF(INT(G2019/10000)=2,6,IF(RIGHT(G2019,1)="0",4,5))),TRUE)/IF(INT(G2019/10000)=11,1,IF(INT(G2019/10000)=2,3,IF(RIGHT(G2019,1)=0,6,6)))*100000)</f>
        <v>37</v>
      </c>
      <c r="I2019" s="4">
        <f>IF(G2019=114000,VLOOKUP(A2019,洗矿索引!$B$2:$H$97,3,FALSE),1)</f>
        <v>1</v>
      </c>
      <c r="J2019" s="4">
        <f t="shared" si="48"/>
        <v>1</v>
      </c>
      <c r="K2019" s="6" t="s">
        <v>1947</v>
      </c>
    </row>
    <row r="2020" spans="1:11" s="4" customFormat="1">
      <c r="A2020" s="4">
        <v>115013</v>
      </c>
      <c r="B2020" s="4">
        <v>1</v>
      </c>
      <c r="C2020" s="4">
        <v>1</v>
      </c>
      <c r="D2020" s="4">
        <v>0</v>
      </c>
      <c r="E2020" s="4">
        <v>0</v>
      </c>
      <c r="F2020" s="4">
        <v>1</v>
      </c>
      <c r="G2020" s="4">
        <v>114000</v>
      </c>
      <c r="H2020" s="4">
        <f>INT(VLOOKUP(A2020,洗矿索引!$B$2:$H$97,IF(INT(G2020/10000)=11,7,IF(INT(G2020/10000)=2,6,IF(RIGHT(G2020,1)="0",4,5))),TRUE)/IF(INT(G2020/10000)=11,1,IF(INT(G2020/10000)=2,3,IF(RIGHT(G2020,1)=0,6,6)))*100000)</f>
        <v>99880</v>
      </c>
      <c r="I2020" s="4">
        <f>IF(G2020=114000,VLOOKUP(A2020,洗矿索引!$B$2:$H$97,3,FALSE),1)</f>
        <v>1</v>
      </c>
      <c r="J2020" s="4">
        <f t="shared" si="48"/>
        <v>1</v>
      </c>
      <c r="K2020" s="6" t="s">
        <v>1948</v>
      </c>
    </row>
    <row r="2021" spans="1:11" s="4" customFormat="1">
      <c r="A2021" s="4">
        <v>115013</v>
      </c>
      <c r="B2021" s="4">
        <v>1</v>
      </c>
      <c r="C2021" s="4">
        <v>1</v>
      </c>
      <c r="D2021" s="4">
        <v>0</v>
      </c>
      <c r="E2021" s="4">
        <v>0</v>
      </c>
      <c r="F2021" s="4">
        <v>1</v>
      </c>
      <c r="G2021" s="4">
        <v>21001</v>
      </c>
      <c r="H2021" s="4">
        <f>INT(VLOOKUP(A2021,洗矿索引!$B$2:$H$97,IF(INT(G2021/10000)=11,7,IF(INT(G2021/10000)=2,6,IF(RIGHT(G2021,1)="0",4,5))),TRUE)/IF(INT(G2021/10000)=11,1,IF(INT(G2021/10000)=2,3,IF(RIGHT(G2021,1)=0,6,6)))*100000)</f>
        <v>40</v>
      </c>
      <c r="I2021" s="4">
        <f>IF(G2021=114000,VLOOKUP(A2021,洗矿索引!$B$2:$H$97,3,FALSE),1)</f>
        <v>1</v>
      </c>
      <c r="J2021" s="4">
        <f t="shared" si="48"/>
        <v>1</v>
      </c>
      <c r="K2021" s="6" t="s">
        <v>1949</v>
      </c>
    </row>
    <row r="2022" spans="1:11" s="4" customFormat="1">
      <c r="A2022" s="4">
        <v>115013</v>
      </c>
      <c r="B2022" s="4">
        <v>1</v>
      </c>
      <c r="C2022" s="4">
        <v>1</v>
      </c>
      <c r="D2022" s="4">
        <v>0</v>
      </c>
      <c r="E2022" s="4">
        <v>0</v>
      </c>
      <c r="F2022" s="4">
        <v>1</v>
      </c>
      <c r="G2022" s="4">
        <v>21002</v>
      </c>
      <c r="H2022" s="4">
        <f>INT(VLOOKUP(A2022,洗矿索引!$B$2:$H$97,IF(INT(G2022/10000)=11,7,IF(INT(G2022/10000)=2,6,IF(RIGHT(G2022,1)="0",4,5))),TRUE)/IF(INT(G2022/10000)=11,1,IF(INT(G2022/10000)=2,3,IF(RIGHT(G2022,1)=0,6,6)))*100000)</f>
        <v>40</v>
      </c>
      <c r="I2022" s="4">
        <f>IF(G2022=114000,VLOOKUP(A2022,洗矿索引!$B$2:$H$97,3,FALSE),1)</f>
        <v>1</v>
      </c>
      <c r="J2022" s="4">
        <f t="shared" si="48"/>
        <v>1</v>
      </c>
      <c r="K2022" s="6" t="s">
        <v>1950</v>
      </c>
    </row>
    <row r="2023" spans="1:11" s="4" customFormat="1">
      <c r="A2023" s="4">
        <v>115013</v>
      </c>
      <c r="B2023" s="4">
        <v>1</v>
      </c>
      <c r="C2023" s="4">
        <v>1</v>
      </c>
      <c r="D2023" s="4">
        <v>0</v>
      </c>
      <c r="E2023" s="4">
        <v>0</v>
      </c>
      <c r="F2023" s="4">
        <v>1</v>
      </c>
      <c r="G2023" s="4">
        <v>21003</v>
      </c>
      <c r="H2023" s="4">
        <f>INT(VLOOKUP(A2023,洗矿索引!$B$2:$H$97,IF(INT(G2023/10000)=11,7,IF(INT(G2023/10000)=2,6,IF(RIGHT(G2023,1)="0",4,5))),TRUE)/IF(INT(G2023/10000)=11,1,IF(INT(G2023/10000)=2,3,IF(RIGHT(G2023,1)=0,6,6)))*100000)</f>
        <v>40</v>
      </c>
      <c r="I2023" s="4">
        <f>IF(G2023=114000,VLOOKUP(A2023,洗矿索引!$B$2:$H$97,3,FALSE),1)</f>
        <v>1</v>
      </c>
      <c r="J2023" s="4">
        <f t="shared" si="48"/>
        <v>1</v>
      </c>
      <c r="K2023" s="6" t="s">
        <v>1951</v>
      </c>
    </row>
    <row r="2024" spans="1:11" s="4" customFormat="1">
      <c r="A2024" s="4">
        <v>115014</v>
      </c>
      <c r="B2024" s="4">
        <v>1</v>
      </c>
      <c r="C2024" s="4">
        <v>1</v>
      </c>
      <c r="D2024" s="4">
        <v>0</v>
      </c>
      <c r="E2024" s="4">
        <v>0</v>
      </c>
      <c r="F2024" s="4">
        <v>1</v>
      </c>
      <c r="G2024" s="4">
        <v>114000</v>
      </c>
      <c r="H2024" s="4">
        <f>INT(VLOOKUP(A2024,洗矿索引!$B$2:$H$97,IF(INT(G2024/10000)=11,7,IF(INT(G2024/10000)=2,6,IF(RIGHT(G2024,1)="0",4,5))),TRUE)/IF(INT(G2024/10000)=11,1,IF(INT(G2024/10000)=2,3,IF(RIGHT(G2024,1)=0,6,6)))*100000)</f>
        <v>99872</v>
      </c>
      <c r="I2024" s="4">
        <f>IF(G2024=114000,VLOOKUP(A2024,洗矿索引!$B$2:$H$97,3,FALSE),1)</f>
        <v>1</v>
      </c>
      <c r="J2024" s="4">
        <f t="shared" si="48"/>
        <v>1</v>
      </c>
      <c r="K2024" s="6" t="s">
        <v>1952</v>
      </c>
    </row>
    <row r="2025" spans="1:11" s="4" customFormat="1">
      <c r="A2025" s="4">
        <v>115014</v>
      </c>
      <c r="B2025" s="4">
        <v>1</v>
      </c>
      <c r="C2025" s="4">
        <v>1</v>
      </c>
      <c r="D2025" s="4">
        <v>0</v>
      </c>
      <c r="E2025" s="4">
        <v>0</v>
      </c>
      <c r="F2025" s="4">
        <v>1</v>
      </c>
      <c r="G2025" s="4">
        <v>21001</v>
      </c>
      <c r="H2025" s="4">
        <f>INT(VLOOKUP(A2025,洗矿索引!$B$2:$H$97,IF(INT(G2025/10000)=11,7,IF(INT(G2025/10000)=2,6,IF(RIGHT(G2025,1)="0",4,5))),TRUE)/IF(INT(G2025/10000)=11,1,IF(INT(G2025/10000)=2,3,IF(RIGHT(G2025,1)=0,6,6)))*100000)</f>
        <v>42</v>
      </c>
      <c r="I2025" s="4">
        <f>IF(G2025=114000,VLOOKUP(A2025,洗矿索引!$B$2:$H$97,3,FALSE),1)</f>
        <v>1</v>
      </c>
      <c r="J2025" s="4">
        <f t="shared" si="48"/>
        <v>1</v>
      </c>
      <c r="K2025" s="6" t="s">
        <v>1953</v>
      </c>
    </row>
    <row r="2026" spans="1:11" s="4" customFormat="1">
      <c r="A2026" s="4">
        <v>115014</v>
      </c>
      <c r="B2026" s="4">
        <v>1</v>
      </c>
      <c r="C2026" s="4">
        <v>1</v>
      </c>
      <c r="D2026" s="4">
        <v>0</v>
      </c>
      <c r="E2026" s="4">
        <v>0</v>
      </c>
      <c r="F2026" s="4">
        <v>1</v>
      </c>
      <c r="G2026" s="4">
        <v>21002</v>
      </c>
      <c r="H2026" s="4">
        <f>INT(VLOOKUP(A2026,洗矿索引!$B$2:$H$97,IF(INT(G2026/10000)=11,7,IF(INT(G2026/10000)=2,6,IF(RIGHT(G2026,1)="0",4,5))),TRUE)/IF(INT(G2026/10000)=11,1,IF(INT(G2026/10000)=2,3,IF(RIGHT(G2026,1)=0,6,6)))*100000)</f>
        <v>42</v>
      </c>
      <c r="I2026" s="4">
        <f>IF(G2026=114000,VLOOKUP(A2026,洗矿索引!$B$2:$H$97,3,FALSE),1)</f>
        <v>1</v>
      </c>
      <c r="J2026" s="4">
        <f t="shared" si="48"/>
        <v>1</v>
      </c>
      <c r="K2026" s="6" t="s">
        <v>1954</v>
      </c>
    </row>
    <row r="2027" spans="1:11" s="4" customFormat="1">
      <c r="A2027" s="4">
        <v>115014</v>
      </c>
      <c r="B2027" s="4">
        <v>1</v>
      </c>
      <c r="C2027" s="4">
        <v>1</v>
      </c>
      <c r="D2027" s="4">
        <v>0</v>
      </c>
      <c r="E2027" s="4">
        <v>0</v>
      </c>
      <c r="F2027" s="4">
        <v>1</v>
      </c>
      <c r="G2027" s="4">
        <v>21003</v>
      </c>
      <c r="H2027" s="4">
        <f>INT(VLOOKUP(A2027,洗矿索引!$B$2:$H$97,IF(INT(G2027/10000)=11,7,IF(INT(G2027/10000)=2,6,IF(RIGHT(G2027,1)="0",4,5))),TRUE)/IF(INT(G2027/10000)=11,1,IF(INT(G2027/10000)=2,3,IF(RIGHT(G2027,1)=0,6,6)))*100000)</f>
        <v>42</v>
      </c>
      <c r="I2027" s="4">
        <f>IF(G2027=114000,VLOOKUP(A2027,洗矿索引!$B$2:$H$97,3,FALSE),1)</f>
        <v>1</v>
      </c>
      <c r="J2027" s="4">
        <f t="shared" si="48"/>
        <v>1</v>
      </c>
      <c r="K2027" s="6" t="s">
        <v>1955</v>
      </c>
    </row>
    <row r="2028" spans="1:11" s="4" customFormat="1">
      <c r="A2028" s="4">
        <v>115015</v>
      </c>
      <c r="B2028" s="4">
        <v>1</v>
      </c>
      <c r="C2028" s="4">
        <v>1</v>
      </c>
      <c r="D2028" s="4">
        <v>0</v>
      </c>
      <c r="E2028" s="4">
        <v>0</v>
      </c>
      <c r="F2028" s="4">
        <v>1</v>
      </c>
      <c r="G2028" s="4">
        <v>114000</v>
      </c>
      <c r="H2028" s="4">
        <f>INT(VLOOKUP(A2028,洗矿索引!$B$2:$H$97,IF(INT(G2028/10000)=11,7,IF(INT(G2028/10000)=2,6,IF(RIGHT(G2028,1)="0",4,5))),TRUE)/IF(INT(G2028/10000)=11,1,IF(INT(G2028/10000)=2,3,IF(RIGHT(G2028,1)=0,6,6)))*100000)</f>
        <v>99864</v>
      </c>
      <c r="I2028" s="4">
        <f>IF(G2028=114000,VLOOKUP(A2028,洗矿索引!$B$2:$H$97,3,FALSE),1)</f>
        <v>1</v>
      </c>
      <c r="J2028" s="4">
        <f t="shared" si="48"/>
        <v>1</v>
      </c>
      <c r="K2028" s="6" t="s">
        <v>1956</v>
      </c>
    </row>
    <row r="2029" spans="1:11" s="4" customFormat="1">
      <c r="A2029" s="4">
        <v>115015</v>
      </c>
      <c r="B2029" s="4">
        <v>1</v>
      </c>
      <c r="C2029" s="4">
        <v>1</v>
      </c>
      <c r="D2029" s="4">
        <v>0</v>
      </c>
      <c r="E2029" s="4">
        <v>0</v>
      </c>
      <c r="F2029" s="4">
        <v>1</v>
      </c>
      <c r="G2029" s="4">
        <v>21001</v>
      </c>
      <c r="H2029" s="4">
        <f>INT(VLOOKUP(A2029,洗矿索引!$B$2:$H$97,IF(INT(G2029/10000)=11,7,IF(INT(G2029/10000)=2,6,IF(RIGHT(G2029,1)="0",4,5))),TRUE)/IF(INT(G2029/10000)=11,1,IF(INT(G2029/10000)=2,3,IF(RIGHT(G2029,1)=0,6,6)))*100000)</f>
        <v>45</v>
      </c>
      <c r="I2029" s="4">
        <f>IF(G2029=114000,VLOOKUP(A2029,洗矿索引!$B$2:$H$97,3,FALSE),1)</f>
        <v>1</v>
      </c>
      <c r="J2029" s="4">
        <f t="shared" si="48"/>
        <v>1</v>
      </c>
      <c r="K2029" s="6" t="s">
        <v>1957</v>
      </c>
    </row>
    <row r="2030" spans="1:11" s="4" customFormat="1">
      <c r="A2030" s="4">
        <v>115015</v>
      </c>
      <c r="B2030" s="4">
        <v>1</v>
      </c>
      <c r="C2030" s="4">
        <v>1</v>
      </c>
      <c r="D2030" s="4">
        <v>0</v>
      </c>
      <c r="E2030" s="4">
        <v>0</v>
      </c>
      <c r="F2030" s="4">
        <v>1</v>
      </c>
      <c r="G2030" s="4">
        <v>21002</v>
      </c>
      <c r="H2030" s="4">
        <f>INT(VLOOKUP(A2030,洗矿索引!$B$2:$H$97,IF(INT(G2030/10000)=11,7,IF(INT(G2030/10000)=2,6,IF(RIGHT(G2030,1)="0",4,5))),TRUE)/IF(INT(G2030/10000)=11,1,IF(INT(G2030/10000)=2,3,IF(RIGHT(G2030,1)=0,6,6)))*100000)</f>
        <v>45</v>
      </c>
      <c r="I2030" s="4">
        <f>IF(G2030=114000,VLOOKUP(A2030,洗矿索引!$B$2:$H$97,3,FALSE),1)</f>
        <v>1</v>
      </c>
      <c r="J2030" s="4">
        <f t="shared" si="48"/>
        <v>1</v>
      </c>
      <c r="K2030" s="6" t="s">
        <v>1958</v>
      </c>
    </row>
    <row r="2031" spans="1:11" s="4" customFormat="1">
      <c r="A2031" s="4">
        <v>115015</v>
      </c>
      <c r="B2031" s="4">
        <v>1</v>
      </c>
      <c r="C2031" s="4">
        <v>1</v>
      </c>
      <c r="D2031" s="4">
        <v>0</v>
      </c>
      <c r="E2031" s="4">
        <v>0</v>
      </c>
      <c r="F2031" s="4">
        <v>1</v>
      </c>
      <c r="G2031" s="4">
        <v>21003</v>
      </c>
      <c r="H2031" s="4">
        <f>INT(VLOOKUP(A2031,洗矿索引!$B$2:$H$97,IF(INT(G2031/10000)=11,7,IF(INT(G2031/10000)=2,6,IF(RIGHT(G2031,1)="0",4,5))),TRUE)/IF(INT(G2031/10000)=11,1,IF(INT(G2031/10000)=2,3,IF(RIGHT(G2031,1)=0,6,6)))*100000)</f>
        <v>45</v>
      </c>
      <c r="I2031" s="4">
        <f>IF(G2031=114000,VLOOKUP(A2031,洗矿索引!$B$2:$H$97,3,FALSE),1)</f>
        <v>1</v>
      </c>
      <c r="J2031" s="4">
        <f t="shared" si="48"/>
        <v>1</v>
      </c>
      <c r="K2031" s="6" t="s">
        <v>1959</v>
      </c>
    </row>
    <row r="2032" spans="1:11" s="4" customFormat="1">
      <c r="A2032" s="4">
        <v>115016</v>
      </c>
      <c r="B2032" s="4">
        <v>1</v>
      </c>
      <c r="C2032" s="4">
        <v>1</v>
      </c>
      <c r="D2032" s="4">
        <v>0</v>
      </c>
      <c r="E2032" s="4">
        <v>0</v>
      </c>
      <c r="F2032" s="4">
        <v>1</v>
      </c>
      <c r="G2032" s="4">
        <v>114000</v>
      </c>
      <c r="H2032" s="4">
        <f>INT(VLOOKUP(A2032,洗矿索引!$B$2:$H$97,IF(INT(G2032/10000)=11,7,IF(INT(G2032/10000)=2,6,IF(RIGHT(G2032,1)="0",4,5))),TRUE)/IF(INT(G2032/10000)=11,1,IF(INT(G2032/10000)=2,3,IF(RIGHT(G2032,1)=0,6,6)))*100000)</f>
        <v>99856</v>
      </c>
      <c r="I2032" s="4">
        <f>IF(G2032=114000,VLOOKUP(A2032,洗矿索引!$B$2:$H$97,3,FALSE),1)</f>
        <v>1</v>
      </c>
      <c r="J2032" s="4">
        <f t="shared" si="48"/>
        <v>1</v>
      </c>
      <c r="K2032" s="6" t="s">
        <v>1960</v>
      </c>
    </row>
    <row r="2033" spans="1:11" s="4" customFormat="1">
      <c r="A2033" s="4">
        <v>115016</v>
      </c>
      <c r="B2033" s="4">
        <v>1</v>
      </c>
      <c r="C2033" s="4">
        <v>1</v>
      </c>
      <c r="D2033" s="4">
        <v>0</v>
      </c>
      <c r="E2033" s="4">
        <v>0</v>
      </c>
      <c r="F2033" s="4">
        <v>1</v>
      </c>
      <c r="G2033" s="4">
        <v>21001</v>
      </c>
      <c r="H2033" s="4">
        <f>INT(VLOOKUP(A2033,洗矿索引!$B$2:$H$97,IF(INT(G2033/10000)=11,7,IF(INT(G2033/10000)=2,6,IF(RIGHT(G2033,1)="0",4,5))),TRUE)/IF(INT(G2033/10000)=11,1,IF(INT(G2033/10000)=2,3,IF(RIGHT(G2033,1)=0,6,6)))*100000)</f>
        <v>48</v>
      </c>
      <c r="I2033" s="4">
        <f>IF(G2033=114000,VLOOKUP(A2033,洗矿索引!$B$2:$H$97,3,FALSE),1)</f>
        <v>1</v>
      </c>
      <c r="J2033" s="4">
        <f t="shared" si="48"/>
        <v>1</v>
      </c>
      <c r="K2033" s="6" t="s">
        <v>1961</v>
      </c>
    </row>
    <row r="2034" spans="1:11" s="4" customFormat="1">
      <c r="A2034" s="4">
        <v>115016</v>
      </c>
      <c r="B2034" s="4">
        <v>1</v>
      </c>
      <c r="C2034" s="4">
        <v>1</v>
      </c>
      <c r="D2034" s="4">
        <v>0</v>
      </c>
      <c r="E2034" s="4">
        <v>0</v>
      </c>
      <c r="F2034" s="4">
        <v>1</v>
      </c>
      <c r="G2034" s="4">
        <v>21002</v>
      </c>
      <c r="H2034" s="4">
        <f>INT(VLOOKUP(A2034,洗矿索引!$B$2:$H$97,IF(INT(G2034/10000)=11,7,IF(INT(G2034/10000)=2,6,IF(RIGHT(G2034,1)="0",4,5))),TRUE)/IF(INT(G2034/10000)=11,1,IF(INT(G2034/10000)=2,3,IF(RIGHT(G2034,1)=0,6,6)))*100000)</f>
        <v>48</v>
      </c>
      <c r="I2034" s="4">
        <f>IF(G2034=114000,VLOOKUP(A2034,洗矿索引!$B$2:$H$97,3,FALSE),1)</f>
        <v>1</v>
      </c>
      <c r="J2034" s="4">
        <f t="shared" si="48"/>
        <v>1</v>
      </c>
      <c r="K2034" s="6" t="s">
        <v>1962</v>
      </c>
    </row>
    <row r="2035" spans="1:11" s="4" customFormat="1">
      <c r="A2035" s="4">
        <v>115016</v>
      </c>
      <c r="B2035" s="4">
        <v>1</v>
      </c>
      <c r="C2035" s="4">
        <v>1</v>
      </c>
      <c r="D2035" s="4">
        <v>0</v>
      </c>
      <c r="E2035" s="4">
        <v>0</v>
      </c>
      <c r="F2035" s="4">
        <v>1</v>
      </c>
      <c r="G2035" s="4">
        <v>21003</v>
      </c>
      <c r="H2035" s="4">
        <f>INT(VLOOKUP(A2035,洗矿索引!$B$2:$H$97,IF(INT(G2035/10000)=11,7,IF(INT(G2035/10000)=2,6,IF(RIGHT(G2035,1)="0",4,5))),TRUE)/IF(INT(G2035/10000)=11,1,IF(INT(G2035/10000)=2,3,IF(RIGHT(G2035,1)=0,6,6)))*100000)</f>
        <v>48</v>
      </c>
      <c r="I2035" s="4">
        <f>IF(G2035=114000,VLOOKUP(A2035,洗矿索引!$B$2:$H$97,3,FALSE),1)</f>
        <v>1</v>
      </c>
      <c r="J2035" s="4">
        <f t="shared" si="48"/>
        <v>1</v>
      </c>
      <c r="K2035" s="6" t="s">
        <v>1963</v>
      </c>
    </row>
    <row r="2036" spans="1:11" s="4" customFormat="1">
      <c r="A2036" s="4">
        <v>115017</v>
      </c>
      <c r="B2036" s="4">
        <v>1</v>
      </c>
      <c r="C2036" s="4">
        <v>1</v>
      </c>
      <c r="D2036" s="4">
        <v>0</v>
      </c>
      <c r="E2036" s="4">
        <v>0</v>
      </c>
      <c r="F2036" s="4">
        <v>1</v>
      </c>
      <c r="G2036" s="4">
        <v>114000</v>
      </c>
      <c r="H2036" s="4">
        <f>INT(VLOOKUP(A2036,洗矿索引!$B$2:$H$97,IF(INT(G2036/10000)=11,7,IF(INT(G2036/10000)=2,6,IF(RIGHT(G2036,1)="0",4,5))),TRUE)/IF(INT(G2036/10000)=11,1,IF(INT(G2036/10000)=2,3,IF(RIGHT(G2036,1)=0,6,6)))*100000)</f>
        <v>99848</v>
      </c>
      <c r="I2036" s="4">
        <f>IF(G2036=114000,VLOOKUP(A2036,洗矿索引!$B$2:$H$97,3,FALSE),1)</f>
        <v>2</v>
      </c>
      <c r="J2036" s="4">
        <f t="shared" si="48"/>
        <v>2</v>
      </c>
      <c r="K2036" s="6" t="s">
        <v>1964</v>
      </c>
    </row>
    <row r="2037" spans="1:11" s="4" customFormat="1">
      <c r="A2037" s="4">
        <v>115017</v>
      </c>
      <c r="B2037" s="4">
        <v>1</v>
      </c>
      <c r="C2037" s="4">
        <v>1</v>
      </c>
      <c r="D2037" s="4">
        <v>0</v>
      </c>
      <c r="E2037" s="4">
        <v>0</v>
      </c>
      <c r="F2037" s="4">
        <v>1</v>
      </c>
      <c r="G2037" s="4">
        <v>21001</v>
      </c>
      <c r="H2037" s="4">
        <f>INT(VLOOKUP(A2037,洗矿索引!$B$2:$H$97,IF(INT(G2037/10000)=11,7,IF(INT(G2037/10000)=2,6,IF(RIGHT(G2037,1)="0",4,5))),TRUE)/IF(INT(G2037/10000)=11,1,IF(INT(G2037/10000)=2,3,IF(RIGHT(G2037,1)=0,6,6)))*100000)</f>
        <v>50</v>
      </c>
      <c r="I2037" s="4">
        <f>IF(G2037=114000,VLOOKUP(A2037,洗矿索引!$B$2:$H$97,3,FALSE),1)</f>
        <v>1</v>
      </c>
      <c r="J2037" s="4">
        <f t="shared" si="48"/>
        <v>1</v>
      </c>
      <c r="K2037" s="6" t="s">
        <v>1965</v>
      </c>
    </row>
    <row r="2038" spans="1:11" s="4" customFormat="1">
      <c r="A2038" s="4">
        <v>115017</v>
      </c>
      <c r="B2038" s="4">
        <v>1</v>
      </c>
      <c r="C2038" s="4">
        <v>1</v>
      </c>
      <c r="D2038" s="4">
        <v>0</v>
      </c>
      <c r="E2038" s="4">
        <v>0</v>
      </c>
      <c r="F2038" s="4">
        <v>1</v>
      </c>
      <c r="G2038" s="4">
        <v>21002</v>
      </c>
      <c r="H2038" s="4">
        <f>INT(VLOOKUP(A2038,洗矿索引!$B$2:$H$97,IF(INT(G2038/10000)=11,7,IF(INT(G2038/10000)=2,6,IF(RIGHT(G2038,1)="0",4,5))),TRUE)/IF(INT(G2038/10000)=11,1,IF(INT(G2038/10000)=2,3,IF(RIGHT(G2038,1)=0,6,6)))*100000)</f>
        <v>50</v>
      </c>
      <c r="I2038" s="4">
        <f>IF(G2038=114000,VLOOKUP(A2038,洗矿索引!$B$2:$H$97,3,FALSE),1)</f>
        <v>1</v>
      </c>
      <c r="J2038" s="4">
        <f t="shared" si="48"/>
        <v>1</v>
      </c>
      <c r="K2038" s="6" t="s">
        <v>1966</v>
      </c>
    </row>
    <row r="2039" spans="1:11" s="4" customFormat="1">
      <c r="A2039" s="4">
        <v>115017</v>
      </c>
      <c r="B2039" s="4">
        <v>1</v>
      </c>
      <c r="C2039" s="4">
        <v>1</v>
      </c>
      <c r="D2039" s="4">
        <v>0</v>
      </c>
      <c r="E2039" s="4">
        <v>0</v>
      </c>
      <c r="F2039" s="4">
        <v>1</v>
      </c>
      <c r="G2039" s="4">
        <v>21003</v>
      </c>
      <c r="H2039" s="4">
        <f>INT(VLOOKUP(A2039,洗矿索引!$B$2:$H$97,IF(INT(G2039/10000)=11,7,IF(INT(G2039/10000)=2,6,IF(RIGHT(G2039,1)="0",4,5))),TRUE)/IF(INT(G2039/10000)=11,1,IF(INT(G2039/10000)=2,3,IF(RIGHT(G2039,1)=0,6,6)))*100000)</f>
        <v>50</v>
      </c>
      <c r="I2039" s="4">
        <f>IF(G2039=114000,VLOOKUP(A2039,洗矿索引!$B$2:$H$97,3,FALSE),1)</f>
        <v>1</v>
      </c>
      <c r="J2039" s="4">
        <f t="shared" si="48"/>
        <v>1</v>
      </c>
      <c r="K2039" s="6" t="s">
        <v>1967</v>
      </c>
    </row>
    <row r="2040" spans="1:11" s="4" customFormat="1">
      <c r="A2040" s="4">
        <v>115018</v>
      </c>
      <c r="B2040" s="4">
        <v>1</v>
      </c>
      <c r="C2040" s="4">
        <v>1</v>
      </c>
      <c r="D2040" s="4">
        <v>0</v>
      </c>
      <c r="E2040" s="4">
        <v>0</v>
      </c>
      <c r="F2040" s="4">
        <v>1</v>
      </c>
      <c r="G2040" s="4">
        <v>114000</v>
      </c>
      <c r="H2040" s="4">
        <f>INT(VLOOKUP(A2040,洗矿索引!$B$2:$H$97,IF(INT(G2040/10000)=11,7,IF(INT(G2040/10000)=2,6,IF(RIGHT(G2040,1)="0",4,5))),TRUE)/IF(INT(G2040/10000)=11,1,IF(INT(G2040/10000)=2,3,IF(RIGHT(G2040,1)=0,6,6)))*100000)</f>
        <v>99840</v>
      </c>
      <c r="I2040" s="4">
        <f>IF(G2040=114000,VLOOKUP(A2040,洗矿索引!$B$2:$H$97,3,FALSE),1)</f>
        <v>2</v>
      </c>
      <c r="J2040" s="4">
        <f t="shared" si="48"/>
        <v>2</v>
      </c>
      <c r="K2040" s="6" t="s">
        <v>1968</v>
      </c>
    </row>
    <row r="2041" spans="1:11" s="4" customFormat="1">
      <c r="A2041" s="4">
        <v>115018</v>
      </c>
      <c r="B2041" s="4">
        <v>1</v>
      </c>
      <c r="C2041" s="4">
        <v>1</v>
      </c>
      <c r="D2041" s="4">
        <v>0</v>
      </c>
      <c r="E2041" s="4">
        <v>0</v>
      </c>
      <c r="F2041" s="4">
        <v>1</v>
      </c>
      <c r="G2041" s="4">
        <v>21001</v>
      </c>
      <c r="H2041" s="4">
        <f>INT(VLOOKUP(A2041,洗矿索引!$B$2:$H$97,IF(INT(G2041/10000)=11,7,IF(INT(G2041/10000)=2,6,IF(RIGHT(G2041,1)="0",4,5))),TRUE)/IF(INT(G2041/10000)=11,1,IF(INT(G2041/10000)=2,3,IF(RIGHT(G2041,1)=0,6,6)))*100000)</f>
        <v>53</v>
      </c>
      <c r="I2041" s="4">
        <f>IF(G2041=114000,VLOOKUP(A2041,洗矿索引!$B$2:$H$97,3,FALSE),1)</f>
        <v>1</v>
      </c>
      <c r="J2041" s="4">
        <f t="shared" si="48"/>
        <v>1</v>
      </c>
      <c r="K2041" s="6" t="s">
        <v>1969</v>
      </c>
    </row>
    <row r="2042" spans="1:11" s="4" customFormat="1">
      <c r="A2042" s="4">
        <v>115018</v>
      </c>
      <c r="B2042" s="4">
        <v>1</v>
      </c>
      <c r="C2042" s="4">
        <v>1</v>
      </c>
      <c r="D2042" s="4">
        <v>0</v>
      </c>
      <c r="E2042" s="4">
        <v>0</v>
      </c>
      <c r="F2042" s="4">
        <v>1</v>
      </c>
      <c r="G2042" s="4">
        <v>21002</v>
      </c>
      <c r="H2042" s="4">
        <f>INT(VLOOKUP(A2042,洗矿索引!$B$2:$H$97,IF(INT(G2042/10000)=11,7,IF(INT(G2042/10000)=2,6,IF(RIGHT(G2042,1)="0",4,5))),TRUE)/IF(INT(G2042/10000)=11,1,IF(INT(G2042/10000)=2,3,IF(RIGHT(G2042,1)=0,6,6)))*100000)</f>
        <v>53</v>
      </c>
      <c r="I2042" s="4">
        <f>IF(G2042=114000,VLOOKUP(A2042,洗矿索引!$B$2:$H$97,3,FALSE),1)</f>
        <v>1</v>
      </c>
      <c r="J2042" s="4">
        <f t="shared" si="48"/>
        <v>1</v>
      </c>
      <c r="K2042" s="6" t="s">
        <v>1970</v>
      </c>
    </row>
    <row r="2043" spans="1:11" s="4" customFormat="1">
      <c r="A2043" s="4">
        <v>115018</v>
      </c>
      <c r="B2043" s="4">
        <v>1</v>
      </c>
      <c r="C2043" s="4">
        <v>1</v>
      </c>
      <c r="D2043" s="4">
        <v>0</v>
      </c>
      <c r="E2043" s="4">
        <v>0</v>
      </c>
      <c r="F2043" s="4">
        <v>1</v>
      </c>
      <c r="G2043" s="4">
        <v>21003</v>
      </c>
      <c r="H2043" s="4">
        <f>INT(VLOOKUP(A2043,洗矿索引!$B$2:$H$97,IF(INT(G2043/10000)=11,7,IF(INT(G2043/10000)=2,6,IF(RIGHT(G2043,1)="0",4,5))),TRUE)/IF(INT(G2043/10000)=11,1,IF(INT(G2043/10000)=2,3,IF(RIGHT(G2043,1)=0,6,6)))*100000)</f>
        <v>53</v>
      </c>
      <c r="I2043" s="4">
        <f>IF(G2043=114000,VLOOKUP(A2043,洗矿索引!$B$2:$H$97,3,FALSE),1)</f>
        <v>1</v>
      </c>
      <c r="J2043" s="4">
        <f t="shared" si="48"/>
        <v>1</v>
      </c>
      <c r="K2043" s="6" t="s">
        <v>1971</v>
      </c>
    </row>
    <row r="2044" spans="1:11" s="4" customFormat="1">
      <c r="A2044" s="4">
        <v>115019</v>
      </c>
      <c r="B2044" s="4">
        <v>1</v>
      </c>
      <c r="C2044" s="4">
        <v>1</v>
      </c>
      <c r="D2044" s="4">
        <v>0</v>
      </c>
      <c r="E2044" s="4">
        <v>0</v>
      </c>
      <c r="F2044" s="4">
        <v>1</v>
      </c>
      <c r="G2044" s="4">
        <v>114000</v>
      </c>
      <c r="H2044" s="4">
        <f>INT(VLOOKUP(A2044,洗矿索引!$B$2:$H$97,IF(INT(G2044/10000)=11,7,IF(INT(G2044/10000)=2,6,IF(RIGHT(G2044,1)="0",4,5))),TRUE)/IF(INT(G2044/10000)=11,1,IF(INT(G2044/10000)=2,3,IF(RIGHT(G2044,1)=0,6,6)))*100000)</f>
        <v>99832</v>
      </c>
      <c r="I2044" s="4">
        <f>IF(G2044=114000,VLOOKUP(A2044,洗矿索引!$B$2:$H$97,3,FALSE),1)</f>
        <v>2</v>
      </c>
      <c r="J2044" s="4">
        <f t="shared" si="48"/>
        <v>2</v>
      </c>
      <c r="K2044" s="6" t="s">
        <v>1972</v>
      </c>
    </row>
    <row r="2045" spans="1:11" s="4" customFormat="1">
      <c r="A2045" s="4">
        <v>115019</v>
      </c>
      <c r="B2045" s="4">
        <v>1</v>
      </c>
      <c r="C2045" s="4">
        <v>1</v>
      </c>
      <c r="D2045" s="4">
        <v>0</v>
      </c>
      <c r="E2045" s="4">
        <v>0</v>
      </c>
      <c r="F2045" s="4">
        <v>1</v>
      </c>
      <c r="G2045" s="4">
        <v>21001</v>
      </c>
      <c r="H2045" s="4">
        <f>INT(VLOOKUP(A2045,洗矿索引!$B$2:$H$97,IF(INT(G2045/10000)=11,7,IF(INT(G2045/10000)=2,6,IF(RIGHT(G2045,1)="0",4,5))),TRUE)/IF(INT(G2045/10000)=11,1,IF(INT(G2045/10000)=2,3,IF(RIGHT(G2045,1)=0,6,6)))*100000)</f>
        <v>56</v>
      </c>
      <c r="I2045" s="4">
        <f>IF(G2045=114000,VLOOKUP(A2045,洗矿索引!$B$2:$H$97,3,FALSE),1)</f>
        <v>1</v>
      </c>
      <c r="J2045" s="4">
        <f t="shared" si="48"/>
        <v>1</v>
      </c>
      <c r="K2045" s="6" t="s">
        <v>1973</v>
      </c>
    </row>
    <row r="2046" spans="1:11" s="4" customFormat="1">
      <c r="A2046" s="4">
        <v>115019</v>
      </c>
      <c r="B2046" s="4">
        <v>1</v>
      </c>
      <c r="C2046" s="4">
        <v>1</v>
      </c>
      <c r="D2046" s="4">
        <v>0</v>
      </c>
      <c r="E2046" s="4">
        <v>0</v>
      </c>
      <c r="F2046" s="4">
        <v>1</v>
      </c>
      <c r="G2046" s="4">
        <v>21002</v>
      </c>
      <c r="H2046" s="4">
        <f>INT(VLOOKUP(A2046,洗矿索引!$B$2:$H$97,IF(INT(G2046/10000)=11,7,IF(INT(G2046/10000)=2,6,IF(RIGHT(G2046,1)="0",4,5))),TRUE)/IF(INT(G2046/10000)=11,1,IF(INT(G2046/10000)=2,3,IF(RIGHT(G2046,1)=0,6,6)))*100000)</f>
        <v>56</v>
      </c>
      <c r="I2046" s="4">
        <f>IF(G2046=114000,VLOOKUP(A2046,洗矿索引!$B$2:$H$97,3,FALSE),1)</f>
        <v>1</v>
      </c>
      <c r="J2046" s="4">
        <f t="shared" si="48"/>
        <v>1</v>
      </c>
      <c r="K2046" s="6" t="s">
        <v>1974</v>
      </c>
    </row>
    <row r="2047" spans="1:11" s="4" customFormat="1">
      <c r="A2047" s="4">
        <v>115019</v>
      </c>
      <c r="B2047" s="4">
        <v>1</v>
      </c>
      <c r="C2047" s="4">
        <v>1</v>
      </c>
      <c r="D2047" s="4">
        <v>0</v>
      </c>
      <c r="E2047" s="4">
        <v>0</v>
      </c>
      <c r="F2047" s="4">
        <v>1</v>
      </c>
      <c r="G2047" s="4">
        <v>21003</v>
      </c>
      <c r="H2047" s="4">
        <f>INT(VLOOKUP(A2047,洗矿索引!$B$2:$H$97,IF(INT(G2047/10000)=11,7,IF(INT(G2047/10000)=2,6,IF(RIGHT(G2047,1)="0",4,5))),TRUE)/IF(INT(G2047/10000)=11,1,IF(INT(G2047/10000)=2,3,IF(RIGHT(G2047,1)=0,6,6)))*100000)</f>
        <v>56</v>
      </c>
      <c r="I2047" s="4">
        <f>IF(G2047=114000,VLOOKUP(A2047,洗矿索引!$B$2:$H$97,3,FALSE),1)</f>
        <v>1</v>
      </c>
      <c r="J2047" s="4">
        <f t="shared" si="48"/>
        <v>1</v>
      </c>
      <c r="K2047" s="6" t="s">
        <v>1975</v>
      </c>
    </row>
    <row r="2048" spans="1:11" s="4" customFormat="1">
      <c r="A2048" s="4">
        <v>115020</v>
      </c>
      <c r="B2048" s="4">
        <v>1</v>
      </c>
      <c r="C2048" s="4">
        <v>1</v>
      </c>
      <c r="D2048" s="4">
        <v>0</v>
      </c>
      <c r="E2048" s="4">
        <v>0</v>
      </c>
      <c r="F2048" s="4">
        <v>1</v>
      </c>
      <c r="G2048" s="4">
        <v>114000</v>
      </c>
      <c r="H2048" s="4">
        <f>INT(VLOOKUP(A2048,洗矿索引!$B$2:$H$97,IF(INT(G2048/10000)=11,7,IF(INT(G2048/10000)=2,6,IF(RIGHT(G2048,1)="0",4,5))),TRUE)/IF(INT(G2048/10000)=11,1,IF(INT(G2048/10000)=2,3,IF(RIGHT(G2048,1)=0,6,6)))*100000)</f>
        <v>99824</v>
      </c>
      <c r="I2048" s="4">
        <f>IF(G2048=114000,VLOOKUP(A2048,洗矿索引!$B$2:$H$97,3,FALSE),1)</f>
        <v>2</v>
      </c>
      <c r="J2048" s="4">
        <f t="shared" si="48"/>
        <v>2</v>
      </c>
      <c r="K2048" s="6" t="s">
        <v>1976</v>
      </c>
    </row>
    <row r="2049" spans="1:11" s="4" customFormat="1">
      <c r="A2049" s="4">
        <v>115020</v>
      </c>
      <c r="B2049" s="4">
        <v>1</v>
      </c>
      <c r="C2049" s="4">
        <v>1</v>
      </c>
      <c r="D2049" s="4">
        <v>0</v>
      </c>
      <c r="E2049" s="4">
        <v>0</v>
      </c>
      <c r="F2049" s="4">
        <v>1</v>
      </c>
      <c r="G2049" s="4">
        <v>21001</v>
      </c>
      <c r="H2049" s="4">
        <f>INT(VLOOKUP(A2049,洗矿索引!$B$2:$H$97,IF(INT(G2049/10000)=11,7,IF(INT(G2049/10000)=2,6,IF(RIGHT(G2049,1)="0",4,5))),TRUE)/IF(INT(G2049/10000)=11,1,IF(INT(G2049/10000)=2,3,IF(RIGHT(G2049,1)=0,6,6)))*100000)</f>
        <v>58</v>
      </c>
      <c r="I2049" s="4">
        <f>IF(G2049=114000,VLOOKUP(A2049,洗矿索引!$B$2:$H$97,3,FALSE),1)</f>
        <v>1</v>
      </c>
      <c r="J2049" s="4">
        <f t="shared" ref="J2049:J2112" si="49">I2049</f>
        <v>1</v>
      </c>
      <c r="K2049" s="6" t="s">
        <v>1977</v>
      </c>
    </row>
    <row r="2050" spans="1:11" s="4" customFormat="1">
      <c r="A2050" s="4">
        <v>115020</v>
      </c>
      <c r="B2050" s="4">
        <v>1</v>
      </c>
      <c r="C2050" s="4">
        <v>1</v>
      </c>
      <c r="D2050" s="4">
        <v>0</v>
      </c>
      <c r="E2050" s="4">
        <v>0</v>
      </c>
      <c r="F2050" s="4">
        <v>1</v>
      </c>
      <c r="G2050" s="4">
        <v>21002</v>
      </c>
      <c r="H2050" s="4">
        <f>INT(VLOOKUP(A2050,洗矿索引!$B$2:$H$97,IF(INT(G2050/10000)=11,7,IF(INT(G2050/10000)=2,6,IF(RIGHT(G2050,1)="0",4,5))),TRUE)/IF(INT(G2050/10000)=11,1,IF(INT(G2050/10000)=2,3,IF(RIGHT(G2050,1)=0,6,6)))*100000)</f>
        <v>58</v>
      </c>
      <c r="I2050" s="4">
        <f>IF(G2050=114000,VLOOKUP(A2050,洗矿索引!$B$2:$H$97,3,FALSE),1)</f>
        <v>1</v>
      </c>
      <c r="J2050" s="4">
        <f t="shared" si="49"/>
        <v>1</v>
      </c>
      <c r="K2050" s="6" t="s">
        <v>1978</v>
      </c>
    </row>
    <row r="2051" spans="1:11" s="4" customFormat="1">
      <c r="A2051" s="4">
        <v>115020</v>
      </c>
      <c r="B2051" s="4">
        <v>1</v>
      </c>
      <c r="C2051" s="4">
        <v>1</v>
      </c>
      <c r="D2051" s="4">
        <v>0</v>
      </c>
      <c r="E2051" s="4">
        <v>0</v>
      </c>
      <c r="F2051" s="4">
        <v>1</v>
      </c>
      <c r="G2051" s="4">
        <v>21003</v>
      </c>
      <c r="H2051" s="4">
        <f>INT(VLOOKUP(A2051,洗矿索引!$B$2:$H$97,IF(INT(G2051/10000)=11,7,IF(INT(G2051/10000)=2,6,IF(RIGHT(G2051,1)="0",4,5))),TRUE)/IF(INT(G2051/10000)=11,1,IF(INT(G2051/10000)=2,3,IF(RIGHT(G2051,1)=0,6,6)))*100000)</f>
        <v>58</v>
      </c>
      <c r="I2051" s="4">
        <f>IF(G2051=114000,VLOOKUP(A2051,洗矿索引!$B$2:$H$97,3,FALSE),1)</f>
        <v>1</v>
      </c>
      <c r="J2051" s="4">
        <f t="shared" si="49"/>
        <v>1</v>
      </c>
      <c r="K2051" s="6" t="s">
        <v>1979</v>
      </c>
    </row>
    <row r="2052" spans="1:11" s="4" customFormat="1">
      <c r="A2052" s="4">
        <v>115021</v>
      </c>
      <c r="B2052" s="4">
        <v>1</v>
      </c>
      <c r="C2052" s="4">
        <v>1</v>
      </c>
      <c r="D2052" s="4">
        <v>0</v>
      </c>
      <c r="E2052" s="4">
        <v>0</v>
      </c>
      <c r="F2052" s="4">
        <v>1</v>
      </c>
      <c r="G2052" s="4">
        <v>114000</v>
      </c>
      <c r="H2052" s="4">
        <f>INT(VLOOKUP(A2052,洗矿索引!$B$2:$H$97,IF(INT(G2052/10000)=11,7,IF(INT(G2052/10000)=2,6,IF(RIGHT(G2052,1)="0",4,5))),TRUE)/IF(INT(G2052/10000)=11,1,IF(INT(G2052/10000)=2,3,IF(RIGHT(G2052,1)=0,6,6)))*100000)</f>
        <v>99816</v>
      </c>
      <c r="I2052" s="4">
        <f>IF(G2052=114000,VLOOKUP(A2052,洗矿索引!$B$2:$H$97,3,FALSE),1)</f>
        <v>2</v>
      </c>
      <c r="J2052" s="4">
        <f t="shared" si="49"/>
        <v>2</v>
      </c>
      <c r="K2052" s="6" t="s">
        <v>1980</v>
      </c>
    </row>
    <row r="2053" spans="1:11" s="4" customFormat="1">
      <c r="A2053" s="4">
        <v>115021</v>
      </c>
      <c r="B2053" s="4">
        <v>1</v>
      </c>
      <c r="C2053" s="4">
        <v>1</v>
      </c>
      <c r="D2053" s="4">
        <v>0</v>
      </c>
      <c r="E2053" s="4">
        <v>0</v>
      </c>
      <c r="F2053" s="4">
        <v>1</v>
      </c>
      <c r="G2053" s="4">
        <v>21001</v>
      </c>
      <c r="H2053" s="4">
        <f>INT(VLOOKUP(A2053,洗矿索引!$B$2:$H$97,IF(INT(G2053/10000)=11,7,IF(INT(G2053/10000)=2,6,IF(RIGHT(G2053,1)="0",4,5))),TRUE)/IF(INT(G2053/10000)=11,1,IF(INT(G2053/10000)=2,3,IF(RIGHT(G2053,1)=0,6,6)))*100000)</f>
        <v>61</v>
      </c>
      <c r="I2053" s="4">
        <f>IF(G2053=114000,VLOOKUP(A2053,洗矿索引!$B$2:$H$97,3,FALSE),1)</f>
        <v>1</v>
      </c>
      <c r="J2053" s="4">
        <f t="shared" si="49"/>
        <v>1</v>
      </c>
      <c r="K2053" s="6" t="s">
        <v>1981</v>
      </c>
    </row>
    <row r="2054" spans="1:11" s="4" customFormat="1">
      <c r="A2054" s="4">
        <v>115021</v>
      </c>
      <c r="B2054" s="4">
        <v>1</v>
      </c>
      <c r="C2054" s="4">
        <v>1</v>
      </c>
      <c r="D2054" s="4">
        <v>0</v>
      </c>
      <c r="E2054" s="4">
        <v>0</v>
      </c>
      <c r="F2054" s="4">
        <v>1</v>
      </c>
      <c r="G2054" s="4">
        <v>21002</v>
      </c>
      <c r="H2054" s="4">
        <f>INT(VLOOKUP(A2054,洗矿索引!$B$2:$H$97,IF(INT(G2054/10000)=11,7,IF(INT(G2054/10000)=2,6,IF(RIGHT(G2054,1)="0",4,5))),TRUE)/IF(INT(G2054/10000)=11,1,IF(INT(G2054/10000)=2,3,IF(RIGHT(G2054,1)=0,6,6)))*100000)</f>
        <v>61</v>
      </c>
      <c r="I2054" s="4">
        <f>IF(G2054=114000,VLOOKUP(A2054,洗矿索引!$B$2:$H$97,3,FALSE),1)</f>
        <v>1</v>
      </c>
      <c r="J2054" s="4">
        <f t="shared" si="49"/>
        <v>1</v>
      </c>
      <c r="K2054" s="6" t="s">
        <v>1982</v>
      </c>
    </row>
    <row r="2055" spans="1:11" s="4" customFormat="1">
      <c r="A2055" s="4">
        <v>115021</v>
      </c>
      <c r="B2055" s="4">
        <v>1</v>
      </c>
      <c r="C2055" s="4">
        <v>1</v>
      </c>
      <c r="D2055" s="4">
        <v>0</v>
      </c>
      <c r="E2055" s="4">
        <v>0</v>
      </c>
      <c r="F2055" s="4">
        <v>1</v>
      </c>
      <c r="G2055" s="4">
        <v>21003</v>
      </c>
      <c r="H2055" s="4">
        <f>INT(VLOOKUP(A2055,洗矿索引!$B$2:$H$97,IF(INT(G2055/10000)=11,7,IF(INT(G2055/10000)=2,6,IF(RIGHT(G2055,1)="0",4,5))),TRUE)/IF(INT(G2055/10000)=11,1,IF(INT(G2055/10000)=2,3,IF(RIGHT(G2055,1)=0,6,6)))*100000)</f>
        <v>61</v>
      </c>
      <c r="I2055" s="4">
        <f>IF(G2055=114000,VLOOKUP(A2055,洗矿索引!$B$2:$H$97,3,FALSE),1)</f>
        <v>1</v>
      </c>
      <c r="J2055" s="4">
        <f t="shared" si="49"/>
        <v>1</v>
      </c>
      <c r="K2055" s="6" t="s">
        <v>1983</v>
      </c>
    </row>
    <row r="2056" spans="1:11" s="4" customFormat="1">
      <c r="A2056" s="4">
        <v>115022</v>
      </c>
      <c r="B2056" s="4">
        <v>1</v>
      </c>
      <c r="C2056" s="4">
        <v>1</v>
      </c>
      <c r="D2056" s="4">
        <v>0</v>
      </c>
      <c r="E2056" s="4">
        <v>0</v>
      </c>
      <c r="F2056" s="4">
        <v>1</v>
      </c>
      <c r="G2056" s="4">
        <v>114000</v>
      </c>
      <c r="H2056" s="4">
        <f>INT(VLOOKUP(A2056,洗矿索引!$B$2:$H$97,IF(INT(G2056/10000)=11,7,IF(INT(G2056/10000)=2,6,IF(RIGHT(G2056,1)="0",4,5))),TRUE)/IF(INT(G2056/10000)=11,1,IF(INT(G2056/10000)=2,3,IF(RIGHT(G2056,1)=0,6,6)))*100000)</f>
        <v>99808</v>
      </c>
      <c r="I2056" s="4">
        <f>IF(G2056=114000,VLOOKUP(A2056,洗矿索引!$B$2:$H$97,3,FALSE),1)</f>
        <v>2</v>
      </c>
      <c r="J2056" s="4">
        <f t="shared" si="49"/>
        <v>2</v>
      </c>
      <c r="K2056" s="6" t="s">
        <v>1984</v>
      </c>
    </row>
    <row r="2057" spans="1:11" s="4" customFormat="1">
      <c r="A2057" s="4">
        <v>115022</v>
      </c>
      <c r="B2057" s="4">
        <v>1</v>
      </c>
      <c r="C2057" s="4">
        <v>1</v>
      </c>
      <c r="D2057" s="4">
        <v>0</v>
      </c>
      <c r="E2057" s="4">
        <v>0</v>
      </c>
      <c r="F2057" s="4">
        <v>1</v>
      </c>
      <c r="G2057" s="4">
        <v>21001</v>
      </c>
      <c r="H2057" s="4">
        <f>INT(VLOOKUP(A2057,洗矿索引!$B$2:$H$97,IF(INT(G2057/10000)=11,7,IF(INT(G2057/10000)=2,6,IF(RIGHT(G2057,1)="0",4,5))),TRUE)/IF(INT(G2057/10000)=11,1,IF(INT(G2057/10000)=2,3,IF(RIGHT(G2057,1)=0,6,6)))*100000)</f>
        <v>64</v>
      </c>
      <c r="I2057" s="4">
        <f>IF(G2057=114000,VLOOKUP(A2057,洗矿索引!$B$2:$H$97,3,FALSE),1)</f>
        <v>1</v>
      </c>
      <c r="J2057" s="4">
        <f t="shared" si="49"/>
        <v>1</v>
      </c>
      <c r="K2057" s="6" t="s">
        <v>1985</v>
      </c>
    </row>
    <row r="2058" spans="1:11" s="4" customFormat="1">
      <c r="A2058" s="4">
        <v>115022</v>
      </c>
      <c r="B2058" s="4">
        <v>1</v>
      </c>
      <c r="C2058" s="4">
        <v>1</v>
      </c>
      <c r="D2058" s="4">
        <v>0</v>
      </c>
      <c r="E2058" s="4">
        <v>0</v>
      </c>
      <c r="F2058" s="4">
        <v>1</v>
      </c>
      <c r="G2058" s="4">
        <v>21002</v>
      </c>
      <c r="H2058" s="4">
        <f>INT(VLOOKUP(A2058,洗矿索引!$B$2:$H$97,IF(INT(G2058/10000)=11,7,IF(INT(G2058/10000)=2,6,IF(RIGHT(G2058,1)="0",4,5))),TRUE)/IF(INT(G2058/10000)=11,1,IF(INT(G2058/10000)=2,3,IF(RIGHT(G2058,1)=0,6,6)))*100000)</f>
        <v>64</v>
      </c>
      <c r="I2058" s="4">
        <f>IF(G2058=114000,VLOOKUP(A2058,洗矿索引!$B$2:$H$97,3,FALSE),1)</f>
        <v>1</v>
      </c>
      <c r="J2058" s="4">
        <f t="shared" si="49"/>
        <v>1</v>
      </c>
      <c r="K2058" s="6" t="s">
        <v>1986</v>
      </c>
    </row>
    <row r="2059" spans="1:11" s="4" customFormat="1">
      <c r="A2059" s="4">
        <v>115022</v>
      </c>
      <c r="B2059" s="4">
        <v>1</v>
      </c>
      <c r="C2059" s="4">
        <v>1</v>
      </c>
      <c r="D2059" s="4">
        <v>0</v>
      </c>
      <c r="E2059" s="4">
        <v>0</v>
      </c>
      <c r="F2059" s="4">
        <v>1</v>
      </c>
      <c r="G2059" s="4">
        <v>21003</v>
      </c>
      <c r="H2059" s="4">
        <f>INT(VLOOKUP(A2059,洗矿索引!$B$2:$H$97,IF(INT(G2059/10000)=11,7,IF(INT(G2059/10000)=2,6,IF(RIGHT(G2059,1)="0",4,5))),TRUE)/IF(INT(G2059/10000)=11,1,IF(INT(G2059/10000)=2,3,IF(RIGHT(G2059,1)=0,6,6)))*100000)</f>
        <v>64</v>
      </c>
      <c r="I2059" s="4">
        <f>IF(G2059=114000,VLOOKUP(A2059,洗矿索引!$B$2:$H$97,3,FALSE),1)</f>
        <v>1</v>
      </c>
      <c r="J2059" s="4">
        <f t="shared" si="49"/>
        <v>1</v>
      </c>
      <c r="K2059" s="6" t="s">
        <v>1987</v>
      </c>
    </row>
    <row r="2060" spans="1:11" s="4" customFormat="1">
      <c r="A2060" s="4">
        <v>115023</v>
      </c>
      <c r="B2060" s="4">
        <v>1</v>
      </c>
      <c r="C2060" s="4">
        <v>1</v>
      </c>
      <c r="D2060" s="4">
        <v>0</v>
      </c>
      <c r="E2060" s="4">
        <v>0</v>
      </c>
      <c r="F2060" s="4">
        <v>1</v>
      </c>
      <c r="G2060" s="4">
        <v>114000</v>
      </c>
      <c r="H2060" s="4">
        <f>INT(VLOOKUP(A2060,洗矿索引!$B$2:$H$97,IF(INT(G2060/10000)=11,7,IF(INT(G2060/10000)=2,6,IF(RIGHT(G2060,1)="0",4,5))),TRUE)/IF(INT(G2060/10000)=11,1,IF(INT(G2060/10000)=2,3,IF(RIGHT(G2060,1)=0,6,6)))*100000)</f>
        <v>99800</v>
      </c>
      <c r="I2060" s="4">
        <f>IF(G2060=114000,VLOOKUP(A2060,洗矿索引!$B$2:$H$97,3,FALSE),1)</f>
        <v>2</v>
      </c>
      <c r="J2060" s="4">
        <f t="shared" si="49"/>
        <v>2</v>
      </c>
      <c r="K2060" s="6" t="s">
        <v>1988</v>
      </c>
    </row>
    <row r="2061" spans="1:11" s="4" customFormat="1">
      <c r="A2061" s="4">
        <v>115023</v>
      </c>
      <c r="B2061" s="4">
        <v>1</v>
      </c>
      <c r="C2061" s="4">
        <v>1</v>
      </c>
      <c r="D2061" s="4">
        <v>0</v>
      </c>
      <c r="E2061" s="4">
        <v>0</v>
      </c>
      <c r="F2061" s="4">
        <v>1</v>
      </c>
      <c r="G2061" s="4">
        <v>21001</v>
      </c>
      <c r="H2061" s="4">
        <f>INT(VLOOKUP(A2061,洗矿索引!$B$2:$H$97,IF(INT(G2061/10000)=11,7,IF(INT(G2061/10000)=2,6,IF(RIGHT(G2061,1)="0",4,5))),TRUE)/IF(INT(G2061/10000)=11,1,IF(INT(G2061/10000)=2,3,IF(RIGHT(G2061,1)=0,6,6)))*100000)</f>
        <v>66</v>
      </c>
      <c r="I2061" s="4">
        <f>IF(G2061=114000,VLOOKUP(A2061,洗矿索引!$B$2:$H$97,3,FALSE),1)</f>
        <v>1</v>
      </c>
      <c r="J2061" s="4">
        <f t="shared" si="49"/>
        <v>1</v>
      </c>
      <c r="K2061" s="6" t="s">
        <v>1989</v>
      </c>
    </row>
    <row r="2062" spans="1:11" s="4" customFormat="1">
      <c r="A2062" s="4">
        <v>115023</v>
      </c>
      <c r="B2062" s="4">
        <v>1</v>
      </c>
      <c r="C2062" s="4">
        <v>1</v>
      </c>
      <c r="D2062" s="4">
        <v>0</v>
      </c>
      <c r="E2062" s="4">
        <v>0</v>
      </c>
      <c r="F2062" s="4">
        <v>1</v>
      </c>
      <c r="G2062" s="4">
        <v>21002</v>
      </c>
      <c r="H2062" s="4">
        <f>INT(VLOOKUP(A2062,洗矿索引!$B$2:$H$97,IF(INT(G2062/10000)=11,7,IF(INT(G2062/10000)=2,6,IF(RIGHT(G2062,1)="0",4,5))),TRUE)/IF(INT(G2062/10000)=11,1,IF(INT(G2062/10000)=2,3,IF(RIGHT(G2062,1)=0,6,6)))*100000)</f>
        <v>66</v>
      </c>
      <c r="I2062" s="4">
        <f>IF(G2062=114000,VLOOKUP(A2062,洗矿索引!$B$2:$H$97,3,FALSE),1)</f>
        <v>1</v>
      </c>
      <c r="J2062" s="4">
        <f t="shared" si="49"/>
        <v>1</v>
      </c>
      <c r="K2062" s="6" t="s">
        <v>1990</v>
      </c>
    </row>
    <row r="2063" spans="1:11" s="4" customFormat="1">
      <c r="A2063" s="4">
        <v>115023</v>
      </c>
      <c r="B2063" s="4">
        <v>1</v>
      </c>
      <c r="C2063" s="4">
        <v>1</v>
      </c>
      <c r="D2063" s="4">
        <v>0</v>
      </c>
      <c r="E2063" s="4">
        <v>0</v>
      </c>
      <c r="F2063" s="4">
        <v>1</v>
      </c>
      <c r="G2063" s="4">
        <v>21003</v>
      </c>
      <c r="H2063" s="4">
        <f>INT(VLOOKUP(A2063,洗矿索引!$B$2:$H$97,IF(INT(G2063/10000)=11,7,IF(INT(G2063/10000)=2,6,IF(RIGHT(G2063,1)="0",4,5))),TRUE)/IF(INT(G2063/10000)=11,1,IF(INT(G2063/10000)=2,3,IF(RIGHT(G2063,1)=0,6,6)))*100000)</f>
        <v>66</v>
      </c>
      <c r="I2063" s="4">
        <f>IF(G2063=114000,VLOOKUP(A2063,洗矿索引!$B$2:$H$97,3,FALSE),1)</f>
        <v>1</v>
      </c>
      <c r="J2063" s="4">
        <f t="shared" si="49"/>
        <v>1</v>
      </c>
      <c r="K2063" s="6" t="s">
        <v>1991</v>
      </c>
    </row>
    <row r="2064" spans="1:11" s="4" customFormat="1">
      <c r="A2064" s="4">
        <v>115024</v>
      </c>
      <c r="B2064" s="4">
        <v>1</v>
      </c>
      <c r="C2064" s="4">
        <v>1</v>
      </c>
      <c r="D2064" s="4">
        <v>0</v>
      </c>
      <c r="E2064" s="4">
        <v>0</v>
      </c>
      <c r="F2064" s="4">
        <v>1</v>
      </c>
      <c r="G2064" s="4">
        <v>114000</v>
      </c>
      <c r="H2064" s="4">
        <f>INT(VLOOKUP(A2064,洗矿索引!$B$2:$H$97,IF(INT(G2064/10000)=11,7,IF(INT(G2064/10000)=2,6,IF(RIGHT(G2064,1)="0",4,5))),TRUE)/IF(INT(G2064/10000)=11,1,IF(INT(G2064/10000)=2,3,IF(RIGHT(G2064,1)=0,6,6)))*100000)</f>
        <v>99792</v>
      </c>
      <c r="I2064" s="4">
        <f>IF(G2064=114000,VLOOKUP(A2064,洗矿索引!$B$2:$H$97,3,FALSE),1)</f>
        <v>2</v>
      </c>
      <c r="J2064" s="4">
        <f t="shared" si="49"/>
        <v>2</v>
      </c>
      <c r="K2064" s="6" t="s">
        <v>1992</v>
      </c>
    </row>
    <row r="2065" spans="1:11" s="4" customFormat="1">
      <c r="A2065" s="4">
        <v>115024</v>
      </c>
      <c r="B2065" s="4">
        <v>1</v>
      </c>
      <c r="C2065" s="4">
        <v>1</v>
      </c>
      <c r="D2065" s="4">
        <v>0</v>
      </c>
      <c r="E2065" s="4">
        <v>0</v>
      </c>
      <c r="F2065" s="4">
        <v>1</v>
      </c>
      <c r="G2065" s="4">
        <v>21001</v>
      </c>
      <c r="H2065" s="4">
        <f>INT(VLOOKUP(A2065,洗矿索引!$B$2:$H$97,IF(INT(G2065/10000)=11,7,IF(INT(G2065/10000)=2,6,IF(RIGHT(G2065,1)="0",4,5))),TRUE)/IF(INT(G2065/10000)=11,1,IF(INT(G2065/10000)=2,3,IF(RIGHT(G2065,1)=0,6,6)))*100000)</f>
        <v>69</v>
      </c>
      <c r="I2065" s="4">
        <f>IF(G2065=114000,VLOOKUP(A2065,洗矿索引!$B$2:$H$97,3,FALSE),1)</f>
        <v>1</v>
      </c>
      <c r="J2065" s="4">
        <f t="shared" si="49"/>
        <v>1</v>
      </c>
      <c r="K2065" s="6" t="s">
        <v>1993</v>
      </c>
    </row>
    <row r="2066" spans="1:11" s="4" customFormat="1">
      <c r="A2066" s="4">
        <v>115024</v>
      </c>
      <c r="B2066" s="4">
        <v>1</v>
      </c>
      <c r="C2066" s="4">
        <v>1</v>
      </c>
      <c r="D2066" s="4">
        <v>0</v>
      </c>
      <c r="E2066" s="4">
        <v>0</v>
      </c>
      <c r="F2066" s="4">
        <v>1</v>
      </c>
      <c r="G2066" s="4">
        <v>21002</v>
      </c>
      <c r="H2066" s="4">
        <f>INT(VLOOKUP(A2066,洗矿索引!$B$2:$H$97,IF(INT(G2066/10000)=11,7,IF(INT(G2066/10000)=2,6,IF(RIGHT(G2066,1)="0",4,5))),TRUE)/IF(INT(G2066/10000)=11,1,IF(INT(G2066/10000)=2,3,IF(RIGHT(G2066,1)=0,6,6)))*100000)</f>
        <v>69</v>
      </c>
      <c r="I2066" s="4">
        <f>IF(G2066=114000,VLOOKUP(A2066,洗矿索引!$B$2:$H$97,3,FALSE),1)</f>
        <v>1</v>
      </c>
      <c r="J2066" s="4">
        <f t="shared" si="49"/>
        <v>1</v>
      </c>
      <c r="K2066" s="6" t="s">
        <v>1994</v>
      </c>
    </row>
    <row r="2067" spans="1:11" s="4" customFormat="1">
      <c r="A2067" s="4">
        <v>115024</v>
      </c>
      <c r="B2067" s="4">
        <v>1</v>
      </c>
      <c r="C2067" s="4">
        <v>1</v>
      </c>
      <c r="D2067" s="4">
        <v>0</v>
      </c>
      <c r="E2067" s="4">
        <v>0</v>
      </c>
      <c r="F2067" s="4">
        <v>1</v>
      </c>
      <c r="G2067" s="4">
        <v>21003</v>
      </c>
      <c r="H2067" s="4">
        <f>INT(VLOOKUP(A2067,洗矿索引!$B$2:$H$97,IF(INT(G2067/10000)=11,7,IF(INT(G2067/10000)=2,6,IF(RIGHT(G2067,1)="0",4,5))),TRUE)/IF(INT(G2067/10000)=11,1,IF(INT(G2067/10000)=2,3,IF(RIGHT(G2067,1)=0,6,6)))*100000)</f>
        <v>69</v>
      </c>
      <c r="I2067" s="4">
        <f>IF(G2067=114000,VLOOKUP(A2067,洗矿索引!$B$2:$H$97,3,FALSE),1)</f>
        <v>1</v>
      </c>
      <c r="J2067" s="4">
        <f t="shared" si="49"/>
        <v>1</v>
      </c>
      <c r="K2067" s="6" t="s">
        <v>1995</v>
      </c>
    </row>
    <row r="2068" spans="1:11" s="4" customFormat="1">
      <c r="A2068" s="4">
        <v>115025</v>
      </c>
      <c r="B2068" s="4">
        <v>1</v>
      </c>
      <c r="C2068" s="4">
        <v>1</v>
      </c>
      <c r="D2068" s="4">
        <v>0</v>
      </c>
      <c r="E2068" s="4">
        <v>0</v>
      </c>
      <c r="F2068" s="4">
        <v>1</v>
      </c>
      <c r="G2068" s="4">
        <v>114000</v>
      </c>
      <c r="H2068" s="4">
        <f>INT(VLOOKUP(A2068,洗矿索引!$B$2:$H$97,IF(INT(G2068/10000)=11,7,IF(INT(G2068/10000)=2,6,IF(RIGHT(G2068,1)="0",4,5))),TRUE)/IF(INT(G2068/10000)=11,1,IF(INT(G2068/10000)=2,3,IF(RIGHT(G2068,1)=0,6,6)))*100000)</f>
        <v>99784</v>
      </c>
      <c r="I2068" s="4">
        <f>IF(G2068=114000,VLOOKUP(A2068,洗矿索引!$B$2:$H$97,3,FALSE),1)</f>
        <v>2</v>
      </c>
      <c r="J2068" s="4">
        <f t="shared" si="49"/>
        <v>2</v>
      </c>
      <c r="K2068" s="6" t="s">
        <v>1996</v>
      </c>
    </row>
    <row r="2069" spans="1:11" s="4" customFormat="1">
      <c r="A2069" s="4">
        <v>115025</v>
      </c>
      <c r="B2069" s="4">
        <v>1</v>
      </c>
      <c r="C2069" s="4">
        <v>1</v>
      </c>
      <c r="D2069" s="4">
        <v>0</v>
      </c>
      <c r="E2069" s="4">
        <v>0</v>
      </c>
      <c r="F2069" s="4">
        <v>1</v>
      </c>
      <c r="G2069" s="4">
        <v>21001</v>
      </c>
      <c r="H2069" s="4">
        <f>INT(VLOOKUP(A2069,洗矿索引!$B$2:$H$97,IF(INT(G2069/10000)=11,7,IF(INT(G2069/10000)=2,6,IF(RIGHT(G2069,1)="0",4,5))),TRUE)/IF(INT(G2069/10000)=11,1,IF(INT(G2069/10000)=2,3,IF(RIGHT(G2069,1)=0,6,6)))*100000)</f>
        <v>72</v>
      </c>
      <c r="I2069" s="4">
        <f>IF(G2069=114000,VLOOKUP(A2069,洗矿索引!$B$2:$H$97,3,FALSE),1)</f>
        <v>1</v>
      </c>
      <c r="J2069" s="4">
        <f t="shared" si="49"/>
        <v>1</v>
      </c>
      <c r="K2069" s="6" t="s">
        <v>1997</v>
      </c>
    </row>
    <row r="2070" spans="1:11" s="4" customFormat="1">
      <c r="A2070" s="4">
        <v>115025</v>
      </c>
      <c r="B2070" s="4">
        <v>1</v>
      </c>
      <c r="C2070" s="4">
        <v>1</v>
      </c>
      <c r="D2070" s="4">
        <v>0</v>
      </c>
      <c r="E2070" s="4">
        <v>0</v>
      </c>
      <c r="F2070" s="4">
        <v>1</v>
      </c>
      <c r="G2070" s="4">
        <v>21002</v>
      </c>
      <c r="H2070" s="4">
        <f>INT(VLOOKUP(A2070,洗矿索引!$B$2:$H$97,IF(INT(G2070/10000)=11,7,IF(INT(G2070/10000)=2,6,IF(RIGHT(G2070,1)="0",4,5))),TRUE)/IF(INT(G2070/10000)=11,1,IF(INT(G2070/10000)=2,3,IF(RIGHT(G2070,1)=0,6,6)))*100000)</f>
        <v>72</v>
      </c>
      <c r="I2070" s="4">
        <f>IF(G2070=114000,VLOOKUP(A2070,洗矿索引!$B$2:$H$97,3,FALSE),1)</f>
        <v>1</v>
      </c>
      <c r="J2070" s="4">
        <f t="shared" si="49"/>
        <v>1</v>
      </c>
      <c r="K2070" s="6" t="s">
        <v>1998</v>
      </c>
    </row>
    <row r="2071" spans="1:11" s="4" customFormat="1">
      <c r="A2071" s="4">
        <v>115025</v>
      </c>
      <c r="B2071" s="4">
        <v>1</v>
      </c>
      <c r="C2071" s="4">
        <v>1</v>
      </c>
      <c r="D2071" s="4">
        <v>0</v>
      </c>
      <c r="E2071" s="4">
        <v>0</v>
      </c>
      <c r="F2071" s="4">
        <v>1</v>
      </c>
      <c r="G2071" s="4">
        <v>21003</v>
      </c>
      <c r="H2071" s="4">
        <f>INT(VLOOKUP(A2071,洗矿索引!$B$2:$H$97,IF(INT(G2071/10000)=11,7,IF(INT(G2071/10000)=2,6,IF(RIGHT(G2071,1)="0",4,5))),TRUE)/IF(INT(G2071/10000)=11,1,IF(INT(G2071/10000)=2,3,IF(RIGHT(G2071,1)=0,6,6)))*100000)</f>
        <v>72</v>
      </c>
      <c r="I2071" s="4">
        <f>IF(G2071=114000,VLOOKUP(A2071,洗矿索引!$B$2:$H$97,3,FALSE),1)</f>
        <v>1</v>
      </c>
      <c r="J2071" s="4">
        <f t="shared" si="49"/>
        <v>1</v>
      </c>
      <c r="K2071" s="6" t="s">
        <v>1999</v>
      </c>
    </row>
    <row r="2072" spans="1:11" s="4" customFormat="1">
      <c r="A2072" s="4">
        <v>115026</v>
      </c>
      <c r="B2072" s="4">
        <v>1</v>
      </c>
      <c r="C2072" s="4">
        <v>1</v>
      </c>
      <c r="D2072" s="4">
        <v>0</v>
      </c>
      <c r="E2072" s="4">
        <v>0</v>
      </c>
      <c r="F2072" s="4">
        <v>1</v>
      </c>
      <c r="G2072" s="4">
        <v>114000</v>
      </c>
      <c r="H2072" s="4">
        <f>INT(VLOOKUP(A2072,洗矿索引!$B$2:$H$97,IF(INT(G2072/10000)=11,7,IF(INT(G2072/10000)=2,6,IF(RIGHT(G2072,1)="0",4,5))),TRUE)/IF(INT(G2072/10000)=11,1,IF(INT(G2072/10000)=2,3,IF(RIGHT(G2072,1)=0,6,6)))*100000)</f>
        <v>99776</v>
      </c>
      <c r="I2072" s="4">
        <f>IF(G2072=114000,VLOOKUP(A2072,洗矿索引!$B$2:$H$97,3,FALSE),1)</f>
        <v>2</v>
      </c>
      <c r="J2072" s="4">
        <f t="shared" si="49"/>
        <v>2</v>
      </c>
      <c r="K2072" s="6" t="s">
        <v>2000</v>
      </c>
    </row>
    <row r="2073" spans="1:11" s="4" customFormat="1">
      <c r="A2073" s="4">
        <v>115026</v>
      </c>
      <c r="B2073" s="4">
        <v>1</v>
      </c>
      <c r="C2073" s="4">
        <v>1</v>
      </c>
      <c r="D2073" s="4">
        <v>0</v>
      </c>
      <c r="E2073" s="4">
        <v>0</v>
      </c>
      <c r="F2073" s="4">
        <v>1</v>
      </c>
      <c r="G2073" s="4">
        <v>21001</v>
      </c>
      <c r="H2073" s="4">
        <f>INT(VLOOKUP(A2073,洗矿索引!$B$2:$H$97,IF(INT(G2073/10000)=11,7,IF(INT(G2073/10000)=2,6,IF(RIGHT(G2073,1)="0",4,5))),TRUE)/IF(INT(G2073/10000)=11,1,IF(INT(G2073/10000)=2,3,IF(RIGHT(G2073,1)=0,6,6)))*100000)</f>
        <v>74</v>
      </c>
      <c r="I2073" s="4">
        <f>IF(G2073=114000,VLOOKUP(A2073,洗矿索引!$B$2:$H$97,3,FALSE),1)</f>
        <v>1</v>
      </c>
      <c r="J2073" s="4">
        <f t="shared" si="49"/>
        <v>1</v>
      </c>
      <c r="K2073" s="6" t="s">
        <v>2001</v>
      </c>
    </row>
    <row r="2074" spans="1:11" s="4" customFormat="1">
      <c r="A2074" s="4">
        <v>115026</v>
      </c>
      <c r="B2074" s="4">
        <v>1</v>
      </c>
      <c r="C2074" s="4">
        <v>1</v>
      </c>
      <c r="D2074" s="4">
        <v>0</v>
      </c>
      <c r="E2074" s="4">
        <v>0</v>
      </c>
      <c r="F2074" s="4">
        <v>1</v>
      </c>
      <c r="G2074" s="4">
        <v>21002</v>
      </c>
      <c r="H2074" s="4">
        <f>INT(VLOOKUP(A2074,洗矿索引!$B$2:$H$97,IF(INT(G2074/10000)=11,7,IF(INT(G2074/10000)=2,6,IF(RIGHT(G2074,1)="0",4,5))),TRUE)/IF(INT(G2074/10000)=11,1,IF(INT(G2074/10000)=2,3,IF(RIGHT(G2074,1)=0,6,6)))*100000)</f>
        <v>74</v>
      </c>
      <c r="I2074" s="4">
        <f>IF(G2074=114000,VLOOKUP(A2074,洗矿索引!$B$2:$H$97,3,FALSE),1)</f>
        <v>1</v>
      </c>
      <c r="J2074" s="4">
        <f t="shared" si="49"/>
        <v>1</v>
      </c>
      <c r="K2074" s="6" t="s">
        <v>2002</v>
      </c>
    </row>
    <row r="2075" spans="1:11" s="4" customFormat="1">
      <c r="A2075" s="4">
        <v>115026</v>
      </c>
      <c r="B2075" s="4">
        <v>1</v>
      </c>
      <c r="C2075" s="4">
        <v>1</v>
      </c>
      <c r="D2075" s="4">
        <v>0</v>
      </c>
      <c r="E2075" s="4">
        <v>0</v>
      </c>
      <c r="F2075" s="4">
        <v>1</v>
      </c>
      <c r="G2075" s="4">
        <v>21003</v>
      </c>
      <c r="H2075" s="4">
        <f>INT(VLOOKUP(A2075,洗矿索引!$B$2:$H$97,IF(INT(G2075/10000)=11,7,IF(INT(G2075/10000)=2,6,IF(RIGHT(G2075,1)="0",4,5))),TRUE)/IF(INT(G2075/10000)=11,1,IF(INT(G2075/10000)=2,3,IF(RIGHT(G2075,1)=0,6,6)))*100000)</f>
        <v>74</v>
      </c>
      <c r="I2075" s="4">
        <f>IF(G2075=114000,VLOOKUP(A2075,洗矿索引!$B$2:$H$97,3,FALSE),1)</f>
        <v>1</v>
      </c>
      <c r="J2075" s="4">
        <f t="shared" si="49"/>
        <v>1</v>
      </c>
      <c r="K2075" s="6" t="s">
        <v>2003</v>
      </c>
    </row>
    <row r="2076" spans="1:11" s="4" customFormat="1">
      <c r="A2076" s="4">
        <v>116003</v>
      </c>
      <c r="B2076" s="4">
        <v>1</v>
      </c>
      <c r="C2076" s="4">
        <v>1</v>
      </c>
      <c r="D2076" s="4">
        <v>0</v>
      </c>
      <c r="E2076" s="4">
        <v>0</v>
      </c>
      <c r="F2076" s="4">
        <v>1</v>
      </c>
      <c r="G2076" s="4">
        <v>114000</v>
      </c>
      <c r="H2076" s="4">
        <f>INT(VLOOKUP(A2076,洗矿索引!$B$2:$H$97,IF(INT(G2076/10000)=11,7,IF(INT(G2076/10000)=2,6,IF(RIGHT(G2076,1)="0",4,5))),TRUE)/IF(INT(G2076/10000)=11,1,IF(INT(G2076/10000)=2,3,IF(RIGHT(G2076,1)=0,6,6)))*100000)</f>
        <v>99900</v>
      </c>
      <c r="I2076" s="4">
        <f>IF(G2076=114000,VLOOKUP(A2076,洗矿索引!$B$2:$H$97,3,FALSE),1)</f>
        <v>2</v>
      </c>
      <c r="J2076" s="4">
        <f t="shared" si="49"/>
        <v>2</v>
      </c>
      <c r="K2076" s="6" t="s">
        <v>2004</v>
      </c>
    </row>
    <row r="2077" spans="1:11" s="4" customFormat="1">
      <c r="A2077" s="4">
        <v>116003</v>
      </c>
      <c r="B2077" s="4">
        <v>1</v>
      </c>
      <c r="C2077" s="4">
        <v>1</v>
      </c>
      <c r="D2077" s="4">
        <v>0</v>
      </c>
      <c r="E2077" s="4">
        <v>0</v>
      </c>
      <c r="F2077" s="4">
        <v>1</v>
      </c>
      <c r="G2077" s="4">
        <v>21001</v>
      </c>
      <c r="H2077" s="4">
        <f>INT(VLOOKUP(A2077,洗矿索引!$B$2:$H$97,IF(INT(G2077/10000)=11,7,IF(INT(G2077/10000)=2,6,IF(RIGHT(G2077,1)="0",4,5))),TRUE)/IF(INT(G2077/10000)=11,1,IF(INT(G2077/10000)=2,3,IF(RIGHT(G2077,1)=0,6,6)))*100000)</f>
        <v>33</v>
      </c>
      <c r="I2077" s="4">
        <f>IF(G2077=114000,VLOOKUP(A2077,洗矿索引!$B$2:$H$97,3,FALSE),1)</f>
        <v>1</v>
      </c>
      <c r="J2077" s="4">
        <f t="shared" si="49"/>
        <v>1</v>
      </c>
      <c r="K2077" s="6" t="s">
        <v>2005</v>
      </c>
    </row>
    <row r="2078" spans="1:11" s="4" customFormat="1">
      <c r="A2078" s="4">
        <v>116003</v>
      </c>
      <c r="B2078" s="4">
        <v>1</v>
      </c>
      <c r="C2078" s="4">
        <v>1</v>
      </c>
      <c r="D2078" s="4">
        <v>0</v>
      </c>
      <c r="E2078" s="4">
        <v>0</v>
      </c>
      <c r="F2078" s="4">
        <v>1</v>
      </c>
      <c r="G2078" s="4">
        <v>21002</v>
      </c>
      <c r="H2078" s="4">
        <f>INT(VLOOKUP(A2078,洗矿索引!$B$2:$H$97,IF(INT(G2078/10000)=11,7,IF(INT(G2078/10000)=2,6,IF(RIGHT(G2078,1)="0",4,5))),TRUE)/IF(INT(G2078/10000)=11,1,IF(INT(G2078/10000)=2,3,IF(RIGHT(G2078,1)=0,6,6)))*100000)</f>
        <v>33</v>
      </c>
      <c r="I2078" s="4">
        <f>IF(G2078=114000,VLOOKUP(A2078,洗矿索引!$B$2:$H$97,3,FALSE),1)</f>
        <v>1</v>
      </c>
      <c r="J2078" s="4">
        <f t="shared" si="49"/>
        <v>1</v>
      </c>
      <c r="K2078" s="6" t="s">
        <v>2006</v>
      </c>
    </row>
    <row r="2079" spans="1:11" s="4" customFormat="1">
      <c r="A2079" s="4">
        <v>116003</v>
      </c>
      <c r="B2079" s="4">
        <v>1</v>
      </c>
      <c r="C2079" s="4">
        <v>1</v>
      </c>
      <c r="D2079" s="4">
        <v>0</v>
      </c>
      <c r="E2079" s="4">
        <v>0</v>
      </c>
      <c r="F2079" s="4">
        <v>1</v>
      </c>
      <c r="G2079" s="4">
        <v>21003</v>
      </c>
      <c r="H2079" s="4">
        <f>INT(VLOOKUP(A2079,洗矿索引!$B$2:$H$97,IF(INT(G2079/10000)=11,7,IF(INT(G2079/10000)=2,6,IF(RIGHT(G2079,1)="0",4,5))),TRUE)/IF(INT(G2079/10000)=11,1,IF(INT(G2079/10000)=2,3,IF(RIGHT(G2079,1)=0,6,6)))*100000)</f>
        <v>33</v>
      </c>
      <c r="I2079" s="4">
        <f>IF(G2079=114000,VLOOKUP(A2079,洗矿索引!$B$2:$H$97,3,FALSE),1)</f>
        <v>1</v>
      </c>
      <c r="J2079" s="4">
        <f t="shared" si="49"/>
        <v>1</v>
      </c>
      <c r="K2079" s="6" t="s">
        <v>2007</v>
      </c>
    </row>
    <row r="2080" spans="1:11" s="4" customFormat="1">
      <c r="A2080" s="4">
        <v>116004</v>
      </c>
      <c r="B2080" s="4">
        <v>1</v>
      </c>
      <c r="C2080" s="4">
        <v>1</v>
      </c>
      <c r="D2080" s="4">
        <v>0</v>
      </c>
      <c r="E2080" s="4">
        <v>0</v>
      </c>
      <c r="F2080" s="4">
        <v>1</v>
      </c>
      <c r="G2080" s="4">
        <v>114000</v>
      </c>
      <c r="H2080" s="4">
        <f>INT(VLOOKUP(A2080,洗矿索引!$B$2:$H$97,IF(INT(G2080/10000)=11,7,IF(INT(G2080/10000)=2,6,IF(RIGHT(G2080,1)="0",4,5))),TRUE)/IF(INT(G2080/10000)=11,1,IF(INT(G2080/10000)=2,3,IF(RIGHT(G2080,1)=0,6,6)))*100000)</f>
        <v>99880</v>
      </c>
      <c r="I2080" s="4">
        <f>IF(G2080=114000,VLOOKUP(A2080,洗矿索引!$B$2:$H$97,3,FALSE),1)</f>
        <v>2</v>
      </c>
      <c r="J2080" s="4">
        <f t="shared" si="49"/>
        <v>2</v>
      </c>
      <c r="K2080" s="6" t="s">
        <v>2008</v>
      </c>
    </row>
    <row r="2081" spans="1:11" s="4" customFormat="1">
      <c r="A2081" s="4">
        <v>116004</v>
      </c>
      <c r="B2081" s="4">
        <v>1</v>
      </c>
      <c r="C2081" s="4">
        <v>1</v>
      </c>
      <c r="D2081" s="4">
        <v>0</v>
      </c>
      <c r="E2081" s="4">
        <v>0</v>
      </c>
      <c r="F2081" s="4">
        <v>1</v>
      </c>
      <c r="G2081" s="4">
        <v>21001</v>
      </c>
      <c r="H2081" s="4">
        <f>INT(VLOOKUP(A2081,洗矿索引!$B$2:$H$97,IF(INT(G2081/10000)=11,7,IF(INT(G2081/10000)=2,6,IF(RIGHT(G2081,1)="0",4,5))),TRUE)/IF(INT(G2081/10000)=11,1,IF(INT(G2081/10000)=2,3,IF(RIGHT(G2081,1)=0,6,6)))*100000)</f>
        <v>40</v>
      </c>
      <c r="I2081" s="4">
        <f>IF(G2081=114000,VLOOKUP(A2081,洗矿索引!$B$2:$H$97,3,FALSE),1)</f>
        <v>1</v>
      </c>
      <c r="J2081" s="4">
        <f t="shared" si="49"/>
        <v>1</v>
      </c>
      <c r="K2081" s="6" t="s">
        <v>2009</v>
      </c>
    </row>
    <row r="2082" spans="1:11" s="4" customFormat="1">
      <c r="A2082" s="4">
        <v>116004</v>
      </c>
      <c r="B2082" s="4">
        <v>1</v>
      </c>
      <c r="C2082" s="4">
        <v>1</v>
      </c>
      <c r="D2082" s="4">
        <v>0</v>
      </c>
      <c r="E2082" s="4">
        <v>0</v>
      </c>
      <c r="F2082" s="4">
        <v>1</v>
      </c>
      <c r="G2082" s="4">
        <v>21002</v>
      </c>
      <c r="H2082" s="4">
        <f>INT(VLOOKUP(A2082,洗矿索引!$B$2:$H$97,IF(INT(G2082/10000)=11,7,IF(INT(G2082/10000)=2,6,IF(RIGHT(G2082,1)="0",4,5))),TRUE)/IF(INT(G2082/10000)=11,1,IF(INT(G2082/10000)=2,3,IF(RIGHT(G2082,1)=0,6,6)))*100000)</f>
        <v>40</v>
      </c>
      <c r="I2082" s="4">
        <f>IF(G2082=114000,VLOOKUP(A2082,洗矿索引!$B$2:$H$97,3,FALSE),1)</f>
        <v>1</v>
      </c>
      <c r="J2082" s="4">
        <f t="shared" si="49"/>
        <v>1</v>
      </c>
      <c r="K2082" s="6" t="s">
        <v>2010</v>
      </c>
    </row>
    <row r="2083" spans="1:11" s="4" customFormat="1">
      <c r="A2083" s="4">
        <v>116004</v>
      </c>
      <c r="B2083" s="4">
        <v>1</v>
      </c>
      <c r="C2083" s="4">
        <v>1</v>
      </c>
      <c r="D2083" s="4">
        <v>0</v>
      </c>
      <c r="E2083" s="4">
        <v>0</v>
      </c>
      <c r="F2083" s="4">
        <v>1</v>
      </c>
      <c r="G2083" s="4">
        <v>21003</v>
      </c>
      <c r="H2083" s="4">
        <f>INT(VLOOKUP(A2083,洗矿索引!$B$2:$H$97,IF(INT(G2083/10000)=11,7,IF(INT(G2083/10000)=2,6,IF(RIGHT(G2083,1)="0",4,5))),TRUE)/IF(INT(G2083/10000)=11,1,IF(INT(G2083/10000)=2,3,IF(RIGHT(G2083,1)=0,6,6)))*100000)</f>
        <v>40</v>
      </c>
      <c r="I2083" s="4">
        <f>IF(G2083=114000,VLOOKUP(A2083,洗矿索引!$B$2:$H$97,3,FALSE),1)</f>
        <v>1</v>
      </c>
      <c r="J2083" s="4">
        <f t="shared" si="49"/>
        <v>1</v>
      </c>
      <c r="K2083" s="6" t="s">
        <v>2011</v>
      </c>
    </row>
    <row r="2084" spans="1:11" s="4" customFormat="1">
      <c r="A2084" s="4">
        <v>116005</v>
      </c>
      <c r="B2084" s="4">
        <v>1</v>
      </c>
      <c r="C2084" s="4">
        <v>1</v>
      </c>
      <c r="D2084" s="4">
        <v>0</v>
      </c>
      <c r="E2084" s="4">
        <v>0</v>
      </c>
      <c r="F2084" s="4">
        <v>1</v>
      </c>
      <c r="G2084" s="4">
        <v>114000</v>
      </c>
      <c r="H2084" s="4">
        <f>INT(VLOOKUP(A2084,洗矿索引!$B$2:$H$97,IF(INT(G2084/10000)=11,7,IF(INT(G2084/10000)=2,6,IF(RIGHT(G2084,1)="0",4,5))),TRUE)/IF(INT(G2084/10000)=11,1,IF(INT(G2084/10000)=2,3,IF(RIGHT(G2084,1)=0,6,6)))*100000)</f>
        <v>99860</v>
      </c>
      <c r="I2084" s="4">
        <f>IF(G2084=114000,VLOOKUP(A2084,洗矿索引!$B$2:$H$97,3,FALSE),1)</f>
        <v>2</v>
      </c>
      <c r="J2084" s="4">
        <f t="shared" si="49"/>
        <v>2</v>
      </c>
      <c r="K2084" s="6" t="s">
        <v>2012</v>
      </c>
    </row>
    <row r="2085" spans="1:11" s="4" customFormat="1">
      <c r="A2085" s="4">
        <v>116005</v>
      </c>
      <c r="B2085" s="4">
        <v>1</v>
      </c>
      <c r="C2085" s="4">
        <v>1</v>
      </c>
      <c r="D2085" s="4">
        <v>0</v>
      </c>
      <c r="E2085" s="4">
        <v>0</v>
      </c>
      <c r="F2085" s="4">
        <v>1</v>
      </c>
      <c r="G2085" s="4">
        <v>21001</v>
      </c>
      <c r="H2085" s="4">
        <f>INT(VLOOKUP(A2085,洗矿索引!$B$2:$H$97,IF(INT(G2085/10000)=11,7,IF(INT(G2085/10000)=2,6,IF(RIGHT(G2085,1)="0",4,5))),TRUE)/IF(INT(G2085/10000)=11,1,IF(INT(G2085/10000)=2,3,IF(RIGHT(G2085,1)=0,6,6)))*100000)</f>
        <v>46</v>
      </c>
      <c r="I2085" s="4">
        <f>IF(G2085=114000,VLOOKUP(A2085,洗矿索引!$B$2:$H$97,3,FALSE),1)</f>
        <v>1</v>
      </c>
      <c r="J2085" s="4">
        <f t="shared" si="49"/>
        <v>1</v>
      </c>
      <c r="K2085" s="6" t="s">
        <v>2013</v>
      </c>
    </row>
    <row r="2086" spans="1:11" s="4" customFormat="1">
      <c r="A2086" s="4">
        <v>116005</v>
      </c>
      <c r="B2086" s="4">
        <v>1</v>
      </c>
      <c r="C2086" s="4">
        <v>1</v>
      </c>
      <c r="D2086" s="4">
        <v>0</v>
      </c>
      <c r="E2086" s="4">
        <v>0</v>
      </c>
      <c r="F2086" s="4">
        <v>1</v>
      </c>
      <c r="G2086" s="4">
        <v>21002</v>
      </c>
      <c r="H2086" s="4">
        <f>INT(VLOOKUP(A2086,洗矿索引!$B$2:$H$97,IF(INT(G2086/10000)=11,7,IF(INT(G2086/10000)=2,6,IF(RIGHT(G2086,1)="0",4,5))),TRUE)/IF(INT(G2086/10000)=11,1,IF(INT(G2086/10000)=2,3,IF(RIGHT(G2086,1)=0,6,6)))*100000)</f>
        <v>46</v>
      </c>
      <c r="I2086" s="4">
        <f>IF(G2086=114000,VLOOKUP(A2086,洗矿索引!$B$2:$H$97,3,FALSE),1)</f>
        <v>1</v>
      </c>
      <c r="J2086" s="4">
        <f t="shared" si="49"/>
        <v>1</v>
      </c>
      <c r="K2086" s="6" t="s">
        <v>2014</v>
      </c>
    </row>
    <row r="2087" spans="1:11" s="4" customFormat="1">
      <c r="A2087" s="4">
        <v>116005</v>
      </c>
      <c r="B2087" s="4">
        <v>1</v>
      </c>
      <c r="C2087" s="4">
        <v>1</v>
      </c>
      <c r="D2087" s="4">
        <v>0</v>
      </c>
      <c r="E2087" s="4">
        <v>0</v>
      </c>
      <c r="F2087" s="4">
        <v>1</v>
      </c>
      <c r="G2087" s="4">
        <v>21003</v>
      </c>
      <c r="H2087" s="4">
        <f>INT(VLOOKUP(A2087,洗矿索引!$B$2:$H$97,IF(INT(G2087/10000)=11,7,IF(INT(G2087/10000)=2,6,IF(RIGHT(G2087,1)="0",4,5))),TRUE)/IF(INT(G2087/10000)=11,1,IF(INT(G2087/10000)=2,3,IF(RIGHT(G2087,1)=0,6,6)))*100000)</f>
        <v>46</v>
      </c>
      <c r="I2087" s="4">
        <f>IF(G2087=114000,VLOOKUP(A2087,洗矿索引!$B$2:$H$97,3,FALSE),1)</f>
        <v>1</v>
      </c>
      <c r="J2087" s="4">
        <f t="shared" si="49"/>
        <v>1</v>
      </c>
      <c r="K2087" s="6" t="s">
        <v>2015</v>
      </c>
    </row>
    <row r="2088" spans="1:11" s="4" customFormat="1">
      <c r="A2088" s="4">
        <v>116006</v>
      </c>
      <c r="B2088" s="4">
        <v>1</v>
      </c>
      <c r="C2088" s="4">
        <v>1</v>
      </c>
      <c r="D2088" s="4">
        <v>0</v>
      </c>
      <c r="E2088" s="4">
        <v>0</v>
      </c>
      <c r="F2088" s="4">
        <v>1</v>
      </c>
      <c r="G2088" s="4">
        <v>114000</v>
      </c>
      <c r="H2088" s="4">
        <f>INT(VLOOKUP(A2088,洗矿索引!$B$2:$H$97,IF(INT(G2088/10000)=11,7,IF(INT(G2088/10000)=2,6,IF(RIGHT(G2088,1)="0",4,5))),TRUE)/IF(INT(G2088/10000)=11,1,IF(INT(G2088/10000)=2,3,IF(RIGHT(G2088,1)=0,6,6)))*100000)</f>
        <v>99840</v>
      </c>
      <c r="I2088" s="4">
        <f>IF(G2088=114000,VLOOKUP(A2088,洗矿索引!$B$2:$H$97,3,FALSE),1)</f>
        <v>2</v>
      </c>
      <c r="J2088" s="4">
        <f t="shared" si="49"/>
        <v>2</v>
      </c>
      <c r="K2088" s="6" t="s">
        <v>2016</v>
      </c>
    </row>
    <row r="2089" spans="1:11" s="4" customFormat="1">
      <c r="A2089" s="4">
        <v>116006</v>
      </c>
      <c r="B2089" s="4">
        <v>1</v>
      </c>
      <c r="C2089" s="4">
        <v>1</v>
      </c>
      <c r="D2089" s="4">
        <v>0</v>
      </c>
      <c r="E2089" s="4">
        <v>0</v>
      </c>
      <c r="F2089" s="4">
        <v>1</v>
      </c>
      <c r="G2089" s="4">
        <v>21001</v>
      </c>
      <c r="H2089" s="4">
        <f>INT(VLOOKUP(A2089,洗矿索引!$B$2:$H$97,IF(INT(G2089/10000)=11,7,IF(INT(G2089/10000)=2,6,IF(RIGHT(G2089,1)="0",4,5))),TRUE)/IF(INT(G2089/10000)=11,1,IF(INT(G2089/10000)=2,3,IF(RIGHT(G2089,1)=0,6,6)))*100000)</f>
        <v>53</v>
      </c>
      <c r="I2089" s="4">
        <f>IF(G2089=114000,VLOOKUP(A2089,洗矿索引!$B$2:$H$97,3,FALSE),1)</f>
        <v>1</v>
      </c>
      <c r="J2089" s="4">
        <f t="shared" si="49"/>
        <v>1</v>
      </c>
      <c r="K2089" s="6" t="s">
        <v>2017</v>
      </c>
    </row>
    <row r="2090" spans="1:11" s="4" customFormat="1">
      <c r="A2090" s="4">
        <v>116006</v>
      </c>
      <c r="B2090" s="4">
        <v>1</v>
      </c>
      <c r="C2090" s="4">
        <v>1</v>
      </c>
      <c r="D2090" s="4">
        <v>0</v>
      </c>
      <c r="E2090" s="4">
        <v>0</v>
      </c>
      <c r="F2090" s="4">
        <v>1</v>
      </c>
      <c r="G2090" s="4">
        <v>21002</v>
      </c>
      <c r="H2090" s="4">
        <f>INT(VLOOKUP(A2090,洗矿索引!$B$2:$H$97,IF(INT(G2090/10000)=11,7,IF(INT(G2090/10000)=2,6,IF(RIGHT(G2090,1)="0",4,5))),TRUE)/IF(INT(G2090/10000)=11,1,IF(INT(G2090/10000)=2,3,IF(RIGHT(G2090,1)=0,6,6)))*100000)</f>
        <v>53</v>
      </c>
      <c r="I2090" s="4">
        <f>IF(G2090=114000,VLOOKUP(A2090,洗矿索引!$B$2:$H$97,3,FALSE),1)</f>
        <v>1</v>
      </c>
      <c r="J2090" s="4">
        <f t="shared" si="49"/>
        <v>1</v>
      </c>
      <c r="K2090" s="6" t="s">
        <v>2018</v>
      </c>
    </row>
    <row r="2091" spans="1:11" s="4" customFormat="1">
      <c r="A2091" s="4">
        <v>116006</v>
      </c>
      <c r="B2091" s="4">
        <v>1</v>
      </c>
      <c r="C2091" s="4">
        <v>1</v>
      </c>
      <c r="D2091" s="4">
        <v>0</v>
      </c>
      <c r="E2091" s="4">
        <v>0</v>
      </c>
      <c r="F2091" s="4">
        <v>1</v>
      </c>
      <c r="G2091" s="4">
        <v>21003</v>
      </c>
      <c r="H2091" s="4">
        <f>INT(VLOOKUP(A2091,洗矿索引!$B$2:$H$97,IF(INT(G2091/10000)=11,7,IF(INT(G2091/10000)=2,6,IF(RIGHT(G2091,1)="0",4,5))),TRUE)/IF(INT(G2091/10000)=11,1,IF(INT(G2091/10000)=2,3,IF(RIGHT(G2091,1)=0,6,6)))*100000)</f>
        <v>53</v>
      </c>
      <c r="I2091" s="4">
        <f>IF(G2091=114000,VLOOKUP(A2091,洗矿索引!$B$2:$H$97,3,FALSE),1)</f>
        <v>1</v>
      </c>
      <c r="J2091" s="4">
        <f t="shared" si="49"/>
        <v>1</v>
      </c>
      <c r="K2091" s="6" t="s">
        <v>2019</v>
      </c>
    </row>
    <row r="2092" spans="1:11" s="4" customFormat="1">
      <c r="A2092" s="4">
        <v>116007</v>
      </c>
      <c r="B2092" s="4">
        <v>1</v>
      </c>
      <c r="C2092" s="4">
        <v>1</v>
      </c>
      <c r="D2092" s="4">
        <v>0</v>
      </c>
      <c r="E2092" s="4">
        <v>0</v>
      </c>
      <c r="F2092" s="4">
        <v>1</v>
      </c>
      <c r="G2092" s="4">
        <v>114000</v>
      </c>
      <c r="H2092" s="4">
        <f>INT(VLOOKUP(A2092,洗矿索引!$B$2:$H$97,IF(INT(G2092/10000)=11,7,IF(INT(G2092/10000)=2,6,IF(RIGHT(G2092,1)="0",4,5))),TRUE)/IF(INT(G2092/10000)=11,1,IF(INT(G2092/10000)=2,3,IF(RIGHT(G2092,1)=0,6,6)))*100000)</f>
        <v>99820</v>
      </c>
      <c r="I2092" s="4">
        <f>IF(G2092=114000,VLOOKUP(A2092,洗矿索引!$B$2:$H$97,3,FALSE),1)</f>
        <v>2</v>
      </c>
      <c r="J2092" s="4">
        <f t="shared" si="49"/>
        <v>2</v>
      </c>
      <c r="K2092" s="6" t="s">
        <v>2020</v>
      </c>
    </row>
    <row r="2093" spans="1:11" s="4" customFormat="1">
      <c r="A2093" s="4">
        <v>116007</v>
      </c>
      <c r="B2093" s="4">
        <v>1</v>
      </c>
      <c r="C2093" s="4">
        <v>1</v>
      </c>
      <c r="D2093" s="4">
        <v>0</v>
      </c>
      <c r="E2093" s="4">
        <v>0</v>
      </c>
      <c r="F2093" s="4">
        <v>1</v>
      </c>
      <c r="G2093" s="4">
        <v>21001</v>
      </c>
      <c r="H2093" s="4">
        <f>INT(VLOOKUP(A2093,洗矿索引!$B$2:$H$97,IF(INT(G2093/10000)=11,7,IF(INT(G2093/10000)=2,6,IF(RIGHT(G2093,1)="0",4,5))),TRUE)/IF(INT(G2093/10000)=11,1,IF(INT(G2093/10000)=2,3,IF(RIGHT(G2093,1)=0,6,6)))*100000)</f>
        <v>60</v>
      </c>
      <c r="I2093" s="4">
        <f>IF(G2093=114000,VLOOKUP(A2093,洗矿索引!$B$2:$H$97,3,FALSE),1)</f>
        <v>1</v>
      </c>
      <c r="J2093" s="4">
        <f t="shared" si="49"/>
        <v>1</v>
      </c>
      <c r="K2093" s="6" t="s">
        <v>2021</v>
      </c>
    </row>
    <row r="2094" spans="1:11" s="4" customFormat="1">
      <c r="A2094" s="4">
        <v>116007</v>
      </c>
      <c r="B2094" s="4">
        <v>1</v>
      </c>
      <c r="C2094" s="4">
        <v>1</v>
      </c>
      <c r="D2094" s="4">
        <v>0</v>
      </c>
      <c r="E2094" s="4">
        <v>0</v>
      </c>
      <c r="F2094" s="4">
        <v>1</v>
      </c>
      <c r="G2094" s="4">
        <v>21002</v>
      </c>
      <c r="H2094" s="4">
        <f>INT(VLOOKUP(A2094,洗矿索引!$B$2:$H$97,IF(INT(G2094/10000)=11,7,IF(INT(G2094/10000)=2,6,IF(RIGHT(G2094,1)="0",4,5))),TRUE)/IF(INT(G2094/10000)=11,1,IF(INT(G2094/10000)=2,3,IF(RIGHT(G2094,1)=0,6,6)))*100000)</f>
        <v>60</v>
      </c>
      <c r="I2094" s="4">
        <f>IF(G2094=114000,VLOOKUP(A2094,洗矿索引!$B$2:$H$97,3,FALSE),1)</f>
        <v>1</v>
      </c>
      <c r="J2094" s="4">
        <f t="shared" si="49"/>
        <v>1</v>
      </c>
      <c r="K2094" s="6" t="s">
        <v>2022</v>
      </c>
    </row>
    <row r="2095" spans="1:11" s="4" customFormat="1">
      <c r="A2095" s="4">
        <v>116007</v>
      </c>
      <c r="B2095" s="4">
        <v>1</v>
      </c>
      <c r="C2095" s="4">
        <v>1</v>
      </c>
      <c r="D2095" s="4">
        <v>0</v>
      </c>
      <c r="E2095" s="4">
        <v>0</v>
      </c>
      <c r="F2095" s="4">
        <v>1</v>
      </c>
      <c r="G2095" s="4">
        <v>21003</v>
      </c>
      <c r="H2095" s="4">
        <f>INT(VLOOKUP(A2095,洗矿索引!$B$2:$H$97,IF(INT(G2095/10000)=11,7,IF(INT(G2095/10000)=2,6,IF(RIGHT(G2095,1)="0",4,5))),TRUE)/IF(INT(G2095/10000)=11,1,IF(INT(G2095/10000)=2,3,IF(RIGHT(G2095,1)=0,6,6)))*100000)</f>
        <v>60</v>
      </c>
      <c r="I2095" s="4">
        <f>IF(G2095=114000,VLOOKUP(A2095,洗矿索引!$B$2:$H$97,3,FALSE),1)</f>
        <v>1</v>
      </c>
      <c r="J2095" s="4">
        <f t="shared" si="49"/>
        <v>1</v>
      </c>
      <c r="K2095" s="6" t="s">
        <v>2023</v>
      </c>
    </row>
    <row r="2096" spans="1:11" s="4" customFormat="1">
      <c r="A2096" s="4">
        <v>116008</v>
      </c>
      <c r="B2096" s="4">
        <v>1</v>
      </c>
      <c r="C2096" s="4">
        <v>1</v>
      </c>
      <c r="D2096" s="4">
        <v>0</v>
      </c>
      <c r="E2096" s="4">
        <v>0</v>
      </c>
      <c r="F2096" s="4">
        <v>1</v>
      </c>
      <c r="G2096" s="4">
        <v>114000</v>
      </c>
      <c r="H2096" s="4">
        <f>INT(VLOOKUP(A2096,洗矿索引!$B$2:$H$97,IF(INT(G2096/10000)=11,7,IF(INT(G2096/10000)=2,6,IF(RIGHT(G2096,1)="0",4,5))),TRUE)/IF(INT(G2096/10000)=11,1,IF(INT(G2096/10000)=2,3,IF(RIGHT(G2096,1)=0,6,6)))*100000)</f>
        <v>99800</v>
      </c>
      <c r="I2096" s="4">
        <f>IF(G2096=114000,VLOOKUP(A2096,洗矿索引!$B$2:$H$97,3,FALSE),1)</f>
        <v>2</v>
      </c>
      <c r="J2096" s="4">
        <f t="shared" si="49"/>
        <v>2</v>
      </c>
      <c r="K2096" s="6" t="s">
        <v>2024</v>
      </c>
    </row>
    <row r="2097" spans="1:11" s="4" customFormat="1">
      <c r="A2097" s="4">
        <v>116008</v>
      </c>
      <c r="B2097" s="4">
        <v>1</v>
      </c>
      <c r="C2097" s="4">
        <v>1</v>
      </c>
      <c r="D2097" s="4">
        <v>0</v>
      </c>
      <c r="E2097" s="4">
        <v>0</v>
      </c>
      <c r="F2097" s="4">
        <v>1</v>
      </c>
      <c r="G2097" s="4">
        <v>21001</v>
      </c>
      <c r="H2097" s="4">
        <f>INT(VLOOKUP(A2097,洗矿索引!$B$2:$H$97,IF(INT(G2097/10000)=11,7,IF(INT(G2097/10000)=2,6,IF(RIGHT(G2097,1)="0",4,5))),TRUE)/IF(INT(G2097/10000)=11,1,IF(INT(G2097/10000)=2,3,IF(RIGHT(G2097,1)=0,6,6)))*100000)</f>
        <v>66</v>
      </c>
      <c r="I2097" s="4">
        <f>IF(G2097=114000,VLOOKUP(A2097,洗矿索引!$B$2:$H$97,3,FALSE),1)</f>
        <v>1</v>
      </c>
      <c r="J2097" s="4">
        <f t="shared" si="49"/>
        <v>1</v>
      </c>
      <c r="K2097" s="6" t="s">
        <v>2025</v>
      </c>
    </row>
    <row r="2098" spans="1:11" s="4" customFormat="1">
      <c r="A2098" s="4">
        <v>116008</v>
      </c>
      <c r="B2098" s="4">
        <v>1</v>
      </c>
      <c r="C2098" s="4">
        <v>1</v>
      </c>
      <c r="D2098" s="4">
        <v>0</v>
      </c>
      <c r="E2098" s="4">
        <v>0</v>
      </c>
      <c r="F2098" s="4">
        <v>1</v>
      </c>
      <c r="G2098" s="4">
        <v>21002</v>
      </c>
      <c r="H2098" s="4">
        <f>INT(VLOOKUP(A2098,洗矿索引!$B$2:$H$97,IF(INT(G2098/10000)=11,7,IF(INT(G2098/10000)=2,6,IF(RIGHT(G2098,1)="0",4,5))),TRUE)/IF(INT(G2098/10000)=11,1,IF(INT(G2098/10000)=2,3,IF(RIGHT(G2098,1)=0,6,6)))*100000)</f>
        <v>66</v>
      </c>
      <c r="I2098" s="4">
        <f>IF(G2098=114000,VLOOKUP(A2098,洗矿索引!$B$2:$H$97,3,FALSE),1)</f>
        <v>1</v>
      </c>
      <c r="J2098" s="4">
        <f t="shared" si="49"/>
        <v>1</v>
      </c>
      <c r="K2098" s="6" t="s">
        <v>2026</v>
      </c>
    </row>
    <row r="2099" spans="1:11" s="4" customFormat="1">
      <c r="A2099" s="4">
        <v>116008</v>
      </c>
      <c r="B2099" s="4">
        <v>1</v>
      </c>
      <c r="C2099" s="4">
        <v>1</v>
      </c>
      <c r="D2099" s="4">
        <v>0</v>
      </c>
      <c r="E2099" s="4">
        <v>0</v>
      </c>
      <c r="F2099" s="4">
        <v>1</v>
      </c>
      <c r="G2099" s="4">
        <v>21003</v>
      </c>
      <c r="H2099" s="4">
        <f>INT(VLOOKUP(A2099,洗矿索引!$B$2:$H$97,IF(INT(G2099/10000)=11,7,IF(INT(G2099/10000)=2,6,IF(RIGHT(G2099,1)="0",4,5))),TRUE)/IF(INT(G2099/10000)=11,1,IF(INT(G2099/10000)=2,3,IF(RIGHT(G2099,1)=0,6,6)))*100000)</f>
        <v>66</v>
      </c>
      <c r="I2099" s="4">
        <f>IF(G2099=114000,VLOOKUP(A2099,洗矿索引!$B$2:$H$97,3,FALSE),1)</f>
        <v>1</v>
      </c>
      <c r="J2099" s="4">
        <f t="shared" si="49"/>
        <v>1</v>
      </c>
      <c r="K2099" s="6" t="s">
        <v>2027</v>
      </c>
    </row>
    <row r="2100" spans="1:11" s="4" customFormat="1">
      <c r="A2100" s="4">
        <v>116009</v>
      </c>
      <c r="B2100" s="4">
        <v>1</v>
      </c>
      <c r="C2100" s="4">
        <v>1</v>
      </c>
      <c r="D2100" s="4">
        <v>0</v>
      </c>
      <c r="E2100" s="4">
        <v>0</v>
      </c>
      <c r="F2100" s="4">
        <v>1</v>
      </c>
      <c r="G2100" s="4">
        <v>114000</v>
      </c>
      <c r="H2100" s="4">
        <f>INT(VLOOKUP(A2100,洗矿索引!$B$2:$H$97,IF(INT(G2100/10000)=11,7,IF(INT(G2100/10000)=2,6,IF(RIGHT(G2100,1)="0",4,5))),TRUE)/IF(INT(G2100/10000)=11,1,IF(INT(G2100/10000)=2,3,IF(RIGHT(G2100,1)=0,6,6)))*100000)</f>
        <v>99780</v>
      </c>
      <c r="I2100" s="4">
        <f>IF(G2100=114000,VLOOKUP(A2100,洗矿索引!$B$2:$H$97,3,FALSE),1)</f>
        <v>2</v>
      </c>
      <c r="J2100" s="4">
        <f t="shared" si="49"/>
        <v>2</v>
      </c>
      <c r="K2100" s="6" t="s">
        <v>2028</v>
      </c>
    </row>
    <row r="2101" spans="1:11" s="4" customFormat="1">
      <c r="A2101" s="4">
        <v>116009</v>
      </c>
      <c r="B2101" s="4">
        <v>1</v>
      </c>
      <c r="C2101" s="4">
        <v>1</v>
      </c>
      <c r="D2101" s="4">
        <v>0</v>
      </c>
      <c r="E2101" s="4">
        <v>0</v>
      </c>
      <c r="F2101" s="4">
        <v>1</v>
      </c>
      <c r="G2101" s="4">
        <v>21001</v>
      </c>
      <c r="H2101" s="4">
        <f>INT(VLOOKUP(A2101,洗矿索引!$B$2:$H$97,IF(INT(G2101/10000)=11,7,IF(INT(G2101/10000)=2,6,IF(RIGHT(G2101,1)="0",4,5))),TRUE)/IF(INT(G2101/10000)=11,1,IF(INT(G2101/10000)=2,3,IF(RIGHT(G2101,1)=0,6,6)))*100000)</f>
        <v>73</v>
      </c>
      <c r="I2101" s="4">
        <f>IF(G2101=114000,VLOOKUP(A2101,洗矿索引!$B$2:$H$97,3,FALSE),1)</f>
        <v>1</v>
      </c>
      <c r="J2101" s="4">
        <f t="shared" si="49"/>
        <v>1</v>
      </c>
      <c r="K2101" s="6" t="s">
        <v>2029</v>
      </c>
    </row>
    <row r="2102" spans="1:11" s="4" customFormat="1">
      <c r="A2102" s="4">
        <v>116009</v>
      </c>
      <c r="B2102" s="4">
        <v>1</v>
      </c>
      <c r="C2102" s="4">
        <v>1</v>
      </c>
      <c r="D2102" s="4">
        <v>0</v>
      </c>
      <c r="E2102" s="4">
        <v>0</v>
      </c>
      <c r="F2102" s="4">
        <v>1</v>
      </c>
      <c r="G2102" s="4">
        <v>21002</v>
      </c>
      <c r="H2102" s="4">
        <f>INT(VLOOKUP(A2102,洗矿索引!$B$2:$H$97,IF(INT(G2102/10000)=11,7,IF(INT(G2102/10000)=2,6,IF(RIGHT(G2102,1)="0",4,5))),TRUE)/IF(INT(G2102/10000)=11,1,IF(INT(G2102/10000)=2,3,IF(RIGHT(G2102,1)=0,6,6)))*100000)</f>
        <v>73</v>
      </c>
      <c r="I2102" s="4">
        <f>IF(G2102=114000,VLOOKUP(A2102,洗矿索引!$B$2:$H$97,3,FALSE),1)</f>
        <v>1</v>
      </c>
      <c r="J2102" s="4">
        <f t="shared" si="49"/>
        <v>1</v>
      </c>
      <c r="K2102" s="6" t="s">
        <v>2030</v>
      </c>
    </row>
    <row r="2103" spans="1:11" s="4" customFormat="1">
      <c r="A2103" s="4">
        <v>116009</v>
      </c>
      <c r="B2103" s="4">
        <v>1</v>
      </c>
      <c r="C2103" s="4">
        <v>1</v>
      </c>
      <c r="D2103" s="4">
        <v>0</v>
      </c>
      <c r="E2103" s="4">
        <v>0</v>
      </c>
      <c r="F2103" s="4">
        <v>1</v>
      </c>
      <c r="G2103" s="4">
        <v>21003</v>
      </c>
      <c r="H2103" s="4">
        <f>INT(VLOOKUP(A2103,洗矿索引!$B$2:$H$97,IF(INT(G2103/10000)=11,7,IF(INT(G2103/10000)=2,6,IF(RIGHT(G2103,1)="0",4,5))),TRUE)/IF(INT(G2103/10000)=11,1,IF(INT(G2103/10000)=2,3,IF(RIGHT(G2103,1)=0,6,6)))*100000)</f>
        <v>73</v>
      </c>
      <c r="I2103" s="4">
        <f>IF(G2103=114000,VLOOKUP(A2103,洗矿索引!$B$2:$H$97,3,FALSE),1)</f>
        <v>1</v>
      </c>
      <c r="J2103" s="4">
        <f t="shared" si="49"/>
        <v>1</v>
      </c>
      <c r="K2103" s="6" t="s">
        <v>2031</v>
      </c>
    </row>
    <row r="2104" spans="1:11" s="4" customFormat="1">
      <c r="A2104" s="4">
        <v>116010</v>
      </c>
      <c r="B2104" s="4">
        <v>1</v>
      </c>
      <c r="C2104" s="4">
        <v>1</v>
      </c>
      <c r="D2104" s="4">
        <v>0</v>
      </c>
      <c r="E2104" s="4">
        <v>0</v>
      </c>
      <c r="F2104" s="4">
        <v>1</v>
      </c>
      <c r="G2104" s="4">
        <v>114000</v>
      </c>
      <c r="H2104" s="4">
        <f>INT(VLOOKUP(A2104,洗矿索引!$B$2:$H$97,IF(INT(G2104/10000)=11,7,IF(INT(G2104/10000)=2,6,IF(RIGHT(G2104,1)="0",4,5))),TRUE)/IF(INT(G2104/10000)=11,1,IF(INT(G2104/10000)=2,3,IF(RIGHT(G2104,1)=0,6,6)))*100000)</f>
        <v>99760</v>
      </c>
      <c r="I2104" s="4">
        <f>IF(G2104=114000,VLOOKUP(A2104,洗矿索引!$B$2:$H$97,3,FALSE),1)</f>
        <v>2</v>
      </c>
      <c r="J2104" s="4">
        <f t="shared" si="49"/>
        <v>2</v>
      </c>
      <c r="K2104" s="6" t="s">
        <v>2032</v>
      </c>
    </row>
    <row r="2105" spans="1:11" s="4" customFormat="1">
      <c r="A2105" s="4">
        <v>116010</v>
      </c>
      <c r="B2105" s="4">
        <v>1</v>
      </c>
      <c r="C2105" s="4">
        <v>1</v>
      </c>
      <c r="D2105" s="4">
        <v>0</v>
      </c>
      <c r="E2105" s="4">
        <v>0</v>
      </c>
      <c r="F2105" s="4">
        <v>1</v>
      </c>
      <c r="G2105" s="4">
        <v>21001</v>
      </c>
      <c r="H2105" s="4">
        <f>INT(VLOOKUP(A2105,洗矿索引!$B$2:$H$97,IF(INT(G2105/10000)=11,7,IF(INT(G2105/10000)=2,6,IF(RIGHT(G2105,1)="0",4,5))),TRUE)/IF(INT(G2105/10000)=11,1,IF(INT(G2105/10000)=2,3,IF(RIGHT(G2105,1)=0,6,6)))*100000)</f>
        <v>80</v>
      </c>
      <c r="I2105" s="4">
        <f>IF(G2105=114000,VLOOKUP(A2105,洗矿索引!$B$2:$H$97,3,FALSE),1)</f>
        <v>1</v>
      </c>
      <c r="J2105" s="4">
        <f t="shared" si="49"/>
        <v>1</v>
      </c>
      <c r="K2105" s="6" t="s">
        <v>2033</v>
      </c>
    </row>
    <row r="2106" spans="1:11" s="4" customFormat="1">
      <c r="A2106" s="4">
        <v>116010</v>
      </c>
      <c r="B2106" s="4">
        <v>1</v>
      </c>
      <c r="C2106" s="4">
        <v>1</v>
      </c>
      <c r="D2106" s="4">
        <v>0</v>
      </c>
      <c r="E2106" s="4">
        <v>0</v>
      </c>
      <c r="F2106" s="4">
        <v>1</v>
      </c>
      <c r="G2106" s="4">
        <v>21002</v>
      </c>
      <c r="H2106" s="4">
        <f>INT(VLOOKUP(A2106,洗矿索引!$B$2:$H$97,IF(INT(G2106/10000)=11,7,IF(INT(G2106/10000)=2,6,IF(RIGHT(G2106,1)="0",4,5))),TRUE)/IF(INT(G2106/10000)=11,1,IF(INT(G2106/10000)=2,3,IF(RIGHT(G2106,1)=0,6,6)))*100000)</f>
        <v>80</v>
      </c>
      <c r="I2106" s="4">
        <f>IF(G2106=114000,VLOOKUP(A2106,洗矿索引!$B$2:$H$97,3,FALSE),1)</f>
        <v>1</v>
      </c>
      <c r="J2106" s="4">
        <f t="shared" si="49"/>
        <v>1</v>
      </c>
      <c r="K2106" s="6" t="s">
        <v>2034</v>
      </c>
    </row>
    <row r="2107" spans="1:11" s="4" customFormat="1">
      <c r="A2107" s="4">
        <v>116010</v>
      </c>
      <c r="B2107" s="4">
        <v>1</v>
      </c>
      <c r="C2107" s="4">
        <v>1</v>
      </c>
      <c r="D2107" s="4">
        <v>0</v>
      </c>
      <c r="E2107" s="4">
        <v>0</v>
      </c>
      <c r="F2107" s="4">
        <v>1</v>
      </c>
      <c r="G2107" s="4">
        <v>21003</v>
      </c>
      <c r="H2107" s="4">
        <f>INT(VLOOKUP(A2107,洗矿索引!$B$2:$H$97,IF(INT(G2107/10000)=11,7,IF(INT(G2107/10000)=2,6,IF(RIGHT(G2107,1)="0",4,5))),TRUE)/IF(INT(G2107/10000)=11,1,IF(INT(G2107/10000)=2,3,IF(RIGHT(G2107,1)=0,6,6)))*100000)</f>
        <v>80</v>
      </c>
      <c r="I2107" s="4">
        <f>IF(G2107=114000,VLOOKUP(A2107,洗矿索引!$B$2:$H$97,3,FALSE),1)</f>
        <v>1</v>
      </c>
      <c r="J2107" s="4">
        <f t="shared" si="49"/>
        <v>1</v>
      </c>
      <c r="K2107" s="6" t="s">
        <v>2035</v>
      </c>
    </row>
    <row r="2108" spans="1:11" s="4" customFormat="1">
      <c r="A2108" s="4">
        <v>116011</v>
      </c>
      <c r="B2108" s="4">
        <v>1</v>
      </c>
      <c r="C2108" s="4">
        <v>1</v>
      </c>
      <c r="D2108" s="4">
        <v>0</v>
      </c>
      <c r="E2108" s="4">
        <v>0</v>
      </c>
      <c r="F2108" s="4">
        <v>1</v>
      </c>
      <c r="G2108" s="4">
        <v>114000</v>
      </c>
      <c r="H2108" s="4">
        <f>INT(VLOOKUP(A2108,洗矿索引!$B$2:$H$97,IF(INT(G2108/10000)=11,7,IF(INT(G2108/10000)=2,6,IF(RIGHT(G2108,1)="0",4,5))),TRUE)/IF(INT(G2108/10000)=11,1,IF(INT(G2108/10000)=2,3,IF(RIGHT(G2108,1)=0,6,6)))*100000)</f>
        <v>99740</v>
      </c>
      <c r="I2108" s="4">
        <f>IF(G2108=114000,VLOOKUP(A2108,洗矿索引!$B$2:$H$97,3,FALSE),1)</f>
        <v>2</v>
      </c>
      <c r="J2108" s="4">
        <f t="shared" si="49"/>
        <v>2</v>
      </c>
      <c r="K2108" s="6" t="s">
        <v>2036</v>
      </c>
    </row>
    <row r="2109" spans="1:11" s="4" customFormat="1">
      <c r="A2109" s="4">
        <v>116011</v>
      </c>
      <c r="B2109" s="4">
        <v>1</v>
      </c>
      <c r="C2109" s="4">
        <v>1</v>
      </c>
      <c r="D2109" s="4">
        <v>0</v>
      </c>
      <c r="E2109" s="4">
        <v>0</v>
      </c>
      <c r="F2109" s="4">
        <v>1</v>
      </c>
      <c r="G2109" s="4">
        <v>21001</v>
      </c>
      <c r="H2109" s="4">
        <f>INT(VLOOKUP(A2109,洗矿索引!$B$2:$H$97,IF(INT(G2109/10000)=11,7,IF(INT(G2109/10000)=2,6,IF(RIGHT(G2109,1)="0",4,5))),TRUE)/IF(INT(G2109/10000)=11,1,IF(INT(G2109/10000)=2,3,IF(RIGHT(G2109,1)=0,6,6)))*100000)</f>
        <v>86</v>
      </c>
      <c r="I2109" s="4">
        <f>IF(G2109=114000,VLOOKUP(A2109,洗矿索引!$B$2:$H$97,3,FALSE),1)</f>
        <v>1</v>
      </c>
      <c r="J2109" s="4">
        <f t="shared" si="49"/>
        <v>1</v>
      </c>
      <c r="K2109" s="6" t="s">
        <v>2037</v>
      </c>
    </row>
    <row r="2110" spans="1:11" s="4" customFormat="1">
      <c r="A2110" s="4">
        <v>116011</v>
      </c>
      <c r="B2110" s="4">
        <v>1</v>
      </c>
      <c r="C2110" s="4">
        <v>1</v>
      </c>
      <c r="D2110" s="4">
        <v>0</v>
      </c>
      <c r="E2110" s="4">
        <v>0</v>
      </c>
      <c r="F2110" s="4">
        <v>1</v>
      </c>
      <c r="G2110" s="4">
        <v>21002</v>
      </c>
      <c r="H2110" s="4">
        <f>INT(VLOOKUP(A2110,洗矿索引!$B$2:$H$97,IF(INT(G2110/10000)=11,7,IF(INT(G2110/10000)=2,6,IF(RIGHT(G2110,1)="0",4,5))),TRUE)/IF(INT(G2110/10000)=11,1,IF(INT(G2110/10000)=2,3,IF(RIGHT(G2110,1)=0,6,6)))*100000)</f>
        <v>86</v>
      </c>
      <c r="I2110" s="4">
        <f>IF(G2110=114000,VLOOKUP(A2110,洗矿索引!$B$2:$H$97,3,FALSE),1)</f>
        <v>1</v>
      </c>
      <c r="J2110" s="4">
        <f t="shared" si="49"/>
        <v>1</v>
      </c>
      <c r="K2110" s="6" t="s">
        <v>2038</v>
      </c>
    </row>
    <row r="2111" spans="1:11" s="4" customFormat="1">
      <c r="A2111" s="4">
        <v>116011</v>
      </c>
      <c r="B2111" s="4">
        <v>1</v>
      </c>
      <c r="C2111" s="4">
        <v>1</v>
      </c>
      <c r="D2111" s="4">
        <v>0</v>
      </c>
      <c r="E2111" s="4">
        <v>0</v>
      </c>
      <c r="F2111" s="4">
        <v>1</v>
      </c>
      <c r="G2111" s="4">
        <v>21003</v>
      </c>
      <c r="H2111" s="4">
        <f>INT(VLOOKUP(A2111,洗矿索引!$B$2:$H$97,IF(INT(G2111/10000)=11,7,IF(INT(G2111/10000)=2,6,IF(RIGHT(G2111,1)="0",4,5))),TRUE)/IF(INT(G2111/10000)=11,1,IF(INT(G2111/10000)=2,3,IF(RIGHT(G2111,1)=0,6,6)))*100000)</f>
        <v>86</v>
      </c>
      <c r="I2111" s="4">
        <f>IF(G2111=114000,VLOOKUP(A2111,洗矿索引!$B$2:$H$97,3,FALSE),1)</f>
        <v>1</v>
      </c>
      <c r="J2111" s="4">
        <f t="shared" si="49"/>
        <v>1</v>
      </c>
      <c r="K2111" s="6" t="s">
        <v>2039</v>
      </c>
    </row>
    <row r="2112" spans="1:11" s="4" customFormat="1">
      <c r="A2112" s="4">
        <v>116012</v>
      </c>
      <c r="B2112" s="4">
        <v>1</v>
      </c>
      <c r="C2112" s="4">
        <v>1</v>
      </c>
      <c r="D2112" s="4">
        <v>0</v>
      </c>
      <c r="E2112" s="4">
        <v>0</v>
      </c>
      <c r="F2112" s="4">
        <v>1</v>
      </c>
      <c r="G2112" s="4">
        <v>114000</v>
      </c>
      <c r="H2112" s="4">
        <f>INT(VLOOKUP(A2112,洗矿索引!$B$2:$H$97,IF(INT(G2112/10000)=11,7,IF(INT(G2112/10000)=2,6,IF(RIGHT(G2112,1)="0",4,5))),TRUE)/IF(INT(G2112/10000)=11,1,IF(INT(G2112/10000)=2,3,IF(RIGHT(G2112,1)=0,6,6)))*100000)</f>
        <v>99720</v>
      </c>
      <c r="I2112" s="4">
        <f>IF(G2112=114000,VLOOKUP(A2112,洗矿索引!$B$2:$H$97,3,FALSE),1)</f>
        <v>2</v>
      </c>
      <c r="J2112" s="4">
        <f t="shared" si="49"/>
        <v>2</v>
      </c>
      <c r="K2112" s="6" t="s">
        <v>2040</v>
      </c>
    </row>
    <row r="2113" spans="1:11" s="4" customFormat="1">
      <c r="A2113" s="4">
        <v>116012</v>
      </c>
      <c r="B2113" s="4">
        <v>1</v>
      </c>
      <c r="C2113" s="4">
        <v>1</v>
      </c>
      <c r="D2113" s="4">
        <v>0</v>
      </c>
      <c r="E2113" s="4">
        <v>0</v>
      </c>
      <c r="F2113" s="4">
        <v>1</v>
      </c>
      <c r="G2113" s="4">
        <v>21001</v>
      </c>
      <c r="H2113" s="4">
        <f>INT(VLOOKUP(A2113,洗矿索引!$B$2:$H$97,IF(INT(G2113/10000)=11,7,IF(INT(G2113/10000)=2,6,IF(RIGHT(G2113,1)="0",4,5))),TRUE)/IF(INT(G2113/10000)=11,1,IF(INT(G2113/10000)=2,3,IF(RIGHT(G2113,1)=0,6,6)))*100000)</f>
        <v>93</v>
      </c>
      <c r="I2113" s="4">
        <f>IF(G2113=114000,VLOOKUP(A2113,洗矿索引!$B$2:$H$97,3,FALSE),1)</f>
        <v>1</v>
      </c>
      <c r="J2113" s="4">
        <f t="shared" ref="J2113:J2175" si="50">I2113</f>
        <v>1</v>
      </c>
      <c r="K2113" s="6" t="s">
        <v>2041</v>
      </c>
    </row>
    <row r="2114" spans="1:11" s="4" customFormat="1">
      <c r="A2114" s="4">
        <v>116012</v>
      </c>
      <c r="B2114" s="4">
        <v>1</v>
      </c>
      <c r="C2114" s="4">
        <v>1</v>
      </c>
      <c r="D2114" s="4">
        <v>0</v>
      </c>
      <c r="E2114" s="4">
        <v>0</v>
      </c>
      <c r="F2114" s="4">
        <v>1</v>
      </c>
      <c r="G2114" s="4">
        <v>21002</v>
      </c>
      <c r="H2114" s="4">
        <f>INT(VLOOKUP(A2114,洗矿索引!$B$2:$H$97,IF(INT(G2114/10000)=11,7,IF(INT(G2114/10000)=2,6,IF(RIGHT(G2114,1)="0",4,5))),TRUE)/IF(INT(G2114/10000)=11,1,IF(INT(G2114/10000)=2,3,IF(RIGHT(G2114,1)=0,6,6)))*100000)</f>
        <v>93</v>
      </c>
      <c r="I2114" s="4">
        <f>IF(G2114=114000,VLOOKUP(A2114,洗矿索引!$B$2:$H$97,3,FALSE),1)</f>
        <v>1</v>
      </c>
      <c r="J2114" s="4">
        <f t="shared" si="50"/>
        <v>1</v>
      </c>
      <c r="K2114" s="6" t="s">
        <v>2042</v>
      </c>
    </row>
    <row r="2115" spans="1:11" s="4" customFormat="1">
      <c r="A2115" s="4">
        <v>116012</v>
      </c>
      <c r="B2115" s="4">
        <v>1</v>
      </c>
      <c r="C2115" s="4">
        <v>1</v>
      </c>
      <c r="D2115" s="4">
        <v>0</v>
      </c>
      <c r="E2115" s="4">
        <v>0</v>
      </c>
      <c r="F2115" s="4">
        <v>1</v>
      </c>
      <c r="G2115" s="4">
        <v>21003</v>
      </c>
      <c r="H2115" s="4">
        <f>INT(VLOOKUP(A2115,洗矿索引!$B$2:$H$97,IF(INT(G2115/10000)=11,7,IF(INT(G2115/10000)=2,6,IF(RIGHT(G2115,1)="0",4,5))),TRUE)/IF(INT(G2115/10000)=11,1,IF(INT(G2115/10000)=2,3,IF(RIGHT(G2115,1)=0,6,6)))*100000)</f>
        <v>93</v>
      </c>
      <c r="I2115" s="4">
        <f>IF(G2115=114000,VLOOKUP(A2115,洗矿索引!$B$2:$H$97,3,FALSE),1)</f>
        <v>1</v>
      </c>
      <c r="J2115" s="4">
        <f t="shared" si="50"/>
        <v>1</v>
      </c>
      <c r="K2115" s="6" t="s">
        <v>2043</v>
      </c>
    </row>
    <row r="2116" spans="1:11" s="4" customFormat="1">
      <c r="A2116" s="4">
        <v>116013</v>
      </c>
      <c r="B2116" s="4">
        <v>1</v>
      </c>
      <c r="C2116" s="4">
        <v>1</v>
      </c>
      <c r="D2116" s="4">
        <v>0</v>
      </c>
      <c r="E2116" s="4">
        <v>0</v>
      </c>
      <c r="F2116" s="4">
        <v>1</v>
      </c>
      <c r="G2116" s="4">
        <v>114000</v>
      </c>
      <c r="H2116" s="4">
        <f>INT(VLOOKUP(A2116,洗矿索引!$B$2:$H$97,IF(INT(G2116/10000)=11,7,IF(INT(G2116/10000)=2,6,IF(RIGHT(G2116,1)="0",4,5))),TRUE)/IF(INT(G2116/10000)=11,1,IF(INT(G2116/10000)=2,3,IF(RIGHT(G2116,1)=0,6,6)))*100000)</f>
        <v>99700</v>
      </c>
      <c r="I2116" s="4">
        <f>IF(G2116=114000,VLOOKUP(A2116,洗矿索引!$B$2:$H$97,3,FALSE),1)</f>
        <v>2</v>
      </c>
      <c r="J2116" s="4">
        <f t="shared" si="50"/>
        <v>2</v>
      </c>
      <c r="K2116" s="6" t="s">
        <v>2044</v>
      </c>
    </row>
    <row r="2117" spans="1:11" s="4" customFormat="1">
      <c r="A2117" s="4">
        <v>116013</v>
      </c>
      <c r="B2117" s="4">
        <v>1</v>
      </c>
      <c r="C2117" s="4">
        <v>1</v>
      </c>
      <c r="D2117" s="4">
        <v>0</v>
      </c>
      <c r="E2117" s="4">
        <v>0</v>
      </c>
      <c r="F2117" s="4">
        <v>1</v>
      </c>
      <c r="G2117" s="4">
        <v>21001</v>
      </c>
      <c r="H2117" s="4">
        <f>INT(VLOOKUP(A2117,洗矿索引!$B$2:$H$97,IF(INT(G2117/10000)=11,7,IF(INT(G2117/10000)=2,6,IF(RIGHT(G2117,1)="0",4,5))),TRUE)/IF(INT(G2117/10000)=11,1,IF(INT(G2117/10000)=2,3,IF(RIGHT(G2117,1)=0,6,6)))*100000)</f>
        <v>100</v>
      </c>
      <c r="I2117" s="4">
        <f>IF(G2117=114000,VLOOKUP(A2117,洗矿索引!$B$2:$H$97,3,FALSE),1)</f>
        <v>1</v>
      </c>
      <c r="J2117" s="4">
        <f t="shared" si="50"/>
        <v>1</v>
      </c>
      <c r="K2117" s="6" t="s">
        <v>2045</v>
      </c>
    </row>
    <row r="2118" spans="1:11" s="4" customFormat="1">
      <c r="A2118" s="4">
        <v>116013</v>
      </c>
      <c r="B2118" s="4">
        <v>1</v>
      </c>
      <c r="C2118" s="4">
        <v>1</v>
      </c>
      <c r="D2118" s="4">
        <v>0</v>
      </c>
      <c r="E2118" s="4">
        <v>0</v>
      </c>
      <c r="F2118" s="4">
        <v>1</v>
      </c>
      <c r="G2118" s="4">
        <v>21002</v>
      </c>
      <c r="H2118" s="4">
        <f>INT(VLOOKUP(A2118,洗矿索引!$B$2:$H$97,IF(INT(G2118/10000)=11,7,IF(INT(G2118/10000)=2,6,IF(RIGHT(G2118,1)="0",4,5))),TRUE)/IF(INT(G2118/10000)=11,1,IF(INT(G2118/10000)=2,3,IF(RIGHT(G2118,1)=0,6,6)))*100000)</f>
        <v>100</v>
      </c>
      <c r="I2118" s="4">
        <f>IF(G2118=114000,VLOOKUP(A2118,洗矿索引!$B$2:$H$97,3,FALSE),1)</f>
        <v>1</v>
      </c>
      <c r="J2118" s="4">
        <f t="shared" si="50"/>
        <v>1</v>
      </c>
      <c r="K2118" s="6" t="s">
        <v>2046</v>
      </c>
    </row>
    <row r="2119" spans="1:11" s="4" customFormat="1">
      <c r="A2119" s="4">
        <v>116013</v>
      </c>
      <c r="B2119" s="4">
        <v>1</v>
      </c>
      <c r="C2119" s="4">
        <v>1</v>
      </c>
      <c r="D2119" s="4">
        <v>0</v>
      </c>
      <c r="E2119" s="4">
        <v>0</v>
      </c>
      <c r="F2119" s="4">
        <v>1</v>
      </c>
      <c r="G2119" s="4">
        <v>21003</v>
      </c>
      <c r="H2119" s="4">
        <f>INT(VLOOKUP(A2119,洗矿索引!$B$2:$H$97,IF(INT(G2119/10000)=11,7,IF(INT(G2119/10000)=2,6,IF(RIGHT(G2119,1)="0",4,5))),TRUE)/IF(INT(G2119/10000)=11,1,IF(INT(G2119/10000)=2,3,IF(RIGHT(G2119,1)=0,6,6)))*100000)</f>
        <v>100</v>
      </c>
      <c r="I2119" s="4">
        <f>IF(G2119=114000,VLOOKUP(A2119,洗矿索引!$B$2:$H$97,3,FALSE),1)</f>
        <v>1</v>
      </c>
      <c r="J2119" s="4">
        <f t="shared" si="50"/>
        <v>1</v>
      </c>
      <c r="K2119" s="6" t="s">
        <v>2047</v>
      </c>
    </row>
    <row r="2120" spans="1:11" s="4" customFormat="1">
      <c r="A2120" s="4">
        <v>116014</v>
      </c>
      <c r="B2120" s="4">
        <v>1</v>
      </c>
      <c r="C2120" s="4">
        <v>1</v>
      </c>
      <c r="D2120" s="4">
        <v>0</v>
      </c>
      <c r="E2120" s="4">
        <v>0</v>
      </c>
      <c r="F2120" s="4">
        <v>1</v>
      </c>
      <c r="G2120" s="4">
        <v>114000</v>
      </c>
      <c r="H2120" s="4">
        <f>INT(VLOOKUP(A2120,洗矿索引!$B$2:$H$97,IF(INT(G2120/10000)=11,7,IF(INT(G2120/10000)=2,6,IF(RIGHT(G2120,1)="0",4,5))),TRUE)/IF(INT(G2120/10000)=11,1,IF(INT(G2120/10000)=2,3,IF(RIGHT(G2120,1)=0,6,6)))*100000)</f>
        <v>99680</v>
      </c>
      <c r="I2120" s="4">
        <f>IF(G2120=114000,VLOOKUP(A2120,洗矿索引!$B$2:$H$97,3,FALSE),1)</f>
        <v>2</v>
      </c>
      <c r="J2120" s="4">
        <f t="shared" si="50"/>
        <v>2</v>
      </c>
      <c r="K2120" s="6" t="s">
        <v>2048</v>
      </c>
    </row>
    <row r="2121" spans="1:11" s="4" customFormat="1">
      <c r="A2121" s="4">
        <v>116014</v>
      </c>
      <c r="B2121" s="4">
        <v>1</v>
      </c>
      <c r="C2121" s="4">
        <v>1</v>
      </c>
      <c r="D2121" s="4">
        <v>0</v>
      </c>
      <c r="E2121" s="4">
        <v>0</v>
      </c>
      <c r="F2121" s="4">
        <v>1</v>
      </c>
      <c r="G2121" s="4">
        <v>21001</v>
      </c>
      <c r="H2121" s="4">
        <f>INT(VLOOKUP(A2121,洗矿索引!$B$2:$H$97,IF(INT(G2121/10000)=11,7,IF(INT(G2121/10000)=2,6,IF(RIGHT(G2121,1)="0",4,5))),TRUE)/IF(INT(G2121/10000)=11,1,IF(INT(G2121/10000)=2,3,IF(RIGHT(G2121,1)=0,6,6)))*100000)</f>
        <v>106</v>
      </c>
      <c r="I2121" s="4">
        <f>IF(G2121=114000,VLOOKUP(A2121,洗矿索引!$B$2:$H$97,3,FALSE),1)</f>
        <v>1</v>
      </c>
      <c r="J2121" s="4">
        <f t="shared" si="50"/>
        <v>1</v>
      </c>
      <c r="K2121" s="6" t="s">
        <v>2049</v>
      </c>
    </row>
    <row r="2122" spans="1:11" s="4" customFormat="1">
      <c r="A2122" s="4">
        <v>116014</v>
      </c>
      <c r="B2122" s="4">
        <v>1</v>
      </c>
      <c r="C2122" s="4">
        <v>1</v>
      </c>
      <c r="D2122" s="4">
        <v>0</v>
      </c>
      <c r="E2122" s="4">
        <v>0</v>
      </c>
      <c r="F2122" s="4">
        <v>1</v>
      </c>
      <c r="G2122" s="4">
        <v>21002</v>
      </c>
      <c r="H2122" s="4">
        <f>INT(VLOOKUP(A2122,洗矿索引!$B$2:$H$97,IF(INT(G2122/10000)=11,7,IF(INT(G2122/10000)=2,6,IF(RIGHT(G2122,1)="0",4,5))),TRUE)/IF(INT(G2122/10000)=11,1,IF(INT(G2122/10000)=2,3,IF(RIGHT(G2122,1)=0,6,6)))*100000)</f>
        <v>106</v>
      </c>
      <c r="I2122" s="4">
        <f>IF(G2122=114000,VLOOKUP(A2122,洗矿索引!$B$2:$H$97,3,FALSE),1)</f>
        <v>1</v>
      </c>
      <c r="J2122" s="4">
        <f t="shared" si="50"/>
        <v>1</v>
      </c>
      <c r="K2122" s="6" t="s">
        <v>2050</v>
      </c>
    </row>
    <row r="2123" spans="1:11" s="4" customFormat="1">
      <c r="A2123" s="4">
        <v>116014</v>
      </c>
      <c r="B2123" s="4">
        <v>1</v>
      </c>
      <c r="C2123" s="4">
        <v>1</v>
      </c>
      <c r="D2123" s="4">
        <v>0</v>
      </c>
      <c r="E2123" s="4">
        <v>0</v>
      </c>
      <c r="F2123" s="4">
        <v>1</v>
      </c>
      <c r="G2123" s="4">
        <v>21003</v>
      </c>
      <c r="H2123" s="4">
        <f>INT(VLOOKUP(A2123,洗矿索引!$B$2:$H$97,IF(INT(G2123/10000)=11,7,IF(INT(G2123/10000)=2,6,IF(RIGHT(G2123,1)="0",4,5))),TRUE)/IF(INT(G2123/10000)=11,1,IF(INT(G2123/10000)=2,3,IF(RIGHT(G2123,1)=0,6,6)))*100000)</f>
        <v>106</v>
      </c>
      <c r="I2123" s="4">
        <f>IF(G2123=114000,VLOOKUP(A2123,洗矿索引!$B$2:$H$97,3,FALSE),1)</f>
        <v>1</v>
      </c>
      <c r="J2123" s="4">
        <f t="shared" si="50"/>
        <v>1</v>
      </c>
      <c r="K2123" s="6" t="s">
        <v>2051</v>
      </c>
    </row>
    <row r="2124" spans="1:11" s="4" customFormat="1">
      <c r="A2124" s="4">
        <v>116015</v>
      </c>
      <c r="B2124" s="4">
        <v>1</v>
      </c>
      <c r="C2124" s="4">
        <v>1</v>
      </c>
      <c r="D2124" s="4">
        <v>0</v>
      </c>
      <c r="E2124" s="4">
        <v>0</v>
      </c>
      <c r="F2124" s="4">
        <v>1</v>
      </c>
      <c r="G2124" s="4">
        <v>114000</v>
      </c>
      <c r="H2124" s="4">
        <f>INT(VLOOKUP(A2124,洗矿索引!$B$2:$H$97,IF(INT(G2124/10000)=11,7,IF(INT(G2124/10000)=2,6,IF(RIGHT(G2124,1)="0",4,5))),TRUE)/IF(INT(G2124/10000)=11,1,IF(INT(G2124/10000)=2,3,IF(RIGHT(G2124,1)=0,6,6)))*100000)</f>
        <v>99660</v>
      </c>
      <c r="I2124" s="4">
        <f>IF(G2124=114000,VLOOKUP(A2124,洗矿索引!$B$2:$H$97,3,FALSE),1)</f>
        <v>2</v>
      </c>
      <c r="J2124" s="4">
        <f t="shared" si="50"/>
        <v>2</v>
      </c>
      <c r="K2124" s="6" t="s">
        <v>2052</v>
      </c>
    </row>
    <row r="2125" spans="1:11" s="4" customFormat="1">
      <c r="A2125" s="4">
        <v>116015</v>
      </c>
      <c r="B2125" s="4">
        <v>1</v>
      </c>
      <c r="C2125" s="4">
        <v>1</v>
      </c>
      <c r="D2125" s="4">
        <v>0</v>
      </c>
      <c r="E2125" s="4">
        <v>0</v>
      </c>
      <c r="F2125" s="4">
        <v>1</v>
      </c>
      <c r="G2125" s="4">
        <v>21001</v>
      </c>
      <c r="H2125" s="4">
        <f>INT(VLOOKUP(A2125,洗矿索引!$B$2:$H$97,IF(INT(G2125/10000)=11,7,IF(INT(G2125/10000)=2,6,IF(RIGHT(G2125,1)="0",4,5))),TRUE)/IF(INT(G2125/10000)=11,1,IF(INT(G2125/10000)=2,3,IF(RIGHT(G2125,1)=0,6,6)))*100000)</f>
        <v>113</v>
      </c>
      <c r="I2125" s="4">
        <f>IF(G2125=114000,VLOOKUP(A2125,洗矿索引!$B$2:$H$97,3,FALSE),1)</f>
        <v>1</v>
      </c>
      <c r="J2125" s="4">
        <f t="shared" si="50"/>
        <v>1</v>
      </c>
      <c r="K2125" s="6" t="s">
        <v>2053</v>
      </c>
    </row>
    <row r="2126" spans="1:11" s="4" customFormat="1">
      <c r="A2126" s="4">
        <v>116015</v>
      </c>
      <c r="B2126" s="4">
        <v>1</v>
      </c>
      <c r="C2126" s="4">
        <v>1</v>
      </c>
      <c r="D2126" s="4">
        <v>0</v>
      </c>
      <c r="E2126" s="4">
        <v>0</v>
      </c>
      <c r="F2126" s="4">
        <v>1</v>
      </c>
      <c r="G2126" s="4">
        <v>21002</v>
      </c>
      <c r="H2126" s="4">
        <f>INT(VLOOKUP(A2126,洗矿索引!$B$2:$H$97,IF(INT(G2126/10000)=11,7,IF(INT(G2126/10000)=2,6,IF(RIGHT(G2126,1)="0",4,5))),TRUE)/IF(INT(G2126/10000)=11,1,IF(INT(G2126/10000)=2,3,IF(RIGHT(G2126,1)=0,6,6)))*100000)</f>
        <v>113</v>
      </c>
      <c r="I2126" s="4">
        <f>IF(G2126=114000,VLOOKUP(A2126,洗矿索引!$B$2:$H$97,3,FALSE),1)</f>
        <v>1</v>
      </c>
      <c r="J2126" s="4">
        <f t="shared" si="50"/>
        <v>1</v>
      </c>
      <c r="K2126" s="6" t="s">
        <v>2054</v>
      </c>
    </row>
    <row r="2127" spans="1:11" s="4" customFormat="1">
      <c r="A2127" s="4">
        <v>116015</v>
      </c>
      <c r="B2127" s="4">
        <v>1</v>
      </c>
      <c r="C2127" s="4">
        <v>1</v>
      </c>
      <c r="D2127" s="4">
        <v>0</v>
      </c>
      <c r="E2127" s="4">
        <v>0</v>
      </c>
      <c r="F2127" s="4">
        <v>1</v>
      </c>
      <c r="G2127" s="4">
        <v>21003</v>
      </c>
      <c r="H2127" s="4">
        <f>INT(VLOOKUP(A2127,洗矿索引!$B$2:$H$97,IF(INT(G2127/10000)=11,7,IF(INT(G2127/10000)=2,6,IF(RIGHT(G2127,1)="0",4,5))),TRUE)/IF(INT(G2127/10000)=11,1,IF(INT(G2127/10000)=2,3,IF(RIGHT(G2127,1)=0,6,6)))*100000)</f>
        <v>113</v>
      </c>
      <c r="I2127" s="4">
        <f>IF(G2127=114000,VLOOKUP(A2127,洗矿索引!$B$2:$H$97,3,FALSE),1)</f>
        <v>1</v>
      </c>
      <c r="J2127" s="4">
        <f t="shared" si="50"/>
        <v>1</v>
      </c>
      <c r="K2127" s="6" t="s">
        <v>2055</v>
      </c>
    </row>
    <row r="2128" spans="1:11" s="4" customFormat="1">
      <c r="A2128" s="4">
        <v>116016</v>
      </c>
      <c r="B2128" s="4">
        <v>1</v>
      </c>
      <c r="C2128" s="4">
        <v>1</v>
      </c>
      <c r="D2128" s="4">
        <v>0</v>
      </c>
      <c r="E2128" s="4">
        <v>0</v>
      </c>
      <c r="F2128" s="4">
        <v>1</v>
      </c>
      <c r="G2128" s="4">
        <v>114000</v>
      </c>
      <c r="H2128" s="4">
        <f>INT(VLOOKUP(A2128,洗矿索引!$B$2:$H$97,IF(INT(G2128/10000)=11,7,IF(INT(G2128/10000)=2,6,IF(RIGHT(G2128,1)="0",4,5))),TRUE)/IF(INT(G2128/10000)=11,1,IF(INT(G2128/10000)=2,3,IF(RIGHT(G2128,1)=0,6,6)))*100000)</f>
        <v>99640</v>
      </c>
      <c r="I2128" s="4">
        <f>IF(G2128=114000,VLOOKUP(A2128,洗矿索引!$B$2:$H$97,3,FALSE),1)</f>
        <v>2</v>
      </c>
      <c r="J2128" s="4">
        <f t="shared" si="50"/>
        <v>2</v>
      </c>
      <c r="K2128" s="6" t="s">
        <v>2056</v>
      </c>
    </row>
    <row r="2129" spans="1:11" s="4" customFormat="1">
      <c r="A2129" s="4">
        <v>116016</v>
      </c>
      <c r="B2129" s="4">
        <v>1</v>
      </c>
      <c r="C2129" s="4">
        <v>1</v>
      </c>
      <c r="D2129" s="4">
        <v>0</v>
      </c>
      <c r="E2129" s="4">
        <v>0</v>
      </c>
      <c r="F2129" s="4">
        <v>1</v>
      </c>
      <c r="G2129" s="4">
        <v>21001</v>
      </c>
      <c r="H2129" s="4">
        <f>INT(VLOOKUP(A2129,洗矿索引!$B$2:$H$97,IF(INT(G2129/10000)=11,7,IF(INT(G2129/10000)=2,6,IF(RIGHT(G2129,1)="0",4,5))),TRUE)/IF(INT(G2129/10000)=11,1,IF(INT(G2129/10000)=2,3,IF(RIGHT(G2129,1)=0,6,6)))*100000)</f>
        <v>120</v>
      </c>
      <c r="I2129" s="4">
        <f>IF(G2129=114000,VLOOKUP(A2129,洗矿索引!$B$2:$H$97,3,FALSE),1)</f>
        <v>1</v>
      </c>
      <c r="J2129" s="4">
        <f t="shared" si="50"/>
        <v>1</v>
      </c>
      <c r="K2129" s="6" t="s">
        <v>2057</v>
      </c>
    </row>
    <row r="2130" spans="1:11" s="4" customFormat="1">
      <c r="A2130" s="4">
        <v>116016</v>
      </c>
      <c r="B2130" s="4">
        <v>1</v>
      </c>
      <c r="C2130" s="4">
        <v>1</v>
      </c>
      <c r="D2130" s="4">
        <v>0</v>
      </c>
      <c r="E2130" s="4">
        <v>0</v>
      </c>
      <c r="F2130" s="4">
        <v>1</v>
      </c>
      <c r="G2130" s="4">
        <v>21002</v>
      </c>
      <c r="H2130" s="4">
        <f>INT(VLOOKUP(A2130,洗矿索引!$B$2:$H$97,IF(INT(G2130/10000)=11,7,IF(INT(G2130/10000)=2,6,IF(RIGHT(G2130,1)="0",4,5))),TRUE)/IF(INT(G2130/10000)=11,1,IF(INT(G2130/10000)=2,3,IF(RIGHT(G2130,1)=0,6,6)))*100000)</f>
        <v>120</v>
      </c>
      <c r="I2130" s="4">
        <f>IF(G2130=114000,VLOOKUP(A2130,洗矿索引!$B$2:$H$97,3,FALSE),1)</f>
        <v>1</v>
      </c>
      <c r="J2130" s="4">
        <f t="shared" si="50"/>
        <v>1</v>
      </c>
      <c r="K2130" s="6" t="s">
        <v>2058</v>
      </c>
    </row>
    <row r="2131" spans="1:11" s="4" customFormat="1">
      <c r="A2131" s="4">
        <v>116016</v>
      </c>
      <c r="B2131" s="4">
        <v>1</v>
      </c>
      <c r="C2131" s="4">
        <v>1</v>
      </c>
      <c r="D2131" s="4">
        <v>0</v>
      </c>
      <c r="E2131" s="4">
        <v>0</v>
      </c>
      <c r="F2131" s="4">
        <v>1</v>
      </c>
      <c r="G2131" s="4">
        <v>21003</v>
      </c>
      <c r="H2131" s="4">
        <f>INT(VLOOKUP(A2131,洗矿索引!$B$2:$H$97,IF(INT(G2131/10000)=11,7,IF(INT(G2131/10000)=2,6,IF(RIGHT(G2131,1)="0",4,5))),TRUE)/IF(INT(G2131/10000)=11,1,IF(INT(G2131/10000)=2,3,IF(RIGHT(G2131,1)=0,6,6)))*100000)</f>
        <v>120</v>
      </c>
      <c r="I2131" s="4">
        <f>IF(G2131=114000,VLOOKUP(A2131,洗矿索引!$B$2:$H$97,3,FALSE),1)</f>
        <v>1</v>
      </c>
      <c r="J2131" s="4">
        <f t="shared" si="50"/>
        <v>1</v>
      </c>
      <c r="K2131" s="6" t="s">
        <v>2059</v>
      </c>
    </row>
    <row r="2132" spans="1:11" s="4" customFormat="1">
      <c r="A2132" s="4">
        <v>116017</v>
      </c>
      <c r="B2132" s="4">
        <v>1</v>
      </c>
      <c r="C2132" s="4">
        <v>1</v>
      </c>
      <c r="D2132" s="4">
        <v>0</v>
      </c>
      <c r="E2132" s="4">
        <v>0</v>
      </c>
      <c r="F2132" s="4">
        <v>1</v>
      </c>
      <c r="G2132" s="4">
        <v>114000</v>
      </c>
      <c r="H2132" s="4">
        <f>INT(VLOOKUP(A2132,洗矿索引!$B$2:$H$97,IF(INT(G2132/10000)=11,7,IF(INT(G2132/10000)=2,6,IF(RIGHT(G2132,1)="0",4,5))),TRUE)/IF(INT(G2132/10000)=11,1,IF(INT(G2132/10000)=2,3,IF(RIGHT(G2132,1)=0,6,6)))*100000)</f>
        <v>99620</v>
      </c>
      <c r="I2132" s="4">
        <f>IF(G2132=114000,VLOOKUP(A2132,洗矿索引!$B$2:$H$97,3,FALSE),1)</f>
        <v>3</v>
      </c>
      <c r="J2132" s="4">
        <f t="shared" si="50"/>
        <v>3</v>
      </c>
      <c r="K2132" s="6" t="s">
        <v>2060</v>
      </c>
    </row>
    <row r="2133" spans="1:11" s="4" customFormat="1">
      <c r="A2133" s="4">
        <v>116017</v>
      </c>
      <c r="B2133" s="4">
        <v>1</v>
      </c>
      <c r="C2133" s="4">
        <v>1</v>
      </c>
      <c r="D2133" s="4">
        <v>0</v>
      </c>
      <c r="E2133" s="4">
        <v>0</v>
      </c>
      <c r="F2133" s="4">
        <v>1</v>
      </c>
      <c r="G2133" s="4">
        <v>21001</v>
      </c>
      <c r="H2133" s="4">
        <f>INT(VLOOKUP(A2133,洗矿索引!$B$2:$H$97,IF(INT(G2133/10000)=11,7,IF(INT(G2133/10000)=2,6,IF(RIGHT(G2133,1)="0",4,5))),TRUE)/IF(INT(G2133/10000)=11,1,IF(INT(G2133/10000)=2,3,IF(RIGHT(G2133,1)=0,6,6)))*100000)</f>
        <v>126</v>
      </c>
      <c r="I2133" s="4">
        <f>IF(G2133=114000,VLOOKUP(A2133,洗矿索引!$B$2:$H$97,3,FALSE),1)</f>
        <v>1</v>
      </c>
      <c r="J2133" s="4">
        <f t="shared" si="50"/>
        <v>1</v>
      </c>
      <c r="K2133" s="6" t="s">
        <v>2061</v>
      </c>
    </row>
    <row r="2134" spans="1:11" s="4" customFormat="1">
      <c r="A2134" s="4">
        <v>116017</v>
      </c>
      <c r="B2134" s="4">
        <v>1</v>
      </c>
      <c r="C2134" s="4">
        <v>1</v>
      </c>
      <c r="D2134" s="4">
        <v>0</v>
      </c>
      <c r="E2134" s="4">
        <v>0</v>
      </c>
      <c r="F2134" s="4">
        <v>1</v>
      </c>
      <c r="G2134" s="4">
        <v>21002</v>
      </c>
      <c r="H2134" s="4">
        <f>INT(VLOOKUP(A2134,洗矿索引!$B$2:$H$97,IF(INT(G2134/10000)=11,7,IF(INT(G2134/10000)=2,6,IF(RIGHT(G2134,1)="0",4,5))),TRUE)/IF(INT(G2134/10000)=11,1,IF(INT(G2134/10000)=2,3,IF(RIGHT(G2134,1)=0,6,6)))*100000)</f>
        <v>126</v>
      </c>
      <c r="I2134" s="4">
        <f>IF(G2134=114000,VLOOKUP(A2134,洗矿索引!$B$2:$H$97,3,FALSE),1)</f>
        <v>1</v>
      </c>
      <c r="J2134" s="4">
        <f t="shared" si="50"/>
        <v>1</v>
      </c>
      <c r="K2134" s="6" t="s">
        <v>2062</v>
      </c>
    </row>
    <row r="2135" spans="1:11" s="4" customFormat="1">
      <c r="A2135" s="4">
        <v>116017</v>
      </c>
      <c r="B2135" s="4">
        <v>1</v>
      </c>
      <c r="C2135" s="4">
        <v>1</v>
      </c>
      <c r="D2135" s="4">
        <v>0</v>
      </c>
      <c r="E2135" s="4">
        <v>0</v>
      </c>
      <c r="F2135" s="4">
        <v>1</v>
      </c>
      <c r="G2135" s="4">
        <v>21003</v>
      </c>
      <c r="H2135" s="4">
        <f>INT(VLOOKUP(A2135,洗矿索引!$B$2:$H$97,IF(INT(G2135/10000)=11,7,IF(INT(G2135/10000)=2,6,IF(RIGHT(G2135,1)="0",4,5))),TRUE)/IF(INT(G2135/10000)=11,1,IF(INT(G2135/10000)=2,3,IF(RIGHT(G2135,1)=0,6,6)))*100000)</f>
        <v>126</v>
      </c>
      <c r="I2135" s="4">
        <f>IF(G2135=114000,VLOOKUP(A2135,洗矿索引!$B$2:$H$97,3,FALSE),1)</f>
        <v>1</v>
      </c>
      <c r="J2135" s="4">
        <f t="shared" si="50"/>
        <v>1</v>
      </c>
      <c r="K2135" s="6" t="s">
        <v>2063</v>
      </c>
    </row>
    <row r="2136" spans="1:11" s="4" customFormat="1">
      <c r="A2136" s="4">
        <v>116018</v>
      </c>
      <c r="B2136" s="4">
        <v>1</v>
      </c>
      <c r="C2136" s="4">
        <v>1</v>
      </c>
      <c r="D2136" s="4">
        <v>0</v>
      </c>
      <c r="E2136" s="4">
        <v>0</v>
      </c>
      <c r="F2136" s="4">
        <v>1</v>
      </c>
      <c r="G2136" s="4">
        <v>114000</v>
      </c>
      <c r="H2136" s="4">
        <f>INT(VLOOKUP(A2136,洗矿索引!$B$2:$H$97,IF(INT(G2136/10000)=11,7,IF(INT(G2136/10000)=2,6,IF(RIGHT(G2136,1)="0",4,5))),TRUE)/IF(INT(G2136/10000)=11,1,IF(INT(G2136/10000)=2,3,IF(RIGHT(G2136,1)=0,6,6)))*100000)</f>
        <v>99600</v>
      </c>
      <c r="I2136" s="4">
        <f>IF(G2136=114000,VLOOKUP(A2136,洗矿索引!$B$2:$H$97,3,FALSE),1)</f>
        <v>3</v>
      </c>
      <c r="J2136" s="4">
        <f t="shared" si="50"/>
        <v>3</v>
      </c>
      <c r="K2136" s="6" t="s">
        <v>2064</v>
      </c>
    </row>
    <row r="2137" spans="1:11" s="4" customFormat="1">
      <c r="A2137" s="4">
        <v>116018</v>
      </c>
      <c r="B2137" s="4">
        <v>1</v>
      </c>
      <c r="C2137" s="4">
        <v>1</v>
      </c>
      <c r="D2137" s="4">
        <v>0</v>
      </c>
      <c r="E2137" s="4">
        <v>0</v>
      </c>
      <c r="F2137" s="4">
        <v>1</v>
      </c>
      <c r="G2137" s="4">
        <v>21001</v>
      </c>
      <c r="H2137" s="4">
        <f>INT(VLOOKUP(A2137,洗矿索引!$B$2:$H$97,IF(INT(G2137/10000)=11,7,IF(INT(G2137/10000)=2,6,IF(RIGHT(G2137,1)="0",4,5))),TRUE)/IF(INT(G2137/10000)=11,1,IF(INT(G2137/10000)=2,3,IF(RIGHT(G2137,1)=0,6,6)))*100000)</f>
        <v>133</v>
      </c>
      <c r="I2137" s="4">
        <f>IF(G2137=114000,VLOOKUP(A2137,洗矿索引!$B$2:$H$97,3,FALSE),1)</f>
        <v>1</v>
      </c>
      <c r="J2137" s="4">
        <f t="shared" si="50"/>
        <v>1</v>
      </c>
      <c r="K2137" s="6" t="s">
        <v>2065</v>
      </c>
    </row>
    <row r="2138" spans="1:11" s="4" customFormat="1">
      <c r="A2138" s="4">
        <v>116018</v>
      </c>
      <c r="B2138" s="4">
        <v>1</v>
      </c>
      <c r="C2138" s="4">
        <v>1</v>
      </c>
      <c r="D2138" s="4">
        <v>0</v>
      </c>
      <c r="E2138" s="4">
        <v>0</v>
      </c>
      <c r="F2138" s="4">
        <v>1</v>
      </c>
      <c r="G2138" s="4">
        <v>21002</v>
      </c>
      <c r="H2138" s="4">
        <f>INT(VLOOKUP(A2138,洗矿索引!$B$2:$H$97,IF(INT(G2138/10000)=11,7,IF(INT(G2138/10000)=2,6,IF(RIGHT(G2138,1)="0",4,5))),TRUE)/IF(INT(G2138/10000)=11,1,IF(INT(G2138/10000)=2,3,IF(RIGHT(G2138,1)=0,6,6)))*100000)</f>
        <v>133</v>
      </c>
      <c r="I2138" s="4">
        <f>IF(G2138=114000,VLOOKUP(A2138,洗矿索引!$B$2:$H$97,3,FALSE),1)</f>
        <v>1</v>
      </c>
      <c r="J2138" s="4">
        <f t="shared" si="50"/>
        <v>1</v>
      </c>
      <c r="K2138" s="6" t="s">
        <v>2066</v>
      </c>
    </row>
    <row r="2139" spans="1:11" s="4" customFormat="1">
      <c r="A2139" s="4">
        <v>116018</v>
      </c>
      <c r="B2139" s="4">
        <v>1</v>
      </c>
      <c r="C2139" s="4">
        <v>1</v>
      </c>
      <c r="D2139" s="4">
        <v>0</v>
      </c>
      <c r="E2139" s="4">
        <v>0</v>
      </c>
      <c r="F2139" s="4">
        <v>1</v>
      </c>
      <c r="G2139" s="4">
        <v>21003</v>
      </c>
      <c r="H2139" s="4">
        <f>INT(VLOOKUP(A2139,洗矿索引!$B$2:$H$97,IF(INT(G2139/10000)=11,7,IF(INT(G2139/10000)=2,6,IF(RIGHT(G2139,1)="0",4,5))),TRUE)/IF(INT(G2139/10000)=11,1,IF(INT(G2139/10000)=2,3,IF(RIGHT(G2139,1)=0,6,6)))*100000)</f>
        <v>133</v>
      </c>
      <c r="I2139" s="4">
        <f>IF(G2139=114000,VLOOKUP(A2139,洗矿索引!$B$2:$H$97,3,FALSE),1)</f>
        <v>1</v>
      </c>
      <c r="J2139" s="4">
        <f t="shared" si="50"/>
        <v>1</v>
      </c>
      <c r="K2139" s="6" t="s">
        <v>2067</v>
      </c>
    </row>
    <row r="2140" spans="1:11" s="4" customFormat="1">
      <c r="A2140" s="4">
        <v>116019</v>
      </c>
      <c r="B2140" s="4">
        <v>1</v>
      </c>
      <c r="C2140" s="4">
        <v>1</v>
      </c>
      <c r="D2140" s="4">
        <v>0</v>
      </c>
      <c r="E2140" s="4">
        <v>0</v>
      </c>
      <c r="F2140" s="4">
        <v>1</v>
      </c>
      <c r="G2140" s="4">
        <v>114000</v>
      </c>
      <c r="H2140" s="4">
        <f>INT(VLOOKUP(A2140,洗矿索引!$B$2:$H$97,IF(INT(G2140/10000)=11,7,IF(INT(G2140/10000)=2,6,IF(RIGHT(G2140,1)="0",4,5))),TRUE)/IF(INT(G2140/10000)=11,1,IF(INT(G2140/10000)=2,3,IF(RIGHT(G2140,1)=0,6,6)))*100000)</f>
        <v>99580</v>
      </c>
      <c r="I2140" s="4">
        <f>IF(G2140=114000,VLOOKUP(A2140,洗矿索引!$B$2:$H$97,3,FALSE),1)</f>
        <v>3</v>
      </c>
      <c r="J2140" s="4">
        <f t="shared" si="50"/>
        <v>3</v>
      </c>
      <c r="K2140" s="6" t="s">
        <v>2068</v>
      </c>
    </row>
    <row r="2141" spans="1:11" s="4" customFormat="1">
      <c r="A2141" s="4">
        <v>116019</v>
      </c>
      <c r="B2141" s="4">
        <v>1</v>
      </c>
      <c r="C2141" s="4">
        <v>1</v>
      </c>
      <c r="D2141" s="4">
        <v>0</v>
      </c>
      <c r="E2141" s="4">
        <v>0</v>
      </c>
      <c r="F2141" s="4">
        <v>1</v>
      </c>
      <c r="G2141" s="4">
        <v>21001</v>
      </c>
      <c r="H2141" s="4">
        <f>INT(VLOOKUP(A2141,洗矿索引!$B$2:$H$97,IF(INT(G2141/10000)=11,7,IF(INT(G2141/10000)=2,6,IF(RIGHT(G2141,1)="0",4,5))),TRUE)/IF(INT(G2141/10000)=11,1,IF(INT(G2141/10000)=2,3,IF(RIGHT(G2141,1)=0,6,6)))*100000)</f>
        <v>140</v>
      </c>
      <c r="I2141" s="4">
        <f>IF(G2141=114000,VLOOKUP(A2141,洗矿索引!$B$2:$H$97,3,FALSE),1)</f>
        <v>1</v>
      </c>
      <c r="J2141" s="4">
        <f t="shared" si="50"/>
        <v>1</v>
      </c>
      <c r="K2141" s="6" t="s">
        <v>2069</v>
      </c>
    </row>
    <row r="2142" spans="1:11" s="4" customFormat="1">
      <c r="A2142" s="4">
        <v>116019</v>
      </c>
      <c r="B2142" s="4">
        <v>1</v>
      </c>
      <c r="C2142" s="4">
        <v>1</v>
      </c>
      <c r="D2142" s="4">
        <v>0</v>
      </c>
      <c r="E2142" s="4">
        <v>0</v>
      </c>
      <c r="F2142" s="4">
        <v>1</v>
      </c>
      <c r="G2142" s="4">
        <v>21002</v>
      </c>
      <c r="H2142" s="4">
        <f>INT(VLOOKUP(A2142,洗矿索引!$B$2:$H$97,IF(INT(G2142/10000)=11,7,IF(INT(G2142/10000)=2,6,IF(RIGHT(G2142,1)="0",4,5))),TRUE)/IF(INT(G2142/10000)=11,1,IF(INT(G2142/10000)=2,3,IF(RIGHT(G2142,1)=0,6,6)))*100000)</f>
        <v>140</v>
      </c>
      <c r="I2142" s="4">
        <f>IF(G2142=114000,VLOOKUP(A2142,洗矿索引!$B$2:$H$97,3,FALSE),1)</f>
        <v>1</v>
      </c>
      <c r="J2142" s="4">
        <f t="shared" si="50"/>
        <v>1</v>
      </c>
      <c r="K2142" s="6" t="s">
        <v>2070</v>
      </c>
    </row>
    <row r="2143" spans="1:11" s="4" customFormat="1">
      <c r="A2143" s="4">
        <v>116019</v>
      </c>
      <c r="B2143" s="4">
        <v>1</v>
      </c>
      <c r="C2143" s="4">
        <v>1</v>
      </c>
      <c r="D2143" s="4">
        <v>0</v>
      </c>
      <c r="E2143" s="4">
        <v>0</v>
      </c>
      <c r="F2143" s="4">
        <v>1</v>
      </c>
      <c r="G2143" s="4">
        <v>21003</v>
      </c>
      <c r="H2143" s="4">
        <f>INT(VLOOKUP(A2143,洗矿索引!$B$2:$H$97,IF(INT(G2143/10000)=11,7,IF(INT(G2143/10000)=2,6,IF(RIGHT(G2143,1)="0",4,5))),TRUE)/IF(INT(G2143/10000)=11,1,IF(INT(G2143/10000)=2,3,IF(RIGHT(G2143,1)=0,6,6)))*100000)</f>
        <v>140</v>
      </c>
      <c r="I2143" s="4">
        <f>IF(G2143=114000,VLOOKUP(A2143,洗矿索引!$B$2:$H$97,3,FALSE),1)</f>
        <v>1</v>
      </c>
      <c r="J2143" s="4">
        <f t="shared" si="50"/>
        <v>1</v>
      </c>
      <c r="K2143" s="6" t="s">
        <v>2071</v>
      </c>
    </row>
    <row r="2144" spans="1:11" s="4" customFormat="1">
      <c r="A2144" s="4">
        <v>116020</v>
      </c>
      <c r="B2144" s="4">
        <v>1</v>
      </c>
      <c r="C2144" s="4">
        <v>1</v>
      </c>
      <c r="D2144" s="4">
        <v>0</v>
      </c>
      <c r="E2144" s="4">
        <v>0</v>
      </c>
      <c r="F2144" s="4">
        <v>1</v>
      </c>
      <c r="G2144" s="4">
        <v>114000</v>
      </c>
      <c r="H2144" s="4">
        <f>INT(VLOOKUP(A2144,洗矿索引!$B$2:$H$97,IF(INT(G2144/10000)=11,7,IF(INT(G2144/10000)=2,6,IF(RIGHT(G2144,1)="0",4,5))),TRUE)/IF(INT(G2144/10000)=11,1,IF(INT(G2144/10000)=2,3,IF(RIGHT(G2144,1)=0,6,6)))*100000)</f>
        <v>99560</v>
      </c>
      <c r="I2144" s="4">
        <f>IF(G2144=114000,VLOOKUP(A2144,洗矿索引!$B$2:$H$97,3,FALSE),1)</f>
        <v>3</v>
      </c>
      <c r="J2144" s="4">
        <f t="shared" si="50"/>
        <v>3</v>
      </c>
      <c r="K2144" s="6" t="s">
        <v>2072</v>
      </c>
    </row>
    <row r="2145" spans="1:11" s="4" customFormat="1">
      <c r="A2145" s="4">
        <v>116020</v>
      </c>
      <c r="B2145" s="4">
        <v>1</v>
      </c>
      <c r="C2145" s="4">
        <v>1</v>
      </c>
      <c r="D2145" s="4">
        <v>0</v>
      </c>
      <c r="E2145" s="4">
        <v>0</v>
      </c>
      <c r="F2145" s="4">
        <v>1</v>
      </c>
      <c r="G2145" s="4">
        <v>21001</v>
      </c>
      <c r="H2145" s="4">
        <f>INT(VLOOKUP(A2145,洗矿索引!$B$2:$H$97,IF(INT(G2145/10000)=11,7,IF(INT(G2145/10000)=2,6,IF(RIGHT(G2145,1)="0",4,5))),TRUE)/IF(INT(G2145/10000)=11,1,IF(INT(G2145/10000)=2,3,IF(RIGHT(G2145,1)=0,6,6)))*100000)</f>
        <v>146</v>
      </c>
      <c r="I2145" s="4">
        <f>IF(G2145=114000,VLOOKUP(A2145,洗矿索引!$B$2:$H$97,3,FALSE),1)</f>
        <v>1</v>
      </c>
      <c r="J2145" s="4">
        <f t="shared" si="50"/>
        <v>1</v>
      </c>
      <c r="K2145" s="6" t="s">
        <v>2073</v>
      </c>
    </row>
    <row r="2146" spans="1:11" s="4" customFormat="1">
      <c r="A2146" s="4">
        <v>116020</v>
      </c>
      <c r="B2146" s="4">
        <v>1</v>
      </c>
      <c r="C2146" s="4">
        <v>1</v>
      </c>
      <c r="D2146" s="4">
        <v>0</v>
      </c>
      <c r="E2146" s="4">
        <v>0</v>
      </c>
      <c r="F2146" s="4">
        <v>1</v>
      </c>
      <c r="G2146" s="4">
        <v>21002</v>
      </c>
      <c r="H2146" s="4">
        <f>INT(VLOOKUP(A2146,洗矿索引!$B$2:$H$97,IF(INT(G2146/10000)=11,7,IF(INT(G2146/10000)=2,6,IF(RIGHT(G2146,1)="0",4,5))),TRUE)/IF(INT(G2146/10000)=11,1,IF(INT(G2146/10000)=2,3,IF(RIGHT(G2146,1)=0,6,6)))*100000)</f>
        <v>146</v>
      </c>
      <c r="I2146" s="4">
        <f>IF(G2146=114000,VLOOKUP(A2146,洗矿索引!$B$2:$H$97,3,FALSE),1)</f>
        <v>1</v>
      </c>
      <c r="J2146" s="4">
        <f t="shared" si="50"/>
        <v>1</v>
      </c>
      <c r="K2146" s="6" t="s">
        <v>2074</v>
      </c>
    </row>
    <row r="2147" spans="1:11" s="4" customFormat="1">
      <c r="A2147" s="4">
        <v>116020</v>
      </c>
      <c r="B2147" s="4">
        <v>1</v>
      </c>
      <c r="C2147" s="4">
        <v>1</v>
      </c>
      <c r="D2147" s="4">
        <v>0</v>
      </c>
      <c r="E2147" s="4">
        <v>0</v>
      </c>
      <c r="F2147" s="4">
        <v>1</v>
      </c>
      <c r="G2147" s="4">
        <v>21003</v>
      </c>
      <c r="H2147" s="4">
        <f>INT(VLOOKUP(A2147,洗矿索引!$B$2:$H$97,IF(INT(G2147/10000)=11,7,IF(INT(G2147/10000)=2,6,IF(RIGHT(G2147,1)="0",4,5))),TRUE)/IF(INT(G2147/10000)=11,1,IF(INT(G2147/10000)=2,3,IF(RIGHT(G2147,1)=0,6,6)))*100000)</f>
        <v>146</v>
      </c>
      <c r="I2147" s="4">
        <f>IF(G2147=114000,VLOOKUP(A2147,洗矿索引!$B$2:$H$97,3,FALSE),1)</f>
        <v>1</v>
      </c>
      <c r="J2147" s="4">
        <f t="shared" si="50"/>
        <v>1</v>
      </c>
      <c r="K2147" s="6" t="s">
        <v>2075</v>
      </c>
    </row>
    <row r="2148" spans="1:11" s="4" customFormat="1">
      <c r="A2148" s="4">
        <v>116021</v>
      </c>
      <c r="B2148" s="4">
        <v>1</v>
      </c>
      <c r="C2148" s="4">
        <v>1</v>
      </c>
      <c r="D2148" s="4">
        <v>0</v>
      </c>
      <c r="E2148" s="4">
        <v>0</v>
      </c>
      <c r="F2148" s="4">
        <v>1</v>
      </c>
      <c r="G2148" s="4">
        <v>114000</v>
      </c>
      <c r="H2148" s="4">
        <f>INT(VLOOKUP(A2148,洗矿索引!$B$2:$H$97,IF(INT(G2148/10000)=11,7,IF(INT(G2148/10000)=2,6,IF(RIGHT(G2148,1)="0",4,5))),TRUE)/IF(INT(G2148/10000)=11,1,IF(INT(G2148/10000)=2,3,IF(RIGHT(G2148,1)=0,6,6)))*100000)</f>
        <v>99540</v>
      </c>
      <c r="I2148" s="4">
        <f>IF(G2148=114000,VLOOKUP(A2148,洗矿索引!$B$2:$H$97,3,FALSE),1)</f>
        <v>3</v>
      </c>
      <c r="J2148" s="4">
        <f t="shared" si="50"/>
        <v>3</v>
      </c>
      <c r="K2148" s="6" t="s">
        <v>2076</v>
      </c>
    </row>
    <row r="2149" spans="1:11" s="4" customFormat="1">
      <c r="A2149" s="4">
        <v>116021</v>
      </c>
      <c r="B2149" s="4">
        <v>1</v>
      </c>
      <c r="C2149" s="4">
        <v>1</v>
      </c>
      <c r="D2149" s="4">
        <v>0</v>
      </c>
      <c r="E2149" s="4">
        <v>0</v>
      </c>
      <c r="F2149" s="4">
        <v>1</v>
      </c>
      <c r="G2149" s="4">
        <v>21001</v>
      </c>
      <c r="H2149" s="4">
        <f>INT(VLOOKUP(A2149,洗矿索引!$B$2:$H$97,IF(INT(G2149/10000)=11,7,IF(INT(G2149/10000)=2,6,IF(RIGHT(G2149,1)="0",4,5))),TRUE)/IF(INT(G2149/10000)=11,1,IF(INT(G2149/10000)=2,3,IF(RIGHT(G2149,1)=0,6,6)))*100000)</f>
        <v>153</v>
      </c>
      <c r="I2149" s="4">
        <f>IF(G2149=114000,VLOOKUP(A2149,洗矿索引!$B$2:$H$97,3,FALSE),1)</f>
        <v>1</v>
      </c>
      <c r="J2149" s="4">
        <f t="shared" si="50"/>
        <v>1</v>
      </c>
      <c r="K2149" s="6" t="s">
        <v>2077</v>
      </c>
    </row>
    <row r="2150" spans="1:11" s="4" customFormat="1">
      <c r="A2150" s="4">
        <v>116021</v>
      </c>
      <c r="B2150" s="4">
        <v>1</v>
      </c>
      <c r="C2150" s="4">
        <v>1</v>
      </c>
      <c r="D2150" s="4">
        <v>0</v>
      </c>
      <c r="E2150" s="4">
        <v>0</v>
      </c>
      <c r="F2150" s="4">
        <v>1</v>
      </c>
      <c r="G2150" s="4">
        <v>21002</v>
      </c>
      <c r="H2150" s="4">
        <f>INT(VLOOKUP(A2150,洗矿索引!$B$2:$H$97,IF(INT(G2150/10000)=11,7,IF(INT(G2150/10000)=2,6,IF(RIGHT(G2150,1)="0",4,5))),TRUE)/IF(INT(G2150/10000)=11,1,IF(INT(G2150/10000)=2,3,IF(RIGHT(G2150,1)=0,6,6)))*100000)</f>
        <v>153</v>
      </c>
      <c r="I2150" s="4">
        <f>IF(G2150=114000,VLOOKUP(A2150,洗矿索引!$B$2:$H$97,3,FALSE),1)</f>
        <v>1</v>
      </c>
      <c r="J2150" s="4">
        <f t="shared" si="50"/>
        <v>1</v>
      </c>
      <c r="K2150" s="6" t="s">
        <v>2078</v>
      </c>
    </row>
    <row r="2151" spans="1:11" s="4" customFormat="1">
      <c r="A2151" s="4">
        <v>116021</v>
      </c>
      <c r="B2151" s="4">
        <v>1</v>
      </c>
      <c r="C2151" s="4">
        <v>1</v>
      </c>
      <c r="D2151" s="4">
        <v>0</v>
      </c>
      <c r="E2151" s="4">
        <v>0</v>
      </c>
      <c r="F2151" s="4">
        <v>1</v>
      </c>
      <c r="G2151" s="4">
        <v>21003</v>
      </c>
      <c r="H2151" s="4">
        <f>INT(VLOOKUP(A2151,洗矿索引!$B$2:$H$97,IF(INT(G2151/10000)=11,7,IF(INT(G2151/10000)=2,6,IF(RIGHT(G2151,1)="0",4,5))),TRUE)/IF(INT(G2151/10000)=11,1,IF(INT(G2151/10000)=2,3,IF(RIGHT(G2151,1)=0,6,6)))*100000)</f>
        <v>153</v>
      </c>
      <c r="I2151" s="4">
        <f>IF(G2151=114000,VLOOKUP(A2151,洗矿索引!$B$2:$H$97,3,FALSE),1)</f>
        <v>1</v>
      </c>
      <c r="J2151" s="4">
        <f t="shared" si="50"/>
        <v>1</v>
      </c>
      <c r="K2151" s="6" t="s">
        <v>2079</v>
      </c>
    </row>
    <row r="2152" spans="1:11" s="4" customFormat="1">
      <c r="A2152" s="4">
        <v>116022</v>
      </c>
      <c r="B2152" s="4">
        <v>1</v>
      </c>
      <c r="C2152" s="4">
        <v>1</v>
      </c>
      <c r="D2152" s="4">
        <v>0</v>
      </c>
      <c r="E2152" s="4">
        <v>0</v>
      </c>
      <c r="F2152" s="4">
        <v>1</v>
      </c>
      <c r="G2152" s="4">
        <v>114000</v>
      </c>
      <c r="H2152" s="4">
        <f>INT(VLOOKUP(A2152,洗矿索引!$B$2:$H$97,IF(INT(G2152/10000)=11,7,IF(INT(G2152/10000)=2,6,IF(RIGHT(G2152,1)="0",4,5))),TRUE)/IF(INT(G2152/10000)=11,1,IF(INT(G2152/10000)=2,3,IF(RIGHT(G2152,1)=0,6,6)))*100000)</f>
        <v>99520</v>
      </c>
      <c r="I2152" s="4">
        <f>IF(G2152=114000,VLOOKUP(A2152,洗矿索引!$B$2:$H$97,3,FALSE),1)</f>
        <v>3</v>
      </c>
      <c r="J2152" s="4">
        <f t="shared" si="50"/>
        <v>3</v>
      </c>
      <c r="K2152" s="6" t="s">
        <v>2080</v>
      </c>
    </row>
    <row r="2153" spans="1:11" s="4" customFormat="1">
      <c r="A2153" s="4">
        <v>116022</v>
      </c>
      <c r="B2153" s="4">
        <v>1</v>
      </c>
      <c r="C2153" s="4">
        <v>1</v>
      </c>
      <c r="D2153" s="4">
        <v>0</v>
      </c>
      <c r="E2153" s="4">
        <v>0</v>
      </c>
      <c r="F2153" s="4">
        <v>1</v>
      </c>
      <c r="G2153" s="4">
        <v>21001</v>
      </c>
      <c r="H2153" s="4">
        <f>INT(VLOOKUP(A2153,洗矿索引!$B$2:$H$97,IF(INT(G2153/10000)=11,7,IF(INT(G2153/10000)=2,6,IF(RIGHT(G2153,1)="0",4,5))),TRUE)/IF(INT(G2153/10000)=11,1,IF(INT(G2153/10000)=2,3,IF(RIGHT(G2153,1)=0,6,6)))*100000)</f>
        <v>160</v>
      </c>
      <c r="I2153" s="4">
        <f>IF(G2153=114000,VLOOKUP(A2153,洗矿索引!$B$2:$H$97,3,FALSE),1)</f>
        <v>1</v>
      </c>
      <c r="J2153" s="4">
        <f t="shared" si="50"/>
        <v>1</v>
      </c>
      <c r="K2153" s="6" t="s">
        <v>2081</v>
      </c>
    </row>
    <row r="2154" spans="1:11" s="4" customFormat="1">
      <c r="A2154" s="4">
        <v>116022</v>
      </c>
      <c r="B2154" s="4">
        <v>1</v>
      </c>
      <c r="C2154" s="4">
        <v>1</v>
      </c>
      <c r="D2154" s="4">
        <v>0</v>
      </c>
      <c r="E2154" s="4">
        <v>0</v>
      </c>
      <c r="F2154" s="4">
        <v>1</v>
      </c>
      <c r="G2154" s="4">
        <v>21002</v>
      </c>
      <c r="H2154" s="4">
        <f>INT(VLOOKUP(A2154,洗矿索引!$B$2:$H$97,IF(INT(G2154/10000)=11,7,IF(INT(G2154/10000)=2,6,IF(RIGHT(G2154,1)="0",4,5))),TRUE)/IF(INT(G2154/10000)=11,1,IF(INT(G2154/10000)=2,3,IF(RIGHT(G2154,1)=0,6,6)))*100000)</f>
        <v>160</v>
      </c>
      <c r="I2154" s="4">
        <f>IF(G2154=114000,VLOOKUP(A2154,洗矿索引!$B$2:$H$97,3,FALSE),1)</f>
        <v>1</v>
      </c>
      <c r="J2154" s="4">
        <f t="shared" si="50"/>
        <v>1</v>
      </c>
      <c r="K2154" s="6" t="s">
        <v>2082</v>
      </c>
    </row>
    <row r="2155" spans="1:11" s="4" customFormat="1">
      <c r="A2155" s="4">
        <v>116022</v>
      </c>
      <c r="B2155" s="4">
        <v>1</v>
      </c>
      <c r="C2155" s="4">
        <v>1</v>
      </c>
      <c r="D2155" s="4">
        <v>0</v>
      </c>
      <c r="E2155" s="4">
        <v>0</v>
      </c>
      <c r="F2155" s="4">
        <v>1</v>
      </c>
      <c r="G2155" s="4">
        <v>21003</v>
      </c>
      <c r="H2155" s="4">
        <f>INT(VLOOKUP(A2155,洗矿索引!$B$2:$H$97,IF(INT(G2155/10000)=11,7,IF(INT(G2155/10000)=2,6,IF(RIGHT(G2155,1)="0",4,5))),TRUE)/IF(INT(G2155/10000)=11,1,IF(INT(G2155/10000)=2,3,IF(RIGHT(G2155,1)=0,6,6)))*100000)</f>
        <v>160</v>
      </c>
      <c r="I2155" s="4">
        <f>IF(G2155=114000,VLOOKUP(A2155,洗矿索引!$B$2:$H$97,3,FALSE),1)</f>
        <v>1</v>
      </c>
      <c r="J2155" s="4">
        <f t="shared" si="50"/>
        <v>1</v>
      </c>
      <c r="K2155" s="6" t="s">
        <v>2083</v>
      </c>
    </row>
    <row r="2156" spans="1:11" s="4" customFormat="1">
      <c r="A2156" s="4">
        <v>116023</v>
      </c>
      <c r="B2156" s="4">
        <v>1</v>
      </c>
      <c r="C2156" s="4">
        <v>1</v>
      </c>
      <c r="D2156" s="4">
        <v>0</v>
      </c>
      <c r="E2156" s="4">
        <v>0</v>
      </c>
      <c r="F2156" s="4">
        <v>1</v>
      </c>
      <c r="G2156" s="4">
        <v>114000</v>
      </c>
      <c r="H2156" s="4">
        <f>INT(VLOOKUP(A2156,洗矿索引!$B$2:$H$97,IF(INT(G2156/10000)=11,7,IF(INT(G2156/10000)=2,6,IF(RIGHT(G2156,1)="0",4,5))),TRUE)/IF(INT(G2156/10000)=11,1,IF(INT(G2156/10000)=2,3,IF(RIGHT(G2156,1)=0,6,6)))*100000)</f>
        <v>99500</v>
      </c>
      <c r="I2156" s="4">
        <f>IF(G2156=114000,VLOOKUP(A2156,洗矿索引!$B$2:$H$97,3,FALSE),1)</f>
        <v>3</v>
      </c>
      <c r="J2156" s="4">
        <f t="shared" si="50"/>
        <v>3</v>
      </c>
      <c r="K2156" s="6" t="s">
        <v>2084</v>
      </c>
    </row>
    <row r="2157" spans="1:11" s="4" customFormat="1">
      <c r="A2157" s="4">
        <v>116023</v>
      </c>
      <c r="B2157" s="4">
        <v>1</v>
      </c>
      <c r="C2157" s="4">
        <v>1</v>
      </c>
      <c r="D2157" s="4">
        <v>0</v>
      </c>
      <c r="E2157" s="4">
        <v>0</v>
      </c>
      <c r="F2157" s="4">
        <v>1</v>
      </c>
      <c r="G2157" s="4">
        <v>21001</v>
      </c>
      <c r="H2157" s="4">
        <f>INT(VLOOKUP(A2157,洗矿索引!$B$2:$H$97,IF(INT(G2157/10000)=11,7,IF(INT(G2157/10000)=2,6,IF(RIGHT(G2157,1)="0",4,5))),TRUE)/IF(INT(G2157/10000)=11,1,IF(INT(G2157/10000)=2,3,IF(RIGHT(G2157,1)=0,6,6)))*100000)</f>
        <v>166</v>
      </c>
      <c r="I2157" s="4">
        <f>IF(G2157=114000,VLOOKUP(A2157,洗矿索引!$B$2:$H$97,3,FALSE),1)</f>
        <v>1</v>
      </c>
      <c r="J2157" s="4">
        <f t="shared" si="50"/>
        <v>1</v>
      </c>
      <c r="K2157" s="6" t="s">
        <v>2085</v>
      </c>
    </row>
    <row r="2158" spans="1:11" s="4" customFormat="1">
      <c r="A2158" s="4">
        <v>116023</v>
      </c>
      <c r="B2158" s="4">
        <v>1</v>
      </c>
      <c r="C2158" s="4">
        <v>1</v>
      </c>
      <c r="D2158" s="4">
        <v>0</v>
      </c>
      <c r="E2158" s="4">
        <v>0</v>
      </c>
      <c r="F2158" s="4">
        <v>1</v>
      </c>
      <c r="G2158" s="4">
        <v>21002</v>
      </c>
      <c r="H2158" s="4">
        <f>INT(VLOOKUP(A2158,洗矿索引!$B$2:$H$97,IF(INT(G2158/10000)=11,7,IF(INT(G2158/10000)=2,6,IF(RIGHT(G2158,1)="0",4,5))),TRUE)/IF(INT(G2158/10000)=11,1,IF(INT(G2158/10000)=2,3,IF(RIGHT(G2158,1)=0,6,6)))*100000)</f>
        <v>166</v>
      </c>
      <c r="I2158" s="4">
        <f>IF(G2158=114000,VLOOKUP(A2158,洗矿索引!$B$2:$H$97,3,FALSE),1)</f>
        <v>1</v>
      </c>
      <c r="J2158" s="4">
        <f t="shared" si="50"/>
        <v>1</v>
      </c>
      <c r="K2158" s="6" t="s">
        <v>2086</v>
      </c>
    </row>
    <row r="2159" spans="1:11" s="4" customFormat="1">
      <c r="A2159" s="4">
        <v>116023</v>
      </c>
      <c r="B2159" s="4">
        <v>1</v>
      </c>
      <c r="C2159" s="4">
        <v>1</v>
      </c>
      <c r="D2159" s="4">
        <v>0</v>
      </c>
      <c r="E2159" s="4">
        <v>0</v>
      </c>
      <c r="F2159" s="4">
        <v>1</v>
      </c>
      <c r="G2159" s="4">
        <v>21003</v>
      </c>
      <c r="H2159" s="4">
        <f>INT(VLOOKUP(A2159,洗矿索引!$B$2:$H$97,IF(INT(G2159/10000)=11,7,IF(INT(G2159/10000)=2,6,IF(RIGHT(G2159,1)="0",4,5))),TRUE)/IF(INT(G2159/10000)=11,1,IF(INT(G2159/10000)=2,3,IF(RIGHT(G2159,1)=0,6,6)))*100000)</f>
        <v>166</v>
      </c>
      <c r="I2159" s="4">
        <f>IF(G2159=114000,VLOOKUP(A2159,洗矿索引!$B$2:$H$97,3,FALSE),1)</f>
        <v>1</v>
      </c>
      <c r="J2159" s="4">
        <f t="shared" si="50"/>
        <v>1</v>
      </c>
      <c r="K2159" s="6" t="s">
        <v>2087</v>
      </c>
    </row>
    <row r="2160" spans="1:11" s="4" customFormat="1">
      <c r="A2160" s="4">
        <v>116024</v>
      </c>
      <c r="B2160" s="4">
        <v>1</v>
      </c>
      <c r="C2160" s="4">
        <v>1</v>
      </c>
      <c r="D2160" s="4">
        <v>0</v>
      </c>
      <c r="E2160" s="4">
        <v>0</v>
      </c>
      <c r="F2160" s="4">
        <v>1</v>
      </c>
      <c r="G2160" s="4">
        <v>114000</v>
      </c>
      <c r="H2160" s="4">
        <f>INT(VLOOKUP(A2160,洗矿索引!$B$2:$H$97,IF(INT(G2160/10000)=11,7,IF(INT(G2160/10000)=2,6,IF(RIGHT(G2160,1)="0",4,5))),TRUE)/IF(INT(G2160/10000)=11,1,IF(INT(G2160/10000)=2,3,IF(RIGHT(G2160,1)=0,6,6)))*100000)</f>
        <v>99480</v>
      </c>
      <c r="I2160" s="4">
        <f>IF(G2160=114000,VLOOKUP(A2160,洗矿索引!$B$2:$H$97,3,FALSE),1)</f>
        <v>3</v>
      </c>
      <c r="J2160" s="4">
        <f t="shared" si="50"/>
        <v>3</v>
      </c>
      <c r="K2160" s="6" t="s">
        <v>2088</v>
      </c>
    </row>
    <row r="2161" spans="1:11" s="4" customFormat="1">
      <c r="A2161" s="4">
        <v>116024</v>
      </c>
      <c r="B2161" s="4">
        <v>1</v>
      </c>
      <c r="C2161" s="4">
        <v>1</v>
      </c>
      <c r="D2161" s="4">
        <v>0</v>
      </c>
      <c r="E2161" s="4">
        <v>0</v>
      </c>
      <c r="F2161" s="4">
        <v>1</v>
      </c>
      <c r="G2161" s="4">
        <v>21001</v>
      </c>
      <c r="H2161" s="4">
        <f>INT(VLOOKUP(A2161,洗矿索引!$B$2:$H$97,IF(INT(G2161/10000)=11,7,IF(INT(G2161/10000)=2,6,IF(RIGHT(G2161,1)="0",4,5))),TRUE)/IF(INT(G2161/10000)=11,1,IF(INT(G2161/10000)=2,3,IF(RIGHT(G2161,1)=0,6,6)))*100000)</f>
        <v>173</v>
      </c>
      <c r="I2161" s="4">
        <f>IF(G2161=114000,VLOOKUP(A2161,洗矿索引!$B$2:$H$97,3,FALSE),1)</f>
        <v>1</v>
      </c>
      <c r="J2161" s="4">
        <f t="shared" si="50"/>
        <v>1</v>
      </c>
      <c r="K2161" s="6" t="s">
        <v>2089</v>
      </c>
    </row>
    <row r="2162" spans="1:11" s="4" customFormat="1">
      <c r="A2162" s="4">
        <v>116024</v>
      </c>
      <c r="B2162" s="4">
        <v>1</v>
      </c>
      <c r="C2162" s="4">
        <v>1</v>
      </c>
      <c r="D2162" s="4">
        <v>0</v>
      </c>
      <c r="E2162" s="4">
        <v>0</v>
      </c>
      <c r="F2162" s="4">
        <v>1</v>
      </c>
      <c r="G2162" s="4">
        <v>21002</v>
      </c>
      <c r="H2162" s="4">
        <f>INT(VLOOKUP(A2162,洗矿索引!$B$2:$H$97,IF(INT(G2162/10000)=11,7,IF(INT(G2162/10000)=2,6,IF(RIGHT(G2162,1)="0",4,5))),TRUE)/IF(INT(G2162/10000)=11,1,IF(INT(G2162/10000)=2,3,IF(RIGHT(G2162,1)=0,6,6)))*100000)</f>
        <v>173</v>
      </c>
      <c r="I2162" s="4">
        <f>IF(G2162=114000,VLOOKUP(A2162,洗矿索引!$B$2:$H$97,3,FALSE),1)</f>
        <v>1</v>
      </c>
      <c r="J2162" s="4">
        <f t="shared" si="50"/>
        <v>1</v>
      </c>
      <c r="K2162" s="6" t="s">
        <v>2090</v>
      </c>
    </row>
    <row r="2163" spans="1:11" s="4" customFormat="1">
      <c r="A2163" s="4">
        <v>116024</v>
      </c>
      <c r="B2163" s="4">
        <v>1</v>
      </c>
      <c r="C2163" s="4">
        <v>1</v>
      </c>
      <c r="D2163" s="4">
        <v>0</v>
      </c>
      <c r="E2163" s="4">
        <v>0</v>
      </c>
      <c r="F2163" s="4">
        <v>1</v>
      </c>
      <c r="G2163" s="4">
        <v>21003</v>
      </c>
      <c r="H2163" s="4">
        <f>INT(VLOOKUP(A2163,洗矿索引!$B$2:$H$97,IF(INT(G2163/10000)=11,7,IF(INT(G2163/10000)=2,6,IF(RIGHT(G2163,1)="0",4,5))),TRUE)/IF(INT(G2163/10000)=11,1,IF(INT(G2163/10000)=2,3,IF(RIGHT(G2163,1)=0,6,6)))*100000)</f>
        <v>173</v>
      </c>
      <c r="I2163" s="4">
        <f>IF(G2163=114000,VLOOKUP(A2163,洗矿索引!$B$2:$H$97,3,FALSE),1)</f>
        <v>1</v>
      </c>
      <c r="J2163" s="4">
        <f t="shared" si="50"/>
        <v>1</v>
      </c>
      <c r="K2163" s="6" t="s">
        <v>2091</v>
      </c>
    </row>
    <row r="2164" spans="1:11" s="4" customFormat="1">
      <c r="A2164" s="4">
        <v>116025</v>
      </c>
      <c r="B2164" s="4">
        <v>1</v>
      </c>
      <c r="C2164" s="4">
        <v>1</v>
      </c>
      <c r="D2164" s="4">
        <v>0</v>
      </c>
      <c r="E2164" s="4">
        <v>0</v>
      </c>
      <c r="F2164" s="4">
        <v>1</v>
      </c>
      <c r="G2164" s="4">
        <v>114000</v>
      </c>
      <c r="H2164" s="4">
        <f>INT(VLOOKUP(A2164,洗矿索引!$B$2:$H$97,IF(INT(G2164/10000)=11,7,IF(INT(G2164/10000)=2,6,IF(RIGHT(G2164,1)="0",4,5))),TRUE)/IF(INT(G2164/10000)=11,1,IF(INT(G2164/10000)=2,3,IF(RIGHT(G2164,1)=0,6,6)))*100000)</f>
        <v>99460</v>
      </c>
      <c r="I2164" s="4">
        <f>IF(G2164=114000,VLOOKUP(A2164,洗矿索引!$B$2:$H$97,3,FALSE),1)</f>
        <v>3</v>
      </c>
      <c r="J2164" s="4">
        <f t="shared" si="50"/>
        <v>3</v>
      </c>
      <c r="K2164" s="6" t="s">
        <v>2092</v>
      </c>
    </row>
    <row r="2165" spans="1:11" s="4" customFormat="1">
      <c r="A2165" s="4">
        <v>116025</v>
      </c>
      <c r="B2165" s="4">
        <v>1</v>
      </c>
      <c r="C2165" s="4">
        <v>1</v>
      </c>
      <c r="D2165" s="4">
        <v>0</v>
      </c>
      <c r="E2165" s="4">
        <v>0</v>
      </c>
      <c r="F2165" s="4">
        <v>1</v>
      </c>
      <c r="G2165" s="4">
        <v>21001</v>
      </c>
      <c r="H2165" s="4">
        <f>INT(VLOOKUP(A2165,洗矿索引!$B$2:$H$97,IF(INT(G2165/10000)=11,7,IF(INT(G2165/10000)=2,6,IF(RIGHT(G2165,1)="0",4,5))),TRUE)/IF(INT(G2165/10000)=11,1,IF(INT(G2165/10000)=2,3,IF(RIGHT(G2165,1)=0,6,6)))*100000)</f>
        <v>180</v>
      </c>
      <c r="I2165" s="4">
        <f>IF(G2165=114000,VLOOKUP(A2165,洗矿索引!$B$2:$H$97,3,FALSE),1)</f>
        <v>1</v>
      </c>
      <c r="J2165" s="4">
        <f t="shared" si="50"/>
        <v>1</v>
      </c>
      <c r="K2165" s="6" t="s">
        <v>2093</v>
      </c>
    </row>
    <row r="2166" spans="1:11" s="4" customFormat="1">
      <c r="A2166" s="4">
        <v>116025</v>
      </c>
      <c r="B2166" s="4">
        <v>1</v>
      </c>
      <c r="C2166" s="4">
        <v>1</v>
      </c>
      <c r="D2166" s="4">
        <v>0</v>
      </c>
      <c r="E2166" s="4">
        <v>0</v>
      </c>
      <c r="F2166" s="4">
        <v>1</v>
      </c>
      <c r="G2166" s="4">
        <v>21002</v>
      </c>
      <c r="H2166" s="4">
        <f>INT(VLOOKUP(A2166,洗矿索引!$B$2:$H$97,IF(INT(G2166/10000)=11,7,IF(INT(G2166/10000)=2,6,IF(RIGHT(G2166,1)="0",4,5))),TRUE)/IF(INT(G2166/10000)=11,1,IF(INT(G2166/10000)=2,3,IF(RIGHT(G2166,1)=0,6,6)))*100000)</f>
        <v>180</v>
      </c>
      <c r="I2166" s="4">
        <f>IF(G2166=114000,VLOOKUP(A2166,洗矿索引!$B$2:$H$97,3,FALSE),1)</f>
        <v>1</v>
      </c>
      <c r="J2166" s="4">
        <f t="shared" si="50"/>
        <v>1</v>
      </c>
      <c r="K2166" s="6" t="s">
        <v>2094</v>
      </c>
    </row>
    <row r="2167" spans="1:11" s="4" customFormat="1">
      <c r="A2167" s="4">
        <v>116025</v>
      </c>
      <c r="B2167" s="4">
        <v>1</v>
      </c>
      <c r="C2167" s="4">
        <v>1</v>
      </c>
      <c r="D2167" s="4">
        <v>0</v>
      </c>
      <c r="E2167" s="4">
        <v>0</v>
      </c>
      <c r="F2167" s="4">
        <v>1</v>
      </c>
      <c r="G2167" s="4">
        <v>21003</v>
      </c>
      <c r="H2167" s="4">
        <f>INT(VLOOKUP(A2167,洗矿索引!$B$2:$H$97,IF(INT(G2167/10000)=11,7,IF(INT(G2167/10000)=2,6,IF(RIGHT(G2167,1)="0",4,5))),TRUE)/IF(INT(G2167/10000)=11,1,IF(INT(G2167/10000)=2,3,IF(RIGHT(G2167,1)=0,6,6)))*100000)</f>
        <v>180</v>
      </c>
      <c r="I2167" s="4">
        <f>IF(G2167=114000,VLOOKUP(A2167,洗矿索引!$B$2:$H$97,3,FALSE),1)</f>
        <v>1</v>
      </c>
      <c r="J2167" s="4">
        <f t="shared" si="50"/>
        <v>1</v>
      </c>
      <c r="K2167" s="6" t="s">
        <v>2095</v>
      </c>
    </row>
    <row r="2168" spans="1:11" s="4" customFormat="1">
      <c r="A2168" s="4">
        <v>116026</v>
      </c>
      <c r="B2168" s="4">
        <v>1</v>
      </c>
      <c r="C2168" s="4">
        <v>1</v>
      </c>
      <c r="D2168" s="4">
        <v>0</v>
      </c>
      <c r="E2168" s="4">
        <v>0</v>
      </c>
      <c r="F2168" s="4">
        <v>1</v>
      </c>
      <c r="G2168" s="4">
        <v>114000</v>
      </c>
      <c r="H2168" s="4">
        <f>INT(VLOOKUP(A2168,洗矿索引!$B$2:$H$97,IF(INT(G2168/10000)=11,7,IF(INT(G2168/10000)=2,6,IF(RIGHT(G2168,1)="0",4,5))),TRUE)/IF(INT(G2168/10000)=11,1,IF(INT(G2168/10000)=2,3,IF(RIGHT(G2168,1)=0,6,6)))*100000)</f>
        <v>99440</v>
      </c>
      <c r="I2168" s="4">
        <f>IF(G2168=114000,VLOOKUP(A2168,洗矿索引!$B$2:$H$97,3,FALSE),1)</f>
        <v>3</v>
      </c>
      <c r="J2168" s="4">
        <f t="shared" si="50"/>
        <v>3</v>
      </c>
      <c r="K2168" s="6" t="s">
        <v>2096</v>
      </c>
    </row>
    <row r="2169" spans="1:11" s="4" customFormat="1">
      <c r="A2169" s="4">
        <v>116026</v>
      </c>
      <c r="B2169" s="4">
        <v>1</v>
      </c>
      <c r="C2169" s="4">
        <v>1</v>
      </c>
      <c r="D2169" s="4">
        <v>0</v>
      </c>
      <c r="E2169" s="4">
        <v>0</v>
      </c>
      <c r="F2169" s="4">
        <v>1</v>
      </c>
      <c r="G2169" s="4">
        <v>21001</v>
      </c>
      <c r="H2169" s="4">
        <f>INT(VLOOKUP(A2169,洗矿索引!$B$2:$H$97,IF(INT(G2169/10000)=11,7,IF(INT(G2169/10000)=2,6,IF(RIGHT(G2169,1)="0",4,5))),TRUE)/IF(INT(G2169/10000)=11,1,IF(INT(G2169/10000)=2,3,IF(RIGHT(G2169,1)=0,6,6)))*100000)</f>
        <v>186</v>
      </c>
      <c r="I2169" s="4">
        <f>IF(G2169=114000,VLOOKUP(A2169,洗矿索引!$B$2:$H$97,3,FALSE),1)</f>
        <v>1</v>
      </c>
      <c r="J2169" s="4">
        <f t="shared" si="50"/>
        <v>1</v>
      </c>
      <c r="K2169" s="6" t="s">
        <v>2097</v>
      </c>
    </row>
    <row r="2170" spans="1:11" s="4" customFormat="1">
      <c r="A2170" s="4">
        <v>116026</v>
      </c>
      <c r="B2170" s="4">
        <v>1</v>
      </c>
      <c r="C2170" s="4">
        <v>1</v>
      </c>
      <c r="D2170" s="4">
        <v>0</v>
      </c>
      <c r="E2170" s="4">
        <v>0</v>
      </c>
      <c r="F2170" s="4">
        <v>1</v>
      </c>
      <c r="G2170" s="4">
        <v>21002</v>
      </c>
      <c r="H2170" s="4">
        <f>INT(VLOOKUP(A2170,洗矿索引!$B$2:$H$97,IF(INT(G2170/10000)=11,7,IF(INT(G2170/10000)=2,6,IF(RIGHT(G2170,1)="0",4,5))),TRUE)/IF(INT(G2170/10000)=11,1,IF(INT(G2170/10000)=2,3,IF(RIGHT(G2170,1)=0,6,6)))*100000)</f>
        <v>186</v>
      </c>
      <c r="I2170" s="4">
        <f>IF(G2170=114000,VLOOKUP(A2170,洗矿索引!$B$2:$H$97,3,FALSE),1)</f>
        <v>1</v>
      </c>
      <c r="J2170" s="4">
        <f t="shared" si="50"/>
        <v>1</v>
      </c>
      <c r="K2170" s="6" t="s">
        <v>2098</v>
      </c>
    </row>
    <row r="2171" spans="1:11" s="4" customFormat="1">
      <c r="A2171" s="4">
        <v>116026</v>
      </c>
      <c r="B2171" s="4">
        <v>1</v>
      </c>
      <c r="C2171" s="4">
        <v>1</v>
      </c>
      <c r="D2171" s="4">
        <v>0</v>
      </c>
      <c r="E2171" s="4">
        <v>0</v>
      </c>
      <c r="F2171" s="4">
        <v>1</v>
      </c>
      <c r="G2171" s="4">
        <v>21003</v>
      </c>
      <c r="H2171" s="4">
        <f>INT(VLOOKUP(A2171,洗矿索引!$B$2:$H$97,IF(INT(G2171/10000)=11,7,IF(INT(G2171/10000)=2,6,IF(RIGHT(G2171,1)="0",4,5))),TRUE)/IF(INT(G2171/10000)=11,1,IF(INT(G2171/10000)=2,3,IF(RIGHT(G2171,1)=0,6,6)))*100000)</f>
        <v>186</v>
      </c>
      <c r="I2171" s="4">
        <f>IF(G2171=114000,VLOOKUP(A2171,洗矿索引!$B$2:$H$97,3,FALSE),1)</f>
        <v>1</v>
      </c>
      <c r="J2171" s="4">
        <f t="shared" si="50"/>
        <v>1</v>
      </c>
      <c r="K2171" s="6" t="s">
        <v>2099</v>
      </c>
    </row>
    <row r="2172" spans="1:11" s="4" customFormat="1">
      <c r="A2172" s="4">
        <v>117003</v>
      </c>
      <c r="B2172" s="4">
        <v>1</v>
      </c>
      <c r="C2172" s="4">
        <v>1</v>
      </c>
      <c r="D2172" s="4">
        <v>0</v>
      </c>
      <c r="E2172" s="4">
        <v>0</v>
      </c>
      <c r="F2172" s="4">
        <v>1</v>
      </c>
      <c r="G2172" s="4">
        <v>114000</v>
      </c>
      <c r="H2172" s="4">
        <f>INT(VLOOKUP(A2172,洗矿索引!$B$2:$H$97,IF(INT(G2172/10000)=11,7,IF(INT(G2172/10000)=2,6,IF(RIGHT(G2172,1)="0",4,5))),TRUE)/IF(INT(G2172/10000)=11,1,IF(INT(G2172/10000)=2,3,IF(RIGHT(G2172,1)=0,6,6)))*100000)</f>
        <v>99500</v>
      </c>
      <c r="I2172" s="4">
        <f>IF(G2172=114000,VLOOKUP(A2172,洗矿索引!$B$2:$H$97,3,FALSE),1)</f>
        <v>3</v>
      </c>
      <c r="J2172" s="4">
        <f t="shared" si="50"/>
        <v>3</v>
      </c>
      <c r="K2172" s="6" t="s">
        <v>2100</v>
      </c>
    </row>
    <row r="2173" spans="1:11" s="4" customFormat="1">
      <c r="A2173" s="4">
        <v>117003</v>
      </c>
      <c r="B2173" s="4">
        <v>1</v>
      </c>
      <c r="C2173" s="4">
        <v>1</v>
      </c>
      <c r="D2173" s="4">
        <v>0</v>
      </c>
      <c r="E2173" s="4">
        <v>0</v>
      </c>
      <c r="F2173" s="4">
        <v>1</v>
      </c>
      <c r="G2173" s="4">
        <v>21001</v>
      </c>
      <c r="H2173" s="4">
        <f>INT(VLOOKUP(A2173,洗矿索引!$B$2:$H$97,IF(INT(G2173/10000)=11,7,IF(INT(G2173/10000)=2,6,IF(RIGHT(G2173,1)="0",4,5))),TRUE)/IF(INT(G2173/10000)=11,1,IF(INT(G2173/10000)=2,3,IF(RIGHT(G2173,1)=0,6,6)))*100000)</f>
        <v>166</v>
      </c>
      <c r="I2173" s="4">
        <f>IF(G2173=114000,VLOOKUP(A2173,洗矿索引!$B$2:$H$97,3,FALSE),1)</f>
        <v>1</v>
      </c>
      <c r="J2173" s="4">
        <f t="shared" si="50"/>
        <v>1</v>
      </c>
      <c r="K2173" s="6" t="s">
        <v>2101</v>
      </c>
    </row>
    <row r="2174" spans="1:11" s="4" customFormat="1">
      <c r="A2174" s="4">
        <v>117003</v>
      </c>
      <c r="B2174" s="4">
        <v>1</v>
      </c>
      <c r="C2174" s="4">
        <v>1</v>
      </c>
      <c r="D2174" s="4">
        <v>0</v>
      </c>
      <c r="E2174" s="4">
        <v>0</v>
      </c>
      <c r="F2174" s="4">
        <v>1</v>
      </c>
      <c r="G2174" s="4">
        <v>21002</v>
      </c>
      <c r="H2174" s="4">
        <f>INT(VLOOKUP(A2174,洗矿索引!$B$2:$H$97,IF(INT(G2174/10000)=11,7,IF(INT(G2174/10000)=2,6,IF(RIGHT(G2174,1)="0",4,5))),TRUE)/IF(INT(G2174/10000)=11,1,IF(INT(G2174/10000)=2,3,IF(RIGHT(G2174,1)=0,6,6)))*100000)</f>
        <v>166</v>
      </c>
      <c r="I2174" s="4">
        <f>IF(G2174=114000,VLOOKUP(A2174,洗矿索引!$B$2:$H$97,3,FALSE),1)</f>
        <v>1</v>
      </c>
      <c r="J2174" s="4">
        <f t="shared" si="50"/>
        <v>1</v>
      </c>
      <c r="K2174" s="6" t="s">
        <v>2102</v>
      </c>
    </row>
    <row r="2175" spans="1:11" s="4" customFormat="1">
      <c r="A2175" s="4">
        <v>117003</v>
      </c>
      <c r="B2175" s="4">
        <v>1</v>
      </c>
      <c r="C2175" s="4">
        <v>1</v>
      </c>
      <c r="D2175" s="4">
        <v>0</v>
      </c>
      <c r="E2175" s="4">
        <v>0</v>
      </c>
      <c r="F2175" s="4">
        <v>1</v>
      </c>
      <c r="G2175" s="4">
        <v>21003</v>
      </c>
      <c r="H2175" s="4">
        <f>INT(VLOOKUP(A2175,洗矿索引!$B$2:$H$97,IF(INT(G2175/10000)=11,7,IF(INT(G2175/10000)=2,6,IF(RIGHT(G2175,1)="0",4,5))),TRUE)/IF(INT(G2175/10000)=11,1,IF(INT(G2175/10000)=2,3,IF(RIGHT(G2175,1)=0,6,6)))*100000)</f>
        <v>166</v>
      </c>
      <c r="I2175" s="4">
        <f>IF(G2175=114000,VLOOKUP(A2175,洗矿索引!$B$2:$H$97,3,FALSE),1)</f>
        <v>1</v>
      </c>
      <c r="J2175" s="4">
        <f t="shared" si="50"/>
        <v>1</v>
      </c>
      <c r="K2175" s="6" t="s">
        <v>2103</v>
      </c>
    </row>
    <row r="2176" spans="1:11" s="4" customFormat="1">
      <c r="A2176" s="4">
        <v>117004</v>
      </c>
      <c r="B2176" s="4">
        <v>1</v>
      </c>
      <c r="C2176" s="4">
        <v>1</v>
      </c>
      <c r="D2176" s="4">
        <v>0</v>
      </c>
      <c r="E2176" s="4">
        <v>0</v>
      </c>
      <c r="F2176" s="4">
        <v>1</v>
      </c>
      <c r="G2176" s="4">
        <v>114000</v>
      </c>
      <c r="H2176" s="4">
        <f>INT(VLOOKUP(A2176,洗矿索引!$B$2:$H$97,IF(INT(G2176/10000)=11,7,IF(INT(G2176/10000)=2,6,IF(RIGHT(G2176,1)="0",4,5))),TRUE)/IF(INT(G2176/10000)=11,1,IF(INT(G2176/10000)=2,3,IF(RIGHT(G2176,1)=0,6,6)))*100000)</f>
        <v>99400</v>
      </c>
      <c r="I2176" s="4">
        <f>IF(G2176=114000,VLOOKUP(A2176,洗矿索引!$B$2:$H$97,3,FALSE),1)</f>
        <v>3</v>
      </c>
      <c r="J2176" s="4">
        <f t="shared" ref="J2176:J2191" si="51">I2176</f>
        <v>3</v>
      </c>
      <c r="K2176" s="6" t="s">
        <v>2104</v>
      </c>
    </row>
    <row r="2177" spans="1:11" s="4" customFormat="1">
      <c r="A2177" s="4">
        <v>117004</v>
      </c>
      <c r="B2177" s="4">
        <v>1</v>
      </c>
      <c r="C2177" s="4">
        <v>1</v>
      </c>
      <c r="D2177" s="4">
        <v>0</v>
      </c>
      <c r="E2177" s="4">
        <v>0</v>
      </c>
      <c r="F2177" s="4">
        <v>1</v>
      </c>
      <c r="G2177" s="4">
        <v>21001</v>
      </c>
      <c r="H2177" s="4">
        <f>INT(VLOOKUP(A2177,洗矿索引!$B$2:$H$97,IF(INT(G2177/10000)=11,7,IF(INT(G2177/10000)=2,6,IF(RIGHT(G2177,1)="0",4,5))),TRUE)/IF(INT(G2177/10000)=11,1,IF(INT(G2177/10000)=2,3,IF(RIGHT(G2177,1)=0,6,6)))*100000)</f>
        <v>200</v>
      </c>
      <c r="I2177" s="4">
        <f>IF(G2177=114000,VLOOKUP(A2177,洗矿索引!$B$2:$H$97,3,FALSE),1)</f>
        <v>1</v>
      </c>
      <c r="J2177" s="4">
        <f t="shared" si="51"/>
        <v>1</v>
      </c>
      <c r="K2177" s="6" t="s">
        <v>2105</v>
      </c>
    </row>
    <row r="2178" spans="1:11" s="4" customFormat="1">
      <c r="A2178" s="4">
        <v>117004</v>
      </c>
      <c r="B2178" s="4">
        <v>1</v>
      </c>
      <c r="C2178" s="4">
        <v>1</v>
      </c>
      <c r="D2178" s="4">
        <v>0</v>
      </c>
      <c r="E2178" s="4">
        <v>0</v>
      </c>
      <c r="F2178" s="4">
        <v>1</v>
      </c>
      <c r="G2178" s="4">
        <v>21002</v>
      </c>
      <c r="H2178" s="4">
        <f>INT(VLOOKUP(A2178,洗矿索引!$B$2:$H$97,IF(INT(G2178/10000)=11,7,IF(INT(G2178/10000)=2,6,IF(RIGHT(G2178,1)="0",4,5))),TRUE)/IF(INT(G2178/10000)=11,1,IF(INT(G2178/10000)=2,3,IF(RIGHT(G2178,1)=0,6,6)))*100000)</f>
        <v>200</v>
      </c>
      <c r="I2178" s="4">
        <f>IF(G2178=114000,VLOOKUP(A2178,洗矿索引!$B$2:$H$97,3,FALSE),1)</f>
        <v>1</v>
      </c>
      <c r="J2178" s="4">
        <f t="shared" si="51"/>
        <v>1</v>
      </c>
      <c r="K2178" s="6" t="s">
        <v>2106</v>
      </c>
    </row>
    <row r="2179" spans="1:11" s="4" customFormat="1">
      <c r="A2179" s="4">
        <v>117004</v>
      </c>
      <c r="B2179" s="4">
        <v>1</v>
      </c>
      <c r="C2179" s="4">
        <v>1</v>
      </c>
      <c r="D2179" s="4">
        <v>0</v>
      </c>
      <c r="E2179" s="4">
        <v>0</v>
      </c>
      <c r="F2179" s="4">
        <v>1</v>
      </c>
      <c r="G2179" s="4">
        <v>21003</v>
      </c>
      <c r="H2179" s="4">
        <f>INT(VLOOKUP(A2179,洗矿索引!$B$2:$H$97,IF(INT(G2179/10000)=11,7,IF(INT(G2179/10000)=2,6,IF(RIGHT(G2179,1)="0",4,5))),TRUE)/IF(INT(G2179/10000)=11,1,IF(INT(G2179/10000)=2,3,IF(RIGHT(G2179,1)=0,6,6)))*100000)</f>
        <v>200</v>
      </c>
      <c r="I2179" s="4">
        <f>IF(G2179=114000,VLOOKUP(A2179,洗矿索引!$B$2:$H$97,3,FALSE),1)</f>
        <v>1</v>
      </c>
      <c r="J2179" s="4">
        <f t="shared" si="51"/>
        <v>1</v>
      </c>
      <c r="K2179" s="6" t="s">
        <v>2107</v>
      </c>
    </row>
    <row r="2180" spans="1:11" s="4" customFormat="1">
      <c r="A2180" s="4">
        <v>117005</v>
      </c>
      <c r="B2180" s="4">
        <v>1</v>
      </c>
      <c r="C2180" s="4">
        <v>1</v>
      </c>
      <c r="D2180" s="4">
        <v>0</v>
      </c>
      <c r="E2180" s="4">
        <v>0</v>
      </c>
      <c r="F2180" s="4">
        <v>1</v>
      </c>
      <c r="G2180" s="4">
        <v>114000</v>
      </c>
      <c r="H2180" s="4">
        <f>INT(VLOOKUP(A2180,洗矿索引!$B$2:$H$97,IF(INT(G2180/10000)=11,7,IF(INT(G2180/10000)=2,6,IF(RIGHT(G2180,1)="0",4,5))),TRUE)/IF(INT(G2180/10000)=11,1,IF(INT(G2180/10000)=2,3,IF(RIGHT(G2180,1)=0,6,6)))*100000)</f>
        <v>99300</v>
      </c>
      <c r="I2180" s="4">
        <f>IF(G2180=114000,VLOOKUP(A2180,洗矿索引!$B$2:$H$97,3,FALSE),1)</f>
        <v>3</v>
      </c>
      <c r="J2180" s="4">
        <f t="shared" si="51"/>
        <v>3</v>
      </c>
      <c r="K2180" s="6" t="s">
        <v>2108</v>
      </c>
    </row>
    <row r="2181" spans="1:11" s="4" customFormat="1">
      <c r="A2181" s="4">
        <v>117005</v>
      </c>
      <c r="B2181" s="4">
        <v>1</v>
      </c>
      <c r="C2181" s="4">
        <v>1</v>
      </c>
      <c r="D2181" s="4">
        <v>0</v>
      </c>
      <c r="E2181" s="4">
        <v>0</v>
      </c>
      <c r="F2181" s="4">
        <v>1</v>
      </c>
      <c r="G2181" s="4">
        <v>21001</v>
      </c>
      <c r="H2181" s="4">
        <f>INT(VLOOKUP(A2181,洗矿索引!$B$2:$H$97,IF(INT(G2181/10000)=11,7,IF(INT(G2181/10000)=2,6,IF(RIGHT(G2181,1)="0",4,5))),TRUE)/IF(INT(G2181/10000)=11,1,IF(INT(G2181/10000)=2,3,IF(RIGHT(G2181,1)=0,6,6)))*100000)</f>
        <v>233</v>
      </c>
      <c r="I2181" s="4">
        <f>IF(G2181=114000,VLOOKUP(A2181,洗矿索引!$B$2:$H$97,3,FALSE),1)</f>
        <v>1</v>
      </c>
      <c r="J2181" s="4">
        <f t="shared" si="51"/>
        <v>1</v>
      </c>
      <c r="K2181" s="6" t="s">
        <v>2109</v>
      </c>
    </row>
    <row r="2182" spans="1:11" s="4" customFormat="1">
      <c r="A2182" s="4">
        <v>117005</v>
      </c>
      <c r="B2182" s="4">
        <v>1</v>
      </c>
      <c r="C2182" s="4">
        <v>1</v>
      </c>
      <c r="D2182" s="4">
        <v>0</v>
      </c>
      <c r="E2182" s="4">
        <v>0</v>
      </c>
      <c r="F2182" s="4">
        <v>1</v>
      </c>
      <c r="G2182" s="4">
        <v>21002</v>
      </c>
      <c r="H2182" s="4">
        <f>INT(VLOOKUP(A2182,洗矿索引!$B$2:$H$97,IF(INT(G2182/10000)=11,7,IF(INT(G2182/10000)=2,6,IF(RIGHT(G2182,1)="0",4,5))),TRUE)/IF(INT(G2182/10000)=11,1,IF(INT(G2182/10000)=2,3,IF(RIGHT(G2182,1)=0,6,6)))*100000)</f>
        <v>233</v>
      </c>
      <c r="I2182" s="4">
        <f>IF(G2182=114000,VLOOKUP(A2182,洗矿索引!$B$2:$H$97,3,FALSE),1)</f>
        <v>1</v>
      </c>
      <c r="J2182" s="4">
        <f t="shared" si="51"/>
        <v>1</v>
      </c>
      <c r="K2182" s="6" t="s">
        <v>2110</v>
      </c>
    </row>
    <row r="2183" spans="1:11" s="4" customFormat="1">
      <c r="A2183" s="4">
        <v>117005</v>
      </c>
      <c r="B2183" s="4">
        <v>1</v>
      </c>
      <c r="C2183" s="4">
        <v>1</v>
      </c>
      <c r="D2183" s="4">
        <v>0</v>
      </c>
      <c r="E2183" s="4">
        <v>0</v>
      </c>
      <c r="F2183" s="4">
        <v>1</v>
      </c>
      <c r="G2183" s="4">
        <v>21003</v>
      </c>
      <c r="H2183" s="4">
        <f>INT(VLOOKUP(A2183,洗矿索引!$B$2:$H$97,IF(INT(G2183/10000)=11,7,IF(INT(G2183/10000)=2,6,IF(RIGHT(G2183,1)="0",4,5))),TRUE)/IF(INT(G2183/10000)=11,1,IF(INT(G2183/10000)=2,3,IF(RIGHT(G2183,1)=0,6,6)))*100000)</f>
        <v>233</v>
      </c>
      <c r="I2183" s="4">
        <f>IF(G2183=114000,VLOOKUP(A2183,洗矿索引!$B$2:$H$97,3,FALSE),1)</f>
        <v>1</v>
      </c>
      <c r="J2183" s="4">
        <f t="shared" si="51"/>
        <v>1</v>
      </c>
      <c r="K2183" s="6" t="s">
        <v>2111</v>
      </c>
    </row>
    <row r="2184" spans="1:11" s="4" customFormat="1">
      <c r="A2184" s="4">
        <v>117006</v>
      </c>
      <c r="B2184" s="4">
        <v>1</v>
      </c>
      <c r="C2184" s="4">
        <v>1</v>
      </c>
      <c r="D2184" s="4">
        <v>0</v>
      </c>
      <c r="E2184" s="4">
        <v>0</v>
      </c>
      <c r="F2184" s="4">
        <v>1</v>
      </c>
      <c r="G2184" s="4">
        <v>114000</v>
      </c>
      <c r="H2184" s="4">
        <f>INT(VLOOKUP(A2184,洗矿索引!$B$2:$H$97,IF(INT(G2184/10000)=11,7,IF(INT(G2184/10000)=2,6,IF(RIGHT(G2184,1)="0",4,5))),TRUE)/IF(INT(G2184/10000)=11,1,IF(INT(G2184/10000)=2,3,IF(RIGHT(G2184,1)=0,6,6)))*100000)</f>
        <v>99200</v>
      </c>
      <c r="I2184" s="4">
        <f>IF(G2184=114000,VLOOKUP(A2184,洗矿索引!$B$2:$H$97,3,FALSE),1)</f>
        <v>3</v>
      </c>
      <c r="J2184" s="4">
        <f t="shared" si="51"/>
        <v>3</v>
      </c>
      <c r="K2184" s="6" t="s">
        <v>2112</v>
      </c>
    </row>
    <row r="2185" spans="1:11" s="4" customFormat="1">
      <c r="A2185" s="4">
        <v>117006</v>
      </c>
      <c r="B2185" s="4">
        <v>1</v>
      </c>
      <c r="C2185" s="4">
        <v>1</v>
      </c>
      <c r="D2185" s="4">
        <v>0</v>
      </c>
      <c r="E2185" s="4">
        <v>0</v>
      </c>
      <c r="F2185" s="4">
        <v>1</v>
      </c>
      <c r="G2185" s="4">
        <v>21001</v>
      </c>
      <c r="H2185" s="4">
        <f>INT(VLOOKUP(A2185,洗矿索引!$B$2:$H$97,IF(INT(G2185/10000)=11,7,IF(INT(G2185/10000)=2,6,IF(RIGHT(G2185,1)="0",4,5))),TRUE)/IF(INT(G2185/10000)=11,1,IF(INT(G2185/10000)=2,3,IF(RIGHT(G2185,1)=0,6,6)))*100000)</f>
        <v>266</v>
      </c>
      <c r="I2185" s="4">
        <f>IF(G2185=114000,VLOOKUP(A2185,洗矿索引!$B$2:$H$97,3,FALSE),1)</f>
        <v>1</v>
      </c>
      <c r="J2185" s="4">
        <f t="shared" si="51"/>
        <v>1</v>
      </c>
      <c r="K2185" s="6" t="s">
        <v>2113</v>
      </c>
    </row>
    <row r="2186" spans="1:11" s="4" customFormat="1">
      <c r="A2186" s="4">
        <v>117006</v>
      </c>
      <c r="B2186" s="4">
        <v>1</v>
      </c>
      <c r="C2186" s="4">
        <v>1</v>
      </c>
      <c r="D2186" s="4">
        <v>0</v>
      </c>
      <c r="E2186" s="4">
        <v>0</v>
      </c>
      <c r="F2186" s="4">
        <v>1</v>
      </c>
      <c r="G2186" s="4">
        <v>21002</v>
      </c>
      <c r="H2186" s="4">
        <f>INT(VLOOKUP(A2186,洗矿索引!$B$2:$H$97,IF(INT(G2186/10000)=11,7,IF(INT(G2186/10000)=2,6,IF(RIGHT(G2186,1)="0",4,5))),TRUE)/IF(INT(G2186/10000)=11,1,IF(INT(G2186/10000)=2,3,IF(RIGHT(G2186,1)=0,6,6)))*100000)</f>
        <v>266</v>
      </c>
      <c r="I2186" s="4">
        <f>IF(G2186=114000,VLOOKUP(A2186,洗矿索引!$B$2:$H$97,3,FALSE),1)</f>
        <v>1</v>
      </c>
      <c r="J2186" s="4">
        <f t="shared" si="51"/>
        <v>1</v>
      </c>
      <c r="K2186" s="6" t="s">
        <v>2114</v>
      </c>
    </row>
    <row r="2187" spans="1:11" s="4" customFormat="1">
      <c r="A2187" s="4">
        <v>117006</v>
      </c>
      <c r="B2187" s="4">
        <v>1</v>
      </c>
      <c r="C2187" s="4">
        <v>1</v>
      </c>
      <c r="D2187" s="4">
        <v>0</v>
      </c>
      <c r="E2187" s="4">
        <v>0</v>
      </c>
      <c r="F2187" s="4">
        <v>1</v>
      </c>
      <c r="G2187" s="4">
        <v>21003</v>
      </c>
      <c r="H2187" s="4">
        <f>INT(VLOOKUP(A2187,洗矿索引!$B$2:$H$97,IF(INT(G2187/10000)=11,7,IF(INT(G2187/10000)=2,6,IF(RIGHT(G2187,1)="0",4,5))),TRUE)/IF(INT(G2187/10000)=11,1,IF(INT(G2187/10000)=2,3,IF(RIGHT(G2187,1)=0,6,6)))*100000)</f>
        <v>266</v>
      </c>
      <c r="I2187" s="4">
        <f>IF(G2187=114000,VLOOKUP(A2187,洗矿索引!$B$2:$H$97,3,FALSE),1)</f>
        <v>1</v>
      </c>
      <c r="J2187" s="4">
        <f t="shared" si="51"/>
        <v>1</v>
      </c>
      <c r="K2187" s="6" t="s">
        <v>2115</v>
      </c>
    </row>
    <row r="2188" spans="1:11" s="4" customFormat="1">
      <c r="A2188" s="4">
        <v>117007</v>
      </c>
      <c r="B2188" s="4">
        <v>1</v>
      </c>
      <c r="C2188" s="4">
        <v>1</v>
      </c>
      <c r="D2188" s="4">
        <v>0</v>
      </c>
      <c r="E2188" s="4">
        <v>0</v>
      </c>
      <c r="F2188" s="4">
        <v>1</v>
      </c>
      <c r="G2188" s="4">
        <v>114000</v>
      </c>
      <c r="H2188" s="4">
        <f>INT(VLOOKUP(A2188,洗矿索引!$B$2:$H$97,IF(INT(G2188/10000)=11,7,IF(INT(G2188/10000)=2,6,IF(RIGHT(G2188,1)="0",4,5))),TRUE)/IF(INT(G2188/10000)=11,1,IF(INT(G2188/10000)=2,3,IF(RIGHT(G2188,1)=0,6,6)))*100000)</f>
        <v>99100</v>
      </c>
      <c r="I2188" s="4">
        <f>IF(G2188=114000,VLOOKUP(A2188,洗矿索引!$B$2:$H$97,3,FALSE),1)</f>
        <v>3</v>
      </c>
      <c r="J2188" s="4">
        <f t="shared" si="51"/>
        <v>3</v>
      </c>
      <c r="K2188" s="6" t="s">
        <v>2116</v>
      </c>
    </row>
    <row r="2189" spans="1:11" s="4" customFormat="1">
      <c r="A2189" s="4">
        <v>117007</v>
      </c>
      <c r="B2189" s="4">
        <v>1</v>
      </c>
      <c r="C2189" s="4">
        <v>1</v>
      </c>
      <c r="D2189" s="4">
        <v>0</v>
      </c>
      <c r="E2189" s="4">
        <v>0</v>
      </c>
      <c r="F2189" s="4">
        <v>1</v>
      </c>
      <c r="G2189" s="4">
        <v>21001</v>
      </c>
      <c r="H2189" s="4">
        <f>INT(VLOOKUP(A2189,洗矿索引!$B$2:$H$97,IF(INT(G2189/10000)=11,7,IF(INT(G2189/10000)=2,6,IF(RIGHT(G2189,1)="0",4,5))),TRUE)/IF(INT(G2189/10000)=11,1,IF(INT(G2189/10000)=2,3,IF(RIGHT(G2189,1)=0,6,6)))*100000)</f>
        <v>300</v>
      </c>
      <c r="I2189" s="4">
        <f>IF(G2189=114000,VLOOKUP(A2189,洗矿索引!$B$2:$H$97,3,FALSE),1)</f>
        <v>1</v>
      </c>
      <c r="J2189" s="4">
        <f t="shared" si="51"/>
        <v>1</v>
      </c>
      <c r="K2189" s="6" t="s">
        <v>2117</v>
      </c>
    </row>
    <row r="2190" spans="1:11" s="4" customFormat="1">
      <c r="A2190" s="4">
        <v>117007</v>
      </c>
      <c r="B2190" s="4">
        <v>1</v>
      </c>
      <c r="C2190" s="4">
        <v>1</v>
      </c>
      <c r="D2190" s="4">
        <v>0</v>
      </c>
      <c r="E2190" s="4">
        <v>0</v>
      </c>
      <c r="F2190" s="4">
        <v>1</v>
      </c>
      <c r="G2190" s="4">
        <v>21002</v>
      </c>
      <c r="H2190" s="4">
        <f>INT(VLOOKUP(A2190,洗矿索引!$B$2:$H$97,IF(INT(G2190/10000)=11,7,IF(INT(G2190/10000)=2,6,IF(RIGHT(G2190,1)="0",4,5))),TRUE)/IF(INT(G2190/10000)=11,1,IF(INT(G2190/10000)=2,3,IF(RIGHT(G2190,1)=0,6,6)))*100000)</f>
        <v>300</v>
      </c>
      <c r="I2190" s="4">
        <f>IF(G2190=114000,VLOOKUP(A2190,洗矿索引!$B$2:$H$97,3,FALSE),1)</f>
        <v>1</v>
      </c>
      <c r="J2190" s="4">
        <f t="shared" si="51"/>
        <v>1</v>
      </c>
      <c r="K2190" s="6" t="s">
        <v>2118</v>
      </c>
    </row>
    <row r="2191" spans="1:11" s="4" customFormat="1">
      <c r="A2191" s="4">
        <v>117007</v>
      </c>
      <c r="B2191" s="4">
        <v>1</v>
      </c>
      <c r="C2191" s="4">
        <v>1</v>
      </c>
      <c r="D2191" s="4">
        <v>0</v>
      </c>
      <c r="E2191" s="4">
        <v>0</v>
      </c>
      <c r="F2191" s="4">
        <v>1</v>
      </c>
      <c r="G2191" s="4">
        <v>21003</v>
      </c>
      <c r="H2191" s="4">
        <f>INT(VLOOKUP(A2191,洗矿索引!$B$2:$H$97,IF(INT(G2191/10000)=11,7,IF(INT(G2191/10000)=2,6,IF(RIGHT(G2191,1)="0",4,5))),TRUE)/IF(INT(G2191/10000)=11,1,IF(INT(G2191/10000)=2,3,IF(RIGHT(G2191,1)=0,6,6)))*100000)</f>
        <v>300</v>
      </c>
      <c r="I2191" s="4">
        <f>IF(G2191=114000,VLOOKUP(A2191,洗矿索引!$B$2:$H$97,3,FALSE),1)</f>
        <v>1</v>
      </c>
      <c r="J2191" s="4">
        <f t="shared" si="51"/>
        <v>1</v>
      </c>
      <c r="K2191" s="6" t="s">
        <v>2119</v>
      </c>
    </row>
    <row r="2192" spans="1:11" s="4" customFormat="1">
      <c r="A2192" s="4">
        <v>117008</v>
      </c>
      <c r="B2192" s="4">
        <v>1</v>
      </c>
      <c r="C2192" s="4">
        <v>1</v>
      </c>
      <c r="D2192" s="4">
        <v>0</v>
      </c>
      <c r="E2192" s="4">
        <v>0</v>
      </c>
      <c r="F2192" s="4">
        <v>1</v>
      </c>
      <c r="G2192" s="4">
        <v>114000</v>
      </c>
      <c r="H2192" s="4">
        <f>INT(VLOOKUP(A2192,洗矿索引!$B$2:$H$97,IF(INT(G2192/10000)=11,7,IF(INT(G2192/10000)=2,6,IF(RIGHT(G2192,1)="0",4,5))),TRUE)/IF(INT(G2192/10000)=11,1,IF(INT(G2192/10000)=2,3,IF(RIGHT(G2192,1)=0,6,6)))*100000)</f>
        <v>99000</v>
      </c>
      <c r="I2192" s="4">
        <f>IF(G2192=114000,VLOOKUP(A2192,洗矿索引!$B$2:$H$97,3,FALSE),1)</f>
        <v>3</v>
      </c>
      <c r="J2192" s="4">
        <f t="shared" ref="J2192:J2211" si="52">I2192</f>
        <v>3</v>
      </c>
      <c r="K2192" s="6" t="s">
        <v>2120</v>
      </c>
    </row>
    <row r="2193" spans="1:11" s="4" customFormat="1">
      <c r="A2193" s="4">
        <v>117008</v>
      </c>
      <c r="B2193" s="4">
        <v>1</v>
      </c>
      <c r="C2193" s="4">
        <v>1</v>
      </c>
      <c r="D2193" s="4">
        <v>0</v>
      </c>
      <c r="E2193" s="4">
        <v>0</v>
      </c>
      <c r="F2193" s="4">
        <v>1</v>
      </c>
      <c r="G2193" s="4">
        <v>21001</v>
      </c>
      <c r="H2193" s="4">
        <f>INT(VLOOKUP(A2193,洗矿索引!$B$2:$H$97,IF(INT(G2193/10000)=11,7,IF(INT(G2193/10000)=2,6,IF(RIGHT(G2193,1)="0",4,5))),TRUE)/IF(INT(G2193/10000)=11,1,IF(INT(G2193/10000)=2,3,IF(RIGHT(G2193,1)=0,6,6)))*100000)</f>
        <v>333</v>
      </c>
      <c r="I2193" s="4">
        <f>IF(G2193=114000,VLOOKUP(A2193,洗矿索引!$B$2:$H$97,3,FALSE),1)</f>
        <v>1</v>
      </c>
      <c r="J2193" s="4">
        <f t="shared" si="52"/>
        <v>1</v>
      </c>
      <c r="K2193" s="6" t="s">
        <v>2121</v>
      </c>
    </row>
    <row r="2194" spans="1:11" s="4" customFormat="1">
      <c r="A2194" s="4">
        <v>117008</v>
      </c>
      <c r="B2194" s="4">
        <v>1</v>
      </c>
      <c r="C2194" s="4">
        <v>1</v>
      </c>
      <c r="D2194" s="4">
        <v>0</v>
      </c>
      <c r="E2194" s="4">
        <v>0</v>
      </c>
      <c r="F2194" s="4">
        <v>1</v>
      </c>
      <c r="G2194" s="4">
        <v>21002</v>
      </c>
      <c r="H2194" s="4">
        <f>INT(VLOOKUP(A2194,洗矿索引!$B$2:$H$97,IF(INT(G2194/10000)=11,7,IF(INT(G2194/10000)=2,6,IF(RIGHT(G2194,1)="0",4,5))),TRUE)/IF(INT(G2194/10000)=11,1,IF(INT(G2194/10000)=2,3,IF(RIGHT(G2194,1)=0,6,6)))*100000)</f>
        <v>333</v>
      </c>
      <c r="I2194" s="4">
        <f>IF(G2194=114000,VLOOKUP(A2194,洗矿索引!$B$2:$H$97,3,FALSE),1)</f>
        <v>1</v>
      </c>
      <c r="J2194" s="4">
        <f t="shared" si="52"/>
        <v>1</v>
      </c>
      <c r="K2194" s="6" t="s">
        <v>2122</v>
      </c>
    </row>
    <row r="2195" spans="1:11" s="4" customFormat="1">
      <c r="A2195" s="4">
        <v>117008</v>
      </c>
      <c r="B2195" s="4">
        <v>1</v>
      </c>
      <c r="C2195" s="4">
        <v>1</v>
      </c>
      <c r="D2195" s="4">
        <v>0</v>
      </c>
      <c r="E2195" s="4">
        <v>0</v>
      </c>
      <c r="F2195" s="4">
        <v>1</v>
      </c>
      <c r="G2195" s="4">
        <v>21003</v>
      </c>
      <c r="H2195" s="4">
        <f>INT(VLOOKUP(A2195,洗矿索引!$B$2:$H$97,IF(INT(G2195/10000)=11,7,IF(INT(G2195/10000)=2,6,IF(RIGHT(G2195,1)="0",4,5))),TRUE)/IF(INT(G2195/10000)=11,1,IF(INT(G2195/10000)=2,3,IF(RIGHT(G2195,1)=0,6,6)))*100000)</f>
        <v>333</v>
      </c>
      <c r="I2195" s="4">
        <f>IF(G2195=114000,VLOOKUP(A2195,洗矿索引!$B$2:$H$97,3,FALSE),1)</f>
        <v>1</v>
      </c>
      <c r="J2195" s="4">
        <f t="shared" si="52"/>
        <v>1</v>
      </c>
      <c r="K2195" s="6" t="s">
        <v>2123</v>
      </c>
    </row>
    <row r="2196" spans="1:11" s="4" customFormat="1">
      <c r="A2196" s="4">
        <v>117009</v>
      </c>
      <c r="B2196" s="4">
        <v>1</v>
      </c>
      <c r="C2196" s="4">
        <v>1</v>
      </c>
      <c r="D2196" s="4">
        <v>0</v>
      </c>
      <c r="E2196" s="4">
        <v>0</v>
      </c>
      <c r="F2196" s="4">
        <v>1</v>
      </c>
      <c r="G2196" s="4">
        <v>114000</v>
      </c>
      <c r="H2196" s="4">
        <f>INT(VLOOKUP(A2196,洗矿索引!$B$2:$H$97,IF(INT(G2196/10000)=11,7,IF(INT(G2196/10000)=2,6,IF(RIGHT(G2196,1)="0",4,5))),TRUE)/IF(INT(G2196/10000)=11,1,IF(INT(G2196/10000)=2,3,IF(RIGHT(G2196,1)=0,6,6)))*100000)</f>
        <v>98900</v>
      </c>
      <c r="I2196" s="4">
        <f>IF(G2196=114000,VLOOKUP(A2196,洗矿索引!$B$2:$H$97,3,FALSE),1)</f>
        <v>3</v>
      </c>
      <c r="J2196" s="4">
        <f t="shared" si="52"/>
        <v>3</v>
      </c>
      <c r="K2196" s="6" t="s">
        <v>2124</v>
      </c>
    </row>
    <row r="2197" spans="1:11" s="4" customFormat="1">
      <c r="A2197" s="4">
        <v>117009</v>
      </c>
      <c r="B2197" s="4">
        <v>1</v>
      </c>
      <c r="C2197" s="4">
        <v>1</v>
      </c>
      <c r="D2197" s="4">
        <v>0</v>
      </c>
      <c r="E2197" s="4">
        <v>0</v>
      </c>
      <c r="F2197" s="4">
        <v>1</v>
      </c>
      <c r="G2197" s="4">
        <v>21001</v>
      </c>
      <c r="H2197" s="4">
        <f>INT(VLOOKUP(A2197,洗矿索引!$B$2:$H$97,IF(INT(G2197/10000)=11,7,IF(INT(G2197/10000)=2,6,IF(RIGHT(G2197,1)="0",4,5))),TRUE)/IF(INT(G2197/10000)=11,1,IF(INT(G2197/10000)=2,3,IF(RIGHT(G2197,1)=0,6,6)))*100000)</f>
        <v>366</v>
      </c>
      <c r="I2197" s="4">
        <f>IF(G2197=114000,VLOOKUP(A2197,洗矿索引!$B$2:$H$97,3,FALSE),1)</f>
        <v>1</v>
      </c>
      <c r="J2197" s="4">
        <f t="shared" si="52"/>
        <v>1</v>
      </c>
      <c r="K2197" s="6" t="s">
        <v>2125</v>
      </c>
    </row>
    <row r="2198" spans="1:11" s="4" customFormat="1">
      <c r="A2198" s="4">
        <v>117009</v>
      </c>
      <c r="B2198" s="4">
        <v>1</v>
      </c>
      <c r="C2198" s="4">
        <v>1</v>
      </c>
      <c r="D2198" s="4">
        <v>0</v>
      </c>
      <c r="E2198" s="4">
        <v>0</v>
      </c>
      <c r="F2198" s="4">
        <v>1</v>
      </c>
      <c r="G2198" s="4">
        <v>21002</v>
      </c>
      <c r="H2198" s="4">
        <f>INT(VLOOKUP(A2198,洗矿索引!$B$2:$H$97,IF(INT(G2198/10000)=11,7,IF(INT(G2198/10000)=2,6,IF(RIGHT(G2198,1)="0",4,5))),TRUE)/IF(INT(G2198/10000)=11,1,IF(INT(G2198/10000)=2,3,IF(RIGHT(G2198,1)=0,6,6)))*100000)</f>
        <v>366</v>
      </c>
      <c r="I2198" s="4">
        <f>IF(G2198=114000,VLOOKUP(A2198,洗矿索引!$B$2:$H$97,3,FALSE),1)</f>
        <v>1</v>
      </c>
      <c r="J2198" s="4">
        <f t="shared" si="52"/>
        <v>1</v>
      </c>
      <c r="K2198" s="6" t="s">
        <v>2126</v>
      </c>
    </row>
    <row r="2199" spans="1:11" s="4" customFormat="1">
      <c r="A2199" s="4">
        <v>117009</v>
      </c>
      <c r="B2199" s="4">
        <v>1</v>
      </c>
      <c r="C2199" s="4">
        <v>1</v>
      </c>
      <c r="D2199" s="4">
        <v>0</v>
      </c>
      <c r="E2199" s="4">
        <v>0</v>
      </c>
      <c r="F2199" s="4">
        <v>1</v>
      </c>
      <c r="G2199" s="4">
        <v>21003</v>
      </c>
      <c r="H2199" s="4">
        <f>INT(VLOOKUP(A2199,洗矿索引!$B$2:$H$97,IF(INT(G2199/10000)=11,7,IF(INT(G2199/10000)=2,6,IF(RIGHT(G2199,1)="0",4,5))),TRUE)/IF(INT(G2199/10000)=11,1,IF(INT(G2199/10000)=2,3,IF(RIGHT(G2199,1)=0,6,6)))*100000)</f>
        <v>366</v>
      </c>
      <c r="I2199" s="4">
        <f>IF(G2199=114000,VLOOKUP(A2199,洗矿索引!$B$2:$H$97,3,FALSE),1)</f>
        <v>1</v>
      </c>
      <c r="J2199" s="4">
        <f t="shared" si="52"/>
        <v>1</v>
      </c>
      <c r="K2199" s="6" t="s">
        <v>2127</v>
      </c>
    </row>
    <row r="2200" spans="1:11" s="4" customFormat="1">
      <c r="A2200" s="4">
        <v>117010</v>
      </c>
      <c r="B2200" s="4">
        <v>1</v>
      </c>
      <c r="C2200" s="4">
        <v>1</v>
      </c>
      <c r="D2200" s="4">
        <v>0</v>
      </c>
      <c r="E2200" s="4">
        <v>0</v>
      </c>
      <c r="F2200" s="4">
        <v>1</v>
      </c>
      <c r="G2200" s="4">
        <v>114000</v>
      </c>
      <c r="H2200" s="4">
        <f>INT(VLOOKUP(A2200,洗矿索引!$B$2:$H$97,IF(INT(G2200/10000)=11,7,IF(INT(G2200/10000)=2,6,IF(RIGHT(G2200,1)="0",4,5))),TRUE)/IF(INT(G2200/10000)=11,1,IF(INT(G2200/10000)=2,3,IF(RIGHT(G2200,1)=0,6,6)))*100000)</f>
        <v>98800</v>
      </c>
      <c r="I2200" s="4">
        <f>IF(G2200=114000,VLOOKUP(A2200,洗矿索引!$B$2:$H$97,3,FALSE),1)</f>
        <v>3</v>
      </c>
      <c r="J2200" s="4">
        <f t="shared" si="52"/>
        <v>3</v>
      </c>
      <c r="K2200" s="6" t="s">
        <v>2128</v>
      </c>
    </row>
    <row r="2201" spans="1:11" s="4" customFormat="1">
      <c r="A2201" s="4">
        <v>117010</v>
      </c>
      <c r="B2201" s="4">
        <v>1</v>
      </c>
      <c r="C2201" s="4">
        <v>1</v>
      </c>
      <c r="D2201" s="4">
        <v>0</v>
      </c>
      <c r="E2201" s="4">
        <v>0</v>
      </c>
      <c r="F2201" s="4">
        <v>1</v>
      </c>
      <c r="G2201" s="4">
        <v>21001</v>
      </c>
      <c r="H2201" s="4">
        <f>INT(VLOOKUP(A2201,洗矿索引!$B$2:$H$97,IF(INT(G2201/10000)=11,7,IF(INT(G2201/10000)=2,6,IF(RIGHT(G2201,1)="0",4,5))),TRUE)/IF(INT(G2201/10000)=11,1,IF(INT(G2201/10000)=2,3,IF(RIGHT(G2201,1)=0,6,6)))*100000)</f>
        <v>400</v>
      </c>
      <c r="I2201" s="4">
        <f>IF(G2201=114000,VLOOKUP(A2201,洗矿索引!$B$2:$H$97,3,FALSE),1)</f>
        <v>1</v>
      </c>
      <c r="J2201" s="4">
        <f t="shared" si="52"/>
        <v>1</v>
      </c>
      <c r="K2201" s="6" t="s">
        <v>2129</v>
      </c>
    </row>
    <row r="2202" spans="1:11" s="4" customFormat="1">
      <c r="A2202" s="4">
        <v>117010</v>
      </c>
      <c r="B2202" s="4">
        <v>1</v>
      </c>
      <c r="C2202" s="4">
        <v>1</v>
      </c>
      <c r="D2202" s="4">
        <v>0</v>
      </c>
      <c r="E2202" s="4">
        <v>0</v>
      </c>
      <c r="F2202" s="4">
        <v>1</v>
      </c>
      <c r="G2202" s="4">
        <v>21002</v>
      </c>
      <c r="H2202" s="4">
        <f>INT(VLOOKUP(A2202,洗矿索引!$B$2:$H$97,IF(INT(G2202/10000)=11,7,IF(INT(G2202/10000)=2,6,IF(RIGHT(G2202,1)="0",4,5))),TRUE)/IF(INT(G2202/10000)=11,1,IF(INT(G2202/10000)=2,3,IF(RIGHT(G2202,1)=0,6,6)))*100000)</f>
        <v>400</v>
      </c>
      <c r="I2202" s="4">
        <f>IF(G2202=114000,VLOOKUP(A2202,洗矿索引!$B$2:$H$97,3,FALSE),1)</f>
        <v>1</v>
      </c>
      <c r="J2202" s="4">
        <f t="shared" si="52"/>
        <v>1</v>
      </c>
      <c r="K2202" s="6" t="s">
        <v>2130</v>
      </c>
    </row>
    <row r="2203" spans="1:11" s="4" customFormat="1">
      <c r="A2203" s="4">
        <v>117010</v>
      </c>
      <c r="B2203" s="4">
        <v>1</v>
      </c>
      <c r="C2203" s="4">
        <v>1</v>
      </c>
      <c r="D2203" s="4">
        <v>0</v>
      </c>
      <c r="E2203" s="4">
        <v>0</v>
      </c>
      <c r="F2203" s="4">
        <v>1</v>
      </c>
      <c r="G2203" s="4">
        <v>21003</v>
      </c>
      <c r="H2203" s="4">
        <f>INT(VLOOKUP(A2203,洗矿索引!$B$2:$H$97,IF(INT(G2203/10000)=11,7,IF(INT(G2203/10000)=2,6,IF(RIGHT(G2203,1)="0",4,5))),TRUE)/IF(INT(G2203/10000)=11,1,IF(INT(G2203/10000)=2,3,IF(RIGHT(G2203,1)=0,6,6)))*100000)</f>
        <v>400</v>
      </c>
      <c r="I2203" s="4">
        <f>IF(G2203=114000,VLOOKUP(A2203,洗矿索引!$B$2:$H$97,3,FALSE),1)</f>
        <v>1</v>
      </c>
      <c r="J2203" s="4">
        <f t="shared" si="52"/>
        <v>1</v>
      </c>
      <c r="K2203" s="6" t="s">
        <v>2131</v>
      </c>
    </row>
    <row r="2204" spans="1:11" s="4" customFormat="1">
      <c r="A2204" s="4">
        <v>117011</v>
      </c>
      <c r="B2204" s="4">
        <v>1</v>
      </c>
      <c r="C2204" s="4">
        <v>1</v>
      </c>
      <c r="D2204" s="4">
        <v>0</v>
      </c>
      <c r="E2204" s="4">
        <v>0</v>
      </c>
      <c r="F2204" s="4">
        <v>1</v>
      </c>
      <c r="G2204" s="4">
        <v>114000</v>
      </c>
      <c r="H2204" s="4">
        <f>INT(VLOOKUP(A2204,洗矿索引!$B$2:$H$97,IF(INT(G2204/10000)=11,7,IF(INT(G2204/10000)=2,6,IF(RIGHT(G2204,1)="0",4,5))),TRUE)/IF(INT(G2204/10000)=11,1,IF(INT(G2204/10000)=2,3,IF(RIGHT(G2204,1)=0,6,6)))*100000)</f>
        <v>98700</v>
      </c>
      <c r="I2204" s="4">
        <f>IF(G2204=114000,VLOOKUP(A2204,洗矿索引!$B$2:$H$97,3,FALSE),1)</f>
        <v>3</v>
      </c>
      <c r="J2204" s="4">
        <f t="shared" si="52"/>
        <v>3</v>
      </c>
      <c r="K2204" s="6" t="s">
        <v>2132</v>
      </c>
    </row>
    <row r="2205" spans="1:11" s="4" customFormat="1">
      <c r="A2205" s="4">
        <v>117011</v>
      </c>
      <c r="B2205" s="4">
        <v>1</v>
      </c>
      <c r="C2205" s="4">
        <v>1</v>
      </c>
      <c r="D2205" s="4">
        <v>0</v>
      </c>
      <c r="E2205" s="4">
        <v>0</v>
      </c>
      <c r="F2205" s="4">
        <v>1</v>
      </c>
      <c r="G2205" s="4">
        <v>21001</v>
      </c>
      <c r="H2205" s="4">
        <f>INT(VLOOKUP(A2205,洗矿索引!$B$2:$H$97,IF(INT(G2205/10000)=11,7,IF(INT(G2205/10000)=2,6,IF(RIGHT(G2205,1)="0",4,5))),TRUE)/IF(INT(G2205/10000)=11,1,IF(INT(G2205/10000)=2,3,IF(RIGHT(G2205,1)=0,6,6)))*100000)</f>
        <v>433</v>
      </c>
      <c r="I2205" s="4">
        <f>IF(G2205=114000,VLOOKUP(A2205,洗矿索引!$B$2:$H$97,3,FALSE),1)</f>
        <v>1</v>
      </c>
      <c r="J2205" s="4">
        <f t="shared" si="52"/>
        <v>1</v>
      </c>
      <c r="K2205" s="6" t="s">
        <v>2133</v>
      </c>
    </row>
    <row r="2206" spans="1:11" s="4" customFormat="1">
      <c r="A2206" s="4">
        <v>117011</v>
      </c>
      <c r="B2206" s="4">
        <v>1</v>
      </c>
      <c r="C2206" s="4">
        <v>1</v>
      </c>
      <c r="D2206" s="4">
        <v>0</v>
      </c>
      <c r="E2206" s="4">
        <v>0</v>
      </c>
      <c r="F2206" s="4">
        <v>1</v>
      </c>
      <c r="G2206" s="4">
        <v>21002</v>
      </c>
      <c r="H2206" s="4">
        <f>INT(VLOOKUP(A2206,洗矿索引!$B$2:$H$97,IF(INT(G2206/10000)=11,7,IF(INT(G2206/10000)=2,6,IF(RIGHT(G2206,1)="0",4,5))),TRUE)/IF(INT(G2206/10000)=11,1,IF(INT(G2206/10000)=2,3,IF(RIGHT(G2206,1)=0,6,6)))*100000)</f>
        <v>433</v>
      </c>
      <c r="I2206" s="4">
        <f>IF(G2206=114000,VLOOKUP(A2206,洗矿索引!$B$2:$H$97,3,FALSE),1)</f>
        <v>1</v>
      </c>
      <c r="J2206" s="4">
        <f t="shared" si="52"/>
        <v>1</v>
      </c>
      <c r="K2206" s="6" t="s">
        <v>2134</v>
      </c>
    </row>
    <row r="2207" spans="1:11" s="4" customFormat="1">
      <c r="A2207" s="4">
        <v>117011</v>
      </c>
      <c r="B2207" s="4">
        <v>1</v>
      </c>
      <c r="C2207" s="4">
        <v>1</v>
      </c>
      <c r="D2207" s="4">
        <v>0</v>
      </c>
      <c r="E2207" s="4">
        <v>0</v>
      </c>
      <c r="F2207" s="4">
        <v>1</v>
      </c>
      <c r="G2207" s="4">
        <v>21003</v>
      </c>
      <c r="H2207" s="4">
        <f>INT(VLOOKUP(A2207,洗矿索引!$B$2:$H$97,IF(INT(G2207/10000)=11,7,IF(INT(G2207/10000)=2,6,IF(RIGHT(G2207,1)="0",4,5))),TRUE)/IF(INT(G2207/10000)=11,1,IF(INT(G2207/10000)=2,3,IF(RIGHT(G2207,1)=0,6,6)))*100000)</f>
        <v>433</v>
      </c>
      <c r="I2207" s="4">
        <f>IF(G2207=114000,VLOOKUP(A2207,洗矿索引!$B$2:$H$97,3,FALSE),1)</f>
        <v>1</v>
      </c>
      <c r="J2207" s="4">
        <f t="shared" si="52"/>
        <v>1</v>
      </c>
      <c r="K2207" s="6" t="s">
        <v>2135</v>
      </c>
    </row>
    <row r="2208" spans="1:11" s="4" customFormat="1">
      <c r="A2208" s="4">
        <v>117012</v>
      </c>
      <c r="B2208" s="4">
        <v>1</v>
      </c>
      <c r="C2208" s="4">
        <v>1</v>
      </c>
      <c r="D2208" s="4">
        <v>0</v>
      </c>
      <c r="E2208" s="4">
        <v>0</v>
      </c>
      <c r="F2208" s="4">
        <v>1</v>
      </c>
      <c r="G2208" s="4">
        <v>114000</v>
      </c>
      <c r="H2208" s="4">
        <f>INT(VLOOKUP(A2208,洗矿索引!$B$2:$H$97,IF(INT(G2208/10000)=11,7,IF(INT(G2208/10000)=2,6,IF(RIGHT(G2208,1)="0",4,5))),TRUE)/IF(INT(G2208/10000)=11,1,IF(INT(G2208/10000)=2,3,IF(RIGHT(G2208,1)=0,6,6)))*100000)</f>
        <v>98600</v>
      </c>
      <c r="I2208" s="4">
        <f>IF(G2208=114000,VLOOKUP(A2208,洗矿索引!$B$2:$H$97,3,FALSE),1)</f>
        <v>3</v>
      </c>
      <c r="J2208" s="4">
        <f t="shared" si="52"/>
        <v>3</v>
      </c>
      <c r="K2208" s="6" t="s">
        <v>2136</v>
      </c>
    </row>
    <row r="2209" spans="1:11" s="4" customFormat="1">
      <c r="A2209" s="4">
        <v>117012</v>
      </c>
      <c r="B2209" s="4">
        <v>1</v>
      </c>
      <c r="C2209" s="4">
        <v>1</v>
      </c>
      <c r="D2209" s="4">
        <v>0</v>
      </c>
      <c r="E2209" s="4">
        <v>0</v>
      </c>
      <c r="F2209" s="4">
        <v>1</v>
      </c>
      <c r="G2209" s="4">
        <v>21001</v>
      </c>
      <c r="H2209" s="4">
        <f>INT(VLOOKUP(A2209,洗矿索引!$B$2:$H$97,IF(INT(G2209/10000)=11,7,IF(INT(G2209/10000)=2,6,IF(RIGHT(G2209,1)="0",4,5))),TRUE)/IF(INT(G2209/10000)=11,1,IF(INT(G2209/10000)=2,3,IF(RIGHT(G2209,1)=0,6,6)))*100000)</f>
        <v>466</v>
      </c>
      <c r="I2209" s="4">
        <f>IF(G2209=114000,VLOOKUP(A2209,洗矿索引!$B$2:$H$97,3,FALSE),1)</f>
        <v>1</v>
      </c>
      <c r="J2209" s="4">
        <f t="shared" si="52"/>
        <v>1</v>
      </c>
      <c r="K2209" s="6" t="s">
        <v>2137</v>
      </c>
    </row>
    <row r="2210" spans="1:11" s="4" customFormat="1">
      <c r="A2210" s="4">
        <v>117012</v>
      </c>
      <c r="B2210" s="4">
        <v>1</v>
      </c>
      <c r="C2210" s="4">
        <v>1</v>
      </c>
      <c r="D2210" s="4">
        <v>0</v>
      </c>
      <c r="E2210" s="4">
        <v>0</v>
      </c>
      <c r="F2210" s="4">
        <v>1</v>
      </c>
      <c r="G2210" s="4">
        <v>21002</v>
      </c>
      <c r="H2210" s="4">
        <f>INT(VLOOKUP(A2210,洗矿索引!$B$2:$H$97,IF(INT(G2210/10000)=11,7,IF(INT(G2210/10000)=2,6,IF(RIGHT(G2210,1)="0",4,5))),TRUE)/IF(INT(G2210/10000)=11,1,IF(INT(G2210/10000)=2,3,IF(RIGHT(G2210,1)=0,6,6)))*100000)</f>
        <v>466</v>
      </c>
      <c r="I2210" s="4">
        <f>IF(G2210=114000,VLOOKUP(A2210,洗矿索引!$B$2:$H$97,3,FALSE),1)</f>
        <v>1</v>
      </c>
      <c r="J2210" s="4">
        <f t="shared" si="52"/>
        <v>1</v>
      </c>
      <c r="K2210" s="6" t="s">
        <v>2138</v>
      </c>
    </row>
    <row r="2211" spans="1:11" s="4" customFormat="1">
      <c r="A2211" s="4">
        <v>117012</v>
      </c>
      <c r="B2211" s="4">
        <v>1</v>
      </c>
      <c r="C2211" s="4">
        <v>1</v>
      </c>
      <c r="D2211" s="4">
        <v>0</v>
      </c>
      <c r="E2211" s="4">
        <v>0</v>
      </c>
      <c r="F2211" s="4">
        <v>1</v>
      </c>
      <c r="G2211" s="4">
        <v>21003</v>
      </c>
      <c r="H2211" s="4">
        <f>INT(VLOOKUP(A2211,洗矿索引!$B$2:$H$97,IF(INT(G2211/10000)=11,7,IF(INT(G2211/10000)=2,6,IF(RIGHT(G2211,1)="0",4,5))),TRUE)/IF(INT(G2211/10000)=11,1,IF(INT(G2211/10000)=2,3,IF(RIGHT(G2211,1)=0,6,6)))*100000)</f>
        <v>466</v>
      </c>
      <c r="I2211" s="4">
        <f>IF(G2211=114000,VLOOKUP(A2211,洗矿索引!$B$2:$H$97,3,FALSE),1)</f>
        <v>1</v>
      </c>
      <c r="J2211" s="4">
        <f t="shared" si="52"/>
        <v>1</v>
      </c>
      <c r="K2211" s="6" t="s">
        <v>2139</v>
      </c>
    </row>
    <row r="2212" spans="1:11" s="4" customFormat="1">
      <c r="A2212" s="4">
        <v>117013</v>
      </c>
      <c r="B2212" s="4">
        <v>1</v>
      </c>
      <c r="C2212" s="4">
        <v>1</v>
      </c>
      <c r="D2212" s="4">
        <v>0</v>
      </c>
      <c r="E2212" s="4">
        <v>0</v>
      </c>
      <c r="F2212" s="4">
        <v>1</v>
      </c>
      <c r="G2212" s="4">
        <v>114000</v>
      </c>
      <c r="H2212" s="4">
        <f>INT(VLOOKUP(A2212,洗矿索引!$B$2:$H$97,IF(INT(G2212/10000)=11,7,IF(INT(G2212/10000)=2,6,IF(RIGHT(G2212,1)="0",4,5))),TRUE)/IF(INT(G2212/10000)=11,1,IF(INT(G2212/10000)=2,3,IF(RIGHT(G2212,1)=0,6,6)))*100000)</f>
        <v>98500</v>
      </c>
      <c r="I2212" s="4">
        <f>IF(G2212=114000,VLOOKUP(A2212,洗矿索引!$B$2:$H$97,3,FALSE),1)</f>
        <v>3</v>
      </c>
      <c r="J2212" s="4">
        <f t="shared" ref="J2212:J2228" si="53">I2212</f>
        <v>3</v>
      </c>
      <c r="K2212" s="6" t="s">
        <v>2140</v>
      </c>
    </row>
    <row r="2213" spans="1:11" s="4" customFormat="1">
      <c r="A2213" s="4">
        <v>117013</v>
      </c>
      <c r="B2213" s="4">
        <v>1</v>
      </c>
      <c r="C2213" s="4">
        <v>1</v>
      </c>
      <c r="D2213" s="4">
        <v>0</v>
      </c>
      <c r="E2213" s="4">
        <v>0</v>
      </c>
      <c r="F2213" s="4">
        <v>1</v>
      </c>
      <c r="G2213" s="4">
        <v>21001</v>
      </c>
      <c r="H2213" s="4">
        <f>INT(VLOOKUP(A2213,洗矿索引!$B$2:$H$97,IF(INT(G2213/10000)=11,7,IF(INT(G2213/10000)=2,6,IF(RIGHT(G2213,1)="0",4,5))),TRUE)/IF(INT(G2213/10000)=11,1,IF(INT(G2213/10000)=2,3,IF(RIGHT(G2213,1)=0,6,6)))*100000)</f>
        <v>500</v>
      </c>
      <c r="I2213" s="4">
        <f>IF(G2213=114000,VLOOKUP(A2213,洗矿索引!$B$2:$H$97,3,FALSE),1)</f>
        <v>1</v>
      </c>
      <c r="J2213" s="4">
        <f t="shared" si="53"/>
        <v>1</v>
      </c>
      <c r="K2213" s="6" t="s">
        <v>2141</v>
      </c>
    </row>
    <row r="2214" spans="1:11" s="4" customFormat="1">
      <c r="A2214" s="4">
        <v>117013</v>
      </c>
      <c r="B2214" s="4">
        <v>1</v>
      </c>
      <c r="C2214" s="4">
        <v>1</v>
      </c>
      <c r="D2214" s="4">
        <v>0</v>
      </c>
      <c r="E2214" s="4">
        <v>0</v>
      </c>
      <c r="F2214" s="4">
        <v>1</v>
      </c>
      <c r="G2214" s="4">
        <v>21002</v>
      </c>
      <c r="H2214" s="4">
        <f>INT(VLOOKUP(A2214,洗矿索引!$B$2:$H$97,IF(INT(G2214/10000)=11,7,IF(INT(G2214/10000)=2,6,IF(RIGHT(G2214,1)="0",4,5))),TRUE)/IF(INT(G2214/10000)=11,1,IF(INT(G2214/10000)=2,3,IF(RIGHT(G2214,1)=0,6,6)))*100000)</f>
        <v>500</v>
      </c>
      <c r="I2214" s="4">
        <f>IF(G2214=114000,VLOOKUP(A2214,洗矿索引!$B$2:$H$97,3,FALSE),1)</f>
        <v>1</v>
      </c>
      <c r="J2214" s="4">
        <f t="shared" si="53"/>
        <v>1</v>
      </c>
      <c r="K2214" s="6" t="s">
        <v>2142</v>
      </c>
    </row>
    <row r="2215" spans="1:11" s="4" customFormat="1">
      <c r="A2215" s="4">
        <v>117013</v>
      </c>
      <c r="B2215" s="4">
        <v>1</v>
      </c>
      <c r="C2215" s="4">
        <v>1</v>
      </c>
      <c r="D2215" s="4">
        <v>0</v>
      </c>
      <c r="E2215" s="4">
        <v>0</v>
      </c>
      <c r="F2215" s="4">
        <v>1</v>
      </c>
      <c r="G2215" s="4">
        <v>21003</v>
      </c>
      <c r="H2215" s="4">
        <f>INT(VLOOKUP(A2215,洗矿索引!$B$2:$H$97,IF(INT(G2215/10000)=11,7,IF(INT(G2215/10000)=2,6,IF(RIGHT(G2215,1)="0",4,5))),TRUE)/IF(INT(G2215/10000)=11,1,IF(INT(G2215/10000)=2,3,IF(RIGHT(G2215,1)=0,6,6)))*100000)</f>
        <v>500</v>
      </c>
      <c r="I2215" s="4">
        <f>IF(G2215=114000,VLOOKUP(A2215,洗矿索引!$B$2:$H$97,3,FALSE),1)</f>
        <v>1</v>
      </c>
      <c r="J2215" s="4">
        <f t="shared" si="53"/>
        <v>1</v>
      </c>
      <c r="K2215" s="6" t="s">
        <v>2143</v>
      </c>
    </row>
    <row r="2216" spans="1:11" s="4" customFormat="1">
      <c r="A2216" s="4">
        <v>117014</v>
      </c>
      <c r="B2216" s="4">
        <v>1</v>
      </c>
      <c r="C2216" s="4">
        <v>1</v>
      </c>
      <c r="D2216" s="4">
        <v>0</v>
      </c>
      <c r="E2216" s="4">
        <v>0</v>
      </c>
      <c r="F2216" s="4">
        <v>1</v>
      </c>
      <c r="G2216" s="4">
        <v>114000</v>
      </c>
      <c r="H2216" s="4">
        <f>INT(VLOOKUP(A2216,洗矿索引!$B$2:$H$97,IF(INT(G2216/10000)=11,7,IF(INT(G2216/10000)=2,6,IF(RIGHT(G2216,1)="0",4,5))),TRUE)/IF(INT(G2216/10000)=11,1,IF(INT(G2216/10000)=2,3,IF(RIGHT(G2216,1)=0,6,6)))*100000)</f>
        <v>98400</v>
      </c>
      <c r="I2216" s="4">
        <f>IF(G2216=114000,VLOOKUP(A2216,洗矿索引!$B$2:$H$97,3,FALSE),1)</f>
        <v>3</v>
      </c>
      <c r="J2216" s="4">
        <f t="shared" si="53"/>
        <v>3</v>
      </c>
      <c r="K2216" s="6" t="s">
        <v>2144</v>
      </c>
    </row>
    <row r="2217" spans="1:11" s="4" customFormat="1">
      <c r="A2217" s="4">
        <v>117014</v>
      </c>
      <c r="B2217" s="4">
        <v>1</v>
      </c>
      <c r="C2217" s="4">
        <v>1</v>
      </c>
      <c r="D2217" s="4">
        <v>0</v>
      </c>
      <c r="E2217" s="4">
        <v>0</v>
      </c>
      <c r="F2217" s="4">
        <v>1</v>
      </c>
      <c r="G2217" s="4">
        <v>21001</v>
      </c>
      <c r="H2217" s="4">
        <f>INT(VLOOKUP(A2217,洗矿索引!$B$2:$H$97,IF(INT(G2217/10000)=11,7,IF(INT(G2217/10000)=2,6,IF(RIGHT(G2217,1)="0",4,5))),TRUE)/IF(INT(G2217/10000)=11,1,IF(INT(G2217/10000)=2,3,IF(RIGHT(G2217,1)=0,6,6)))*100000)</f>
        <v>533</v>
      </c>
      <c r="I2217" s="4">
        <f>IF(G2217=114000,VLOOKUP(A2217,洗矿索引!$B$2:$H$97,3,FALSE),1)</f>
        <v>1</v>
      </c>
      <c r="J2217" s="4">
        <f t="shared" si="53"/>
        <v>1</v>
      </c>
      <c r="K2217" s="6" t="s">
        <v>2145</v>
      </c>
    </row>
    <row r="2218" spans="1:11" s="4" customFormat="1">
      <c r="A2218" s="4">
        <v>117014</v>
      </c>
      <c r="B2218" s="4">
        <v>1</v>
      </c>
      <c r="C2218" s="4">
        <v>1</v>
      </c>
      <c r="D2218" s="4">
        <v>0</v>
      </c>
      <c r="E2218" s="4">
        <v>0</v>
      </c>
      <c r="F2218" s="4">
        <v>1</v>
      </c>
      <c r="G2218" s="4">
        <v>21002</v>
      </c>
      <c r="H2218" s="4">
        <f>INT(VLOOKUP(A2218,洗矿索引!$B$2:$H$97,IF(INT(G2218/10000)=11,7,IF(INT(G2218/10000)=2,6,IF(RIGHT(G2218,1)="0",4,5))),TRUE)/IF(INT(G2218/10000)=11,1,IF(INT(G2218/10000)=2,3,IF(RIGHT(G2218,1)=0,6,6)))*100000)</f>
        <v>533</v>
      </c>
      <c r="I2218" s="4">
        <f>IF(G2218=114000,VLOOKUP(A2218,洗矿索引!$B$2:$H$97,3,FALSE),1)</f>
        <v>1</v>
      </c>
      <c r="J2218" s="4">
        <f t="shared" si="53"/>
        <v>1</v>
      </c>
      <c r="K2218" s="6" t="s">
        <v>2146</v>
      </c>
    </row>
    <row r="2219" spans="1:11" s="4" customFormat="1">
      <c r="A2219" s="4">
        <v>117014</v>
      </c>
      <c r="B2219" s="4">
        <v>1</v>
      </c>
      <c r="C2219" s="4">
        <v>1</v>
      </c>
      <c r="D2219" s="4">
        <v>0</v>
      </c>
      <c r="E2219" s="4">
        <v>0</v>
      </c>
      <c r="F2219" s="4">
        <v>1</v>
      </c>
      <c r="G2219" s="4">
        <v>21003</v>
      </c>
      <c r="H2219" s="4">
        <f>INT(VLOOKUP(A2219,洗矿索引!$B$2:$H$97,IF(INT(G2219/10000)=11,7,IF(INT(G2219/10000)=2,6,IF(RIGHT(G2219,1)="0",4,5))),TRUE)/IF(INT(G2219/10000)=11,1,IF(INT(G2219/10000)=2,3,IF(RIGHT(G2219,1)=0,6,6)))*100000)</f>
        <v>533</v>
      </c>
      <c r="I2219" s="4">
        <f>IF(G2219=114000,VLOOKUP(A2219,洗矿索引!$B$2:$H$97,3,FALSE),1)</f>
        <v>1</v>
      </c>
      <c r="J2219" s="4">
        <f t="shared" si="53"/>
        <v>1</v>
      </c>
      <c r="K2219" s="6" t="s">
        <v>2147</v>
      </c>
    </row>
    <row r="2220" spans="1:11" s="4" customFormat="1">
      <c r="A2220" s="4">
        <v>117015</v>
      </c>
      <c r="B2220" s="4">
        <v>1</v>
      </c>
      <c r="C2220" s="4">
        <v>1</v>
      </c>
      <c r="D2220" s="4">
        <v>0</v>
      </c>
      <c r="E2220" s="4">
        <v>0</v>
      </c>
      <c r="F2220" s="4">
        <v>1</v>
      </c>
      <c r="G2220" s="4">
        <v>114000</v>
      </c>
      <c r="H2220" s="4">
        <f>INT(VLOOKUP(A2220,洗矿索引!$B$2:$H$97,IF(INT(G2220/10000)=11,7,IF(INT(G2220/10000)=2,6,IF(RIGHT(G2220,1)="0",4,5))),TRUE)/IF(INT(G2220/10000)=11,1,IF(INT(G2220/10000)=2,3,IF(RIGHT(G2220,1)=0,6,6)))*100000)</f>
        <v>98300</v>
      </c>
      <c r="I2220" s="4">
        <f>IF(G2220=114000,VLOOKUP(A2220,洗矿索引!$B$2:$H$97,3,FALSE),1)</f>
        <v>3</v>
      </c>
      <c r="J2220" s="4">
        <f t="shared" si="53"/>
        <v>3</v>
      </c>
      <c r="K2220" s="6" t="s">
        <v>2148</v>
      </c>
    </row>
    <row r="2221" spans="1:11" s="4" customFormat="1">
      <c r="A2221" s="4">
        <v>117015</v>
      </c>
      <c r="B2221" s="4">
        <v>1</v>
      </c>
      <c r="C2221" s="4">
        <v>1</v>
      </c>
      <c r="D2221" s="4">
        <v>0</v>
      </c>
      <c r="E2221" s="4">
        <v>0</v>
      </c>
      <c r="F2221" s="4">
        <v>1</v>
      </c>
      <c r="G2221" s="4">
        <v>21001</v>
      </c>
      <c r="H2221" s="4">
        <f>INT(VLOOKUP(A2221,洗矿索引!$B$2:$H$97,IF(INT(G2221/10000)=11,7,IF(INT(G2221/10000)=2,6,IF(RIGHT(G2221,1)="0",4,5))),TRUE)/IF(INT(G2221/10000)=11,1,IF(INT(G2221/10000)=2,3,IF(RIGHT(G2221,1)=0,6,6)))*100000)</f>
        <v>566</v>
      </c>
      <c r="I2221" s="4">
        <f>IF(G2221=114000,VLOOKUP(A2221,洗矿索引!$B$2:$H$97,3,FALSE),1)</f>
        <v>1</v>
      </c>
      <c r="J2221" s="4">
        <f t="shared" si="53"/>
        <v>1</v>
      </c>
      <c r="K2221" s="6" t="s">
        <v>2149</v>
      </c>
    </row>
    <row r="2222" spans="1:11" s="4" customFormat="1">
      <c r="A2222" s="4">
        <v>117015</v>
      </c>
      <c r="B2222" s="4">
        <v>1</v>
      </c>
      <c r="C2222" s="4">
        <v>1</v>
      </c>
      <c r="D2222" s="4">
        <v>0</v>
      </c>
      <c r="E2222" s="4">
        <v>0</v>
      </c>
      <c r="F2222" s="4">
        <v>1</v>
      </c>
      <c r="G2222" s="4">
        <v>21002</v>
      </c>
      <c r="H2222" s="4">
        <f>INT(VLOOKUP(A2222,洗矿索引!$B$2:$H$97,IF(INT(G2222/10000)=11,7,IF(INT(G2222/10000)=2,6,IF(RIGHT(G2222,1)="0",4,5))),TRUE)/IF(INT(G2222/10000)=11,1,IF(INT(G2222/10000)=2,3,IF(RIGHT(G2222,1)=0,6,6)))*100000)</f>
        <v>566</v>
      </c>
      <c r="I2222" s="4">
        <f>IF(G2222=114000,VLOOKUP(A2222,洗矿索引!$B$2:$H$97,3,FALSE),1)</f>
        <v>1</v>
      </c>
      <c r="J2222" s="4">
        <f t="shared" si="53"/>
        <v>1</v>
      </c>
      <c r="K2222" s="6" t="s">
        <v>2150</v>
      </c>
    </row>
    <row r="2223" spans="1:11" s="4" customFormat="1">
      <c r="A2223" s="4">
        <v>117015</v>
      </c>
      <c r="B2223" s="4">
        <v>1</v>
      </c>
      <c r="C2223" s="4">
        <v>1</v>
      </c>
      <c r="D2223" s="4">
        <v>0</v>
      </c>
      <c r="E2223" s="4">
        <v>0</v>
      </c>
      <c r="F2223" s="4">
        <v>1</v>
      </c>
      <c r="G2223" s="4">
        <v>21003</v>
      </c>
      <c r="H2223" s="4">
        <f>INT(VLOOKUP(A2223,洗矿索引!$B$2:$H$97,IF(INT(G2223/10000)=11,7,IF(INT(G2223/10000)=2,6,IF(RIGHT(G2223,1)="0",4,5))),TRUE)/IF(INT(G2223/10000)=11,1,IF(INT(G2223/10000)=2,3,IF(RIGHT(G2223,1)=0,6,6)))*100000)</f>
        <v>566</v>
      </c>
      <c r="I2223" s="4">
        <f>IF(G2223=114000,VLOOKUP(A2223,洗矿索引!$B$2:$H$97,3,FALSE),1)</f>
        <v>1</v>
      </c>
      <c r="J2223" s="4">
        <f t="shared" si="53"/>
        <v>1</v>
      </c>
      <c r="K2223" s="6" t="s">
        <v>2151</v>
      </c>
    </row>
    <row r="2224" spans="1:11" s="4" customFormat="1">
      <c r="A2224" s="4">
        <v>117016</v>
      </c>
      <c r="B2224" s="4">
        <v>1</v>
      </c>
      <c r="C2224" s="4">
        <v>1</v>
      </c>
      <c r="D2224" s="4">
        <v>0</v>
      </c>
      <c r="E2224" s="4">
        <v>0</v>
      </c>
      <c r="F2224" s="4">
        <v>1</v>
      </c>
      <c r="G2224" s="4">
        <v>114000</v>
      </c>
      <c r="H2224" s="4">
        <f>INT(VLOOKUP(A2224,洗矿索引!$B$2:$H$97,IF(INT(G2224/10000)=11,7,IF(INT(G2224/10000)=2,6,IF(RIGHT(G2224,1)="0",4,5))),TRUE)/IF(INT(G2224/10000)=11,1,IF(INT(G2224/10000)=2,3,IF(RIGHT(G2224,1)=0,6,6)))*100000)</f>
        <v>98200</v>
      </c>
      <c r="I2224" s="4">
        <f>IF(G2224=114000,VLOOKUP(A2224,洗矿索引!$B$2:$H$97,3,FALSE),1)</f>
        <v>3</v>
      </c>
      <c r="J2224" s="4">
        <f t="shared" si="53"/>
        <v>3</v>
      </c>
      <c r="K2224" s="6" t="s">
        <v>2152</v>
      </c>
    </row>
    <row r="2225" spans="1:11" s="4" customFormat="1">
      <c r="A2225" s="4">
        <v>117016</v>
      </c>
      <c r="B2225" s="4">
        <v>1</v>
      </c>
      <c r="C2225" s="4">
        <v>1</v>
      </c>
      <c r="D2225" s="4">
        <v>0</v>
      </c>
      <c r="E2225" s="4">
        <v>0</v>
      </c>
      <c r="F2225" s="4">
        <v>1</v>
      </c>
      <c r="G2225" s="4">
        <v>21001</v>
      </c>
      <c r="H2225" s="4">
        <f>INT(VLOOKUP(A2225,洗矿索引!$B$2:$H$97,IF(INT(G2225/10000)=11,7,IF(INT(G2225/10000)=2,6,IF(RIGHT(G2225,1)="0",4,5))),TRUE)/IF(INT(G2225/10000)=11,1,IF(INT(G2225/10000)=2,3,IF(RIGHT(G2225,1)=0,6,6)))*100000)</f>
        <v>600</v>
      </c>
      <c r="I2225" s="4">
        <f>IF(G2225=114000,VLOOKUP(A2225,洗矿索引!$B$2:$H$97,3,FALSE),1)</f>
        <v>1</v>
      </c>
      <c r="J2225" s="4">
        <f t="shared" si="53"/>
        <v>1</v>
      </c>
      <c r="K2225" s="6" t="s">
        <v>2153</v>
      </c>
    </row>
    <row r="2226" spans="1:11" s="4" customFormat="1">
      <c r="A2226" s="4">
        <v>117016</v>
      </c>
      <c r="B2226" s="4">
        <v>1</v>
      </c>
      <c r="C2226" s="4">
        <v>1</v>
      </c>
      <c r="D2226" s="4">
        <v>0</v>
      </c>
      <c r="E2226" s="4">
        <v>0</v>
      </c>
      <c r="F2226" s="4">
        <v>1</v>
      </c>
      <c r="G2226" s="4">
        <v>21002</v>
      </c>
      <c r="H2226" s="4">
        <f>INT(VLOOKUP(A2226,洗矿索引!$B$2:$H$97,IF(INT(G2226/10000)=11,7,IF(INT(G2226/10000)=2,6,IF(RIGHT(G2226,1)="0",4,5))),TRUE)/IF(INT(G2226/10000)=11,1,IF(INT(G2226/10000)=2,3,IF(RIGHT(G2226,1)=0,6,6)))*100000)</f>
        <v>600</v>
      </c>
      <c r="I2226" s="4">
        <f>IF(G2226=114000,VLOOKUP(A2226,洗矿索引!$B$2:$H$97,3,FALSE),1)</f>
        <v>1</v>
      </c>
      <c r="J2226" s="4">
        <f t="shared" si="53"/>
        <v>1</v>
      </c>
      <c r="K2226" s="6" t="s">
        <v>2154</v>
      </c>
    </row>
    <row r="2227" spans="1:11" s="4" customFormat="1">
      <c r="A2227" s="4">
        <v>117016</v>
      </c>
      <c r="B2227" s="4">
        <v>1</v>
      </c>
      <c r="C2227" s="4">
        <v>1</v>
      </c>
      <c r="D2227" s="4">
        <v>0</v>
      </c>
      <c r="E2227" s="4">
        <v>0</v>
      </c>
      <c r="F2227" s="4">
        <v>1</v>
      </c>
      <c r="G2227" s="4">
        <v>21003</v>
      </c>
      <c r="H2227" s="4">
        <f>INT(VLOOKUP(A2227,洗矿索引!$B$2:$H$97,IF(INT(G2227/10000)=11,7,IF(INT(G2227/10000)=2,6,IF(RIGHT(G2227,1)="0",4,5))),TRUE)/IF(INT(G2227/10000)=11,1,IF(INT(G2227/10000)=2,3,IF(RIGHT(G2227,1)=0,6,6)))*100000)</f>
        <v>600</v>
      </c>
      <c r="I2227" s="4">
        <f>IF(G2227=114000,VLOOKUP(A2227,洗矿索引!$B$2:$H$97,3,FALSE),1)</f>
        <v>1</v>
      </c>
      <c r="J2227" s="4">
        <f t="shared" si="53"/>
        <v>1</v>
      </c>
      <c r="K2227" s="6" t="s">
        <v>2155</v>
      </c>
    </row>
    <row r="2228" spans="1:11" s="4" customFormat="1">
      <c r="A2228" s="4">
        <v>117017</v>
      </c>
      <c r="B2228" s="4">
        <v>1</v>
      </c>
      <c r="C2228" s="4">
        <v>1</v>
      </c>
      <c r="D2228" s="4">
        <v>0</v>
      </c>
      <c r="E2228" s="4">
        <v>0</v>
      </c>
      <c r="F2228" s="4">
        <v>1</v>
      </c>
      <c r="G2228" s="4">
        <v>114000</v>
      </c>
      <c r="H2228" s="4">
        <f>INT(VLOOKUP(A2228,洗矿索引!$B$2:$H$97,IF(INT(G2228/10000)=11,7,IF(INT(G2228/10000)=2,6,IF(RIGHT(G2228,1)="0",4,5))),TRUE)/IF(INT(G2228/10000)=11,1,IF(INT(G2228/10000)=2,3,IF(RIGHT(G2228,1)=0,6,6)))*100000)</f>
        <v>98100</v>
      </c>
      <c r="I2228" s="4">
        <f>IF(G2228=114000,VLOOKUP(A2228,洗矿索引!$B$2:$H$97,3,FALSE),1)</f>
        <v>4</v>
      </c>
      <c r="J2228" s="4">
        <f t="shared" si="53"/>
        <v>4</v>
      </c>
      <c r="K2228" s="6" t="s">
        <v>2156</v>
      </c>
    </row>
    <row r="2229" spans="1:11" s="4" customFormat="1">
      <c r="A2229" s="4">
        <v>117017</v>
      </c>
      <c r="B2229" s="4">
        <v>1</v>
      </c>
      <c r="C2229" s="4">
        <v>1</v>
      </c>
      <c r="D2229" s="4">
        <v>0</v>
      </c>
      <c r="E2229" s="4">
        <v>0</v>
      </c>
      <c r="F2229" s="4">
        <v>1</v>
      </c>
      <c r="G2229" s="4">
        <v>21001</v>
      </c>
      <c r="H2229" s="4">
        <f>INT(VLOOKUP(A2229,洗矿索引!$B$2:$H$97,IF(INT(G2229/10000)=11,7,IF(INT(G2229/10000)=2,6,IF(RIGHT(G2229,1)="0",4,5))),TRUE)/IF(INT(G2229/10000)=11,1,IF(INT(G2229/10000)=2,3,IF(RIGHT(G2229,1)=0,6,6)))*100000)</f>
        <v>633</v>
      </c>
      <c r="I2229" s="4">
        <f>IF(G2229=114000,VLOOKUP(A2229,洗矿索引!$B$2:$H$97,3,FALSE),1)</f>
        <v>1</v>
      </c>
      <c r="J2229" s="4">
        <f t="shared" ref="J2229:J2247" si="54">I2229</f>
        <v>1</v>
      </c>
      <c r="K2229" s="6" t="s">
        <v>2157</v>
      </c>
    </row>
    <row r="2230" spans="1:11" s="4" customFormat="1">
      <c r="A2230" s="4">
        <v>117017</v>
      </c>
      <c r="B2230" s="4">
        <v>1</v>
      </c>
      <c r="C2230" s="4">
        <v>1</v>
      </c>
      <c r="D2230" s="4">
        <v>0</v>
      </c>
      <c r="E2230" s="4">
        <v>0</v>
      </c>
      <c r="F2230" s="4">
        <v>1</v>
      </c>
      <c r="G2230" s="4">
        <v>21002</v>
      </c>
      <c r="H2230" s="4">
        <f>INT(VLOOKUP(A2230,洗矿索引!$B$2:$H$97,IF(INT(G2230/10000)=11,7,IF(INT(G2230/10000)=2,6,IF(RIGHT(G2230,1)="0",4,5))),TRUE)/IF(INT(G2230/10000)=11,1,IF(INT(G2230/10000)=2,3,IF(RIGHT(G2230,1)=0,6,6)))*100000)</f>
        <v>633</v>
      </c>
      <c r="I2230" s="4">
        <f>IF(G2230=114000,VLOOKUP(A2230,洗矿索引!$B$2:$H$97,3,FALSE),1)</f>
        <v>1</v>
      </c>
      <c r="J2230" s="4">
        <f t="shared" si="54"/>
        <v>1</v>
      </c>
      <c r="K2230" s="6" t="s">
        <v>2158</v>
      </c>
    </row>
    <row r="2231" spans="1:11" s="4" customFormat="1">
      <c r="A2231" s="4">
        <v>117017</v>
      </c>
      <c r="B2231" s="4">
        <v>1</v>
      </c>
      <c r="C2231" s="4">
        <v>1</v>
      </c>
      <c r="D2231" s="4">
        <v>0</v>
      </c>
      <c r="E2231" s="4">
        <v>0</v>
      </c>
      <c r="F2231" s="4">
        <v>1</v>
      </c>
      <c r="G2231" s="4">
        <v>21003</v>
      </c>
      <c r="H2231" s="4">
        <f>INT(VLOOKUP(A2231,洗矿索引!$B$2:$H$97,IF(INT(G2231/10000)=11,7,IF(INT(G2231/10000)=2,6,IF(RIGHT(G2231,1)="0",4,5))),TRUE)/IF(INT(G2231/10000)=11,1,IF(INT(G2231/10000)=2,3,IF(RIGHT(G2231,1)=0,6,6)))*100000)</f>
        <v>633</v>
      </c>
      <c r="I2231" s="4">
        <f>IF(G2231=114000,VLOOKUP(A2231,洗矿索引!$B$2:$H$97,3,FALSE),1)</f>
        <v>1</v>
      </c>
      <c r="J2231" s="4">
        <f t="shared" si="54"/>
        <v>1</v>
      </c>
      <c r="K2231" s="6" t="s">
        <v>2159</v>
      </c>
    </row>
    <row r="2232" spans="1:11" s="4" customFormat="1">
      <c r="A2232" s="4">
        <v>117018</v>
      </c>
      <c r="B2232" s="4">
        <v>1</v>
      </c>
      <c r="C2232" s="4">
        <v>1</v>
      </c>
      <c r="D2232" s="4">
        <v>0</v>
      </c>
      <c r="E2232" s="4">
        <v>0</v>
      </c>
      <c r="F2232" s="4">
        <v>1</v>
      </c>
      <c r="G2232" s="4">
        <v>114000</v>
      </c>
      <c r="H2232" s="4">
        <f>INT(VLOOKUP(A2232,洗矿索引!$B$2:$H$97,IF(INT(G2232/10000)=11,7,IF(INT(G2232/10000)=2,6,IF(RIGHT(G2232,1)="0",4,5))),TRUE)/IF(INT(G2232/10000)=11,1,IF(INT(G2232/10000)=2,3,IF(RIGHT(G2232,1)=0,6,6)))*100000)</f>
        <v>98000</v>
      </c>
      <c r="I2232" s="4">
        <f>IF(G2232=114000,VLOOKUP(A2232,洗矿索引!$B$2:$H$97,3,FALSE),1)</f>
        <v>4</v>
      </c>
      <c r="J2232" s="4">
        <f t="shared" si="54"/>
        <v>4</v>
      </c>
      <c r="K2232" s="6" t="s">
        <v>2160</v>
      </c>
    </row>
    <row r="2233" spans="1:11" s="4" customFormat="1">
      <c r="A2233" s="4">
        <v>117018</v>
      </c>
      <c r="B2233" s="4">
        <v>1</v>
      </c>
      <c r="C2233" s="4">
        <v>1</v>
      </c>
      <c r="D2233" s="4">
        <v>0</v>
      </c>
      <c r="E2233" s="4">
        <v>0</v>
      </c>
      <c r="F2233" s="4">
        <v>1</v>
      </c>
      <c r="G2233" s="4">
        <v>21001</v>
      </c>
      <c r="H2233" s="4">
        <f>INT(VLOOKUP(A2233,洗矿索引!$B$2:$H$97,IF(INT(G2233/10000)=11,7,IF(INT(G2233/10000)=2,6,IF(RIGHT(G2233,1)="0",4,5))),TRUE)/IF(INT(G2233/10000)=11,1,IF(INT(G2233/10000)=2,3,IF(RIGHT(G2233,1)=0,6,6)))*100000)</f>
        <v>666</v>
      </c>
      <c r="I2233" s="4">
        <f>IF(G2233=114000,VLOOKUP(A2233,洗矿索引!$B$2:$H$97,3,FALSE),1)</f>
        <v>1</v>
      </c>
      <c r="J2233" s="4">
        <f t="shared" si="54"/>
        <v>1</v>
      </c>
      <c r="K2233" s="6" t="s">
        <v>2161</v>
      </c>
    </row>
    <row r="2234" spans="1:11" s="4" customFormat="1">
      <c r="A2234" s="4">
        <v>117018</v>
      </c>
      <c r="B2234" s="4">
        <v>1</v>
      </c>
      <c r="C2234" s="4">
        <v>1</v>
      </c>
      <c r="D2234" s="4">
        <v>0</v>
      </c>
      <c r="E2234" s="4">
        <v>0</v>
      </c>
      <c r="F2234" s="4">
        <v>1</v>
      </c>
      <c r="G2234" s="4">
        <v>21002</v>
      </c>
      <c r="H2234" s="4">
        <f>INT(VLOOKUP(A2234,洗矿索引!$B$2:$H$97,IF(INT(G2234/10000)=11,7,IF(INT(G2234/10000)=2,6,IF(RIGHT(G2234,1)="0",4,5))),TRUE)/IF(INT(G2234/10000)=11,1,IF(INT(G2234/10000)=2,3,IF(RIGHT(G2234,1)=0,6,6)))*100000)</f>
        <v>666</v>
      </c>
      <c r="I2234" s="4">
        <f>IF(G2234=114000,VLOOKUP(A2234,洗矿索引!$B$2:$H$97,3,FALSE),1)</f>
        <v>1</v>
      </c>
      <c r="J2234" s="4">
        <f t="shared" si="54"/>
        <v>1</v>
      </c>
      <c r="K2234" s="6" t="s">
        <v>2162</v>
      </c>
    </row>
    <row r="2235" spans="1:11" s="4" customFormat="1">
      <c r="A2235" s="4">
        <v>117018</v>
      </c>
      <c r="B2235" s="4">
        <v>1</v>
      </c>
      <c r="C2235" s="4">
        <v>1</v>
      </c>
      <c r="D2235" s="4">
        <v>0</v>
      </c>
      <c r="E2235" s="4">
        <v>0</v>
      </c>
      <c r="F2235" s="4">
        <v>1</v>
      </c>
      <c r="G2235" s="4">
        <v>21003</v>
      </c>
      <c r="H2235" s="4">
        <f>INT(VLOOKUP(A2235,洗矿索引!$B$2:$H$97,IF(INT(G2235/10000)=11,7,IF(INT(G2235/10000)=2,6,IF(RIGHT(G2235,1)="0",4,5))),TRUE)/IF(INT(G2235/10000)=11,1,IF(INT(G2235/10000)=2,3,IF(RIGHT(G2235,1)=0,6,6)))*100000)</f>
        <v>666</v>
      </c>
      <c r="I2235" s="4">
        <f>IF(G2235=114000,VLOOKUP(A2235,洗矿索引!$B$2:$H$97,3,FALSE),1)</f>
        <v>1</v>
      </c>
      <c r="J2235" s="4">
        <f t="shared" si="54"/>
        <v>1</v>
      </c>
      <c r="K2235" s="6" t="s">
        <v>2163</v>
      </c>
    </row>
    <row r="2236" spans="1:11" s="4" customFormat="1">
      <c r="A2236" s="4">
        <v>117019</v>
      </c>
      <c r="B2236" s="4">
        <v>1</v>
      </c>
      <c r="C2236" s="4">
        <v>1</v>
      </c>
      <c r="D2236" s="4">
        <v>0</v>
      </c>
      <c r="E2236" s="4">
        <v>0</v>
      </c>
      <c r="F2236" s="4">
        <v>1</v>
      </c>
      <c r="G2236" s="4">
        <v>114000</v>
      </c>
      <c r="H2236" s="4">
        <f>INT(VLOOKUP(A2236,洗矿索引!$B$2:$H$97,IF(INT(G2236/10000)=11,7,IF(INT(G2236/10000)=2,6,IF(RIGHT(G2236,1)="0",4,5))),TRUE)/IF(INT(G2236/10000)=11,1,IF(INT(G2236/10000)=2,3,IF(RIGHT(G2236,1)=0,6,6)))*100000)</f>
        <v>97900</v>
      </c>
      <c r="I2236" s="4">
        <f>IF(G2236=114000,VLOOKUP(A2236,洗矿索引!$B$2:$H$97,3,FALSE),1)</f>
        <v>4</v>
      </c>
      <c r="J2236" s="4">
        <f t="shared" si="54"/>
        <v>4</v>
      </c>
      <c r="K2236" s="6" t="s">
        <v>2164</v>
      </c>
    </row>
    <row r="2237" spans="1:11" s="4" customFormat="1">
      <c r="A2237" s="4">
        <v>117019</v>
      </c>
      <c r="B2237" s="4">
        <v>1</v>
      </c>
      <c r="C2237" s="4">
        <v>1</v>
      </c>
      <c r="D2237" s="4">
        <v>0</v>
      </c>
      <c r="E2237" s="4">
        <v>0</v>
      </c>
      <c r="F2237" s="4">
        <v>1</v>
      </c>
      <c r="G2237" s="4">
        <v>21001</v>
      </c>
      <c r="H2237" s="4">
        <f>INT(VLOOKUP(A2237,洗矿索引!$B$2:$H$97,IF(INT(G2237/10000)=11,7,IF(INT(G2237/10000)=2,6,IF(RIGHT(G2237,1)="0",4,5))),TRUE)/IF(INT(G2237/10000)=11,1,IF(INT(G2237/10000)=2,3,IF(RIGHT(G2237,1)=0,6,6)))*100000)</f>
        <v>700</v>
      </c>
      <c r="I2237" s="4">
        <f>IF(G2237=114000,VLOOKUP(A2237,洗矿索引!$B$2:$H$97,3,FALSE),1)</f>
        <v>1</v>
      </c>
      <c r="J2237" s="4">
        <f t="shared" si="54"/>
        <v>1</v>
      </c>
      <c r="K2237" s="6" t="s">
        <v>2165</v>
      </c>
    </row>
    <row r="2238" spans="1:11" s="4" customFormat="1">
      <c r="A2238" s="4">
        <v>117019</v>
      </c>
      <c r="B2238" s="4">
        <v>1</v>
      </c>
      <c r="C2238" s="4">
        <v>1</v>
      </c>
      <c r="D2238" s="4">
        <v>0</v>
      </c>
      <c r="E2238" s="4">
        <v>0</v>
      </c>
      <c r="F2238" s="4">
        <v>1</v>
      </c>
      <c r="G2238" s="4">
        <v>21002</v>
      </c>
      <c r="H2238" s="4">
        <f>INT(VLOOKUP(A2238,洗矿索引!$B$2:$H$97,IF(INT(G2238/10000)=11,7,IF(INT(G2238/10000)=2,6,IF(RIGHT(G2238,1)="0",4,5))),TRUE)/IF(INT(G2238/10000)=11,1,IF(INT(G2238/10000)=2,3,IF(RIGHT(G2238,1)=0,6,6)))*100000)</f>
        <v>700</v>
      </c>
      <c r="I2238" s="4">
        <f>IF(G2238=114000,VLOOKUP(A2238,洗矿索引!$B$2:$H$97,3,FALSE),1)</f>
        <v>1</v>
      </c>
      <c r="J2238" s="4">
        <f t="shared" si="54"/>
        <v>1</v>
      </c>
      <c r="K2238" s="6" t="s">
        <v>2166</v>
      </c>
    </row>
    <row r="2239" spans="1:11" s="4" customFormat="1">
      <c r="A2239" s="4">
        <v>117019</v>
      </c>
      <c r="B2239" s="4">
        <v>1</v>
      </c>
      <c r="C2239" s="4">
        <v>1</v>
      </c>
      <c r="D2239" s="4">
        <v>0</v>
      </c>
      <c r="E2239" s="4">
        <v>0</v>
      </c>
      <c r="F2239" s="4">
        <v>1</v>
      </c>
      <c r="G2239" s="4">
        <v>21003</v>
      </c>
      <c r="H2239" s="4">
        <f>INT(VLOOKUP(A2239,洗矿索引!$B$2:$H$97,IF(INT(G2239/10000)=11,7,IF(INT(G2239/10000)=2,6,IF(RIGHT(G2239,1)="0",4,5))),TRUE)/IF(INT(G2239/10000)=11,1,IF(INT(G2239/10000)=2,3,IF(RIGHT(G2239,1)=0,6,6)))*100000)</f>
        <v>700</v>
      </c>
      <c r="I2239" s="4">
        <f>IF(G2239=114000,VLOOKUP(A2239,洗矿索引!$B$2:$H$97,3,FALSE),1)</f>
        <v>1</v>
      </c>
      <c r="J2239" s="4">
        <f t="shared" si="54"/>
        <v>1</v>
      </c>
      <c r="K2239" s="6" t="s">
        <v>2167</v>
      </c>
    </row>
    <row r="2240" spans="1:11" s="4" customFormat="1">
      <c r="A2240" s="4">
        <v>117020</v>
      </c>
      <c r="B2240" s="4">
        <v>1</v>
      </c>
      <c r="C2240" s="4">
        <v>1</v>
      </c>
      <c r="D2240" s="4">
        <v>0</v>
      </c>
      <c r="E2240" s="4">
        <v>0</v>
      </c>
      <c r="F2240" s="4">
        <v>1</v>
      </c>
      <c r="G2240" s="4">
        <v>114000</v>
      </c>
      <c r="H2240" s="4">
        <f>INT(VLOOKUP(A2240,洗矿索引!$B$2:$H$97,IF(INT(G2240/10000)=11,7,IF(INT(G2240/10000)=2,6,IF(RIGHT(G2240,1)="0",4,5))),TRUE)/IF(INT(G2240/10000)=11,1,IF(INT(G2240/10000)=2,3,IF(RIGHT(G2240,1)=0,6,6)))*100000)</f>
        <v>97800</v>
      </c>
      <c r="I2240" s="4">
        <f>IF(G2240=114000,VLOOKUP(A2240,洗矿索引!$B$2:$H$97,3,FALSE),1)</f>
        <v>4</v>
      </c>
      <c r="J2240" s="4">
        <f t="shared" si="54"/>
        <v>4</v>
      </c>
      <c r="K2240" s="6" t="s">
        <v>2168</v>
      </c>
    </row>
    <row r="2241" spans="1:11" s="4" customFormat="1">
      <c r="A2241" s="4">
        <v>117020</v>
      </c>
      <c r="B2241" s="4">
        <v>1</v>
      </c>
      <c r="C2241" s="4">
        <v>1</v>
      </c>
      <c r="D2241" s="4">
        <v>0</v>
      </c>
      <c r="E2241" s="4">
        <v>0</v>
      </c>
      <c r="F2241" s="4">
        <v>1</v>
      </c>
      <c r="G2241" s="4">
        <v>21001</v>
      </c>
      <c r="H2241" s="4">
        <f>INT(VLOOKUP(A2241,洗矿索引!$B$2:$H$97,IF(INT(G2241/10000)=11,7,IF(INT(G2241/10000)=2,6,IF(RIGHT(G2241,1)="0",4,5))),TRUE)/IF(INT(G2241/10000)=11,1,IF(INT(G2241/10000)=2,3,IF(RIGHT(G2241,1)=0,6,6)))*100000)</f>
        <v>733</v>
      </c>
      <c r="I2241" s="4">
        <f>IF(G2241=114000,VLOOKUP(A2241,洗矿索引!$B$2:$H$97,3,FALSE),1)</f>
        <v>1</v>
      </c>
      <c r="J2241" s="4">
        <f t="shared" si="54"/>
        <v>1</v>
      </c>
      <c r="K2241" s="6" t="s">
        <v>2169</v>
      </c>
    </row>
    <row r="2242" spans="1:11" s="4" customFormat="1">
      <c r="A2242" s="4">
        <v>117020</v>
      </c>
      <c r="B2242" s="4">
        <v>1</v>
      </c>
      <c r="C2242" s="4">
        <v>1</v>
      </c>
      <c r="D2242" s="4">
        <v>0</v>
      </c>
      <c r="E2242" s="4">
        <v>0</v>
      </c>
      <c r="F2242" s="4">
        <v>1</v>
      </c>
      <c r="G2242" s="4">
        <v>21002</v>
      </c>
      <c r="H2242" s="4">
        <f>INT(VLOOKUP(A2242,洗矿索引!$B$2:$H$97,IF(INT(G2242/10000)=11,7,IF(INT(G2242/10000)=2,6,IF(RIGHT(G2242,1)="0",4,5))),TRUE)/IF(INT(G2242/10000)=11,1,IF(INT(G2242/10000)=2,3,IF(RIGHT(G2242,1)=0,6,6)))*100000)</f>
        <v>733</v>
      </c>
      <c r="I2242" s="4">
        <f>IF(G2242=114000,VLOOKUP(A2242,洗矿索引!$B$2:$H$97,3,FALSE),1)</f>
        <v>1</v>
      </c>
      <c r="J2242" s="4">
        <f t="shared" si="54"/>
        <v>1</v>
      </c>
      <c r="K2242" s="6" t="s">
        <v>2170</v>
      </c>
    </row>
    <row r="2243" spans="1:11" s="4" customFormat="1">
      <c r="A2243" s="4">
        <v>117020</v>
      </c>
      <c r="B2243" s="4">
        <v>1</v>
      </c>
      <c r="C2243" s="4">
        <v>1</v>
      </c>
      <c r="D2243" s="4">
        <v>0</v>
      </c>
      <c r="E2243" s="4">
        <v>0</v>
      </c>
      <c r="F2243" s="4">
        <v>1</v>
      </c>
      <c r="G2243" s="4">
        <v>21003</v>
      </c>
      <c r="H2243" s="4">
        <f>INT(VLOOKUP(A2243,洗矿索引!$B$2:$H$97,IF(INT(G2243/10000)=11,7,IF(INT(G2243/10000)=2,6,IF(RIGHT(G2243,1)="0",4,5))),TRUE)/IF(INT(G2243/10000)=11,1,IF(INT(G2243/10000)=2,3,IF(RIGHT(G2243,1)=0,6,6)))*100000)</f>
        <v>733</v>
      </c>
      <c r="I2243" s="4">
        <f>IF(G2243=114000,VLOOKUP(A2243,洗矿索引!$B$2:$H$97,3,FALSE),1)</f>
        <v>1</v>
      </c>
      <c r="J2243" s="4">
        <f t="shared" si="54"/>
        <v>1</v>
      </c>
      <c r="K2243" s="6" t="s">
        <v>2171</v>
      </c>
    </row>
    <row r="2244" spans="1:11" s="4" customFormat="1">
      <c r="A2244" s="4">
        <v>117021</v>
      </c>
      <c r="B2244" s="4">
        <v>1</v>
      </c>
      <c r="C2244" s="4">
        <v>1</v>
      </c>
      <c r="D2244" s="4">
        <v>0</v>
      </c>
      <c r="E2244" s="4">
        <v>0</v>
      </c>
      <c r="F2244" s="4">
        <v>1</v>
      </c>
      <c r="G2244" s="4">
        <v>114000</v>
      </c>
      <c r="H2244" s="4">
        <f>INT(VLOOKUP(A2244,洗矿索引!$B$2:$H$97,IF(INT(G2244/10000)=11,7,IF(INT(G2244/10000)=2,6,IF(RIGHT(G2244,1)="0",4,5))),TRUE)/IF(INT(G2244/10000)=11,1,IF(INT(G2244/10000)=2,3,IF(RIGHT(G2244,1)=0,6,6)))*100000)</f>
        <v>97700</v>
      </c>
      <c r="I2244" s="4">
        <f>IF(G2244=114000,VLOOKUP(A2244,洗矿索引!$B$2:$H$97,3,FALSE),1)</f>
        <v>4</v>
      </c>
      <c r="J2244" s="4">
        <f t="shared" si="54"/>
        <v>4</v>
      </c>
      <c r="K2244" s="6" t="s">
        <v>2172</v>
      </c>
    </row>
    <row r="2245" spans="1:11" s="4" customFormat="1">
      <c r="A2245" s="4">
        <v>117021</v>
      </c>
      <c r="B2245" s="4">
        <v>1</v>
      </c>
      <c r="C2245" s="4">
        <v>1</v>
      </c>
      <c r="D2245" s="4">
        <v>0</v>
      </c>
      <c r="E2245" s="4">
        <v>0</v>
      </c>
      <c r="F2245" s="4">
        <v>1</v>
      </c>
      <c r="G2245" s="4">
        <v>21001</v>
      </c>
      <c r="H2245" s="4">
        <f>INT(VLOOKUP(A2245,洗矿索引!$B$2:$H$97,IF(INT(G2245/10000)=11,7,IF(INT(G2245/10000)=2,6,IF(RIGHT(G2245,1)="0",4,5))),TRUE)/IF(INT(G2245/10000)=11,1,IF(INT(G2245/10000)=2,3,IF(RIGHT(G2245,1)=0,6,6)))*100000)</f>
        <v>766</v>
      </c>
      <c r="I2245" s="4">
        <f>IF(G2245=114000,VLOOKUP(A2245,洗矿索引!$B$2:$H$97,3,FALSE),1)</f>
        <v>1</v>
      </c>
      <c r="J2245" s="4">
        <f t="shared" si="54"/>
        <v>1</v>
      </c>
      <c r="K2245" s="6" t="s">
        <v>2173</v>
      </c>
    </row>
    <row r="2246" spans="1:11" s="4" customFormat="1">
      <c r="A2246" s="4">
        <v>117021</v>
      </c>
      <c r="B2246" s="4">
        <v>1</v>
      </c>
      <c r="C2246" s="4">
        <v>1</v>
      </c>
      <c r="D2246" s="4">
        <v>0</v>
      </c>
      <c r="E2246" s="4">
        <v>0</v>
      </c>
      <c r="F2246" s="4">
        <v>1</v>
      </c>
      <c r="G2246" s="4">
        <v>21002</v>
      </c>
      <c r="H2246" s="4">
        <f>INT(VLOOKUP(A2246,洗矿索引!$B$2:$H$97,IF(INT(G2246/10000)=11,7,IF(INT(G2246/10000)=2,6,IF(RIGHT(G2246,1)="0",4,5))),TRUE)/IF(INT(G2246/10000)=11,1,IF(INT(G2246/10000)=2,3,IF(RIGHT(G2246,1)=0,6,6)))*100000)</f>
        <v>766</v>
      </c>
      <c r="I2246" s="4">
        <f>IF(G2246=114000,VLOOKUP(A2246,洗矿索引!$B$2:$H$97,3,FALSE),1)</f>
        <v>1</v>
      </c>
      <c r="J2246" s="4">
        <f t="shared" si="54"/>
        <v>1</v>
      </c>
      <c r="K2246" s="6" t="s">
        <v>2174</v>
      </c>
    </row>
    <row r="2247" spans="1:11" s="4" customFormat="1">
      <c r="A2247" s="4">
        <v>117021</v>
      </c>
      <c r="B2247" s="4">
        <v>1</v>
      </c>
      <c r="C2247" s="4">
        <v>1</v>
      </c>
      <c r="D2247" s="4">
        <v>0</v>
      </c>
      <c r="E2247" s="4">
        <v>0</v>
      </c>
      <c r="F2247" s="4">
        <v>1</v>
      </c>
      <c r="G2247" s="4">
        <v>21003</v>
      </c>
      <c r="H2247" s="4">
        <f>INT(VLOOKUP(A2247,洗矿索引!$B$2:$H$97,IF(INT(G2247/10000)=11,7,IF(INT(G2247/10000)=2,6,IF(RIGHT(G2247,1)="0",4,5))),TRUE)/IF(INT(G2247/10000)=11,1,IF(INT(G2247/10000)=2,3,IF(RIGHT(G2247,1)=0,6,6)))*100000)</f>
        <v>766</v>
      </c>
      <c r="I2247" s="4">
        <f>IF(G2247=114000,VLOOKUP(A2247,洗矿索引!$B$2:$H$97,3,FALSE),1)</f>
        <v>1</v>
      </c>
      <c r="J2247" s="4">
        <f t="shared" si="54"/>
        <v>1</v>
      </c>
      <c r="K2247" s="6" t="s">
        <v>2175</v>
      </c>
    </row>
    <row r="2248" spans="1:11" s="4" customFormat="1">
      <c r="A2248" s="4">
        <v>117022</v>
      </c>
      <c r="B2248" s="4">
        <v>1</v>
      </c>
      <c r="C2248" s="4">
        <v>1</v>
      </c>
      <c r="D2248" s="4">
        <v>0</v>
      </c>
      <c r="E2248" s="4">
        <v>0</v>
      </c>
      <c r="F2248" s="4">
        <v>1</v>
      </c>
      <c r="G2248" s="4">
        <v>114000</v>
      </c>
      <c r="H2248" s="4">
        <f>INT(VLOOKUP(A2248,洗矿索引!$B$2:$H$97,IF(INT(G2248/10000)=11,7,IF(INT(G2248/10000)=2,6,IF(RIGHT(G2248,1)="0",4,5))),TRUE)/IF(INT(G2248/10000)=11,1,IF(INT(G2248/10000)=2,3,IF(RIGHT(G2248,1)=0,6,6)))*100000)</f>
        <v>97600</v>
      </c>
      <c r="I2248" s="4">
        <f>IF(G2248=114000,VLOOKUP(A2248,洗矿索引!$B$2:$H$97,3,FALSE),1)</f>
        <v>4</v>
      </c>
      <c r="J2248" s="4">
        <f t="shared" ref="J2248:J2266" si="55">I2248</f>
        <v>4</v>
      </c>
      <c r="K2248" s="6" t="s">
        <v>2176</v>
      </c>
    </row>
    <row r="2249" spans="1:11" s="4" customFormat="1">
      <c r="A2249" s="4">
        <v>117022</v>
      </c>
      <c r="B2249" s="4">
        <v>1</v>
      </c>
      <c r="C2249" s="4">
        <v>1</v>
      </c>
      <c r="D2249" s="4">
        <v>0</v>
      </c>
      <c r="E2249" s="4">
        <v>0</v>
      </c>
      <c r="F2249" s="4">
        <v>1</v>
      </c>
      <c r="G2249" s="4">
        <v>21001</v>
      </c>
      <c r="H2249" s="4">
        <f>INT(VLOOKUP(A2249,洗矿索引!$B$2:$H$97,IF(INT(G2249/10000)=11,7,IF(INT(G2249/10000)=2,6,IF(RIGHT(G2249,1)="0",4,5))),TRUE)/IF(INT(G2249/10000)=11,1,IF(INT(G2249/10000)=2,3,IF(RIGHT(G2249,1)=0,6,6)))*100000)</f>
        <v>800</v>
      </c>
      <c r="I2249" s="4">
        <f>IF(G2249=114000,VLOOKUP(A2249,洗矿索引!$B$2:$H$97,3,FALSE),1)</f>
        <v>1</v>
      </c>
      <c r="J2249" s="4">
        <f t="shared" si="55"/>
        <v>1</v>
      </c>
      <c r="K2249" s="6" t="s">
        <v>2177</v>
      </c>
    </row>
    <row r="2250" spans="1:11" s="4" customFormat="1">
      <c r="A2250" s="4">
        <v>117022</v>
      </c>
      <c r="B2250" s="4">
        <v>1</v>
      </c>
      <c r="C2250" s="4">
        <v>1</v>
      </c>
      <c r="D2250" s="4">
        <v>0</v>
      </c>
      <c r="E2250" s="4">
        <v>0</v>
      </c>
      <c r="F2250" s="4">
        <v>1</v>
      </c>
      <c r="G2250" s="4">
        <v>21002</v>
      </c>
      <c r="H2250" s="4">
        <f>INT(VLOOKUP(A2250,洗矿索引!$B$2:$H$97,IF(INT(G2250/10000)=11,7,IF(INT(G2250/10000)=2,6,IF(RIGHT(G2250,1)="0",4,5))),TRUE)/IF(INT(G2250/10000)=11,1,IF(INT(G2250/10000)=2,3,IF(RIGHT(G2250,1)=0,6,6)))*100000)</f>
        <v>800</v>
      </c>
      <c r="I2250" s="4">
        <f>IF(G2250=114000,VLOOKUP(A2250,洗矿索引!$B$2:$H$97,3,FALSE),1)</f>
        <v>1</v>
      </c>
      <c r="J2250" s="4">
        <f t="shared" si="55"/>
        <v>1</v>
      </c>
      <c r="K2250" s="6" t="s">
        <v>2178</v>
      </c>
    </row>
    <row r="2251" spans="1:11" s="4" customFormat="1">
      <c r="A2251" s="4">
        <v>117022</v>
      </c>
      <c r="B2251" s="4">
        <v>1</v>
      </c>
      <c r="C2251" s="4">
        <v>1</v>
      </c>
      <c r="D2251" s="4">
        <v>0</v>
      </c>
      <c r="E2251" s="4">
        <v>0</v>
      </c>
      <c r="F2251" s="4">
        <v>1</v>
      </c>
      <c r="G2251" s="4">
        <v>21003</v>
      </c>
      <c r="H2251" s="4">
        <f>INT(VLOOKUP(A2251,洗矿索引!$B$2:$H$97,IF(INT(G2251/10000)=11,7,IF(INT(G2251/10000)=2,6,IF(RIGHT(G2251,1)="0",4,5))),TRUE)/IF(INT(G2251/10000)=11,1,IF(INT(G2251/10000)=2,3,IF(RIGHT(G2251,1)=0,6,6)))*100000)</f>
        <v>800</v>
      </c>
      <c r="I2251" s="4">
        <f>IF(G2251=114000,VLOOKUP(A2251,洗矿索引!$B$2:$H$97,3,FALSE),1)</f>
        <v>1</v>
      </c>
      <c r="J2251" s="4">
        <f t="shared" si="55"/>
        <v>1</v>
      </c>
      <c r="K2251" s="6" t="s">
        <v>2179</v>
      </c>
    </row>
    <row r="2252" spans="1:11" s="4" customFormat="1">
      <c r="A2252" s="4">
        <v>117023</v>
      </c>
      <c r="B2252" s="4">
        <v>1</v>
      </c>
      <c r="C2252" s="4">
        <v>1</v>
      </c>
      <c r="D2252" s="4">
        <v>0</v>
      </c>
      <c r="E2252" s="4">
        <v>0</v>
      </c>
      <c r="F2252" s="4">
        <v>1</v>
      </c>
      <c r="G2252" s="4">
        <v>114000</v>
      </c>
      <c r="H2252" s="4">
        <f>INT(VLOOKUP(A2252,洗矿索引!$B$2:$H$97,IF(INT(G2252/10000)=11,7,IF(INT(G2252/10000)=2,6,IF(RIGHT(G2252,1)="0",4,5))),TRUE)/IF(INT(G2252/10000)=11,1,IF(INT(G2252/10000)=2,3,IF(RIGHT(G2252,1)=0,6,6)))*100000)</f>
        <v>97500</v>
      </c>
      <c r="I2252" s="4">
        <f>IF(G2252=114000,VLOOKUP(A2252,洗矿索引!$B$2:$H$97,3,FALSE),1)</f>
        <v>4</v>
      </c>
      <c r="J2252" s="4">
        <f t="shared" si="55"/>
        <v>4</v>
      </c>
      <c r="K2252" s="6" t="s">
        <v>2180</v>
      </c>
    </row>
    <row r="2253" spans="1:11" s="4" customFormat="1">
      <c r="A2253" s="4">
        <v>117023</v>
      </c>
      <c r="B2253" s="4">
        <v>1</v>
      </c>
      <c r="C2253" s="4">
        <v>1</v>
      </c>
      <c r="D2253" s="4">
        <v>0</v>
      </c>
      <c r="E2253" s="4">
        <v>0</v>
      </c>
      <c r="F2253" s="4">
        <v>1</v>
      </c>
      <c r="G2253" s="4">
        <v>21001</v>
      </c>
      <c r="H2253" s="4">
        <f>INT(VLOOKUP(A2253,洗矿索引!$B$2:$H$97,IF(INT(G2253/10000)=11,7,IF(INT(G2253/10000)=2,6,IF(RIGHT(G2253,1)="0",4,5))),TRUE)/IF(INT(G2253/10000)=11,1,IF(INT(G2253/10000)=2,3,IF(RIGHT(G2253,1)=0,6,6)))*100000)</f>
        <v>833</v>
      </c>
      <c r="I2253" s="4">
        <f>IF(G2253=114000,VLOOKUP(A2253,洗矿索引!$B$2:$H$97,3,FALSE),1)</f>
        <v>1</v>
      </c>
      <c r="J2253" s="4">
        <f t="shared" si="55"/>
        <v>1</v>
      </c>
      <c r="K2253" s="6" t="s">
        <v>2181</v>
      </c>
    </row>
    <row r="2254" spans="1:11" s="4" customFormat="1">
      <c r="A2254" s="4">
        <v>117023</v>
      </c>
      <c r="B2254" s="4">
        <v>1</v>
      </c>
      <c r="C2254" s="4">
        <v>1</v>
      </c>
      <c r="D2254" s="4">
        <v>0</v>
      </c>
      <c r="E2254" s="4">
        <v>0</v>
      </c>
      <c r="F2254" s="4">
        <v>1</v>
      </c>
      <c r="G2254" s="4">
        <v>21002</v>
      </c>
      <c r="H2254" s="4">
        <f>INT(VLOOKUP(A2254,洗矿索引!$B$2:$H$97,IF(INT(G2254/10000)=11,7,IF(INT(G2254/10000)=2,6,IF(RIGHT(G2254,1)="0",4,5))),TRUE)/IF(INT(G2254/10000)=11,1,IF(INT(G2254/10000)=2,3,IF(RIGHT(G2254,1)=0,6,6)))*100000)</f>
        <v>833</v>
      </c>
      <c r="I2254" s="4">
        <f>IF(G2254=114000,VLOOKUP(A2254,洗矿索引!$B$2:$H$97,3,FALSE),1)</f>
        <v>1</v>
      </c>
      <c r="J2254" s="4">
        <f t="shared" si="55"/>
        <v>1</v>
      </c>
      <c r="K2254" s="6" t="s">
        <v>2182</v>
      </c>
    </row>
    <row r="2255" spans="1:11" s="4" customFormat="1">
      <c r="A2255" s="4">
        <v>117023</v>
      </c>
      <c r="B2255" s="4">
        <v>1</v>
      </c>
      <c r="C2255" s="4">
        <v>1</v>
      </c>
      <c r="D2255" s="4">
        <v>0</v>
      </c>
      <c r="E2255" s="4">
        <v>0</v>
      </c>
      <c r="F2255" s="4">
        <v>1</v>
      </c>
      <c r="G2255" s="4">
        <v>21003</v>
      </c>
      <c r="H2255" s="4">
        <f>INT(VLOOKUP(A2255,洗矿索引!$B$2:$H$97,IF(INT(G2255/10000)=11,7,IF(INT(G2255/10000)=2,6,IF(RIGHT(G2255,1)="0",4,5))),TRUE)/IF(INT(G2255/10000)=11,1,IF(INT(G2255/10000)=2,3,IF(RIGHT(G2255,1)=0,6,6)))*100000)</f>
        <v>833</v>
      </c>
      <c r="I2255" s="4">
        <f>IF(G2255=114000,VLOOKUP(A2255,洗矿索引!$B$2:$H$97,3,FALSE),1)</f>
        <v>1</v>
      </c>
      <c r="J2255" s="4">
        <f t="shared" si="55"/>
        <v>1</v>
      </c>
      <c r="K2255" s="6" t="s">
        <v>2183</v>
      </c>
    </row>
    <row r="2256" spans="1:11" s="4" customFormat="1">
      <c r="A2256" s="4">
        <v>117024</v>
      </c>
      <c r="B2256" s="4">
        <v>1</v>
      </c>
      <c r="C2256" s="4">
        <v>1</v>
      </c>
      <c r="D2256" s="4">
        <v>0</v>
      </c>
      <c r="E2256" s="4">
        <v>0</v>
      </c>
      <c r="F2256" s="4">
        <v>1</v>
      </c>
      <c r="G2256" s="4">
        <v>114000</v>
      </c>
      <c r="H2256" s="4">
        <f>INT(VLOOKUP(A2256,洗矿索引!$B$2:$H$97,IF(INT(G2256/10000)=11,7,IF(INT(G2256/10000)=2,6,IF(RIGHT(G2256,1)="0",4,5))),TRUE)/IF(INT(G2256/10000)=11,1,IF(INT(G2256/10000)=2,3,IF(RIGHT(G2256,1)=0,6,6)))*100000)</f>
        <v>97400</v>
      </c>
      <c r="I2256" s="4">
        <f>IF(G2256=114000,VLOOKUP(A2256,洗矿索引!$B$2:$H$97,3,FALSE),1)</f>
        <v>4</v>
      </c>
      <c r="J2256" s="4">
        <f t="shared" si="55"/>
        <v>4</v>
      </c>
      <c r="K2256" s="6" t="s">
        <v>2184</v>
      </c>
    </row>
    <row r="2257" spans="1:11" s="4" customFormat="1">
      <c r="A2257" s="4">
        <v>117024</v>
      </c>
      <c r="B2257" s="4">
        <v>1</v>
      </c>
      <c r="C2257" s="4">
        <v>1</v>
      </c>
      <c r="D2257" s="4">
        <v>0</v>
      </c>
      <c r="E2257" s="4">
        <v>0</v>
      </c>
      <c r="F2257" s="4">
        <v>1</v>
      </c>
      <c r="G2257" s="4">
        <v>21001</v>
      </c>
      <c r="H2257" s="4">
        <f>INT(VLOOKUP(A2257,洗矿索引!$B$2:$H$97,IF(INT(G2257/10000)=11,7,IF(INT(G2257/10000)=2,6,IF(RIGHT(G2257,1)="0",4,5))),TRUE)/IF(INT(G2257/10000)=11,1,IF(INT(G2257/10000)=2,3,IF(RIGHT(G2257,1)=0,6,6)))*100000)</f>
        <v>866</v>
      </c>
      <c r="I2257" s="4">
        <f>IF(G2257=114000,VLOOKUP(A2257,洗矿索引!$B$2:$H$97,3,FALSE),1)</f>
        <v>1</v>
      </c>
      <c r="J2257" s="4">
        <f t="shared" si="55"/>
        <v>1</v>
      </c>
      <c r="K2257" s="6" t="s">
        <v>2185</v>
      </c>
    </row>
    <row r="2258" spans="1:11" s="4" customFormat="1">
      <c r="A2258" s="4">
        <v>117024</v>
      </c>
      <c r="B2258" s="4">
        <v>1</v>
      </c>
      <c r="C2258" s="4">
        <v>1</v>
      </c>
      <c r="D2258" s="4">
        <v>0</v>
      </c>
      <c r="E2258" s="4">
        <v>0</v>
      </c>
      <c r="F2258" s="4">
        <v>1</v>
      </c>
      <c r="G2258" s="4">
        <v>21002</v>
      </c>
      <c r="H2258" s="4">
        <f>INT(VLOOKUP(A2258,洗矿索引!$B$2:$H$97,IF(INT(G2258/10000)=11,7,IF(INT(G2258/10000)=2,6,IF(RIGHT(G2258,1)="0",4,5))),TRUE)/IF(INT(G2258/10000)=11,1,IF(INT(G2258/10000)=2,3,IF(RIGHT(G2258,1)=0,6,6)))*100000)</f>
        <v>866</v>
      </c>
      <c r="I2258" s="4">
        <f>IF(G2258=114000,VLOOKUP(A2258,洗矿索引!$B$2:$H$97,3,FALSE),1)</f>
        <v>1</v>
      </c>
      <c r="J2258" s="4">
        <f t="shared" si="55"/>
        <v>1</v>
      </c>
      <c r="K2258" s="6" t="s">
        <v>2186</v>
      </c>
    </row>
    <row r="2259" spans="1:11" s="4" customFormat="1">
      <c r="A2259" s="4">
        <v>117024</v>
      </c>
      <c r="B2259" s="4">
        <v>1</v>
      </c>
      <c r="C2259" s="4">
        <v>1</v>
      </c>
      <c r="D2259" s="4">
        <v>0</v>
      </c>
      <c r="E2259" s="4">
        <v>0</v>
      </c>
      <c r="F2259" s="4">
        <v>1</v>
      </c>
      <c r="G2259" s="4">
        <v>21003</v>
      </c>
      <c r="H2259" s="4">
        <f>INT(VLOOKUP(A2259,洗矿索引!$B$2:$H$97,IF(INT(G2259/10000)=11,7,IF(INT(G2259/10000)=2,6,IF(RIGHT(G2259,1)="0",4,5))),TRUE)/IF(INT(G2259/10000)=11,1,IF(INT(G2259/10000)=2,3,IF(RIGHT(G2259,1)=0,6,6)))*100000)</f>
        <v>866</v>
      </c>
      <c r="I2259" s="4">
        <f>IF(G2259=114000,VLOOKUP(A2259,洗矿索引!$B$2:$H$97,3,FALSE),1)</f>
        <v>1</v>
      </c>
      <c r="J2259" s="4">
        <f t="shared" si="55"/>
        <v>1</v>
      </c>
      <c r="K2259" s="6" t="s">
        <v>2187</v>
      </c>
    </row>
    <row r="2260" spans="1:11" s="4" customFormat="1">
      <c r="A2260" s="4">
        <v>117025</v>
      </c>
      <c r="B2260" s="4">
        <v>1</v>
      </c>
      <c r="C2260" s="4">
        <v>1</v>
      </c>
      <c r="D2260" s="4">
        <v>0</v>
      </c>
      <c r="E2260" s="4">
        <v>0</v>
      </c>
      <c r="F2260" s="4">
        <v>1</v>
      </c>
      <c r="G2260" s="4">
        <v>114000</v>
      </c>
      <c r="H2260" s="4">
        <f>INT(VLOOKUP(A2260,洗矿索引!$B$2:$H$97,IF(INT(G2260/10000)=11,7,IF(INT(G2260/10000)=2,6,IF(RIGHT(G2260,1)="0",4,5))),TRUE)/IF(INT(G2260/10000)=11,1,IF(INT(G2260/10000)=2,3,IF(RIGHT(G2260,1)=0,6,6)))*100000)</f>
        <v>97300</v>
      </c>
      <c r="I2260" s="4">
        <f>IF(G2260=114000,VLOOKUP(A2260,洗矿索引!$B$2:$H$97,3,FALSE),1)</f>
        <v>4</v>
      </c>
      <c r="J2260" s="4">
        <f t="shared" si="55"/>
        <v>4</v>
      </c>
      <c r="K2260" s="6" t="s">
        <v>2188</v>
      </c>
    </row>
    <row r="2261" spans="1:11" s="4" customFormat="1">
      <c r="A2261" s="4">
        <v>117025</v>
      </c>
      <c r="B2261" s="4">
        <v>1</v>
      </c>
      <c r="C2261" s="4">
        <v>1</v>
      </c>
      <c r="D2261" s="4">
        <v>0</v>
      </c>
      <c r="E2261" s="4">
        <v>0</v>
      </c>
      <c r="F2261" s="4">
        <v>1</v>
      </c>
      <c r="G2261" s="4">
        <v>21001</v>
      </c>
      <c r="H2261" s="4">
        <f>INT(VLOOKUP(A2261,洗矿索引!$B$2:$H$97,IF(INT(G2261/10000)=11,7,IF(INT(G2261/10000)=2,6,IF(RIGHT(G2261,1)="0",4,5))),TRUE)/IF(INT(G2261/10000)=11,1,IF(INT(G2261/10000)=2,3,IF(RIGHT(G2261,1)=0,6,6)))*100000)</f>
        <v>900</v>
      </c>
      <c r="I2261" s="4">
        <f>IF(G2261=114000,VLOOKUP(A2261,洗矿索引!$B$2:$H$97,3,FALSE),1)</f>
        <v>1</v>
      </c>
      <c r="J2261" s="4">
        <f t="shared" si="55"/>
        <v>1</v>
      </c>
      <c r="K2261" s="6" t="s">
        <v>2189</v>
      </c>
    </row>
    <row r="2262" spans="1:11" s="4" customFormat="1">
      <c r="A2262" s="4">
        <v>117025</v>
      </c>
      <c r="B2262" s="4">
        <v>1</v>
      </c>
      <c r="C2262" s="4">
        <v>1</v>
      </c>
      <c r="D2262" s="4">
        <v>0</v>
      </c>
      <c r="E2262" s="4">
        <v>0</v>
      </c>
      <c r="F2262" s="4">
        <v>1</v>
      </c>
      <c r="G2262" s="4">
        <v>21002</v>
      </c>
      <c r="H2262" s="4">
        <f>INT(VLOOKUP(A2262,洗矿索引!$B$2:$H$97,IF(INT(G2262/10000)=11,7,IF(INT(G2262/10000)=2,6,IF(RIGHT(G2262,1)="0",4,5))),TRUE)/IF(INT(G2262/10000)=11,1,IF(INT(G2262/10000)=2,3,IF(RIGHT(G2262,1)=0,6,6)))*100000)</f>
        <v>900</v>
      </c>
      <c r="I2262" s="4">
        <f>IF(G2262=114000,VLOOKUP(A2262,洗矿索引!$B$2:$H$97,3,FALSE),1)</f>
        <v>1</v>
      </c>
      <c r="J2262" s="4">
        <f t="shared" si="55"/>
        <v>1</v>
      </c>
      <c r="K2262" s="6" t="s">
        <v>2190</v>
      </c>
    </row>
    <row r="2263" spans="1:11" s="4" customFormat="1">
      <c r="A2263" s="4">
        <v>117025</v>
      </c>
      <c r="B2263" s="4">
        <v>1</v>
      </c>
      <c r="C2263" s="4">
        <v>1</v>
      </c>
      <c r="D2263" s="4">
        <v>0</v>
      </c>
      <c r="E2263" s="4">
        <v>0</v>
      </c>
      <c r="F2263" s="4">
        <v>1</v>
      </c>
      <c r="G2263" s="4">
        <v>21003</v>
      </c>
      <c r="H2263" s="4">
        <f>INT(VLOOKUP(A2263,洗矿索引!$B$2:$H$97,IF(INT(G2263/10000)=11,7,IF(INT(G2263/10000)=2,6,IF(RIGHT(G2263,1)="0",4,5))),TRUE)/IF(INT(G2263/10000)=11,1,IF(INT(G2263/10000)=2,3,IF(RIGHT(G2263,1)=0,6,6)))*100000)</f>
        <v>900</v>
      </c>
      <c r="I2263" s="4">
        <f>IF(G2263=114000,VLOOKUP(A2263,洗矿索引!$B$2:$H$97,3,FALSE),1)</f>
        <v>1</v>
      </c>
      <c r="J2263" s="4">
        <f t="shared" si="55"/>
        <v>1</v>
      </c>
      <c r="K2263" s="6" t="s">
        <v>2191</v>
      </c>
    </row>
    <row r="2264" spans="1:11" s="4" customFormat="1">
      <c r="A2264" s="4">
        <v>117026</v>
      </c>
      <c r="B2264" s="4">
        <v>1</v>
      </c>
      <c r="C2264" s="4">
        <v>1</v>
      </c>
      <c r="D2264" s="4">
        <v>0</v>
      </c>
      <c r="E2264" s="4">
        <v>0</v>
      </c>
      <c r="F2264" s="4">
        <v>1</v>
      </c>
      <c r="G2264" s="4">
        <v>114000</v>
      </c>
      <c r="H2264" s="4">
        <f>INT(VLOOKUP(A2264,洗矿索引!$B$2:$H$97,IF(INT(G2264/10000)=11,7,IF(INT(G2264/10000)=2,6,IF(RIGHT(G2264,1)="0",4,5))),TRUE)/IF(INT(G2264/10000)=11,1,IF(INT(G2264/10000)=2,3,IF(RIGHT(G2264,1)=0,6,6)))*100000)</f>
        <v>97200</v>
      </c>
      <c r="I2264" s="4">
        <f>IF(G2264=114000,VLOOKUP(A2264,洗矿索引!$B$2:$H$97,3,FALSE),1)</f>
        <v>4</v>
      </c>
      <c r="J2264" s="4">
        <f t="shared" si="55"/>
        <v>4</v>
      </c>
      <c r="K2264" s="6" t="s">
        <v>2192</v>
      </c>
    </row>
    <row r="2265" spans="1:11" s="4" customFormat="1">
      <c r="A2265" s="4">
        <v>117026</v>
      </c>
      <c r="B2265" s="4">
        <v>1</v>
      </c>
      <c r="C2265" s="4">
        <v>1</v>
      </c>
      <c r="D2265" s="4">
        <v>0</v>
      </c>
      <c r="E2265" s="4">
        <v>0</v>
      </c>
      <c r="F2265" s="4">
        <v>1</v>
      </c>
      <c r="G2265" s="4">
        <v>21001</v>
      </c>
      <c r="H2265" s="4">
        <f>INT(VLOOKUP(A2265,洗矿索引!$B$2:$H$97,IF(INT(G2265/10000)=11,7,IF(INT(G2265/10000)=2,6,IF(RIGHT(G2265,1)="0",4,5))),TRUE)/IF(INT(G2265/10000)=11,1,IF(INT(G2265/10000)=2,3,IF(RIGHT(G2265,1)=0,6,6)))*100000)</f>
        <v>933</v>
      </c>
      <c r="I2265" s="4">
        <f>IF(G2265=114000,VLOOKUP(A2265,洗矿索引!$B$2:$H$97,3,FALSE),1)</f>
        <v>1</v>
      </c>
      <c r="J2265" s="4">
        <f t="shared" si="55"/>
        <v>1</v>
      </c>
      <c r="K2265" s="6" t="s">
        <v>2193</v>
      </c>
    </row>
    <row r="2266" spans="1:11" s="4" customFormat="1">
      <c r="A2266" s="4">
        <v>117026</v>
      </c>
      <c r="B2266" s="4">
        <v>1</v>
      </c>
      <c r="C2266" s="4">
        <v>1</v>
      </c>
      <c r="D2266" s="4">
        <v>0</v>
      </c>
      <c r="E2266" s="4">
        <v>0</v>
      </c>
      <c r="F2266" s="4">
        <v>1</v>
      </c>
      <c r="G2266" s="4">
        <v>21002</v>
      </c>
      <c r="H2266" s="4">
        <f>INT(VLOOKUP(A2266,洗矿索引!$B$2:$H$97,IF(INT(G2266/10000)=11,7,IF(INT(G2266/10000)=2,6,IF(RIGHT(G2266,1)="0",4,5))),TRUE)/IF(INT(G2266/10000)=11,1,IF(INT(G2266/10000)=2,3,IF(RIGHT(G2266,1)=0,6,6)))*100000)</f>
        <v>933</v>
      </c>
      <c r="I2266" s="4">
        <f>IF(G2266=114000,VLOOKUP(A2266,洗矿索引!$B$2:$H$97,3,FALSE),1)</f>
        <v>1</v>
      </c>
      <c r="J2266" s="4">
        <f t="shared" si="55"/>
        <v>1</v>
      </c>
      <c r="K2266" s="6" t="s">
        <v>2194</v>
      </c>
    </row>
    <row r="2267" spans="1:11" s="4" customFormat="1">
      <c r="A2267" s="4">
        <v>117026</v>
      </c>
      <c r="B2267" s="4">
        <v>1</v>
      </c>
      <c r="C2267" s="4">
        <v>1</v>
      </c>
      <c r="D2267" s="4">
        <v>0</v>
      </c>
      <c r="E2267" s="4">
        <v>0</v>
      </c>
      <c r="F2267" s="4">
        <v>1</v>
      </c>
      <c r="G2267" s="4">
        <v>21003</v>
      </c>
      <c r="H2267" s="4">
        <f>INT(VLOOKUP(A2267,洗矿索引!$B$2:$H$97,IF(INT(G2267/10000)=11,7,IF(INT(G2267/10000)=2,6,IF(RIGHT(G2267,1)="0",4,5))),TRUE)/IF(INT(G2267/10000)=11,1,IF(INT(G2267/10000)=2,3,IF(RIGHT(G2267,1)=0,6,6)))*100000)</f>
        <v>933</v>
      </c>
      <c r="I2267" s="4">
        <f>IF(G2267=114000,VLOOKUP(A2267,洗矿索引!$B$2:$H$97,3,FALSE),1)</f>
        <v>1</v>
      </c>
      <c r="J2267" s="4">
        <f t="shared" ref="J2267:J2305" si="56">I2267</f>
        <v>1</v>
      </c>
      <c r="K2267" s="6" t="s">
        <v>2195</v>
      </c>
    </row>
    <row r="2268" spans="1:11" s="4" customFormat="1">
      <c r="A2268" s="4">
        <v>118003</v>
      </c>
      <c r="B2268" s="4">
        <v>1</v>
      </c>
      <c r="C2268" s="4">
        <v>1</v>
      </c>
      <c r="D2268" s="4">
        <v>0</v>
      </c>
      <c r="E2268" s="4">
        <v>0</v>
      </c>
      <c r="F2268" s="4">
        <v>1</v>
      </c>
      <c r="G2268" s="4">
        <v>114000</v>
      </c>
      <c r="H2268" s="4">
        <f>INT(VLOOKUP(A2268,洗矿索引!$B$2:$H$97,IF(INT(G2268/10000)=11,7,IF(INT(G2268/10000)=2,6,IF(RIGHT(G2268,1)="0",4,5))),TRUE)/IF(INT(G2268/10000)=11,1,IF(INT(G2268/10000)=2,3,IF(RIGHT(G2268,1)=0,6,6)))*100000)</f>
        <v>98775</v>
      </c>
      <c r="I2268" s="4">
        <f>IF(G2268=114000,VLOOKUP(A2268,洗矿索引!$B$2:$H$97,3,FALSE),1)</f>
        <v>5</v>
      </c>
      <c r="J2268" s="4">
        <f t="shared" si="56"/>
        <v>5</v>
      </c>
      <c r="K2268" s="6" t="s">
        <v>2196</v>
      </c>
    </row>
    <row r="2269" spans="1:11" s="4" customFormat="1">
      <c r="A2269" s="4">
        <v>118003</v>
      </c>
      <c r="B2269" s="4">
        <v>1</v>
      </c>
      <c r="C2269" s="4">
        <v>1</v>
      </c>
      <c r="D2269" s="4">
        <v>0</v>
      </c>
      <c r="E2269" s="4">
        <v>0</v>
      </c>
      <c r="F2269" s="4">
        <v>1</v>
      </c>
      <c r="G2269" s="4">
        <v>21001</v>
      </c>
      <c r="H2269" s="4">
        <f>INT(VLOOKUP(A2269,洗矿索引!$B$2:$H$97,IF(INT(G2269/10000)=11,7,IF(INT(G2269/10000)=2,6,IF(RIGHT(G2269,1)="0",4,5))),TRUE)/IF(INT(G2269/10000)=11,1,IF(INT(G2269/10000)=2,3,IF(RIGHT(G2269,1)=0,6,6)))*100000)</f>
        <v>400</v>
      </c>
      <c r="I2269" s="4">
        <f>IF(G2269=114000,VLOOKUP(A2269,洗矿索引!$B$2:$H$97,3,FALSE),1)</f>
        <v>1</v>
      </c>
      <c r="J2269" s="4">
        <f t="shared" si="56"/>
        <v>1</v>
      </c>
      <c r="K2269" s="6" t="s">
        <v>2197</v>
      </c>
    </row>
    <row r="2270" spans="1:11" s="4" customFormat="1">
      <c r="A2270" s="4">
        <v>118003</v>
      </c>
      <c r="B2270" s="4">
        <v>1</v>
      </c>
      <c r="C2270" s="4">
        <v>1</v>
      </c>
      <c r="D2270" s="4">
        <v>0</v>
      </c>
      <c r="E2270" s="4">
        <v>0</v>
      </c>
      <c r="F2270" s="4">
        <v>1</v>
      </c>
      <c r="G2270" s="4">
        <v>21002</v>
      </c>
      <c r="H2270" s="4">
        <f>INT(VLOOKUP(A2270,洗矿索引!$B$2:$H$97,IF(INT(G2270/10000)=11,7,IF(INT(G2270/10000)=2,6,IF(RIGHT(G2270,1)="0",4,5))),TRUE)/IF(INT(G2270/10000)=11,1,IF(INT(G2270/10000)=2,3,IF(RIGHT(G2270,1)=0,6,6)))*100000)</f>
        <v>400</v>
      </c>
      <c r="I2270" s="4">
        <f>IF(G2270=114000,VLOOKUP(A2270,洗矿索引!$B$2:$H$97,3,FALSE),1)</f>
        <v>1</v>
      </c>
      <c r="J2270" s="4">
        <f t="shared" si="56"/>
        <v>1</v>
      </c>
      <c r="K2270" s="6" t="s">
        <v>2198</v>
      </c>
    </row>
    <row r="2271" spans="1:11" s="4" customFormat="1">
      <c r="A2271" s="4">
        <v>118003</v>
      </c>
      <c r="B2271" s="4">
        <v>1</v>
      </c>
      <c r="C2271" s="4">
        <v>1</v>
      </c>
      <c r="D2271" s="4">
        <v>0</v>
      </c>
      <c r="E2271" s="4">
        <v>0</v>
      </c>
      <c r="F2271" s="4">
        <v>1</v>
      </c>
      <c r="G2271" s="4">
        <v>21003</v>
      </c>
      <c r="H2271" s="4">
        <f>INT(VLOOKUP(A2271,洗矿索引!$B$2:$H$97,IF(INT(G2271/10000)=11,7,IF(INT(G2271/10000)=2,6,IF(RIGHT(G2271,1)="0",4,5))),TRUE)/IF(INT(G2271/10000)=11,1,IF(INT(G2271/10000)=2,3,IF(RIGHT(G2271,1)=0,6,6)))*100000)</f>
        <v>400</v>
      </c>
      <c r="I2271" s="4">
        <f>IF(G2271=114000,VLOOKUP(A2271,洗矿索引!$B$2:$H$97,3,FALSE),1)</f>
        <v>1</v>
      </c>
      <c r="J2271" s="4">
        <f t="shared" si="56"/>
        <v>1</v>
      </c>
      <c r="K2271" s="6" t="s">
        <v>2199</v>
      </c>
    </row>
    <row r="2272" spans="1:11" s="4" customFormat="1">
      <c r="A2272" s="4">
        <v>118003</v>
      </c>
      <c r="B2272" s="4">
        <v>1</v>
      </c>
      <c r="C2272" s="4">
        <v>1</v>
      </c>
      <c r="D2272" s="4">
        <v>0</v>
      </c>
      <c r="E2272" s="4">
        <v>0</v>
      </c>
      <c r="F2272" s="4">
        <v>1</v>
      </c>
      <c r="G2272" s="4">
        <v>10110</v>
      </c>
      <c r="H2272" s="4">
        <f>INT(VLOOKUP(A2272,洗矿索引!$B$2:$H$97,IF(INT(G2272/10000)=11,7,IF(INT(G2272/10000)=2,6,IF(RIGHT(G2272,1)="0",4,5))),TRUE)/IF(INT(G2272/10000)=11,1,IF(INT(G2272/10000)=2,3,IF(RIGHT(G2272,1)=0,6,6)))*100000)</f>
        <v>4</v>
      </c>
      <c r="I2272" s="4">
        <f>IF(G2272=114000,VLOOKUP(A2272,洗矿索引!$B$2:$H$97,3,FALSE),1)</f>
        <v>1</v>
      </c>
      <c r="J2272" s="4">
        <f t="shared" si="56"/>
        <v>1</v>
      </c>
      <c r="K2272" s="6" t="s">
        <v>2200</v>
      </c>
    </row>
    <row r="2273" spans="1:11" s="4" customFormat="1">
      <c r="A2273" s="4">
        <v>118003</v>
      </c>
      <c r="B2273" s="4">
        <v>1</v>
      </c>
      <c r="C2273" s="4">
        <v>1</v>
      </c>
      <c r="D2273" s="4">
        <v>0</v>
      </c>
      <c r="E2273" s="4">
        <v>0</v>
      </c>
      <c r="F2273" s="4">
        <v>1</v>
      </c>
      <c r="G2273" s="4">
        <v>10120</v>
      </c>
      <c r="H2273" s="4">
        <f>INT(VLOOKUP(A2273,洗矿索引!$B$2:$H$97,IF(INT(G2273/10000)=11,7,IF(INT(G2273/10000)=2,6,IF(RIGHT(G2273,1)="0",4,5))),TRUE)/IF(INT(G2273/10000)=11,1,IF(INT(G2273/10000)=2,3,IF(RIGHT(G2273,1)=0,6,6)))*100000)</f>
        <v>4</v>
      </c>
      <c r="I2273" s="4">
        <f>IF(G2273=114000,VLOOKUP(A2273,洗矿索引!$B$2:$H$97,3,FALSE),1)</f>
        <v>1</v>
      </c>
      <c r="J2273" s="4">
        <f t="shared" si="56"/>
        <v>1</v>
      </c>
      <c r="K2273" s="6" t="s">
        <v>2201</v>
      </c>
    </row>
    <row r="2274" spans="1:11" s="4" customFormat="1">
      <c r="A2274" s="4">
        <v>118003</v>
      </c>
      <c r="B2274" s="4">
        <v>1</v>
      </c>
      <c r="C2274" s="4">
        <v>1</v>
      </c>
      <c r="D2274" s="4">
        <v>0</v>
      </c>
      <c r="E2274" s="4">
        <v>0</v>
      </c>
      <c r="F2274" s="4">
        <v>1</v>
      </c>
      <c r="G2274" s="4">
        <v>10220</v>
      </c>
      <c r="H2274" s="4">
        <f>INT(VLOOKUP(A2274,洗矿索引!$B$2:$H$97,IF(INT(G2274/10000)=11,7,IF(INT(G2274/10000)=2,6,IF(RIGHT(G2274,1)="0",4,5))),TRUE)/IF(INT(G2274/10000)=11,1,IF(INT(G2274/10000)=2,3,IF(RIGHT(G2274,1)=0,6,6)))*100000)</f>
        <v>4</v>
      </c>
      <c r="I2274" s="4">
        <f>IF(G2274=114000,VLOOKUP(A2274,洗矿索引!$B$2:$H$97,3,FALSE),1)</f>
        <v>1</v>
      </c>
      <c r="J2274" s="4">
        <f t="shared" si="56"/>
        <v>1</v>
      </c>
      <c r="K2274" s="6" t="s">
        <v>2202</v>
      </c>
    </row>
    <row r="2275" spans="1:11" s="4" customFormat="1">
      <c r="A2275" s="4">
        <v>118003</v>
      </c>
      <c r="B2275" s="4">
        <v>1</v>
      </c>
      <c r="C2275" s="4">
        <v>1</v>
      </c>
      <c r="D2275" s="4">
        <v>0</v>
      </c>
      <c r="E2275" s="4">
        <v>0</v>
      </c>
      <c r="F2275" s="4">
        <v>1</v>
      </c>
      <c r="G2275" s="4">
        <v>10320</v>
      </c>
      <c r="H2275" s="4">
        <f>INT(VLOOKUP(A2275,洗矿索引!$B$2:$H$97,IF(INT(G2275/10000)=11,7,IF(INT(G2275/10000)=2,6,IF(RIGHT(G2275,1)="0",4,5))),TRUE)/IF(INT(G2275/10000)=11,1,IF(INT(G2275/10000)=2,3,IF(RIGHT(G2275,1)=0,6,6)))*100000)</f>
        <v>4</v>
      </c>
      <c r="I2275" s="4">
        <f>IF(G2275=114000,VLOOKUP(A2275,洗矿索引!$B$2:$H$97,3,FALSE),1)</f>
        <v>1</v>
      </c>
      <c r="J2275" s="4">
        <f t="shared" si="56"/>
        <v>1</v>
      </c>
      <c r="K2275" s="6" t="s">
        <v>2203</v>
      </c>
    </row>
    <row r="2276" spans="1:11" s="4" customFormat="1">
      <c r="A2276" s="4">
        <v>118003</v>
      </c>
      <c r="B2276" s="4">
        <v>1</v>
      </c>
      <c r="C2276" s="4">
        <v>1</v>
      </c>
      <c r="D2276" s="4">
        <v>0</v>
      </c>
      <c r="E2276" s="4">
        <v>0</v>
      </c>
      <c r="F2276" s="4">
        <v>1</v>
      </c>
      <c r="G2276" s="4">
        <v>10420</v>
      </c>
      <c r="H2276" s="4">
        <f>INT(VLOOKUP(A2276,洗矿索引!$B$2:$H$97,IF(INT(G2276/10000)=11,7,IF(INT(G2276/10000)=2,6,IF(RIGHT(G2276,1)="0",4,5))),TRUE)/IF(INT(G2276/10000)=11,1,IF(INT(G2276/10000)=2,3,IF(RIGHT(G2276,1)=0,6,6)))*100000)</f>
        <v>4</v>
      </c>
      <c r="I2276" s="4">
        <f>IF(G2276=114000,VLOOKUP(A2276,洗矿索引!$B$2:$H$97,3,FALSE),1)</f>
        <v>1</v>
      </c>
      <c r="J2276" s="4">
        <f t="shared" si="56"/>
        <v>1</v>
      </c>
      <c r="K2276" s="6" t="s">
        <v>2204</v>
      </c>
    </row>
    <row r="2277" spans="1:11" s="4" customFormat="1">
      <c r="A2277" s="4">
        <v>118003</v>
      </c>
      <c r="B2277" s="4">
        <v>1</v>
      </c>
      <c r="C2277" s="4">
        <v>1</v>
      </c>
      <c r="D2277" s="4">
        <v>0</v>
      </c>
      <c r="E2277" s="4">
        <v>0</v>
      </c>
      <c r="F2277" s="4">
        <v>1</v>
      </c>
      <c r="G2277" s="4">
        <v>10520</v>
      </c>
      <c r="H2277" s="4">
        <f>INT(VLOOKUP(A2277,洗矿索引!$B$2:$H$97,IF(INT(G2277/10000)=11,7,IF(INT(G2277/10000)=2,6,IF(RIGHT(G2277,1)="0",4,5))),TRUE)/IF(INT(G2277/10000)=11,1,IF(INT(G2277/10000)=2,3,IF(RIGHT(G2277,1)=0,6,6)))*100000)</f>
        <v>4</v>
      </c>
      <c r="I2277" s="4">
        <f>IF(G2277=114000,VLOOKUP(A2277,洗矿索引!$B$2:$H$97,3,FALSE),1)</f>
        <v>1</v>
      </c>
      <c r="J2277" s="4">
        <f t="shared" si="56"/>
        <v>1</v>
      </c>
      <c r="K2277" s="6" t="s">
        <v>2205</v>
      </c>
    </row>
    <row r="2278" spans="1:11" s="4" customFormat="1">
      <c r="A2278" s="4">
        <v>118004</v>
      </c>
      <c r="B2278" s="4">
        <v>1</v>
      </c>
      <c r="C2278" s="4">
        <v>1</v>
      </c>
      <c r="D2278" s="4">
        <v>0</v>
      </c>
      <c r="E2278" s="4">
        <v>0</v>
      </c>
      <c r="F2278" s="4">
        <v>1</v>
      </c>
      <c r="G2278" s="4">
        <v>114000</v>
      </c>
      <c r="H2278" s="4">
        <f>INT(VLOOKUP(A2278,洗矿索引!$B$2:$H$97,IF(INT(G2278/10000)=11,7,IF(INT(G2278/10000)=2,6,IF(RIGHT(G2278,1)="0",4,5))),TRUE)/IF(INT(G2278/10000)=11,1,IF(INT(G2278/10000)=2,3,IF(RIGHT(G2278,1)=0,6,6)))*100000)</f>
        <v>98530</v>
      </c>
      <c r="I2278" s="4">
        <f>IF(G2278=114000,VLOOKUP(A2278,洗矿索引!$B$2:$H$97,3,FALSE),1)</f>
        <v>5</v>
      </c>
      <c r="J2278" s="4">
        <f t="shared" si="56"/>
        <v>5</v>
      </c>
      <c r="K2278" s="6" t="s">
        <v>2206</v>
      </c>
    </row>
    <row r="2279" spans="1:11" s="4" customFormat="1">
      <c r="A2279" s="4">
        <v>118004</v>
      </c>
      <c r="B2279" s="4">
        <v>1</v>
      </c>
      <c r="C2279" s="4">
        <v>1</v>
      </c>
      <c r="D2279" s="4">
        <v>0</v>
      </c>
      <c r="E2279" s="4">
        <v>0</v>
      </c>
      <c r="F2279" s="4">
        <v>1</v>
      </c>
      <c r="G2279" s="4">
        <v>21001</v>
      </c>
      <c r="H2279" s="4">
        <f>INT(VLOOKUP(A2279,洗矿索引!$B$2:$H$97,IF(INT(G2279/10000)=11,7,IF(INT(G2279/10000)=2,6,IF(RIGHT(G2279,1)="0",4,5))),TRUE)/IF(INT(G2279/10000)=11,1,IF(INT(G2279/10000)=2,3,IF(RIGHT(G2279,1)=0,6,6)))*100000)</f>
        <v>480</v>
      </c>
      <c r="I2279" s="4">
        <f>IF(G2279=114000,VLOOKUP(A2279,洗矿索引!$B$2:$H$97,3,FALSE),1)</f>
        <v>1</v>
      </c>
      <c r="J2279" s="4">
        <f t="shared" si="56"/>
        <v>1</v>
      </c>
      <c r="K2279" s="6" t="s">
        <v>2207</v>
      </c>
    </row>
    <row r="2280" spans="1:11" s="4" customFormat="1">
      <c r="A2280" s="4">
        <v>118004</v>
      </c>
      <c r="B2280" s="4">
        <v>1</v>
      </c>
      <c r="C2280" s="4">
        <v>1</v>
      </c>
      <c r="D2280" s="4">
        <v>0</v>
      </c>
      <c r="E2280" s="4">
        <v>0</v>
      </c>
      <c r="F2280" s="4">
        <v>1</v>
      </c>
      <c r="G2280" s="4">
        <v>21002</v>
      </c>
      <c r="H2280" s="4">
        <f>INT(VLOOKUP(A2280,洗矿索引!$B$2:$H$97,IF(INT(G2280/10000)=11,7,IF(INT(G2280/10000)=2,6,IF(RIGHT(G2280,1)="0",4,5))),TRUE)/IF(INT(G2280/10000)=11,1,IF(INT(G2280/10000)=2,3,IF(RIGHT(G2280,1)=0,6,6)))*100000)</f>
        <v>480</v>
      </c>
      <c r="I2280" s="4">
        <f>IF(G2280=114000,VLOOKUP(A2280,洗矿索引!$B$2:$H$97,3,FALSE),1)</f>
        <v>1</v>
      </c>
      <c r="J2280" s="4">
        <f t="shared" si="56"/>
        <v>1</v>
      </c>
      <c r="K2280" s="6" t="s">
        <v>2208</v>
      </c>
    </row>
    <row r="2281" spans="1:11" s="4" customFormat="1">
      <c r="A2281" s="4">
        <v>118004</v>
      </c>
      <c r="B2281" s="4">
        <v>1</v>
      </c>
      <c r="C2281" s="4">
        <v>1</v>
      </c>
      <c r="D2281" s="4">
        <v>0</v>
      </c>
      <c r="E2281" s="4">
        <v>0</v>
      </c>
      <c r="F2281" s="4">
        <v>1</v>
      </c>
      <c r="G2281" s="4">
        <v>21003</v>
      </c>
      <c r="H2281" s="4">
        <f>INT(VLOOKUP(A2281,洗矿索引!$B$2:$H$97,IF(INT(G2281/10000)=11,7,IF(INT(G2281/10000)=2,6,IF(RIGHT(G2281,1)="0",4,5))),TRUE)/IF(INT(G2281/10000)=11,1,IF(INT(G2281/10000)=2,3,IF(RIGHT(G2281,1)=0,6,6)))*100000)</f>
        <v>480</v>
      </c>
      <c r="I2281" s="4">
        <f>IF(G2281=114000,VLOOKUP(A2281,洗矿索引!$B$2:$H$97,3,FALSE),1)</f>
        <v>1</v>
      </c>
      <c r="J2281" s="4">
        <f t="shared" si="56"/>
        <v>1</v>
      </c>
      <c r="K2281" s="6" t="s">
        <v>2209</v>
      </c>
    </row>
    <row r="2282" spans="1:11" s="4" customFormat="1">
      <c r="A2282" s="4">
        <v>118004</v>
      </c>
      <c r="B2282" s="4">
        <v>1</v>
      </c>
      <c r="C2282" s="4">
        <v>1</v>
      </c>
      <c r="D2282" s="4">
        <v>0</v>
      </c>
      <c r="E2282" s="4">
        <v>0</v>
      </c>
      <c r="F2282" s="4">
        <v>1</v>
      </c>
      <c r="G2282" s="4">
        <v>10110</v>
      </c>
      <c r="H2282" s="4">
        <f>INT(VLOOKUP(A2282,洗矿索引!$B$2:$H$97,IF(INT(G2282/10000)=11,7,IF(INT(G2282/10000)=2,6,IF(RIGHT(G2282,1)="0",4,5))),TRUE)/IF(INT(G2282/10000)=11,1,IF(INT(G2282/10000)=2,3,IF(RIGHT(G2282,1)=0,6,6)))*100000)</f>
        <v>5</v>
      </c>
      <c r="I2282" s="4">
        <f>IF(G2282=114000,VLOOKUP(A2282,洗矿索引!$B$2:$H$97,3,FALSE),1)</f>
        <v>1</v>
      </c>
      <c r="J2282" s="4">
        <f t="shared" si="56"/>
        <v>1</v>
      </c>
      <c r="K2282" s="6" t="s">
        <v>2210</v>
      </c>
    </row>
    <row r="2283" spans="1:11" s="4" customFormat="1">
      <c r="A2283" s="4">
        <v>118004</v>
      </c>
      <c r="B2283" s="4">
        <v>1</v>
      </c>
      <c r="C2283" s="4">
        <v>1</v>
      </c>
      <c r="D2283" s="4">
        <v>0</v>
      </c>
      <c r="E2283" s="4">
        <v>0</v>
      </c>
      <c r="F2283" s="4">
        <v>1</v>
      </c>
      <c r="G2283" s="4">
        <v>10120</v>
      </c>
      <c r="H2283" s="4">
        <f>INT(VLOOKUP(A2283,洗矿索引!$B$2:$H$97,IF(INT(G2283/10000)=11,7,IF(INT(G2283/10000)=2,6,IF(RIGHT(G2283,1)="0",4,5))),TRUE)/IF(INT(G2283/10000)=11,1,IF(INT(G2283/10000)=2,3,IF(RIGHT(G2283,1)=0,6,6)))*100000)</f>
        <v>5</v>
      </c>
      <c r="I2283" s="4">
        <f>IF(G2283=114000,VLOOKUP(A2283,洗矿索引!$B$2:$H$97,3,FALSE),1)</f>
        <v>1</v>
      </c>
      <c r="J2283" s="4">
        <f t="shared" si="56"/>
        <v>1</v>
      </c>
      <c r="K2283" s="6" t="s">
        <v>2211</v>
      </c>
    </row>
    <row r="2284" spans="1:11" s="4" customFormat="1">
      <c r="A2284" s="4">
        <v>118004</v>
      </c>
      <c r="B2284" s="4">
        <v>1</v>
      </c>
      <c r="C2284" s="4">
        <v>1</v>
      </c>
      <c r="D2284" s="4">
        <v>0</v>
      </c>
      <c r="E2284" s="4">
        <v>0</v>
      </c>
      <c r="F2284" s="4">
        <v>1</v>
      </c>
      <c r="G2284" s="4">
        <v>10220</v>
      </c>
      <c r="H2284" s="4">
        <f>INT(VLOOKUP(A2284,洗矿索引!$B$2:$H$97,IF(INT(G2284/10000)=11,7,IF(INT(G2284/10000)=2,6,IF(RIGHT(G2284,1)="0",4,5))),TRUE)/IF(INT(G2284/10000)=11,1,IF(INT(G2284/10000)=2,3,IF(RIGHT(G2284,1)=0,6,6)))*100000)</f>
        <v>5</v>
      </c>
      <c r="I2284" s="4">
        <f>IF(G2284=114000,VLOOKUP(A2284,洗矿索引!$B$2:$H$97,3,FALSE),1)</f>
        <v>1</v>
      </c>
      <c r="J2284" s="4">
        <f t="shared" si="56"/>
        <v>1</v>
      </c>
      <c r="K2284" s="6" t="s">
        <v>2212</v>
      </c>
    </row>
    <row r="2285" spans="1:11" s="4" customFormat="1">
      <c r="A2285" s="4">
        <v>118004</v>
      </c>
      <c r="B2285" s="4">
        <v>1</v>
      </c>
      <c r="C2285" s="4">
        <v>1</v>
      </c>
      <c r="D2285" s="4">
        <v>0</v>
      </c>
      <c r="E2285" s="4">
        <v>0</v>
      </c>
      <c r="F2285" s="4">
        <v>1</v>
      </c>
      <c r="G2285" s="4">
        <v>10320</v>
      </c>
      <c r="H2285" s="4">
        <f>INT(VLOOKUP(A2285,洗矿索引!$B$2:$H$97,IF(INT(G2285/10000)=11,7,IF(INT(G2285/10000)=2,6,IF(RIGHT(G2285,1)="0",4,5))),TRUE)/IF(INT(G2285/10000)=11,1,IF(INT(G2285/10000)=2,3,IF(RIGHT(G2285,1)=0,6,6)))*100000)</f>
        <v>5</v>
      </c>
      <c r="I2285" s="4">
        <f>IF(G2285=114000,VLOOKUP(A2285,洗矿索引!$B$2:$H$97,3,FALSE),1)</f>
        <v>1</v>
      </c>
      <c r="J2285" s="4">
        <f t="shared" si="56"/>
        <v>1</v>
      </c>
      <c r="K2285" s="6" t="s">
        <v>2213</v>
      </c>
    </row>
    <row r="2286" spans="1:11" s="4" customFormat="1">
      <c r="A2286" s="4">
        <v>118004</v>
      </c>
      <c r="B2286" s="4">
        <v>1</v>
      </c>
      <c r="C2286" s="4">
        <v>1</v>
      </c>
      <c r="D2286" s="4">
        <v>0</v>
      </c>
      <c r="E2286" s="4">
        <v>0</v>
      </c>
      <c r="F2286" s="4">
        <v>1</v>
      </c>
      <c r="G2286" s="4">
        <v>10420</v>
      </c>
      <c r="H2286" s="4">
        <f>INT(VLOOKUP(A2286,洗矿索引!$B$2:$H$97,IF(INT(G2286/10000)=11,7,IF(INT(G2286/10000)=2,6,IF(RIGHT(G2286,1)="0",4,5))),TRUE)/IF(INT(G2286/10000)=11,1,IF(INT(G2286/10000)=2,3,IF(RIGHT(G2286,1)=0,6,6)))*100000)</f>
        <v>5</v>
      </c>
      <c r="I2286" s="4">
        <f>IF(G2286=114000,VLOOKUP(A2286,洗矿索引!$B$2:$H$97,3,FALSE),1)</f>
        <v>1</v>
      </c>
      <c r="J2286" s="4">
        <f t="shared" si="56"/>
        <v>1</v>
      </c>
      <c r="K2286" s="6" t="s">
        <v>2214</v>
      </c>
    </row>
    <row r="2287" spans="1:11" s="4" customFormat="1">
      <c r="A2287" s="4">
        <v>118004</v>
      </c>
      <c r="B2287" s="4">
        <v>1</v>
      </c>
      <c r="C2287" s="4">
        <v>1</v>
      </c>
      <c r="D2287" s="4">
        <v>0</v>
      </c>
      <c r="E2287" s="4">
        <v>0</v>
      </c>
      <c r="F2287" s="4">
        <v>1</v>
      </c>
      <c r="G2287" s="4">
        <v>10520</v>
      </c>
      <c r="H2287" s="4">
        <f>INT(VLOOKUP(A2287,洗矿索引!$B$2:$H$97,IF(INT(G2287/10000)=11,7,IF(INT(G2287/10000)=2,6,IF(RIGHT(G2287,1)="0",4,5))),TRUE)/IF(INT(G2287/10000)=11,1,IF(INT(G2287/10000)=2,3,IF(RIGHT(G2287,1)=0,6,6)))*100000)</f>
        <v>5</v>
      </c>
      <c r="I2287" s="4">
        <f>IF(G2287=114000,VLOOKUP(A2287,洗矿索引!$B$2:$H$97,3,FALSE),1)</f>
        <v>1</v>
      </c>
      <c r="J2287" s="4">
        <f t="shared" si="56"/>
        <v>1</v>
      </c>
      <c r="K2287" s="6" t="s">
        <v>2215</v>
      </c>
    </row>
    <row r="2288" spans="1:11" s="4" customFormat="1">
      <c r="A2288" s="4">
        <v>118005</v>
      </c>
      <c r="B2288" s="4">
        <v>1</v>
      </c>
      <c r="C2288" s="4">
        <v>1</v>
      </c>
      <c r="D2288" s="4">
        <v>0</v>
      </c>
      <c r="E2288" s="4">
        <v>0</v>
      </c>
      <c r="F2288" s="4">
        <v>1</v>
      </c>
      <c r="G2288" s="4">
        <v>114000</v>
      </c>
      <c r="H2288" s="4">
        <f>INT(VLOOKUP(A2288,洗矿索引!$B$2:$H$97,IF(INT(G2288/10000)=11,7,IF(INT(G2288/10000)=2,6,IF(RIGHT(G2288,1)="0",4,5))),TRUE)/IF(INT(G2288/10000)=11,1,IF(INT(G2288/10000)=2,3,IF(RIGHT(G2288,1)=0,6,6)))*100000)</f>
        <v>98285</v>
      </c>
      <c r="I2288" s="4">
        <f>IF(G2288=114000,VLOOKUP(A2288,洗矿索引!$B$2:$H$97,3,FALSE),1)</f>
        <v>5</v>
      </c>
      <c r="J2288" s="4">
        <f t="shared" si="56"/>
        <v>5</v>
      </c>
      <c r="K2288" s="6" t="s">
        <v>2216</v>
      </c>
    </row>
    <row r="2289" spans="1:11" s="4" customFormat="1">
      <c r="A2289" s="4">
        <v>118005</v>
      </c>
      <c r="B2289" s="4">
        <v>1</v>
      </c>
      <c r="C2289" s="4">
        <v>1</v>
      </c>
      <c r="D2289" s="4">
        <v>0</v>
      </c>
      <c r="E2289" s="4">
        <v>0</v>
      </c>
      <c r="F2289" s="4">
        <v>1</v>
      </c>
      <c r="G2289" s="4">
        <v>21001</v>
      </c>
      <c r="H2289" s="4">
        <f>INT(VLOOKUP(A2289,洗矿索引!$B$2:$H$97,IF(INT(G2289/10000)=11,7,IF(INT(G2289/10000)=2,6,IF(RIGHT(G2289,1)="0",4,5))),TRUE)/IF(INT(G2289/10000)=11,1,IF(INT(G2289/10000)=2,3,IF(RIGHT(G2289,1)=0,6,6)))*100000)</f>
        <v>560</v>
      </c>
      <c r="I2289" s="4">
        <f>IF(G2289=114000,VLOOKUP(A2289,洗矿索引!$B$2:$H$97,3,FALSE),1)</f>
        <v>1</v>
      </c>
      <c r="J2289" s="4">
        <f t="shared" si="56"/>
        <v>1</v>
      </c>
      <c r="K2289" s="6" t="s">
        <v>2217</v>
      </c>
    </row>
    <row r="2290" spans="1:11" s="4" customFormat="1">
      <c r="A2290" s="4">
        <v>118005</v>
      </c>
      <c r="B2290" s="4">
        <v>1</v>
      </c>
      <c r="C2290" s="4">
        <v>1</v>
      </c>
      <c r="D2290" s="4">
        <v>0</v>
      </c>
      <c r="E2290" s="4">
        <v>0</v>
      </c>
      <c r="F2290" s="4">
        <v>1</v>
      </c>
      <c r="G2290" s="4">
        <v>21002</v>
      </c>
      <c r="H2290" s="4">
        <f>INT(VLOOKUP(A2290,洗矿索引!$B$2:$H$97,IF(INT(G2290/10000)=11,7,IF(INT(G2290/10000)=2,6,IF(RIGHT(G2290,1)="0",4,5))),TRUE)/IF(INT(G2290/10000)=11,1,IF(INT(G2290/10000)=2,3,IF(RIGHT(G2290,1)=0,6,6)))*100000)</f>
        <v>560</v>
      </c>
      <c r="I2290" s="4">
        <f>IF(G2290=114000,VLOOKUP(A2290,洗矿索引!$B$2:$H$97,3,FALSE),1)</f>
        <v>1</v>
      </c>
      <c r="J2290" s="4">
        <f t="shared" si="56"/>
        <v>1</v>
      </c>
      <c r="K2290" s="6" t="s">
        <v>2218</v>
      </c>
    </row>
    <row r="2291" spans="1:11" s="4" customFormat="1">
      <c r="A2291" s="4">
        <v>118005</v>
      </c>
      <c r="B2291" s="4">
        <v>1</v>
      </c>
      <c r="C2291" s="4">
        <v>1</v>
      </c>
      <c r="D2291" s="4">
        <v>0</v>
      </c>
      <c r="E2291" s="4">
        <v>0</v>
      </c>
      <c r="F2291" s="4">
        <v>1</v>
      </c>
      <c r="G2291" s="4">
        <v>21003</v>
      </c>
      <c r="H2291" s="4">
        <f>INT(VLOOKUP(A2291,洗矿索引!$B$2:$H$97,IF(INT(G2291/10000)=11,7,IF(INT(G2291/10000)=2,6,IF(RIGHT(G2291,1)="0",4,5))),TRUE)/IF(INT(G2291/10000)=11,1,IF(INT(G2291/10000)=2,3,IF(RIGHT(G2291,1)=0,6,6)))*100000)</f>
        <v>560</v>
      </c>
      <c r="I2291" s="4">
        <f>IF(G2291=114000,VLOOKUP(A2291,洗矿索引!$B$2:$H$97,3,FALSE),1)</f>
        <v>1</v>
      </c>
      <c r="J2291" s="4">
        <f t="shared" si="56"/>
        <v>1</v>
      </c>
      <c r="K2291" s="6" t="s">
        <v>2219</v>
      </c>
    </row>
    <row r="2292" spans="1:11" s="4" customFormat="1">
      <c r="A2292" s="4">
        <v>118005</v>
      </c>
      <c r="B2292" s="4">
        <v>1</v>
      </c>
      <c r="C2292" s="4">
        <v>1</v>
      </c>
      <c r="D2292" s="4">
        <v>0</v>
      </c>
      <c r="E2292" s="4">
        <v>0</v>
      </c>
      <c r="F2292" s="4">
        <v>1</v>
      </c>
      <c r="G2292" s="4">
        <v>10110</v>
      </c>
      <c r="H2292" s="4">
        <f>INT(VLOOKUP(A2292,洗矿索引!$B$2:$H$97,IF(INT(G2292/10000)=11,7,IF(INT(G2292/10000)=2,6,IF(RIGHT(G2292,1)="0",4,5))),TRUE)/IF(INT(G2292/10000)=11,1,IF(INT(G2292/10000)=2,3,IF(RIGHT(G2292,1)=0,6,6)))*100000)</f>
        <v>5</v>
      </c>
      <c r="I2292" s="4">
        <f>IF(G2292=114000,VLOOKUP(A2292,洗矿索引!$B$2:$H$97,3,FALSE),1)</f>
        <v>1</v>
      </c>
      <c r="J2292" s="4">
        <f t="shared" si="56"/>
        <v>1</v>
      </c>
      <c r="K2292" s="6" t="s">
        <v>2220</v>
      </c>
    </row>
    <row r="2293" spans="1:11" s="4" customFormat="1">
      <c r="A2293" s="4">
        <v>118005</v>
      </c>
      <c r="B2293" s="4">
        <v>1</v>
      </c>
      <c r="C2293" s="4">
        <v>1</v>
      </c>
      <c r="D2293" s="4">
        <v>0</v>
      </c>
      <c r="E2293" s="4">
        <v>0</v>
      </c>
      <c r="F2293" s="4">
        <v>1</v>
      </c>
      <c r="G2293" s="4">
        <v>10120</v>
      </c>
      <c r="H2293" s="4">
        <f>INT(VLOOKUP(A2293,洗矿索引!$B$2:$H$97,IF(INT(G2293/10000)=11,7,IF(INT(G2293/10000)=2,6,IF(RIGHT(G2293,1)="0",4,5))),TRUE)/IF(INT(G2293/10000)=11,1,IF(INT(G2293/10000)=2,3,IF(RIGHT(G2293,1)=0,6,6)))*100000)</f>
        <v>5</v>
      </c>
      <c r="I2293" s="4">
        <f>IF(G2293=114000,VLOOKUP(A2293,洗矿索引!$B$2:$H$97,3,FALSE),1)</f>
        <v>1</v>
      </c>
      <c r="J2293" s="4">
        <f t="shared" si="56"/>
        <v>1</v>
      </c>
      <c r="K2293" s="6" t="s">
        <v>2221</v>
      </c>
    </row>
    <row r="2294" spans="1:11" s="4" customFormat="1">
      <c r="A2294" s="4">
        <v>118005</v>
      </c>
      <c r="B2294" s="4">
        <v>1</v>
      </c>
      <c r="C2294" s="4">
        <v>1</v>
      </c>
      <c r="D2294" s="4">
        <v>0</v>
      </c>
      <c r="E2294" s="4">
        <v>0</v>
      </c>
      <c r="F2294" s="4">
        <v>1</v>
      </c>
      <c r="G2294" s="4">
        <v>10220</v>
      </c>
      <c r="H2294" s="4">
        <f>INT(VLOOKUP(A2294,洗矿索引!$B$2:$H$97,IF(INT(G2294/10000)=11,7,IF(INT(G2294/10000)=2,6,IF(RIGHT(G2294,1)="0",4,5))),TRUE)/IF(INT(G2294/10000)=11,1,IF(INT(G2294/10000)=2,3,IF(RIGHT(G2294,1)=0,6,6)))*100000)</f>
        <v>5</v>
      </c>
      <c r="I2294" s="4">
        <f>IF(G2294=114000,VLOOKUP(A2294,洗矿索引!$B$2:$H$97,3,FALSE),1)</f>
        <v>1</v>
      </c>
      <c r="J2294" s="4">
        <f t="shared" si="56"/>
        <v>1</v>
      </c>
      <c r="K2294" s="6" t="s">
        <v>2222</v>
      </c>
    </row>
    <row r="2295" spans="1:11" s="4" customFormat="1">
      <c r="A2295" s="4">
        <v>118005</v>
      </c>
      <c r="B2295" s="4">
        <v>1</v>
      </c>
      <c r="C2295" s="4">
        <v>1</v>
      </c>
      <c r="D2295" s="4">
        <v>0</v>
      </c>
      <c r="E2295" s="4">
        <v>0</v>
      </c>
      <c r="F2295" s="4">
        <v>1</v>
      </c>
      <c r="G2295" s="4">
        <v>10320</v>
      </c>
      <c r="H2295" s="4">
        <f>INT(VLOOKUP(A2295,洗矿索引!$B$2:$H$97,IF(INT(G2295/10000)=11,7,IF(INT(G2295/10000)=2,6,IF(RIGHT(G2295,1)="0",4,5))),TRUE)/IF(INT(G2295/10000)=11,1,IF(INT(G2295/10000)=2,3,IF(RIGHT(G2295,1)=0,6,6)))*100000)</f>
        <v>5</v>
      </c>
      <c r="I2295" s="4">
        <f>IF(G2295=114000,VLOOKUP(A2295,洗矿索引!$B$2:$H$97,3,FALSE),1)</f>
        <v>1</v>
      </c>
      <c r="J2295" s="4">
        <f t="shared" si="56"/>
        <v>1</v>
      </c>
      <c r="K2295" s="6" t="s">
        <v>2223</v>
      </c>
    </row>
    <row r="2296" spans="1:11" s="4" customFormat="1">
      <c r="A2296" s="4">
        <v>118005</v>
      </c>
      <c r="B2296" s="4">
        <v>1</v>
      </c>
      <c r="C2296" s="4">
        <v>1</v>
      </c>
      <c r="D2296" s="4">
        <v>0</v>
      </c>
      <c r="E2296" s="4">
        <v>0</v>
      </c>
      <c r="F2296" s="4">
        <v>1</v>
      </c>
      <c r="G2296" s="4">
        <v>10420</v>
      </c>
      <c r="H2296" s="4">
        <f>INT(VLOOKUP(A2296,洗矿索引!$B$2:$H$97,IF(INT(G2296/10000)=11,7,IF(INT(G2296/10000)=2,6,IF(RIGHT(G2296,1)="0",4,5))),TRUE)/IF(INT(G2296/10000)=11,1,IF(INT(G2296/10000)=2,3,IF(RIGHT(G2296,1)=0,6,6)))*100000)</f>
        <v>5</v>
      </c>
      <c r="I2296" s="4">
        <f>IF(G2296=114000,VLOOKUP(A2296,洗矿索引!$B$2:$H$97,3,FALSE),1)</f>
        <v>1</v>
      </c>
      <c r="J2296" s="4">
        <f t="shared" si="56"/>
        <v>1</v>
      </c>
      <c r="K2296" s="6" t="s">
        <v>2224</v>
      </c>
    </row>
    <row r="2297" spans="1:11" s="4" customFormat="1">
      <c r="A2297" s="4">
        <v>118005</v>
      </c>
      <c r="B2297" s="4">
        <v>1</v>
      </c>
      <c r="C2297" s="4">
        <v>1</v>
      </c>
      <c r="D2297" s="4">
        <v>0</v>
      </c>
      <c r="E2297" s="4">
        <v>0</v>
      </c>
      <c r="F2297" s="4">
        <v>1</v>
      </c>
      <c r="G2297" s="4">
        <v>10520</v>
      </c>
      <c r="H2297" s="4">
        <f>INT(VLOOKUP(A2297,洗矿索引!$B$2:$H$97,IF(INT(G2297/10000)=11,7,IF(INT(G2297/10000)=2,6,IF(RIGHT(G2297,1)="0",4,5))),TRUE)/IF(INT(G2297/10000)=11,1,IF(INT(G2297/10000)=2,3,IF(RIGHT(G2297,1)=0,6,6)))*100000)</f>
        <v>5</v>
      </c>
      <c r="I2297" s="4">
        <f>IF(G2297=114000,VLOOKUP(A2297,洗矿索引!$B$2:$H$97,3,FALSE),1)</f>
        <v>1</v>
      </c>
      <c r="J2297" s="4">
        <f t="shared" si="56"/>
        <v>1</v>
      </c>
      <c r="K2297" s="6" t="s">
        <v>2225</v>
      </c>
    </row>
    <row r="2298" spans="1:11" s="4" customFormat="1">
      <c r="A2298" s="4">
        <v>118006</v>
      </c>
      <c r="B2298" s="4">
        <v>1</v>
      </c>
      <c r="C2298" s="4">
        <v>1</v>
      </c>
      <c r="D2298" s="4">
        <v>0</v>
      </c>
      <c r="E2298" s="4">
        <v>0</v>
      </c>
      <c r="F2298" s="4">
        <v>1</v>
      </c>
      <c r="G2298" s="4">
        <v>114000</v>
      </c>
      <c r="H2298" s="4">
        <f>INT(VLOOKUP(A2298,洗矿索引!$B$2:$H$97,IF(INT(G2298/10000)=11,7,IF(INT(G2298/10000)=2,6,IF(RIGHT(G2298,1)="0",4,5))),TRUE)/IF(INT(G2298/10000)=11,1,IF(INT(G2298/10000)=2,3,IF(RIGHT(G2298,1)=0,6,6)))*100000)</f>
        <v>98040</v>
      </c>
      <c r="I2298" s="4">
        <f>IF(G2298=114000,VLOOKUP(A2298,洗矿索引!$B$2:$H$97,3,FALSE),1)</f>
        <v>5</v>
      </c>
      <c r="J2298" s="4">
        <f t="shared" si="56"/>
        <v>5</v>
      </c>
      <c r="K2298" s="6" t="s">
        <v>2226</v>
      </c>
    </row>
    <row r="2299" spans="1:11" s="4" customFormat="1">
      <c r="A2299" s="4">
        <v>118006</v>
      </c>
      <c r="B2299" s="4">
        <v>1</v>
      </c>
      <c r="C2299" s="4">
        <v>1</v>
      </c>
      <c r="D2299" s="4">
        <v>0</v>
      </c>
      <c r="E2299" s="4">
        <v>0</v>
      </c>
      <c r="F2299" s="4">
        <v>1</v>
      </c>
      <c r="G2299" s="4">
        <v>21001</v>
      </c>
      <c r="H2299" s="4">
        <f>INT(VLOOKUP(A2299,洗矿索引!$B$2:$H$97,IF(INT(G2299/10000)=11,7,IF(INT(G2299/10000)=2,6,IF(RIGHT(G2299,1)="0",4,5))),TRUE)/IF(INT(G2299/10000)=11,1,IF(INT(G2299/10000)=2,3,IF(RIGHT(G2299,1)=0,6,6)))*100000)</f>
        <v>640</v>
      </c>
      <c r="I2299" s="4">
        <f>IF(G2299=114000,VLOOKUP(A2299,洗矿索引!$B$2:$H$97,3,FALSE),1)</f>
        <v>1</v>
      </c>
      <c r="J2299" s="4">
        <f t="shared" si="56"/>
        <v>1</v>
      </c>
      <c r="K2299" s="6" t="s">
        <v>2227</v>
      </c>
    </row>
    <row r="2300" spans="1:11" s="4" customFormat="1">
      <c r="A2300" s="4">
        <v>118006</v>
      </c>
      <c r="B2300" s="4">
        <v>1</v>
      </c>
      <c r="C2300" s="4">
        <v>1</v>
      </c>
      <c r="D2300" s="4">
        <v>0</v>
      </c>
      <c r="E2300" s="4">
        <v>0</v>
      </c>
      <c r="F2300" s="4">
        <v>1</v>
      </c>
      <c r="G2300" s="4">
        <v>21002</v>
      </c>
      <c r="H2300" s="4">
        <f>INT(VLOOKUP(A2300,洗矿索引!$B$2:$H$97,IF(INT(G2300/10000)=11,7,IF(INT(G2300/10000)=2,6,IF(RIGHT(G2300,1)="0",4,5))),TRUE)/IF(INT(G2300/10000)=11,1,IF(INT(G2300/10000)=2,3,IF(RIGHT(G2300,1)=0,6,6)))*100000)</f>
        <v>640</v>
      </c>
      <c r="I2300" s="4">
        <f>IF(G2300=114000,VLOOKUP(A2300,洗矿索引!$B$2:$H$97,3,FALSE),1)</f>
        <v>1</v>
      </c>
      <c r="J2300" s="4">
        <f t="shared" si="56"/>
        <v>1</v>
      </c>
      <c r="K2300" s="6" t="s">
        <v>2228</v>
      </c>
    </row>
    <row r="2301" spans="1:11" s="4" customFormat="1">
      <c r="A2301" s="4">
        <v>118006</v>
      </c>
      <c r="B2301" s="4">
        <v>1</v>
      </c>
      <c r="C2301" s="4">
        <v>1</v>
      </c>
      <c r="D2301" s="4">
        <v>0</v>
      </c>
      <c r="E2301" s="4">
        <v>0</v>
      </c>
      <c r="F2301" s="4">
        <v>1</v>
      </c>
      <c r="G2301" s="4">
        <v>21003</v>
      </c>
      <c r="H2301" s="4">
        <f>INT(VLOOKUP(A2301,洗矿索引!$B$2:$H$97,IF(INT(G2301/10000)=11,7,IF(INT(G2301/10000)=2,6,IF(RIGHT(G2301,1)="0",4,5))),TRUE)/IF(INT(G2301/10000)=11,1,IF(INT(G2301/10000)=2,3,IF(RIGHT(G2301,1)=0,6,6)))*100000)</f>
        <v>640</v>
      </c>
      <c r="I2301" s="4">
        <f>IF(G2301=114000,VLOOKUP(A2301,洗矿索引!$B$2:$H$97,3,FALSE),1)</f>
        <v>1</v>
      </c>
      <c r="J2301" s="4">
        <f t="shared" si="56"/>
        <v>1</v>
      </c>
      <c r="K2301" s="6" t="s">
        <v>2229</v>
      </c>
    </row>
    <row r="2302" spans="1:11" s="4" customFormat="1">
      <c r="A2302" s="4">
        <v>118006</v>
      </c>
      <c r="B2302" s="4">
        <v>1</v>
      </c>
      <c r="C2302" s="4">
        <v>1</v>
      </c>
      <c r="D2302" s="4">
        <v>0</v>
      </c>
      <c r="E2302" s="4">
        <v>0</v>
      </c>
      <c r="F2302" s="4">
        <v>1</v>
      </c>
      <c r="G2302" s="4">
        <v>10110</v>
      </c>
      <c r="H2302" s="4">
        <f>INT(VLOOKUP(A2302,洗矿索引!$B$2:$H$97,IF(INT(G2302/10000)=11,7,IF(INT(G2302/10000)=2,6,IF(RIGHT(G2302,1)="0",4,5))),TRUE)/IF(INT(G2302/10000)=11,1,IF(INT(G2302/10000)=2,3,IF(RIGHT(G2302,1)=0,6,6)))*100000)</f>
        <v>6</v>
      </c>
      <c r="I2302" s="4">
        <f>IF(G2302=114000,VLOOKUP(A2302,洗矿索引!$B$2:$H$97,3,FALSE),1)</f>
        <v>1</v>
      </c>
      <c r="J2302" s="4">
        <f t="shared" si="56"/>
        <v>1</v>
      </c>
      <c r="K2302" s="6" t="s">
        <v>2230</v>
      </c>
    </row>
    <row r="2303" spans="1:11" s="4" customFormat="1">
      <c r="A2303" s="4">
        <v>118006</v>
      </c>
      <c r="B2303" s="4">
        <v>1</v>
      </c>
      <c r="C2303" s="4">
        <v>1</v>
      </c>
      <c r="D2303" s="4">
        <v>0</v>
      </c>
      <c r="E2303" s="4">
        <v>0</v>
      </c>
      <c r="F2303" s="4">
        <v>1</v>
      </c>
      <c r="G2303" s="4">
        <v>10120</v>
      </c>
      <c r="H2303" s="4">
        <f>INT(VLOOKUP(A2303,洗矿索引!$B$2:$H$97,IF(INT(G2303/10000)=11,7,IF(INT(G2303/10000)=2,6,IF(RIGHT(G2303,1)="0",4,5))),TRUE)/IF(INT(G2303/10000)=11,1,IF(INT(G2303/10000)=2,3,IF(RIGHT(G2303,1)=0,6,6)))*100000)</f>
        <v>6</v>
      </c>
      <c r="I2303" s="4">
        <f>IF(G2303=114000,VLOOKUP(A2303,洗矿索引!$B$2:$H$97,3,FALSE),1)</f>
        <v>1</v>
      </c>
      <c r="J2303" s="4">
        <f t="shared" si="56"/>
        <v>1</v>
      </c>
      <c r="K2303" s="6" t="s">
        <v>2231</v>
      </c>
    </row>
    <row r="2304" spans="1:11" s="4" customFormat="1">
      <c r="A2304" s="4">
        <v>118006</v>
      </c>
      <c r="B2304" s="4">
        <v>1</v>
      </c>
      <c r="C2304" s="4">
        <v>1</v>
      </c>
      <c r="D2304" s="4">
        <v>0</v>
      </c>
      <c r="E2304" s="4">
        <v>0</v>
      </c>
      <c r="F2304" s="4">
        <v>1</v>
      </c>
      <c r="G2304" s="4">
        <v>10220</v>
      </c>
      <c r="H2304" s="4">
        <f>INT(VLOOKUP(A2304,洗矿索引!$B$2:$H$97,IF(INT(G2304/10000)=11,7,IF(INT(G2304/10000)=2,6,IF(RIGHT(G2304,1)="0",4,5))),TRUE)/IF(INT(G2304/10000)=11,1,IF(INT(G2304/10000)=2,3,IF(RIGHT(G2304,1)=0,6,6)))*100000)</f>
        <v>6</v>
      </c>
      <c r="I2304" s="4">
        <f>IF(G2304=114000,VLOOKUP(A2304,洗矿索引!$B$2:$H$97,3,FALSE),1)</f>
        <v>1</v>
      </c>
      <c r="J2304" s="4">
        <f t="shared" si="56"/>
        <v>1</v>
      </c>
      <c r="K2304" s="6" t="s">
        <v>2232</v>
      </c>
    </row>
    <row r="2305" spans="1:11" s="4" customFormat="1">
      <c r="A2305" s="4">
        <v>118006</v>
      </c>
      <c r="B2305" s="4">
        <v>1</v>
      </c>
      <c r="C2305" s="4">
        <v>1</v>
      </c>
      <c r="D2305" s="4">
        <v>0</v>
      </c>
      <c r="E2305" s="4">
        <v>0</v>
      </c>
      <c r="F2305" s="4">
        <v>1</v>
      </c>
      <c r="G2305" s="4">
        <v>10320</v>
      </c>
      <c r="H2305" s="4">
        <f>INT(VLOOKUP(A2305,洗矿索引!$B$2:$H$97,IF(INT(G2305/10000)=11,7,IF(INT(G2305/10000)=2,6,IF(RIGHT(G2305,1)="0",4,5))),TRUE)/IF(INT(G2305/10000)=11,1,IF(INT(G2305/10000)=2,3,IF(RIGHT(G2305,1)=0,6,6)))*100000)</f>
        <v>6</v>
      </c>
      <c r="I2305" s="4">
        <f>IF(G2305=114000,VLOOKUP(A2305,洗矿索引!$B$2:$H$97,3,FALSE),1)</f>
        <v>1</v>
      </c>
      <c r="J2305" s="4">
        <f t="shared" si="56"/>
        <v>1</v>
      </c>
      <c r="K2305" s="6" t="s">
        <v>2233</v>
      </c>
    </row>
    <row r="2306" spans="1:11" s="4" customFormat="1">
      <c r="A2306" s="4">
        <v>118006</v>
      </c>
      <c r="B2306" s="4">
        <v>1</v>
      </c>
      <c r="C2306" s="4">
        <v>1</v>
      </c>
      <c r="D2306" s="4">
        <v>0</v>
      </c>
      <c r="E2306" s="4">
        <v>0</v>
      </c>
      <c r="F2306" s="4">
        <v>1</v>
      </c>
      <c r="G2306" s="4">
        <v>10420</v>
      </c>
      <c r="H2306" s="4">
        <f>INT(VLOOKUP(A2306,洗矿索引!$B$2:$H$97,IF(INT(G2306/10000)=11,7,IF(INT(G2306/10000)=2,6,IF(RIGHT(G2306,1)="0",4,5))),TRUE)/IF(INT(G2306/10000)=11,1,IF(INT(G2306/10000)=2,3,IF(RIGHT(G2306,1)=0,6,6)))*100000)</f>
        <v>6</v>
      </c>
      <c r="I2306" s="4">
        <f>IF(G2306=114000,VLOOKUP(A2306,洗矿索引!$B$2:$H$97,3,FALSE),1)</f>
        <v>1</v>
      </c>
      <c r="J2306" s="4">
        <f t="shared" ref="J2306:J2352" si="57">I2306</f>
        <v>1</v>
      </c>
      <c r="K2306" s="6" t="s">
        <v>2234</v>
      </c>
    </row>
    <row r="2307" spans="1:11" s="4" customFormat="1">
      <c r="A2307" s="4">
        <v>118006</v>
      </c>
      <c r="B2307" s="4">
        <v>1</v>
      </c>
      <c r="C2307" s="4">
        <v>1</v>
      </c>
      <c r="D2307" s="4">
        <v>0</v>
      </c>
      <c r="E2307" s="4">
        <v>0</v>
      </c>
      <c r="F2307" s="4">
        <v>1</v>
      </c>
      <c r="G2307" s="4">
        <v>10520</v>
      </c>
      <c r="H2307" s="4">
        <f>INT(VLOOKUP(A2307,洗矿索引!$B$2:$H$97,IF(INT(G2307/10000)=11,7,IF(INT(G2307/10000)=2,6,IF(RIGHT(G2307,1)="0",4,5))),TRUE)/IF(INT(G2307/10000)=11,1,IF(INT(G2307/10000)=2,3,IF(RIGHT(G2307,1)=0,6,6)))*100000)</f>
        <v>6</v>
      </c>
      <c r="I2307" s="4">
        <f>IF(G2307=114000,VLOOKUP(A2307,洗矿索引!$B$2:$H$97,3,FALSE),1)</f>
        <v>1</v>
      </c>
      <c r="J2307" s="4">
        <f t="shared" si="57"/>
        <v>1</v>
      </c>
      <c r="K2307" s="6" t="s">
        <v>2235</v>
      </c>
    </row>
    <row r="2308" spans="1:11" s="4" customFormat="1">
      <c r="A2308" s="4">
        <v>118007</v>
      </c>
      <c r="B2308" s="4">
        <v>1</v>
      </c>
      <c r="C2308" s="4">
        <v>1</v>
      </c>
      <c r="D2308" s="4">
        <v>0</v>
      </c>
      <c r="E2308" s="4">
        <v>0</v>
      </c>
      <c r="F2308" s="4">
        <v>1</v>
      </c>
      <c r="G2308" s="4">
        <v>114000</v>
      </c>
      <c r="H2308" s="4">
        <f>INT(VLOOKUP(A2308,洗矿索引!$B$2:$H$97,IF(INT(G2308/10000)=11,7,IF(INT(G2308/10000)=2,6,IF(RIGHT(G2308,1)="0",4,5))),TRUE)/IF(INT(G2308/10000)=11,1,IF(INT(G2308/10000)=2,3,IF(RIGHT(G2308,1)=0,6,6)))*100000)</f>
        <v>97795</v>
      </c>
      <c r="I2308" s="4">
        <f>IF(G2308=114000,VLOOKUP(A2308,洗矿索引!$B$2:$H$97,3,FALSE),1)</f>
        <v>5</v>
      </c>
      <c r="J2308" s="4">
        <f t="shared" si="57"/>
        <v>5</v>
      </c>
      <c r="K2308" s="6" t="s">
        <v>2236</v>
      </c>
    </row>
    <row r="2309" spans="1:11" s="4" customFormat="1">
      <c r="A2309" s="4">
        <v>118007</v>
      </c>
      <c r="B2309" s="4">
        <v>1</v>
      </c>
      <c r="C2309" s="4">
        <v>1</v>
      </c>
      <c r="D2309" s="4">
        <v>0</v>
      </c>
      <c r="E2309" s="4">
        <v>0</v>
      </c>
      <c r="F2309" s="4">
        <v>1</v>
      </c>
      <c r="G2309" s="4">
        <v>21001</v>
      </c>
      <c r="H2309" s="4">
        <f>INT(VLOOKUP(A2309,洗矿索引!$B$2:$H$97,IF(INT(G2309/10000)=11,7,IF(INT(G2309/10000)=2,6,IF(RIGHT(G2309,1)="0",4,5))),TRUE)/IF(INT(G2309/10000)=11,1,IF(INT(G2309/10000)=2,3,IF(RIGHT(G2309,1)=0,6,6)))*100000)</f>
        <v>720</v>
      </c>
      <c r="I2309" s="4">
        <f>IF(G2309=114000,VLOOKUP(A2309,洗矿索引!$B$2:$H$97,3,FALSE),1)</f>
        <v>1</v>
      </c>
      <c r="J2309" s="4">
        <f t="shared" si="57"/>
        <v>1</v>
      </c>
      <c r="K2309" s="6" t="s">
        <v>2237</v>
      </c>
    </row>
    <row r="2310" spans="1:11" s="4" customFormat="1">
      <c r="A2310" s="4">
        <v>118007</v>
      </c>
      <c r="B2310" s="4">
        <v>1</v>
      </c>
      <c r="C2310" s="4">
        <v>1</v>
      </c>
      <c r="D2310" s="4">
        <v>0</v>
      </c>
      <c r="E2310" s="4">
        <v>0</v>
      </c>
      <c r="F2310" s="4">
        <v>1</v>
      </c>
      <c r="G2310" s="4">
        <v>21002</v>
      </c>
      <c r="H2310" s="4">
        <f>INT(VLOOKUP(A2310,洗矿索引!$B$2:$H$97,IF(INT(G2310/10000)=11,7,IF(INT(G2310/10000)=2,6,IF(RIGHT(G2310,1)="0",4,5))),TRUE)/IF(INT(G2310/10000)=11,1,IF(INT(G2310/10000)=2,3,IF(RIGHT(G2310,1)=0,6,6)))*100000)</f>
        <v>720</v>
      </c>
      <c r="I2310" s="4">
        <f>IF(G2310=114000,VLOOKUP(A2310,洗矿索引!$B$2:$H$97,3,FALSE),1)</f>
        <v>1</v>
      </c>
      <c r="J2310" s="4">
        <f t="shared" si="57"/>
        <v>1</v>
      </c>
      <c r="K2310" s="6" t="s">
        <v>2238</v>
      </c>
    </row>
    <row r="2311" spans="1:11" s="4" customFormat="1">
      <c r="A2311" s="4">
        <v>118007</v>
      </c>
      <c r="B2311" s="4">
        <v>1</v>
      </c>
      <c r="C2311" s="4">
        <v>1</v>
      </c>
      <c r="D2311" s="4">
        <v>0</v>
      </c>
      <c r="E2311" s="4">
        <v>0</v>
      </c>
      <c r="F2311" s="4">
        <v>1</v>
      </c>
      <c r="G2311" s="4">
        <v>21003</v>
      </c>
      <c r="H2311" s="4">
        <f>INT(VLOOKUP(A2311,洗矿索引!$B$2:$H$97,IF(INT(G2311/10000)=11,7,IF(INT(G2311/10000)=2,6,IF(RIGHT(G2311,1)="0",4,5))),TRUE)/IF(INT(G2311/10000)=11,1,IF(INT(G2311/10000)=2,3,IF(RIGHT(G2311,1)=0,6,6)))*100000)</f>
        <v>720</v>
      </c>
      <c r="I2311" s="4">
        <f>IF(G2311=114000,VLOOKUP(A2311,洗矿索引!$B$2:$H$97,3,FALSE),1)</f>
        <v>1</v>
      </c>
      <c r="J2311" s="4">
        <f t="shared" si="57"/>
        <v>1</v>
      </c>
      <c r="K2311" s="6" t="s">
        <v>2239</v>
      </c>
    </row>
    <row r="2312" spans="1:11" s="4" customFormat="1">
      <c r="A2312" s="4">
        <v>118007</v>
      </c>
      <c r="B2312" s="4">
        <v>1</v>
      </c>
      <c r="C2312" s="4">
        <v>1</v>
      </c>
      <c r="D2312" s="4">
        <v>0</v>
      </c>
      <c r="E2312" s="4">
        <v>0</v>
      </c>
      <c r="F2312" s="4">
        <v>1</v>
      </c>
      <c r="G2312" s="4">
        <v>10110</v>
      </c>
      <c r="H2312" s="4">
        <f>INT(VLOOKUP(A2312,洗矿索引!$B$2:$H$97,IF(INT(G2312/10000)=11,7,IF(INT(G2312/10000)=2,6,IF(RIGHT(G2312,1)="0",4,5))),TRUE)/IF(INT(G2312/10000)=11,1,IF(INT(G2312/10000)=2,3,IF(RIGHT(G2312,1)=0,6,6)))*100000)</f>
        <v>7</v>
      </c>
      <c r="I2312" s="4">
        <f>IF(G2312=114000,VLOOKUP(A2312,洗矿索引!$B$2:$H$97,3,FALSE),1)</f>
        <v>1</v>
      </c>
      <c r="J2312" s="4">
        <f t="shared" si="57"/>
        <v>1</v>
      </c>
      <c r="K2312" s="6" t="s">
        <v>2240</v>
      </c>
    </row>
    <row r="2313" spans="1:11" s="4" customFormat="1">
      <c r="A2313" s="4">
        <v>118007</v>
      </c>
      <c r="B2313" s="4">
        <v>1</v>
      </c>
      <c r="C2313" s="4">
        <v>1</v>
      </c>
      <c r="D2313" s="4">
        <v>0</v>
      </c>
      <c r="E2313" s="4">
        <v>0</v>
      </c>
      <c r="F2313" s="4">
        <v>1</v>
      </c>
      <c r="G2313" s="4">
        <v>10120</v>
      </c>
      <c r="H2313" s="4">
        <f>INT(VLOOKUP(A2313,洗矿索引!$B$2:$H$97,IF(INT(G2313/10000)=11,7,IF(INT(G2313/10000)=2,6,IF(RIGHT(G2313,1)="0",4,5))),TRUE)/IF(INT(G2313/10000)=11,1,IF(INT(G2313/10000)=2,3,IF(RIGHT(G2313,1)=0,6,6)))*100000)</f>
        <v>7</v>
      </c>
      <c r="I2313" s="4">
        <f>IF(G2313=114000,VLOOKUP(A2313,洗矿索引!$B$2:$H$97,3,FALSE),1)</f>
        <v>1</v>
      </c>
      <c r="J2313" s="4">
        <f t="shared" si="57"/>
        <v>1</v>
      </c>
      <c r="K2313" s="6" t="s">
        <v>2241</v>
      </c>
    </row>
    <row r="2314" spans="1:11" s="4" customFormat="1">
      <c r="A2314" s="4">
        <v>118007</v>
      </c>
      <c r="B2314" s="4">
        <v>1</v>
      </c>
      <c r="C2314" s="4">
        <v>1</v>
      </c>
      <c r="D2314" s="4">
        <v>0</v>
      </c>
      <c r="E2314" s="4">
        <v>0</v>
      </c>
      <c r="F2314" s="4">
        <v>1</v>
      </c>
      <c r="G2314" s="4">
        <v>10220</v>
      </c>
      <c r="H2314" s="4">
        <f>INT(VLOOKUP(A2314,洗矿索引!$B$2:$H$97,IF(INT(G2314/10000)=11,7,IF(INT(G2314/10000)=2,6,IF(RIGHT(G2314,1)="0",4,5))),TRUE)/IF(INT(G2314/10000)=11,1,IF(INT(G2314/10000)=2,3,IF(RIGHT(G2314,1)=0,6,6)))*100000)</f>
        <v>7</v>
      </c>
      <c r="I2314" s="4">
        <f>IF(G2314=114000,VLOOKUP(A2314,洗矿索引!$B$2:$H$97,3,FALSE),1)</f>
        <v>1</v>
      </c>
      <c r="J2314" s="4">
        <f t="shared" si="57"/>
        <v>1</v>
      </c>
      <c r="K2314" s="6" t="s">
        <v>2242</v>
      </c>
    </row>
    <row r="2315" spans="1:11" s="4" customFormat="1">
      <c r="A2315" s="4">
        <v>118007</v>
      </c>
      <c r="B2315" s="4">
        <v>1</v>
      </c>
      <c r="C2315" s="4">
        <v>1</v>
      </c>
      <c r="D2315" s="4">
        <v>0</v>
      </c>
      <c r="E2315" s="4">
        <v>0</v>
      </c>
      <c r="F2315" s="4">
        <v>1</v>
      </c>
      <c r="G2315" s="4">
        <v>10320</v>
      </c>
      <c r="H2315" s="4">
        <f>INT(VLOOKUP(A2315,洗矿索引!$B$2:$H$97,IF(INT(G2315/10000)=11,7,IF(INT(G2315/10000)=2,6,IF(RIGHT(G2315,1)="0",4,5))),TRUE)/IF(INT(G2315/10000)=11,1,IF(INT(G2315/10000)=2,3,IF(RIGHT(G2315,1)=0,6,6)))*100000)</f>
        <v>7</v>
      </c>
      <c r="I2315" s="4">
        <f>IF(G2315=114000,VLOOKUP(A2315,洗矿索引!$B$2:$H$97,3,FALSE),1)</f>
        <v>1</v>
      </c>
      <c r="J2315" s="4">
        <f t="shared" si="57"/>
        <v>1</v>
      </c>
      <c r="K2315" s="6" t="s">
        <v>2243</v>
      </c>
    </row>
    <row r="2316" spans="1:11" s="4" customFormat="1">
      <c r="A2316" s="4">
        <v>118007</v>
      </c>
      <c r="B2316" s="4">
        <v>1</v>
      </c>
      <c r="C2316" s="4">
        <v>1</v>
      </c>
      <c r="D2316" s="4">
        <v>0</v>
      </c>
      <c r="E2316" s="4">
        <v>0</v>
      </c>
      <c r="F2316" s="4">
        <v>1</v>
      </c>
      <c r="G2316" s="4">
        <v>10420</v>
      </c>
      <c r="H2316" s="4">
        <f>INT(VLOOKUP(A2316,洗矿索引!$B$2:$H$97,IF(INT(G2316/10000)=11,7,IF(INT(G2316/10000)=2,6,IF(RIGHT(G2316,1)="0",4,5))),TRUE)/IF(INT(G2316/10000)=11,1,IF(INT(G2316/10000)=2,3,IF(RIGHT(G2316,1)=0,6,6)))*100000)</f>
        <v>7</v>
      </c>
      <c r="I2316" s="4">
        <f>IF(G2316=114000,VLOOKUP(A2316,洗矿索引!$B$2:$H$97,3,FALSE),1)</f>
        <v>1</v>
      </c>
      <c r="J2316" s="4">
        <f t="shared" si="57"/>
        <v>1</v>
      </c>
      <c r="K2316" s="6" t="s">
        <v>2244</v>
      </c>
    </row>
    <row r="2317" spans="1:11" s="4" customFormat="1">
      <c r="A2317" s="4">
        <v>118007</v>
      </c>
      <c r="B2317" s="4">
        <v>1</v>
      </c>
      <c r="C2317" s="4">
        <v>1</v>
      </c>
      <c r="D2317" s="4">
        <v>0</v>
      </c>
      <c r="E2317" s="4">
        <v>0</v>
      </c>
      <c r="F2317" s="4">
        <v>1</v>
      </c>
      <c r="G2317" s="4">
        <v>10520</v>
      </c>
      <c r="H2317" s="4">
        <f>INT(VLOOKUP(A2317,洗矿索引!$B$2:$H$97,IF(INT(G2317/10000)=11,7,IF(INT(G2317/10000)=2,6,IF(RIGHT(G2317,1)="0",4,5))),TRUE)/IF(INT(G2317/10000)=11,1,IF(INT(G2317/10000)=2,3,IF(RIGHT(G2317,1)=0,6,6)))*100000)</f>
        <v>7</v>
      </c>
      <c r="I2317" s="4">
        <f>IF(G2317=114000,VLOOKUP(A2317,洗矿索引!$B$2:$H$97,3,FALSE),1)</f>
        <v>1</v>
      </c>
      <c r="J2317" s="4">
        <f t="shared" si="57"/>
        <v>1</v>
      </c>
      <c r="K2317" s="6" t="s">
        <v>2245</v>
      </c>
    </row>
    <row r="2318" spans="1:11" s="4" customFormat="1">
      <c r="A2318" s="4">
        <v>118008</v>
      </c>
      <c r="B2318" s="4">
        <v>1</v>
      </c>
      <c r="C2318" s="4">
        <v>1</v>
      </c>
      <c r="D2318" s="4">
        <v>0</v>
      </c>
      <c r="E2318" s="4">
        <v>0</v>
      </c>
      <c r="F2318" s="4">
        <v>1</v>
      </c>
      <c r="G2318" s="4">
        <v>114000</v>
      </c>
      <c r="H2318" s="4">
        <f>INT(VLOOKUP(A2318,洗矿索引!$B$2:$H$97,IF(INT(G2318/10000)=11,7,IF(INT(G2318/10000)=2,6,IF(RIGHT(G2318,1)="0",4,5))),TRUE)/IF(INT(G2318/10000)=11,1,IF(INT(G2318/10000)=2,3,IF(RIGHT(G2318,1)=0,6,6)))*100000)</f>
        <v>97550</v>
      </c>
      <c r="I2318" s="4">
        <f>IF(G2318=114000,VLOOKUP(A2318,洗矿索引!$B$2:$H$97,3,FALSE),1)</f>
        <v>5</v>
      </c>
      <c r="J2318" s="4">
        <f t="shared" si="57"/>
        <v>5</v>
      </c>
      <c r="K2318" s="6" t="s">
        <v>2246</v>
      </c>
    </row>
    <row r="2319" spans="1:11" s="4" customFormat="1">
      <c r="A2319" s="4">
        <v>118008</v>
      </c>
      <c r="B2319" s="4">
        <v>1</v>
      </c>
      <c r="C2319" s="4">
        <v>1</v>
      </c>
      <c r="D2319" s="4">
        <v>0</v>
      </c>
      <c r="E2319" s="4">
        <v>0</v>
      </c>
      <c r="F2319" s="4">
        <v>1</v>
      </c>
      <c r="G2319" s="4">
        <v>21001</v>
      </c>
      <c r="H2319" s="4">
        <f>INT(VLOOKUP(A2319,洗矿索引!$B$2:$H$97,IF(INT(G2319/10000)=11,7,IF(INT(G2319/10000)=2,6,IF(RIGHT(G2319,1)="0",4,5))),TRUE)/IF(INT(G2319/10000)=11,1,IF(INT(G2319/10000)=2,3,IF(RIGHT(G2319,1)=0,6,6)))*100000)</f>
        <v>800</v>
      </c>
      <c r="I2319" s="4">
        <f>IF(G2319=114000,VLOOKUP(A2319,洗矿索引!$B$2:$H$97,3,FALSE),1)</f>
        <v>1</v>
      </c>
      <c r="J2319" s="4">
        <f t="shared" si="57"/>
        <v>1</v>
      </c>
      <c r="K2319" s="6" t="s">
        <v>2247</v>
      </c>
    </row>
    <row r="2320" spans="1:11" s="4" customFormat="1">
      <c r="A2320" s="4">
        <v>118008</v>
      </c>
      <c r="B2320" s="4">
        <v>1</v>
      </c>
      <c r="C2320" s="4">
        <v>1</v>
      </c>
      <c r="D2320" s="4">
        <v>0</v>
      </c>
      <c r="E2320" s="4">
        <v>0</v>
      </c>
      <c r="F2320" s="4">
        <v>1</v>
      </c>
      <c r="G2320" s="4">
        <v>21002</v>
      </c>
      <c r="H2320" s="4">
        <f>INT(VLOOKUP(A2320,洗矿索引!$B$2:$H$97,IF(INT(G2320/10000)=11,7,IF(INT(G2320/10000)=2,6,IF(RIGHT(G2320,1)="0",4,5))),TRUE)/IF(INT(G2320/10000)=11,1,IF(INT(G2320/10000)=2,3,IF(RIGHT(G2320,1)=0,6,6)))*100000)</f>
        <v>800</v>
      </c>
      <c r="I2320" s="4">
        <f>IF(G2320=114000,VLOOKUP(A2320,洗矿索引!$B$2:$H$97,3,FALSE),1)</f>
        <v>1</v>
      </c>
      <c r="J2320" s="4">
        <f t="shared" si="57"/>
        <v>1</v>
      </c>
      <c r="K2320" s="6" t="s">
        <v>2248</v>
      </c>
    </row>
    <row r="2321" spans="1:11" s="4" customFormat="1">
      <c r="A2321" s="4">
        <v>118008</v>
      </c>
      <c r="B2321" s="4">
        <v>1</v>
      </c>
      <c r="C2321" s="4">
        <v>1</v>
      </c>
      <c r="D2321" s="4">
        <v>0</v>
      </c>
      <c r="E2321" s="4">
        <v>0</v>
      </c>
      <c r="F2321" s="4">
        <v>1</v>
      </c>
      <c r="G2321" s="4">
        <v>21003</v>
      </c>
      <c r="H2321" s="4">
        <f>INT(VLOOKUP(A2321,洗矿索引!$B$2:$H$97,IF(INT(G2321/10000)=11,7,IF(INT(G2321/10000)=2,6,IF(RIGHT(G2321,1)="0",4,5))),TRUE)/IF(INT(G2321/10000)=11,1,IF(INT(G2321/10000)=2,3,IF(RIGHT(G2321,1)=0,6,6)))*100000)</f>
        <v>800</v>
      </c>
      <c r="I2321" s="4">
        <f>IF(G2321=114000,VLOOKUP(A2321,洗矿索引!$B$2:$H$97,3,FALSE),1)</f>
        <v>1</v>
      </c>
      <c r="J2321" s="4">
        <f t="shared" si="57"/>
        <v>1</v>
      </c>
      <c r="K2321" s="6" t="s">
        <v>2249</v>
      </c>
    </row>
    <row r="2322" spans="1:11" s="4" customFormat="1">
      <c r="A2322" s="4">
        <v>118008</v>
      </c>
      <c r="B2322" s="4">
        <v>1</v>
      </c>
      <c r="C2322" s="4">
        <v>1</v>
      </c>
      <c r="D2322" s="4">
        <v>0</v>
      </c>
      <c r="E2322" s="4">
        <v>0</v>
      </c>
      <c r="F2322" s="4">
        <v>1</v>
      </c>
      <c r="G2322" s="4">
        <v>10110</v>
      </c>
      <c r="H2322" s="4">
        <f>INT(VLOOKUP(A2322,洗矿索引!$B$2:$H$97,IF(INT(G2322/10000)=11,7,IF(INT(G2322/10000)=2,6,IF(RIGHT(G2322,1)="0",4,5))),TRUE)/IF(INT(G2322/10000)=11,1,IF(INT(G2322/10000)=2,3,IF(RIGHT(G2322,1)=0,6,6)))*100000)</f>
        <v>8</v>
      </c>
      <c r="I2322" s="4">
        <f>IF(G2322=114000,VLOOKUP(A2322,洗矿索引!$B$2:$H$97,3,FALSE),1)</f>
        <v>1</v>
      </c>
      <c r="J2322" s="4">
        <f t="shared" si="57"/>
        <v>1</v>
      </c>
      <c r="K2322" s="6" t="s">
        <v>2250</v>
      </c>
    </row>
    <row r="2323" spans="1:11" s="4" customFormat="1">
      <c r="A2323" s="4">
        <v>118008</v>
      </c>
      <c r="B2323" s="4">
        <v>1</v>
      </c>
      <c r="C2323" s="4">
        <v>1</v>
      </c>
      <c r="D2323" s="4">
        <v>0</v>
      </c>
      <c r="E2323" s="4">
        <v>0</v>
      </c>
      <c r="F2323" s="4">
        <v>1</v>
      </c>
      <c r="G2323" s="4">
        <v>10120</v>
      </c>
      <c r="H2323" s="4">
        <f>INT(VLOOKUP(A2323,洗矿索引!$B$2:$H$97,IF(INT(G2323/10000)=11,7,IF(INT(G2323/10000)=2,6,IF(RIGHT(G2323,1)="0",4,5))),TRUE)/IF(INT(G2323/10000)=11,1,IF(INT(G2323/10000)=2,3,IF(RIGHT(G2323,1)=0,6,6)))*100000)</f>
        <v>8</v>
      </c>
      <c r="I2323" s="4">
        <f>IF(G2323=114000,VLOOKUP(A2323,洗矿索引!$B$2:$H$97,3,FALSE),1)</f>
        <v>1</v>
      </c>
      <c r="J2323" s="4">
        <f t="shared" si="57"/>
        <v>1</v>
      </c>
      <c r="K2323" s="6" t="s">
        <v>2251</v>
      </c>
    </row>
    <row r="2324" spans="1:11" s="4" customFormat="1">
      <c r="A2324" s="4">
        <v>118008</v>
      </c>
      <c r="B2324" s="4">
        <v>1</v>
      </c>
      <c r="C2324" s="4">
        <v>1</v>
      </c>
      <c r="D2324" s="4">
        <v>0</v>
      </c>
      <c r="E2324" s="4">
        <v>0</v>
      </c>
      <c r="F2324" s="4">
        <v>1</v>
      </c>
      <c r="G2324" s="4">
        <v>10220</v>
      </c>
      <c r="H2324" s="4">
        <f>INT(VLOOKUP(A2324,洗矿索引!$B$2:$H$97,IF(INT(G2324/10000)=11,7,IF(INT(G2324/10000)=2,6,IF(RIGHT(G2324,1)="0",4,5))),TRUE)/IF(INT(G2324/10000)=11,1,IF(INT(G2324/10000)=2,3,IF(RIGHT(G2324,1)=0,6,6)))*100000)</f>
        <v>8</v>
      </c>
      <c r="I2324" s="4">
        <f>IF(G2324=114000,VLOOKUP(A2324,洗矿索引!$B$2:$H$97,3,FALSE),1)</f>
        <v>1</v>
      </c>
      <c r="J2324" s="4">
        <f t="shared" si="57"/>
        <v>1</v>
      </c>
      <c r="K2324" s="6" t="s">
        <v>2252</v>
      </c>
    </row>
    <row r="2325" spans="1:11" s="4" customFormat="1">
      <c r="A2325" s="4">
        <v>118008</v>
      </c>
      <c r="B2325" s="4">
        <v>1</v>
      </c>
      <c r="C2325" s="4">
        <v>1</v>
      </c>
      <c r="D2325" s="4">
        <v>0</v>
      </c>
      <c r="E2325" s="4">
        <v>0</v>
      </c>
      <c r="F2325" s="4">
        <v>1</v>
      </c>
      <c r="G2325" s="4">
        <v>10320</v>
      </c>
      <c r="H2325" s="4">
        <f>INT(VLOOKUP(A2325,洗矿索引!$B$2:$H$97,IF(INT(G2325/10000)=11,7,IF(INT(G2325/10000)=2,6,IF(RIGHT(G2325,1)="0",4,5))),TRUE)/IF(INT(G2325/10000)=11,1,IF(INT(G2325/10000)=2,3,IF(RIGHT(G2325,1)=0,6,6)))*100000)</f>
        <v>8</v>
      </c>
      <c r="I2325" s="4">
        <f>IF(G2325=114000,VLOOKUP(A2325,洗矿索引!$B$2:$H$97,3,FALSE),1)</f>
        <v>1</v>
      </c>
      <c r="J2325" s="4">
        <f t="shared" si="57"/>
        <v>1</v>
      </c>
      <c r="K2325" s="6" t="s">
        <v>2253</v>
      </c>
    </row>
    <row r="2326" spans="1:11" s="4" customFormat="1">
      <c r="A2326" s="4">
        <v>118008</v>
      </c>
      <c r="B2326" s="4">
        <v>1</v>
      </c>
      <c r="C2326" s="4">
        <v>1</v>
      </c>
      <c r="D2326" s="4">
        <v>0</v>
      </c>
      <c r="E2326" s="4">
        <v>0</v>
      </c>
      <c r="F2326" s="4">
        <v>1</v>
      </c>
      <c r="G2326" s="4">
        <v>10420</v>
      </c>
      <c r="H2326" s="4">
        <f>INT(VLOOKUP(A2326,洗矿索引!$B$2:$H$97,IF(INT(G2326/10000)=11,7,IF(INT(G2326/10000)=2,6,IF(RIGHT(G2326,1)="0",4,5))),TRUE)/IF(INT(G2326/10000)=11,1,IF(INT(G2326/10000)=2,3,IF(RIGHT(G2326,1)=0,6,6)))*100000)</f>
        <v>8</v>
      </c>
      <c r="I2326" s="4">
        <f>IF(G2326=114000,VLOOKUP(A2326,洗矿索引!$B$2:$H$97,3,FALSE),1)</f>
        <v>1</v>
      </c>
      <c r="J2326" s="4">
        <f t="shared" si="57"/>
        <v>1</v>
      </c>
      <c r="K2326" s="6" t="s">
        <v>2254</v>
      </c>
    </row>
    <row r="2327" spans="1:11" s="4" customFormat="1">
      <c r="A2327" s="4">
        <v>118008</v>
      </c>
      <c r="B2327" s="4">
        <v>1</v>
      </c>
      <c r="C2327" s="4">
        <v>1</v>
      </c>
      <c r="D2327" s="4">
        <v>0</v>
      </c>
      <c r="E2327" s="4">
        <v>0</v>
      </c>
      <c r="F2327" s="4">
        <v>1</v>
      </c>
      <c r="G2327" s="4">
        <v>10520</v>
      </c>
      <c r="H2327" s="4">
        <f>INT(VLOOKUP(A2327,洗矿索引!$B$2:$H$97,IF(INT(G2327/10000)=11,7,IF(INT(G2327/10000)=2,6,IF(RIGHT(G2327,1)="0",4,5))),TRUE)/IF(INT(G2327/10000)=11,1,IF(INT(G2327/10000)=2,3,IF(RIGHT(G2327,1)=0,6,6)))*100000)</f>
        <v>8</v>
      </c>
      <c r="I2327" s="4">
        <f>IF(G2327=114000,VLOOKUP(A2327,洗矿索引!$B$2:$H$97,3,FALSE),1)</f>
        <v>1</v>
      </c>
      <c r="J2327" s="4">
        <f t="shared" si="57"/>
        <v>1</v>
      </c>
      <c r="K2327" s="6" t="s">
        <v>2255</v>
      </c>
    </row>
    <row r="2328" spans="1:11" s="4" customFormat="1">
      <c r="A2328" s="4">
        <v>118009</v>
      </c>
      <c r="B2328" s="4">
        <v>1</v>
      </c>
      <c r="C2328" s="4">
        <v>1</v>
      </c>
      <c r="D2328" s="4">
        <v>0</v>
      </c>
      <c r="E2328" s="4">
        <v>0</v>
      </c>
      <c r="F2328" s="4">
        <v>1</v>
      </c>
      <c r="G2328" s="4">
        <v>114000</v>
      </c>
      <c r="H2328" s="4">
        <f>INT(VLOOKUP(A2328,洗矿索引!$B$2:$H$97,IF(INT(G2328/10000)=11,7,IF(INT(G2328/10000)=2,6,IF(RIGHT(G2328,1)="0",4,5))),TRUE)/IF(INT(G2328/10000)=11,1,IF(INT(G2328/10000)=2,3,IF(RIGHT(G2328,1)=0,6,6)))*100000)</f>
        <v>97305</v>
      </c>
      <c r="I2328" s="4">
        <f>IF(G2328=114000,VLOOKUP(A2328,洗矿索引!$B$2:$H$97,3,FALSE),1)</f>
        <v>5</v>
      </c>
      <c r="J2328" s="4">
        <f t="shared" si="57"/>
        <v>5</v>
      </c>
      <c r="K2328" s="6" t="s">
        <v>2256</v>
      </c>
    </row>
    <row r="2329" spans="1:11" s="4" customFormat="1">
      <c r="A2329" s="4">
        <v>118009</v>
      </c>
      <c r="B2329" s="4">
        <v>1</v>
      </c>
      <c r="C2329" s="4">
        <v>1</v>
      </c>
      <c r="D2329" s="4">
        <v>0</v>
      </c>
      <c r="E2329" s="4">
        <v>0</v>
      </c>
      <c r="F2329" s="4">
        <v>1</v>
      </c>
      <c r="G2329" s="4">
        <v>21001</v>
      </c>
      <c r="H2329" s="4">
        <f>INT(VLOOKUP(A2329,洗矿索引!$B$2:$H$97,IF(INT(G2329/10000)=11,7,IF(INT(G2329/10000)=2,6,IF(RIGHT(G2329,1)="0",4,5))),TRUE)/IF(INT(G2329/10000)=11,1,IF(INT(G2329/10000)=2,3,IF(RIGHT(G2329,1)=0,6,6)))*100000)</f>
        <v>880</v>
      </c>
      <c r="I2329" s="4">
        <f>IF(G2329=114000,VLOOKUP(A2329,洗矿索引!$B$2:$H$97,3,FALSE),1)</f>
        <v>1</v>
      </c>
      <c r="J2329" s="4">
        <f t="shared" si="57"/>
        <v>1</v>
      </c>
      <c r="K2329" s="6" t="s">
        <v>2257</v>
      </c>
    </row>
    <row r="2330" spans="1:11" s="4" customFormat="1">
      <c r="A2330" s="4">
        <v>118009</v>
      </c>
      <c r="B2330" s="4">
        <v>1</v>
      </c>
      <c r="C2330" s="4">
        <v>1</v>
      </c>
      <c r="D2330" s="4">
        <v>0</v>
      </c>
      <c r="E2330" s="4">
        <v>0</v>
      </c>
      <c r="F2330" s="4">
        <v>1</v>
      </c>
      <c r="G2330" s="4">
        <v>21002</v>
      </c>
      <c r="H2330" s="4">
        <f>INT(VLOOKUP(A2330,洗矿索引!$B$2:$H$97,IF(INT(G2330/10000)=11,7,IF(INT(G2330/10000)=2,6,IF(RIGHT(G2330,1)="0",4,5))),TRUE)/IF(INT(G2330/10000)=11,1,IF(INT(G2330/10000)=2,3,IF(RIGHT(G2330,1)=0,6,6)))*100000)</f>
        <v>880</v>
      </c>
      <c r="I2330" s="4">
        <f>IF(G2330=114000,VLOOKUP(A2330,洗矿索引!$B$2:$H$97,3,FALSE),1)</f>
        <v>1</v>
      </c>
      <c r="J2330" s="4">
        <f t="shared" si="57"/>
        <v>1</v>
      </c>
      <c r="K2330" s="6" t="s">
        <v>2258</v>
      </c>
    </row>
    <row r="2331" spans="1:11" s="4" customFormat="1">
      <c r="A2331" s="4">
        <v>118009</v>
      </c>
      <c r="B2331" s="4">
        <v>1</v>
      </c>
      <c r="C2331" s="4">
        <v>1</v>
      </c>
      <c r="D2331" s="4">
        <v>0</v>
      </c>
      <c r="E2331" s="4">
        <v>0</v>
      </c>
      <c r="F2331" s="4">
        <v>1</v>
      </c>
      <c r="G2331" s="4">
        <v>21003</v>
      </c>
      <c r="H2331" s="4">
        <f>INT(VLOOKUP(A2331,洗矿索引!$B$2:$H$97,IF(INT(G2331/10000)=11,7,IF(INT(G2331/10000)=2,6,IF(RIGHT(G2331,1)="0",4,5))),TRUE)/IF(INT(G2331/10000)=11,1,IF(INT(G2331/10000)=2,3,IF(RIGHT(G2331,1)=0,6,6)))*100000)</f>
        <v>880</v>
      </c>
      <c r="I2331" s="4">
        <f>IF(G2331=114000,VLOOKUP(A2331,洗矿索引!$B$2:$H$97,3,FALSE),1)</f>
        <v>1</v>
      </c>
      <c r="J2331" s="4">
        <f t="shared" si="57"/>
        <v>1</v>
      </c>
      <c r="K2331" s="6" t="s">
        <v>2259</v>
      </c>
    </row>
    <row r="2332" spans="1:11" s="4" customFormat="1">
      <c r="A2332" s="4">
        <v>118009</v>
      </c>
      <c r="B2332" s="4">
        <v>1</v>
      </c>
      <c r="C2332" s="4">
        <v>1</v>
      </c>
      <c r="D2332" s="4">
        <v>0</v>
      </c>
      <c r="E2332" s="4">
        <v>0</v>
      </c>
      <c r="F2332" s="4">
        <v>1</v>
      </c>
      <c r="G2332" s="4">
        <v>10110</v>
      </c>
      <c r="H2332" s="4">
        <f>INT(VLOOKUP(A2332,洗矿索引!$B$2:$H$97,IF(INT(G2332/10000)=11,7,IF(INT(G2332/10000)=2,6,IF(RIGHT(G2332,1)="0",4,5))),TRUE)/IF(INT(G2332/10000)=11,1,IF(INT(G2332/10000)=2,3,IF(RIGHT(G2332,1)=0,6,6)))*100000)</f>
        <v>9</v>
      </c>
      <c r="I2332" s="4">
        <f>IF(G2332=114000,VLOOKUP(A2332,洗矿索引!$B$2:$H$97,3,FALSE),1)</f>
        <v>1</v>
      </c>
      <c r="J2332" s="4">
        <f t="shared" si="57"/>
        <v>1</v>
      </c>
      <c r="K2332" s="6" t="s">
        <v>2260</v>
      </c>
    </row>
    <row r="2333" spans="1:11" s="4" customFormat="1">
      <c r="A2333" s="4">
        <v>118009</v>
      </c>
      <c r="B2333" s="4">
        <v>1</v>
      </c>
      <c r="C2333" s="4">
        <v>1</v>
      </c>
      <c r="D2333" s="4">
        <v>0</v>
      </c>
      <c r="E2333" s="4">
        <v>0</v>
      </c>
      <c r="F2333" s="4">
        <v>1</v>
      </c>
      <c r="G2333" s="4">
        <v>10120</v>
      </c>
      <c r="H2333" s="4">
        <f>INT(VLOOKUP(A2333,洗矿索引!$B$2:$H$97,IF(INT(G2333/10000)=11,7,IF(INT(G2333/10000)=2,6,IF(RIGHT(G2333,1)="0",4,5))),TRUE)/IF(INT(G2333/10000)=11,1,IF(INT(G2333/10000)=2,3,IF(RIGHT(G2333,1)=0,6,6)))*100000)</f>
        <v>9</v>
      </c>
      <c r="I2333" s="4">
        <f>IF(G2333=114000,VLOOKUP(A2333,洗矿索引!$B$2:$H$97,3,FALSE),1)</f>
        <v>1</v>
      </c>
      <c r="J2333" s="4">
        <f t="shared" si="57"/>
        <v>1</v>
      </c>
      <c r="K2333" s="6" t="s">
        <v>2261</v>
      </c>
    </row>
    <row r="2334" spans="1:11" s="4" customFormat="1">
      <c r="A2334" s="4">
        <v>118009</v>
      </c>
      <c r="B2334" s="4">
        <v>1</v>
      </c>
      <c r="C2334" s="4">
        <v>1</v>
      </c>
      <c r="D2334" s="4">
        <v>0</v>
      </c>
      <c r="E2334" s="4">
        <v>0</v>
      </c>
      <c r="F2334" s="4">
        <v>1</v>
      </c>
      <c r="G2334" s="4">
        <v>10220</v>
      </c>
      <c r="H2334" s="4">
        <f>INT(VLOOKUP(A2334,洗矿索引!$B$2:$H$97,IF(INT(G2334/10000)=11,7,IF(INT(G2334/10000)=2,6,IF(RIGHT(G2334,1)="0",4,5))),TRUE)/IF(INT(G2334/10000)=11,1,IF(INT(G2334/10000)=2,3,IF(RIGHT(G2334,1)=0,6,6)))*100000)</f>
        <v>9</v>
      </c>
      <c r="I2334" s="4">
        <f>IF(G2334=114000,VLOOKUP(A2334,洗矿索引!$B$2:$H$97,3,FALSE),1)</f>
        <v>1</v>
      </c>
      <c r="J2334" s="4">
        <f t="shared" si="57"/>
        <v>1</v>
      </c>
      <c r="K2334" s="6" t="s">
        <v>2262</v>
      </c>
    </row>
    <row r="2335" spans="1:11" s="4" customFormat="1">
      <c r="A2335" s="4">
        <v>118009</v>
      </c>
      <c r="B2335" s="4">
        <v>1</v>
      </c>
      <c r="C2335" s="4">
        <v>1</v>
      </c>
      <c r="D2335" s="4">
        <v>0</v>
      </c>
      <c r="E2335" s="4">
        <v>0</v>
      </c>
      <c r="F2335" s="4">
        <v>1</v>
      </c>
      <c r="G2335" s="4">
        <v>10320</v>
      </c>
      <c r="H2335" s="4">
        <f>INT(VLOOKUP(A2335,洗矿索引!$B$2:$H$97,IF(INT(G2335/10000)=11,7,IF(INT(G2335/10000)=2,6,IF(RIGHT(G2335,1)="0",4,5))),TRUE)/IF(INT(G2335/10000)=11,1,IF(INT(G2335/10000)=2,3,IF(RIGHT(G2335,1)=0,6,6)))*100000)</f>
        <v>9</v>
      </c>
      <c r="I2335" s="4">
        <f>IF(G2335=114000,VLOOKUP(A2335,洗矿索引!$B$2:$H$97,3,FALSE),1)</f>
        <v>1</v>
      </c>
      <c r="J2335" s="4">
        <f t="shared" si="57"/>
        <v>1</v>
      </c>
      <c r="K2335" s="6" t="s">
        <v>2263</v>
      </c>
    </row>
    <row r="2336" spans="1:11" s="4" customFormat="1">
      <c r="A2336" s="4">
        <v>118009</v>
      </c>
      <c r="B2336" s="4">
        <v>1</v>
      </c>
      <c r="C2336" s="4">
        <v>1</v>
      </c>
      <c r="D2336" s="4">
        <v>0</v>
      </c>
      <c r="E2336" s="4">
        <v>0</v>
      </c>
      <c r="F2336" s="4">
        <v>1</v>
      </c>
      <c r="G2336" s="4">
        <v>10420</v>
      </c>
      <c r="H2336" s="4">
        <f>INT(VLOOKUP(A2336,洗矿索引!$B$2:$H$97,IF(INT(G2336/10000)=11,7,IF(INT(G2336/10000)=2,6,IF(RIGHT(G2336,1)="0",4,5))),TRUE)/IF(INT(G2336/10000)=11,1,IF(INT(G2336/10000)=2,3,IF(RIGHT(G2336,1)=0,6,6)))*100000)</f>
        <v>9</v>
      </c>
      <c r="I2336" s="4">
        <f>IF(G2336=114000,VLOOKUP(A2336,洗矿索引!$B$2:$H$97,3,FALSE),1)</f>
        <v>1</v>
      </c>
      <c r="J2336" s="4">
        <f t="shared" si="57"/>
        <v>1</v>
      </c>
      <c r="K2336" s="6" t="s">
        <v>2264</v>
      </c>
    </row>
    <row r="2337" spans="1:11" s="4" customFormat="1">
      <c r="A2337" s="4">
        <v>118009</v>
      </c>
      <c r="B2337" s="4">
        <v>1</v>
      </c>
      <c r="C2337" s="4">
        <v>1</v>
      </c>
      <c r="D2337" s="4">
        <v>0</v>
      </c>
      <c r="E2337" s="4">
        <v>0</v>
      </c>
      <c r="F2337" s="4">
        <v>1</v>
      </c>
      <c r="G2337" s="4">
        <v>10520</v>
      </c>
      <c r="H2337" s="4">
        <f>INT(VLOOKUP(A2337,洗矿索引!$B$2:$H$97,IF(INT(G2337/10000)=11,7,IF(INT(G2337/10000)=2,6,IF(RIGHT(G2337,1)="0",4,5))),TRUE)/IF(INT(G2337/10000)=11,1,IF(INT(G2337/10000)=2,3,IF(RIGHT(G2337,1)=0,6,6)))*100000)</f>
        <v>9</v>
      </c>
      <c r="I2337" s="4">
        <f>IF(G2337=114000,VLOOKUP(A2337,洗矿索引!$B$2:$H$97,3,FALSE),1)</f>
        <v>1</v>
      </c>
      <c r="J2337" s="4">
        <f t="shared" si="57"/>
        <v>1</v>
      </c>
      <c r="K2337" s="6" t="s">
        <v>2265</v>
      </c>
    </row>
    <row r="2338" spans="1:11" s="4" customFormat="1">
      <c r="A2338" s="4">
        <v>118010</v>
      </c>
      <c r="B2338" s="4">
        <v>1</v>
      </c>
      <c r="C2338" s="4">
        <v>1</v>
      </c>
      <c r="D2338" s="4">
        <v>0</v>
      </c>
      <c r="E2338" s="4">
        <v>0</v>
      </c>
      <c r="F2338" s="4">
        <v>1</v>
      </c>
      <c r="G2338" s="4">
        <v>114000</v>
      </c>
      <c r="H2338" s="4">
        <f>INT(VLOOKUP(A2338,洗矿索引!$B$2:$H$97,IF(INT(G2338/10000)=11,7,IF(INT(G2338/10000)=2,6,IF(RIGHT(G2338,1)="0",4,5))),TRUE)/IF(INT(G2338/10000)=11,1,IF(INT(G2338/10000)=2,3,IF(RIGHT(G2338,1)=0,6,6)))*100000)</f>
        <v>97060</v>
      </c>
      <c r="I2338" s="4">
        <f>IF(G2338=114000,VLOOKUP(A2338,洗矿索引!$B$2:$H$97,3,FALSE),1)</f>
        <v>5</v>
      </c>
      <c r="J2338" s="4">
        <f t="shared" si="57"/>
        <v>5</v>
      </c>
      <c r="K2338" s="6" t="s">
        <v>2266</v>
      </c>
    </row>
    <row r="2339" spans="1:11" s="4" customFormat="1">
      <c r="A2339" s="4">
        <v>118010</v>
      </c>
      <c r="B2339" s="4">
        <v>1</v>
      </c>
      <c r="C2339" s="4">
        <v>1</v>
      </c>
      <c r="D2339" s="4">
        <v>0</v>
      </c>
      <c r="E2339" s="4">
        <v>0</v>
      </c>
      <c r="F2339" s="4">
        <v>1</v>
      </c>
      <c r="G2339" s="4">
        <v>21001</v>
      </c>
      <c r="H2339" s="4">
        <f>INT(VLOOKUP(A2339,洗矿索引!$B$2:$H$97,IF(INT(G2339/10000)=11,7,IF(INT(G2339/10000)=2,6,IF(RIGHT(G2339,1)="0",4,5))),TRUE)/IF(INT(G2339/10000)=11,1,IF(INT(G2339/10000)=2,3,IF(RIGHT(G2339,1)=0,6,6)))*100000)</f>
        <v>960</v>
      </c>
      <c r="I2339" s="4">
        <f>IF(G2339=114000,VLOOKUP(A2339,洗矿索引!$B$2:$H$97,3,FALSE),1)</f>
        <v>1</v>
      </c>
      <c r="J2339" s="4">
        <f t="shared" si="57"/>
        <v>1</v>
      </c>
      <c r="K2339" s="6" t="s">
        <v>2267</v>
      </c>
    </row>
    <row r="2340" spans="1:11" s="4" customFormat="1">
      <c r="A2340" s="4">
        <v>118010</v>
      </c>
      <c r="B2340" s="4">
        <v>1</v>
      </c>
      <c r="C2340" s="4">
        <v>1</v>
      </c>
      <c r="D2340" s="4">
        <v>0</v>
      </c>
      <c r="E2340" s="4">
        <v>0</v>
      </c>
      <c r="F2340" s="4">
        <v>1</v>
      </c>
      <c r="G2340" s="4">
        <v>21002</v>
      </c>
      <c r="H2340" s="4">
        <f>INT(VLOOKUP(A2340,洗矿索引!$B$2:$H$97,IF(INT(G2340/10000)=11,7,IF(INT(G2340/10000)=2,6,IF(RIGHT(G2340,1)="0",4,5))),TRUE)/IF(INT(G2340/10000)=11,1,IF(INT(G2340/10000)=2,3,IF(RIGHT(G2340,1)=0,6,6)))*100000)</f>
        <v>960</v>
      </c>
      <c r="I2340" s="4">
        <f>IF(G2340=114000,VLOOKUP(A2340,洗矿索引!$B$2:$H$97,3,FALSE),1)</f>
        <v>1</v>
      </c>
      <c r="J2340" s="4">
        <f t="shared" si="57"/>
        <v>1</v>
      </c>
      <c r="K2340" s="6" t="s">
        <v>2268</v>
      </c>
    </row>
    <row r="2341" spans="1:11" s="4" customFormat="1">
      <c r="A2341" s="4">
        <v>118010</v>
      </c>
      <c r="B2341" s="4">
        <v>1</v>
      </c>
      <c r="C2341" s="4">
        <v>1</v>
      </c>
      <c r="D2341" s="4">
        <v>0</v>
      </c>
      <c r="E2341" s="4">
        <v>0</v>
      </c>
      <c r="F2341" s="4">
        <v>1</v>
      </c>
      <c r="G2341" s="4">
        <v>21003</v>
      </c>
      <c r="H2341" s="4">
        <f>INT(VLOOKUP(A2341,洗矿索引!$B$2:$H$97,IF(INT(G2341/10000)=11,7,IF(INT(G2341/10000)=2,6,IF(RIGHT(G2341,1)="0",4,5))),TRUE)/IF(INT(G2341/10000)=11,1,IF(INT(G2341/10000)=2,3,IF(RIGHT(G2341,1)=0,6,6)))*100000)</f>
        <v>960</v>
      </c>
      <c r="I2341" s="4">
        <f>IF(G2341=114000,VLOOKUP(A2341,洗矿索引!$B$2:$H$97,3,FALSE),1)</f>
        <v>1</v>
      </c>
      <c r="J2341" s="4">
        <f t="shared" si="57"/>
        <v>1</v>
      </c>
      <c r="K2341" s="6" t="s">
        <v>2269</v>
      </c>
    </row>
    <row r="2342" spans="1:11" s="4" customFormat="1">
      <c r="A2342" s="4">
        <v>118010</v>
      </c>
      <c r="B2342" s="4">
        <v>1</v>
      </c>
      <c r="C2342" s="4">
        <v>1</v>
      </c>
      <c r="D2342" s="4">
        <v>0</v>
      </c>
      <c r="E2342" s="4">
        <v>0</v>
      </c>
      <c r="F2342" s="4">
        <v>1</v>
      </c>
      <c r="G2342" s="4">
        <v>10110</v>
      </c>
      <c r="H2342" s="4">
        <f>INT(VLOOKUP(A2342,洗矿索引!$B$2:$H$97,IF(INT(G2342/10000)=11,7,IF(INT(G2342/10000)=2,6,IF(RIGHT(G2342,1)="0",4,5))),TRUE)/IF(INT(G2342/10000)=11,1,IF(INT(G2342/10000)=2,3,IF(RIGHT(G2342,1)=0,6,6)))*100000)</f>
        <v>10</v>
      </c>
      <c r="I2342" s="4">
        <f>IF(G2342=114000,VLOOKUP(A2342,洗矿索引!$B$2:$H$97,3,FALSE),1)</f>
        <v>1</v>
      </c>
      <c r="J2342" s="4">
        <f t="shared" si="57"/>
        <v>1</v>
      </c>
      <c r="K2342" s="6" t="s">
        <v>2270</v>
      </c>
    </row>
    <row r="2343" spans="1:11" s="4" customFormat="1">
      <c r="A2343" s="4">
        <v>118010</v>
      </c>
      <c r="B2343" s="4">
        <v>1</v>
      </c>
      <c r="C2343" s="4">
        <v>1</v>
      </c>
      <c r="D2343" s="4">
        <v>0</v>
      </c>
      <c r="E2343" s="4">
        <v>0</v>
      </c>
      <c r="F2343" s="4">
        <v>1</v>
      </c>
      <c r="G2343" s="4">
        <v>10120</v>
      </c>
      <c r="H2343" s="4">
        <f>INT(VLOOKUP(A2343,洗矿索引!$B$2:$H$97,IF(INT(G2343/10000)=11,7,IF(INT(G2343/10000)=2,6,IF(RIGHT(G2343,1)="0",4,5))),TRUE)/IF(INT(G2343/10000)=11,1,IF(INT(G2343/10000)=2,3,IF(RIGHT(G2343,1)=0,6,6)))*100000)</f>
        <v>10</v>
      </c>
      <c r="I2343" s="4">
        <f>IF(G2343=114000,VLOOKUP(A2343,洗矿索引!$B$2:$H$97,3,FALSE),1)</f>
        <v>1</v>
      </c>
      <c r="J2343" s="4">
        <f t="shared" si="57"/>
        <v>1</v>
      </c>
      <c r="K2343" s="6" t="s">
        <v>2271</v>
      </c>
    </row>
    <row r="2344" spans="1:11" s="4" customFormat="1">
      <c r="A2344" s="4">
        <v>118010</v>
      </c>
      <c r="B2344" s="4">
        <v>1</v>
      </c>
      <c r="C2344" s="4">
        <v>1</v>
      </c>
      <c r="D2344" s="4">
        <v>0</v>
      </c>
      <c r="E2344" s="4">
        <v>0</v>
      </c>
      <c r="F2344" s="4">
        <v>1</v>
      </c>
      <c r="G2344" s="4">
        <v>10220</v>
      </c>
      <c r="H2344" s="4">
        <f>INT(VLOOKUP(A2344,洗矿索引!$B$2:$H$97,IF(INT(G2344/10000)=11,7,IF(INT(G2344/10000)=2,6,IF(RIGHT(G2344,1)="0",4,5))),TRUE)/IF(INT(G2344/10000)=11,1,IF(INT(G2344/10000)=2,3,IF(RIGHT(G2344,1)=0,6,6)))*100000)</f>
        <v>10</v>
      </c>
      <c r="I2344" s="4">
        <f>IF(G2344=114000,VLOOKUP(A2344,洗矿索引!$B$2:$H$97,3,FALSE),1)</f>
        <v>1</v>
      </c>
      <c r="J2344" s="4">
        <f t="shared" si="57"/>
        <v>1</v>
      </c>
      <c r="K2344" s="6" t="s">
        <v>2272</v>
      </c>
    </row>
    <row r="2345" spans="1:11" s="4" customFormat="1">
      <c r="A2345" s="4">
        <v>118010</v>
      </c>
      <c r="B2345" s="4">
        <v>1</v>
      </c>
      <c r="C2345" s="4">
        <v>1</v>
      </c>
      <c r="D2345" s="4">
        <v>0</v>
      </c>
      <c r="E2345" s="4">
        <v>0</v>
      </c>
      <c r="F2345" s="4">
        <v>1</v>
      </c>
      <c r="G2345" s="4">
        <v>10320</v>
      </c>
      <c r="H2345" s="4">
        <f>INT(VLOOKUP(A2345,洗矿索引!$B$2:$H$97,IF(INT(G2345/10000)=11,7,IF(INT(G2345/10000)=2,6,IF(RIGHT(G2345,1)="0",4,5))),TRUE)/IF(INT(G2345/10000)=11,1,IF(INT(G2345/10000)=2,3,IF(RIGHT(G2345,1)=0,6,6)))*100000)</f>
        <v>10</v>
      </c>
      <c r="I2345" s="4">
        <f>IF(G2345=114000,VLOOKUP(A2345,洗矿索引!$B$2:$H$97,3,FALSE),1)</f>
        <v>1</v>
      </c>
      <c r="J2345" s="4">
        <f t="shared" si="57"/>
        <v>1</v>
      </c>
      <c r="K2345" s="6" t="s">
        <v>2273</v>
      </c>
    </row>
    <row r="2346" spans="1:11" s="4" customFormat="1">
      <c r="A2346" s="4">
        <v>118010</v>
      </c>
      <c r="B2346" s="4">
        <v>1</v>
      </c>
      <c r="C2346" s="4">
        <v>1</v>
      </c>
      <c r="D2346" s="4">
        <v>0</v>
      </c>
      <c r="E2346" s="4">
        <v>0</v>
      </c>
      <c r="F2346" s="4">
        <v>1</v>
      </c>
      <c r="G2346" s="4">
        <v>10420</v>
      </c>
      <c r="H2346" s="4">
        <f>INT(VLOOKUP(A2346,洗矿索引!$B$2:$H$97,IF(INT(G2346/10000)=11,7,IF(INT(G2346/10000)=2,6,IF(RIGHT(G2346,1)="0",4,5))),TRUE)/IF(INT(G2346/10000)=11,1,IF(INT(G2346/10000)=2,3,IF(RIGHT(G2346,1)=0,6,6)))*100000)</f>
        <v>10</v>
      </c>
      <c r="I2346" s="4">
        <f>IF(G2346=114000,VLOOKUP(A2346,洗矿索引!$B$2:$H$97,3,FALSE),1)</f>
        <v>1</v>
      </c>
      <c r="J2346" s="4">
        <f t="shared" si="57"/>
        <v>1</v>
      </c>
      <c r="K2346" s="6" t="s">
        <v>2274</v>
      </c>
    </row>
    <row r="2347" spans="1:11" s="4" customFormat="1">
      <c r="A2347" s="4">
        <v>118010</v>
      </c>
      <c r="B2347" s="4">
        <v>1</v>
      </c>
      <c r="C2347" s="4">
        <v>1</v>
      </c>
      <c r="D2347" s="4">
        <v>0</v>
      </c>
      <c r="E2347" s="4">
        <v>0</v>
      </c>
      <c r="F2347" s="4">
        <v>1</v>
      </c>
      <c r="G2347" s="4">
        <v>10520</v>
      </c>
      <c r="H2347" s="4">
        <f>INT(VLOOKUP(A2347,洗矿索引!$B$2:$H$97,IF(INT(G2347/10000)=11,7,IF(INT(G2347/10000)=2,6,IF(RIGHT(G2347,1)="0",4,5))),TRUE)/IF(INT(G2347/10000)=11,1,IF(INT(G2347/10000)=2,3,IF(RIGHT(G2347,1)=0,6,6)))*100000)</f>
        <v>10</v>
      </c>
      <c r="I2347" s="4">
        <f>IF(G2347=114000,VLOOKUP(A2347,洗矿索引!$B$2:$H$97,3,FALSE),1)</f>
        <v>1</v>
      </c>
      <c r="J2347" s="4">
        <f t="shared" si="57"/>
        <v>1</v>
      </c>
      <c r="K2347" s="6" t="s">
        <v>2275</v>
      </c>
    </row>
    <row r="2348" spans="1:11" s="4" customFormat="1">
      <c r="A2348" s="4">
        <v>118011</v>
      </c>
      <c r="B2348" s="4">
        <v>1</v>
      </c>
      <c r="C2348" s="4">
        <v>1</v>
      </c>
      <c r="D2348" s="4">
        <v>0</v>
      </c>
      <c r="E2348" s="4">
        <v>0</v>
      </c>
      <c r="F2348" s="4">
        <v>1</v>
      </c>
      <c r="G2348" s="4">
        <v>114000</v>
      </c>
      <c r="H2348" s="4">
        <f>INT(VLOOKUP(A2348,洗矿索引!$B$2:$H$97,IF(INT(G2348/10000)=11,7,IF(INT(G2348/10000)=2,6,IF(RIGHT(G2348,1)="0",4,5))),TRUE)/IF(INT(G2348/10000)=11,1,IF(INT(G2348/10000)=2,3,IF(RIGHT(G2348,1)=0,6,6)))*100000)</f>
        <v>96815</v>
      </c>
      <c r="I2348" s="4">
        <f>IF(G2348=114000,VLOOKUP(A2348,洗矿索引!$B$2:$H$97,3,FALSE),1)</f>
        <v>5</v>
      </c>
      <c r="J2348" s="4">
        <f t="shared" si="57"/>
        <v>5</v>
      </c>
      <c r="K2348" s="6" t="s">
        <v>2276</v>
      </c>
    </row>
    <row r="2349" spans="1:11" s="4" customFormat="1">
      <c r="A2349" s="4">
        <v>118011</v>
      </c>
      <c r="B2349" s="4">
        <v>1</v>
      </c>
      <c r="C2349" s="4">
        <v>1</v>
      </c>
      <c r="D2349" s="4">
        <v>0</v>
      </c>
      <c r="E2349" s="4">
        <v>0</v>
      </c>
      <c r="F2349" s="4">
        <v>1</v>
      </c>
      <c r="G2349" s="4">
        <v>21001</v>
      </c>
      <c r="H2349" s="4">
        <f>INT(VLOOKUP(A2349,洗矿索引!$B$2:$H$97,IF(INT(G2349/10000)=11,7,IF(INT(G2349/10000)=2,6,IF(RIGHT(G2349,1)="0",4,5))),TRUE)/IF(INT(G2349/10000)=11,1,IF(INT(G2349/10000)=2,3,IF(RIGHT(G2349,1)=0,6,6)))*100000)</f>
        <v>1040</v>
      </c>
      <c r="I2349" s="4">
        <f>IF(G2349=114000,VLOOKUP(A2349,洗矿索引!$B$2:$H$97,3,FALSE),1)</f>
        <v>1</v>
      </c>
      <c r="J2349" s="4">
        <f t="shared" si="57"/>
        <v>1</v>
      </c>
      <c r="K2349" s="6" t="s">
        <v>2277</v>
      </c>
    </row>
    <row r="2350" spans="1:11" s="4" customFormat="1">
      <c r="A2350" s="4">
        <v>118011</v>
      </c>
      <c r="B2350" s="4">
        <v>1</v>
      </c>
      <c r="C2350" s="4">
        <v>1</v>
      </c>
      <c r="D2350" s="4">
        <v>0</v>
      </c>
      <c r="E2350" s="4">
        <v>0</v>
      </c>
      <c r="F2350" s="4">
        <v>1</v>
      </c>
      <c r="G2350" s="4">
        <v>21002</v>
      </c>
      <c r="H2350" s="4">
        <f>INT(VLOOKUP(A2350,洗矿索引!$B$2:$H$97,IF(INT(G2350/10000)=11,7,IF(INT(G2350/10000)=2,6,IF(RIGHT(G2350,1)="0",4,5))),TRUE)/IF(INT(G2350/10000)=11,1,IF(INT(G2350/10000)=2,3,IF(RIGHT(G2350,1)=0,6,6)))*100000)</f>
        <v>1040</v>
      </c>
      <c r="I2350" s="4">
        <f>IF(G2350=114000,VLOOKUP(A2350,洗矿索引!$B$2:$H$97,3,FALSE),1)</f>
        <v>1</v>
      </c>
      <c r="J2350" s="4">
        <f t="shared" si="57"/>
        <v>1</v>
      </c>
      <c r="K2350" s="6" t="s">
        <v>2278</v>
      </c>
    </row>
    <row r="2351" spans="1:11" s="4" customFormat="1">
      <c r="A2351" s="4">
        <v>118011</v>
      </c>
      <c r="B2351" s="4">
        <v>1</v>
      </c>
      <c r="C2351" s="4">
        <v>1</v>
      </c>
      <c r="D2351" s="4">
        <v>0</v>
      </c>
      <c r="E2351" s="4">
        <v>0</v>
      </c>
      <c r="F2351" s="4">
        <v>1</v>
      </c>
      <c r="G2351" s="4">
        <v>21003</v>
      </c>
      <c r="H2351" s="4">
        <f>INT(VLOOKUP(A2351,洗矿索引!$B$2:$H$97,IF(INT(G2351/10000)=11,7,IF(INT(G2351/10000)=2,6,IF(RIGHT(G2351,1)="0",4,5))),TRUE)/IF(INT(G2351/10000)=11,1,IF(INT(G2351/10000)=2,3,IF(RIGHT(G2351,1)=0,6,6)))*100000)</f>
        <v>1040</v>
      </c>
      <c r="I2351" s="4">
        <f>IF(G2351=114000,VLOOKUP(A2351,洗矿索引!$B$2:$H$97,3,FALSE),1)</f>
        <v>1</v>
      </c>
      <c r="J2351" s="4">
        <f t="shared" si="57"/>
        <v>1</v>
      </c>
      <c r="K2351" s="6" t="s">
        <v>2279</v>
      </c>
    </row>
    <row r="2352" spans="1:11" s="4" customFormat="1">
      <c r="A2352" s="4">
        <v>118011</v>
      </c>
      <c r="B2352" s="4">
        <v>1</v>
      </c>
      <c r="C2352" s="4">
        <v>1</v>
      </c>
      <c r="D2352" s="4">
        <v>0</v>
      </c>
      <c r="E2352" s="4">
        <v>0</v>
      </c>
      <c r="F2352" s="4">
        <v>1</v>
      </c>
      <c r="G2352" s="4">
        <v>10110</v>
      </c>
      <c r="H2352" s="4">
        <f>INT(VLOOKUP(A2352,洗矿索引!$B$2:$H$97,IF(INT(G2352/10000)=11,7,IF(INT(G2352/10000)=2,6,IF(RIGHT(G2352,1)="0",4,5))),TRUE)/IF(INT(G2352/10000)=11,1,IF(INT(G2352/10000)=2,3,IF(RIGHT(G2352,1)=0,6,6)))*100000)</f>
        <v>10</v>
      </c>
      <c r="I2352" s="4">
        <f>IF(G2352=114000,VLOOKUP(A2352,洗矿索引!$B$2:$H$97,3,FALSE),1)</f>
        <v>1</v>
      </c>
      <c r="J2352" s="4">
        <f t="shared" si="57"/>
        <v>1</v>
      </c>
      <c r="K2352" s="6" t="s">
        <v>2280</v>
      </c>
    </row>
    <row r="2353" spans="1:11" s="4" customFormat="1">
      <c r="A2353" s="4">
        <v>118011</v>
      </c>
      <c r="B2353" s="4">
        <v>1</v>
      </c>
      <c r="C2353" s="4">
        <v>1</v>
      </c>
      <c r="D2353" s="4">
        <v>0</v>
      </c>
      <c r="E2353" s="4">
        <v>0</v>
      </c>
      <c r="F2353" s="4">
        <v>1</v>
      </c>
      <c r="G2353" s="4">
        <v>10120</v>
      </c>
      <c r="H2353" s="4">
        <f>INT(VLOOKUP(A2353,洗矿索引!$B$2:$H$97,IF(INT(G2353/10000)=11,7,IF(INT(G2353/10000)=2,6,IF(RIGHT(G2353,1)="0",4,5))),TRUE)/IF(INT(G2353/10000)=11,1,IF(INT(G2353/10000)=2,3,IF(RIGHT(G2353,1)=0,6,6)))*100000)</f>
        <v>10</v>
      </c>
      <c r="I2353" s="4">
        <f>IF(G2353=114000,VLOOKUP(A2353,洗矿索引!$B$2:$H$97,3,FALSE),1)</f>
        <v>1</v>
      </c>
      <c r="J2353" s="4">
        <f t="shared" ref="J2353:J2396" si="58">I2353</f>
        <v>1</v>
      </c>
      <c r="K2353" s="6" t="s">
        <v>2281</v>
      </c>
    </row>
    <row r="2354" spans="1:11" s="4" customFormat="1">
      <c r="A2354" s="4">
        <v>118011</v>
      </c>
      <c r="B2354" s="4">
        <v>1</v>
      </c>
      <c r="C2354" s="4">
        <v>1</v>
      </c>
      <c r="D2354" s="4">
        <v>0</v>
      </c>
      <c r="E2354" s="4">
        <v>0</v>
      </c>
      <c r="F2354" s="4">
        <v>1</v>
      </c>
      <c r="G2354" s="4">
        <v>10220</v>
      </c>
      <c r="H2354" s="4">
        <f>INT(VLOOKUP(A2354,洗矿索引!$B$2:$H$97,IF(INT(G2354/10000)=11,7,IF(INT(G2354/10000)=2,6,IF(RIGHT(G2354,1)="0",4,5))),TRUE)/IF(INT(G2354/10000)=11,1,IF(INT(G2354/10000)=2,3,IF(RIGHT(G2354,1)=0,6,6)))*100000)</f>
        <v>10</v>
      </c>
      <c r="I2354" s="4">
        <f>IF(G2354=114000,VLOOKUP(A2354,洗矿索引!$B$2:$H$97,3,FALSE),1)</f>
        <v>1</v>
      </c>
      <c r="J2354" s="4">
        <f t="shared" si="58"/>
        <v>1</v>
      </c>
      <c r="K2354" s="6" t="s">
        <v>2282</v>
      </c>
    </row>
    <row r="2355" spans="1:11" s="4" customFormat="1">
      <c r="A2355" s="4">
        <v>118011</v>
      </c>
      <c r="B2355" s="4">
        <v>1</v>
      </c>
      <c r="C2355" s="4">
        <v>1</v>
      </c>
      <c r="D2355" s="4">
        <v>0</v>
      </c>
      <c r="E2355" s="4">
        <v>0</v>
      </c>
      <c r="F2355" s="4">
        <v>1</v>
      </c>
      <c r="G2355" s="4">
        <v>10320</v>
      </c>
      <c r="H2355" s="4">
        <f>INT(VLOOKUP(A2355,洗矿索引!$B$2:$H$97,IF(INT(G2355/10000)=11,7,IF(INT(G2355/10000)=2,6,IF(RIGHT(G2355,1)="0",4,5))),TRUE)/IF(INT(G2355/10000)=11,1,IF(INT(G2355/10000)=2,3,IF(RIGHT(G2355,1)=0,6,6)))*100000)</f>
        <v>10</v>
      </c>
      <c r="I2355" s="4">
        <f>IF(G2355=114000,VLOOKUP(A2355,洗矿索引!$B$2:$H$97,3,FALSE),1)</f>
        <v>1</v>
      </c>
      <c r="J2355" s="4">
        <f t="shared" si="58"/>
        <v>1</v>
      </c>
      <c r="K2355" s="6" t="s">
        <v>2283</v>
      </c>
    </row>
    <row r="2356" spans="1:11" s="4" customFormat="1">
      <c r="A2356" s="4">
        <v>118011</v>
      </c>
      <c r="B2356" s="4">
        <v>1</v>
      </c>
      <c r="C2356" s="4">
        <v>1</v>
      </c>
      <c r="D2356" s="4">
        <v>0</v>
      </c>
      <c r="E2356" s="4">
        <v>0</v>
      </c>
      <c r="F2356" s="4">
        <v>1</v>
      </c>
      <c r="G2356" s="4">
        <v>10420</v>
      </c>
      <c r="H2356" s="4">
        <f>INT(VLOOKUP(A2356,洗矿索引!$B$2:$H$97,IF(INT(G2356/10000)=11,7,IF(INT(G2356/10000)=2,6,IF(RIGHT(G2356,1)="0",4,5))),TRUE)/IF(INT(G2356/10000)=11,1,IF(INT(G2356/10000)=2,3,IF(RIGHT(G2356,1)=0,6,6)))*100000)</f>
        <v>10</v>
      </c>
      <c r="I2356" s="4">
        <f>IF(G2356=114000,VLOOKUP(A2356,洗矿索引!$B$2:$H$97,3,FALSE),1)</f>
        <v>1</v>
      </c>
      <c r="J2356" s="4">
        <f t="shared" si="58"/>
        <v>1</v>
      </c>
      <c r="K2356" s="6" t="s">
        <v>2284</v>
      </c>
    </row>
    <row r="2357" spans="1:11" s="4" customFormat="1">
      <c r="A2357" s="4">
        <v>118011</v>
      </c>
      <c r="B2357" s="4">
        <v>1</v>
      </c>
      <c r="C2357" s="4">
        <v>1</v>
      </c>
      <c r="D2357" s="4">
        <v>0</v>
      </c>
      <c r="E2357" s="4">
        <v>0</v>
      </c>
      <c r="F2357" s="4">
        <v>1</v>
      </c>
      <c r="G2357" s="4">
        <v>10520</v>
      </c>
      <c r="H2357" s="4">
        <f>INT(VLOOKUP(A2357,洗矿索引!$B$2:$H$97,IF(INT(G2357/10000)=11,7,IF(INT(G2357/10000)=2,6,IF(RIGHT(G2357,1)="0",4,5))),TRUE)/IF(INT(G2357/10000)=11,1,IF(INT(G2357/10000)=2,3,IF(RIGHT(G2357,1)=0,6,6)))*100000)</f>
        <v>10</v>
      </c>
      <c r="I2357" s="4">
        <f>IF(G2357=114000,VLOOKUP(A2357,洗矿索引!$B$2:$H$97,3,FALSE),1)</f>
        <v>1</v>
      </c>
      <c r="J2357" s="4">
        <f t="shared" si="58"/>
        <v>1</v>
      </c>
      <c r="K2357" s="6" t="s">
        <v>2285</v>
      </c>
    </row>
    <row r="2358" spans="1:11" s="4" customFormat="1">
      <c r="A2358" s="4">
        <v>118012</v>
      </c>
      <c r="B2358" s="4">
        <v>1</v>
      </c>
      <c r="C2358" s="4">
        <v>1</v>
      </c>
      <c r="D2358" s="4">
        <v>0</v>
      </c>
      <c r="E2358" s="4">
        <v>0</v>
      </c>
      <c r="F2358" s="4">
        <v>1</v>
      </c>
      <c r="G2358" s="4">
        <v>114000</v>
      </c>
      <c r="H2358" s="4">
        <f>INT(VLOOKUP(A2358,洗矿索引!$B$2:$H$97,IF(INT(G2358/10000)=11,7,IF(INT(G2358/10000)=2,6,IF(RIGHT(G2358,1)="0",4,5))),TRUE)/IF(INT(G2358/10000)=11,1,IF(INT(G2358/10000)=2,3,IF(RIGHT(G2358,1)=0,6,6)))*100000)</f>
        <v>96570</v>
      </c>
      <c r="I2358" s="4">
        <f>IF(G2358=114000,VLOOKUP(A2358,洗矿索引!$B$2:$H$97,3,FALSE),1)</f>
        <v>5</v>
      </c>
      <c r="J2358" s="4">
        <f t="shared" si="58"/>
        <v>5</v>
      </c>
      <c r="K2358" s="6" t="s">
        <v>2286</v>
      </c>
    </row>
    <row r="2359" spans="1:11" s="4" customFormat="1">
      <c r="A2359" s="4">
        <v>118012</v>
      </c>
      <c r="B2359" s="4">
        <v>1</v>
      </c>
      <c r="C2359" s="4">
        <v>1</v>
      </c>
      <c r="D2359" s="4">
        <v>0</v>
      </c>
      <c r="E2359" s="4">
        <v>0</v>
      </c>
      <c r="F2359" s="4">
        <v>1</v>
      </c>
      <c r="G2359" s="4">
        <v>21001</v>
      </c>
      <c r="H2359" s="4">
        <f>INT(VLOOKUP(A2359,洗矿索引!$B$2:$H$97,IF(INT(G2359/10000)=11,7,IF(INT(G2359/10000)=2,6,IF(RIGHT(G2359,1)="0",4,5))),TRUE)/IF(INT(G2359/10000)=11,1,IF(INT(G2359/10000)=2,3,IF(RIGHT(G2359,1)=0,6,6)))*100000)</f>
        <v>1120</v>
      </c>
      <c r="I2359" s="4">
        <f>IF(G2359=114000,VLOOKUP(A2359,洗矿索引!$B$2:$H$97,3,FALSE),1)</f>
        <v>1</v>
      </c>
      <c r="J2359" s="4">
        <f t="shared" si="58"/>
        <v>1</v>
      </c>
      <c r="K2359" s="6" t="s">
        <v>2287</v>
      </c>
    </row>
    <row r="2360" spans="1:11" s="4" customFormat="1">
      <c r="A2360" s="4">
        <v>118012</v>
      </c>
      <c r="B2360" s="4">
        <v>1</v>
      </c>
      <c r="C2360" s="4">
        <v>1</v>
      </c>
      <c r="D2360" s="4">
        <v>0</v>
      </c>
      <c r="E2360" s="4">
        <v>0</v>
      </c>
      <c r="F2360" s="4">
        <v>1</v>
      </c>
      <c r="G2360" s="4">
        <v>21002</v>
      </c>
      <c r="H2360" s="4">
        <f>INT(VLOOKUP(A2360,洗矿索引!$B$2:$H$97,IF(INT(G2360/10000)=11,7,IF(INT(G2360/10000)=2,6,IF(RIGHT(G2360,1)="0",4,5))),TRUE)/IF(INT(G2360/10000)=11,1,IF(INT(G2360/10000)=2,3,IF(RIGHT(G2360,1)=0,6,6)))*100000)</f>
        <v>1120</v>
      </c>
      <c r="I2360" s="4">
        <f>IF(G2360=114000,VLOOKUP(A2360,洗矿索引!$B$2:$H$97,3,FALSE),1)</f>
        <v>1</v>
      </c>
      <c r="J2360" s="4">
        <f t="shared" si="58"/>
        <v>1</v>
      </c>
      <c r="K2360" s="6" t="s">
        <v>2288</v>
      </c>
    </row>
    <row r="2361" spans="1:11" s="4" customFormat="1">
      <c r="A2361" s="4">
        <v>118012</v>
      </c>
      <c r="B2361" s="4">
        <v>1</v>
      </c>
      <c r="C2361" s="4">
        <v>1</v>
      </c>
      <c r="D2361" s="4">
        <v>0</v>
      </c>
      <c r="E2361" s="4">
        <v>0</v>
      </c>
      <c r="F2361" s="4">
        <v>1</v>
      </c>
      <c r="G2361" s="4">
        <v>21003</v>
      </c>
      <c r="H2361" s="4">
        <f>INT(VLOOKUP(A2361,洗矿索引!$B$2:$H$97,IF(INT(G2361/10000)=11,7,IF(INT(G2361/10000)=2,6,IF(RIGHT(G2361,1)="0",4,5))),TRUE)/IF(INT(G2361/10000)=11,1,IF(INT(G2361/10000)=2,3,IF(RIGHT(G2361,1)=0,6,6)))*100000)</f>
        <v>1120</v>
      </c>
      <c r="I2361" s="4">
        <f>IF(G2361=114000,VLOOKUP(A2361,洗矿索引!$B$2:$H$97,3,FALSE),1)</f>
        <v>1</v>
      </c>
      <c r="J2361" s="4">
        <f t="shared" si="58"/>
        <v>1</v>
      </c>
      <c r="K2361" s="6" t="s">
        <v>2289</v>
      </c>
    </row>
    <row r="2362" spans="1:11" s="4" customFormat="1">
      <c r="A2362" s="4">
        <v>118012</v>
      </c>
      <c r="B2362" s="4">
        <v>1</v>
      </c>
      <c r="C2362" s="4">
        <v>1</v>
      </c>
      <c r="D2362" s="4">
        <v>0</v>
      </c>
      <c r="E2362" s="4">
        <v>0</v>
      </c>
      <c r="F2362" s="4">
        <v>1</v>
      </c>
      <c r="G2362" s="4">
        <v>10110</v>
      </c>
      <c r="H2362" s="4">
        <f>INT(VLOOKUP(A2362,洗矿索引!$B$2:$H$97,IF(INT(G2362/10000)=11,7,IF(INT(G2362/10000)=2,6,IF(RIGHT(G2362,1)="0",4,5))),TRUE)/IF(INT(G2362/10000)=11,1,IF(INT(G2362/10000)=2,3,IF(RIGHT(G2362,1)=0,6,6)))*100000)</f>
        <v>11</v>
      </c>
      <c r="I2362" s="4">
        <f>IF(G2362=114000,VLOOKUP(A2362,洗矿索引!$B$2:$H$97,3,FALSE),1)</f>
        <v>1</v>
      </c>
      <c r="J2362" s="4">
        <f t="shared" si="58"/>
        <v>1</v>
      </c>
      <c r="K2362" s="6" t="s">
        <v>2290</v>
      </c>
    </row>
    <row r="2363" spans="1:11" s="4" customFormat="1">
      <c r="A2363" s="4">
        <v>118012</v>
      </c>
      <c r="B2363" s="4">
        <v>1</v>
      </c>
      <c r="C2363" s="4">
        <v>1</v>
      </c>
      <c r="D2363" s="4">
        <v>0</v>
      </c>
      <c r="E2363" s="4">
        <v>0</v>
      </c>
      <c r="F2363" s="4">
        <v>1</v>
      </c>
      <c r="G2363" s="4">
        <v>10120</v>
      </c>
      <c r="H2363" s="4">
        <f>INT(VLOOKUP(A2363,洗矿索引!$B$2:$H$97,IF(INT(G2363/10000)=11,7,IF(INT(G2363/10000)=2,6,IF(RIGHT(G2363,1)="0",4,5))),TRUE)/IF(INT(G2363/10000)=11,1,IF(INT(G2363/10000)=2,3,IF(RIGHT(G2363,1)=0,6,6)))*100000)</f>
        <v>11</v>
      </c>
      <c r="I2363" s="4">
        <f>IF(G2363=114000,VLOOKUP(A2363,洗矿索引!$B$2:$H$97,3,FALSE),1)</f>
        <v>1</v>
      </c>
      <c r="J2363" s="4">
        <f t="shared" si="58"/>
        <v>1</v>
      </c>
      <c r="K2363" s="6" t="s">
        <v>2291</v>
      </c>
    </row>
    <row r="2364" spans="1:11" s="4" customFormat="1">
      <c r="A2364" s="4">
        <v>118012</v>
      </c>
      <c r="B2364" s="4">
        <v>1</v>
      </c>
      <c r="C2364" s="4">
        <v>1</v>
      </c>
      <c r="D2364" s="4">
        <v>0</v>
      </c>
      <c r="E2364" s="4">
        <v>0</v>
      </c>
      <c r="F2364" s="4">
        <v>1</v>
      </c>
      <c r="G2364" s="4">
        <v>10220</v>
      </c>
      <c r="H2364" s="4">
        <f>INT(VLOOKUP(A2364,洗矿索引!$B$2:$H$97,IF(INT(G2364/10000)=11,7,IF(INT(G2364/10000)=2,6,IF(RIGHT(G2364,1)="0",4,5))),TRUE)/IF(INT(G2364/10000)=11,1,IF(INT(G2364/10000)=2,3,IF(RIGHT(G2364,1)=0,6,6)))*100000)</f>
        <v>11</v>
      </c>
      <c r="I2364" s="4">
        <f>IF(G2364=114000,VLOOKUP(A2364,洗矿索引!$B$2:$H$97,3,FALSE),1)</f>
        <v>1</v>
      </c>
      <c r="J2364" s="4">
        <f t="shared" si="58"/>
        <v>1</v>
      </c>
      <c r="K2364" s="6" t="s">
        <v>2292</v>
      </c>
    </row>
    <row r="2365" spans="1:11" s="4" customFormat="1">
      <c r="A2365" s="4">
        <v>118012</v>
      </c>
      <c r="B2365" s="4">
        <v>1</v>
      </c>
      <c r="C2365" s="4">
        <v>1</v>
      </c>
      <c r="D2365" s="4">
        <v>0</v>
      </c>
      <c r="E2365" s="4">
        <v>0</v>
      </c>
      <c r="F2365" s="4">
        <v>1</v>
      </c>
      <c r="G2365" s="4">
        <v>10320</v>
      </c>
      <c r="H2365" s="4">
        <f>INT(VLOOKUP(A2365,洗矿索引!$B$2:$H$97,IF(INT(G2365/10000)=11,7,IF(INT(G2365/10000)=2,6,IF(RIGHT(G2365,1)="0",4,5))),TRUE)/IF(INT(G2365/10000)=11,1,IF(INT(G2365/10000)=2,3,IF(RIGHT(G2365,1)=0,6,6)))*100000)</f>
        <v>11</v>
      </c>
      <c r="I2365" s="4">
        <f>IF(G2365=114000,VLOOKUP(A2365,洗矿索引!$B$2:$H$97,3,FALSE),1)</f>
        <v>1</v>
      </c>
      <c r="J2365" s="4">
        <f t="shared" si="58"/>
        <v>1</v>
      </c>
      <c r="K2365" s="6" t="s">
        <v>2293</v>
      </c>
    </row>
    <row r="2366" spans="1:11" s="4" customFormat="1">
      <c r="A2366" s="4">
        <v>118012</v>
      </c>
      <c r="B2366" s="4">
        <v>1</v>
      </c>
      <c r="C2366" s="4">
        <v>1</v>
      </c>
      <c r="D2366" s="4">
        <v>0</v>
      </c>
      <c r="E2366" s="4">
        <v>0</v>
      </c>
      <c r="F2366" s="4">
        <v>1</v>
      </c>
      <c r="G2366" s="4">
        <v>10420</v>
      </c>
      <c r="H2366" s="4">
        <f>INT(VLOOKUP(A2366,洗矿索引!$B$2:$H$97,IF(INT(G2366/10000)=11,7,IF(INT(G2366/10000)=2,6,IF(RIGHT(G2366,1)="0",4,5))),TRUE)/IF(INT(G2366/10000)=11,1,IF(INT(G2366/10000)=2,3,IF(RIGHT(G2366,1)=0,6,6)))*100000)</f>
        <v>11</v>
      </c>
      <c r="I2366" s="4">
        <f>IF(G2366=114000,VLOOKUP(A2366,洗矿索引!$B$2:$H$97,3,FALSE),1)</f>
        <v>1</v>
      </c>
      <c r="J2366" s="4">
        <f t="shared" si="58"/>
        <v>1</v>
      </c>
      <c r="K2366" s="6" t="s">
        <v>2294</v>
      </c>
    </row>
    <row r="2367" spans="1:11" s="4" customFormat="1">
      <c r="A2367" s="4">
        <v>118012</v>
      </c>
      <c r="B2367" s="4">
        <v>1</v>
      </c>
      <c r="C2367" s="4">
        <v>1</v>
      </c>
      <c r="D2367" s="4">
        <v>0</v>
      </c>
      <c r="E2367" s="4">
        <v>0</v>
      </c>
      <c r="F2367" s="4">
        <v>1</v>
      </c>
      <c r="G2367" s="4">
        <v>10520</v>
      </c>
      <c r="H2367" s="4">
        <f>INT(VLOOKUP(A2367,洗矿索引!$B$2:$H$97,IF(INT(G2367/10000)=11,7,IF(INT(G2367/10000)=2,6,IF(RIGHT(G2367,1)="0",4,5))),TRUE)/IF(INT(G2367/10000)=11,1,IF(INT(G2367/10000)=2,3,IF(RIGHT(G2367,1)=0,6,6)))*100000)</f>
        <v>11</v>
      </c>
      <c r="I2367" s="4">
        <f>IF(G2367=114000,VLOOKUP(A2367,洗矿索引!$B$2:$H$97,3,FALSE),1)</f>
        <v>1</v>
      </c>
      <c r="J2367" s="4">
        <f t="shared" si="58"/>
        <v>1</v>
      </c>
      <c r="K2367" s="6" t="s">
        <v>2295</v>
      </c>
    </row>
    <row r="2368" spans="1:11" s="4" customFormat="1">
      <c r="A2368" s="4">
        <v>118013</v>
      </c>
      <c r="B2368" s="4">
        <v>1</v>
      </c>
      <c r="C2368" s="4">
        <v>1</v>
      </c>
      <c r="D2368" s="4">
        <v>0</v>
      </c>
      <c r="E2368" s="4">
        <v>0</v>
      </c>
      <c r="F2368" s="4">
        <v>1</v>
      </c>
      <c r="G2368" s="4">
        <v>114000</v>
      </c>
      <c r="H2368" s="4">
        <f>INT(VLOOKUP(A2368,洗矿索引!$B$2:$H$97,IF(INT(G2368/10000)=11,7,IF(INT(G2368/10000)=2,6,IF(RIGHT(G2368,1)="0",4,5))),TRUE)/IF(INT(G2368/10000)=11,1,IF(INT(G2368/10000)=2,3,IF(RIGHT(G2368,1)=0,6,6)))*100000)</f>
        <v>96325</v>
      </c>
      <c r="I2368" s="4">
        <f>IF(G2368=114000,VLOOKUP(A2368,洗矿索引!$B$2:$H$97,3,FALSE),1)</f>
        <v>5</v>
      </c>
      <c r="J2368" s="4">
        <f t="shared" si="58"/>
        <v>5</v>
      </c>
      <c r="K2368" s="6" t="s">
        <v>2296</v>
      </c>
    </row>
    <row r="2369" spans="1:11" s="4" customFormat="1">
      <c r="A2369" s="4">
        <v>118013</v>
      </c>
      <c r="B2369" s="4">
        <v>1</v>
      </c>
      <c r="C2369" s="4">
        <v>1</v>
      </c>
      <c r="D2369" s="4">
        <v>0</v>
      </c>
      <c r="E2369" s="4">
        <v>0</v>
      </c>
      <c r="F2369" s="4">
        <v>1</v>
      </c>
      <c r="G2369" s="4">
        <v>21001</v>
      </c>
      <c r="H2369" s="4">
        <f>INT(VLOOKUP(A2369,洗矿索引!$B$2:$H$97,IF(INT(G2369/10000)=11,7,IF(INT(G2369/10000)=2,6,IF(RIGHT(G2369,1)="0",4,5))),TRUE)/IF(INT(G2369/10000)=11,1,IF(INT(G2369/10000)=2,3,IF(RIGHT(G2369,1)=0,6,6)))*100000)</f>
        <v>1200</v>
      </c>
      <c r="I2369" s="4">
        <f>IF(G2369=114000,VLOOKUP(A2369,洗矿索引!$B$2:$H$97,3,FALSE),1)</f>
        <v>1</v>
      </c>
      <c r="J2369" s="4">
        <f t="shared" si="58"/>
        <v>1</v>
      </c>
      <c r="K2369" s="6" t="s">
        <v>2297</v>
      </c>
    </row>
    <row r="2370" spans="1:11" s="4" customFormat="1">
      <c r="A2370" s="4">
        <v>118013</v>
      </c>
      <c r="B2370" s="4">
        <v>1</v>
      </c>
      <c r="C2370" s="4">
        <v>1</v>
      </c>
      <c r="D2370" s="4">
        <v>0</v>
      </c>
      <c r="E2370" s="4">
        <v>0</v>
      </c>
      <c r="F2370" s="4">
        <v>1</v>
      </c>
      <c r="G2370" s="4">
        <v>21002</v>
      </c>
      <c r="H2370" s="4">
        <f>INT(VLOOKUP(A2370,洗矿索引!$B$2:$H$97,IF(INT(G2370/10000)=11,7,IF(INT(G2370/10000)=2,6,IF(RIGHT(G2370,1)="0",4,5))),TRUE)/IF(INT(G2370/10000)=11,1,IF(INT(G2370/10000)=2,3,IF(RIGHT(G2370,1)=0,6,6)))*100000)</f>
        <v>1200</v>
      </c>
      <c r="I2370" s="4">
        <f>IF(G2370=114000,VLOOKUP(A2370,洗矿索引!$B$2:$H$97,3,FALSE),1)</f>
        <v>1</v>
      </c>
      <c r="J2370" s="4">
        <f t="shared" si="58"/>
        <v>1</v>
      </c>
      <c r="K2370" s="6" t="s">
        <v>2298</v>
      </c>
    </row>
    <row r="2371" spans="1:11" s="4" customFormat="1">
      <c r="A2371" s="4">
        <v>118013</v>
      </c>
      <c r="B2371" s="4">
        <v>1</v>
      </c>
      <c r="C2371" s="4">
        <v>1</v>
      </c>
      <c r="D2371" s="4">
        <v>0</v>
      </c>
      <c r="E2371" s="4">
        <v>0</v>
      </c>
      <c r="F2371" s="4">
        <v>1</v>
      </c>
      <c r="G2371" s="4">
        <v>21003</v>
      </c>
      <c r="H2371" s="4">
        <f>INT(VLOOKUP(A2371,洗矿索引!$B$2:$H$97,IF(INT(G2371/10000)=11,7,IF(INT(G2371/10000)=2,6,IF(RIGHT(G2371,1)="0",4,5))),TRUE)/IF(INT(G2371/10000)=11,1,IF(INT(G2371/10000)=2,3,IF(RIGHT(G2371,1)=0,6,6)))*100000)</f>
        <v>1200</v>
      </c>
      <c r="I2371" s="4">
        <f>IF(G2371=114000,VLOOKUP(A2371,洗矿索引!$B$2:$H$97,3,FALSE),1)</f>
        <v>1</v>
      </c>
      <c r="J2371" s="4">
        <f t="shared" si="58"/>
        <v>1</v>
      </c>
      <c r="K2371" s="6" t="s">
        <v>2299</v>
      </c>
    </row>
    <row r="2372" spans="1:11" s="4" customFormat="1">
      <c r="A2372" s="4">
        <v>118013</v>
      </c>
      <c r="B2372" s="4">
        <v>1</v>
      </c>
      <c r="C2372" s="4">
        <v>1</v>
      </c>
      <c r="D2372" s="4">
        <v>0</v>
      </c>
      <c r="E2372" s="4">
        <v>0</v>
      </c>
      <c r="F2372" s="4">
        <v>1</v>
      </c>
      <c r="G2372" s="4">
        <v>10110</v>
      </c>
      <c r="H2372" s="4">
        <f>INT(VLOOKUP(A2372,洗矿索引!$B$2:$H$97,IF(INT(G2372/10000)=11,7,IF(INT(G2372/10000)=2,6,IF(RIGHT(G2372,1)="0",4,5))),TRUE)/IF(INT(G2372/10000)=11,1,IF(INT(G2372/10000)=2,3,IF(RIGHT(G2372,1)=0,6,6)))*100000)</f>
        <v>12</v>
      </c>
      <c r="I2372" s="4">
        <f>IF(G2372=114000,VLOOKUP(A2372,洗矿索引!$B$2:$H$97,3,FALSE),1)</f>
        <v>1</v>
      </c>
      <c r="J2372" s="4">
        <f t="shared" si="58"/>
        <v>1</v>
      </c>
      <c r="K2372" s="6" t="s">
        <v>2300</v>
      </c>
    </row>
    <row r="2373" spans="1:11" s="4" customFormat="1">
      <c r="A2373" s="4">
        <v>118013</v>
      </c>
      <c r="B2373" s="4">
        <v>1</v>
      </c>
      <c r="C2373" s="4">
        <v>1</v>
      </c>
      <c r="D2373" s="4">
        <v>0</v>
      </c>
      <c r="E2373" s="4">
        <v>0</v>
      </c>
      <c r="F2373" s="4">
        <v>1</v>
      </c>
      <c r="G2373" s="4">
        <v>10120</v>
      </c>
      <c r="H2373" s="4">
        <f>INT(VLOOKUP(A2373,洗矿索引!$B$2:$H$97,IF(INT(G2373/10000)=11,7,IF(INT(G2373/10000)=2,6,IF(RIGHT(G2373,1)="0",4,5))),TRUE)/IF(INT(G2373/10000)=11,1,IF(INT(G2373/10000)=2,3,IF(RIGHT(G2373,1)=0,6,6)))*100000)</f>
        <v>12</v>
      </c>
      <c r="I2373" s="4">
        <f>IF(G2373=114000,VLOOKUP(A2373,洗矿索引!$B$2:$H$97,3,FALSE),1)</f>
        <v>1</v>
      </c>
      <c r="J2373" s="4">
        <f t="shared" si="58"/>
        <v>1</v>
      </c>
      <c r="K2373" s="6" t="s">
        <v>2301</v>
      </c>
    </row>
    <row r="2374" spans="1:11" s="4" customFormat="1">
      <c r="A2374" s="4">
        <v>118013</v>
      </c>
      <c r="B2374" s="4">
        <v>1</v>
      </c>
      <c r="C2374" s="4">
        <v>1</v>
      </c>
      <c r="D2374" s="4">
        <v>0</v>
      </c>
      <c r="E2374" s="4">
        <v>0</v>
      </c>
      <c r="F2374" s="4">
        <v>1</v>
      </c>
      <c r="G2374" s="4">
        <v>10220</v>
      </c>
      <c r="H2374" s="4">
        <f>INT(VLOOKUP(A2374,洗矿索引!$B$2:$H$97,IF(INT(G2374/10000)=11,7,IF(INT(G2374/10000)=2,6,IF(RIGHT(G2374,1)="0",4,5))),TRUE)/IF(INT(G2374/10000)=11,1,IF(INT(G2374/10000)=2,3,IF(RIGHT(G2374,1)=0,6,6)))*100000)</f>
        <v>12</v>
      </c>
      <c r="I2374" s="4">
        <f>IF(G2374=114000,VLOOKUP(A2374,洗矿索引!$B$2:$H$97,3,FALSE),1)</f>
        <v>1</v>
      </c>
      <c r="J2374" s="4">
        <f t="shared" si="58"/>
        <v>1</v>
      </c>
      <c r="K2374" s="6" t="s">
        <v>2302</v>
      </c>
    </row>
    <row r="2375" spans="1:11" s="4" customFormat="1">
      <c r="A2375" s="4">
        <v>118013</v>
      </c>
      <c r="B2375" s="4">
        <v>1</v>
      </c>
      <c r="C2375" s="4">
        <v>1</v>
      </c>
      <c r="D2375" s="4">
        <v>0</v>
      </c>
      <c r="E2375" s="4">
        <v>0</v>
      </c>
      <c r="F2375" s="4">
        <v>1</v>
      </c>
      <c r="G2375" s="4">
        <v>10320</v>
      </c>
      <c r="H2375" s="4">
        <f>INT(VLOOKUP(A2375,洗矿索引!$B$2:$H$97,IF(INT(G2375/10000)=11,7,IF(INT(G2375/10000)=2,6,IF(RIGHT(G2375,1)="0",4,5))),TRUE)/IF(INT(G2375/10000)=11,1,IF(INT(G2375/10000)=2,3,IF(RIGHT(G2375,1)=0,6,6)))*100000)</f>
        <v>12</v>
      </c>
      <c r="I2375" s="4">
        <f>IF(G2375=114000,VLOOKUP(A2375,洗矿索引!$B$2:$H$97,3,FALSE),1)</f>
        <v>1</v>
      </c>
      <c r="J2375" s="4">
        <f t="shared" si="58"/>
        <v>1</v>
      </c>
      <c r="K2375" s="6" t="s">
        <v>2303</v>
      </c>
    </row>
    <row r="2376" spans="1:11" s="4" customFormat="1">
      <c r="A2376" s="4">
        <v>118013</v>
      </c>
      <c r="B2376" s="4">
        <v>1</v>
      </c>
      <c r="C2376" s="4">
        <v>1</v>
      </c>
      <c r="D2376" s="4">
        <v>0</v>
      </c>
      <c r="E2376" s="4">
        <v>0</v>
      </c>
      <c r="F2376" s="4">
        <v>1</v>
      </c>
      <c r="G2376" s="4">
        <v>10420</v>
      </c>
      <c r="H2376" s="4">
        <f>INT(VLOOKUP(A2376,洗矿索引!$B$2:$H$97,IF(INT(G2376/10000)=11,7,IF(INT(G2376/10000)=2,6,IF(RIGHT(G2376,1)="0",4,5))),TRUE)/IF(INT(G2376/10000)=11,1,IF(INT(G2376/10000)=2,3,IF(RIGHT(G2376,1)=0,6,6)))*100000)</f>
        <v>12</v>
      </c>
      <c r="I2376" s="4">
        <f>IF(G2376=114000,VLOOKUP(A2376,洗矿索引!$B$2:$H$97,3,FALSE),1)</f>
        <v>1</v>
      </c>
      <c r="J2376" s="4">
        <f t="shared" si="58"/>
        <v>1</v>
      </c>
      <c r="K2376" s="6" t="s">
        <v>2304</v>
      </c>
    </row>
    <row r="2377" spans="1:11" s="4" customFormat="1">
      <c r="A2377" s="4">
        <v>118013</v>
      </c>
      <c r="B2377" s="4">
        <v>1</v>
      </c>
      <c r="C2377" s="4">
        <v>1</v>
      </c>
      <c r="D2377" s="4">
        <v>0</v>
      </c>
      <c r="E2377" s="4">
        <v>0</v>
      </c>
      <c r="F2377" s="4">
        <v>1</v>
      </c>
      <c r="G2377" s="4">
        <v>10520</v>
      </c>
      <c r="H2377" s="4">
        <f>INT(VLOOKUP(A2377,洗矿索引!$B$2:$H$97,IF(INT(G2377/10000)=11,7,IF(INT(G2377/10000)=2,6,IF(RIGHT(G2377,1)="0",4,5))),TRUE)/IF(INT(G2377/10000)=11,1,IF(INT(G2377/10000)=2,3,IF(RIGHT(G2377,1)=0,6,6)))*100000)</f>
        <v>12</v>
      </c>
      <c r="I2377" s="4">
        <f>IF(G2377=114000,VLOOKUP(A2377,洗矿索引!$B$2:$H$97,3,FALSE),1)</f>
        <v>1</v>
      </c>
      <c r="J2377" s="4">
        <f t="shared" si="58"/>
        <v>1</v>
      </c>
      <c r="K2377" s="6" t="s">
        <v>2305</v>
      </c>
    </row>
    <row r="2378" spans="1:11" s="4" customFormat="1">
      <c r="A2378" s="4">
        <v>118014</v>
      </c>
      <c r="B2378" s="4">
        <v>1</v>
      </c>
      <c r="C2378" s="4">
        <v>1</v>
      </c>
      <c r="D2378" s="4">
        <v>0</v>
      </c>
      <c r="E2378" s="4">
        <v>0</v>
      </c>
      <c r="F2378" s="4">
        <v>1</v>
      </c>
      <c r="G2378" s="4">
        <v>114000</v>
      </c>
      <c r="H2378" s="4">
        <f>INT(VLOOKUP(A2378,洗矿索引!$B$2:$H$97,IF(INT(G2378/10000)=11,7,IF(INT(G2378/10000)=2,6,IF(RIGHT(G2378,1)="0",4,5))),TRUE)/IF(INT(G2378/10000)=11,1,IF(INT(G2378/10000)=2,3,IF(RIGHT(G2378,1)=0,6,6)))*100000)</f>
        <v>96080</v>
      </c>
      <c r="I2378" s="4">
        <f>IF(G2378=114000,VLOOKUP(A2378,洗矿索引!$B$2:$H$97,3,FALSE),1)</f>
        <v>5</v>
      </c>
      <c r="J2378" s="4">
        <f t="shared" si="58"/>
        <v>5</v>
      </c>
      <c r="K2378" s="6" t="s">
        <v>2306</v>
      </c>
    </row>
    <row r="2379" spans="1:11" s="4" customFormat="1">
      <c r="A2379" s="4">
        <v>118014</v>
      </c>
      <c r="B2379" s="4">
        <v>1</v>
      </c>
      <c r="C2379" s="4">
        <v>1</v>
      </c>
      <c r="D2379" s="4">
        <v>0</v>
      </c>
      <c r="E2379" s="4">
        <v>0</v>
      </c>
      <c r="F2379" s="4">
        <v>1</v>
      </c>
      <c r="G2379" s="4">
        <v>21001</v>
      </c>
      <c r="H2379" s="4">
        <f>INT(VLOOKUP(A2379,洗矿索引!$B$2:$H$97,IF(INT(G2379/10000)=11,7,IF(INT(G2379/10000)=2,6,IF(RIGHT(G2379,1)="0",4,5))),TRUE)/IF(INT(G2379/10000)=11,1,IF(INT(G2379/10000)=2,3,IF(RIGHT(G2379,1)=0,6,6)))*100000)</f>
        <v>1280</v>
      </c>
      <c r="I2379" s="4">
        <f>IF(G2379=114000,VLOOKUP(A2379,洗矿索引!$B$2:$H$97,3,FALSE),1)</f>
        <v>1</v>
      </c>
      <c r="J2379" s="4">
        <f t="shared" si="58"/>
        <v>1</v>
      </c>
      <c r="K2379" s="6" t="s">
        <v>2307</v>
      </c>
    </row>
    <row r="2380" spans="1:11" s="4" customFormat="1">
      <c r="A2380" s="4">
        <v>118014</v>
      </c>
      <c r="B2380" s="4">
        <v>1</v>
      </c>
      <c r="C2380" s="4">
        <v>1</v>
      </c>
      <c r="D2380" s="4">
        <v>0</v>
      </c>
      <c r="E2380" s="4">
        <v>0</v>
      </c>
      <c r="F2380" s="4">
        <v>1</v>
      </c>
      <c r="G2380" s="4">
        <v>21002</v>
      </c>
      <c r="H2380" s="4">
        <f>INT(VLOOKUP(A2380,洗矿索引!$B$2:$H$97,IF(INT(G2380/10000)=11,7,IF(INT(G2380/10000)=2,6,IF(RIGHT(G2380,1)="0",4,5))),TRUE)/IF(INT(G2380/10000)=11,1,IF(INT(G2380/10000)=2,3,IF(RIGHT(G2380,1)=0,6,6)))*100000)</f>
        <v>1280</v>
      </c>
      <c r="I2380" s="4">
        <f>IF(G2380=114000,VLOOKUP(A2380,洗矿索引!$B$2:$H$97,3,FALSE),1)</f>
        <v>1</v>
      </c>
      <c r="J2380" s="4">
        <f t="shared" si="58"/>
        <v>1</v>
      </c>
      <c r="K2380" s="6" t="s">
        <v>2308</v>
      </c>
    </row>
    <row r="2381" spans="1:11" s="4" customFormat="1">
      <c r="A2381" s="4">
        <v>118014</v>
      </c>
      <c r="B2381" s="4">
        <v>1</v>
      </c>
      <c r="C2381" s="4">
        <v>1</v>
      </c>
      <c r="D2381" s="4">
        <v>0</v>
      </c>
      <c r="E2381" s="4">
        <v>0</v>
      </c>
      <c r="F2381" s="4">
        <v>1</v>
      </c>
      <c r="G2381" s="4">
        <v>21003</v>
      </c>
      <c r="H2381" s="4">
        <f>INT(VLOOKUP(A2381,洗矿索引!$B$2:$H$97,IF(INT(G2381/10000)=11,7,IF(INT(G2381/10000)=2,6,IF(RIGHT(G2381,1)="0",4,5))),TRUE)/IF(INT(G2381/10000)=11,1,IF(INT(G2381/10000)=2,3,IF(RIGHT(G2381,1)=0,6,6)))*100000)</f>
        <v>1280</v>
      </c>
      <c r="I2381" s="4">
        <f>IF(G2381=114000,VLOOKUP(A2381,洗矿索引!$B$2:$H$97,3,FALSE),1)</f>
        <v>1</v>
      </c>
      <c r="J2381" s="4">
        <f t="shared" si="58"/>
        <v>1</v>
      </c>
      <c r="K2381" s="6" t="s">
        <v>2309</v>
      </c>
    </row>
    <row r="2382" spans="1:11" s="4" customFormat="1">
      <c r="A2382" s="4">
        <v>118014</v>
      </c>
      <c r="B2382" s="4">
        <v>1</v>
      </c>
      <c r="C2382" s="4">
        <v>1</v>
      </c>
      <c r="D2382" s="4">
        <v>0</v>
      </c>
      <c r="E2382" s="4">
        <v>0</v>
      </c>
      <c r="F2382" s="4">
        <v>1</v>
      </c>
      <c r="G2382" s="4">
        <v>10110</v>
      </c>
      <c r="H2382" s="4">
        <f>INT(VLOOKUP(A2382,洗矿索引!$B$2:$H$97,IF(INT(G2382/10000)=11,7,IF(INT(G2382/10000)=2,6,IF(RIGHT(G2382,1)="0",4,5))),TRUE)/IF(INT(G2382/10000)=11,1,IF(INT(G2382/10000)=2,3,IF(RIGHT(G2382,1)=0,6,6)))*100000)</f>
        <v>13</v>
      </c>
      <c r="I2382" s="4">
        <f>IF(G2382=114000,VLOOKUP(A2382,洗矿索引!$B$2:$H$97,3,FALSE),1)</f>
        <v>1</v>
      </c>
      <c r="J2382" s="4">
        <f t="shared" si="58"/>
        <v>1</v>
      </c>
      <c r="K2382" s="6" t="s">
        <v>2310</v>
      </c>
    </row>
    <row r="2383" spans="1:11" s="4" customFormat="1">
      <c r="A2383" s="4">
        <v>118014</v>
      </c>
      <c r="B2383" s="4">
        <v>1</v>
      </c>
      <c r="C2383" s="4">
        <v>1</v>
      </c>
      <c r="D2383" s="4">
        <v>0</v>
      </c>
      <c r="E2383" s="4">
        <v>0</v>
      </c>
      <c r="F2383" s="4">
        <v>1</v>
      </c>
      <c r="G2383" s="4">
        <v>10120</v>
      </c>
      <c r="H2383" s="4">
        <f>INT(VLOOKUP(A2383,洗矿索引!$B$2:$H$97,IF(INT(G2383/10000)=11,7,IF(INT(G2383/10000)=2,6,IF(RIGHT(G2383,1)="0",4,5))),TRUE)/IF(INT(G2383/10000)=11,1,IF(INT(G2383/10000)=2,3,IF(RIGHT(G2383,1)=0,6,6)))*100000)</f>
        <v>13</v>
      </c>
      <c r="I2383" s="4">
        <f>IF(G2383=114000,VLOOKUP(A2383,洗矿索引!$B$2:$H$97,3,FALSE),1)</f>
        <v>1</v>
      </c>
      <c r="J2383" s="4">
        <f t="shared" si="58"/>
        <v>1</v>
      </c>
      <c r="K2383" s="6" t="s">
        <v>2311</v>
      </c>
    </row>
    <row r="2384" spans="1:11" s="4" customFormat="1">
      <c r="A2384" s="4">
        <v>118014</v>
      </c>
      <c r="B2384" s="4">
        <v>1</v>
      </c>
      <c r="C2384" s="4">
        <v>1</v>
      </c>
      <c r="D2384" s="4">
        <v>0</v>
      </c>
      <c r="E2384" s="4">
        <v>0</v>
      </c>
      <c r="F2384" s="4">
        <v>1</v>
      </c>
      <c r="G2384" s="4">
        <v>10220</v>
      </c>
      <c r="H2384" s="4">
        <f>INT(VLOOKUP(A2384,洗矿索引!$B$2:$H$97,IF(INT(G2384/10000)=11,7,IF(INT(G2384/10000)=2,6,IF(RIGHT(G2384,1)="0",4,5))),TRUE)/IF(INT(G2384/10000)=11,1,IF(INT(G2384/10000)=2,3,IF(RIGHT(G2384,1)=0,6,6)))*100000)</f>
        <v>13</v>
      </c>
      <c r="I2384" s="4">
        <f>IF(G2384=114000,VLOOKUP(A2384,洗矿索引!$B$2:$H$97,3,FALSE),1)</f>
        <v>1</v>
      </c>
      <c r="J2384" s="4">
        <f t="shared" si="58"/>
        <v>1</v>
      </c>
      <c r="K2384" s="6" t="s">
        <v>2312</v>
      </c>
    </row>
    <row r="2385" spans="1:11" s="4" customFormat="1">
      <c r="A2385" s="4">
        <v>118014</v>
      </c>
      <c r="B2385" s="4">
        <v>1</v>
      </c>
      <c r="C2385" s="4">
        <v>1</v>
      </c>
      <c r="D2385" s="4">
        <v>0</v>
      </c>
      <c r="E2385" s="4">
        <v>0</v>
      </c>
      <c r="F2385" s="4">
        <v>1</v>
      </c>
      <c r="G2385" s="4">
        <v>10320</v>
      </c>
      <c r="H2385" s="4">
        <f>INT(VLOOKUP(A2385,洗矿索引!$B$2:$H$97,IF(INT(G2385/10000)=11,7,IF(INT(G2385/10000)=2,6,IF(RIGHT(G2385,1)="0",4,5))),TRUE)/IF(INT(G2385/10000)=11,1,IF(INT(G2385/10000)=2,3,IF(RIGHT(G2385,1)=0,6,6)))*100000)</f>
        <v>13</v>
      </c>
      <c r="I2385" s="4">
        <f>IF(G2385=114000,VLOOKUP(A2385,洗矿索引!$B$2:$H$97,3,FALSE),1)</f>
        <v>1</v>
      </c>
      <c r="J2385" s="4">
        <f t="shared" si="58"/>
        <v>1</v>
      </c>
      <c r="K2385" s="6" t="s">
        <v>2313</v>
      </c>
    </row>
    <row r="2386" spans="1:11" s="4" customFormat="1">
      <c r="A2386" s="4">
        <v>118014</v>
      </c>
      <c r="B2386" s="4">
        <v>1</v>
      </c>
      <c r="C2386" s="4">
        <v>1</v>
      </c>
      <c r="D2386" s="4">
        <v>0</v>
      </c>
      <c r="E2386" s="4">
        <v>0</v>
      </c>
      <c r="F2386" s="4">
        <v>1</v>
      </c>
      <c r="G2386" s="4">
        <v>10420</v>
      </c>
      <c r="H2386" s="4">
        <f>INT(VLOOKUP(A2386,洗矿索引!$B$2:$H$97,IF(INT(G2386/10000)=11,7,IF(INT(G2386/10000)=2,6,IF(RIGHT(G2386,1)="0",4,5))),TRUE)/IF(INT(G2386/10000)=11,1,IF(INT(G2386/10000)=2,3,IF(RIGHT(G2386,1)=0,6,6)))*100000)</f>
        <v>13</v>
      </c>
      <c r="I2386" s="4">
        <f>IF(G2386=114000,VLOOKUP(A2386,洗矿索引!$B$2:$H$97,3,FALSE),1)</f>
        <v>1</v>
      </c>
      <c r="J2386" s="4">
        <f t="shared" si="58"/>
        <v>1</v>
      </c>
      <c r="K2386" s="6" t="s">
        <v>2314</v>
      </c>
    </row>
    <row r="2387" spans="1:11" s="4" customFormat="1">
      <c r="A2387" s="4">
        <v>118014</v>
      </c>
      <c r="B2387" s="4">
        <v>1</v>
      </c>
      <c r="C2387" s="4">
        <v>1</v>
      </c>
      <c r="D2387" s="4">
        <v>0</v>
      </c>
      <c r="E2387" s="4">
        <v>0</v>
      </c>
      <c r="F2387" s="4">
        <v>1</v>
      </c>
      <c r="G2387" s="4">
        <v>10520</v>
      </c>
      <c r="H2387" s="4">
        <f>INT(VLOOKUP(A2387,洗矿索引!$B$2:$H$97,IF(INT(G2387/10000)=11,7,IF(INT(G2387/10000)=2,6,IF(RIGHT(G2387,1)="0",4,5))),TRUE)/IF(INT(G2387/10000)=11,1,IF(INT(G2387/10000)=2,3,IF(RIGHT(G2387,1)=0,6,6)))*100000)</f>
        <v>13</v>
      </c>
      <c r="I2387" s="4">
        <f>IF(G2387=114000,VLOOKUP(A2387,洗矿索引!$B$2:$H$97,3,FALSE),1)</f>
        <v>1</v>
      </c>
      <c r="J2387" s="4">
        <f t="shared" si="58"/>
        <v>1</v>
      </c>
      <c r="K2387" s="6" t="s">
        <v>2315</v>
      </c>
    </row>
    <row r="2388" spans="1:11" s="4" customFormat="1">
      <c r="A2388" s="4">
        <v>118015</v>
      </c>
      <c r="B2388" s="4">
        <v>1</v>
      </c>
      <c r="C2388" s="4">
        <v>1</v>
      </c>
      <c r="D2388" s="4">
        <v>0</v>
      </c>
      <c r="E2388" s="4">
        <v>0</v>
      </c>
      <c r="F2388" s="4">
        <v>1</v>
      </c>
      <c r="G2388" s="4">
        <v>114000</v>
      </c>
      <c r="H2388" s="4">
        <f>INT(VLOOKUP(A2388,洗矿索引!$B$2:$H$97,IF(INT(G2388/10000)=11,7,IF(INT(G2388/10000)=2,6,IF(RIGHT(G2388,1)="0",4,5))),TRUE)/IF(INT(G2388/10000)=11,1,IF(INT(G2388/10000)=2,3,IF(RIGHT(G2388,1)=0,6,6)))*100000)</f>
        <v>95835</v>
      </c>
      <c r="I2388" s="4">
        <f>IF(G2388=114000,VLOOKUP(A2388,洗矿索引!$B$2:$H$97,3,FALSE),1)</f>
        <v>5</v>
      </c>
      <c r="J2388" s="4">
        <f t="shared" si="58"/>
        <v>5</v>
      </c>
      <c r="K2388" s="6" t="s">
        <v>2316</v>
      </c>
    </row>
    <row r="2389" spans="1:11" s="4" customFormat="1">
      <c r="A2389" s="4">
        <v>118015</v>
      </c>
      <c r="B2389" s="4">
        <v>1</v>
      </c>
      <c r="C2389" s="4">
        <v>1</v>
      </c>
      <c r="D2389" s="4">
        <v>0</v>
      </c>
      <c r="E2389" s="4">
        <v>0</v>
      </c>
      <c r="F2389" s="4">
        <v>1</v>
      </c>
      <c r="G2389" s="4">
        <v>21001</v>
      </c>
      <c r="H2389" s="4">
        <f>INT(VLOOKUP(A2389,洗矿索引!$B$2:$H$97,IF(INT(G2389/10000)=11,7,IF(INT(G2389/10000)=2,6,IF(RIGHT(G2389,1)="0",4,5))),TRUE)/IF(INT(G2389/10000)=11,1,IF(INT(G2389/10000)=2,3,IF(RIGHT(G2389,1)=0,6,6)))*100000)</f>
        <v>1360</v>
      </c>
      <c r="I2389" s="4">
        <f>IF(G2389=114000,VLOOKUP(A2389,洗矿索引!$B$2:$H$97,3,FALSE),1)</f>
        <v>1</v>
      </c>
      <c r="J2389" s="4">
        <f t="shared" si="58"/>
        <v>1</v>
      </c>
      <c r="K2389" s="6" t="s">
        <v>2317</v>
      </c>
    </row>
    <row r="2390" spans="1:11" s="4" customFormat="1">
      <c r="A2390" s="4">
        <v>118015</v>
      </c>
      <c r="B2390" s="4">
        <v>1</v>
      </c>
      <c r="C2390" s="4">
        <v>1</v>
      </c>
      <c r="D2390" s="4">
        <v>0</v>
      </c>
      <c r="E2390" s="4">
        <v>0</v>
      </c>
      <c r="F2390" s="4">
        <v>1</v>
      </c>
      <c r="G2390" s="4">
        <v>21002</v>
      </c>
      <c r="H2390" s="4">
        <f>INT(VLOOKUP(A2390,洗矿索引!$B$2:$H$97,IF(INT(G2390/10000)=11,7,IF(INT(G2390/10000)=2,6,IF(RIGHT(G2390,1)="0",4,5))),TRUE)/IF(INT(G2390/10000)=11,1,IF(INT(G2390/10000)=2,3,IF(RIGHT(G2390,1)=0,6,6)))*100000)</f>
        <v>1360</v>
      </c>
      <c r="I2390" s="4">
        <f>IF(G2390=114000,VLOOKUP(A2390,洗矿索引!$B$2:$H$97,3,FALSE),1)</f>
        <v>1</v>
      </c>
      <c r="J2390" s="4">
        <f t="shared" si="58"/>
        <v>1</v>
      </c>
      <c r="K2390" s="6" t="s">
        <v>2318</v>
      </c>
    </row>
    <row r="2391" spans="1:11" s="4" customFormat="1">
      <c r="A2391" s="4">
        <v>118015</v>
      </c>
      <c r="B2391" s="4">
        <v>1</v>
      </c>
      <c r="C2391" s="4">
        <v>1</v>
      </c>
      <c r="D2391" s="4">
        <v>0</v>
      </c>
      <c r="E2391" s="4">
        <v>0</v>
      </c>
      <c r="F2391" s="4">
        <v>1</v>
      </c>
      <c r="G2391" s="4">
        <v>21003</v>
      </c>
      <c r="H2391" s="4">
        <f>INT(VLOOKUP(A2391,洗矿索引!$B$2:$H$97,IF(INT(G2391/10000)=11,7,IF(INT(G2391/10000)=2,6,IF(RIGHT(G2391,1)="0",4,5))),TRUE)/IF(INT(G2391/10000)=11,1,IF(INT(G2391/10000)=2,3,IF(RIGHT(G2391,1)=0,6,6)))*100000)</f>
        <v>1360</v>
      </c>
      <c r="I2391" s="4">
        <f>IF(G2391=114000,VLOOKUP(A2391,洗矿索引!$B$2:$H$97,3,FALSE),1)</f>
        <v>1</v>
      </c>
      <c r="J2391" s="4">
        <f t="shared" si="58"/>
        <v>1</v>
      </c>
      <c r="K2391" s="6" t="s">
        <v>2319</v>
      </c>
    </row>
    <row r="2392" spans="1:11" s="4" customFormat="1">
      <c r="A2392" s="4">
        <v>118015</v>
      </c>
      <c r="B2392" s="4">
        <v>1</v>
      </c>
      <c r="C2392" s="4">
        <v>1</v>
      </c>
      <c r="D2392" s="4">
        <v>0</v>
      </c>
      <c r="E2392" s="4">
        <v>0</v>
      </c>
      <c r="F2392" s="4">
        <v>1</v>
      </c>
      <c r="G2392" s="4">
        <v>10110</v>
      </c>
      <c r="H2392" s="4">
        <f>INT(VLOOKUP(A2392,洗矿索引!$B$2:$H$97,IF(INT(G2392/10000)=11,7,IF(INT(G2392/10000)=2,6,IF(RIGHT(G2392,1)="0",4,5))),TRUE)/IF(INT(G2392/10000)=11,1,IF(INT(G2392/10000)=2,3,IF(RIGHT(G2392,1)=0,6,6)))*100000)</f>
        <v>14</v>
      </c>
      <c r="I2392" s="4">
        <f>IF(G2392=114000,VLOOKUP(A2392,洗矿索引!$B$2:$H$97,3,FALSE),1)</f>
        <v>1</v>
      </c>
      <c r="J2392" s="4">
        <f t="shared" si="58"/>
        <v>1</v>
      </c>
      <c r="K2392" s="6" t="s">
        <v>2320</v>
      </c>
    </row>
    <row r="2393" spans="1:11" s="4" customFormat="1">
      <c r="A2393" s="4">
        <v>118015</v>
      </c>
      <c r="B2393" s="4">
        <v>1</v>
      </c>
      <c r="C2393" s="4">
        <v>1</v>
      </c>
      <c r="D2393" s="4">
        <v>0</v>
      </c>
      <c r="E2393" s="4">
        <v>0</v>
      </c>
      <c r="F2393" s="4">
        <v>1</v>
      </c>
      <c r="G2393" s="4">
        <v>10120</v>
      </c>
      <c r="H2393" s="4">
        <f>INT(VLOOKUP(A2393,洗矿索引!$B$2:$H$97,IF(INT(G2393/10000)=11,7,IF(INT(G2393/10000)=2,6,IF(RIGHT(G2393,1)="0",4,5))),TRUE)/IF(INT(G2393/10000)=11,1,IF(INT(G2393/10000)=2,3,IF(RIGHT(G2393,1)=0,6,6)))*100000)</f>
        <v>14</v>
      </c>
      <c r="I2393" s="4">
        <f>IF(G2393=114000,VLOOKUP(A2393,洗矿索引!$B$2:$H$97,3,FALSE),1)</f>
        <v>1</v>
      </c>
      <c r="J2393" s="4">
        <f t="shared" si="58"/>
        <v>1</v>
      </c>
      <c r="K2393" s="6" t="s">
        <v>2321</v>
      </c>
    </row>
    <row r="2394" spans="1:11" s="4" customFormat="1">
      <c r="A2394" s="4">
        <v>118015</v>
      </c>
      <c r="B2394" s="4">
        <v>1</v>
      </c>
      <c r="C2394" s="4">
        <v>1</v>
      </c>
      <c r="D2394" s="4">
        <v>0</v>
      </c>
      <c r="E2394" s="4">
        <v>0</v>
      </c>
      <c r="F2394" s="4">
        <v>1</v>
      </c>
      <c r="G2394" s="4">
        <v>10220</v>
      </c>
      <c r="H2394" s="4">
        <f>INT(VLOOKUP(A2394,洗矿索引!$B$2:$H$97,IF(INT(G2394/10000)=11,7,IF(INT(G2394/10000)=2,6,IF(RIGHT(G2394,1)="0",4,5))),TRUE)/IF(INT(G2394/10000)=11,1,IF(INT(G2394/10000)=2,3,IF(RIGHT(G2394,1)=0,6,6)))*100000)</f>
        <v>14</v>
      </c>
      <c r="I2394" s="4">
        <f>IF(G2394=114000,VLOOKUP(A2394,洗矿索引!$B$2:$H$97,3,FALSE),1)</f>
        <v>1</v>
      </c>
      <c r="J2394" s="4">
        <f t="shared" si="58"/>
        <v>1</v>
      </c>
      <c r="K2394" s="6" t="s">
        <v>2322</v>
      </c>
    </row>
    <row r="2395" spans="1:11" s="4" customFormat="1">
      <c r="A2395" s="4">
        <v>118015</v>
      </c>
      <c r="B2395" s="4">
        <v>1</v>
      </c>
      <c r="C2395" s="4">
        <v>1</v>
      </c>
      <c r="D2395" s="4">
        <v>0</v>
      </c>
      <c r="E2395" s="4">
        <v>0</v>
      </c>
      <c r="F2395" s="4">
        <v>1</v>
      </c>
      <c r="G2395" s="4">
        <v>10320</v>
      </c>
      <c r="H2395" s="4">
        <f>INT(VLOOKUP(A2395,洗矿索引!$B$2:$H$97,IF(INT(G2395/10000)=11,7,IF(INT(G2395/10000)=2,6,IF(RIGHT(G2395,1)="0",4,5))),TRUE)/IF(INT(G2395/10000)=11,1,IF(INT(G2395/10000)=2,3,IF(RIGHT(G2395,1)=0,6,6)))*100000)</f>
        <v>14</v>
      </c>
      <c r="I2395" s="4">
        <f>IF(G2395=114000,VLOOKUP(A2395,洗矿索引!$B$2:$H$97,3,FALSE),1)</f>
        <v>1</v>
      </c>
      <c r="J2395" s="4">
        <f t="shared" si="58"/>
        <v>1</v>
      </c>
      <c r="K2395" s="6" t="s">
        <v>2323</v>
      </c>
    </row>
    <row r="2396" spans="1:11" s="4" customFormat="1">
      <c r="A2396" s="4">
        <v>118015</v>
      </c>
      <c r="B2396" s="4">
        <v>1</v>
      </c>
      <c r="C2396" s="4">
        <v>1</v>
      </c>
      <c r="D2396" s="4">
        <v>0</v>
      </c>
      <c r="E2396" s="4">
        <v>0</v>
      </c>
      <c r="F2396" s="4">
        <v>1</v>
      </c>
      <c r="G2396" s="4">
        <v>10420</v>
      </c>
      <c r="H2396" s="4">
        <f>INT(VLOOKUP(A2396,洗矿索引!$B$2:$H$97,IF(INT(G2396/10000)=11,7,IF(INT(G2396/10000)=2,6,IF(RIGHT(G2396,1)="0",4,5))),TRUE)/IF(INT(G2396/10000)=11,1,IF(INT(G2396/10000)=2,3,IF(RIGHT(G2396,1)=0,6,6)))*100000)</f>
        <v>14</v>
      </c>
      <c r="I2396" s="4">
        <f>IF(G2396=114000,VLOOKUP(A2396,洗矿索引!$B$2:$H$97,3,FALSE),1)</f>
        <v>1</v>
      </c>
      <c r="J2396" s="4">
        <f t="shared" si="58"/>
        <v>1</v>
      </c>
      <c r="K2396" s="6" t="s">
        <v>2324</v>
      </c>
    </row>
    <row r="2397" spans="1:11" s="4" customFormat="1">
      <c r="A2397" s="4">
        <v>118015</v>
      </c>
      <c r="B2397" s="4">
        <v>1</v>
      </c>
      <c r="C2397" s="4">
        <v>1</v>
      </c>
      <c r="D2397" s="4">
        <v>0</v>
      </c>
      <c r="E2397" s="4">
        <v>0</v>
      </c>
      <c r="F2397" s="4">
        <v>1</v>
      </c>
      <c r="G2397" s="4">
        <v>10520</v>
      </c>
      <c r="H2397" s="4">
        <f>INT(VLOOKUP(A2397,洗矿索引!$B$2:$H$97,IF(INT(G2397/10000)=11,7,IF(INT(G2397/10000)=2,6,IF(RIGHT(G2397,1)="0",4,5))),TRUE)/IF(INT(G2397/10000)=11,1,IF(INT(G2397/10000)=2,3,IF(RIGHT(G2397,1)=0,6,6)))*100000)</f>
        <v>14</v>
      </c>
      <c r="I2397" s="4">
        <f>IF(G2397=114000,VLOOKUP(A2397,洗矿索引!$B$2:$H$97,3,FALSE),1)</f>
        <v>1</v>
      </c>
      <c r="J2397" s="4">
        <f t="shared" ref="J2397:J2443" si="59">I2397</f>
        <v>1</v>
      </c>
      <c r="K2397" s="6" t="s">
        <v>2325</v>
      </c>
    </row>
    <row r="2398" spans="1:11" s="4" customFormat="1">
      <c r="A2398" s="4">
        <v>118016</v>
      </c>
      <c r="B2398" s="4">
        <v>1</v>
      </c>
      <c r="C2398" s="4">
        <v>1</v>
      </c>
      <c r="D2398" s="4">
        <v>0</v>
      </c>
      <c r="E2398" s="4">
        <v>0</v>
      </c>
      <c r="F2398" s="4">
        <v>1</v>
      </c>
      <c r="G2398" s="4">
        <v>114000</v>
      </c>
      <c r="H2398" s="4">
        <f>INT(VLOOKUP(A2398,洗矿索引!$B$2:$H$97,IF(INT(G2398/10000)=11,7,IF(INT(G2398/10000)=2,6,IF(RIGHT(G2398,1)="0",4,5))),TRUE)/IF(INT(G2398/10000)=11,1,IF(INT(G2398/10000)=2,3,IF(RIGHT(G2398,1)=0,6,6)))*100000)</f>
        <v>95590</v>
      </c>
      <c r="I2398" s="4">
        <f>IF(G2398=114000,VLOOKUP(A2398,洗矿索引!$B$2:$H$97,3,FALSE),1)</f>
        <v>5</v>
      </c>
      <c r="J2398" s="4">
        <f t="shared" si="59"/>
        <v>5</v>
      </c>
      <c r="K2398" s="6" t="s">
        <v>2326</v>
      </c>
    </row>
    <row r="2399" spans="1:11" s="4" customFormat="1">
      <c r="A2399" s="4">
        <v>118016</v>
      </c>
      <c r="B2399" s="4">
        <v>1</v>
      </c>
      <c r="C2399" s="4">
        <v>1</v>
      </c>
      <c r="D2399" s="4">
        <v>0</v>
      </c>
      <c r="E2399" s="4">
        <v>0</v>
      </c>
      <c r="F2399" s="4">
        <v>1</v>
      </c>
      <c r="G2399" s="4">
        <v>21001</v>
      </c>
      <c r="H2399" s="4">
        <f>INT(VLOOKUP(A2399,洗矿索引!$B$2:$H$97,IF(INT(G2399/10000)=11,7,IF(INT(G2399/10000)=2,6,IF(RIGHT(G2399,1)="0",4,5))),TRUE)/IF(INT(G2399/10000)=11,1,IF(INT(G2399/10000)=2,3,IF(RIGHT(G2399,1)=0,6,6)))*100000)</f>
        <v>1440</v>
      </c>
      <c r="I2399" s="4">
        <f>IF(G2399=114000,VLOOKUP(A2399,洗矿索引!$B$2:$H$97,3,FALSE),1)</f>
        <v>1</v>
      </c>
      <c r="J2399" s="4">
        <f t="shared" si="59"/>
        <v>1</v>
      </c>
      <c r="K2399" s="6" t="s">
        <v>2327</v>
      </c>
    </row>
    <row r="2400" spans="1:11" s="4" customFormat="1">
      <c r="A2400" s="4">
        <v>118016</v>
      </c>
      <c r="B2400" s="4">
        <v>1</v>
      </c>
      <c r="C2400" s="4">
        <v>1</v>
      </c>
      <c r="D2400" s="4">
        <v>0</v>
      </c>
      <c r="E2400" s="4">
        <v>0</v>
      </c>
      <c r="F2400" s="4">
        <v>1</v>
      </c>
      <c r="G2400" s="4">
        <v>21002</v>
      </c>
      <c r="H2400" s="4">
        <f>INT(VLOOKUP(A2400,洗矿索引!$B$2:$H$97,IF(INT(G2400/10000)=11,7,IF(INT(G2400/10000)=2,6,IF(RIGHT(G2400,1)="0",4,5))),TRUE)/IF(INT(G2400/10000)=11,1,IF(INT(G2400/10000)=2,3,IF(RIGHT(G2400,1)=0,6,6)))*100000)</f>
        <v>1440</v>
      </c>
      <c r="I2400" s="4">
        <f>IF(G2400=114000,VLOOKUP(A2400,洗矿索引!$B$2:$H$97,3,FALSE),1)</f>
        <v>1</v>
      </c>
      <c r="J2400" s="4">
        <f t="shared" si="59"/>
        <v>1</v>
      </c>
      <c r="K2400" s="6" t="s">
        <v>2328</v>
      </c>
    </row>
    <row r="2401" spans="1:11" s="4" customFormat="1">
      <c r="A2401" s="4">
        <v>118016</v>
      </c>
      <c r="B2401" s="4">
        <v>1</v>
      </c>
      <c r="C2401" s="4">
        <v>1</v>
      </c>
      <c r="D2401" s="4">
        <v>0</v>
      </c>
      <c r="E2401" s="4">
        <v>0</v>
      </c>
      <c r="F2401" s="4">
        <v>1</v>
      </c>
      <c r="G2401" s="4">
        <v>21003</v>
      </c>
      <c r="H2401" s="4">
        <f>INT(VLOOKUP(A2401,洗矿索引!$B$2:$H$97,IF(INT(G2401/10000)=11,7,IF(INT(G2401/10000)=2,6,IF(RIGHT(G2401,1)="0",4,5))),TRUE)/IF(INT(G2401/10000)=11,1,IF(INT(G2401/10000)=2,3,IF(RIGHT(G2401,1)=0,6,6)))*100000)</f>
        <v>1440</v>
      </c>
      <c r="I2401" s="4">
        <f>IF(G2401=114000,VLOOKUP(A2401,洗矿索引!$B$2:$H$97,3,FALSE),1)</f>
        <v>1</v>
      </c>
      <c r="J2401" s="4">
        <f t="shared" si="59"/>
        <v>1</v>
      </c>
      <c r="K2401" s="6" t="s">
        <v>2329</v>
      </c>
    </row>
    <row r="2402" spans="1:11" s="4" customFormat="1">
      <c r="A2402" s="4">
        <v>118016</v>
      </c>
      <c r="B2402" s="4">
        <v>1</v>
      </c>
      <c r="C2402" s="4">
        <v>1</v>
      </c>
      <c r="D2402" s="4">
        <v>0</v>
      </c>
      <c r="E2402" s="4">
        <v>0</v>
      </c>
      <c r="F2402" s="4">
        <v>1</v>
      </c>
      <c r="G2402" s="4">
        <v>10110</v>
      </c>
      <c r="H2402" s="4">
        <f>INT(VLOOKUP(A2402,洗矿索引!$B$2:$H$97,IF(INT(G2402/10000)=11,7,IF(INT(G2402/10000)=2,6,IF(RIGHT(G2402,1)="0",4,5))),TRUE)/IF(INT(G2402/10000)=11,1,IF(INT(G2402/10000)=2,3,IF(RIGHT(G2402,1)=0,6,6)))*100000)</f>
        <v>15</v>
      </c>
      <c r="I2402" s="4">
        <f>IF(G2402=114000,VLOOKUP(A2402,洗矿索引!$B$2:$H$97,3,FALSE),1)</f>
        <v>1</v>
      </c>
      <c r="J2402" s="4">
        <f t="shared" si="59"/>
        <v>1</v>
      </c>
      <c r="K2402" s="6" t="s">
        <v>2330</v>
      </c>
    </row>
    <row r="2403" spans="1:11" s="4" customFormat="1">
      <c r="A2403" s="4">
        <v>118016</v>
      </c>
      <c r="B2403" s="4">
        <v>1</v>
      </c>
      <c r="C2403" s="4">
        <v>1</v>
      </c>
      <c r="D2403" s="4">
        <v>0</v>
      </c>
      <c r="E2403" s="4">
        <v>0</v>
      </c>
      <c r="F2403" s="4">
        <v>1</v>
      </c>
      <c r="G2403" s="4">
        <v>10120</v>
      </c>
      <c r="H2403" s="4">
        <f>INT(VLOOKUP(A2403,洗矿索引!$B$2:$H$97,IF(INT(G2403/10000)=11,7,IF(INT(G2403/10000)=2,6,IF(RIGHT(G2403,1)="0",4,5))),TRUE)/IF(INT(G2403/10000)=11,1,IF(INT(G2403/10000)=2,3,IF(RIGHT(G2403,1)=0,6,6)))*100000)</f>
        <v>15</v>
      </c>
      <c r="I2403" s="4">
        <f>IF(G2403=114000,VLOOKUP(A2403,洗矿索引!$B$2:$H$97,3,FALSE),1)</f>
        <v>1</v>
      </c>
      <c r="J2403" s="4">
        <f t="shared" si="59"/>
        <v>1</v>
      </c>
      <c r="K2403" s="6" t="s">
        <v>2331</v>
      </c>
    </row>
    <row r="2404" spans="1:11" s="4" customFormat="1">
      <c r="A2404" s="4">
        <v>118016</v>
      </c>
      <c r="B2404" s="4">
        <v>1</v>
      </c>
      <c r="C2404" s="4">
        <v>1</v>
      </c>
      <c r="D2404" s="4">
        <v>0</v>
      </c>
      <c r="E2404" s="4">
        <v>0</v>
      </c>
      <c r="F2404" s="4">
        <v>1</v>
      </c>
      <c r="G2404" s="4">
        <v>10220</v>
      </c>
      <c r="H2404" s="4">
        <f>INT(VLOOKUP(A2404,洗矿索引!$B$2:$H$97,IF(INT(G2404/10000)=11,7,IF(INT(G2404/10000)=2,6,IF(RIGHT(G2404,1)="0",4,5))),TRUE)/IF(INT(G2404/10000)=11,1,IF(INT(G2404/10000)=2,3,IF(RIGHT(G2404,1)=0,6,6)))*100000)</f>
        <v>15</v>
      </c>
      <c r="I2404" s="4">
        <f>IF(G2404=114000,VLOOKUP(A2404,洗矿索引!$B$2:$H$97,3,FALSE),1)</f>
        <v>1</v>
      </c>
      <c r="J2404" s="4">
        <f t="shared" si="59"/>
        <v>1</v>
      </c>
      <c r="K2404" s="6" t="s">
        <v>2332</v>
      </c>
    </row>
    <row r="2405" spans="1:11" s="4" customFormat="1">
      <c r="A2405" s="4">
        <v>118016</v>
      </c>
      <c r="B2405" s="4">
        <v>1</v>
      </c>
      <c r="C2405" s="4">
        <v>1</v>
      </c>
      <c r="D2405" s="4">
        <v>0</v>
      </c>
      <c r="E2405" s="4">
        <v>0</v>
      </c>
      <c r="F2405" s="4">
        <v>1</v>
      </c>
      <c r="G2405" s="4">
        <v>10320</v>
      </c>
      <c r="H2405" s="4">
        <f>INT(VLOOKUP(A2405,洗矿索引!$B$2:$H$97,IF(INT(G2405/10000)=11,7,IF(INT(G2405/10000)=2,6,IF(RIGHT(G2405,1)="0",4,5))),TRUE)/IF(INT(G2405/10000)=11,1,IF(INT(G2405/10000)=2,3,IF(RIGHT(G2405,1)=0,6,6)))*100000)</f>
        <v>15</v>
      </c>
      <c r="I2405" s="4">
        <f>IF(G2405=114000,VLOOKUP(A2405,洗矿索引!$B$2:$H$97,3,FALSE),1)</f>
        <v>1</v>
      </c>
      <c r="J2405" s="4">
        <f t="shared" si="59"/>
        <v>1</v>
      </c>
      <c r="K2405" s="6" t="s">
        <v>2333</v>
      </c>
    </row>
    <row r="2406" spans="1:11" s="4" customFormat="1">
      <c r="A2406" s="4">
        <v>118016</v>
      </c>
      <c r="B2406" s="4">
        <v>1</v>
      </c>
      <c r="C2406" s="4">
        <v>1</v>
      </c>
      <c r="D2406" s="4">
        <v>0</v>
      </c>
      <c r="E2406" s="4">
        <v>0</v>
      </c>
      <c r="F2406" s="4">
        <v>1</v>
      </c>
      <c r="G2406" s="4">
        <v>10420</v>
      </c>
      <c r="H2406" s="4">
        <f>INT(VLOOKUP(A2406,洗矿索引!$B$2:$H$97,IF(INT(G2406/10000)=11,7,IF(INT(G2406/10000)=2,6,IF(RIGHT(G2406,1)="0",4,5))),TRUE)/IF(INT(G2406/10000)=11,1,IF(INT(G2406/10000)=2,3,IF(RIGHT(G2406,1)=0,6,6)))*100000)</f>
        <v>15</v>
      </c>
      <c r="I2406" s="4">
        <f>IF(G2406=114000,VLOOKUP(A2406,洗矿索引!$B$2:$H$97,3,FALSE),1)</f>
        <v>1</v>
      </c>
      <c r="J2406" s="4">
        <f t="shared" si="59"/>
        <v>1</v>
      </c>
      <c r="K2406" s="6" t="s">
        <v>2334</v>
      </c>
    </row>
    <row r="2407" spans="1:11" s="4" customFormat="1">
      <c r="A2407" s="4">
        <v>118016</v>
      </c>
      <c r="B2407" s="4">
        <v>1</v>
      </c>
      <c r="C2407" s="4">
        <v>1</v>
      </c>
      <c r="D2407" s="4">
        <v>0</v>
      </c>
      <c r="E2407" s="4">
        <v>0</v>
      </c>
      <c r="F2407" s="4">
        <v>1</v>
      </c>
      <c r="G2407" s="4">
        <v>10520</v>
      </c>
      <c r="H2407" s="4">
        <f>INT(VLOOKUP(A2407,洗矿索引!$B$2:$H$97,IF(INT(G2407/10000)=11,7,IF(INT(G2407/10000)=2,6,IF(RIGHT(G2407,1)="0",4,5))),TRUE)/IF(INT(G2407/10000)=11,1,IF(INT(G2407/10000)=2,3,IF(RIGHT(G2407,1)=0,6,6)))*100000)</f>
        <v>15</v>
      </c>
      <c r="I2407" s="4">
        <f>IF(G2407=114000,VLOOKUP(A2407,洗矿索引!$B$2:$H$97,3,FALSE),1)</f>
        <v>1</v>
      </c>
      <c r="J2407" s="4">
        <f t="shared" si="59"/>
        <v>1</v>
      </c>
      <c r="K2407" s="6" t="s">
        <v>2335</v>
      </c>
    </row>
    <row r="2408" spans="1:11" s="4" customFormat="1">
      <c r="A2408" s="4">
        <v>118017</v>
      </c>
      <c r="B2408" s="4">
        <v>1</v>
      </c>
      <c r="C2408" s="4">
        <v>1</v>
      </c>
      <c r="D2408" s="4">
        <v>0</v>
      </c>
      <c r="E2408" s="4">
        <v>0</v>
      </c>
      <c r="F2408" s="4">
        <v>1</v>
      </c>
      <c r="G2408" s="4">
        <v>114000</v>
      </c>
      <c r="H2408" s="4">
        <f>INT(VLOOKUP(A2408,洗矿索引!$B$2:$H$97,IF(INT(G2408/10000)=11,7,IF(INT(G2408/10000)=2,6,IF(RIGHT(G2408,1)="0",4,5))),TRUE)/IF(INT(G2408/10000)=11,1,IF(INT(G2408/10000)=2,3,IF(RIGHT(G2408,1)=0,6,6)))*100000)</f>
        <v>95345</v>
      </c>
      <c r="I2408" s="4">
        <f>IF(G2408=114000,VLOOKUP(A2408,洗矿索引!$B$2:$H$97,3,FALSE),1)</f>
        <v>6</v>
      </c>
      <c r="J2408" s="4">
        <f t="shared" si="59"/>
        <v>6</v>
      </c>
      <c r="K2408" s="6" t="s">
        <v>2336</v>
      </c>
    </row>
    <row r="2409" spans="1:11" s="4" customFormat="1">
      <c r="A2409" s="4">
        <v>118017</v>
      </c>
      <c r="B2409" s="4">
        <v>1</v>
      </c>
      <c r="C2409" s="4">
        <v>1</v>
      </c>
      <c r="D2409" s="4">
        <v>0</v>
      </c>
      <c r="E2409" s="4">
        <v>0</v>
      </c>
      <c r="F2409" s="4">
        <v>1</v>
      </c>
      <c r="G2409" s="4">
        <v>21001</v>
      </c>
      <c r="H2409" s="4">
        <f>INT(VLOOKUP(A2409,洗矿索引!$B$2:$H$97,IF(INT(G2409/10000)=11,7,IF(INT(G2409/10000)=2,6,IF(RIGHT(G2409,1)="0",4,5))),TRUE)/IF(INT(G2409/10000)=11,1,IF(INT(G2409/10000)=2,3,IF(RIGHT(G2409,1)=0,6,6)))*100000)</f>
        <v>1520</v>
      </c>
      <c r="I2409" s="4">
        <f>IF(G2409=114000,VLOOKUP(A2409,洗矿索引!$B$2:$H$97,3,FALSE),1)</f>
        <v>1</v>
      </c>
      <c r="J2409" s="4">
        <f t="shared" si="59"/>
        <v>1</v>
      </c>
      <c r="K2409" s="6" t="s">
        <v>2337</v>
      </c>
    </row>
    <row r="2410" spans="1:11" s="4" customFormat="1">
      <c r="A2410" s="4">
        <v>118017</v>
      </c>
      <c r="B2410" s="4">
        <v>1</v>
      </c>
      <c r="C2410" s="4">
        <v>1</v>
      </c>
      <c r="D2410" s="4">
        <v>0</v>
      </c>
      <c r="E2410" s="4">
        <v>0</v>
      </c>
      <c r="F2410" s="4">
        <v>1</v>
      </c>
      <c r="G2410" s="4">
        <v>21002</v>
      </c>
      <c r="H2410" s="4">
        <f>INT(VLOOKUP(A2410,洗矿索引!$B$2:$H$97,IF(INT(G2410/10000)=11,7,IF(INT(G2410/10000)=2,6,IF(RIGHT(G2410,1)="0",4,5))),TRUE)/IF(INT(G2410/10000)=11,1,IF(INT(G2410/10000)=2,3,IF(RIGHT(G2410,1)=0,6,6)))*100000)</f>
        <v>1520</v>
      </c>
      <c r="I2410" s="4">
        <f>IF(G2410=114000,VLOOKUP(A2410,洗矿索引!$B$2:$H$97,3,FALSE),1)</f>
        <v>1</v>
      </c>
      <c r="J2410" s="4">
        <f t="shared" si="59"/>
        <v>1</v>
      </c>
      <c r="K2410" s="6" t="s">
        <v>2338</v>
      </c>
    </row>
    <row r="2411" spans="1:11" s="4" customFormat="1">
      <c r="A2411" s="4">
        <v>118017</v>
      </c>
      <c r="B2411" s="4">
        <v>1</v>
      </c>
      <c r="C2411" s="4">
        <v>1</v>
      </c>
      <c r="D2411" s="4">
        <v>0</v>
      </c>
      <c r="E2411" s="4">
        <v>0</v>
      </c>
      <c r="F2411" s="4">
        <v>1</v>
      </c>
      <c r="G2411" s="4">
        <v>21003</v>
      </c>
      <c r="H2411" s="4">
        <f>INT(VLOOKUP(A2411,洗矿索引!$B$2:$H$97,IF(INT(G2411/10000)=11,7,IF(INT(G2411/10000)=2,6,IF(RIGHT(G2411,1)="0",4,5))),TRUE)/IF(INT(G2411/10000)=11,1,IF(INT(G2411/10000)=2,3,IF(RIGHT(G2411,1)=0,6,6)))*100000)</f>
        <v>1520</v>
      </c>
      <c r="I2411" s="4">
        <f>IF(G2411=114000,VLOOKUP(A2411,洗矿索引!$B$2:$H$97,3,FALSE),1)</f>
        <v>1</v>
      </c>
      <c r="J2411" s="4">
        <f t="shared" si="59"/>
        <v>1</v>
      </c>
      <c r="K2411" s="6" t="s">
        <v>2339</v>
      </c>
    </row>
    <row r="2412" spans="1:11" s="4" customFormat="1">
      <c r="A2412" s="4">
        <v>118017</v>
      </c>
      <c r="B2412" s="4">
        <v>1</v>
      </c>
      <c r="C2412" s="4">
        <v>1</v>
      </c>
      <c r="D2412" s="4">
        <v>0</v>
      </c>
      <c r="E2412" s="4">
        <v>0</v>
      </c>
      <c r="F2412" s="4">
        <v>1</v>
      </c>
      <c r="G2412" s="4">
        <v>10110</v>
      </c>
      <c r="H2412" s="4">
        <f>INT(VLOOKUP(A2412,洗矿索引!$B$2:$H$97,IF(INT(G2412/10000)=11,7,IF(INT(G2412/10000)=2,6,IF(RIGHT(G2412,1)="0",4,5))),TRUE)/IF(INT(G2412/10000)=11,1,IF(INT(G2412/10000)=2,3,IF(RIGHT(G2412,1)=0,6,6)))*100000)</f>
        <v>15</v>
      </c>
      <c r="I2412" s="4">
        <f>IF(G2412=114000,VLOOKUP(A2412,洗矿索引!$B$2:$H$97,3,FALSE),1)</f>
        <v>1</v>
      </c>
      <c r="J2412" s="4">
        <f t="shared" si="59"/>
        <v>1</v>
      </c>
      <c r="K2412" s="6" t="s">
        <v>2340</v>
      </c>
    </row>
    <row r="2413" spans="1:11" s="4" customFormat="1">
      <c r="A2413" s="4">
        <v>118017</v>
      </c>
      <c r="B2413" s="4">
        <v>1</v>
      </c>
      <c r="C2413" s="4">
        <v>1</v>
      </c>
      <c r="D2413" s="4">
        <v>0</v>
      </c>
      <c r="E2413" s="4">
        <v>0</v>
      </c>
      <c r="F2413" s="4">
        <v>1</v>
      </c>
      <c r="G2413" s="4">
        <v>10120</v>
      </c>
      <c r="H2413" s="4">
        <f>INT(VLOOKUP(A2413,洗矿索引!$B$2:$H$97,IF(INT(G2413/10000)=11,7,IF(INT(G2413/10000)=2,6,IF(RIGHT(G2413,1)="0",4,5))),TRUE)/IF(INT(G2413/10000)=11,1,IF(INT(G2413/10000)=2,3,IF(RIGHT(G2413,1)=0,6,6)))*100000)</f>
        <v>15</v>
      </c>
      <c r="I2413" s="4">
        <f>IF(G2413=114000,VLOOKUP(A2413,洗矿索引!$B$2:$H$97,3,FALSE),1)</f>
        <v>1</v>
      </c>
      <c r="J2413" s="4">
        <f t="shared" si="59"/>
        <v>1</v>
      </c>
      <c r="K2413" s="6" t="s">
        <v>2341</v>
      </c>
    </row>
    <row r="2414" spans="1:11" s="4" customFormat="1">
      <c r="A2414" s="4">
        <v>118017</v>
      </c>
      <c r="B2414" s="4">
        <v>1</v>
      </c>
      <c r="C2414" s="4">
        <v>1</v>
      </c>
      <c r="D2414" s="4">
        <v>0</v>
      </c>
      <c r="E2414" s="4">
        <v>0</v>
      </c>
      <c r="F2414" s="4">
        <v>1</v>
      </c>
      <c r="G2414" s="4">
        <v>10220</v>
      </c>
      <c r="H2414" s="4">
        <f>INT(VLOOKUP(A2414,洗矿索引!$B$2:$H$97,IF(INT(G2414/10000)=11,7,IF(INT(G2414/10000)=2,6,IF(RIGHT(G2414,1)="0",4,5))),TRUE)/IF(INT(G2414/10000)=11,1,IF(INT(G2414/10000)=2,3,IF(RIGHT(G2414,1)=0,6,6)))*100000)</f>
        <v>15</v>
      </c>
      <c r="I2414" s="4">
        <f>IF(G2414=114000,VLOOKUP(A2414,洗矿索引!$B$2:$H$97,3,FALSE),1)</f>
        <v>1</v>
      </c>
      <c r="J2414" s="4">
        <f t="shared" si="59"/>
        <v>1</v>
      </c>
      <c r="K2414" s="6" t="s">
        <v>2342</v>
      </c>
    </row>
    <row r="2415" spans="1:11" s="4" customFormat="1">
      <c r="A2415" s="4">
        <v>118017</v>
      </c>
      <c r="B2415" s="4">
        <v>1</v>
      </c>
      <c r="C2415" s="4">
        <v>1</v>
      </c>
      <c r="D2415" s="4">
        <v>0</v>
      </c>
      <c r="E2415" s="4">
        <v>0</v>
      </c>
      <c r="F2415" s="4">
        <v>1</v>
      </c>
      <c r="G2415" s="4">
        <v>10320</v>
      </c>
      <c r="H2415" s="4">
        <f>INT(VLOOKUP(A2415,洗矿索引!$B$2:$H$97,IF(INT(G2415/10000)=11,7,IF(INT(G2415/10000)=2,6,IF(RIGHT(G2415,1)="0",4,5))),TRUE)/IF(INT(G2415/10000)=11,1,IF(INT(G2415/10000)=2,3,IF(RIGHT(G2415,1)=0,6,6)))*100000)</f>
        <v>15</v>
      </c>
      <c r="I2415" s="4">
        <f>IF(G2415=114000,VLOOKUP(A2415,洗矿索引!$B$2:$H$97,3,FALSE),1)</f>
        <v>1</v>
      </c>
      <c r="J2415" s="4">
        <f t="shared" si="59"/>
        <v>1</v>
      </c>
      <c r="K2415" s="6" t="s">
        <v>2343</v>
      </c>
    </row>
    <row r="2416" spans="1:11" s="4" customFormat="1">
      <c r="A2416" s="4">
        <v>118017</v>
      </c>
      <c r="B2416" s="4">
        <v>1</v>
      </c>
      <c r="C2416" s="4">
        <v>1</v>
      </c>
      <c r="D2416" s="4">
        <v>0</v>
      </c>
      <c r="E2416" s="4">
        <v>0</v>
      </c>
      <c r="F2416" s="4">
        <v>1</v>
      </c>
      <c r="G2416" s="4">
        <v>10420</v>
      </c>
      <c r="H2416" s="4">
        <f>INT(VLOOKUP(A2416,洗矿索引!$B$2:$H$97,IF(INT(G2416/10000)=11,7,IF(INT(G2416/10000)=2,6,IF(RIGHT(G2416,1)="0",4,5))),TRUE)/IF(INT(G2416/10000)=11,1,IF(INT(G2416/10000)=2,3,IF(RIGHT(G2416,1)=0,6,6)))*100000)</f>
        <v>15</v>
      </c>
      <c r="I2416" s="4">
        <f>IF(G2416=114000,VLOOKUP(A2416,洗矿索引!$B$2:$H$97,3,FALSE),1)</f>
        <v>1</v>
      </c>
      <c r="J2416" s="4">
        <f t="shared" si="59"/>
        <v>1</v>
      </c>
      <c r="K2416" s="6" t="s">
        <v>2344</v>
      </c>
    </row>
    <row r="2417" spans="1:11" s="4" customFormat="1">
      <c r="A2417" s="4">
        <v>118017</v>
      </c>
      <c r="B2417" s="4">
        <v>1</v>
      </c>
      <c r="C2417" s="4">
        <v>1</v>
      </c>
      <c r="D2417" s="4">
        <v>0</v>
      </c>
      <c r="E2417" s="4">
        <v>0</v>
      </c>
      <c r="F2417" s="4">
        <v>1</v>
      </c>
      <c r="G2417" s="4">
        <v>10520</v>
      </c>
      <c r="H2417" s="4">
        <f>INT(VLOOKUP(A2417,洗矿索引!$B$2:$H$97,IF(INT(G2417/10000)=11,7,IF(INT(G2417/10000)=2,6,IF(RIGHT(G2417,1)="0",4,5))),TRUE)/IF(INT(G2417/10000)=11,1,IF(INT(G2417/10000)=2,3,IF(RIGHT(G2417,1)=0,6,6)))*100000)</f>
        <v>15</v>
      </c>
      <c r="I2417" s="4">
        <f>IF(G2417=114000,VLOOKUP(A2417,洗矿索引!$B$2:$H$97,3,FALSE),1)</f>
        <v>1</v>
      </c>
      <c r="J2417" s="4">
        <f t="shared" si="59"/>
        <v>1</v>
      </c>
      <c r="K2417" s="6" t="s">
        <v>2345</v>
      </c>
    </row>
    <row r="2418" spans="1:11" s="4" customFormat="1">
      <c r="A2418" s="4">
        <v>118018</v>
      </c>
      <c r="B2418" s="4">
        <v>1</v>
      </c>
      <c r="C2418" s="4">
        <v>1</v>
      </c>
      <c r="D2418" s="4">
        <v>0</v>
      </c>
      <c r="E2418" s="4">
        <v>0</v>
      </c>
      <c r="F2418" s="4">
        <v>1</v>
      </c>
      <c r="G2418" s="4">
        <v>114000</v>
      </c>
      <c r="H2418" s="4">
        <f>INT(VLOOKUP(A2418,洗矿索引!$B$2:$H$97,IF(INT(G2418/10000)=11,7,IF(INT(G2418/10000)=2,6,IF(RIGHT(G2418,1)="0",4,5))),TRUE)/IF(INT(G2418/10000)=11,1,IF(INT(G2418/10000)=2,3,IF(RIGHT(G2418,1)=0,6,6)))*100000)</f>
        <v>95100</v>
      </c>
      <c r="I2418" s="4">
        <f>IF(G2418=114000,VLOOKUP(A2418,洗矿索引!$B$2:$H$97,3,FALSE),1)</f>
        <v>6</v>
      </c>
      <c r="J2418" s="4">
        <f t="shared" si="59"/>
        <v>6</v>
      </c>
      <c r="K2418" s="6" t="s">
        <v>2346</v>
      </c>
    </row>
    <row r="2419" spans="1:11" s="4" customFormat="1">
      <c r="A2419" s="4">
        <v>118018</v>
      </c>
      <c r="B2419" s="4">
        <v>1</v>
      </c>
      <c r="C2419" s="4">
        <v>1</v>
      </c>
      <c r="D2419" s="4">
        <v>0</v>
      </c>
      <c r="E2419" s="4">
        <v>0</v>
      </c>
      <c r="F2419" s="4">
        <v>1</v>
      </c>
      <c r="G2419" s="4">
        <v>21001</v>
      </c>
      <c r="H2419" s="4">
        <f>INT(VLOOKUP(A2419,洗矿索引!$B$2:$H$97,IF(INT(G2419/10000)=11,7,IF(INT(G2419/10000)=2,6,IF(RIGHT(G2419,1)="0",4,5))),TRUE)/IF(INT(G2419/10000)=11,1,IF(INT(G2419/10000)=2,3,IF(RIGHT(G2419,1)=0,6,6)))*100000)</f>
        <v>1600</v>
      </c>
      <c r="I2419" s="4">
        <f>IF(G2419=114000,VLOOKUP(A2419,洗矿索引!$B$2:$H$97,3,FALSE),1)</f>
        <v>1</v>
      </c>
      <c r="J2419" s="4">
        <f t="shared" si="59"/>
        <v>1</v>
      </c>
      <c r="K2419" s="6" t="s">
        <v>2347</v>
      </c>
    </row>
    <row r="2420" spans="1:11" s="4" customFormat="1">
      <c r="A2420" s="4">
        <v>118018</v>
      </c>
      <c r="B2420" s="4">
        <v>1</v>
      </c>
      <c r="C2420" s="4">
        <v>1</v>
      </c>
      <c r="D2420" s="4">
        <v>0</v>
      </c>
      <c r="E2420" s="4">
        <v>0</v>
      </c>
      <c r="F2420" s="4">
        <v>1</v>
      </c>
      <c r="G2420" s="4">
        <v>21002</v>
      </c>
      <c r="H2420" s="4">
        <f>INT(VLOOKUP(A2420,洗矿索引!$B$2:$H$97,IF(INT(G2420/10000)=11,7,IF(INT(G2420/10000)=2,6,IF(RIGHT(G2420,1)="0",4,5))),TRUE)/IF(INT(G2420/10000)=11,1,IF(INT(G2420/10000)=2,3,IF(RIGHT(G2420,1)=0,6,6)))*100000)</f>
        <v>1600</v>
      </c>
      <c r="I2420" s="4">
        <f>IF(G2420=114000,VLOOKUP(A2420,洗矿索引!$B$2:$H$97,3,FALSE),1)</f>
        <v>1</v>
      </c>
      <c r="J2420" s="4">
        <f t="shared" si="59"/>
        <v>1</v>
      </c>
      <c r="K2420" s="6" t="s">
        <v>2348</v>
      </c>
    </row>
    <row r="2421" spans="1:11" s="4" customFormat="1">
      <c r="A2421" s="4">
        <v>118018</v>
      </c>
      <c r="B2421" s="4">
        <v>1</v>
      </c>
      <c r="C2421" s="4">
        <v>1</v>
      </c>
      <c r="D2421" s="4">
        <v>0</v>
      </c>
      <c r="E2421" s="4">
        <v>0</v>
      </c>
      <c r="F2421" s="4">
        <v>1</v>
      </c>
      <c r="G2421" s="4">
        <v>21003</v>
      </c>
      <c r="H2421" s="4">
        <f>INT(VLOOKUP(A2421,洗矿索引!$B$2:$H$97,IF(INT(G2421/10000)=11,7,IF(INT(G2421/10000)=2,6,IF(RIGHT(G2421,1)="0",4,5))),TRUE)/IF(INT(G2421/10000)=11,1,IF(INT(G2421/10000)=2,3,IF(RIGHT(G2421,1)=0,6,6)))*100000)</f>
        <v>1600</v>
      </c>
      <c r="I2421" s="4">
        <f>IF(G2421=114000,VLOOKUP(A2421,洗矿索引!$B$2:$H$97,3,FALSE),1)</f>
        <v>1</v>
      </c>
      <c r="J2421" s="4">
        <f t="shared" si="59"/>
        <v>1</v>
      </c>
      <c r="K2421" s="6" t="s">
        <v>2349</v>
      </c>
    </row>
    <row r="2422" spans="1:11" s="4" customFormat="1">
      <c r="A2422" s="4">
        <v>118018</v>
      </c>
      <c r="B2422" s="4">
        <v>1</v>
      </c>
      <c r="C2422" s="4">
        <v>1</v>
      </c>
      <c r="D2422" s="4">
        <v>0</v>
      </c>
      <c r="E2422" s="4">
        <v>0</v>
      </c>
      <c r="F2422" s="4">
        <v>1</v>
      </c>
      <c r="G2422" s="4">
        <v>10110</v>
      </c>
      <c r="H2422" s="4">
        <f>INT(VLOOKUP(A2422,洗矿索引!$B$2:$H$97,IF(INT(G2422/10000)=11,7,IF(INT(G2422/10000)=2,6,IF(RIGHT(G2422,1)="0",4,5))),TRUE)/IF(INT(G2422/10000)=11,1,IF(INT(G2422/10000)=2,3,IF(RIGHT(G2422,1)=0,6,6)))*100000)</f>
        <v>16</v>
      </c>
      <c r="I2422" s="4">
        <f>IF(G2422=114000,VLOOKUP(A2422,洗矿索引!$B$2:$H$97,3,FALSE),1)</f>
        <v>1</v>
      </c>
      <c r="J2422" s="4">
        <f t="shared" si="59"/>
        <v>1</v>
      </c>
      <c r="K2422" s="6" t="s">
        <v>2350</v>
      </c>
    </row>
    <row r="2423" spans="1:11" s="4" customFormat="1">
      <c r="A2423" s="4">
        <v>118018</v>
      </c>
      <c r="B2423" s="4">
        <v>1</v>
      </c>
      <c r="C2423" s="4">
        <v>1</v>
      </c>
      <c r="D2423" s="4">
        <v>0</v>
      </c>
      <c r="E2423" s="4">
        <v>0</v>
      </c>
      <c r="F2423" s="4">
        <v>1</v>
      </c>
      <c r="G2423" s="4">
        <v>10120</v>
      </c>
      <c r="H2423" s="4">
        <f>INT(VLOOKUP(A2423,洗矿索引!$B$2:$H$97,IF(INT(G2423/10000)=11,7,IF(INT(G2423/10000)=2,6,IF(RIGHT(G2423,1)="0",4,5))),TRUE)/IF(INT(G2423/10000)=11,1,IF(INT(G2423/10000)=2,3,IF(RIGHT(G2423,1)=0,6,6)))*100000)</f>
        <v>16</v>
      </c>
      <c r="I2423" s="4">
        <f>IF(G2423=114000,VLOOKUP(A2423,洗矿索引!$B$2:$H$97,3,FALSE),1)</f>
        <v>1</v>
      </c>
      <c r="J2423" s="4">
        <f t="shared" si="59"/>
        <v>1</v>
      </c>
      <c r="K2423" s="6" t="s">
        <v>2351</v>
      </c>
    </row>
    <row r="2424" spans="1:11" s="4" customFormat="1">
      <c r="A2424" s="4">
        <v>118018</v>
      </c>
      <c r="B2424" s="4">
        <v>1</v>
      </c>
      <c r="C2424" s="4">
        <v>1</v>
      </c>
      <c r="D2424" s="4">
        <v>0</v>
      </c>
      <c r="E2424" s="4">
        <v>0</v>
      </c>
      <c r="F2424" s="4">
        <v>1</v>
      </c>
      <c r="G2424" s="4">
        <v>10220</v>
      </c>
      <c r="H2424" s="4">
        <f>INT(VLOOKUP(A2424,洗矿索引!$B$2:$H$97,IF(INT(G2424/10000)=11,7,IF(INT(G2424/10000)=2,6,IF(RIGHT(G2424,1)="0",4,5))),TRUE)/IF(INT(G2424/10000)=11,1,IF(INT(G2424/10000)=2,3,IF(RIGHT(G2424,1)=0,6,6)))*100000)</f>
        <v>16</v>
      </c>
      <c r="I2424" s="4">
        <f>IF(G2424=114000,VLOOKUP(A2424,洗矿索引!$B$2:$H$97,3,FALSE),1)</f>
        <v>1</v>
      </c>
      <c r="J2424" s="4">
        <f t="shared" si="59"/>
        <v>1</v>
      </c>
      <c r="K2424" s="6" t="s">
        <v>2352</v>
      </c>
    </row>
    <row r="2425" spans="1:11" s="4" customFormat="1">
      <c r="A2425" s="4">
        <v>118018</v>
      </c>
      <c r="B2425" s="4">
        <v>1</v>
      </c>
      <c r="C2425" s="4">
        <v>1</v>
      </c>
      <c r="D2425" s="4">
        <v>0</v>
      </c>
      <c r="E2425" s="4">
        <v>0</v>
      </c>
      <c r="F2425" s="4">
        <v>1</v>
      </c>
      <c r="G2425" s="4">
        <v>10320</v>
      </c>
      <c r="H2425" s="4">
        <f>INT(VLOOKUP(A2425,洗矿索引!$B$2:$H$97,IF(INT(G2425/10000)=11,7,IF(INT(G2425/10000)=2,6,IF(RIGHT(G2425,1)="0",4,5))),TRUE)/IF(INT(G2425/10000)=11,1,IF(INT(G2425/10000)=2,3,IF(RIGHT(G2425,1)=0,6,6)))*100000)</f>
        <v>16</v>
      </c>
      <c r="I2425" s="4">
        <f>IF(G2425=114000,VLOOKUP(A2425,洗矿索引!$B$2:$H$97,3,FALSE),1)</f>
        <v>1</v>
      </c>
      <c r="J2425" s="4">
        <f t="shared" si="59"/>
        <v>1</v>
      </c>
      <c r="K2425" s="6" t="s">
        <v>2353</v>
      </c>
    </row>
    <row r="2426" spans="1:11" s="4" customFormat="1">
      <c r="A2426" s="4">
        <v>118018</v>
      </c>
      <c r="B2426" s="4">
        <v>1</v>
      </c>
      <c r="C2426" s="4">
        <v>1</v>
      </c>
      <c r="D2426" s="4">
        <v>0</v>
      </c>
      <c r="E2426" s="4">
        <v>0</v>
      </c>
      <c r="F2426" s="4">
        <v>1</v>
      </c>
      <c r="G2426" s="4">
        <v>10420</v>
      </c>
      <c r="H2426" s="4">
        <f>INT(VLOOKUP(A2426,洗矿索引!$B$2:$H$97,IF(INT(G2426/10000)=11,7,IF(INT(G2426/10000)=2,6,IF(RIGHT(G2426,1)="0",4,5))),TRUE)/IF(INT(G2426/10000)=11,1,IF(INT(G2426/10000)=2,3,IF(RIGHT(G2426,1)=0,6,6)))*100000)</f>
        <v>16</v>
      </c>
      <c r="I2426" s="4">
        <f>IF(G2426=114000,VLOOKUP(A2426,洗矿索引!$B$2:$H$97,3,FALSE),1)</f>
        <v>1</v>
      </c>
      <c r="J2426" s="4">
        <f t="shared" si="59"/>
        <v>1</v>
      </c>
      <c r="K2426" s="6" t="s">
        <v>2354</v>
      </c>
    </row>
    <row r="2427" spans="1:11" s="4" customFormat="1">
      <c r="A2427" s="4">
        <v>118018</v>
      </c>
      <c r="B2427" s="4">
        <v>1</v>
      </c>
      <c r="C2427" s="4">
        <v>1</v>
      </c>
      <c r="D2427" s="4">
        <v>0</v>
      </c>
      <c r="E2427" s="4">
        <v>0</v>
      </c>
      <c r="F2427" s="4">
        <v>1</v>
      </c>
      <c r="G2427" s="4">
        <v>10520</v>
      </c>
      <c r="H2427" s="4">
        <f>INT(VLOOKUP(A2427,洗矿索引!$B$2:$H$97,IF(INT(G2427/10000)=11,7,IF(INT(G2427/10000)=2,6,IF(RIGHT(G2427,1)="0",4,5))),TRUE)/IF(INT(G2427/10000)=11,1,IF(INT(G2427/10000)=2,3,IF(RIGHT(G2427,1)=0,6,6)))*100000)</f>
        <v>16</v>
      </c>
      <c r="I2427" s="4">
        <f>IF(G2427=114000,VLOOKUP(A2427,洗矿索引!$B$2:$H$97,3,FALSE),1)</f>
        <v>1</v>
      </c>
      <c r="J2427" s="4">
        <f t="shared" si="59"/>
        <v>1</v>
      </c>
      <c r="K2427" s="6" t="s">
        <v>2355</v>
      </c>
    </row>
    <row r="2428" spans="1:11" s="4" customFormat="1">
      <c r="A2428" s="4">
        <v>118019</v>
      </c>
      <c r="B2428" s="4">
        <v>1</v>
      </c>
      <c r="C2428" s="4">
        <v>1</v>
      </c>
      <c r="D2428" s="4">
        <v>0</v>
      </c>
      <c r="E2428" s="4">
        <v>0</v>
      </c>
      <c r="F2428" s="4">
        <v>1</v>
      </c>
      <c r="G2428" s="4">
        <v>114000</v>
      </c>
      <c r="H2428" s="4">
        <f>INT(VLOOKUP(A2428,洗矿索引!$B$2:$H$97,IF(INT(G2428/10000)=11,7,IF(INT(G2428/10000)=2,6,IF(RIGHT(G2428,1)="0",4,5))),TRUE)/IF(INT(G2428/10000)=11,1,IF(INT(G2428/10000)=2,3,IF(RIGHT(G2428,1)=0,6,6)))*100000)</f>
        <v>94855</v>
      </c>
      <c r="I2428" s="4">
        <f>IF(G2428=114000,VLOOKUP(A2428,洗矿索引!$B$2:$H$97,3,FALSE),1)</f>
        <v>6</v>
      </c>
      <c r="J2428" s="4">
        <f t="shared" si="59"/>
        <v>6</v>
      </c>
      <c r="K2428" s="6" t="s">
        <v>2356</v>
      </c>
    </row>
    <row r="2429" spans="1:11" s="4" customFormat="1">
      <c r="A2429" s="4">
        <v>118019</v>
      </c>
      <c r="B2429" s="4">
        <v>1</v>
      </c>
      <c r="C2429" s="4">
        <v>1</v>
      </c>
      <c r="D2429" s="4">
        <v>0</v>
      </c>
      <c r="E2429" s="4">
        <v>0</v>
      </c>
      <c r="F2429" s="4">
        <v>1</v>
      </c>
      <c r="G2429" s="4">
        <v>21001</v>
      </c>
      <c r="H2429" s="4">
        <f>INT(VLOOKUP(A2429,洗矿索引!$B$2:$H$97,IF(INT(G2429/10000)=11,7,IF(INT(G2429/10000)=2,6,IF(RIGHT(G2429,1)="0",4,5))),TRUE)/IF(INT(G2429/10000)=11,1,IF(INT(G2429/10000)=2,3,IF(RIGHT(G2429,1)=0,6,6)))*100000)</f>
        <v>1680</v>
      </c>
      <c r="I2429" s="4">
        <f>IF(G2429=114000,VLOOKUP(A2429,洗矿索引!$B$2:$H$97,3,FALSE),1)</f>
        <v>1</v>
      </c>
      <c r="J2429" s="4">
        <f t="shared" si="59"/>
        <v>1</v>
      </c>
      <c r="K2429" s="6" t="s">
        <v>2357</v>
      </c>
    </row>
    <row r="2430" spans="1:11" s="4" customFormat="1">
      <c r="A2430" s="4">
        <v>118019</v>
      </c>
      <c r="B2430" s="4">
        <v>1</v>
      </c>
      <c r="C2430" s="4">
        <v>1</v>
      </c>
      <c r="D2430" s="4">
        <v>0</v>
      </c>
      <c r="E2430" s="4">
        <v>0</v>
      </c>
      <c r="F2430" s="4">
        <v>1</v>
      </c>
      <c r="G2430" s="4">
        <v>21002</v>
      </c>
      <c r="H2430" s="4">
        <f>INT(VLOOKUP(A2430,洗矿索引!$B$2:$H$97,IF(INT(G2430/10000)=11,7,IF(INT(G2430/10000)=2,6,IF(RIGHT(G2430,1)="0",4,5))),TRUE)/IF(INT(G2430/10000)=11,1,IF(INT(G2430/10000)=2,3,IF(RIGHT(G2430,1)=0,6,6)))*100000)</f>
        <v>1680</v>
      </c>
      <c r="I2430" s="4">
        <f>IF(G2430=114000,VLOOKUP(A2430,洗矿索引!$B$2:$H$97,3,FALSE),1)</f>
        <v>1</v>
      </c>
      <c r="J2430" s="4">
        <f t="shared" si="59"/>
        <v>1</v>
      </c>
      <c r="K2430" s="6" t="s">
        <v>2358</v>
      </c>
    </row>
    <row r="2431" spans="1:11" s="4" customFormat="1">
      <c r="A2431" s="4">
        <v>118019</v>
      </c>
      <c r="B2431" s="4">
        <v>1</v>
      </c>
      <c r="C2431" s="4">
        <v>1</v>
      </c>
      <c r="D2431" s="4">
        <v>0</v>
      </c>
      <c r="E2431" s="4">
        <v>0</v>
      </c>
      <c r="F2431" s="4">
        <v>1</v>
      </c>
      <c r="G2431" s="4">
        <v>21003</v>
      </c>
      <c r="H2431" s="4">
        <f>INT(VLOOKUP(A2431,洗矿索引!$B$2:$H$97,IF(INT(G2431/10000)=11,7,IF(INT(G2431/10000)=2,6,IF(RIGHT(G2431,1)="0",4,5))),TRUE)/IF(INT(G2431/10000)=11,1,IF(INT(G2431/10000)=2,3,IF(RIGHT(G2431,1)=0,6,6)))*100000)</f>
        <v>1680</v>
      </c>
      <c r="I2431" s="4">
        <f>IF(G2431=114000,VLOOKUP(A2431,洗矿索引!$B$2:$H$97,3,FALSE),1)</f>
        <v>1</v>
      </c>
      <c r="J2431" s="4">
        <f t="shared" si="59"/>
        <v>1</v>
      </c>
      <c r="K2431" s="6" t="s">
        <v>2359</v>
      </c>
    </row>
    <row r="2432" spans="1:11" s="4" customFormat="1">
      <c r="A2432" s="4">
        <v>118019</v>
      </c>
      <c r="B2432" s="4">
        <v>1</v>
      </c>
      <c r="C2432" s="4">
        <v>1</v>
      </c>
      <c r="D2432" s="4">
        <v>0</v>
      </c>
      <c r="E2432" s="4">
        <v>0</v>
      </c>
      <c r="F2432" s="4">
        <v>1</v>
      </c>
      <c r="G2432" s="4">
        <v>10110</v>
      </c>
      <c r="H2432" s="4">
        <f>INT(VLOOKUP(A2432,洗矿索引!$B$2:$H$97,IF(INT(G2432/10000)=11,7,IF(INT(G2432/10000)=2,6,IF(RIGHT(G2432,1)="0",4,5))),TRUE)/IF(INT(G2432/10000)=11,1,IF(INT(G2432/10000)=2,3,IF(RIGHT(G2432,1)=0,6,6)))*100000)</f>
        <v>17</v>
      </c>
      <c r="I2432" s="4">
        <f>IF(G2432=114000,VLOOKUP(A2432,洗矿索引!$B$2:$H$97,3,FALSE),1)</f>
        <v>1</v>
      </c>
      <c r="J2432" s="4">
        <f t="shared" si="59"/>
        <v>1</v>
      </c>
      <c r="K2432" s="6" t="s">
        <v>2360</v>
      </c>
    </row>
    <row r="2433" spans="1:11" s="4" customFormat="1">
      <c r="A2433" s="4">
        <v>118019</v>
      </c>
      <c r="B2433" s="4">
        <v>1</v>
      </c>
      <c r="C2433" s="4">
        <v>1</v>
      </c>
      <c r="D2433" s="4">
        <v>0</v>
      </c>
      <c r="E2433" s="4">
        <v>0</v>
      </c>
      <c r="F2433" s="4">
        <v>1</v>
      </c>
      <c r="G2433" s="4">
        <v>10120</v>
      </c>
      <c r="H2433" s="4">
        <f>INT(VLOOKUP(A2433,洗矿索引!$B$2:$H$97,IF(INT(G2433/10000)=11,7,IF(INT(G2433/10000)=2,6,IF(RIGHT(G2433,1)="0",4,5))),TRUE)/IF(INT(G2433/10000)=11,1,IF(INT(G2433/10000)=2,3,IF(RIGHT(G2433,1)=0,6,6)))*100000)</f>
        <v>17</v>
      </c>
      <c r="I2433" s="4">
        <f>IF(G2433=114000,VLOOKUP(A2433,洗矿索引!$B$2:$H$97,3,FALSE),1)</f>
        <v>1</v>
      </c>
      <c r="J2433" s="4">
        <f t="shared" si="59"/>
        <v>1</v>
      </c>
      <c r="K2433" s="6" t="s">
        <v>2361</v>
      </c>
    </row>
    <row r="2434" spans="1:11" s="4" customFormat="1">
      <c r="A2434" s="4">
        <v>118019</v>
      </c>
      <c r="B2434" s="4">
        <v>1</v>
      </c>
      <c r="C2434" s="4">
        <v>1</v>
      </c>
      <c r="D2434" s="4">
        <v>0</v>
      </c>
      <c r="E2434" s="4">
        <v>0</v>
      </c>
      <c r="F2434" s="4">
        <v>1</v>
      </c>
      <c r="G2434" s="4">
        <v>10220</v>
      </c>
      <c r="H2434" s="4">
        <f>INT(VLOOKUP(A2434,洗矿索引!$B$2:$H$97,IF(INT(G2434/10000)=11,7,IF(INT(G2434/10000)=2,6,IF(RIGHT(G2434,1)="0",4,5))),TRUE)/IF(INT(G2434/10000)=11,1,IF(INT(G2434/10000)=2,3,IF(RIGHT(G2434,1)=0,6,6)))*100000)</f>
        <v>17</v>
      </c>
      <c r="I2434" s="4">
        <f>IF(G2434=114000,VLOOKUP(A2434,洗矿索引!$B$2:$H$97,3,FALSE),1)</f>
        <v>1</v>
      </c>
      <c r="J2434" s="4">
        <f t="shared" si="59"/>
        <v>1</v>
      </c>
      <c r="K2434" s="6" t="s">
        <v>2362</v>
      </c>
    </row>
    <row r="2435" spans="1:11" s="4" customFormat="1">
      <c r="A2435" s="4">
        <v>118019</v>
      </c>
      <c r="B2435" s="4">
        <v>1</v>
      </c>
      <c r="C2435" s="4">
        <v>1</v>
      </c>
      <c r="D2435" s="4">
        <v>0</v>
      </c>
      <c r="E2435" s="4">
        <v>0</v>
      </c>
      <c r="F2435" s="4">
        <v>1</v>
      </c>
      <c r="G2435" s="4">
        <v>10320</v>
      </c>
      <c r="H2435" s="4">
        <f>INT(VLOOKUP(A2435,洗矿索引!$B$2:$H$97,IF(INT(G2435/10000)=11,7,IF(INT(G2435/10000)=2,6,IF(RIGHT(G2435,1)="0",4,5))),TRUE)/IF(INT(G2435/10000)=11,1,IF(INT(G2435/10000)=2,3,IF(RIGHT(G2435,1)=0,6,6)))*100000)</f>
        <v>17</v>
      </c>
      <c r="I2435" s="4">
        <f>IF(G2435=114000,VLOOKUP(A2435,洗矿索引!$B$2:$H$97,3,FALSE),1)</f>
        <v>1</v>
      </c>
      <c r="J2435" s="4">
        <f t="shared" si="59"/>
        <v>1</v>
      </c>
      <c r="K2435" s="6" t="s">
        <v>2363</v>
      </c>
    </row>
    <row r="2436" spans="1:11" s="4" customFormat="1">
      <c r="A2436" s="4">
        <v>118019</v>
      </c>
      <c r="B2436" s="4">
        <v>1</v>
      </c>
      <c r="C2436" s="4">
        <v>1</v>
      </c>
      <c r="D2436" s="4">
        <v>0</v>
      </c>
      <c r="E2436" s="4">
        <v>0</v>
      </c>
      <c r="F2436" s="4">
        <v>1</v>
      </c>
      <c r="G2436" s="4">
        <v>10420</v>
      </c>
      <c r="H2436" s="4">
        <f>INT(VLOOKUP(A2436,洗矿索引!$B$2:$H$97,IF(INT(G2436/10000)=11,7,IF(INT(G2436/10000)=2,6,IF(RIGHT(G2436,1)="0",4,5))),TRUE)/IF(INT(G2436/10000)=11,1,IF(INT(G2436/10000)=2,3,IF(RIGHT(G2436,1)=0,6,6)))*100000)</f>
        <v>17</v>
      </c>
      <c r="I2436" s="4">
        <f>IF(G2436=114000,VLOOKUP(A2436,洗矿索引!$B$2:$H$97,3,FALSE),1)</f>
        <v>1</v>
      </c>
      <c r="J2436" s="4">
        <f t="shared" si="59"/>
        <v>1</v>
      </c>
      <c r="K2436" s="6" t="s">
        <v>2364</v>
      </c>
    </row>
    <row r="2437" spans="1:11" s="4" customFormat="1">
      <c r="A2437" s="4">
        <v>118019</v>
      </c>
      <c r="B2437" s="4">
        <v>1</v>
      </c>
      <c r="C2437" s="4">
        <v>1</v>
      </c>
      <c r="D2437" s="4">
        <v>0</v>
      </c>
      <c r="E2437" s="4">
        <v>0</v>
      </c>
      <c r="F2437" s="4">
        <v>1</v>
      </c>
      <c r="G2437" s="4">
        <v>10520</v>
      </c>
      <c r="H2437" s="4">
        <f>INT(VLOOKUP(A2437,洗矿索引!$B$2:$H$97,IF(INT(G2437/10000)=11,7,IF(INT(G2437/10000)=2,6,IF(RIGHT(G2437,1)="0",4,5))),TRUE)/IF(INT(G2437/10000)=11,1,IF(INT(G2437/10000)=2,3,IF(RIGHT(G2437,1)=0,6,6)))*100000)</f>
        <v>17</v>
      </c>
      <c r="I2437" s="4">
        <f>IF(G2437=114000,VLOOKUP(A2437,洗矿索引!$B$2:$H$97,3,FALSE),1)</f>
        <v>1</v>
      </c>
      <c r="J2437" s="4">
        <f t="shared" si="59"/>
        <v>1</v>
      </c>
      <c r="K2437" s="6" t="s">
        <v>2365</v>
      </c>
    </row>
    <row r="2438" spans="1:11" s="4" customFormat="1">
      <c r="A2438" s="4">
        <v>118020</v>
      </c>
      <c r="B2438" s="4">
        <v>1</v>
      </c>
      <c r="C2438" s="4">
        <v>1</v>
      </c>
      <c r="D2438" s="4">
        <v>0</v>
      </c>
      <c r="E2438" s="4">
        <v>0</v>
      </c>
      <c r="F2438" s="4">
        <v>1</v>
      </c>
      <c r="G2438" s="4">
        <v>114000</v>
      </c>
      <c r="H2438" s="4">
        <f>INT(VLOOKUP(A2438,洗矿索引!$B$2:$H$97,IF(INT(G2438/10000)=11,7,IF(INT(G2438/10000)=2,6,IF(RIGHT(G2438,1)="0",4,5))),TRUE)/IF(INT(G2438/10000)=11,1,IF(INT(G2438/10000)=2,3,IF(RIGHT(G2438,1)=0,6,6)))*100000)</f>
        <v>94610</v>
      </c>
      <c r="I2438" s="4">
        <f>IF(G2438=114000,VLOOKUP(A2438,洗矿索引!$B$2:$H$97,3,FALSE),1)</f>
        <v>6</v>
      </c>
      <c r="J2438" s="4">
        <f t="shared" si="59"/>
        <v>6</v>
      </c>
      <c r="K2438" s="6" t="s">
        <v>2366</v>
      </c>
    </row>
    <row r="2439" spans="1:11" s="4" customFormat="1">
      <c r="A2439" s="4">
        <v>118020</v>
      </c>
      <c r="B2439" s="4">
        <v>1</v>
      </c>
      <c r="C2439" s="4">
        <v>1</v>
      </c>
      <c r="D2439" s="4">
        <v>0</v>
      </c>
      <c r="E2439" s="4">
        <v>0</v>
      </c>
      <c r="F2439" s="4">
        <v>1</v>
      </c>
      <c r="G2439" s="4">
        <v>21001</v>
      </c>
      <c r="H2439" s="4">
        <f>INT(VLOOKUP(A2439,洗矿索引!$B$2:$H$97,IF(INT(G2439/10000)=11,7,IF(INT(G2439/10000)=2,6,IF(RIGHT(G2439,1)="0",4,5))),TRUE)/IF(INT(G2439/10000)=11,1,IF(INT(G2439/10000)=2,3,IF(RIGHT(G2439,1)=0,6,6)))*100000)</f>
        <v>1760</v>
      </c>
      <c r="I2439" s="4">
        <f>IF(G2439=114000,VLOOKUP(A2439,洗矿索引!$B$2:$H$97,3,FALSE),1)</f>
        <v>1</v>
      </c>
      <c r="J2439" s="4">
        <f t="shared" si="59"/>
        <v>1</v>
      </c>
      <c r="K2439" s="6" t="s">
        <v>2367</v>
      </c>
    </row>
    <row r="2440" spans="1:11" s="4" customFormat="1">
      <c r="A2440" s="4">
        <v>118020</v>
      </c>
      <c r="B2440" s="4">
        <v>1</v>
      </c>
      <c r="C2440" s="4">
        <v>1</v>
      </c>
      <c r="D2440" s="4">
        <v>0</v>
      </c>
      <c r="E2440" s="4">
        <v>0</v>
      </c>
      <c r="F2440" s="4">
        <v>1</v>
      </c>
      <c r="G2440" s="4">
        <v>21002</v>
      </c>
      <c r="H2440" s="4">
        <f>INT(VLOOKUP(A2440,洗矿索引!$B$2:$H$97,IF(INT(G2440/10000)=11,7,IF(INT(G2440/10000)=2,6,IF(RIGHT(G2440,1)="0",4,5))),TRUE)/IF(INT(G2440/10000)=11,1,IF(INT(G2440/10000)=2,3,IF(RIGHT(G2440,1)=0,6,6)))*100000)</f>
        <v>1760</v>
      </c>
      <c r="I2440" s="4">
        <f>IF(G2440=114000,VLOOKUP(A2440,洗矿索引!$B$2:$H$97,3,FALSE),1)</f>
        <v>1</v>
      </c>
      <c r="J2440" s="4">
        <f t="shared" si="59"/>
        <v>1</v>
      </c>
      <c r="K2440" s="6" t="s">
        <v>2368</v>
      </c>
    </row>
    <row r="2441" spans="1:11" s="4" customFormat="1">
      <c r="A2441" s="4">
        <v>118020</v>
      </c>
      <c r="B2441" s="4">
        <v>1</v>
      </c>
      <c r="C2441" s="4">
        <v>1</v>
      </c>
      <c r="D2441" s="4">
        <v>0</v>
      </c>
      <c r="E2441" s="4">
        <v>0</v>
      </c>
      <c r="F2441" s="4">
        <v>1</v>
      </c>
      <c r="G2441" s="4">
        <v>21003</v>
      </c>
      <c r="H2441" s="4">
        <f>INT(VLOOKUP(A2441,洗矿索引!$B$2:$H$97,IF(INT(G2441/10000)=11,7,IF(INT(G2441/10000)=2,6,IF(RIGHT(G2441,1)="0",4,5))),TRUE)/IF(INT(G2441/10000)=11,1,IF(INT(G2441/10000)=2,3,IF(RIGHT(G2441,1)=0,6,6)))*100000)</f>
        <v>1760</v>
      </c>
      <c r="I2441" s="4">
        <f>IF(G2441=114000,VLOOKUP(A2441,洗矿索引!$B$2:$H$97,3,FALSE),1)</f>
        <v>1</v>
      </c>
      <c r="J2441" s="4">
        <f t="shared" si="59"/>
        <v>1</v>
      </c>
      <c r="K2441" s="6" t="s">
        <v>2369</v>
      </c>
    </row>
    <row r="2442" spans="1:11" s="4" customFormat="1">
      <c r="A2442" s="4">
        <v>118020</v>
      </c>
      <c r="B2442" s="4">
        <v>1</v>
      </c>
      <c r="C2442" s="4">
        <v>1</v>
      </c>
      <c r="D2442" s="4">
        <v>0</v>
      </c>
      <c r="E2442" s="4">
        <v>0</v>
      </c>
      <c r="F2442" s="4">
        <v>1</v>
      </c>
      <c r="G2442" s="4">
        <v>10110</v>
      </c>
      <c r="H2442" s="4">
        <f>INT(VLOOKUP(A2442,洗矿索引!$B$2:$H$97,IF(INT(G2442/10000)=11,7,IF(INT(G2442/10000)=2,6,IF(RIGHT(G2442,1)="0",4,5))),TRUE)/IF(INT(G2442/10000)=11,1,IF(INT(G2442/10000)=2,3,IF(RIGHT(G2442,1)=0,6,6)))*100000)</f>
        <v>18</v>
      </c>
      <c r="I2442" s="4">
        <f>IF(G2442=114000,VLOOKUP(A2442,洗矿索引!$B$2:$H$97,3,FALSE),1)</f>
        <v>1</v>
      </c>
      <c r="J2442" s="4">
        <f t="shared" si="59"/>
        <v>1</v>
      </c>
      <c r="K2442" s="6" t="s">
        <v>2370</v>
      </c>
    </row>
    <row r="2443" spans="1:11" s="4" customFormat="1">
      <c r="A2443" s="4">
        <v>118020</v>
      </c>
      <c r="B2443" s="4">
        <v>1</v>
      </c>
      <c r="C2443" s="4">
        <v>1</v>
      </c>
      <c r="D2443" s="4">
        <v>0</v>
      </c>
      <c r="E2443" s="4">
        <v>0</v>
      </c>
      <c r="F2443" s="4">
        <v>1</v>
      </c>
      <c r="G2443" s="4">
        <v>10120</v>
      </c>
      <c r="H2443" s="4">
        <f>INT(VLOOKUP(A2443,洗矿索引!$B$2:$H$97,IF(INT(G2443/10000)=11,7,IF(INT(G2443/10000)=2,6,IF(RIGHT(G2443,1)="0",4,5))),TRUE)/IF(INT(G2443/10000)=11,1,IF(INT(G2443/10000)=2,3,IF(RIGHT(G2443,1)=0,6,6)))*100000)</f>
        <v>18</v>
      </c>
      <c r="I2443" s="4">
        <f>IF(G2443=114000,VLOOKUP(A2443,洗矿索引!$B$2:$H$97,3,FALSE),1)</f>
        <v>1</v>
      </c>
      <c r="J2443" s="4">
        <f t="shared" si="59"/>
        <v>1</v>
      </c>
      <c r="K2443" s="6" t="s">
        <v>2371</v>
      </c>
    </row>
    <row r="2444" spans="1:11" s="4" customFormat="1">
      <c r="A2444" s="4">
        <v>118020</v>
      </c>
      <c r="B2444" s="4">
        <v>1</v>
      </c>
      <c r="C2444" s="4">
        <v>1</v>
      </c>
      <c r="D2444" s="4">
        <v>0</v>
      </c>
      <c r="E2444" s="4">
        <v>0</v>
      </c>
      <c r="F2444" s="4">
        <v>1</v>
      </c>
      <c r="G2444" s="4">
        <v>10220</v>
      </c>
      <c r="H2444" s="4">
        <f>INT(VLOOKUP(A2444,洗矿索引!$B$2:$H$97,IF(INT(G2444/10000)=11,7,IF(INT(G2444/10000)=2,6,IF(RIGHT(G2444,1)="0",4,5))),TRUE)/IF(INT(G2444/10000)=11,1,IF(INT(G2444/10000)=2,3,IF(RIGHT(G2444,1)=0,6,6)))*100000)</f>
        <v>18</v>
      </c>
      <c r="I2444" s="4">
        <f>IF(G2444=114000,VLOOKUP(A2444,洗矿索引!$B$2:$H$97,3,FALSE),1)</f>
        <v>1</v>
      </c>
      <c r="J2444" s="4">
        <f t="shared" ref="J2444:J2488" si="60">I2444</f>
        <v>1</v>
      </c>
      <c r="K2444" s="6" t="s">
        <v>2372</v>
      </c>
    </row>
    <row r="2445" spans="1:11" s="4" customFormat="1">
      <c r="A2445" s="4">
        <v>118020</v>
      </c>
      <c r="B2445" s="4">
        <v>1</v>
      </c>
      <c r="C2445" s="4">
        <v>1</v>
      </c>
      <c r="D2445" s="4">
        <v>0</v>
      </c>
      <c r="E2445" s="4">
        <v>0</v>
      </c>
      <c r="F2445" s="4">
        <v>1</v>
      </c>
      <c r="G2445" s="4">
        <v>10320</v>
      </c>
      <c r="H2445" s="4">
        <f>INT(VLOOKUP(A2445,洗矿索引!$B$2:$H$97,IF(INT(G2445/10000)=11,7,IF(INT(G2445/10000)=2,6,IF(RIGHT(G2445,1)="0",4,5))),TRUE)/IF(INT(G2445/10000)=11,1,IF(INT(G2445/10000)=2,3,IF(RIGHT(G2445,1)=0,6,6)))*100000)</f>
        <v>18</v>
      </c>
      <c r="I2445" s="4">
        <f>IF(G2445=114000,VLOOKUP(A2445,洗矿索引!$B$2:$H$97,3,FALSE),1)</f>
        <v>1</v>
      </c>
      <c r="J2445" s="4">
        <f t="shared" si="60"/>
        <v>1</v>
      </c>
      <c r="K2445" s="6" t="s">
        <v>2373</v>
      </c>
    </row>
    <row r="2446" spans="1:11" s="4" customFormat="1">
      <c r="A2446" s="4">
        <v>118020</v>
      </c>
      <c r="B2446" s="4">
        <v>1</v>
      </c>
      <c r="C2446" s="4">
        <v>1</v>
      </c>
      <c r="D2446" s="4">
        <v>0</v>
      </c>
      <c r="E2446" s="4">
        <v>0</v>
      </c>
      <c r="F2446" s="4">
        <v>1</v>
      </c>
      <c r="G2446" s="4">
        <v>10420</v>
      </c>
      <c r="H2446" s="4">
        <f>INT(VLOOKUP(A2446,洗矿索引!$B$2:$H$97,IF(INT(G2446/10000)=11,7,IF(INT(G2446/10000)=2,6,IF(RIGHT(G2446,1)="0",4,5))),TRUE)/IF(INT(G2446/10000)=11,1,IF(INT(G2446/10000)=2,3,IF(RIGHT(G2446,1)=0,6,6)))*100000)</f>
        <v>18</v>
      </c>
      <c r="I2446" s="4">
        <f>IF(G2446=114000,VLOOKUP(A2446,洗矿索引!$B$2:$H$97,3,FALSE),1)</f>
        <v>1</v>
      </c>
      <c r="J2446" s="4">
        <f t="shared" si="60"/>
        <v>1</v>
      </c>
      <c r="K2446" s="6" t="s">
        <v>2374</v>
      </c>
    </row>
    <row r="2447" spans="1:11" s="4" customFormat="1">
      <c r="A2447" s="4">
        <v>118020</v>
      </c>
      <c r="B2447" s="4">
        <v>1</v>
      </c>
      <c r="C2447" s="4">
        <v>1</v>
      </c>
      <c r="D2447" s="4">
        <v>0</v>
      </c>
      <c r="E2447" s="4">
        <v>0</v>
      </c>
      <c r="F2447" s="4">
        <v>1</v>
      </c>
      <c r="G2447" s="4">
        <v>10520</v>
      </c>
      <c r="H2447" s="4">
        <f>INT(VLOOKUP(A2447,洗矿索引!$B$2:$H$97,IF(INT(G2447/10000)=11,7,IF(INT(G2447/10000)=2,6,IF(RIGHT(G2447,1)="0",4,5))),TRUE)/IF(INT(G2447/10000)=11,1,IF(INT(G2447/10000)=2,3,IF(RIGHT(G2447,1)=0,6,6)))*100000)</f>
        <v>18</v>
      </c>
      <c r="I2447" s="4">
        <f>IF(G2447=114000,VLOOKUP(A2447,洗矿索引!$B$2:$H$97,3,FALSE),1)</f>
        <v>1</v>
      </c>
      <c r="J2447" s="4">
        <f t="shared" si="60"/>
        <v>1</v>
      </c>
      <c r="K2447" s="6" t="s">
        <v>2375</v>
      </c>
    </row>
    <row r="2448" spans="1:11" s="4" customFormat="1">
      <c r="A2448" s="4">
        <v>118021</v>
      </c>
      <c r="B2448" s="4">
        <v>1</v>
      </c>
      <c r="C2448" s="4">
        <v>1</v>
      </c>
      <c r="D2448" s="4">
        <v>0</v>
      </c>
      <c r="E2448" s="4">
        <v>0</v>
      </c>
      <c r="F2448" s="4">
        <v>1</v>
      </c>
      <c r="G2448" s="4">
        <v>114000</v>
      </c>
      <c r="H2448" s="4">
        <f>INT(VLOOKUP(A2448,洗矿索引!$B$2:$H$97,IF(INT(G2448/10000)=11,7,IF(INT(G2448/10000)=2,6,IF(RIGHT(G2448,1)="0",4,5))),TRUE)/IF(INT(G2448/10000)=11,1,IF(INT(G2448/10000)=2,3,IF(RIGHT(G2448,1)=0,6,6)))*100000)</f>
        <v>94365</v>
      </c>
      <c r="I2448" s="4">
        <f>IF(G2448=114000,VLOOKUP(A2448,洗矿索引!$B$2:$H$97,3,FALSE),1)</f>
        <v>6</v>
      </c>
      <c r="J2448" s="4">
        <f t="shared" si="60"/>
        <v>6</v>
      </c>
      <c r="K2448" s="6" t="s">
        <v>2376</v>
      </c>
    </row>
    <row r="2449" spans="1:11" s="4" customFormat="1">
      <c r="A2449" s="4">
        <v>118021</v>
      </c>
      <c r="B2449" s="4">
        <v>1</v>
      </c>
      <c r="C2449" s="4">
        <v>1</v>
      </c>
      <c r="D2449" s="4">
        <v>0</v>
      </c>
      <c r="E2449" s="4">
        <v>0</v>
      </c>
      <c r="F2449" s="4">
        <v>1</v>
      </c>
      <c r="G2449" s="4">
        <v>21001</v>
      </c>
      <c r="H2449" s="4">
        <f>INT(VLOOKUP(A2449,洗矿索引!$B$2:$H$97,IF(INT(G2449/10000)=11,7,IF(INT(G2449/10000)=2,6,IF(RIGHT(G2449,1)="0",4,5))),TRUE)/IF(INT(G2449/10000)=11,1,IF(INT(G2449/10000)=2,3,IF(RIGHT(G2449,1)=0,6,6)))*100000)</f>
        <v>1840</v>
      </c>
      <c r="I2449" s="4">
        <f>IF(G2449=114000,VLOOKUP(A2449,洗矿索引!$B$2:$H$97,3,FALSE),1)</f>
        <v>1</v>
      </c>
      <c r="J2449" s="4">
        <f t="shared" si="60"/>
        <v>1</v>
      </c>
      <c r="K2449" s="6" t="s">
        <v>2377</v>
      </c>
    </row>
    <row r="2450" spans="1:11" s="4" customFormat="1">
      <c r="A2450" s="4">
        <v>118021</v>
      </c>
      <c r="B2450" s="4">
        <v>1</v>
      </c>
      <c r="C2450" s="4">
        <v>1</v>
      </c>
      <c r="D2450" s="4">
        <v>0</v>
      </c>
      <c r="E2450" s="4">
        <v>0</v>
      </c>
      <c r="F2450" s="4">
        <v>1</v>
      </c>
      <c r="G2450" s="4">
        <v>21002</v>
      </c>
      <c r="H2450" s="4">
        <f>INT(VLOOKUP(A2450,洗矿索引!$B$2:$H$97,IF(INT(G2450/10000)=11,7,IF(INT(G2450/10000)=2,6,IF(RIGHT(G2450,1)="0",4,5))),TRUE)/IF(INT(G2450/10000)=11,1,IF(INT(G2450/10000)=2,3,IF(RIGHT(G2450,1)=0,6,6)))*100000)</f>
        <v>1840</v>
      </c>
      <c r="I2450" s="4">
        <f>IF(G2450=114000,VLOOKUP(A2450,洗矿索引!$B$2:$H$97,3,FALSE),1)</f>
        <v>1</v>
      </c>
      <c r="J2450" s="4">
        <f t="shared" si="60"/>
        <v>1</v>
      </c>
      <c r="K2450" s="6" t="s">
        <v>2378</v>
      </c>
    </row>
    <row r="2451" spans="1:11" s="4" customFormat="1">
      <c r="A2451" s="4">
        <v>118021</v>
      </c>
      <c r="B2451" s="4">
        <v>1</v>
      </c>
      <c r="C2451" s="4">
        <v>1</v>
      </c>
      <c r="D2451" s="4">
        <v>0</v>
      </c>
      <c r="E2451" s="4">
        <v>0</v>
      </c>
      <c r="F2451" s="4">
        <v>1</v>
      </c>
      <c r="G2451" s="4">
        <v>21003</v>
      </c>
      <c r="H2451" s="4">
        <f>INT(VLOOKUP(A2451,洗矿索引!$B$2:$H$97,IF(INT(G2451/10000)=11,7,IF(INT(G2451/10000)=2,6,IF(RIGHT(G2451,1)="0",4,5))),TRUE)/IF(INT(G2451/10000)=11,1,IF(INT(G2451/10000)=2,3,IF(RIGHT(G2451,1)=0,6,6)))*100000)</f>
        <v>1840</v>
      </c>
      <c r="I2451" s="4">
        <f>IF(G2451=114000,VLOOKUP(A2451,洗矿索引!$B$2:$H$97,3,FALSE),1)</f>
        <v>1</v>
      </c>
      <c r="J2451" s="4">
        <f t="shared" si="60"/>
        <v>1</v>
      </c>
      <c r="K2451" s="6" t="s">
        <v>2379</v>
      </c>
    </row>
    <row r="2452" spans="1:11" s="4" customFormat="1">
      <c r="A2452" s="4">
        <v>118021</v>
      </c>
      <c r="B2452" s="4">
        <v>1</v>
      </c>
      <c r="C2452" s="4">
        <v>1</v>
      </c>
      <c r="D2452" s="4">
        <v>0</v>
      </c>
      <c r="E2452" s="4">
        <v>0</v>
      </c>
      <c r="F2452" s="4">
        <v>1</v>
      </c>
      <c r="G2452" s="4">
        <v>10110</v>
      </c>
      <c r="H2452" s="4">
        <f>INT(VLOOKUP(A2452,洗矿索引!$B$2:$H$97,IF(INT(G2452/10000)=11,7,IF(INT(G2452/10000)=2,6,IF(RIGHT(G2452,1)="0",4,5))),TRUE)/IF(INT(G2452/10000)=11,1,IF(INT(G2452/10000)=2,3,IF(RIGHT(G2452,1)=0,6,6)))*100000)</f>
        <v>19</v>
      </c>
      <c r="I2452" s="4">
        <f>IF(G2452=114000,VLOOKUP(A2452,洗矿索引!$B$2:$H$97,3,FALSE),1)</f>
        <v>1</v>
      </c>
      <c r="J2452" s="4">
        <f t="shared" si="60"/>
        <v>1</v>
      </c>
      <c r="K2452" s="6" t="s">
        <v>2380</v>
      </c>
    </row>
    <row r="2453" spans="1:11" s="4" customFormat="1">
      <c r="A2453" s="4">
        <v>118021</v>
      </c>
      <c r="B2453" s="4">
        <v>1</v>
      </c>
      <c r="C2453" s="4">
        <v>1</v>
      </c>
      <c r="D2453" s="4">
        <v>0</v>
      </c>
      <c r="E2453" s="4">
        <v>0</v>
      </c>
      <c r="F2453" s="4">
        <v>1</v>
      </c>
      <c r="G2453" s="4">
        <v>10120</v>
      </c>
      <c r="H2453" s="4">
        <f>INT(VLOOKUP(A2453,洗矿索引!$B$2:$H$97,IF(INT(G2453/10000)=11,7,IF(INT(G2453/10000)=2,6,IF(RIGHT(G2453,1)="0",4,5))),TRUE)/IF(INT(G2453/10000)=11,1,IF(INT(G2453/10000)=2,3,IF(RIGHT(G2453,1)=0,6,6)))*100000)</f>
        <v>19</v>
      </c>
      <c r="I2453" s="4">
        <f>IF(G2453=114000,VLOOKUP(A2453,洗矿索引!$B$2:$H$97,3,FALSE),1)</f>
        <v>1</v>
      </c>
      <c r="J2453" s="4">
        <f t="shared" si="60"/>
        <v>1</v>
      </c>
      <c r="K2453" s="6" t="s">
        <v>2381</v>
      </c>
    </row>
    <row r="2454" spans="1:11" s="4" customFormat="1">
      <c r="A2454" s="4">
        <v>118021</v>
      </c>
      <c r="B2454" s="4">
        <v>1</v>
      </c>
      <c r="C2454" s="4">
        <v>1</v>
      </c>
      <c r="D2454" s="4">
        <v>0</v>
      </c>
      <c r="E2454" s="4">
        <v>0</v>
      </c>
      <c r="F2454" s="4">
        <v>1</v>
      </c>
      <c r="G2454" s="4">
        <v>10220</v>
      </c>
      <c r="H2454" s="4">
        <f>INT(VLOOKUP(A2454,洗矿索引!$B$2:$H$97,IF(INT(G2454/10000)=11,7,IF(INT(G2454/10000)=2,6,IF(RIGHT(G2454,1)="0",4,5))),TRUE)/IF(INT(G2454/10000)=11,1,IF(INT(G2454/10000)=2,3,IF(RIGHT(G2454,1)=0,6,6)))*100000)</f>
        <v>19</v>
      </c>
      <c r="I2454" s="4">
        <f>IF(G2454=114000,VLOOKUP(A2454,洗矿索引!$B$2:$H$97,3,FALSE),1)</f>
        <v>1</v>
      </c>
      <c r="J2454" s="4">
        <f t="shared" si="60"/>
        <v>1</v>
      </c>
      <c r="K2454" s="6" t="s">
        <v>2382</v>
      </c>
    </row>
    <row r="2455" spans="1:11" s="4" customFormat="1">
      <c r="A2455" s="4">
        <v>118021</v>
      </c>
      <c r="B2455" s="4">
        <v>1</v>
      </c>
      <c r="C2455" s="4">
        <v>1</v>
      </c>
      <c r="D2455" s="4">
        <v>0</v>
      </c>
      <c r="E2455" s="4">
        <v>0</v>
      </c>
      <c r="F2455" s="4">
        <v>1</v>
      </c>
      <c r="G2455" s="4">
        <v>10320</v>
      </c>
      <c r="H2455" s="4">
        <f>INT(VLOOKUP(A2455,洗矿索引!$B$2:$H$97,IF(INT(G2455/10000)=11,7,IF(INT(G2455/10000)=2,6,IF(RIGHT(G2455,1)="0",4,5))),TRUE)/IF(INT(G2455/10000)=11,1,IF(INT(G2455/10000)=2,3,IF(RIGHT(G2455,1)=0,6,6)))*100000)</f>
        <v>19</v>
      </c>
      <c r="I2455" s="4">
        <f>IF(G2455=114000,VLOOKUP(A2455,洗矿索引!$B$2:$H$97,3,FALSE),1)</f>
        <v>1</v>
      </c>
      <c r="J2455" s="4">
        <f t="shared" si="60"/>
        <v>1</v>
      </c>
      <c r="K2455" s="6" t="s">
        <v>2383</v>
      </c>
    </row>
    <row r="2456" spans="1:11" s="4" customFormat="1">
      <c r="A2456" s="4">
        <v>118021</v>
      </c>
      <c r="B2456" s="4">
        <v>1</v>
      </c>
      <c r="C2456" s="4">
        <v>1</v>
      </c>
      <c r="D2456" s="4">
        <v>0</v>
      </c>
      <c r="E2456" s="4">
        <v>0</v>
      </c>
      <c r="F2456" s="4">
        <v>1</v>
      </c>
      <c r="G2456" s="4">
        <v>10420</v>
      </c>
      <c r="H2456" s="4">
        <f>INT(VLOOKUP(A2456,洗矿索引!$B$2:$H$97,IF(INT(G2456/10000)=11,7,IF(INT(G2456/10000)=2,6,IF(RIGHT(G2456,1)="0",4,5))),TRUE)/IF(INT(G2456/10000)=11,1,IF(INT(G2456/10000)=2,3,IF(RIGHT(G2456,1)=0,6,6)))*100000)</f>
        <v>19</v>
      </c>
      <c r="I2456" s="4">
        <f>IF(G2456=114000,VLOOKUP(A2456,洗矿索引!$B$2:$H$97,3,FALSE),1)</f>
        <v>1</v>
      </c>
      <c r="J2456" s="4">
        <f t="shared" si="60"/>
        <v>1</v>
      </c>
      <c r="K2456" s="6" t="s">
        <v>2384</v>
      </c>
    </row>
    <row r="2457" spans="1:11" s="4" customFormat="1">
      <c r="A2457" s="4">
        <v>118021</v>
      </c>
      <c r="B2457" s="4">
        <v>1</v>
      </c>
      <c r="C2457" s="4">
        <v>1</v>
      </c>
      <c r="D2457" s="4">
        <v>0</v>
      </c>
      <c r="E2457" s="4">
        <v>0</v>
      </c>
      <c r="F2457" s="4">
        <v>1</v>
      </c>
      <c r="G2457" s="4">
        <v>10520</v>
      </c>
      <c r="H2457" s="4">
        <f>INT(VLOOKUP(A2457,洗矿索引!$B$2:$H$97,IF(INT(G2457/10000)=11,7,IF(INT(G2457/10000)=2,6,IF(RIGHT(G2457,1)="0",4,5))),TRUE)/IF(INT(G2457/10000)=11,1,IF(INT(G2457/10000)=2,3,IF(RIGHT(G2457,1)=0,6,6)))*100000)</f>
        <v>19</v>
      </c>
      <c r="I2457" s="4">
        <f>IF(G2457=114000,VLOOKUP(A2457,洗矿索引!$B$2:$H$97,3,FALSE),1)</f>
        <v>1</v>
      </c>
      <c r="J2457" s="4">
        <f t="shared" si="60"/>
        <v>1</v>
      </c>
      <c r="K2457" s="6" t="s">
        <v>2385</v>
      </c>
    </row>
    <row r="2458" spans="1:11" s="4" customFormat="1">
      <c r="A2458" s="4">
        <v>118022</v>
      </c>
      <c r="B2458" s="4">
        <v>1</v>
      </c>
      <c r="C2458" s="4">
        <v>1</v>
      </c>
      <c r="D2458" s="4">
        <v>0</v>
      </c>
      <c r="E2458" s="4">
        <v>0</v>
      </c>
      <c r="F2458" s="4">
        <v>1</v>
      </c>
      <c r="G2458" s="4">
        <v>114000</v>
      </c>
      <c r="H2458" s="4">
        <f>INT(VLOOKUP(A2458,洗矿索引!$B$2:$H$97,IF(INT(G2458/10000)=11,7,IF(INT(G2458/10000)=2,6,IF(RIGHT(G2458,1)="0",4,5))),TRUE)/IF(INT(G2458/10000)=11,1,IF(INT(G2458/10000)=2,3,IF(RIGHT(G2458,1)=0,6,6)))*100000)</f>
        <v>94120</v>
      </c>
      <c r="I2458" s="4">
        <f>IF(G2458=114000,VLOOKUP(A2458,洗矿索引!$B$2:$H$97,3,FALSE),1)</f>
        <v>6</v>
      </c>
      <c r="J2458" s="4">
        <f t="shared" si="60"/>
        <v>6</v>
      </c>
      <c r="K2458" s="6" t="s">
        <v>2386</v>
      </c>
    </row>
    <row r="2459" spans="1:11" s="4" customFormat="1">
      <c r="A2459" s="4">
        <v>118022</v>
      </c>
      <c r="B2459" s="4">
        <v>1</v>
      </c>
      <c r="C2459" s="4">
        <v>1</v>
      </c>
      <c r="D2459" s="4">
        <v>0</v>
      </c>
      <c r="E2459" s="4">
        <v>0</v>
      </c>
      <c r="F2459" s="4">
        <v>1</v>
      </c>
      <c r="G2459" s="4">
        <v>21001</v>
      </c>
      <c r="H2459" s="4">
        <f>INT(VLOOKUP(A2459,洗矿索引!$B$2:$H$97,IF(INT(G2459/10000)=11,7,IF(INT(G2459/10000)=2,6,IF(RIGHT(G2459,1)="0",4,5))),TRUE)/IF(INT(G2459/10000)=11,1,IF(INT(G2459/10000)=2,3,IF(RIGHT(G2459,1)=0,6,6)))*100000)</f>
        <v>1920</v>
      </c>
      <c r="I2459" s="4">
        <f>IF(G2459=114000,VLOOKUP(A2459,洗矿索引!$B$2:$H$97,3,FALSE),1)</f>
        <v>1</v>
      </c>
      <c r="J2459" s="4">
        <f t="shared" si="60"/>
        <v>1</v>
      </c>
      <c r="K2459" s="6" t="s">
        <v>2387</v>
      </c>
    </row>
    <row r="2460" spans="1:11" s="4" customFormat="1">
      <c r="A2460" s="4">
        <v>118022</v>
      </c>
      <c r="B2460" s="4">
        <v>1</v>
      </c>
      <c r="C2460" s="4">
        <v>1</v>
      </c>
      <c r="D2460" s="4">
        <v>0</v>
      </c>
      <c r="E2460" s="4">
        <v>0</v>
      </c>
      <c r="F2460" s="4">
        <v>1</v>
      </c>
      <c r="G2460" s="4">
        <v>21002</v>
      </c>
      <c r="H2460" s="4">
        <f>INT(VLOOKUP(A2460,洗矿索引!$B$2:$H$97,IF(INT(G2460/10000)=11,7,IF(INT(G2460/10000)=2,6,IF(RIGHT(G2460,1)="0",4,5))),TRUE)/IF(INT(G2460/10000)=11,1,IF(INT(G2460/10000)=2,3,IF(RIGHT(G2460,1)=0,6,6)))*100000)</f>
        <v>1920</v>
      </c>
      <c r="I2460" s="4">
        <f>IF(G2460=114000,VLOOKUP(A2460,洗矿索引!$B$2:$H$97,3,FALSE),1)</f>
        <v>1</v>
      </c>
      <c r="J2460" s="4">
        <f t="shared" si="60"/>
        <v>1</v>
      </c>
      <c r="K2460" s="6" t="s">
        <v>2388</v>
      </c>
    </row>
    <row r="2461" spans="1:11" s="4" customFormat="1">
      <c r="A2461" s="4">
        <v>118022</v>
      </c>
      <c r="B2461" s="4">
        <v>1</v>
      </c>
      <c r="C2461" s="4">
        <v>1</v>
      </c>
      <c r="D2461" s="4">
        <v>0</v>
      </c>
      <c r="E2461" s="4">
        <v>0</v>
      </c>
      <c r="F2461" s="4">
        <v>1</v>
      </c>
      <c r="G2461" s="4">
        <v>21003</v>
      </c>
      <c r="H2461" s="4">
        <f>INT(VLOOKUP(A2461,洗矿索引!$B$2:$H$97,IF(INT(G2461/10000)=11,7,IF(INT(G2461/10000)=2,6,IF(RIGHT(G2461,1)="0",4,5))),TRUE)/IF(INT(G2461/10000)=11,1,IF(INT(G2461/10000)=2,3,IF(RIGHT(G2461,1)=0,6,6)))*100000)</f>
        <v>1920</v>
      </c>
      <c r="I2461" s="4">
        <f>IF(G2461=114000,VLOOKUP(A2461,洗矿索引!$B$2:$H$97,3,FALSE),1)</f>
        <v>1</v>
      </c>
      <c r="J2461" s="4">
        <f t="shared" si="60"/>
        <v>1</v>
      </c>
      <c r="K2461" s="6" t="s">
        <v>2389</v>
      </c>
    </row>
    <row r="2462" spans="1:11" s="4" customFormat="1">
      <c r="A2462" s="4">
        <v>118022</v>
      </c>
      <c r="B2462" s="4">
        <v>1</v>
      </c>
      <c r="C2462" s="4">
        <v>1</v>
      </c>
      <c r="D2462" s="4">
        <v>0</v>
      </c>
      <c r="E2462" s="4">
        <v>0</v>
      </c>
      <c r="F2462" s="4">
        <v>1</v>
      </c>
      <c r="G2462" s="4">
        <v>10110</v>
      </c>
      <c r="H2462" s="4">
        <f>INT(VLOOKUP(A2462,洗矿索引!$B$2:$H$97,IF(INT(G2462/10000)=11,7,IF(INT(G2462/10000)=2,6,IF(RIGHT(G2462,1)="0",4,5))),TRUE)/IF(INT(G2462/10000)=11,1,IF(INT(G2462/10000)=2,3,IF(RIGHT(G2462,1)=0,6,6)))*100000)</f>
        <v>20</v>
      </c>
      <c r="I2462" s="4">
        <f>IF(G2462=114000,VLOOKUP(A2462,洗矿索引!$B$2:$H$97,3,FALSE),1)</f>
        <v>1</v>
      </c>
      <c r="J2462" s="4">
        <f t="shared" si="60"/>
        <v>1</v>
      </c>
      <c r="K2462" s="6" t="s">
        <v>2390</v>
      </c>
    </row>
    <row r="2463" spans="1:11" s="4" customFormat="1">
      <c r="A2463" s="4">
        <v>118022</v>
      </c>
      <c r="B2463" s="4">
        <v>1</v>
      </c>
      <c r="C2463" s="4">
        <v>1</v>
      </c>
      <c r="D2463" s="4">
        <v>0</v>
      </c>
      <c r="E2463" s="4">
        <v>0</v>
      </c>
      <c r="F2463" s="4">
        <v>1</v>
      </c>
      <c r="G2463" s="4">
        <v>10120</v>
      </c>
      <c r="H2463" s="4">
        <f>INT(VLOOKUP(A2463,洗矿索引!$B$2:$H$97,IF(INT(G2463/10000)=11,7,IF(INT(G2463/10000)=2,6,IF(RIGHT(G2463,1)="0",4,5))),TRUE)/IF(INT(G2463/10000)=11,1,IF(INT(G2463/10000)=2,3,IF(RIGHT(G2463,1)=0,6,6)))*100000)</f>
        <v>20</v>
      </c>
      <c r="I2463" s="4">
        <f>IF(G2463=114000,VLOOKUP(A2463,洗矿索引!$B$2:$H$97,3,FALSE),1)</f>
        <v>1</v>
      </c>
      <c r="J2463" s="4">
        <f t="shared" si="60"/>
        <v>1</v>
      </c>
      <c r="K2463" s="6" t="s">
        <v>2391</v>
      </c>
    </row>
    <row r="2464" spans="1:11" s="4" customFormat="1">
      <c r="A2464" s="4">
        <v>118022</v>
      </c>
      <c r="B2464" s="4">
        <v>1</v>
      </c>
      <c r="C2464" s="4">
        <v>1</v>
      </c>
      <c r="D2464" s="4">
        <v>0</v>
      </c>
      <c r="E2464" s="4">
        <v>0</v>
      </c>
      <c r="F2464" s="4">
        <v>1</v>
      </c>
      <c r="G2464" s="4">
        <v>10220</v>
      </c>
      <c r="H2464" s="4">
        <f>INT(VLOOKUP(A2464,洗矿索引!$B$2:$H$97,IF(INT(G2464/10000)=11,7,IF(INT(G2464/10000)=2,6,IF(RIGHT(G2464,1)="0",4,5))),TRUE)/IF(INT(G2464/10000)=11,1,IF(INT(G2464/10000)=2,3,IF(RIGHT(G2464,1)=0,6,6)))*100000)</f>
        <v>20</v>
      </c>
      <c r="I2464" s="4">
        <f>IF(G2464=114000,VLOOKUP(A2464,洗矿索引!$B$2:$H$97,3,FALSE),1)</f>
        <v>1</v>
      </c>
      <c r="J2464" s="4">
        <f t="shared" si="60"/>
        <v>1</v>
      </c>
      <c r="K2464" s="6" t="s">
        <v>2392</v>
      </c>
    </row>
    <row r="2465" spans="1:11" s="4" customFormat="1">
      <c r="A2465" s="4">
        <v>118022</v>
      </c>
      <c r="B2465" s="4">
        <v>1</v>
      </c>
      <c r="C2465" s="4">
        <v>1</v>
      </c>
      <c r="D2465" s="4">
        <v>0</v>
      </c>
      <c r="E2465" s="4">
        <v>0</v>
      </c>
      <c r="F2465" s="4">
        <v>1</v>
      </c>
      <c r="G2465" s="4">
        <v>10320</v>
      </c>
      <c r="H2465" s="4">
        <f>INT(VLOOKUP(A2465,洗矿索引!$B$2:$H$97,IF(INT(G2465/10000)=11,7,IF(INT(G2465/10000)=2,6,IF(RIGHT(G2465,1)="0",4,5))),TRUE)/IF(INT(G2465/10000)=11,1,IF(INT(G2465/10000)=2,3,IF(RIGHT(G2465,1)=0,6,6)))*100000)</f>
        <v>20</v>
      </c>
      <c r="I2465" s="4">
        <f>IF(G2465=114000,VLOOKUP(A2465,洗矿索引!$B$2:$H$97,3,FALSE),1)</f>
        <v>1</v>
      </c>
      <c r="J2465" s="4">
        <f t="shared" si="60"/>
        <v>1</v>
      </c>
      <c r="K2465" s="6" t="s">
        <v>2393</v>
      </c>
    </row>
    <row r="2466" spans="1:11" s="4" customFormat="1">
      <c r="A2466" s="4">
        <v>118022</v>
      </c>
      <c r="B2466" s="4">
        <v>1</v>
      </c>
      <c r="C2466" s="4">
        <v>1</v>
      </c>
      <c r="D2466" s="4">
        <v>0</v>
      </c>
      <c r="E2466" s="4">
        <v>0</v>
      </c>
      <c r="F2466" s="4">
        <v>1</v>
      </c>
      <c r="G2466" s="4">
        <v>10420</v>
      </c>
      <c r="H2466" s="4">
        <f>INT(VLOOKUP(A2466,洗矿索引!$B$2:$H$97,IF(INT(G2466/10000)=11,7,IF(INT(G2466/10000)=2,6,IF(RIGHT(G2466,1)="0",4,5))),TRUE)/IF(INT(G2466/10000)=11,1,IF(INT(G2466/10000)=2,3,IF(RIGHT(G2466,1)=0,6,6)))*100000)</f>
        <v>20</v>
      </c>
      <c r="I2466" s="4">
        <f>IF(G2466=114000,VLOOKUP(A2466,洗矿索引!$B$2:$H$97,3,FALSE),1)</f>
        <v>1</v>
      </c>
      <c r="J2466" s="4">
        <f t="shared" si="60"/>
        <v>1</v>
      </c>
      <c r="K2466" s="6" t="s">
        <v>2394</v>
      </c>
    </row>
    <row r="2467" spans="1:11" s="4" customFormat="1">
      <c r="A2467" s="4">
        <v>118022</v>
      </c>
      <c r="B2467" s="4">
        <v>1</v>
      </c>
      <c r="C2467" s="4">
        <v>1</v>
      </c>
      <c r="D2467" s="4">
        <v>0</v>
      </c>
      <c r="E2467" s="4">
        <v>0</v>
      </c>
      <c r="F2467" s="4">
        <v>1</v>
      </c>
      <c r="G2467" s="4">
        <v>10520</v>
      </c>
      <c r="H2467" s="4">
        <f>INT(VLOOKUP(A2467,洗矿索引!$B$2:$H$97,IF(INT(G2467/10000)=11,7,IF(INT(G2467/10000)=2,6,IF(RIGHT(G2467,1)="0",4,5))),TRUE)/IF(INT(G2467/10000)=11,1,IF(INT(G2467/10000)=2,3,IF(RIGHT(G2467,1)=0,6,6)))*100000)</f>
        <v>20</v>
      </c>
      <c r="I2467" s="4">
        <f>IF(G2467=114000,VLOOKUP(A2467,洗矿索引!$B$2:$H$97,3,FALSE),1)</f>
        <v>1</v>
      </c>
      <c r="J2467" s="4">
        <f t="shared" si="60"/>
        <v>1</v>
      </c>
      <c r="K2467" s="6" t="s">
        <v>2395</v>
      </c>
    </row>
    <row r="2468" spans="1:11" s="4" customFormat="1">
      <c r="A2468" s="4">
        <v>118023</v>
      </c>
      <c r="B2468" s="4">
        <v>1</v>
      </c>
      <c r="C2468" s="4">
        <v>1</v>
      </c>
      <c r="D2468" s="4">
        <v>0</v>
      </c>
      <c r="E2468" s="4">
        <v>0</v>
      </c>
      <c r="F2468" s="4">
        <v>1</v>
      </c>
      <c r="G2468" s="4">
        <v>114000</v>
      </c>
      <c r="H2468" s="4">
        <f>INT(VLOOKUP(A2468,洗矿索引!$B$2:$H$97,IF(INT(G2468/10000)=11,7,IF(INT(G2468/10000)=2,6,IF(RIGHT(G2468,1)="0",4,5))),TRUE)/IF(INT(G2468/10000)=11,1,IF(INT(G2468/10000)=2,3,IF(RIGHT(G2468,1)=0,6,6)))*100000)</f>
        <v>93875</v>
      </c>
      <c r="I2468" s="4">
        <f>IF(G2468=114000,VLOOKUP(A2468,洗矿索引!$B$2:$H$97,3,FALSE),1)</f>
        <v>6</v>
      </c>
      <c r="J2468" s="4">
        <f t="shared" si="60"/>
        <v>6</v>
      </c>
      <c r="K2468" s="6" t="s">
        <v>2396</v>
      </c>
    </row>
    <row r="2469" spans="1:11" s="4" customFormat="1">
      <c r="A2469" s="4">
        <v>118023</v>
      </c>
      <c r="B2469" s="4">
        <v>1</v>
      </c>
      <c r="C2469" s="4">
        <v>1</v>
      </c>
      <c r="D2469" s="4">
        <v>0</v>
      </c>
      <c r="E2469" s="4">
        <v>0</v>
      </c>
      <c r="F2469" s="4">
        <v>1</v>
      </c>
      <c r="G2469" s="4">
        <v>21001</v>
      </c>
      <c r="H2469" s="4">
        <f>INT(VLOOKUP(A2469,洗矿索引!$B$2:$H$97,IF(INT(G2469/10000)=11,7,IF(INT(G2469/10000)=2,6,IF(RIGHT(G2469,1)="0",4,5))),TRUE)/IF(INT(G2469/10000)=11,1,IF(INT(G2469/10000)=2,3,IF(RIGHT(G2469,1)=0,6,6)))*100000)</f>
        <v>2000</v>
      </c>
      <c r="I2469" s="4">
        <f>IF(G2469=114000,VLOOKUP(A2469,洗矿索引!$B$2:$H$97,3,FALSE),1)</f>
        <v>1</v>
      </c>
      <c r="J2469" s="4">
        <f t="shared" si="60"/>
        <v>1</v>
      </c>
      <c r="K2469" s="6" t="s">
        <v>2397</v>
      </c>
    </row>
    <row r="2470" spans="1:11" s="4" customFormat="1">
      <c r="A2470" s="4">
        <v>118023</v>
      </c>
      <c r="B2470" s="4">
        <v>1</v>
      </c>
      <c r="C2470" s="4">
        <v>1</v>
      </c>
      <c r="D2470" s="4">
        <v>0</v>
      </c>
      <c r="E2470" s="4">
        <v>0</v>
      </c>
      <c r="F2470" s="4">
        <v>1</v>
      </c>
      <c r="G2470" s="4">
        <v>21002</v>
      </c>
      <c r="H2470" s="4">
        <f>INT(VLOOKUP(A2470,洗矿索引!$B$2:$H$97,IF(INT(G2470/10000)=11,7,IF(INT(G2470/10000)=2,6,IF(RIGHT(G2470,1)="0",4,5))),TRUE)/IF(INT(G2470/10000)=11,1,IF(INT(G2470/10000)=2,3,IF(RIGHT(G2470,1)=0,6,6)))*100000)</f>
        <v>2000</v>
      </c>
      <c r="I2470" s="4">
        <f>IF(G2470=114000,VLOOKUP(A2470,洗矿索引!$B$2:$H$97,3,FALSE),1)</f>
        <v>1</v>
      </c>
      <c r="J2470" s="4">
        <f t="shared" si="60"/>
        <v>1</v>
      </c>
      <c r="K2470" s="6" t="s">
        <v>2398</v>
      </c>
    </row>
    <row r="2471" spans="1:11" s="4" customFormat="1">
      <c r="A2471" s="4">
        <v>118023</v>
      </c>
      <c r="B2471" s="4">
        <v>1</v>
      </c>
      <c r="C2471" s="4">
        <v>1</v>
      </c>
      <c r="D2471" s="4">
        <v>0</v>
      </c>
      <c r="E2471" s="4">
        <v>0</v>
      </c>
      <c r="F2471" s="4">
        <v>1</v>
      </c>
      <c r="G2471" s="4">
        <v>21003</v>
      </c>
      <c r="H2471" s="4">
        <f>INT(VLOOKUP(A2471,洗矿索引!$B$2:$H$97,IF(INT(G2471/10000)=11,7,IF(INT(G2471/10000)=2,6,IF(RIGHT(G2471,1)="0",4,5))),TRUE)/IF(INT(G2471/10000)=11,1,IF(INT(G2471/10000)=2,3,IF(RIGHT(G2471,1)=0,6,6)))*100000)</f>
        <v>2000</v>
      </c>
      <c r="I2471" s="4">
        <f>IF(G2471=114000,VLOOKUP(A2471,洗矿索引!$B$2:$H$97,3,FALSE),1)</f>
        <v>1</v>
      </c>
      <c r="J2471" s="4">
        <f t="shared" si="60"/>
        <v>1</v>
      </c>
      <c r="K2471" s="6" t="s">
        <v>2399</v>
      </c>
    </row>
    <row r="2472" spans="1:11" s="4" customFormat="1">
      <c r="A2472" s="4">
        <v>118023</v>
      </c>
      <c r="B2472" s="4">
        <v>1</v>
      </c>
      <c r="C2472" s="4">
        <v>1</v>
      </c>
      <c r="D2472" s="4">
        <v>0</v>
      </c>
      <c r="E2472" s="4">
        <v>0</v>
      </c>
      <c r="F2472" s="4">
        <v>1</v>
      </c>
      <c r="G2472" s="4">
        <v>10110</v>
      </c>
      <c r="H2472" s="4">
        <f>INT(VLOOKUP(A2472,洗矿索引!$B$2:$H$97,IF(INT(G2472/10000)=11,7,IF(INT(G2472/10000)=2,6,IF(RIGHT(G2472,1)="0",4,5))),TRUE)/IF(INT(G2472/10000)=11,1,IF(INT(G2472/10000)=2,3,IF(RIGHT(G2472,1)=0,6,6)))*100000)</f>
        <v>20</v>
      </c>
      <c r="I2472" s="4">
        <f>IF(G2472=114000,VLOOKUP(A2472,洗矿索引!$B$2:$H$97,3,FALSE),1)</f>
        <v>1</v>
      </c>
      <c r="J2472" s="4">
        <f t="shared" si="60"/>
        <v>1</v>
      </c>
      <c r="K2472" s="6" t="s">
        <v>2400</v>
      </c>
    </row>
    <row r="2473" spans="1:11" s="4" customFormat="1">
      <c r="A2473" s="4">
        <v>118023</v>
      </c>
      <c r="B2473" s="4">
        <v>1</v>
      </c>
      <c r="C2473" s="4">
        <v>1</v>
      </c>
      <c r="D2473" s="4">
        <v>0</v>
      </c>
      <c r="E2473" s="4">
        <v>0</v>
      </c>
      <c r="F2473" s="4">
        <v>1</v>
      </c>
      <c r="G2473" s="4">
        <v>10120</v>
      </c>
      <c r="H2473" s="4">
        <f>INT(VLOOKUP(A2473,洗矿索引!$B$2:$H$97,IF(INT(G2473/10000)=11,7,IF(INT(G2473/10000)=2,6,IF(RIGHT(G2473,1)="0",4,5))),TRUE)/IF(INT(G2473/10000)=11,1,IF(INT(G2473/10000)=2,3,IF(RIGHT(G2473,1)=0,6,6)))*100000)</f>
        <v>20</v>
      </c>
      <c r="I2473" s="4">
        <f>IF(G2473=114000,VLOOKUP(A2473,洗矿索引!$B$2:$H$97,3,FALSE),1)</f>
        <v>1</v>
      </c>
      <c r="J2473" s="4">
        <f t="shared" si="60"/>
        <v>1</v>
      </c>
      <c r="K2473" s="6" t="s">
        <v>2401</v>
      </c>
    </row>
    <row r="2474" spans="1:11" s="4" customFormat="1">
      <c r="A2474" s="4">
        <v>118023</v>
      </c>
      <c r="B2474" s="4">
        <v>1</v>
      </c>
      <c r="C2474" s="4">
        <v>1</v>
      </c>
      <c r="D2474" s="4">
        <v>0</v>
      </c>
      <c r="E2474" s="4">
        <v>0</v>
      </c>
      <c r="F2474" s="4">
        <v>1</v>
      </c>
      <c r="G2474" s="4">
        <v>10220</v>
      </c>
      <c r="H2474" s="4">
        <f>INT(VLOOKUP(A2474,洗矿索引!$B$2:$H$97,IF(INT(G2474/10000)=11,7,IF(INT(G2474/10000)=2,6,IF(RIGHT(G2474,1)="0",4,5))),TRUE)/IF(INT(G2474/10000)=11,1,IF(INT(G2474/10000)=2,3,IF(RIGHT(G2474,1)=0,6,6)))*100000)</f>
        <v>20</v>
      </c>
      <c r="I2474" s="4">
        <f>IF(G2474=114000,VLOOKUP(A2474,洗矿索引!$B$2:$H$97,3,FALSE),1)</f>
        <v>1</v>
      </c>
      <c r="J2474" s="4">
        <f t="shared" si="60"/>
        <v>1</v>
      </c>
      <c r="K2474" s="6" t="s">
        <v>2402</v>
      </c>
    </row>
    <row r="2475" spans="1:11" s="4" customFormat="1">
      <c r="A2475" s="4">
        <v>118023</v>
      </c>
      <c r="B2475" s="4">
        <v>1</v>
      </c>
      <c r="C2475" s="4">
        <v>1</v>
      </c>
      <c r="D2475" s="4">
        <v>0</v>
      </c>
      <c r="E2475" s="4">
        <v>0</v>
      </c>
      <c r="F2475" s="4">
        <v>1</v>
      </c>
      <c r="G2475" s="4">
        <v>10320</v>
      </c>
      <c r="H2475" s="4">
        <f>INT(VLOOKUP(A2475,洗矿索引!$B$2:$H$97,IF(INT(G2475/10000)=11,7,IF(INT(G2475/10000)=2,6,IF(RIGHT(G2475,1)="0",4,5))),TRUE)/IF(INT(G2475/10000)=11,1,IF(INT(G2475/10000)=2,3,IF(RIGHT(G2475,1)=0,6,6)))*100000)</f>
        <v>20</v>
      </c>
      <c r="I2475" s="4">
        <f>IF(G2475=114000,VLOOKUP(A2475,洗矿索引!$B$2:$H$97,3,FALSE),1)</f>
        <v>1</v>
      </c>
      <c r="J2475" s="4">
        <f t="shared" si="60"/>
        <v>1</v>
      </c>
      <c r="K2475" s="6" t="s">
        <v>2403</v>
      </c>
    </row>
    <row r="2476" spans="1:11" s="4" customFormat="1">
      <c r="A2476" s="4">
        <v>118023</v>
      </c>
      <c r="B2476" s="4">
        <v>1</v>
      </c>
      <c r="C2476" s="4">
        <v>1</v>
      </c>
      <c r="D2476" s="4">
        <v>0</v>
      </c>
      <c r="E2476" s="4">
        <v>0</v>
      </c>
      <c r="F2476" s="4">
        <v>1</v>
      </c>
      <c r="G2476" s="4">
        <v>10420</v>
      </c>
      <c r="H2476" s="4">
        <f>INT(VLOOKUP(A2476,洗矿索引!$B$2:$H$97,IF(INT(G2476/10000)=11,7,IF(INT(G2476/10000)=2,6,IF(RIGHT(G2476,1)="0",4,5))),TRUE)/IF(INT(G2476/10000)=11,1,IF(INT(G2476/10000)=2,3,IF(RIGHT(G2476,1)=0,6,6)))*100000)</f>
        <v>20</v>
      </c>
      <c r="I2476" s="4">
        <f>IF(G2476=114000,VLOOKUP(A2476,洗矿索引!$B$2:$H$97,3,FALSE),1)</f>
        <v>1</v>
      </c>
      <c r="J2476" s="4">
        <f t="shared" si="60"/>
        <v>1</v>
      </c>
      <c r="K2476" s="6" t="s">
        <v>2404</v>
      </c>
    </row>
    <row r="2477" spans="1:11" s="4" customFormat="1">
      <c r="A2477" s="4">
        <v>118023</v>
      </c>
      <c r="B2477" s="4">
        <v>1</v>
      </c>
      <c r="C2477" s="4">
        <v>1</v>
      </c>
      <c r="D2477" s="4">
        <v>0</v>
      </c>
      <c r="E2477" s="4">
        <v>0</v>
      </c>
      <c r="F2477" s="4">
        <v>1</v>
      </c>
      <c r="G2477" s="4">
        <v>10520</v>
      </c>
      <c r="H2477" s="4">
        <f>INT(VLOOKUP(A2477,洗矿索引!$B$2:$H$97,IF(INT(G2477/10000)=11,7,IF(INT(G2477/10000)=2,6,IF(RIGHT(G2477,1)="0",4,5))),TRUE)/IF(INT(G2477/10000)=11,1,IF(INT(G2477/10000)=2,3,IF(RIGHT(G2477,1)=0,6,6)))*100000)</f>
        <v>20</v>
      </c>
      <c r="I2477" s="4">
        <f>IF(G2477=114000,VLOOKUP(A2477,洗矿索引!$B$2:$H$97,3,FALSE),1)</f>
        <v>1</v>
      </c>
      <c r="J2477" s="4">
        <f t="shared" si="60"/>
        <v>1</v>
      </c>
      <c r="K2477" s="6" t="s">
        <v>2405</v>
      </c>
    </row>
    <row r="2478" spans="1:11" s="4" customFormat="1">
      <c r="A2478" s="4">
        <v>118024</v>
      </c>
      <c r="B2478" s="4">
        <v>1</v>
      </c>
      <c r="C2478" s="4">
        <v>1</v>
      </c>
      <c r="D2478" s="4">
        <v>0</v>
      </c>
      <c r="E2478" s="4">
        <v>0</v>
      </c>
      <c r="F2478" s="4">
        <v>1</v>
      </c>
      <c r="G2478" s="4">
        <v>114000</v>
      </c>
      <c r="H2478" s="4">
        <f>INT(VLOOKUP(A2478,洗矿索引!$B$2:$H$97,IF(INT(G2478/10000)=11,7,IF(INT(G2478/10000)=2,6,IF(RIGHT(G2478,1)="0",4,5))),TRUE)/IF(INT(G2478/10000)=11,1,IF(INT(G2478/10000)=2,3,IF(RIGHT(G2478,1)=0,6,6)))*100000)</f>
        <v>93630</v>
      </c>
      <c r="I2478" s="4">
        <f>IF(G2478=114000,VLOOKUP(A2478,洗矿索引!$B$2:$H$97,3,FALSE),1)</f>
        <v>6</v>
      </c>
      <c r="J2478" s="4">
        <f t="shared" si="60"/>
        <v>6</v>
      </c>
      <c r="K2478" s="6" t="s">
        <v>2406</v>
      </c>
    </row>
    <row r="2479" spans="1:11" s="4" customFormat="1">
      <c r="A2479" s="4">
        <v>118024</v>
      </c>
      <c r="B2479" s="4">
        <v>1</v>
      </c>
      <c r="C2479" s="4">
        <v>1</v>
      </c>
      <c r="D2479" s="4">
        <v>0</v>
      </c>
      <c r="E2479" s="4">
        <v>0</v>
      </c>
      <c r="F2479" s="4">
        <v>1</v>
      </c>
      <c r="G2479" s="4">
        <v>21001</v>
      </c>
      <c r="H2479" s="4">
        <f>INT(VLOOKUP(A2479,洗矿索引!$B$2:$H$97,IF(INT(G2479/10000)=11,7,IF(INT(G2479/10000)=2,6,IF(RIGHT(G2479,1)="0",4,5))),TRUE)/IF(INT(G2479/10000)=11,1,IF(INT(G2479/10000)=2,3,IF(RIGHT(G2479,1)=0,6,6)))*100000)</f>
        <v>2080</v>
      </c>
      <c r="I2479" s="4">
        <f>IF(G2479=114000,VLOOKUP(A2479,洗矿索引!$B$2:$H$97,3,FALSE),1)</f>
        <v>1</v>
      </c>
      <c r="J2479" s="4">
        <f t="shared" si="60"/>
        <v>1</v>
      </c>
      <c r="K2479" s="6" t="s">
        <v>2407</v>
      </c>
    </row>
    <row r="2480" spans="1:11" s="4" customFormat="1">
      <c r="A2480" s="4">
        <v>118024</v>
      </c>
      <c r="B2480" s="4">
        <v>1</v>
      </c>
      <c r="C2480" s="4">
        <v>1</v>
      </c>
      <c r="D2480" s="4">
        <v>0</v>
      </c>
      <c r="E2480" s="4">
        <v>0</v>
      </c>
      <c r="F2480" s="4">
        <v>1</v>
      </c>
      <c r="G2480" s="4">
        <v>21002</v>
      </c>
      <c r="H2480" s="4">
        <f>INT(VLOOKUP(A2480,洗矿索引!$B$2:$H$97,IF(INT(G2480/10000)=11,7,IF(INT(G2480/10000)=2,6,IF(RIGHT(G2480,1)="0",4,5))),TRUE)/IF(INT(G2480/10000)=11,1,IF(INT(G2480/10000)=2,3,IF(RIGHT(G2480,1)=0,6,6)))*100000)</f>
        <v>2080</v>
      </c>
      <c r="I2480" s="4">
        <f>IF(G2480=114000,VLOOKUP(A2480,洗矿索引!$B$2:$H$97,3,FALSE),1)</f>
        <v>1</v>
      </c>
      <c r="J2480" s="4">
        <f t="shared" si="60"/>
        <v>1</v>
      </c>
      <c r="K2480" s="6" t="s">
        <v>2408</v>
      </c>
    </row>
    <row r="2481" spans="1:11" s="4" customFormat="1">
      <c r="A2481" s="4">
        <v>118024</v>
      </c>
      <c r="B2481" s="4">
        <v>1</v>
      </c>
      <c r="C2481" s="4">
        <v>1</v>
      </c>
      <c r="D2481" s="4">
        <v>0</v>
      </c>
      <c r="E2481" s="4">
        <v>0</v>
      </c>
      <c r="F2481" s="4">
        <v>1</v>
      </c>
      <c r="G2481" s="4">
        <v>21003</v>
      </c>
      <c r="H2481" s="4">
        <f>INT(VLOOKUP(A2481,洗矿索引!$B$2:$H$97,IF(INT(G2481/10000)=11,7,IF(INT(G2481/10000)=2,6,IF(RIGHT(G2481,1)="0",4,5))),TRUE)/IF(INT(G2481/10000)=11,1,IF(INT(G2481/10000)=2,3,IF(RIGHT(G2481,1)=0,6,6)))*100000)</f>
        <v>2080</v>
      </c>
      <c r="I2481" s="4">
        <f>IF(G2481=114000,VLOOKUP(A2481,洗矿索引!$B$2:$H$97,3,FALSE),1)</f>
        <v>1</v>
      </c>
      <c r="J2481" s="4">
        <f t="shared" si="60"/>
        <v>1</v>
      </c>
      <c r="K2481" s="6" t="s">
        <v>2409</v>
      </c>
    </row>
    <row r="2482" spans="1:11" s="4" customFormat="1">
      <c r="A2482" s="4">
        <v>118024</v>
      </c>
      <c r="B2482" s="4">
        <v>1</v>
      </c>
      <c r="C2482" s="4">
        <v>1</v>
      </c>
      <c r="D2482" s="4">
        <v>0</v>
      </c>
      <c r="E2482" s="4">
        <v>0</v>
      </c>
      <c r="F2482" s="4">
        <v>1</v>
      </c>
      <c r="G2482" s="4">
        <v>10110</v>
      </c>
      <c r="H2482" s="4">
        <f>INT(VLOOKUP(A2482,洗矿索引!$B$2:$H$97,IF(INT(G2482/10000)=11,7,IF(INT(G2482/10000)=2,6,IF(RIGHT(G2482,1)="0",4,5))),TRUE)/IF(INT(G2482/10000)=11,1,IF(INT(G2482/10000)=2,3,IF(RIGHT(G2482,1)=0,6,6)))*100000)</f>
        <v>21</v>
      </c>
      <c r="I2482" s="4">
        <f>IF(G2482=114000,VLOOKUP(A2482,洗矿索引!$B$2:$H$97,3,FALSE),1)</f>
        <v>1</v>
      </c>
      <c r="J2482" s="4">
        <f t="shared" si="60"/>
        <v>1</v>
      </c>
      <c r="K2482" s="6" t="s">
        <v>2410</v>
      </c>
    </row>
    <row r="2483" spans="1:11" s="4" customFormat="1">
      <c r="A2483" s="4">
        <v>118024</v>
      </c>
      <c r="B2483" s="4">
        <v>1</v>
      </c>
      <c r="C2483" s="4">
        <v>1</v>
      </c>
      <c r="D2483" s="4">
        <v>0</v>
      </c>
      <c r="E2483" s="4">
        <v>0</v>
      </c>
      <c r="F2483" s="4">
        <v>1</v>
      </c>
      <c r="G2483" s="4">
        <v>10120</v>
      </c>
      <c r="H2483" s="4">
        <f>INT(VLOOKUP(A2483,洗矿索引!$B$2:$H$97,IF(INT(G2483/10000)=11,7,IF(INT(G2483/10000)=2,6,IF(RIGHT(G2483,1)="0",4,5))),TRUE)/IF(INT(G2483/10000)=11,1,IF(INT(G2483/10000)=2,3,IF(RIGHT(G2483,1)=0,6,6)))*100000)</f>
        <v>21</v>
      </c>
      <c r="I2483" s="4">
        <f>IF(G2483=114000,VLOOKUP(A2483,洗矿索引!$B$2:$H$97,3,FALSE),1)</f>
        <v>1</v>
      </c>
      <c r="J2483" s="4">
        <f t="shared" si="60"/>
        <v>1</v>
      </c>
      <c r="K2483" s="6" t="s">
        <v>2411</v>
      </c>
    </row>
    <row r="2484" spans="1:11" s="4" customFormat="1">
      <c r="A2484" s="4">
        <v>118024</v>
      </c>
      <c r="B2484" s="4">
        <v>1</v>
      </c>
      <c r="C2484" s="4">
        <v>1</v>
      </c>
      <c r="D2484" s="4">
        <v>0</v>
      </c>
      <c r="E2484" s="4">
        <v>0</v>
      </c>
      <c r="F2484" s="4">
        <v>1</v>
      </c>
      <c r="G2484" s="4">
        <v>10220</v>
      </c>
      <c r="H2484" s="4">
        <f>INT(VLOOKUP(A2484,洗矿索引!$B$2:$H$97,IF(INT(G2484/10000)=11,7,IF(INT(G2484/10000)=2,6,IF(RIGHT(G2484,1)="0",4,5))),TRUE)/IF(INT(G2484/10000)=11,1,IF(INT(G2484/10000)=2,3,IF(RIGHT(G2484,1)=0,6,6)))*100000)</f>
        <v>21</v>
      </c>
      <c r="I2484" s="4">
        <f>IF(G2484=114000,VLOOKUP(A2484,洗矿索引!$B$2:$H$97,3,FALSE),1)</f>
        <v>1</v>
      </c>
      <c r="J2484" s="4">
        <f t="shared" si="60"/>
        <v>1</v>
      </c>
      <c r="K2484" s="6" t="s">
        <v>2412</v>
      </c>
    </row>
    <row r="2485" spans="1:11" s="4" customFormat="1">
      <c r="A2485" s="4">
        <v>118024</v>
      </c>
      <c r="B2485" s="4">
        <v>1</v>
      </c>
      <c r="C2485" s="4">
        <v>1</v>
      </c>
      <c r="D2485" s="4">
        <v>0</v>
      </c>
      <c r="E2485" s="4">
        <v>0</v>
      </c>
      <c r="F2485" s="4">
        <v>1</v>
      </c>
      <c r="G2485" s="4">
        <v>10320</v>
      </c>
      <c r="H2485" s="4">
        <f>INT(VLOOKUP(A2485,洗矿索引!$B$2:$H$97,IF(INT(G2485/10000)=11,7,IF(INT(G2485/10000)=2,6,IF(RIGHT(G2485,1)="0",4,5))),TRUE)/IF(INT(G2485/10000)=11,1,IF(INT(G2485/10000)=2,3,IF(RIGHT(G2485,1)=0,6,6)))*100000)</f>
        <v>21</v>
      </c>
      <c r="I2485" s="4">
        <f>IF(G2485=114000,VLOOKUP(A2485,洗矿索引!$B$2:$H$97,3,FALSE),1)</f>
        <v>1</v>
      </c>
      <c r="J2485" s="4">
        <f t="shared" si="60"/>
        <v>1</v>
      </c>
      <c r="K2485" s="6" t="s">
        <v>2413</v>
      </c>
    </row>
    <row r="2486" spans="1:11" s="4" customFormat="1">
      <c r="A2486" s="4">
        <v>118024</v>
      </c>
      <c r="B2486" s="4">
        <v>1</v>
      </c>
      <c r="C2486" s="4">
        <v>1</v>
      </c>
      <c r="D2486" s="4">
        <v>0</v>
      </c>
      <c r="E2486" s="4">
        <v>0</v>
      </c>
      <c r="F2486" s="4">
        <v>1</v>
      </c>
      <c r="G2486" s="4">
        <v>10420</v>
      </c>
      <c r="H2486" s="4">
        <f>INT(VLOOKUP(A2486,洗矿索引!$B$2:$H$97,IF(INT(G2486/10000)=11,7,IF(INT(G2486/10000)=2,6,IF(RIGHT(G2486,1)="0",4,5))),TRUE)/IF(INT(G2486/10000)=11,1,IF(INT(G2486/10000)=2,3,IF(RIGHT(G2486,1)=0,6,6)))*100000)</f>
        <v>21</v>
      </c>
      <c r="I2486" s="4">
        <f>IF(G2486=114000,VLOOKUP(A2486,洗矿索引!$B$2:$H$97,3,FALSE),1)</f>
        <v>1</v>
      </c>
      <c r="J2486" s="4">
        <f t="shared" si="60"/>
        <v>1</v>
      </c>
      <c r="K2486" s="6" t="s">
        <v>2414</v>
      </c>
    </row>
    <row r="2487" spans="1:11" s="4" customFormat="1">
      <c r="A2487" s="4">
        <v>118024</v>
      </c>
      <c r="B2487" s="4">
        <v>1</v>
      </c>
      <c r="C2487" s="4">
        <v>1</v>
      </c>
      <c r="D2487" s="4">
        <v>0</v>
      </c>
      <c r="E2487" s="4">
        <v>0</v>
      </c>
      <c r="F2487" s="4">
        <v>1</v>
      </c>
      <c r="G2487" s="4">
        <v>10520</v>
      </c>
      <c r="H2487" s="4">
        <f>INT(VLOOKUP(A2487,洗矿索引!$B$2:$H$97,IF(INT(G2487/10000)=11,7,IF(INT(G2487/10000)=2,6,IF(RIGHT(G2487,1)="0",4,5))),TRUE)/IF(INT(G2487/10000)=11,1,IF(INT(G2487/10000)=2,3,IF(RIGHT(G2487,1)=0,6,6)))*100000)</f>
        <v>21</v>
      </c>
      <c r="I2487" s="4">
        <f>IF(G2487=114000,VLOOKUP(A2487,洗矿索引!$B$2:$H$97,3,FALSE),1)</f>
        <v>1</v>
      </c>
      <c r="J2487" s="4">
        <f t="shared" si="60"/>
        <v>1</v>
      </c>
      <c r="K2487" s="6" t="s">
        <v>2415</v>
      </c>
    </row>
    <row r="2488" spans="1:11" s="4" customFormat="1">
      <c r="A2488" s="4">
        <v>118025</v>
      </c>
      <c r="B2488" s="4">
        <v>1</v>
      </c>
      <c r="C2488" s="4">
        <v>1</v>
      </c>
      <c r="D2488" s="4">
        <v>0</v>
      </c>
      <c r="E2488" s="4">
        <v>0</v>
      </c>
      <c r="F2488" s="4">
        <v>1</v>
      </c>
      <c r="G2488" s="4">
        <v>114000</v>
      </c>
      <c r="H2488" s="4">
        <f>INT(VLOOKUP(A2488,洗矿索引!$B$2:$H$97,IF(INT(G2488/10000)=11,7,IF(INT(G2488/10000)=2,6,IF(RIGHT(G2488,1)="0",4,5))),TRUE)/IF(INT(G2488/10000)=11,1,IF(INT(G2488/10000)=2,3,IF(RIGHT(G2488,1)=0,6,6)))*100000)</f>
        <v>93385</v>
      </c>
      <c r="I2488" s="4">
        <f>IF(G2488=114000,VLOOKUP(A2488,洗矿索引!$B$2:$H$97,3,FALSE),1)</f>
        <v>6</v>
      </c>
      <c r="J2488" s="4">
        <f t="shared" si="60"/>
        <v>6</v>
      </c>
      <c r="K2488" s="6" t="s">
        <v>2416</v>
      </c>
    </row>
    <row r="2489" spans="1:11" s="4" customFormat="1">
      <c r="A2489" s="4">
        <v>118025</v>
      </c>
      <c r="B2489" s="4">
        <v>1</v>
      </c>
      <c r="C2489" s="4">
        <v>1</v>
      </c>
      <c r="D2489" s="4">
        <v>0</v>
      </c>
      <c r="E2489" s="4">
        <v>0</v>
      </c>
      <c r="F2489" s="4">
        <v>1</v>
      </c>
      <c r="G2489" s="4">
        <v>21001</v>
      </c>
      <c r="H2489" s="4">
        <f>INT(VLOOKUP(A2489,洗矿索引!$B$2:$H$97,IF(INT(G2489/10000)=11,7,IF(INT(G2489/10000)=2,6,IF(RIGHT(G2489,1)="0",4,5))),TRUE)/IF(INT(G2489/10000)=11,1,IF(INT(G2489/10000)=2,3,IF(RIGHT(G2489,1)=0,6,6)))*100000)</f>
        <v>2160</v>
      </c>
      <c r="I2489" s="4">
        <f>IF(G2489=114000,VLOOKUP(A2489,洗矿索引!$B$2:$H$97,3,FALSE),1)</f>
        <v>1</v>
      </c>
      <c r="J2489" s="4">
        <f t="shared" ref="J2489:J2507" si="61">I2489</f>
        <v>1</v>
      </c>
      <c r="K2489" s="6" t="s">
        <v>2417</v>
      </c>
    </row>
    <row r="2490" spans="1:11" s="4" customFormat="1">
      <c r="A2490" s="4">
        <v>118025</v>
      </c>
      <c r="B2490" s="4">
        <v>1</v>
      </c>
      <c r="C2490" s="4">
        <v>1</v>
      </c>
      <c r="D2490" s="4">
        <v>0</v>
      </c>
      <c r="E2490" s="4">
        <v>0</v>
      </c>
      <c r="F2490" s="4">
        <v>1</v>
      </c>
      <c r="G2490" s="4">
        <v>21002</v>
      </c>
      <c r="H2490" s="4">
        <f>INT(VLOOKUP(A2490,洗矿索引!$B$2:$H$97,IF(INT(G2490/10000)=11,7,IF(INT(G2490/10000)=2,6,IF(RIGHT(G2490,1)="0",4,5))),TRUE)/IF(INT(G2490/10000)=11,1,IF(INT(G2490/10000)=2,3,IF(RIGHT(G2490,1)=0,6,6)))*100000)</f>
        <v>2160</v>
      </c>
      <c r="I2490" s="4">
        <f>IF(G2490=114000,VLOOKUP(A2490,洗矿索引!$B$2:$H$97,3,FALSE),1)</f>
        <v>1</v>
      </c>
      <c r="J2490" s="4">
        <f t="shared" si="61"/>
        <v>1</v>
      </c>
      <c r="K2490" s="6" t="s">
        <v>2418</v>
      </c>
    </row>
    <row r="2491" spans="1:11" s="4" customFormat="1">
      <c r="A2491" s="4">
        <v>118025</v>
      </c>
      <c r="B2491" s="4">
        <v>1</v>
      </c>
      <c r="C2491" s="4">
        <v>1</v>
      </c>
      <c r="D2491" s="4">
        <v>0</v>
      </c>
      <c r="E2491" s="4">
        <v>0</v>
      </c>
      <c r="F2491" s="4">
        <v>1</v>
      </c>
      <c r="G2491" s="4">
        <v>21003</v>
      </c>
      <c r="H2491" s="4">
        <f>INT(VLOOKUP(A2491,洗矿索引!$B$2:$H$97,IF(INT(G2491/10000)=11,7,IF(INT(G2491/10000)=2,6,IF(RIGHT(G2491,1)="0",4,5))),TRUE)/IF(INT(G2491/10000)=11,1,IF(INT(G2491/10000)=2,3,IF(RIGHT(G2491,1)=0,6,6)))*100000)</f>
        <v>2160</v>
      </c>
      <c r="I2491" s="4">
        <f>IF(G2491=114000,VLOOKUP(A2491,洗矿索引!$B$2:$H$97,3,FALSE),1)</f>
        <v>1</v>
      </c>
      <c r="J2491" s="4">
        <f t="shared" si="61"/>
        <v>1</v>
      </c>
      <c r="K2491" s="6" t="s">
        <v>2419</v>
      </c>
    </row>
    <row r="2492" spans="1:11" s="4" customFormat="1">
      <c r="A2492" s="4">
        <v>118025</v>
      </c>
      <c r="B2492" s="4">
        <v>1</v>
      </c>
      <c r="C2492" s="4">
        <v>1</v>
      </c>
      <c r="D2492" s="4">
        <v>0</v>
      </c>
      <c r="E2492" s="4">
        <v>0</v>
      </c>
      <c r="F2492" s="4">
        <v>1</v>
      </c>
      <c r="G2492" s="4">
        <v>10110</v>
      </c>
      <c r="H2492" s="4">
        <f>INT(VLOOKUP(A2492,洗矿索引!$B$2:$H$97,IF(INT(G2492/10000)=11,7,IF(INT(G2492/10000)=2,6,IF(RIGHT(G2492,1)="0",4,5))),TRUE)/IF(INT(G2492/10000)=11,1,IF(INT(G2492/10000)=2,3,IF(RIGHT(G2492,1)=0,6,6)))*100000)</f>
        <v>22</v>
      </c>
      <c r="I2492" s="4">
        <f>IF(G2492=114000,VLOOKUP(A2492,洗矿索引!$B$2:$H$97,3,FALSE),1)</f>
        <v>1</v>
      </c>
      <c r="J2492" s="4">
        <f t="shared" si="61"/>
        <v>1</v>
      </c>
      <c r="K2492" s="6" t="s">
        <v>2420</v>
      </c>
    </row>
    <row r="2493" spans="1:11" s="4" customFormat="1">
      <c r="A2493" s="4">
        <v>118025</v>
      </c>
      <c r="B2493" s="4">
        <v>1</v>
      </c>
      <c r="C2493" s="4">
        <v>1</v>
      </c>
      <c r="D2493" s="4">
        <v>0</v>
      </c>
      <c r="E2493" s="4">
        <v>0</v>
      </c>
      <c r="F2493" s="4">
        <v>1</v>
      </c>
      <c r="G2493" s="4">
        <v>10120</v>
      </c>
      <c r="H2493" s="4">
        <f>INT(VLOOKUP(A2493,洗矿索引!$B$2:$H$97,IF(INT(G2493/10000)=11,7,IF(INT(G2493/10000)=2,6,IF(RIGHT(G2493,1)="0",4,5))),TRUE)/IF(INT(G2493/10000)=11,1,IF(INT(G2493/10000)=2,3,IF(RIGHT(G2493,1)=0,6,6)))*100000)</f>
        <v>22</v>
      </c>
      <c r="I2493" s="4">
        <f>IF(G2493=114000,VLOOKUP(A2493,洗矿索引!$B$2:$H$97,3,FALSE),1)</f>
        <v>1</v>
      </c>
      <c r="J2493" s="4">
        <f t="shared" si="61"/>
        <v>1</v>
      </c>
      <c r="K2493" s="6" t="s">
        <v>2421</v>
      </c>
    </row>
    <row r="2494" spans="1:11" s="4" customFormat="1">
      <c r="A2494" s="4">
        <v>118025</v>
      </c>
      <c r="B2494" s="4">
        <v>1</v>
      </c>
      <c r="C2494" s="4">
        <v>1</v>
      </c>
      <c r="D2494" s="4">
        <v>0</v>
      </c>
      <c r="E2494" s="4">
        <v>0</v>
      </c>
      <c r="F2494" s="4">
        <v>1</v>
      </c>
      <c r="G2494" s="4">
        <v>10220</v>
      </c>
      <c r="H2494" s="4">
        <f>INT(VLOOKUP(A2494,洗矿索引!$B$2:$H$97,IF(INT(G2494/10000)=11,7,IF(INT(G2494/10000)=2,6,IF(RIGHT(G2494,1)="0",4,5))),TRUE)/IF(INT(G2494/10000)=11,1,IF(INT(G2494/10000)=2,3,IF(RIGHT(G2494,1)=0,6,6)))*100000)</f>
        <v>22</v>
      </c>
      <c r="I2494" s="4">
        <f>IF(G2494=114000,VLOOKUP(A2494,洗矿索引!$B$2:$H$97,3,FALSE),1)</f>
        <v>1</v>
      </c>
      <c r="J2494" s="4">
        <f t="shared" si="61"/>
        <v>1</v>
      </c>
      <c r="K2494" s="6" t="s">
        <v>2422</v>
      </c>
    </row>
    <row r="2495" spans="1:11" s="4" customFormat="1">
      <c r="A2495" s="4">
        <v>118025</v>
      </c>
      <c r="B2495" s="4">
        <v>1</v>
      </c>
      <c r="C2495" s="4">
        <v>1</v>
      </c>
      <c r="D2495" s="4">
        <v>0</v>
      </c>
      <c r="E2495" s="4">
        <v>0</v>
      </c>
      <c r="F2495" s="4">
        <v>1</v>
      </c>
      <c r="G2495" s="4">
        <v>10320</v>
      </c>
      <c r="H2495" s="4">
        <f>INT(VLOOKUP(A2495,洗矿索引!$B$2:$H$97,IF(INT(G2495/10000)=11,7,IF(INT(G2495/10000)=2,6,IF(RIGHT(G2495,1)="0",4,5))),TRUE)/IF(INT(G2495/10000)=11,1,IF(INT(G2495/10000)=2,3,IF(RIGHT(G2495,1)=0,6,6)))*100000)</f>
        <v>22</v>
      </c>
      <c r="I2495" s="4">
        <f>IF(G2495=114000,VLOOKUP(A2495,洗矿索引!$B$2:$H$97,3,FALSE),1)</f>
        <v>1</v>
      </c>
      <c r="J2495" s="4">
        <f t="shared" si="61"/>
        <v>1</v>
      </c>
      <c r="K2495" s="6" t="s">
        <v>2423</v>
      </c>
    </row>
    <row r="2496" spans="1:11" s="4" customFormat="1">
      <c r="A2496" s="4">
        <v>118025</v>
      </c>
      <c r="B2496" s="4">
        <v>1</v>
      </c>
      <c r="C2496" s="4">
        <v>1</v>
      </c>
      <c r="D2496" s="4">
        <v>0</v>
      </c>
      <c r="E2496" s="4">
        <v>0</v>
      </c>
      <c r="F2496" s="4">
        <v>1</v>
      </c>
      <c r="G2496" s="4">
        <v>10420</v>
      </c>
      <c r="H2496" s="4">
        <f>INT(VLOOKUP(A2496,洗矿索引!$B$2:$H$97,IF(INT(G2496/10000)=11,7,IF(INT(G2496/10000)=2,6,IF(RIGHT(G2496,1)="0",4,5))),TRUE)/IF(INT(G2496/10000)=11,1,IF(INT(G2496/10000)=2,3,IF(RIGHT(G2496,1)=0,6,6)))*100000)</f>
        <v>22</v>
      </c>
      <c r="I2496" s="4">
        <f>IF(G2496=114000,VLOOKUP(A2496,洗矿索引!$B$2:$H$97,3,FALSE),1)</f>
        <v>1</v>
      </c>
      <c r="J2496" s="4">
        <f t="shared" si="61"/>
        <v>1</v>
      </c>
      <c r="K2496" s="6" t="s">
        <v>2424</v>
      </c>
    </row>
    <row r="2497" spans="1:11" s="4" customFormat="1">
      <c r="A2497" s="4">
        <v>118025</v>
      </c>
      <c r="B2497" s="4">
        <v>1</v>
      </c>
      <c r="C2497" s="4">
        <v>1</v>
      </c>
      <c r="D2497" s="4">
        <v>0</v>
      </c>
      <c r="E2497" s="4">
        <v>0</v>
      </c>
      <c r="F2497" s="4">
        <v>1</v>
      </c>
      <c r="G2497" s="4">
        <v>10520</v>
      </c>
      <c r="H2497" s="4">
        <f>INT(VLOOKUP(A2497,洗矿索引!$B$2:$H$97,IF(INT(G2497/10000)=11,7,IF(INT(G2497/10000)=2,6,IF(RIGHT(G2497,1)="0",4,5))),TRUE)/IF(INT(G2497/10000)=11,1,IF(INT(G2497/10000)=2,3,IF(RIGHT(G2497,1)=0,6,6)))*100000)</f>
        <v>22</v>
      </c>
      <c r="I2497" s="4">
        <f>IF(G2497=114000,VLOOKUP(A2497,洗矿索引!$B$2:$H$97,3,FALSE),1)</f>
        <v>1</v>
      </c>
      <c r="J2497" s="4">
        <f t="shared" si="61"/>
        <v>1</v>
      </c>
      <c r="K2497" s="6" t="s">
        <v>2425</v>
      </c>
    </row>
    <row r="2498" spans="1:11" s="4" customFormat="1">
      <c r="A2498" s="4">
        <v>118026</v>
      </c>
      <c r="B2498" s="4">
        <v>1</v>
      </c>
      <c r="C2498" s="4">
        <v>1</v>
      </c>
      <c r="D2498" s="4">
        <v>0</v>
      </c>
      <c r="E2498" s="4">
        <v>0</v>
      </c>
      <c r="F2498" s="4">
        <v>1</v>
      </c>
      <c r="G2498" s="4">
        <v>114000</v>
      </c>
      <c r="H2498" s="4">
        <f>INT(VLOOKUP(A2498,洗矿索引!$B$2:$H$97,IF(INT(G2498/10000)=11,7,IF(INT(G2498/10000)=2,6,IF(RIGHT(G2498,1)="0",4,5))),TRUE)/IF(INT(G2498/10000)=11,1,IF(INT(G2498/10000)=2,3,IF(RIGHT(G2498,1)=0,6,6)))*100000)</f>
        <v>93140</v>
      </c>
      <c r="I2498" s="4">
        <f>IF(G2498=114000,VLOOKUP(A2498,洗矿索引!$B$2:$H$97,3,FALSE),1)</f>
        <v>6</v>
      </c>
      <c r="J2498" s="4">
        <f t="shared" si="61"/>
        <v>6</v>
      </c>
      <c r="K2498" s="6" t="s">
        <v>2426</v>
      </c>
    </row>
    <row r="2499" spans="1:11" s="4" customFormat="1">
      <c r="A2499" s="4">
        <v>118026</v>
      </c>
      <c r="B2499" s="4">
        <v>1</v>
      </c>
      <c r="C2499" s="4">
        <v>1</v>
      </c>
      <c r="D2499" s="4">
        <v>0</v>
      </c>
      <c r="E2499" s="4">
        <v>0</v>
      </c>
      <c r="F2499" s="4">
        <v>1</v>
      </c>
      <c r="G2499" s="4">
        <v>21001</v>
      </c>
      <c r="H2499" s="4">
        <f>INT(VLOOKUP(A2499,洗矿索引!$B$2:$H$97,IF(INT(G2499/10000)=11,7,IF(INT(G2499/10000)=2,6,IF(RIGHT(G2499,1)="0",4,5))),TRUE)/IF(INT(G2499/10000)=11,1,IF(INT(G2499/10000)=2,3,IF(RIGHT(G2499,1)=0,6,6)))*100000)</f>
        <v>2240</v>
      </c>
      <c r="I2499" s="4">
        <f>IF(G2499=114000,VLOOKUP(A2499,洗矿索引!$B$2:$H$97,3,FALSE),1)</f>
        <v>1</v>
      </c>
      <c r="J2499" s="4">
        <f t="shared" si="61"/>
        <v>1</v>
      </c>
      <c r="K2499" s="6" t="s">
        <v>2427</v>
      </c>
    </row>
    <row r="2500" spans="1:11" s="4" customFormat="1">
      <c r="A2500" s="4">
        <v>118026</v>
      </c>
      <c r="B2500" s="4">
        <v>1</v>
      </c>
      <c r="C2500" s="4">
        <v>1</v>
      </c>
      <c r="D2500" s="4">
        <v>0</v>
      </c>
      <c r="E2500" s="4">
        <v>0</v>
      </c>
      <c r="F2500" s="4">
        <v>1</v>
      </c>
      <c r="G2500" s="4">
        <v>21002</v>
      </c>
      <c r="H2500" s="4">
        <f>INT(VLOOKUP(A2500,洗矿索引!$B$2:$H$97,IF(INT(G2500/10000)=11,7,IF(INT(G2500/10000)=2,6,IF(RIGHT(G2500,1)="0",4,5))),TRUE)/IF(INT(G2500/10000)=11,1,IF(INT(G2500/10000)=2,3,IF(RIGHT(G2500,1)=0,6,6)))*100000)</f>
        <v>2240</v>
      </c>
      <c r="I2500" s="4">
        <f>IF(G2500=114000,VLOOKUP(A2500,洗矿索引!$B$2:$H$97,3,FALSE),1)</f>
        <v>1</v>
      </c>
      <c r="J2500" s="4">
        <f t="shared" si="61"/>
        <v>1</v>
      </c>
      <c r="K2500" s="6" t="s">
        <v>2428</v>
      </c>
    </row>
    <row r="2501" spans="1:11" s="4" customFormat="1">
      <c r="A2501" s="4">
        <v>118026</v>
      </c>
      <c r="B2501" s="4">
        <v>1</v>
      </c>
      <c r="C2501" s="4">
        <v>1</v>
      </c>
      <c r="D2501" s="4">
        <v>0</v>
      </c>
      <c r="E2501" s="4">
        <v>0</v>
      </c>
      <c r="F2501" s="4">
        <v>1</v>
      </c>
      <c r="G2501" s="4">
        <v>21003</v>
      </c>
      <c r="H2501" s="4">
        <f>INT(VLOOKUP(A2501,洗矿索引!$B$2:$H$97,IF(INT(G2501/10000)=11,7,IF(INT(G2501/10000)=2,6,IF(RIGHT(G2501,1)="0",4,5))),TRUE)/IF(INT(G2501/10000)=11,1,IF(INT(G2501/10000)=2,3,IF(RIGHT(G2501,1)=0,6,6)))*100000)</f>
        <v>2240</v>
      </c>
      <c r="I2501" s="4">
        <f>IF(G2501=114000,VLOOKUP(A2501,洗矿索引!$B$2:$H$97,3,FALSE),1)</f>
        <v>1</v>
      </c>
      <c r="J2501" s="4">
        <f t="shared" si="61"/>
        <v>1</v>
      </c>
      <c r="K2501" s="6" t="s">
        <v>2429</v>
      </c>
    </row>
    <row r="2502" spans="1:11" s="4" customFormat="1">
      <c r="A2502" s="4">
        <v>118026</v>
      </c>
      <c r="B2502" s="4">
        <v>1</v>
      </c>
      <c r="C2502" s="4">
        <v>1</v>
      </c>
      <c r="D2502" s="4">
        <v>0</v>
      </c>
      <c r="E2502" s="4">
        <v>0</v>
      </c>
      <c r="F2502" s="4">
        <v>1</v>
      </c>
      <c r="G2502" s="4">
        <v>10110</v>
      </c>
      <c r="H2502" s="4">
        <f>INT(VLOOKUP(A2502,洗矿索引!$B$2:$H$97,IF(INT(G2502/10000)=11,7,IF(INT(G2502/10000)=2,6,IF(RIGHT(G2502,1)="0",4,5))),TRUE)/IF(INT(G2502/10000)=11,1,IF(INT(G2502/10000)=2,3,IF(RIGHT(G2502,1)=0,6,6)))*100000)</f>
        <v>23</v>
      </c>
      <c r="I2502" s="4">
        <f>IF(G2502=114000,VLOOKUP(A2502,洗矿索引!$B$2:$H$97,3,FALSE),1)</f>
        <v>1</v>
      </c>
      <c r="J2502" s="4">
        <f t="shared" si="61"/>
        <v>1</v>
      </c>
      <c r="K2502" s="6" t="s">
        <v>2430</v>
      </c>
    </row>
    <row r="2503" spans="1:11" s="4" customFormat="1">
      <c r="A2503" s="4">
        <v>118026</v>
      </c>
      <c r="B2503" s="4">
        <v>1</v>
      </c>
      <c r="C2503" s="4">
        <v>1</v>
      </c>
      <c r="D2503" s="4">
        <v>0</v>
      </c>
      <c r="E2503" s="4">
        <v>0</v>
      </c>
      <c r="F2503" s="4">
        <v>1</v>
      </c>
      <c r="G2503" s="4">
        <v>10120</v>
      </c>
      <c r="H2503" s="4">
        <f>INT(VLOOKUP(A2503,洗矿索引!$B$2:$H$97,IF(INT(G2503/10000)=11,7,IF(INT(G2503/10000)=2,6,IF(RIGHT(G2503,1)="0",4,5))),TRUE)/IF(INT(G2503/10000)=11,1,IF(INT(G2503/10000)=2,3,IF(RIGHT(G2503,1)=0,6,6)))*100000)</f>
        <v>23</v>
      </c>
      <c r="I2503" s="4">
        <f>IF(G2503=114000,VLOOKUP(A2503,洗矿索引!$B$2:$H$97,3,FALSE),1)</f>
        <v>1</v>
      </c>
      <c r="J2503" s="4">
        <f t="shared" si="61"/>
        <v>1</v>
      </c>
      <c r="K2503" s="6" t="s">
        <v>2431</v>
      </c>
    </row>
    <row r="2504" spans="1:11" s="4" customFormat="1">
      <c r="A2504" s="4">
        <v>118026</v>
      </c>
      <c r="B2504" s="4">
        <v>1</v>
      </c>
      <c r="C2504" s="4">
        <v>1</v>
      </c>
      <c r="D2504" s="4">
        <v>0</v>
      </c>
      <c r="E2504" s="4">
        <v>0</v>
      </c>
      <c r="F2504" s="4">
        <v>1</v>
      </c>
      <c r="G2504" s="4">
        <v>10220</v>
      </c>
      <c r="H2504" s="4">
        <f>INT(VLOOKUP(A2504,洗矿索引!$B$2:$H$97,IF(INT(G2504/10000)=11,7,IF(INT(G2504/10000)=2,6,IF(RIGHT(G2504,1)="0",4,5))),TRUE)/IF(INT(G2504/10000)=11,1,IF(INT(G2504/10000)=2,3,IF(RIGHT(G2504,1)=0,6,6)))*100000)</f>
        <v>23</v>
      </c>
      <c r="I2504" s="4">
        <f>IF(G2504=114000,VLOOKUP(A2504,洗矿索引!$B$2:$H$97,3,FALSE),1)</f>
        <v>1</v>
      </c>
      <c r="J2504" s="4">
        <f t="shared" si="61"/>
        <v>1</v>
      </c>
      <c r="K2504" s="6" t="s">
        <v>2432</v>
      </c>
    </row>
    <row r="2505" spans="1:11" s="4" customFormat="1">
      <c r="A2505" s="4">
        <v>118026</v>
      </c>
      <c r="B2505" s="4">
        <v>1</v>
      </c>
      <c r="C2505" s="4">
        <v>1</v>
      </c>
      <c r="D2505" s="4">
        <v>0</v>
      </c>
      <c r="E2505" s="4">
        <v>0</v>
      </c>
      <c r="F2505" s="4">
        <v>1</v>
      </c>
      <c r="G2505" s="4">
        <v>10320</v>
      </c>
      <c r="H2505" s="4">
        <f>INT(VLOOKUP(A2505,洗矿索引!$B$2:$H$97,IF(INT(G2505/10000)=11,7,IF(INT(G2505/10000)=2,6,IF(RIGHT(G2505,1)="0",4,5))),TRUE)/IF(INT(G2505/10000)=11,1,IF(INT(G2505/10000)=2,3,IF(RIGHT(G2505,1)=0,6,6)))*100000)</f>
        <v>23</v>
      </c>
      <c r="I2505" s="4">
        <f>IF(G2505=114000,VLOOKUP(A2505,洗矿索引!$B$2:$H$97,3,FALSE),1)</f>
        <v>1</v>
      </c>
      <c r="J2505" s="4">
        <f t="shared" si="61"/>
        <v>1</v>
      </c>
      <c r="K2505" s="6" t="s">
        <v>2433</v>
      </c>
    </row>
    <row r="2506" spans="1:11" s="4" customFormat="1">
      <c r="A2506" s="4">
        <v>118026</v>
      </c>
      <c r="B2506" s="4">
        <v>1</v>
      </c>
      <c r="C2506" s="4">
        <v>1</v>
      </c>
      <c r="D2506" s="4">
        <v>0</v>
      </c>
      <c r="E2506" s="4">
        <v>0</v>
      </c>
      <c r="F2506" s="4">
        <v>1</v>
      </c>
      <c r="G2506" s="4">
        <v>10420</v>
      </c>
      <c r="H2506" s="4">
        <f>INT(VLOOKUP(A2506,洗矿索引!$B$2:$H$97,IF(INT(G2506/10000)=11,7,IF(INT(G2506/10000)=2,6,IF(RIGHT(G2506,1)="0",4,5))),TRUE)/IF(INT(G2506/10000)=11,1,IF(INT(G2506/10000)=2,3,IF(RIGHT(G2506,1)=0,6,6)))*100000)</f>
        <v>23</v>
      </c>
      <c r="I2506" s="4">
        <f>IF(G2506=114000,VLOOKUP(A2506,洗矿索引!$B$2:$H$97,3,FALSE),1)</f>
        <v>1</v>
      </c>
      <c r="J2506" s="4">
        <f t="shared" si="61"/>
        <v>1</v>
      </c>
      <c r="K2506" s="6" t="s">
        <v>2434</v>
      </c>
    </row>
    <row r="2507" spans="1:11" s="4" customFormat="1">
      <c r="A2507" s="4">
        <v>118026</v>
      </c>
      <c r="B2507" s="4">
        <v>1</v>
      </c>
      <c r="C2507" s="4">
        <v>1</v>
      </c>
      <c r="D2507" s="4">
        <v>0</v>
      </c>
      <c r="E2507" s="4">
        <v>0</v>
      </c>
      <c r="F2507" s="4">
        <v>1</v>
      </c>
      <c r="G2507" s="4">
        <v>10520</v>
      </c>
      <c r="H2507" s="4">
        <f>INT(VLOOKUP(A2507,洗矿索引!$B$2:$H$97,IF(INT(G2507/10000)=11,7,IF(INT(G2507/10000)=2,6,IF(RIGHT(G2507,1)="0",4,5))),TRUE)/IF(INT(G2507/10000)=11,1,IF(INT(G2507/10000)=2,3,IF(RIGHT(G2507,1)=0,6,6)))*100000)</f>
        <v>23</v>
      </c>
      <c r="I2507" s="4">
        <f>IF(G2507=114000,VLOOKUP(A2507,洗矿索引!$B$2:$H$97,3,FALSE),1)</f>
        <v>1</v>
      </c>
      <c r="J2507" s="4">
        <f t="shared" si="61"/>
        <v>1</v>
      </c>
      <c r="K2507" s="6" t="s">
        <v>2435</v>
      </c>
    </row>
    <row r="2508" spans="1:11" s="4" customFormat="1">
      <c r="A2508" s="4">
        <v>120001</v>
      </c>
      <c r="B2508" s="4">
        <v>1</v>
      </c>
      <c r="C2508" s="4">
        <v>1</v>
      </c>
      <c r="D2508" s="4">
        <v>0</v>
      </c>
      <c r="E2508" s="4">
        <v>0</v>
      </c>
      <c r="F2508" s="4">
        <v>1</v>
      </c>
      <c r="G2508" s="4">
        <v>120001</v>
      </c>
      <c r="H2508" s="4">
        <v>1</v>
      </c>
      <c r="I2508" s="4">
        <v>1</v>
      </c>
      <c r="J2508" s="4">
        <v>1</v>
      </c>
      <c r="K2508" s="4" t="s">
        <v>745</v>
      </c>
    </row>
    <row r="2509" spans="1:11" s="4" customFormat="1">
      <c r="A2509" s="4">
        <v>120002</v>
      </c>
      <c r="B2509" s="4">
        <v>1</v>
      </c>
      <c r="C2509" s="4">
        <v>1</v>
      </c>
      <c r="D2509" s="4">
        <v>0</v>
      </c>
      <c r="E2509" s="4">
        <v>0</v>
      </c>
      <c r="F2509" s="4">
        <v>1</v>
      </c>
      <c r="G2509" s="4">
        <v>120002</v>
      </c>
      <c r="H2509" s="4">
        <v>1</v>
      </c>
      <c r="I2509" s="4">
        <v>1</v>
      </c>
      <c r="J2509" s="4">
        <v>1</v>
      </c>
      <c r="K2509" s="4" t="s">
        <v>746</v>
      </c>
    </row>
    <row r="2510" spans="1:11" s="4" customFormat="1">
      <c r="A2510" s="4">
        <v>120003</v>
      </c>
      <c r="B2510" s="4">
        <v>1</v>
      </c>
      <c r="C2510" s="4">
        <v>1</v>
      </c>
      <c r="D2510" s="4">
        <v>0</v>
      </c>
      <c r="E2510" s="4">
        <v>0</v>
      </c>
      <c r="F2510" s="4">
        <v>1</v>
      </c>
      <c r="G2510" s="4">
        <v>120003</v>
      </c>
      <c r="H2510" s="4">
        <v>1</v>
      </c>
      <c r="I2510" s="4">
        <v>1</v>
      </c>
      <c r="J2510" s="4">
        <v>1</v>
      </c>
      <c r="K2510" s="4" t="s">
        <v>747</v>
      </c>
    </row>
    <row r="2511" spans="1:11" s="4" customFormat="1">
      <c r="A2511" s="4">
        <v>120004</v>
      </c>
      <c r="B2511" s="4">
        <v>1</v>
      </c>
      <c r="C2511" s="4">
        <v>1</v>
      </c>
      <c r="D2511" s="4">
        <v>0</v>
      </c>
      <c r="E2511" s="4">
        <v>0</v>
      </c>
      <c r="F2511" s="4">
        <v>1</v>
      </c>
      <c r="G2511" s="4">
        <v>120004</v>
      </c>
      <c r="H2511" s="4">
        <v>1</v>
      </c>
      <c r="I2511" s="4">
        <v>1</v>
      </c>
      <c r="J2511" s="4">
        <v>1</v>
      </c>
      <c r="K2511" s="4" t="s">
        <v>748</v>
      </c>
    </row>
    <row r="2512" spans="1:11" s="4" customFormat="1">
      <c r="A2512" s="4">
        <v>120101</v>
      </c>
      <c r="B2512" s="4">
        <v>1</v>
      </c>
      <c r="C2512" s="4">
        <v>1</v>
      </c>
      <c r="D2512" s="4">
        <v>0</v>
      </c>
      <c r="E2512" s="4">
        <v>0</v>
      </c>
      <c r="F2512" s="4">
        <v>1</v>
      </c>
      <c r="G2512" s="4">
        <v>120101</v>
      </c>
      <c r="H2512" s="4">
        <v>1</v>
      </c>
      <c r="I2512" s="4">
        <v>1</v>
      </c>
      <c r="J2512" s="4">
        <v>1</v>
      </c>
      <c r="K2512" s="4" t="s">
        <v>749</v>
      </c>
    </row>
    <row r="2513" spans="1:11" s="4" customFormat="1">
      <c r="A2513" s="4">
        <v>120102</v>
      </c>
      <c r="B2513" s="4">
        <v>1</v>
      </c>
      <c r="C2513" s="4">
        <v>1</v>
      </c>
      <c r="D2513" s="4">
        <v>0</v>
      </c>
      <c r="E2513" s="4">
        <v>0</v>
      </c>
      <c r="F2513" s="4">
        <v>1</v>
      </c>
      <c r="G2513" s="4">
        <v>120102</v>
      </c>
      <c r="H2513" s="4">
        <v>1</v>
      </c>
      <c r="I2513" s="4">
        <v>1</v>
      </c>
      <c r="J2513" s="4">
        <v>1</v>
      </c>
      <c r="K2513" s="4" t="s">
        <v>750</v>
      </c>
    </row>
    <row r="2514" spans="1:11" s="4" customFormat="1">
      <c r="A2514" s="4">
        <v>120103</v>
      </c>
      <c r="B2514" s="4">
        <v>1</v>
      </c>
      <c r="C2514" s="4">
        <v>1</v>
      </c>
      <c r="D2514" s="4">
        <v>0</v>
      </c>
      <c r="E2514" s="4">
        <v>0</v>
      </c>
      <c r="F2514" s="4">
        <v>1</v>
      </c>
      <c r="G2514" s="4">
        <v>120103</v>
      </c>
      <c r="H2514" s="4">
        <v>1</v>
      </c>
      <c r="I2514" s="4">
        <v>1</v>
      </c>
      <c r="J2514" s="4">
        <v>1</v>
      </c>
      <c r="K2514" s="4" t="s">
        <v>751</v>
      </c>
    </row>
    <row r="2515" spans="1:11" s="4" customFormat="1">
      <c r="A2515" s="4">
        <v>120104</v>
      </c>
      <c r="B2515" s="4">
        <v>1</v>
      </c>
      <c r="C2515" s="4">
        <v>1</v>
      </c>
      <c r="D2515" s="4">
        <v>0</v>
      </c>
      <c r="E2515" s="4">
        <v>0</v>
      </c>
      <c r="F2515" s="4">
        <v>1</v>
      </c>
      <c r="G2515" s="4">
        <v>120104</v>
      </c>
      <c r="H2515" s="4">
        <v>1</v>
      </c>
      <c r="I2515" s="4">
        <v>1</v>
      </c>
      <c r="J2515" s="4">
        <v>1</v>
      </c>
      <c r="K2515" s="4" t="s">
        <v>752</v>
      </c>
    </row>
    <row r="2516" spans="1:11">
      <c r="A2516">
        <v>130111</v>
      </c>
      <c r="B2516">
        <v>1</v>
      </c>
      <c r="C2516">
        <v>1</v>
      </c>
      <c r="D2516" s="4">
        <v>0</v>
      </c>
      <c r="E2516" s="4">
        <v>0</v>
      </c>
      <c r="F2516" s="4">
        <v>1</v>
      </c>
      <c r="G2516">
        <v>130111</v>
      </c>
      <c r="H2516">
        <v>1</v>
      </c>
      <c r="I2516">
        <v>1</v>
      </c>
      <c r="J2516">
        <v>1</v>
      </c>
      <c r="K2516" t="s">
        <v>132</v>
      </c>
    </row>
    <row r="2517" spans="1:11">
      <c r="A2517">
        <v>130112</v>
      </c>
      <c r="B2517">
        <v>1</v>
      </c>
      <c r="C2517">
        <v>1</v>
      </c>
      <c r="D2517" s="4">
        <v>0</v>
      </c>
      <c r="E2517" s="4">
        <v>0</v>
      </c>
      <c r="F2517" s="4">
        <v>1</v>
      </c>
      <c r="G2517">
        <v>130112</v>
      </c>
      <c r="H2517">
        <v>1</v>
      </c>
      <c r="I2517">
        <v>1</v>
      </c>
      <c r="J2517">
        <v>1</v>
      </c>
      <c r="K2517" t="s">
        <v>133</v>
      </c>
    </row>
    <row r="2518" spans="1:11">
      <c r="A2518">
        <v>130113</v>
      </c>
      <c r="B2518">
        <v>1</v>
      </c>
      <c r="C2518">
        <v>1</v>
      </c>
      <c r="D2518" s="4">
        <v>0</v>
      </c>
      <c r="E2518" s="4">
        <v>0</v>
      </c>
      <c r="F2518" s="4">
        <v>1</v>
      </c>
      <c r="G2518">
        <v>130113</v>
      </c>
      <c r="H2518">
        <v>1</v>
      </c>
      <c r="I2518">
        <v>1</v>
      </c>
      <c r="J2518">
        <v>1</v>
      </c>
      <c r="K2518" t="s">
        <v>134</v>
      </c>
    </row>
    <row r="2519" spans="1:11">
      <c r="A2519">
        <v>130114</v>
      </c>
      <c r="B2519">
        <v>1</v>
      </c>
      <c r="C2519">
        <v>1</v>
      </c>
      <c r="D2519" s="4">
        <v>0</v>
      </c>
      <c r="E2519" s="4">
        <v>0</v>
      </c>
      <c r="F2519" s="4">
        <v>1</v>
      </c>
      <c r="G2519">
        <v>130114</v>
      </c>
      <c r="H2519">
        <v>1</v>
      </c>
      <c r="I2519">
        <v>1</v>
      </c>
      <c r="J2519">
        <v>1</v>
      </c>
      <c r="K2519" t="s">
        <v>135</v>
      </c>
    </row>
    <row r="2520" spans="1:11">
      <c r="A2520">
        <v>130115</v>
      </c>
      <c r="B2520">
        <v>1</v>
      </c>
      <c r="C2520">
        <v>1</v>
      </c>
      <c r="D2520" s="4">
        <v>0</v>
      </c>
      <c r="E2520" s="4">
        <v>0</v>
      </c>
      <c r="F2520" s="4">
        <v>1</v>
      </c>
      <c r="G2520">
        <v>130115</v>
      </c>
      <c r="H2520">
        <v>1</v>
      </c>
      <c r="I2520">
        <v>1</v>
      </c>
      <c r="J2520">
        <v>1</v>
      </c>
      <c r="K2520" t="s">
        <v>136</v>
      </c>
    </row>
    <row r="2521" spans="1:11">
      <c r="A2521">
        <v>130116</v>
      </c>
      <c r="B2521">
        <v>1</v>
      </c>
      <c r="C2521">
        <v>1</v>
      </c>
      <c r="D2521" s="4">
        <v>0</v>
      </c>
      <c r="E2521" s="4">
        <v>0</v>
      </c>
      <c r="F2521" s="4">
        <v>1</v>
      </c>
      <c r="G2521">
        <v>130116</v>
      </c>
      <c r="H2521">
        <v>1</v>
      </c>
      <c r="I2521">
        <v>1</v>
      </c>
      <c r="J2521">
        <v>1</v>
      </c>
      <c r="K2521" t="s">
        <v>137</v>
      </c>
    </row>
    <row r="2522" spans="1:11">
      <c r="A2522">
        <v>130117</v>
      </c>
      <c r="B2522">
        <v>1</v>
      </c>
      <c r="C2522">
        <v>1</v>
      </c>
      <c r="D2522" s="4">
        <v>0</v>
      </c>
      <c r="E2522" s="4">
        <v>0</v>
      </c>
      <c r="F2522" s="4">
        <v>1</v>
      </c>
      <c r="G2522">
        <v>130117</v>
      </c>
      <c r="H2522">
        <v>1</v>
      </c>
      <c r="I2522">
        <v>1</v>
      </c>
      <c r="J2522">
        <v>1</v>
      </c>
      <c r="K2522" t="s">
        <v>138</v>
      </c>
    </row>
    <row r="2523" spans="1:11">
      <c r="A2523">
        <v>130118</v>
      </c>
      <c r="B2523">
        <v>1</v>
      </c>
      <c r="C2523">
        <v>1</v>
      </c>
      <c r="D2523" s="4">
        <v>0</v>
      </c>
      <c r="E2523" s="4">
        <v>0</v>
      </c>
      <c r="F2523" s="4">
        <v>1</v>
      </c>
      <c r="G2523">
        <v>130118</v>
      </c>
      <c r="H2523">
        <v>1</v>
      </c>
      <c r="I2523">
        <v>1</v>
      </c>
      <c r="J2523">
        <v>1</v>
      </c>
      <c r="K2523" t="s">
        <v>139</v>
      </c>
    </row>
    <row r="2524" spans="1:11">
      <c r="A2524">
        <v>130119</v>
      </c>
      <c r="B2524">
        <v>1</v>
      </c>
      <c r="C2524">
        <v>1</v>
      </c>
      <c r="D2524" s="4">
        <v>0</v>
      </c>
      <c r="E2524" s="4">
        <v>0</v>
      </c>
      <c r="F2524" s="4">
        <v>1</v>
      </c>
      <c r="G2524">
        <v>130119</v>
      </c>
      <c r="H2524">
        <v>1</v>
      </c>
      <c r="I2524">
        <v>1</v>
      </c>
      <c r="J2524">
        <v>1</v>
      </c>
      <c r="K2524" t="s">
        <v>140</v>
      </c>
    </row>
    <row r="2525" spans="1:11">
      <c r="A2525">
        <v>130121</v>
      </c>
      <c r="B2525">
        <v>1</v>
      </c>
      <c r="C2525">
        <v>1</v>
      </c>
      <c r="D2525" s="4">
        <v>0</v>
      </c>
      <c r="E2525" s="4">
        <v>0</v>
      </c>
      <c r="F2525" s="4">
        <v>1</v>
      </c>
      <c r="G2525">
        <v>130121</v>
      </c>
      <c r="H2525">
        <v>1</v>
      </c>
      <c r="I2525">
        <v>1</v>
      </c>
      <c r="J2525">
        <v>1</v>
      </c>
      <c r="K2525" t="s">
        <v>141</v>
      </c>
    </row>
    <row r="2526" spans="1:11">
      <c r="A2526">
        <v>130122</v>
      </c>
      <c r="B2526">
        <v>1</v>
      </c>
      <c r="C2526">
        <v>1</v>
      </c>
      <c r="D2526" s="4">
        <v>0</v>
      </c>
      <c r="E2526" s="4">
        <v>0</v>
      </c>
      <c r="F2526" s="4">
        <v>1</v>
      </c>
      <c r="G2526">
        <v>130122</v>
      </c>
      <c r="H2526">
        <v>1</v>
      </c>
      <c r="I2526">
        <v>1</v>
      </c>
      <c r="J2526">
        <v>1</v>
      </c>
      <c r="K2526" t="s">
        <v>142</v>
      </c>
    </row>
    <row r="2527" spans="1:11">
      <c r="A2527">
        <v>130123</v>
      </c>
      <c r="B2527">
        <v>1</v>
      </c>
      <c r="C2527">
        <v>1</v>
      </c>
      <c r="D2527" s="4">
        <v>0</v>
      </c>
      <c r="E2527" s="4">
        <v>0</v>
      </c>
      <c r="F2527" s="4">
        <v>1</v>
      </c>
      <c r="G2527">
        <v>130123</v>
      </c>
      <c r="H2527">
        <v>1</v>
      </c>
      <c r="I2527">
        <v>1</v>
      </c>
      <c r="J2527">
        <v>1</v>
      </c>
      <c r="K2527" t="s">
        <v>143</v>
      </c>
    </row>
    <row r="2528" spans="1:11">
      <c r="A2528">
        <v>130124</v>
      </c>
      <c r="B2528">
        <v>1</v>
      </c>
      <c r="C2528">
        <v>1</v>
      </c>
      <c r="D2528" s="4">
        <v>0</v>
      </c>
      <c r="E2528" s="4">
        <v>0</v>
      </c>
      <c r="F2528" s="4">
        <v>1</v>
      </c>
      <c r="G2528">
        <v>130124</v>
      </c>
      <c r="H2528">
        <v>1</v>
      </c>
      <c r="I2528">
        <v>1</v>
      </c>
      <c r="J2528">
        <v>1</v>
      </c>
      <c r="K2528" t="s">
        <v>144</v>
      </c>
    </row>
    <row r="2529" spans="1:11">
      <c r="A2529">
        <v>130125</v>
      </c>
      <c r="B2529">
        <v>1</v>
      </c>
      <c r="C2529">
        <v>1</v>
      </c>
      <c r="D2529" s="4">
        <v>0</v>
      </c>
      <c r="E2529" s="4">
        <v>0</v>
      </c>
      <c r="F2529" s="4">
        <v>1</v>
      </c>
      <c r="G2529">
        <v>130125</v>
      </c>
      <c r="H2529">
        <v>1</v>
      </c>
      <c r="I2529">
        <v>1</v>
      </c>
      <c r="J2529">
        <v>1</v>
      </c>
      <c r="K2529" t="s">
        <v>145</v>
      </c>
    </row>
    <row r="2530" spans="1:11">
      <c r="A2530">
        <v>130126</v>
      </c>
      <c r="B2530">
        <v>1</v>
      </c>
      <c r="C2530">
        <v>1</v>
      </c>
      <c r="D2530" s="4">
        <v>0</v>
      </c>
      <c r="E2530" s="4">
        <v>0</v>
      </c>
      <c r="F2530" s="4">
        <v>1</v>
      </c>
      <c r="G2530">
        <v>130126</v>
      </c>
      <c r="H2530">
        <v>1</v>
      </c>
      <c r="I2530">
        <v>1</v>
      </c>
      <c r="J2530">
        <v>1</v>
      </c>
      <c r="K2530" t="s">
        <v>146</v>
      </c>
    </row>
    <row r="2531" spans="1:11">
      <c r="A2531">
        <v>130127</v>
      </c>
      <c r="B2531">
        <v>1</v>
      </c>
      <c r="C2531">
        <v>1</v>
      </c>
      <c r="D2531" s="4">
        <v>0</v>
      </c>
      <c r="E2531" s="4">
        <v>0</v>
      </c>
      <c r="F2531" s="4">
        <v>1</v>
      </c>
      <c r="G2531">
        <v>130127</v>
      </c>
      <c r="H2531">
        <v>1</v>
      </c>
      <c r="I2531">
        <v>1</v>
      </c>
      <c r="J2531">
        <v>1</v>
      </c>
      <c r="K2531" t="s">
        <v>147</v>
      </c>
    </row>
    <row r="2532" spans="1:11">
      <c r="A2532">
        <v>130128</v>
      </c>
      <c r="B2532">
        <v>1</v>
      </c>
      <c r="C2532">
        <v>1</v>
      </c>
      <c r="D2532" s="4">
        <v>0</v>
      </c>
      <c r="E2532" s="4">
        <v>0</v>
      </c>
      <c r="F2532" s="4">
        <v>1</v>
      </c>
      <c r="G2532">
        <v>130128</v>
      </c>
      <c r="H2532">
        <v>1</v>
      </c>
      <c r="I2532">
        <v>1</v>
      </c>
      <c r="J2532">
        <v>1</v>
      </c>
      <c r="K2532" t="s">
        <v>148</v>
      </c>
    </row>
    <row r="2533" spans="1:11">
      <c r="A2533">
        <v>130129</v>
      </c>
      <c r="B2533">
        <v>1</v>
      </c>
      <c r="C2533">
        <v>1</v>
      </c>
      <c r="D2533" s="4">
        <v>0</v>
      </c>
      <c r="E2533" s="4">
        <v>0</v>
      </c>
      <c r="F2533" s="4">
        <v>1</v>
      </c>
      <c r="G2533">
        <v>130129</v>
      </c>
      <c r="H2533">
        <v>1</v>
      </c>
      <c r="I2533">
        <v>1</v>
      </c>
      <c r="J2533">
        <v>1</v>
      </c>
      <c r="K2533" t="s">
        <v>149</v>
      </c>
    </row>
    <row r="2534" spans="1:11">
      <c r="A2534">
        <v>130211</v>
      </c>
      <c r="B2534">
        <v>1</v>
      </c>
      <c r="C2534">
        <v>1</v>
      </c>
      <c r="D2534" s="4">
        <v>0</v>
      </c>
      <c r="E2534" s="4">
        <v>0</v>
      </c>
      <c r="F2534" s="4">
        <v>1</v>
      </c>
      <c r="G2534">
        <v>130211</v>
      </c>
      <c r="H2534">
        <v>1</v>
      </c>
      <c r="I2534">
        <v>1</v>
      </c>
      <c r="J2534">
        <v>1</v>
      </c>
      <c r="K2534" t="s">
        <v>150</v>
      </c>
    </row>
    <row r="2535" spans="1:11">
      <c r="A2535">
        <v>130212</v>
      </c>
      <c r="B2535">
        <v>1</v>
      </c>
      <c r="C2535">
        <v>1</v>
      </c>
      <c r="D2535" s="4">
        <v>0</v>
      </c>
      <c r="E2535" s="4">
        <v>0</v>
      </c>
      <c r="F2535" s="4">
        <v>1</v>
      </c>
      <c r="G2535">
        <v>130212</v>
      </c>
      <c r="H2535">
        <v>1</v>
      </c>
      <c r="I2535">
        <v>1</v>
      </c>
      <c r="J2535">
        <v>1</v>
      </c>
      <c r="K2535" t="s">
        <v>151</v>
      </c>
    </row>
    <row r="2536" spans="1:11">
      <c r="A2536">
        <v>130213</v>
      </c>
      <c r="B2536">
        <v>1</v>
      </c>
      <c r="C2536">
        <v>1</v>
      </c>
      <c r="D2536" s="4">
        <v>0</v>
      </c>
      <c r="E2536" s="4">
        <v>0</v>
      </c>
      <c r="F2536" s="4">
        <v>1</v>
      </c>
      <c r="G2536">
        <v>130213</v>
      </c>
      <c r="H2536">
        <v>1</v>
      </c>
      <c r="I2536">
        <v>1</v>
      </c>
      <c r="J2536">
        <v>1</v>
      </c>
      <c r="K2536" t="s">
        <v>152</v>
      </c>
    </row>
    <row r="2537" spans="1:11">
      <c r="A2537">
        <v>130214</v>
      </c>
      <c r="B2537">
        <v>1</v>
      </c>
      <c r="C2537">
        <v>1</v>
      </c>
      <c r="D2537" s="4">
        <v>0</v>
      </c>
      <c r="E2537" s="4">
        <v>0</v>
      </c>
      <c r="F2537" s="4">
        <v>1</v>
      </c>
      <c r="G2537">
        <v>130214</v>
      </c>
      <c r="H2537">
        <v>1</v>
      </c>
      <c r="I2537">
        <v>1</v>
      </c>
      <c r="J2537">
        <v>1</v>
      </c>
      <c r="K2537" t="s">
        <v>153</v>
      </c>
    </row>
    <row r="2538" spans="1:11">
      <c r="A2538">
        <v>130215</v>
      </c>
      <c r="B2538">
        <v>1</v>
      </c>
      <c r="C2538">
        <v>1</v>
      </c>
      <c r="D2538" s="4">
        <v>0</v>
      </c>
      <c r="E2538" s="4">
        <v>0</v>
      </c>
      <c r="F2538" s="4">
        <v>1</v>
      </c>
      <c r="G2538">
        <v>130215</v>
      </c>
      <c r="H2538">
        <v>1</v>
      </c>
      <c r="I2538">
        <v>1</v>
      </c>
      <c r="J2538">
        <v>1</v>
      </c>
      <c r="K2538" t="s">
        <v>154</v>
      </c>
    </row>
    <row r="2539" spans="1:11">
      <c r="A2539">
        <v>130216</v>
      </c>
      <c r="B2539">
        <v>1</v>
      </c>
      <c r="C2539">
        <v>1</v>
      </c>
      <c r="D2539" s="4">
        <v>0</v>
      </c>
      <c r="E2539" s="4">
        <v>0</v>
      </c>
      <c r="F2539" s="4">
        <v>1</v>
      </c>
      <c r="G2539">
        <v>130216</v>
      </c>
      <c r="H2539">
        <v>1</v>
      </c>
      <c r="I2539">
        <v>1</v>
      </c>
      <c r="J2539">
        <v>1</v>
      </c>
      <c r="K2539" t="s">
        <v>155</v>
      </c>
    </row>
    <row r="2540" spans="1:11">
      <c r="A2540">
        <v>130217</v>
      </c>
      <c r="B2540">
        <v>1</v>
      </c>
      <c r="C2540">
        <v>1</v>
      </c>
      <c r="D2540" s="4">
        <v>0</v>
      </c>
      <c r="E2540" s="4">
        <v>0</v>
      </c>
      <c r="F2540" s="4">
        <v>1</v>
      </c>
      <c r="G2540">
        <v>130217</v>
      </c>
      <c r="H2540">
        <v>1</v>
      </c>
      <c r="I2540">
        <v>1</v>
      </c>
      <c r="J2540">
        <v>1</v>
      </c>
      <c r="K2540" t="s">
        <v>156</v>
      </c>
    </row>
    <row r="2541" spans="1:11">
      <c r="A2541">
        <v>130218</v>
      </c>
      <c r="B2541">
        <v>1</v>
      </c>
      <c r="C2541">
        <v>1</v>
      </c>
      <c r="D2541" s="4">
        <v>0</v>
      </c>
      <c r="E2541" s="4">
        <v>0</v>
      </c>
      <c r="F2541" s="4">
        <v>1</v>
      </c>
      <c r="G2541">
        <v>130218</v>
      </c>
      <c r="H2541">
        <v>1</v>
      </c>
      <c r="I2541">
        <v>1</v>
      </c>
      <c r="J2541">
        <v>1</v>
      </c>
      <c r="K2541" t="s">
        <v>157</v>
      </c>
    </row>
    <row r="2542" spans="1:11">
      <c r="A2542">
        <v>130219</v>
      </c>
      <c r="B2542">
        <v>1</v>
      </c>
      <c r="C2542">
        <v>1</v>
      </c>
      <c r="D2542" s="4">
        <v>0</v>
      </c>
      <c r="E2542" s="4">
        <v>0</v>
      </c>
      <c r="F2542" s="4">
        <v>1</v>
      </c>
      <c r="G2542">
        <v>130219</v>
      </c>
      <c r="H2542">
        <v>1</v>
      </c>
      <c r="I2542">
        <v>1</v>
      </c>
      <c r="J2542">
        <v>1</v>
      </c>
      <c r="K2542" t="s">
        <v>158</v>
      </c>
    </row>
    <row r="2543" spans="1:11">
      <c r="A2543">
        <v>130221</v>
      </c>
      <c r="B2543">
        <v>1</v>
      </c>
      <c r="C2543">
        <v>1</v>
      </c>
      <c r="D2543" s="4">
        <v>0</v>
      </c>
      <c r="E2543" s="4">
        <v>0</v>
      </c>
      <c r="F2543" s="4">
        <v>1</v>
      </c>
      <c r="G2543">
        <v>130221</v>
      </c>
      <c r="H2543">
        <v>1</v>
      </c>
      <c r="I2543">
        <v>1</v>
      </c>
      <c r="J2543">
        <v>1</v>
      </c>
      <c r="K2543" t="s">
        <v>159</v>
      </c>
    </row>
    <row r="2544" spans="1:11">
      <c r="A2544">
        <v>130222</v>
      </c>
      <c r="B2544">
        <v>1</v>
      </c>
      <c r="C2544">
        <v>1</v>
      </c>
      <c r="D2544" s="4">
        <v>0</v>
      </c>
      <c r="E2544" s="4">
        <v>0</v>
      </c>
      <c r="F2544" s="4">
        <v>1</v>
      </c>
      <c r="G2544">
        <v>130222</v>
      </c>
      <c r="H2544">
        <v>1</v>
      </c>
      <c r="I2544">
        <v>1</v>
      </c>
      <c r="J2544">
        <v>1</v>
      </c>
      <c r="K2544" t="s">
        <v>160</v>
      </c>
    </row>
    <row r="2545" spans="1:11">
      <c r="A2545">
        <v>130223</v>
      </c>
      <c r="B2545">
        <v>1</v>
      </c>
      <c r="C2545">
        <v>1</v>
      </c>
      <c r="D2545" s="4">
        <v>0</v>
      </c>
      <c r="E2545" s="4">
        <v>0</v>
      </c>
      <c r="F2545" s="4">
        <v>1</v>
      </c>
      <c r="G2545">
        <v>130223</v>
      </c>
      <c r="H2545">
        <v>1</v>
      </c>
      <c r="I2545">
        <v>1</v>
      </c>
      <c r="J2545">
        <v>1</v>
      </c>
      <c r="K2545" t="s">
        <v>161</v>
      </c>
    </row>
    <row r="2546" spans="1:11">
      <c r="A2546">
        <v>130224</v>
      </c>
      <c r="B2546">
        <v>1</v>
      </c>
      <c r="C2546">
        <v>1</v>
      </c>
      <c r="D2546" s="4">
        <v>0</v>
      </c>
      <c r="E2546" s="4">
        <v>0</v>
      </c>
      <c r="F2546" s="4">
        <v>1</v>
      </c>
      <c r="G2546">
        <v>130224</v>
      </c>
      <c r="H2546">
        <v>1</v>
      </c>
      <c r="I2546">
        <v>1</v>
      </c>
      <c r="J2546">
        <v>1</v>
      </c>
      <c r="K2546" t="s">
        <v>162</v>
      </c>
    </row>
    <row r="2547" spans="1:11">
      <c r="A2547">
        <v>130225</v>
      </c>
      <c r="B2547">
        <v>1</v>
      </c>
      <c r="C2547">
        <v>1</v>
      </c>
      <c r="D2547" s="4">
        <v>0</v>
      </c>
      <c r="E2547" s="4">
        <v>0</v>
      </c>
      <c r="F2547" s="4">
        <v>1</v>
      </c>
      <c r="G2547">
        <v>130225</v>
      </c>
      <c r="H2547">
        <v>1</v>
      </c>
      <c r="I2547">
        <v>1</v>
      </c>
      <c r="J2547">
        <v>1</v>
      </c>
      <c r="K2547" t="s">
        <v>163</v>
      </c>
    </row>
    <row r="2548" spans="1:11">
      <c r="A2548">
        <v>130226</v>
      </c>
      <c r="B2548">
        <v>1</v>
      </c>
      <c r="C2548">
        <v>1</v>
      </c>
      <c r="D2548" s="4">
        <v>0</v>
      </c>
      <c r="E2548" s="4">
        <v>0</v>
      </c>
      <c r="F2548" s="4">
        <v>1</v>
      </c>
      <c r="G2548">
        <v>130226</v>
      </c>
      <c r="H2548">
        <v>1</v>
      </c>
      <c r="I2548">
        <v>1</v>
      </c>
      <c r="J2548">
        <v>1</v>
      </c>
      <c r="K2548" t="s">
        <v>164</v>
      </c>
    </row>
    <row r="2549" spans="1:11">
      <c r="A2549">
        <v>130227</v>
      </c>
      <c r="B2549">
        <v>1</v>
      </c>
      <c r="C2549">
        <v>1</v>
      </c>
      <c r="D2549" s="4">
        <v>0</v>
      </c>
      <c r="E2549" s="4">
        <v>0</v>
      </c>
      <c r="F2549" s="4">
        <v>1</v>
      </c>
      <c r="G2549">
        <v>130227</v>
      </c>
      <c r="H2549">
        <v>1</v>
      </c>
      <c r="I2549">
        <v>1</v>
      </c>
      <c r="J2549">
        <v>1</v>
      </c>
      <c r="K2549" t="s">
        <v>165</v>
      </c>
    </row>
    <row r="2550" spans="1:11">
      <c r="A2550">
        <v>130228</v>
      </c>
      <c r="B2550">
        <v>1</v>
      </c>
      <c r="C2550">
        <v>1</v>
      </c>
      <c r="D2550" s="4">
        <v>0</v>
      </c>
      <c r="E2550" s="4">
        <v>0</v>
      </c>
      <c r="F2550" s="4">
        <v>1</v>
      </c>
      <c r="G2550">
        <v>130228</v>
      </c>
      <c r="H2550">
        <v>1</v>
      </c>
      <c r="I2550">
        <v>1</v>
      </c>
      <c r="J2550">
        <v>1</v>
      </c>
      <c r="K2550" t="s">
        <v>166</v>
      </c>
    </row>
    <row r="2551" spans="1:11">
      <c r="A2551">
        <v>130229</v>
      </c>
      <c r="B2551">
        <v>1</v>
      </c>
      <c r="C2551">
        <v>1</v>
      </c>
      <c r="D2551" s="4">
        <v>0</v>
      </c>
      <c r="E2551" s="4">
        <v>0</v>
      </c>
      <c r="F2551" s="4">
        <v>1</v>
      </c>
      <c r="G2551">
        <v>130229</v>
      </c>
      <c r="H2551">
        <v>1</v>
      </c>
      <c r="I2551">
        <v>1</v>
      </c>
      <c r="J2551">
        <v>1</v>
      </c>
      <c r="K2551" t="s">
        <v>167</v>
      </c>
    </row>
    <row r="2552" spans="1:11">
      <c r="A2552">
        <v>130311</v>
      </c>
      <c r="B2552">
        <v>1</v>
      </c>
      <c r="C2552">
        <v>1</v>
      </c>
      <c r="D2552" s="4">
        <v>0</v>
      </c>
      <c r="E2552" s="4">
        <v>0</v>
      </c>
      <c r="F2552" s="4">
        <v>1</v>
      </c>
      <c r="G2552">
        <v>130311</v>
      </c>
      <c r="H2552">
        <v>1</v>
      </c>
      <c r="I2552">
        <v>1</v>
      </c>
      <c r="J2552">
        <v>1</v>
      </c>
      <c r="K2552" t="s">
        <v>168</v>
      </c>
    </row>
    <row r="2553" spans="1:11">
      <c r="A2553">
        <v>130312</v>
      </c>
      <c r="B2553">
        <v>1</v>
      </c>
      <c r="C2553">
        <v>1</v>
      </c>
      <c r="D2553" s="4">
        <v>0</v>
      </c>
      <c r="E2553" s="4">
        <v>0</v>
      </c>
      <c r="F2553" s="4">
        <v>1</v>
      </c>
      <c r="G2553">
        <v>130312</v>
      </c>
      <c r="H2553">
        <v>1</v>
      </c>
      <c r="I2553">
        <v>1</v>
      </c>
      <c r="J2553">
        <v>1</v>
      </c>
      <c r="K2553" t="s">
        <v>169</v>
      </c>
    </row>
    <row r="2554" spans="1:11">
      <c r="A2554">
        <v>130313</v>
      </c>
      <c r="B2554">
        <v>1</v>
      </c>
      <c r="C2554">
        <v>1</v>
      </c>
      <c r="D2554" s="4">
        <v>0</v>
      </c>
      <c r="E2554" s="4">
        <v>0</v>
      </c>
      <c r="F2554" s="4">
        <v>1</v>
      </c>
      <c r="G2554">
        <v>130313</v>
      </c>
      <c r="H2554">
        <v>1</v>
      </c>
      <c r="I2554">
        <v>1</v>
      </c>
      <c r="J2554">
        <v>1</v>
      </c>
      <c r="K2554" t="s">
        <v>170</v>
      </c>
    </row>
    <row r="2555" spans="1:11">
      <c r="A2555">
        <v>130314</v>
      </c>
      <c r="B2555">
        <v>1</v>
      </c>
      <c r="C2555">
        <v>1</v>
      </c>
      <c r="D2555" s="4">
        <v>0</v>
      </c>
      <c r="E2555" s="4">
        <v>0</v>
      </c>
      <c r="F2555" s="4">
        <v>1</v>
      </c>
      <c r="G2555">
        <v>130314</v>
      </c>
      <c r="H2555">
        <v>1</v>
      </c>
      <c r="I2555">
        <v>1</v>
      </c>
      <c r="J2555">
        <v>1</v>
      </c>
      <c r="K2555" t="s">
        <v>171</v>
      </c>
    </row>
    <row r="2556" spans="1:11">
      <c r="A2556">
        <v>130315</v>
      </c>
      <c r="B2556">
        <v>1</v>
      </c>
      <c r="C2556">
        <v>1</v>
      </c>
      <c r="D2556" s="4">
        <v>0</v>
      </c>
      <c r="E2556" s="4">
        <v>0</v>
      </c>
      <c r="F2556" s="4">
        <v>1</v>
      </c>
      <c r="G2556">
        <v>130315</v>
      </c>
      <c r="H2556">
        <v>1</v>
      </c>
      <c r="I2556">
        <v>1</v>
      </c>
      <c r="J2556">
        <v>1</v>
      </c>
      <c r="K2556" t="s">
        <v>172</v>
      </c>
    </row>
    <row r="2557" spans="1:11">
      <c r="A2557">
        <v>130316</v>
      </c>
      <c r="B2557">
        <v>1</v>
      </c>
      <c r="C2557">
        <v>1</v>
      </c>
      <c r="D2557" s="4">
        <v>0</v>
      </c>
      <c r="E2557" s="4">
        <v>0</v>
      </c>
      <c r="F2557" s="4">
        <v>1</v>
      </c>
      <c r="G2557">
        <v>130316</v>
      </c>
      <c r="H2557">
        <v>1</v>
      </c>
      <c r="I2557">
        <v>1</v>
      </c>
      <c r="J2557">
        <v>1</v>
      </c>
      <c r="K2557" t="s">
        <v>173</v>
      </c>
    </row>
    <row r="2558" spans="1:11">
      <c r="A2558">
        <v>130317</v>
      </c>
      <c r="B2558">
        <v>1</v>
      </c>
      <c r="C2558">
        <v>1</v>
      </c>
      <c r="D2558" s="4">
        <v>0</v>
      </c>
      <c r="E2558" s="4">
        <v>0</v>
      </c>
      <c r="F2558" s="4">
        <v>1</v>
      </c>
      <c r="G2558">
        <v>130317</v>
      </c>
      <c r="H2558">
        <v>1</v>
      </c>
      <c r="I2558">
        <v>1</v>
      </c>
      <c r="J2558">
        <v>1</v>
      </c>
      <c r="K2558" t="s">
        <v>174</v>
      </c>
    </row>
    <row r="2559" spans="1:11">
      <c r="A2559">
        <v>130318</v>
      </c>
      <c r="B2559">
        <v>1</v>
      </c>
      <c r="C2559">
        <v>1</v>
      </c>
      <c r="D2559" s="4">
        <v>0</v>
      </c>
      <c r="E2559" s="4">
        <v>0</v>
      </c>
      <c r="F2559" s="4">
        <v>1</v>
      </c>
      <c r="G2559">
        <v>130318</v>
      </c>
      <c r="H2559">
        <v>1</v>
      </c>
      <c r="I2559">
        <v>1</v>
      </c>
      <c r="J2559">
        <v>1</v>
      </c>
      <c r="K2559" t="s">
        <v>175</v>
      </c>
    </row>
    <row r="2560" spans="1:11">
      <c r="A2560">
        <v>130319</v>
      </c>
      <c r="B2560">
        <v>1</v>
      </c>
      <c r="C2560">
        <v>1</v>
      </c>
      <c r="D2560" s="4">
        <v>0</v>
      </c>
      <c r="E2560" s="4">
        <v>0</v>
      </c>
      <c r="F2560" s="4">
        <v>1</v>
      </c>
      <c r="G2560">
        <v>130319</v>
      </c>
      <c r="H2560">
        <v>1</v>
      </c>
      <c r="I2560">
        <v>1</v>
      </c>
      <c r="J2560">
        <v>1</v>
      </c>
      <c r="K2560" t="s">
        <v>176</v>
      </c>
    </row>
    <row r="2561" spans="1:11">
      <c r="A2561">
        <v>130321</v>
      </c>
      <c r="B2561">
        <v>1</v>
      </c>
      <c r="C2561">
        <v>1</v>
      </c>
      <c r="D2561" s="4">
        <v>0</v>
      </c>
      <c r="E2561" s="4">
        <v>0</v>
      </c>
      <c r="F2561" s="4">
        <v>1</v>
      </c>
      <c r="G2561">
        <v>130321</v>
      </c>
      <c r="H2561">
        <v>1</v>
      </c>
      <c r="I2561">
        <v>1</v>
      </c>
      <c r="J2561">
        <v>1</v>
      </c>
      <c r="K2561" t="s">
        <v>177</v>
      </c>
    </row>
    <row r="2562" spans="1:11">
      <c r="A2562">
        <v>130322</v>
      </c>
      <c r="B2562">
        <v>1</v>
      </c>
      <c r="C2562">
        <v>1</v>
      </c>
      <c r="D2562" s="4">
        <v>0</v>
      </c>
      <c r="E2562" s="4">
        <v>0</v>
      </c>
      <c r="F2562" s="4">
        <v>1</v>
      </c>
      <c r="G2562">
        <v>130322</v>
      </c>
      <c r="H2562">
        <v>1</v>
      </c>
      <c r="I2562">
        <v>1</v>
      </c>
      <c r="J2562">
        <v>1</v>
      </c>
      <c r="K2562" t="s">
        <v>178</v>
      </c>
    </row>
    <row r="2563" spans="1:11">
      <c r="A2563">
        <v>130323</v>
      </c>
      <c r="B2563">
        <v>1</v>
      </c>
      <c r="C2563">
        <v>1</v>
      </c>
      <c r="D2563" s="4">
        <v>0</v>
      </c>
      <c r="E2563" s="4">
        <v>0</v>
      </c>
      <c r="F2563" s="4">
        <v>1</v>
      </c>
      <c r="G2563">
        <v>130323</v>
      </c>
      <c r="H2563">
        <v>1</v>
      </c>
      <c r="I2563">
        <v>1</v>
      </c>
      <c r="J2563">
        <v>1</v>
      </c>
      <c r="K2563" t="s">
        <v>179</v>
      </c>
    </row>
    <row r="2564" spans="1:11">
      <c r="A2564">
        <v>130324</v>
      </c>
      <c r="B2564">
        <v>1</v>
      </c>
      <c r="C2564">
        <v>1</v>
      </c>
      <c r="D2564" s="4">
        <v>0</v>
      </c>
      <c r="E2564" s="4">
        <v>0</v>
      </c>
      <c r="F2564" s="4">
        <v>1</v>
      </c>
      <c r="G2564">
        <v>130324</v>
      </c>
      <c r="H2564">
        <v>1</v>
      </c>
      <c r="I2564">
        <v>1</v>
      </c>
      <c r="J2564">
        <v>1</v>
      </c>
      <c r="K2564" t="s">
        <v>180</v>
      </c>
    </row>
    <row r="2565" spans="1:11">
      <c r="A2565">
        <v>130325</v>
      </c>
      <c r="B2565">
        <v>1</v>
      </c>
      <c r="C2565">
        <v>1</v>
      </c>
      <c r="D2565" s="4">
        <v>0</v>
      </c>
      <c r="E2565" s="4">
        <v>0</v>
      </c>
      <c r="F2565" s="4">
        <v>1</v>
      </c>
      <c r="G2565">
        <v>130325</v>
      </c>
      <c r="H2565">
        <v>1</v>
      </c>
      <c r="I2565">
        <v>1</v>
      </c>
      <c r="J2565">
        <v>1</v>
      </c>
      <c r="K2565" t="s">
        <v>181</v>
      </c>
    </row>
    <row r="2566" spans="1:11">
      <c r="A2566">
        <v>130326</v>
      </c>
      <c r="B2566">
        <v>1</v>
      </c>
      <c r="C2566">
        <v>1</v>
      </c>
      <c r="D2566" s="4">
        <v>0</v>
      </c>
      <c r="E2566" s="4">
        <v>0</v>
      </c>
      <c r="F2566" s="4">
        <v>1</v>
      </c>
      <c r="G2566">
        <v>130326</v>
      </c>
      <c r="H2566">
        <v>1</v>
      </c>
      <c r="I2566">
        <v>1</v>
      </c>
      <c r="J2566">
        <v>1</v>
      </c>
      <c r="K2566" t="s">
        <v>182</v>
      </c>
    </row>
    <row r="2567" spans="1:11">
      <c r="A2567">
        <v>130327</v>
      </c>
      <c r="B2567">
        <v>1</v>
      </c>
      <c r="C2567">
        <v>1</v>
      </c>
      <c r="D2567" s="4">
        <v>0</v>
      </c>
      <c r="E2567" s="4">
        <v>0</v>
      </c>
      <c r="F2567" s="4">
        <v>1</v>
      </c>
      <c r="G2567">
        <v>130327</v>
      </c>
      <c r="H2567">
        <v>1</v>
      </c>
      <c r="I2567">
        <v>1</v>
      </c>
      <c r="J2567">
        <v>1</v>
      </c>
      <c r="K2567" t="s">
        <v>183</v>
      </c>
    </row>
    <row r="2568" spans="1:11">
      <c r="A2568">
        <v>130328</v>
      </c>
      <c r="B2568">
        <v>1</v>
      </c>
      <c r="C2568">
        <v>1</v>
      </c>
      <c r="D2568" s="4">
        <v>0</v>
      </c>
      <c r="E2568" s="4">
        <v>0</v>
      </c>
      <c r="F2568" s="4">
        <v>1</v>
      </c>
      <c r="G2568">
        <v>130328</v>
      </c>
      <c r="H2568">
        <v>1</v>
      </c>
      <c r="I2568">
        <v>1</v>
      </c>
      <c r="J2568">
        <v>1</v>
      </c>
      <c r="K2568" t="s">
        <v>184</v>
      </c>
    </row>
    <row r="2569" spans="1:11">
      <c r="A2569">
        <v>130329</v>
      </c>
      <c r="B2569">
        <v>1</v>
      </c>
      <c r="C2569">
        <v>1</v>
      </c>
      <c r="D2569" s="4">
        <v>0</v>
      </c>
      <c r="E2569" s="4">
        <v>0</v>
      </c>
      <c r="F2569" s="4">
        <v>1</v>
      </c>
      <c r="G2569">
        <v>130329</v>
      </c>
      <c r="H2569">
        <v>1</v>
      </c>
      <c r="I2569">
        <v>1</v>
      </c>
      <c r="J2569">
        <v>1</v>
      </c>
      <c r="K2569" t="s">
        <v>185</v>
      </c>
    </row>
    <row r="2570" spans="1:11">
      <c r="A2570">
        <v>130411</v>
      </c>
      <c r="B2570">
        <v>1</v>
      </c>
      <c r="C2570">
        <v>1</v>
      </c>
      <c r="D2570" s="4">
        <v>0</v>
      </c>
      <c r="E2570" s="4">
        <v>0</v>
      </c>
      <c r="F2570" s="4">
        <v>1</v>
      </c>
      <c r="G2570">
        <v>130411</v>
      </c>
      <c r="H2570">
        <v>1</v>
      </c>
      <c r="I2570">
        <v>1</v>
      </c>
      <c r="J2570">
        <v>1</v>
      </c>
      <c r="K2570" t="s">
        <v>186</v>
      </c>
    </row>
    <row r="2571" spans="1:11">
      <c r="A2571">
        <v>130412</v>
      </c>
      <c r="B2571">
        <v>1</v>
      </c>
      <c r="C2571">
        <v>1</v>
      </c>
      <c r="D2571" s="4">
        <v>0</v>
      </c>
      <c r="E2571" s="4">
        <v>0</v>
      </c>
      <c r="F2571" s="4">
        <v>1</v>
      </c>
      <c r="G2571">
        <v>130412</v>
      </c>
      <c r="H2571">
        <v>1</v>
      </c>
      <c r="I2571">
        <v>1</v>
      </c>
      <c r="J2571">
        <v>1</v>
      </c>
      <c r="K2571" t="s">
        <v>187</v>
      </c>
    </row>
    <row r="2572" spans="1:11">
      <c r="A2572">
        <v>130413</v>
      </c>
      <c r="B2572">
        <v>1</v>
      </c>
      <c r="C2572">
        <v>1</v>
      </c>
      <c r="D2572" s="4">
        <v>0</v>
      </c>
      <c r="E2572" s="4">
        <v>0</v>
      </c>
      <c r="F2572" s="4">
        <v>1</v>
      </c>
      <c r="G2572">
        <v>130413</v>
      </c>
      <c r="H2572">
        <v>1</v>
      </c>
      <c r="I2572">
        <v>1</v>
      </c>
      <c r="J2572">
        <v>1</v>
      </c>
      <c r="K2572" t="s">
        <v>188</v>
      </c>
    </row>
    <row r="2573" spans="1:11">
      <c r="A2573">
        <v>130414</v>
      </c>
      <c r="B2573">
        <v>1</v>
      </c>
      <c r="C2573">
        <v>1</v>
      </c>
      <c r="D2573" s="4">
        <v>0</v>
      </c>
      <c r="E2573" s="4">
        <v>0</v>
      </c>
      <c r="F2573" s="4">
        <v>1</v>
      </c>
      <c r="G2573">
        <v>130414</v>
      </c>
      <c r="H2573">
        <v>1</v>
      </c>
      <c r="I2573">
        <v>1</v>
      </c>
      <c r="J2573">
        <v>1</v>
      </c>
      <c r="K2573" t="s">
        <v>189</v>
      </c>
    </row>
    <row r="2574" spans="1:11">
      <c r="A2574">
        <v>130415</v>
      </c>
      <c r="B2574">
        <v>1</v>
      </c>
      <c r="C2574">
        <v>1</v>
      </c>
      <c r="D2574" s="4">
        <v>0</v>
      </c>
      <c r="E2574" s="4">
        <v>0</v>
      </c>
      <c r="F2574" s="4">
        <v>1</v>
      </c>
      <c r="G2574">
        <v>130415</v>
      </c>
      <c r="H2574">
        <v>1</v>
      </c>
      <c r="I2574">
        <v>1</v>
      </c>
      <c r="J2574">
        <v>1</v>
      </c>
      <c r="K2574" t="s">
        <v>190</v>
      </c>
    </row>
    <row r="2575" spans="1:11">
      <c r="A2575">
        <v>130416</v>
      </c>
      <c r="B2575">
        <v>1</v>
      </c>
      <c r="C2575">
        <v>1</v>
      </c>
      <c r="D2575" s="4">
        <v>0</v>
      </c>
      <c r="E2575" s="4">
        <v>0</v>
      </c>
      <c r="F2575" s="4">
        <v>1</v>
      </c>
      <c r="G2575">
        <v>130416</v>
      </c>
      <c r="H2575">
        <v>1</v>
      </c>
      <c r="I2575">
        <v>1</v>
      </c>
      <c r="J2575">
        <v>1</v>
      </c>
      <c r="K2575" t="s">
        <v>191</v>
      </c>
    </row>
    <row r="2576" spans="1:11">
      <c r="A2576">
        <v>130417</v>
      </c>
      <c r="B2576">
        <v>1</v>
      </c>
      <c r="C2576">
        <v>1</v>
      </c>
      <c r="D2576" s="4">
        <v>0</v>
      </c>
      <c r="E2576" s="4">
        <v>0</v>
      </c>
      <c r="F2576" s="4">
        <v>1</v>
      </c>
      <c r="G2576">
        <v>130417</v>
      </c>
      <c r="H2576">
        <v>1</v>
      </c>
      <c r="I2576">
        <v>1</v>
      </c>
      <c r="J2576">
        <v>1</v>
      </c>
      <c r="K2576" t="s">
        <v>192</v>
      </c>
    </row>
    <row r="2577" spans="1:11">
      <c r="A2577">
        <v>130418</v>
      </c>
      <c r="B2577">
        <v>1</v>
      </c>
      <c r="C2577">
        <v>1</v>
      </c>
      <c r="D2577" s="4">
        <v>0</v>
      </c>
      <c r="E2577" s="4">
        <v>0</v>
      </c>
      <c r="F2577" s="4">
        <v>1</v>
      </c>
      <c r="G2577">
        <v>130418</v>
      </c>
      <c r="H2577">
        <v>1</v>
      </c>
      <c r="I2577">
        <v>1</v>
      </c>
      <c r="J2577">
        <v>1</v>
      </c>
      <c r="K2577" t="s">
        <v>193</v>
      </c>
    </row>
    <row r="2578" spans="1:11">
      <c r="A2578">
        <v>130419</v>
      </c>
      <c r="B2578">
        <v>1</v>
      </c>
      <c r="C2578">
        <v>1</v>
      </c>
      <c r="D2578" s="4">
        <v>0</v>
      </c>
      <c r="E2578" s="4">
        <v>0</v>
      </c>
      <c r="F2578" s="4">
        <v>1</v>
      </c>
      <c r="G2578">
        <v>130419</v>
      </c>
      <c r="H2578">
        <v>1</v>
      </c>
      <c r="I2578">
        <v>1</v>
      </c>
      <c r="J2578">
        <v>1</v>
      </c>
      <c r="K2578" t="s">
        <v>194</v>
      </c>
    </row>
    <row r="2579" spans="1:11">
      <c r="A2579">
        <v>130421</v>
      </c>
      <c r="B2579">
        <v>1</v>
      </c>
      <c r="C2579">
        <v>1</v>
      </c>
      <c r="D2579" s="4">
        <v>0</v>
      </c>
      <c r="E2579" s="4">
        <v>0</v>
      </c>
      <c r="F2579" s="4">
        <v>1</v>
      </c>
      <c r="G2579">
        <v>130421</v>
      </c>
      <c r="H2579">
        <v>1</v>
      </c>
      <c r="I2579">
        <v>1</v>
      </c>
      <c r="J2579">
        <v>1</v>
      </c>
      <c r="K2579" t="s">
        <v>195</v>
      </c>
    </row>
    <row r="2580" spans="1:11">
      <c r="A2580">
        <v>130422</v>
      </c>
      <c r="B2580">
        <v>1</v>
      </c>
      <c r="C2580">
        <v>1</v>
      </c>
      <c r="D2580" s="4">
        <v>0</v>
      </c>
      <c r="E2580" s="4">
        <v>0</v>
      </c>
      <c r="F2580" s="4">
        <v>1</v>
      </c>
      <c r="G2580">
        <v>130422</v>
      </c>
      <c r="H2580">
        <v>1</v>
      </c>
      <c r="I2580">
        <v>1</v>
      </c>
      <c r="J2580">
        <v>1</v>
      </c>
      <c r="K2580" t="s">
        <v>196</v>
      </c>
    </row>
    <row r="2581" spans="1:11">
      <c r="A2581">
        <v>130423</v>
      </c>
      <c r="B2581">
        <v>1</v>
      </c>
      <c r="C2581">
        <v>1</v>
      </c>
      <c r="D2581" s="4">
        <v>0</v>
      </c>
      <c r="E2581" s="4">
        <v>0</v>
      </c>
      <c r="F2581" s="4">
        <v>1</v>
      </c>
      <c r="G2581">
        <v>130423</v>
      </c>
      <c r="H2581">
        <v>1</v>
      </c>
      <c r="I2581">
        <v>1</v>
      </c>
      <c r="J2581">
        <v>1</v>
      </c>
      <c r="K2581" t="s">
        <v>197</v>
      </c>
    </row>
    <row r="2582" spans="1:11">
      <c r="A2582">
        <v>130424</v>
      </c>
      <c r="B2582">
        <v>1</v>
      </c>
      <c r="C2582">
        <v>1</v>
      </c>
      <c r="D2582" s="4">
        <v>0</v>
      </c>
      <c r="E2582" s="4">
        <v>0</v>
      </c>
      <c r="F2582" s="4">
        <v>1</v>
      </c>
      <c r="G2582">
        <v>130424</v>
      </c>
      <c r="H2582">
        <v>1</v>
      </c>
      <c r="I2582">
        <v>1</v>
      </c>
      <c r="J2582">
        <v>1</v>
      </c>
      <c r="K2582" t="s">
        <v>198</v>
      </c>
    </row>
    <row r="2583" spans="1:11">
      <c r="A2583">
        <v>130425</v>
      </c>
      <c r="B2583">
        <v>1</v>
      </c>
      <c r="C2583">
        <v>1</v>
      </c>
      <c r="D2583" s="4">
        <v>0</v>
      </c>
      <c r="E2583" s="4">
        <v>0</v>
      </c>
      <c r="F2583" s="4">
        <v>1</v>
      </c>
      <c r="G2583">
        <v>130425</v>
      </c>
      <c r="H2583">
        <v>1</v>
      </c>
      <c r="I2583">
        <v>1</v>
      </c>
      <c r="J2583">
        <v>1</v>
      </c>
      <c r="K2583" t="s">
        <v>199</v>
      </c>
    </row>
    <row r="2584" spans="1:11">
      <c r="A2584">
        <v>130426</v>
      </c>
      <c r="B2584">
        <v>1</v>
      </c>
      <c r="C2584">
        <v>1</v>
      </c>
      <c r="D2584" s="4">
        <v>0</v>
      </c>
      <c r="E2584" s="4">
        <v>0</v>
      </c>
      <c r="F2584" s="4">
        <v>1</v>
      </c>
      <c r="G2584">
        <v>130426</v>
      </c>
      <c r="H2584">
        <v>1</v>
      </c>
      <c r="I2584">
        <v>1</v>
      </c>
      <c r="J2584">
        <v>1</v>
      </c>
      <c r="K2584" t="s">
        <v>200</v>
      </c>
    </row>
    <row r="2585" spans="1:11">
      <c r="A2585">
        <v>130427</v>
      </c>
      <c r="B2585">
        <v>1</v>
      </c>
      <c r="C2585">
        <v>1</v>
      </c>
      <c r="D2585" s="4">
        <v>0</v>
      </c>
      <c r="E2585" s="4">
        <v>0</v>
      </c>
      <c r="F2585" s="4">
        <v>1</v>
      </c>
      <c r="G2585">
        <v>130427</v>
      </c>
      <c r="H2585">
        <v>1</v>
      </c>
      <c r="I2585">
        <v>1</v>
      </c>
      <c r="J2585">
        <v>1</v>
      </c>
      <c r="K2585" t="s">
        <v>201</v>
      </c>
    </row>
    <row r="2586" spans="1:11">
      <c r="A2586">
        <v>130428</v>
      </c>
      <c r="B2586">
        <v>1</v>
      </c>
      <c r="C2586">
        <v>1</v>
      </c>
      <c r="D2586" s="4">
        <v>0</v>
      </c>
      <c r="E2586" s="4">
        <v>0</v>
      </c>
      <c r="F2586" s="4">
        <v>1</v>
      </c>
      <c r="G2586">
        <v>130428</v>
      </c>
      <c r="H2586">
        <v>1</v>
      </c>
      <c r="I2586">
        <v>1</v>
      </c>
      <c r="J2586">
        <v>1</v>
      </c>
      <c r="K2586" t="s">
        <v>202</v>
      </c>
    </row>
    <row r="2587" spans="1:11">
      <c r="A2587">
        <v>130429</v>
      </c>
      <c r="B2587">
        <v>1</v>
      </c>
      <c r="C2587">
        <v>1</v>
      </c>
      <c r="D2587" s="4">
        <v>0</v>
      </c>
      <c r="E2587" s="4">
        <v>0</v>
      </c>
      <c r="F2587" s="4">
        <v>1</v>
      </c>
      <c r="G2587">
        <v>130429</v>
      </c>
      <c r="H2587">
        <v>1</v>
      </c>
      <c r="I2587">
        <v>1</v>
      </c>
      <c r="J2587">
        <v>1</v>
      </c>
      <c r="K2587" t="s">
        <v>203</v>
      </c>
    </row>
    <row r="2588" spans="1:11">
      <c r="A2588">
        <v>130511</v>
      </c>
      <c r="B2588">
        <v>1</v>
      </c>
      <c r="C2588">
        <v>1</v>
      </c>
      <c r="D2588" s="4">
        <v>0</v>
      </c>
      <c r="E2588" s="4">
        <v>0</v>
      </c>
      <c r="F2588" s="4">
        <v>1</v>
      </c>
      <c r="G2588">
        <v>130511</v>
      </c>
      <c r="H2588">
        <v>1</v>
      </c>
      <c r="I2588">
        <v>1</v>
      </c>
      <c r="J2588">
        <v>1</v>
      </c>
      <c r="K2588" t="s">
        <v>204</v>
      </c>
    </row>
    <row r="2589" spans="1:11">
      <c r="A2589">
        <v>130512</v>
      </c>
      <c r="B2589">
        <v>1</v>
      </c>
      <c r="C2589">
        <v>1</v>
      </c>
      <c r="D2589" s="4">
        <v>0</v>
      </c>
      <c r="E2589" s="4">
        <v>0</v>
      </c>
      <c r="F2589" s="4">
        <v>1</v>
      </c>
      <c r="G2589">
        <v>130512</v>
      </c>
      <c r="H2589">
        <v>1</v>
      </c>
      <c r="I2589">
        <v>1</v>
      </c>
      <c r="J2589">
        <v>1</v>
      </c>
      <c r="K2589" t="s">
        <v>205</v>
      </c>
    </row>
    <row r="2590" spans="1:11">
      <c r="A2590">
        <v>130513</v>
      </c>
      <c r="B2590">
        <v>1</v>
      </c>
      <c r="C2590">
        <v>1</v>
      </c>
      <c r="D2590" s="4">
        <v>0</v>
      </c>
      <c r="E2590" s="4">
        <v>0</v>
      </c>
      <c r="F2590" s="4">
        <v>1</v>
      </c>
      <c r="G2590">
        <v>130513</v>
      </c>
      <c r="H2590">
        <v>1</v>
      </c>
      <c r="I2590">
        <v>1</v>
      </c>
      <c r="J2590">
        <v>1</v>
      </c>
      <c r="K2590" t="s">
        <v>206</v>
      </c>
    </row>
    <row r="2591" spans="1:11">
      <c r="A2591">
        <v>130514</v>
      </c>
      <c r="B2591">
        <v>1</v>
      </c>
      <c r="C2591">
        <v>1</v>
      </c>
      <c r="D2591" s="4">
        <v>0</v>
      </c>
      <c r="E2591" s="4">
        <v>0</v>
      </c>
      <c r="F2591" s="4">
        <v>1</v>
      </c>
      <c r="G2591">
        <v>130514</v>
      </c>
      <c r="H2591">
        <v>1</v>
      </c>
      <c r="I2591">
        <v>1</v>
      </c>
      <c r="J2591">
        <v>1</v>
      </c>
      <c r="K2591" t="s">
        <v>207</v>
      </c>
    </row>
    <row r="2592" spans="1:11">
      <c r="A2592">
        <v>130515</v>
      </c>
      <c r="B2592">
        <v>1</v>
      </c>
      <c r="C2592">
        <v>1</v>
      </c>
      <c r="D2592" s="4">
        <v>0</v>
      </c>
      <c r="E2592" s="4">
        <v>0</v>
      </c>
      <c r="F2592" s="4">
        <v>1</v>
      </c>
      <c r="G2592">
        <v>130515</v>
      </c>
      <c r="H2592">
        <v>1</v>
      </c>
      <c r="I2592">
        <v>1</v>
      </c>
      <c r="J2592">
        <v>1</v>
      </c>
      <c r="K2592" t="s">
        <v>208</v>
      </c>
    </row>
    <row r="2593" spans="1:11">
      <c r="A2593">
        <v>130516</v>
      </c>
      <c r="B2593">
        <v>1</v>
      </c>
      <c r="C2593">
        <v>1</v>
      </c>
      <c r="D2593" s="4">
        <v>0</v>
      </c>
      <c r="E2593" s="4">
        <v>0</v>
      </c>
      <c r="F2593" s="4">
        <v>1</v>
      </c>
      <c r="G2593">
        <v>130516</v>
      </c>
      <c r="H2593">
        <v>1</v>
      </c>
      <c r="I2593">
        <v>1</v>
      </c>
      <c r="J2593">
        <v>1</v>
      </c>
      <c r="K2593" t="s">
        <v>209</v>
      </c>
    </row>
    <row r="2594" spans="1:11">
      <c r="A2594">
        <v>130517</v>
      </c>
      <c r="B2594">
        <v>1</v>
      </c>
      <c r="C2594">
        <v>1</v>
      </c>
      <c r="D2594" s="4">
        <v>0</v>
      </c>
      <c r="E2594" s="4">
        <v>0</v>
      </c>
      <c r="F2594" s="4">
        <v>1</v>
      </c>
      <c r="G2594">
        <v>130517</v>
      </c>
      <c r="H2594">
        <v>1</v>
      </c>
      <c r="I2594">
        <v>1</v>
      </c>
      <c r="J2594">
        <v>1</v>
      </c>
      <c r="K2594" t="s">
        <v>210</v>
      </c>
    </row>
    <row r="2595" spans="1:11">
      <c r="A2595">
        <v>130518</v>
      </c>
      <c r="B2595">
        <v>1</v>
      </c>
      <c r="C2595">
        <v>1</v>
      </c>
      <c r="D2595" s="4">
        <v>0</v>
      </c>
      <c r="E2595" s="4">
        <v>0</v>
      </c>
      <c r="F2595" s="4">
        <v>1</v>
      </c>
      <c r="G2595">
        <v>130518</v>
      </c>
      <c r="H2595">
        <v>1</v>
      </c>
      <c r="I2595">
        <v>1</v>
      </c>
      <c r="J2595">
        <v>1</v>
      </c>
      <c r="K2595" t="s">
        <v>211</v>
      </c>
    </row>
    <row r="2596" spans="1:11">
      <c r="A2596">
        <v>130519</v>
      </c>
      <c r="B2596">
        <v>1</v>
      </c>
      <c r="C2596">
        <v>1</v>
      </c>
      <c r="D2596" s="4">
        <v>0</v>
      </c>
      <c r="E2596" s="4">
        <v>0</v>
      </c>
      <c r="F2596" s="4">
        <v>1</v>
      </c>
      <c r="G2596">
        <v>130519</v>
      </c>
      <c r="H2596">
        <v>1</v>
      </c>
      <c r="I2596">
        <v>1</v>
      </c>
      <c r="J2596">
        <v>1</v>
      </c>
      <c r="K2596" t="s">
        <v>212</v>
      </c>
    </row>
    <row r="2597" spans="1:11">
      <c r="A2597">
        <v>130521</v>
      </c>
      <c r="B2597">
        <v>1</v>
      </c>
      <c r="C2597">
        <v>1</v>
      </c>
      <c r="D2597" s="4">
        <v>0</v>
      </c>
      <c r="E2597" s="4">
        <v>0</v>
      </c>
      <c r="F2597" s="4">
        <v>1</v>
      </c>
      <c r="G2597">
        <v>130521</v>
      </c>
      <c r="H2597">
        <v>1</v>
      </c>
      <c r="I2597">
        <v>1</v>
      </c>
      <c r="J2597">
        <v>1</v>
      </c>
      <c r="K2597" t="s">
        <v>213</v>
      </c>
    </row>
    <row r="2598" spans="1:11">
      <c r="A2598">
        <v>130522</v>
      </c>
      <c r="B2598">
        <v>1</v>
      </c>
      <c r="C2598">
        <v>1</v>
      </c>
      <c r="D2598" s="4">
        <v>0</v>
      </c>
      <c r="E2598" s="4">
        <v>0</v>
      </c>
      <c r="F2598" s="4">
        <v>1</v>
      </c>
      <c r="G2598">
        <v>130522</v>
      </c>
      <c r="H2598">
        <v>1</v>
      </c>
      <c r="I2598">
        <v>1</v>
      </c>
      <c r="J2598">
        <v>1</v>
      </c>
      <c r="K2598" t="s">
        <v>214</v>
      </c>
    </row>
    <row r="2599" spans="1:11">
      <c r="A2599">
        <v>130523</v>
      </c>
      <c r="B2599">
        <v>1</v>
      </c>
      <c r="C2599">
        <v>1</v>
      </c>
      <c r="D2599" s="4">
        <v>0</v>
      </c>
      <c r="E2599" s="4">
        <v>0</v>
      </c>
      <c r="F2599" s="4">
        <v>1</v>
      </c>
      <c r="G2599">
        <v>130523</v>
      </c>
      <c r="H2599">
        <v>1</v>
      </c>
      <c r="I2599">
        <v>1</v>
      </c>
      <c r="J2599">
        <v>1</v>
      </c>
      <c r="K2599" t="s">
        <v>215</v>
      </c>
    </row>
    <row r="2600" spans="1:11">
      <c r="A2600">
        <v>130524</v>
      </c>
      <c r="B2600">
        <v>1</v>
      </c>
      <c r="C2600">
        <v>1</v>
      </c>
      <c r="D2600" s="4">
        <v>0</v>
      </c>
      <c r="E2600" s="4">
        <v>0</v>
      </c>
      <c r="F2600" s="4">
        <v>1</v>
      </c>
      <c r="G2600">
        <v>130524</v>
      </c>
      <c r="H2600">
        <v>1</v>
      </c>
      <c r="I2600">
        <v>1</v>
      </c>
      <c r="J2600">
        <v>1</v>
      </c>
      <c r="K2600" t="s">
        <v>216</v>
      </c>
    </row>
    <row r="2601" spans="1:11">
      <c r="A2601">
        <v>130525</v>
      </c>
      <c r="B2601">
        <v>1</v>
      </c>
      <c r="C2601">
        <v>1</v>
      </c>
      <c r="D2601" s="4">
        <v>0</v>
      </c>
      <c r="E2601" s="4">
        <v>0</v>
      </c>
      <c r="F2601" s="4">
        <v>1</v>
      </c>
      <c r="G2601">
        <v>130525</v>
      </c>
      <c r="H2601">
        <v>1</v>
      </c>
      <c r="I2601">
        <v>1</v>
      </c>
      <c r="J2601">
        <v>1</v>
      </c>
      <c r="K2601" t="s">
        <v>217</v>
      </c>
    </row>
    <row r="2602" spans="1:11">
      <c r="A2602">
        <v>130526</v>
      </c>
      <c r="B2602">
        <v>1</v>
      </c>
      <c r="C2602">
        <v>1</v>
      </c>
      <c r="D2602" s="4">
        <v>0</v>
      </c>
      <c r="E2602" s="4">
        <v>0</v>
      </c>
      <c r="F2602" s="4">
        <v>1</v>
      </c>
      <c r="G2602">
        <v>130526</v>
      </c>
      <c r="H2602">
        <v>1</v>
      </c>
      <c r="I2602">
        <v>1</v>
      </c>
      <c r="J2602">
        <v>1</v>
      </c>
      <c r="K2602" t="s">
        <v>218</v>
      </c>
    </row>
    <row r="2603" spans="1:11">
      <c r="A2603">
        <v>130527</v>
      </c>
      <c r="B2603">
        <v>1</v>
      </c>
      <c r="C2603">
        <v>1</v>
      </c>
      <c r="D2603" s="4">
        <v>0</v>
      </c>
      <c r="E2603" s="4">
        <v>0</v>
      </c>
      <c r="F2603" s="4">
        <v>1</v>
      </c>
      <c r="G2603">
        <v>130527</v>
      </c>
      <c r="H2603">
        <v>1</v>
      </c>
      <c r="I2603">
        <v>1</v>
      </c>
      <c r="J2603">
        <v>1</v>
      </c>
      <c r="K2603" t="s">
        <v>219</v>
      </c>
    </row>
    <row r="2604" spans="1:11">
      <c r="A2604">
        <v>130528</v>
      </c>
      <c r="B2604">
        <v>1</v>
      </c>
      <c r="C2604">
        <v>1</v>
      </c>
      <c r="D2604" s="4">
        <v>0</v>
      </c>
      <c r="E2604" s="4">
        <v>0</v>
      </c>
      <c r="F2604" s="4">
        <v>1</v>
      </c>
      <c r="G2604">
        <v>130528</v>
      </c>
      <c r="H2604">
        <v>1</v>
      </c>
      <c r="I2604">
        <v>1</v>
      </c>
      <c r="J2604">
        <v>1</v>
      </c>
      <c r="K2604" t="s">
        <v>220</v>
      </c>
    </row>
    <row r="2605" spans="1:11">
      <c r="A2605">
        <v>130529</v>
      </c>
      <c r="B2605">
        <v>1</v>
      </c>
      <c r="C2605">
        <v>1</v>
      </c>
      <c r="D2605" s="4">
        <v>0</v>
      </c>
      <c r="E2605" s="4">
        <v>0</v>
      </c>
      <c r="F2605" s="4">
        <v>1</v>
      </c>
      <c r="G2605">
        <v>130529</v>
      </c>
      <c r="H2605">
        <v>1</v>
      </c>
      <c r="I2605">
        <v>1</v>
      </c>
      <c r="J2605">
        <v>1</v>
      </c>
      <c r="K2605" t="s">
        <v>221</v>
      </c>
    </row>
    <row r="2606" spans="1:11">
      <c r="A2606">
        <v>130901</v>
      </c>
      <c r="B2606">
        <v>1</v>
      </c>
      <c r="C2606">
        <v>1</v>
      </c>
      <c r="D2606" s="4">
        <v>0</v>
      </c>
      <c r="E2606" s="4">
        <v>0</v>
      </c>
      <c r="F2606" s="4">
        <v>1</v>
      </c>
      <c r="G2606">
        <v>130901</v>
      </c>
      <c r="H2606">
        <v>1</v>
      </c>
      <c r="I2606">
        <v>1</v>
      </c>
      <c r="J2606">
        <v>1</v>
      </c>
      <c r="K2606" t="s">
        <v>222</v>
      </c>
    </row>
    <row r="2607" spans="1:11">
      <c r="A2607">
        <v>130902</v>
      </c>
      <c r="B2607">
        <v>1</v>
      </c>
      <c r="C2607">
        <v>1</v>
      </c>
      <c r="D2607" s="4">
        <v>0</v>
      </c>
      <c r="E2607" s="4">
        <v>0</v>
      </c>
      <c r="F2607" s="4">
        <v>1</v>
      </c>
      <c r="G2607">
        <v>130902</v>
      </c>
      <c r="H2607">
        <v>1</v>
      </c>
      <c r="I2607">
        <v>1</v>
      </c>
      <c r="J2607">
        <v>1</v>
      </c>
      <c r="K2607" t="s">
        <v>223</v>
      </c>
    </row>
    <row r="2608" spans="1:11">
      <c r="A2608">
        <v>130903</v>
      </c>
      <c r="B2608">
        <v>1</v>
      </c>
      <c r="C2608">
        <v>1</v>
      </c>
      <c r="D2608" s="4">
        <v>0</v>
      </c>
      <c r="E2608" s="4">
        <v>0</v>
      </c>
      <c r="F2608" s="4">
        <v>1</v>
      </c>
      <c r="G2608">
        <v>130903</v>
      </c>
      <c r="H2608">
        <v>1</v>
      </c>
      <c r="I2608">
        <v>1</v>
      </c>
      <c r="J2608">
        <v>1</v>
      </c>
      <c r="K2608" t="s">
        <v>224</v>
      </c>
    </row>
    <row r="2609" spans="1:11">
      <c r="A2609">
        <v>130904</v>
      </c>
      <c r="B2609">
        <v>1</v>
      </c>
      <c r="C2609">
        <v>1</v>
      </c>
      <c r="D2609" s="4">
        <v>0</v>
      </c>
      <c r="E2609" s="4">
        <v>0</v>
      </c>
      <c r="F2609" s="4">
        <v>1</v>
      </c>
      <c r="G2609">
        <v>130904</v>
      </c>
      <c r="H2609">
        <v>1</v>
      </c>
      <c r="I2609">
        <v>1</v>
      </c>
      <c r="J2609">
        <v>1</v>
      </c>
      <c r="K2609" t="s">
        <v>225</v>
      </c>
    </row>
    <row r="2610" spans="1:11">
      <c r="A2610">
        <v>130905</v>
      </c>
      <c r="B2610">
        <v>1</v>
      </c>
      <c r="C2610">
        <v>1</v>
      </c>
      <c r="D2610" s="4">
        <v>0</v>
      </c>
      <c r="E2610" s="4">
        <v>0</v>
      </c>
      <c r="F2610" s="4">
        <v>1</v>
      </c>
      <c r="G2610">
        <v>130905</v>
      </c>
      <c r="H2610">
        <v>1</v>
      </c>
      <c r="I2610">
        <v>1</v>
      </c>
      <c r="J2610">
        <v>1</v>
      </c>
      <c r="K2610" t="s">
        <v>226</v>
      </c>
    </row>
    <row r="2611" spans="1:11">
      <c r="A2611">
        <v>130906</v>
      </c>
      <c r="B2611">
        <v>1</v>
      </c>
      <c r="C2611">
        <v>1</v>
      </c>
      <c r="D2611" s="4">
        <v>0</v>
      </c>
      <c r="E2611" s="4">
        <v>0</v>
      </c>
      <c r="F2611" s="4">
        <v>1</v>
      </c>
      <c r="G2611">
        <v>130906</v>
      </c>
      <c r="H2611">
        <v>1</v>
      </c>
      <c r="I2611">
        <v>1</v>
      </c>
      <c r="J2611">
        <v>1</v>
      </c>
      <c r="K2611" t="s">
        <v>227</v>
      </c>
    </row>
    <row r="2612" spans="1:11">
      <c r="A2612">
        <v>130907</v>
      </c>
      <c r="B2612">
        <v>1</v>
      </c>
      <c r="C2612">
        <v>1</v>
      </c>
      <c r="D2612" s="4">
        <v>0</v>
      </c>
      <c r="E2612" s="4">
        <v>0</v>
      </c>
      <c r="F2612" s="4">
        <v>1</v>
      </c>
      <c r="G2612">
        <v>130907</v>
      </c>
      <c r="H2612">
        <v>1</v>
      </c>
      <c r="I2612">
        <v>1</v>
      </c>
      <c r="J2612">
        <v>1</v>
      </c>
      <c r="K2612" t="s">
        <v>228</v>
      </c>
    </row>
    <row r="2613" spans="1:11">
      <c r="A2613">
        <v>130908</v>
      </c>
      <c r="B2613">
        <v>1</v>
      </c>
      <c r="C2613">
        <v>1</v>
      </c>
      <c r="D2613" s="4">
        <v>0</v>
      </c>
      <c r="E2613" s="4">
        <v>0</v>
      </c>
      <c r="F2613" s="4">
        <v>1</v>
      </c>
      <c r="G2613">
        <v>130908</v>
      </c>
      <c r="H2613">
        <v>1</v>
      </c>
      <c r="I2613">
        <v>1</v>
      </c>
      <c r="J2613">
        <v>1</v>
      </c>
      <c r="K2613" t="s">
        <v>229</v>
      </c>
    </row>
    <row r="2614" spans="1:11">
      <c r="A2614">
        <v>130909</v>
      </c>
      <c r="B2614">
        <v>1</v>
      </c>
      <c r="C2614">
        <v>1</v>
      </c>
      <c r="D2614" s="4">
        <v>0</v>
      </c>
      <c r="E2614" s="4">
        <v>0</v>
      </c>
      <c r="F2614" s="4">
        <v>1</v>
      </c>
      <c r="G2614">
        <v>130909</v>
      </c>
      <c r="H2614">
        <v>1</v>
      </c>
      <c r="I2614">
        <v>1</v>
      </c>
      <c r="J2614">
        <v>1</v>
      </c>
      <c r="K2614" t="s">
        <v>230</v>
      </c>
    </row>
    <row r="2615" spans="1:11">
      <c r="A2615">
        <v>130911</v>
      </c>
      <c r="B2615">
        <v>1</v>
      </c>
      <c r="C2615">
        <v>1</v>
      </c>
      <c r="D2615" s="4">
        <v>0</v>
      </c>
      <c r="E2615" s="4">
        <v>0</v>
      </c>
      <c r="F2615" s="4">
        <v>1</v>
      </c>
      <c r="G2615">
        <v>130911</v>
      </c>
      <c r="H2615">
        <v>1</v>
      </c>
      <c r="I2615">
        <v>1</v>
      </c>
      <c r="J2615">
        <v>1</v>
      </c>
      <c r="K2615" t="s">
        <v>231</v>
      </c>
    </row>
    <row r="2616" spans="1:11">
      <c r="A2616">
        <v>130912</v>
      </c>
      <c r="B2616">
        <v>1</v>
      </c>
      <c r="C2616">
        <v>1</v>
      </c>
      <c r="D2616" s="4">
        <v>0</v>
      </c>
      <c r="E2616" s="4">
        <v>0</v>
      </c>
      <c r="F2616" s="4">
        <v>1</v>
      </c>
      <c r="G2616">
        <v>130912</v>
      </c>
      <c r="H2616">
        <v>1</v>
      </c>
      <c r="I2616">
        <v>1</v>
      </c>
      <c r="J2616">
        <v>1</v>
      </c>
      <c r="K2616" t="s">
        <v>232</v>
      </c>
    </row>
    <row r="2617" spans="1:11">
      <c r="A2617">
        <v>130913</v>
      </c>
      <c r="B2617">
        <v>1</v>
      </c>
      <c r="C2617">
        <v>1</v>
      </c>
      <c r="D2617" s="4">
        <v>0</v>
      </c>
      <c r="E2617" s="4">
        <v>0</v>
      </c>
      <c r="F2617" s="4">
        <v>1</v>
      </c>
      <c r="G2617">
        <v>130913</v>
      </c>
      <c r="H2617">
        <v>1</v>
      </c>
      <c r="I2617">
        <v>1</v>
      </c>
      <c r="J2617">
        <v>1</v>
      </c>
      <c r="K2617" t="s">
        <v>233</v>
      </c>
    </row>
    <row r="2618" spans="1:11">
      <c r="A2618">
        <v>130914</v>
      </c>
      <c r="B2618">
        <v>1</v>
      </c>
      <c r="C2618">
        <v>1</v>
      </c>
      <c r="D2618" s="4">
        <v>0</v>
      </c>
      <c r="E2618" s="4">
        <v>0</v>
      </c>
      <c r="F2618" s="4">
        <v>1</v>
      </c>
      <c r="G2618">
        <v>130914</v>
      </c>
      <c r="H2618">
        <v>1</v>
      </c>
      <c r="I2618">
        <v>1</v>
      </c>
      <c r="J2618">
        <v>1</v>
      </c>
      <c r="K2618" t="s">
        <v>234</v>
      </c>
    </row>
    <row r="2619" spans="1:11">
      <c r="A2619">
        <v>130915</v>
      </c>
      <c r="B2619">
        <v>1</v>
      </c>
      <c r="C2619">
        <v>1</v>
      </c>
      <c r="D2619" s="4">
        <v>0</v>
      </c>
      <c r="E2619" s="4">
        <v>0</v>
      </c>
      <c r="F2619" s="4">
        <v>1</v>
      </c>
      <c r="G2619">
        <v>130915</v>
      </c>
      <c r="H2619">
        <v>1</v>
      </c>
      <c r="I2619">
        <v>1</v>
      </c>
      <c r="J2619">
        <v>1</v>
      </c>
      <c r="K2619" t="s">
        <v>235</v>
      </c>
    </row>
    <row r="2620" spans="1:11">
      <c r="A2620">
        <v>130916</v>
      </c>
      <c r="B2620">
        <v>1</v>
      </c>
      <c r="C2620">
        <v>1</v>
      </c>
      <c r="D2620" s="4">
        <v>0</v>
      </c>
      <c r="E2620" s="4">
        <v>0</v>
      </c>
      <c r="F2620" s="4">
        <v>1</v>
      </c>
      <c r="G2620">
        <v>130916</v>
      </c>
      <c r="H2620">
        <v>1</v>
      </c>
      <c r="I2620">
        <v>1</v>
      </c>
      <c r="J2620">
        <v>1</v>
      </c>
      <c r="K2620" t="s">
        <v>236</v>
      </c>
    </row>
    <row r="2621" spans="1:11">
      <c r="A2621">
        <v>130917</v>
      </c>
      <c r="B2621">
        <v>1</v>
      </c>
      <c r="C2621">
        <v>1</v>
      </c>
      <c r="D2621" s="4">
        <v>0</v>
      </c>
      <c r="E2621" s="4">
        <v>0</v>
      </c>
      <c r="F2621" s="4">
        <v>1</v>
      </c>
      <c r="G2621">
        <v>130917</v>
      </c>
      <c r="H2621">
        <v>1</v>
      </c>
      <c r="I2621">
        <v>1</v>
      </c>
      <c r="J2621">
        <v>1</v>
      </c>
      <c r="K2621" t="s">
        <v>237</v>
      </c>
    </row>
    <row r="2622" spans="1:11">
      <c r="A2622">
        <v>130918</v>
      </c>
      <c r="B2622">
        <v>1</v>
      </c>
      <c r="C2622">
        <v>1</v>
      </c>
      <c r="D2622" s="4">
        <v>0</v>
      </c>
      <c r="E2622" s="4">
        <v>0</v>
      </c>
      <c r="F2622" s="4">
        <v>1</v>
      </c>
      <c r="G2622">
        <v>130918</v>
      </c>
      <c r="H2622">
        <v>1</v>
      </c>
      <c r="I2622">
        <v>1</v>
      </c>
      <c r="J2622">
        <v>1</v>
      </c>
      <c r="K2622" t="s">
        <v>238</v>
      </c>
    </row>
    <row r="2623" spans="1:11">
      <c r="A2623">
        <v>130919</v>
      </c>
      <c r="B2623">
        <v>1</v>
      </c>
      <c r="C2623">
        <v>1</v>
      </c>
      <c r="D2623" s="4">
        <v>0</v>
      </c>
      <c r="E2623" s="4">
        <v>0</v>
      </c>
      <c r="F2623" s="4">
        <v>1</v>
      </c>
      <c r="G2623">
        <v>130919</v>
      </c>
      <c r="H2623">
        <v>1</v>
      </c>
      <c r="I2623">
        <v>1</v>
      </c>
      <c r="J2623">
        <v>1</v>
      </c>
      <c r="K2623" t="s">
        <v>239</v>
      </c>
    </row>
    <row r="2624" spans="1:11">
      <c r="A2624">
        <v>130921</v>
      </c>
      <c r="B2624">
        <v>1</v>
      </c>
      <c r="C2624">
        <v>1</v>
      </c>
      <c r="D2624" s="4">
        <v>0</v>
      </c>
      <c r="E2624" s="4">
        <v>0</v>
      </c>
      <c r="F2624" s="4">
        <v>1</v>
      </c>
      <c r="G2624">
        <v>130921</v>
      </c>
      <c r="H2624">
        <v>1</v>
      </c>
      <c r="I2624">
        <v>1</v>
      </c>
      <c r="J2624">
        <v>1</v>
      </c>
      <c r="K2624" t="s">
        <v>240</v>
      </c>
    </row>
    <row r="2625" spans="1:11">
      <c r="A2625">
        <v>130922</v>
      </c>
      <c r="B2625">
        <v>1</v>
      </c>
      <c r="C2625">
        <v>1</v>
      </c>
      <c r="D2625" s="4">
        <v>0</v>
      </c>
      <c r="E2625" s="4">
        <v>0</v>
      </c>
      <c r="F2625" s="4">
        <v>1</v>
      </c>
      <c r="G2625">
        <v>130922</v>
      </c>
      <c r="H2625">
        <v>1</v>
      </c>
      <c r="I2625">
        <v>1</v>
      </c>
      <c r="J2625">
        <v>1</v>
      </c>
      <c r="K2625" t="s">
        <v>241</v>
      </c>
    </row>
    <row r="2626" spans="1:11">
      <c r="A2626">
        <v>130923</v>
      </c>
      <c r="B2626">
        <v>1</v>
      </c>
      <c r="C2626">
        <v>1</v>
      </c>
      <c r="D2626" s="4">
        <v>0</v>
      </c>
      <c r="E2626" s="4">
        <v>0</v>
      </c>
      <c r="F2626" s="4">
        <v>1</v>
      </c>
      <c r="G2626">
        <v>130923</v>
      </c>
      <c r="H2626">
        <v>1</v>
      </c>
      <c r="I2626">
        <v>1</v>
      </c>
      <c r="J2626">
        <v>1</v>
      </c>
      <c r="K2626" t="s">
        <v>242</v>
      </c>
    </row>
    <row r="2627" spans="1:11">
      <c r="A2627">
        <v>130924</v>
      </c>
      <c r="B2627">
        <v>1</v>
      </c>
      <c r="C2627">
        <v>1</v>
      </c>
      <c r="D2627" s="4">
        <v>0</v>
      </c>
      <c r="E2627" s="4">
        <v>0</v>
      </c>
      <c r="F2627" s="4">
        <v>1</v>
      </c>
      <c r="G2627">
        <v>130924</v>
      </c>
      <c r="H2627">
        <v>1</v>
      </c>
      <c r="I2627">
        <v>1</v>
      </c>
      <c r="J2627">
        <v>1</v>
      </c>
      <c r="K2627" t="s">
        <v>243</v>
      </c>
    </row>
    <row r="2628" spans="1:11">
      <c r="A2628">
        <v>130925</v>
      </c>
      <c r="B2628">
        <v>1</v>
      </c>
      <c r="C2628">
        <v>1</v>
      </c>
      <c r="D2628" s="4">
        <v>0</v>
      </c>
      <c r="E2628" s="4">
        <v>0</v>
      </c>
      <c r="F2628" s="4">
        <v>1</v>
      </c>
      <c r="G2628">
        <v>130925</v>
      </c>
      <c r="H2628">
        <v>1</v>
      </c>
      <c r="I2628">
        <v>1</v>
      </c>
      <c r="J2628">
        <v>1</v>
      </c>
      <c r="K2628" t="s">
        <v>244</v>
      </c>
    </row>
    <row r="2629" spans="1:11">
      <c r="A2629">
        <v>130926</v>
      </c>
      <c r="B2629">
        <v>1</v>
      </c>
      <c r="C2629">
        <v>1</v>
      </c>
      <c r="D2629" s="4">
        <v>0</v>
      </c>
      <c r="E2629" s="4">
        <v>0</v>
      </c>
      <c r="F2629" s="4">
        <v>1</v>
      </c>
      <c r="G2629">
        <v>130926</v>
      </c>
      <c r="H2629">
        <v>1</v>
      </c>
      <c r="I2629">
        <v>1</v>
      </c>
      <c r="J2629">
        <v>1</v>
      </c>
      <c r="K2629" t="s">
        <v>245</v>
      </c>
    </row>
    <row r="2630" spans="1:11">
      <c r="A2630">
        <v>130927</v>
      </c>
      <c r="B2630">
        <v>1</v>
      </c>
      <c r="C2630">
        <v>1</v>
      </c>
      <c r="D2630" s="4">
        <v>0</v>
      </c>
      <c r="E2630" s="4">
        <v>0</v>
      </c>
      <c r="F2630" s="4">
        <v>1</v>
      </c>
      <c r="G2630">
        <v>130927</v>
      </c>
      <c r="H2630">
        <v>1</v>
      </c>
      <c r="I2630">
        <v>1</v>
      </c>
      <c r="J2630">
        <v>1</v>
      </c>
      <c r="K2630" t="s">
        <v>246</v>
      </c>
    </row>
    <row r="2631" spans="1:11">
      <c r="A2631">
        <v>130928</v>
      </c>
      <c r="B2631">
        <v>1</v>
      </c>
      <c r="C2631">
        <v>1</v>
      </c>
      <c r="D2631" s="4">
        <v>0</v>
      </c>
      <c r="E2631" s="4">
        <v>0</v>
      </c>
      <c r="F2631" s="4">
        <v>1</v>
      </c>
      <c r="G2631">
        <v>130928</v>
      </c>
      <c r="H2631">
        <v>1</v>
      </c>
      <c r="I2631">
        <v>1</v>
      </c>
      <c r="J2631">
        <v>1</v>
      </c>
      <c r="K2631" t="s">
        <v>247</v>
      </c>
    </row>
    <row r="2632" spans="1:11">
      <c r="A2632">
        <v>130929</v>
      </c>
      <c r="B2632">
        <v>1</v>
      </c>
      <c r="C2632">
        <v>1</v>
      </c>
      <c r="D2632" s="4">
        <v>0</v>
      </c>
      <c r="E2632" s="4">
        <v>0</v>
      </c>
      <c r="F2632" s="4">
        <v>1</v>
      </c>
      <c r="G2632">
        <v>130929</v>
      </c>
      <c r="H2632">
        <v>1</v>
      </c>
      <c r="I2632">
        <v>1</v>
      </c>
      <c r="J2632">
        <v>1</v>
      </c>
      <c r="K2632" t="s">
        <v>248</v>
      </c>
    </row>
    <row r="2633" spans="1:11" s="4" customFormat="1">
      <c r="A2633" s="4">
        <v>200011</v>
      </c>
      <c r="B2633" s="4">
        <v>1</v>
      </c>
      <c r="C2633" s="4">
        <v>1</v>
      </c>
      <c r="D2633" s="4">
        <v>0</v>
      </c>
      <c r="E2633" s="4">
        <v>0</v>
      </c>
      <c r="F2633" s="4">
        <v>1</v>
      </c>
      <c r="G2633" s="4">
        <v>200011</v>
      </c>
      <c r="H2633" s="4">
        <v>1</v>
      </c>
      <c r="I2633" s="4">
        <v>1</v>
      </c>
      <c r="J2633" s="4">
        <v>1</v>
      </c>
      <c r="K2633" s="4" t="s">
        <v>753</v>
      </c>
    </row>
    <row r="2634" spans="1:11" s="4" customFormat="1">
      <c r="A2634" s="4">
        <v>200012</v>
      </c>
      <c r="B2634" s="4">
        <v>1</v>
      </c>
      <c r="C2634" s="4">
        <v>1</v>
      </c>
      <c r="D2634" s="4">
        <v>0</v>
      </c>
      <c r="E2634" s="4">
        <v>0</v>
      </c>
      <c r="F2634" s="4">
        <v>1</v>
      </c>
      <c r="G2634" s="4">
        <v>200012</v>
      </c>
      <c r="H2634" s="4">
        <v>1</v>
      </c>
      <c r="I2634" s="4">
        <v>1</v>
      </c>
      <c r="J2634" s="4">
        <v>1</v>
      </c>
      <c r="K2634" s="4" t="s">
        <v>754</v>
      </c>
    </row>
    <row r="2635" spans="1:11" s="4" customFormat="1">
      <c r="A2635" s="4">
        <v>200013</v>
      </c>
      <c r="B2635" s="4">
        <v>1</v>
      </c>
      <c r="C2635" s="4">
        <v>1</v>
      </c>
      <c r="D2635" s="4">
        <v>0</v>
      </c>
      <c r="E2635" s="4">
        <v>0</v>
      </c>
      <c r="F2635" s="4">
        <v>1</v>
      </c>
      <c r="G2635" s="4">
        <v>200013</v>
      </c>
      <c r="H2635" s="4">
        <v>1</v>
      </c>
      <c r="I2635" s="4">
        <v>1</v>
      </c>
      <c r="J2635" s="4">
        <v>1</v>
      </c>
      <c r="K2635" s="4" t="s">
        <v>755</v>
      </c>
    </row>
    <row r="2636" spans="1:11" s="4" customFormat="1">
      <c r="A2636" s="4">
        <v>200021</v>
      </c>
      <c r="B2636" s="4">
        <v>1</v>
      </c>
      <c r="C2636" s="4">
        <v>1</v>
      </c>
      <c r="D2636" s="4">
        <v>0</v>
      </c>
      <c r="E2636" s="4">
        <v>0</v>
      </c>
      <c r="F2636" s="4">
        <v>1</v>
      </c>
      <c r="G2636" s="4">
        <v>200021</v>
      </c>
      <c r="H2636" s="4">
        <v>1</v>
      </c>
      <c r="I2636" s="4">
        <v>1</v>
      </c>
      <c r="J2636" s="4">
        <v>1</v>
      </c>
      <c r="K2636" s="4" t="s">
        <v>756</v>
      </c>
    </row>
    <row r="2637" spans="1:11" s="4" customFormat="1">
      <c r="A2637" s="4">
        <v>200022</v>
      </c>
      <c r="B2637" s="4">
        <v>1</v>
      </c>
      <c r="C2637" s="4">
        <v>1</v>
      </c>
      <c r="D2637" s="4">
        <v>0</v>
      </c>
      <c r="E2637" s="4">
        <v>0</v>
      </c>
      <c r="F2637" s="4">
        <v>1</v>
      </c>
      <c r="G2637" s="4">
        <v>200022</v>
      </c>
      <c r="H2637" s="4">
        <v>1</v>
      </c>
      <c r="I2637" s="4">
        <v>1</v>
      </c>
      <c r="J2637" s="4">
        <v>1</v>
      </c>
      <c r="K2637" s="4" t="s">
        <v>757</v>
      </c>
    </row>
    <row r="2638" spans="1:11" s="4" customFormat="1">
      <c r="A2638" s="4">
        <v>200023</v>
      </c>
      <c r="B2638" s="4">
        <v>1</v>
      </c>
      <c r="C2638" s="4">
        <v>1</v>
      </c>
      <c r="D2638" s="4">
        <v>0</v>
      </c>
      <c r="E2638" s="4">
        <v>0</v>
      </c>
      <c r="F2638" s="4">
        <v>1</v>
      </c>
      <c r="G2638" s="4">
        <v>200023</v>
      </c>
      <c r="H2638" s="4">
        <v>1</v>
      </c>
      <c r="I2638" s="4">
        <v>1</v>
      </c>
      <c r="J2638" s="4">
        <v>1</v>
      </c>
      <c r="K2638" s="4" t="s">
        <v>758</v>
      </c>
    </row>
    <row r="2639" spans="1:11" s="4" customFormat="1">
      <c r="A2639" s="4">
        <v>200031</v>
      </c>
      <c r="B2639" s="4">
        <v>1</v>
      </c>
      <c r="C2639" s="4">
        <v>1</v>
      </c>
      <c r="D2639" s="4">
        <v>0</v>
      </c>
      <c r="E2639" s="4">
        <v>0</v>
      </c>
      <c r="F2639" s="4">
        <v>1</v>
      </c>
      <c r="G2639" s="4">
        <v>200031</v>
      </c>
      <c r="H2639" s="4">
        <v>1</v>
      </c>
      <c r="I2639" s="4">
        <v>1</v>
      </c>
      <c r="J2639" s="4">
        <v>1</v>
      </c>
      <c r="K2639" s="4" t="s">
        <v>759</v>
      </c>
    </row>
    <row r="2640" spans="1:11" s="4" customFormat="1">
      <c r="A2640" s="4">
        <v>200032</v>
      </c>
      <c r="B2640" s="4">
        <v>1</v>
      </c>
      <c r="C2640" s="4">
        <v>1</v>
      </c>
      <c r="D2640" s="4">
        <v>0</v>
      </c>
      <c r="E2640" s="4">
        <v>0</v>
      </c>
      <c r="F2640" s="4">
        <v>1</v>
      </c>
      <c r="G2640" s="4">
        <v>200032</v>
      </c>
      <c r="H2640" s="4">
        <v>1</v>
      </c>
      <c r="I2640" s="4">
        <v>1</v>
      </c>
      <c r="J2640" s="4">
        <v>1</v>
      </c>
      <c r="K2640" s="4" t="s">
        <v>760</v>
      </c>
    </row>
    <row r="2641" spans="1:11" s="4" customFormat="1">
      <c r="A2641" s="4">
        <v>200033</v>
      </c>
      <c r="B2641" s="4">
        <v>1</v>
      </c>
      <c r="C2641" s="4">
        <v>1</v>
      </c>
      <c r="D2641" s="4">
        <v>0</v>
      </c>
      <c r="E2641" s="4">
        <v>0</v>
      </c>
      <c r="F2641" s="4">
        <v>1</v>
      </c>
      <c r="G2641" s="4">
        <v>200033</v>
      </c>
      <c r="H2641" s="4">
        <v>1</v>
      </c>
      <c r="I2641" s="4">
        <v>1</v>
      </c>
      <c r="J2641" s="4">
        <v>1</v>
      </c>
      <c r="K2641" s="4" t="s">
        <v>761</v>
      </c>
    </row>
    <row r="2642" spans="1:11">
      <c r="A2642">
        <v>200010</v>
      </c>
      <c r="B2642">
        <v>1</v>
      </c>
      <c r="C2642">
        <v>1</v>
      </c>
      <c r="D2642" s="4">
        <v>0</v>
      </c>
      <c r="E2642" s="4">
        <v>0</v>
      </c>
      <c r="F2642" s="4">
        <v>1</v>
      </c>
      <c r="G2642">
        <v>1</v>
      </c>
      <c r="H2642">
        <v>1</v>
      </c>
      <c r="I2642">
        <f>INT(K2642*85%)</f>
        <v>8</v>
      </c>
      <c r="J2642">
        <f>INT(K2642*115%)</f>
        <v>11</v>
      </c>
      <c r="K2642">
        <v>10</v>
      </c>
    </row>
    <row r="2643" spans="1:11">
      <c r="A2643">
        <v>200050</v>
      </c>
      <c r="B2643">
        <v>1</v>
      </c>
      <c r="C2643">
        <v>1</v>
      </c>
      <c r="D2643" s="4">
        <v>0</v>
      </c>
      <c r="E2643" s="4">
        <v>0</v>
      </c>
      <c r="F2643" s="4">
        <v>1</v>
      </c>
      <c r="G2643">
        <v>1</v>
      </c>
      <c r="H2643">
        <v>1</v>
      </c>
      <c r="I2643" s="4">
        <f t="shared" ref="I2643:I2690" si="62">INT(K2643*85%)</f>
        <v>42</v>
      </c>
      <c r="J2643" s="4">
        <f t="shared" ref="J2643:J2695" si="63">INT(K2643*115%)</f>
        <v>57</v>
      </c>
      <c r="K2643">
        <v>50</v>
      </c>
    </row>
    <row r="2644" spans="1:11">
      <c r="A2644">
        <v>200070</v>
      </c>
      <c r="B2644">
        <v>1</v>
      </c>
      <c r="C2644">
        <v>1</v>
      </c>
      <c r="D2644" s="4">
        <v>0</v>
      </c>
      <c r="E2644" s="4">
        <v>0</v>
      </c>
      <c r="F2644" s="4">
        <v>1</v>
      </c>
      <c r="G2644">
        <v>1</v>
      </c>
      <c r="H2644">
        <v>1</v>
      </c>
      <c r="I2644" s="4">
        <f t="shared" si="62"/>
        <v>59</v>
      </c>
      <c r="J2644" s="4">
        <f t="shared" si="63"/>
        <v>80</v>
      </c>
      <c r="K2644">
        <v>70</v>
      </c>
    </row>
    <row r="2645" spans="1:11">
      <c r="A2645">
        <v>200100</v>
      </c>
      <c r="B2645">
        <v>1</v>
      </c>
      <c r="C2645">
        <v>1</v>
      </c>
      <c r="D2645" s="4">
        <v>0</v>
      </c>
      <c r="E2645" s="4">
        <v>0</v>
      </c>
      <c r="F2645" s="4">
        <v>1</v>
      </c>
      <c r="G2645">
        <v>1</v>
      </c>
      <c r="H2645">
        <v>1</v>
      </c>
      <c r="I2645" s="4">
        <f t="shared" si="62"/>
        <v>85</v>
      </c>
      <c r="J2645" s="4">
        <f t="shared" si="63"/>
        <v>115</v>
      </c>
      <c r="K2645">
        <v>100</v>
      </c>
    </row>
    <row r="2646" spans="1:11">
      <c r="A2646">
        <v>200120</v>
      </c>
      <c r="B2646">
        <v>1</v>
      </c>
      <c r="C2646">
        <v>1</v>
      </c>
      <c r="D2646" s="4">
        <v>0</v>
      </c>
      <c r="E2646" s="4">
        <v>0</v>
      </c>
      <c r="F2646" s="4">
        <v>1</v>
      </c>
      <c r="G2646">
        <v>1</v>
      </c>
      <c r="H2646">
        <v>1</v>
      </c>
      <c r="I2646" s="4">
        <f t="shared" si="62"/>
        <v>102</v>
      </c>
      <c r="J2646" s="4">
        <f t="shared" si="63"/>
        <v>138</v>
      </c>
      <c r="K2646">
        <v>120</v>
      </c>
    </row>
    <row r="2647" spans="1:11">
      <c r="A2647">
        <v>200190</v>
      </c>
      <c r="B2647">
        <v>1</v>
      </c>
      <c r="C2647">
        <v>1</v>
      </c>
      <c r="D2647" s="4">
        <v>0</v>
      </c>
      <c r="E2647" s="4">
        <v>0</v>
      </c>
      <c r="F2647" s="4">
        <v>1</v>
      </c>
      <c r="G2647">
        <v>1</v>
      </c>
      <c r="H2647">
        <v>1</v>
      </c>
      <c r="I2647" s="4">
        <f t="shared" si="62"/>
        <v>161</v>
      </c>
      <c r="J2647" s="4">
        <f t="shared" si="63"/>
        <v>218</v>
      </c>
      <c r="K2647">
        <v>190</v>
      </c>
    </row>
    <row r="2648" spans="1:11">
      <c r="A2648">
        <v>200200</v>
      </c>
      <c r="B2648">
        <v>1</v>
      </c>
      <c r="C2648">
        <v>1</v>
      </c>
      <c r="D2648" s="4">
        <v>0</v>
      </c>
      <c r="E2648" s="4">
        <v>0</v>
      </c>
      <c r="F2648" s="4">
        <v>1</v>
      </c>
      <c r="G2648">
        <v>1</v>
      </c>
      <c r="H2648">
        <v>1</v>
      </c>
      <c r="I2648" s="4">
        <f t="shared" si="62"/>
        <v>170</v>
      </c>
      <c r="J2648" s="4">
        <f t="shared" si="63"/>
        <v>230</v>
      </c>
      <c r="K2648">
        <v>200</v>
      </c>
    </row>
    <row r="2649" spans="1:11">
      <c r="A2649">
        <v>200220</v>
      </c>
      <c r="B2649">
        <v>1</v>
      </c>
      <c r="C2649">
        <v>1</v>
      </c>
      <c r="D2649" s="4">
        <v>0</v>
      </c>
      <c r="E2649" s="4">
        <v>0</v>
      </c>
      <c r="F2649" s="4">
        <v>1</v>
      </c>
      <c r="G2649">
        <v>1</v>
      </c>
      <c r="H2649">
        <v>1</v>
      </c>
      <c r="I2649" s="4">
        <f t="shared" si="62"/>
        <v>187</v>
      </c>
      <c r="J2649" s="4">
        <f t="shared" si="63"/>
        <v>253</v>
      </c>
      <c r="K2649">
        <v>220</v>
      </c>
    </row>
    <row r="2650" spans="1:11">
      <c r="A2650">
        <v>200250</v>
      </c>
      <c r="B2650">
        <v>1</v>
      </c>
      <c r="C2650">
        <v>1</v>
      </c>
      <c r="D2650" s="4">
        <v>0</v>
      </c>
      <c r="E2650" s="4">
        <v>0</v>
      </c>
      <c r="F2650" s="4">
        <v>1</v>
      </c>
      <c r="G2650">
        <v>1</v>
      </c>
      <c r="H2650">
        <v>1</v>
      </c>
      <c r="I2650" s="4">
        <f t="shared" si="62"/>
        <v>212</v>
      </c>
      <c r="J2650" s="4">
        <f t="shared" si="63"/>
        <v>287</v>
      </c>
      <c r="K2650">
        <v>250</v>
      </c>
    </row>
    <row r="2651" spans="1:11">
      <c r="A2651">
        <v>200280</v>
      </c>
      <c r="B2651">
        <v>1</v>
      </c>
      <c r="C2651">
        <v>1</v>
      </c>
      <c r="D2651" s="4">
        <v>0</v>
      </c>
      <c r="E2651" s="4">
        <v>0</v>
      </c>
      <c r="F2651" s="4">
        <v>1</v>
      </c>
      <c r="G2651">
        <v>1</v>
      </c>
      <c r="H2651">
        <v>1</v>
      </c>
      <c r="I2651" s="4">
        <f t="shared" si="62"/>
        <v>238</v>
      </c>
      <c r="J2651" s="4">
        <f t="shared" si="63"/>
        <v>322</v>
      </c>
      <c r="K2651">
        <v>280</v>
      </c>
    </row>
    <row r="2652" spans="1:11">
      <c r="A2652">
        <v>200300</v>
      </c>
      <c r="B2652">
        <v>1</v>
      </c>
      <c r="C2652">
        <v>1</v>
      </c>
      <c r="D2652" s="4">
        <v>0</v>
      </c>
      <c r="E2652" s="4">
        <v>0</v>
      </c>
      <c r="F2652" s="4">
        <v>1</v>
      </c>
      <c r="G2652">
        <v>1</v>
      </c>
      <c r="H2652">
        <v>1</v>
      </c>
      <c r="I2652" s="4">
        <f t="shared" si="62"/>
        <v>255</v>
      </c>
      <c r="J2652" s="4">
        <f t="shared" si="63"/>
        <v>345</v>
      </c>
      <c r="K2652">
        <v>300</v>
      </c>
    </row>
    <row r="2653" spans="1:11">
      <c r="A2653">
        <v>200375</v>
      </c>
      <c r="B2653">
        <v>1</v>
      </c>
      <c r="C2653">
        <v>1</v>
      </c>
      <c r="D2653" s="4">
        <v>0</v>
      </c>
      <c r="E2653" s="4">
        <v>0</v>
      </c>
      <c r="F2653" s="4">
        <v>1</v>
      </c>
      <c r="G2653">
        <v>1</v>
      </c>
      <c r="H2653">
        <v>1</v>
      </c>
      <c r="I2653" s="4">
        <f t="shared" si="62"/>
        <v>318</v>
      </c>
      <c r="J2653" s="4">
        <f t="shared" si="63"/>
        <v>431</v>
      </c>
      <c r="K2653">
        <v>375</v>
      </c>
    </row>
    <row r="2654" spans="1:11">
      <c r="A2654">
        <v>200450</v>
      </c>
      <c r="B2654">
        <v>1</v>
      </c>
      <c r="C2654">
        <v>1</v>
      </c>
      <c r="D2654" s="4">
        <v>0</v>
      </c>
      <c r="E2654" s="4">
        <v>0</v>
      </c>
      <c r="F2654" s="4">
        <v>1</v>
      </c>
      <c r="G2654">
        <v>1</v>
      </c>
      <c r="H2654">
        <v>1</v>
      </c>
      <c r="I2654" s="4">
        <f t="shared" si="62"/>
        <v>382</v>
      </c>
      <c r="J2654" s="4">
        <f t="shared" si="63"/>
        <v>517</v>
      </c>
      <c r="K2654">
        <v>450</v>
      </c>
    </row>
    <row r="2655" spans="1:11" s="4" customFormat="1">
      <c r="A2655" s="4">
        <v>200500</v>
      </c>
      <c r="B2655" s="4">
        <v>1</v>
      </c>
      <c r="C2655" s="4">
        <v>1</v>
      </c>
      <c r="D2655" s="4">
        <v>0</v>
      </c>
      <c r="E2655" s="4">
        <v>0</v>
      </c>
      <c r="F2655" s="4">
        <v>1</v>
      </c>
      <c r="G2655" s="4">
        <v>1</v>
      </c>
      <c r="H2655" s="4">
        <v>1</v>
      </c>
      <c r="I2655" s="4">
        <f t="shared" si="62"/>
        <v>425</v>
      </c>
      <c r="J2655" s="4">
        <f t="shared" si="63"/>
        <v>575</v>
      </c>
      <c r="K2655" s="4">
        <v>500</v>
      </c>
    </row>
    <row r="2656" spans="1:11" s="4" customFormat="1">
      <c r="A2656" s="4">
        <v>200750</v>
      </c>
      <c r="B2656" s="4">
        <v>1</v>
      </c>
      <c r="C2656" s="4">
        <v>1</v>
      </c>
      <c r="D2656" s="4">
        <v>0</v>
      </c>
      <c r="E2656" s="4">
        <v>0</v>
      </c>
      <c r="F2656" s="4">
        <v>1</v>
      </c>
      <c r="G2656" s="4">
        <v>1</v>
      </c>
      <c r="H2656" s="4">
        <v>1</v>
      </c>
      <c r="I2656" s="4">
        <f t="shared" ref="I2656" si="64">INT(K2656*85%)</f>
        <v>637</v>
      </c>
      <c r="J2656" s="4">
        <f t="shared" si="63"/>
        <v>862</v>
      </c>
      <c r="K2656" s="4">
        <v>750</v>
      </c>
    </row>
    <row r="2657" spans="1:11" s="4" customFormat="1">
      <c r="A2657" s="4">
        <v>200800</v>
      </c>
      <c r="B2657" s="4">
        <v>1</v>
      </c>
      <c r="C2657" s="4">
        <v>1</v>
      </c>
      <c r="D2657" s="4">
        <v>0</v>
      </c>
      <c r="E2657" s="4">
        <v>0</v>
      </c>
      <c r="F2657" s="4">
        <v>1</v>
      </c>
      <c r="G2657" s="4">
        <v>1</v>
      </c>
      <c r="H2657" s="4">
        <v>1</v>
      </c>
      <c r="I2657" s="4">
        <f t="shared" ref="I2657" si="65">INT(K2657*85%)</f>
        <v>680</v>
      </c>
      <c r="J2657" s="4">
        <f t="shared" ref="J2657" si="66">INT(K2657*115%)</f>
        <v>920</v>
      </c>
      <c r="K2657" s="4">
        <v>800</v>
      </c>
    </row>
    <row r="2658" spans="1:11" s="4" customFormat="1">
      <c r="A2658" s="4">
        <v>201000</v>
      </c>
      <c r="B2658" s="4">
        <v>1</v>
      </c>
      <c r="C2658" s="4">
        <v>1</v>
      </c>
      <c r="D2658" s="4">
        <v>0</v>
      </c>
      <c r="E2658" s="4">
        <v>0</v>
      </c>
      <c r="F2658" s="4">
        <v>1</v>
      </c>
      <c r="G2658" s="4">
        <v>1</v>
      </c>
      <c r="H2658" s="4">
        <v>1</v>
      </c>
      <c r="I2658" s="4">
        <f t="shared" si="62"/>
        <v>850</v>
      </c>
      <c r="J2658" s="4">
        <f t="shared" si="63"/>
        <v>1150</v>
      </c>
      <c r="K2658" s="4">
        <v>1000</v>
      </c>
    </row>
    <row r="2659" spans="1:11">
      <c r="A2659">
        <v>201160</v>
      </c>
      <c r="B2659">
        <v>1</v>
      </c>
      <c r="C2659">
        <v>1</v>
      </c>
      <c r="D2659" s="4">
        <v>0</v>
      </c>
      <c r="E2659" s="4">
        <v>0</v>
      </c>
      <c r="F2659" s="4">
        <v>1</v>
      </c>
      <c r="G2659">
        <v>1</v>
      </c>
      <c r="H2659">
        <v>1</v>
      </c>
      <c r="I2659" s="4">
        <f t="shared" si="62"/>
        <v>986</v>
      </c>
      <c r="J2659" s="4">
        <f t="shared" si="63"/>
        <v>1334</v>
      </c>
      <c r="K2659">
        <v>1160</v>
      </c>
    </row>
    <row r="2660" spans="1:11" s="4" customFormat="1">
      <c r="A2660" s="4">
        <v>201200</v>
      </c>
      <c r="B2660" s="4">
        <v>1</v>
      </c>
      <c r="C2660" s="4">
        <v>1</v>
      </c>
      <c r="D2660" s="4">
        <v>0</v>
      </c>
      <c r="E2660" s="4">
        <v>0</v>
      </c>
      <c r="F2660" s="4">
        <v>1</v>
      </c>
      <c r="G2660" s="4">
        <v>1</v>
      </c>
      <c r="H2660" s="4">
        <v>1</v>
      </c>
      <c r="I2660" s="4">
        <f t="shared" ref="I2660" si="67">INT(K2660*85%)</f>
        <v>1020</v>
      </c>
      <c r="J2660" s="4">
        <f t="shared" ref="J2660" si="68">INT(K2660*115%)</f>
        <v>1380</v>
      </c>
      <c r="K2660" s="4">
        <v>1200</v>
      </c>
    </row>
    <row r="2661" spans="1:11" s="4" customFormat="1">
      <c r="A2661" s="4">
        <v>201400</v>
      </c>
      <c r="B2661" s="4">
        <v>1</v>
      </c>
      <c r="C2661" s="4">
        <v>1</v>
      </c>
      <c r="D2661" s="4">
        <v>0</v>
      </c>
      <c r="E2661" s="4">
        <v>0</v>
      </c>
      <c r="F2661" s="4">
        <v>1</v>
      </c>
      <c r="G2661" s="4">
        <v>1</v>
      </c>
      <c r="H2661" s="4">
        <v>1</v>
      </c>
      <c r="I2661" s="4">
        <f t="shared" ref="I2661:I2666" si="69">INT(K2661*85%)</f>
        <v>1190</v>
      </c>
      <c r="J2661" s="4">
        <f t="shared" ref="J2661:J2666" si="70">INT(K2661*115%)</f>
        <v>1610</v>
      </c>
      <c r="K2661" s="4">
        <v>1400</v>
      </c>
    </row>
    <row r="2662" spans="1:11" s="4" customFormat="1">
      <c r="A2662" s="4">
        <v>201600</v>
      </c>
      <c r="B2662" s="4">
        <v>1</v>
      </c>
      <c r="C2662" s="4">
        <v>1</v>
      </c>
      <c r="D2662" s="4">
        <v>0</v>
      </c>
      <c r="E2662" s="4">
        <v>0</v>
      </c>
      <c r="F2662" s="4">
        <v>1</v>
      </c>
      <c r="G2662" s="4">
        <v>1</v>
      </c>
      <c r="H2662" s="4">
        <v>1</v>
      </c>
      <c r="I2662" s="4">
        <f t="shared" si="69"/>
        <v>1360</v>
      </c>
      <c r="J2662" s="4">
        <f t="shared" si="70"/>
        <v>1840</v>
      </c>
      <c r="K2662" s="4">
        <v>1600</v>
      </c>
    </row>
    <row r="2663" spans="1:11" s="4" customFormat="1">
      <c r="A2663" s="4">
        <v>201800</v>
      </c>
      <c r="B2663" s="4">
        <v>1</v>
      </c>
      <c r="C2663" s="4">
        <v>1</v>
      </c>
      <c r="D2663" s="4">
        <v>0</v>
      </c>
      <c r="E2663" s="4">
        <v>0</v>
      </c>
      <c r="F2663" s="4">
        <v>1</v>
      </c>
      <c r="G2663" s="4">
        <v>1</v>
      </c>
      <c r="H2663" s="4">
        <v>1</v>
      </c>
      <c r="I2663" s="4">
        <f t="shared" si="69"/>
        <v>1530</v>
      </c>
      <c r="J2663" s="4">
        <f t="shared" si="70"/>
        <v>2070</v>
      </c>
      <c r="K2663" s="4">
        <v>1800</v>
      </c>
    </row>
    <row r="2664" spans="1:11" s="4" customFormat="1">
      <c r="A2664" s="4">
        <v>202000</v>
      </c>
      <c r="B2664" s="4">
        <v>1</v>
      </c>
      <c r="C2664" s="4">
        <v>1</v>
      </c>
      <c r="D2664" s="4">
        <v>0</v>
      </c>
      <c r="E2664" s="4">
        <v>0</v>
      </c>
      <c r="F2664" s="4">
        <v>1</v>
      </c>
      <c r="G2664" s="4">
        <v>1</v>
      </c>
      <c r="H2664" s="4">
        <v>1</v>
      </c>
      <c r="I2664" s="4">
        <f t="shared" si="69"/>
        <v>1700</v>
      </c>
      <c r="J2664" s="4">
        <f t="shared" si="70"/>
        <v>2300</v>
      </c>
      <c r="K2664" s="4">
        <v>2000</v>
      </c>
    </row>
    <row r="2665" spans="1:11" s="4" customFormat="1">
      <c r="A2665" s="4">
        <v>202200</v>
      </c>
      <c r="B2665" s="4">
        <v>1</v>
      </c>
      <c r="C2665" s="4">
        <v>1</v>
      </c>
      <c r="D2665" s="4">
        <v>0</v>
      </c>
      <c r="E2665" s="4">
        <v>0</v>
      </c>
      <c r="F2665" s="4">
        <v>1</v>
      </c>
      <c r="G2665" s="4">
        <v>1</v>
      </c>
      <c r="H2665" s="4">
        <v>1</v>
      </c>
      <c r="I2665" s="4">
        <f t="shared" si="69"/>
        <v>1870</v>
      </c>
      <c r="J2665" s="4">
        <f t="shared" si="70"/>
        <v>2530</v>
      </c>
      <c r="K2665" s="4">
        <v>2200</v>
      </c>
    </row>
    <row r="2666" spans="1:11" s="4" customFormat="1">
      <c r="A2666" s="4">
        <v>202400</v>
      </c>
      <c r="B2666" s="4">
        <v>1</v>
      </c>
      <c r="C2666" s="4">
        <v>1</v>
      </c>
      <c r="D2666" s="4">
        <v>0</v>
      </c>
      <c r="E2666" s="4">
        <v>0</v>
      </c>
      <c r="F2666" s="4">
        <v>1</v>
      </c>
      <c r="G2666" s="4">
        <v>1</v>
      </c>
      <c r="H2666" s="4">
        <v>1</v>
      </c>
      <c r="I2666" s="4">
        <f t="shared" si="69"/>
        <v>2040</v>
      </c>
      <c r="J2666" s="4">
        <f t="shared" si="70"/>
        <v>2760</v>
      </c>
      <c r="K2666" s="4">
        <v>2400</v>
      </c>
    </row>
    <row r="2667" spans="1:11">
      <c r="A2667">
        <v>202500</v>
      </c>
      <c r="B2667">
        <v>1</v>
      </c>
      <c r="C2667">
        <v>1</v>
      </c>
      <c r="D2667" s="4">
        <v>0</v>
      </c>
      <c r="E2667" s="4">
        <v>0</v>
      </c>
      <c r="F2667" s="4">
        <v>1</v>
      </c>
      <c r="G2667">
        <v>1</v>
      </c>
      <c r="H2667">
        <v>1</v>
      </c>
      <c r="I2667" s="4">
        <f t="shared" si="62"/>
        <v>2125</v>
      </c>
      <c r="J2667" s="4">
        <f t="shared" si="63"/>
        <v>2875</v>
      </c>
      <c r="K2667">
        <v>2500</v>
      </c>
    </row>
    <row r="2668" spans="1:11" s="4" customFormat="1">
      <c r="A2668" s="4">
        <v>202800</v>
      </c>
      <c r="B2668" s="4">
        <v>1</v>
      </c>
      <c r="C2668" s="4">
        <v>1</v>
      </c>
      <c r="D2668" s="4">
        <v>0</v>
      </c>
      <c r="E2668" s="4">
        <v>0</v>
      </c>
      <c r="F2668" s="4">
        <v>1</v>
      </c>
      <c r="G2668" s="4">
        <v>1</v>
      </c>
      <c r="H2668" s="4">
        <v>1</v>
      </c>
      <c r="I2668" s="4">
        <f t="shared" ref="I2668" si="71">INT(K2668*85%)</f>
        <v>2380</v>
      </c>
      <c r="J2668" s="4">
        <f t="shared" ref="J2668" si="72">INT(K2668*115%)</f>
        <v>3220</v>
      </c>
      <c r="K2668" s="4">
        <v>2800</v>
      </c>
    </row>
    <row r="2669" spans="1:11" s="4" customFormat="1">
      <c r="A2669" s="4">
        <v>203200</v>
      </c>
      <c r="B2669" s="4">
        <v>1</v>
      </c>
      <c r="C2669" s="4">
        <v>1</v>
      </c>
      <c r="D2669" s="4">
        <v>0</v>
      </c>
      <c r="E2669" s="4">
        <v>0</v>
      </c>
      <c r="F2669" s="4">
        <v>1</v>
      </c>
      <c r="G2669" s="4">
        <v>1</v>
      </c>
      <c r="H2669" s="4">
        <v>1</v>
      </c>
      <c r="I2669" s="4">
        <f t="shared" ref="I2669" si="73">INT(K2669*85%)</f>
        <v>2720</v>
      </c>
      <c r="J2669" s="4">
        <f t="shared" ref="J2669" si="74">INT(K2669*115%)</f>
        <v>3680</v>
      </c>
      <c r="K2669" s="4">
        <v>3200</v>
      </c>
    </row>
    <row r="2670" spans="1:11" s="4" customFormat="1">
      <c r="A2670" s="4">
        <v>203500</v>
      </c>
      <c r="B2670" s="4">
        <v>1</v>
      </c>
      <c r="C2670" s="4">
        <v>1</v>
      </c>
      <c r="D2670" s="4">
        <v>0</v>
      </c>
      <c r="E2670" s="4">
        <v>0</v>
      </c>
      <c r="F2670" s="4">
        <v>1</v>
      </c>
      <c r="G2670" s="4">
        <v>1</v>
      </c>
      <c r="H2670" s="4">
        <v>1</v>
      </c>
      <c r="I2670" s="4">
        <f t="shared" si="62"/>
        <v>2975</v>
      </c>
      <c r="J2670" s="4">
        <f t="shared" si="63"/>
        <v>4025</v>
      </c>
      <c r="K2670" s="4">
        <v>3500</v>
      </c>
    </row>
    <row r="2671" spans="1:11" s="4" customFormat="1">
      <c r="A2671" s="4">
        <v>203600</v>
      </c>
      <c r="B2671" s="4">
        <v>1</v>
      </c>
      <c r="C2671" s="4">
        <v>1</v>
      </c>
      <c r="D2671" s="4">
        <v>0</v>
      </c>
      <c r="E2671" s="4">
        <v>0</v>
      </c>
      <c r="F2671" s="4">
        <v>1</v>
      </c>
      <c r="G2671" s="4">
        <v>1</v>
      </c>
      <c r="H2671" s="4">
        <v>1</v>
      </c>
      <c r="I2671" s="4">
        <f t="shared" si="62"/>
        <v>3060</v>
      </c>
      <c r="J2671" s="4">
        <f t="shared" si="63"/>
        <v>4140</v>
      </c>
      <c r="K2671" s="4">
        <v>3600</v>
      </c>
    </row>
    <row r="2672" spans="1:11">
      <c r="A2672">
        <v>204000</v>
      </c>
      <c r="B2672">
        <v>1</v>
      </c>
      <c r="C2672">
        <v>1</v>
      </c>
      <c r="D2672" s="4">
        <v>0</v>
      </c>
      <c r="E2672" s="4">
        <v>0</v>
      </c>
      <c r="F2672" s="4">
        <v>1</v>
      </c>
      <c r="G2672">
        <v>1</v>
      </c>
      <c r="H2672">
        <v>1</v>
      </c>
      <c r="I2672" s="4">
        <f t="shared" si="62"/>
        <v>3400</v>
      </c>
      <c r="J2672" s="4">
        <f t="shared" si="63"/>
        <v>4600</v>
      </c>
      <c r="K2672">
        <v>4000</v>
      </c>
    </row>
    <row r="2673" spans="1:11" s="4" customFormat="1">
      <c r="A2673" s="4">
        <v>204400</v>
      </c>
      <c r="B2673" s="4">
        <v>1</v>
      </c>
      <c r="C2673" s="4">
        <v>1</v>
      </c>
      <c r="D2673" s="4">
        <v>0</v>
      </c>
      <c r="E2673" s="4">
        <v>0</v>
      </c>
      <c r="F2673" s="4">
        <v>1</v>
      </c>
      <c r="G2673" s="4">
        <v>1</v>
      </c>
      <c r="H2673" s="4">
        <v>1</v>
      </c>
      <c r="I2673" s="4">
        <f t="shared" ref="I2673:I2674" si="75">INT(K2673*85%)</f>
        <v>3740</v>
      </c>
      <c r="J2673" s="4">
        <f t="shared" ref="J2673:J2674" si="76">INT(K2673*115%)</f>
        <v>5060</v>
      </c>
      <c r="K2673" s="4">
        <v>4400</v>
      </c>
    </row>
    <row r="2674" spans="1:11" s="4" customFormat="1">
      <c r="A2674" s="4">
        <v>204800</v>
      </c>
      <c r="B2674" s="4">
        <v>1</v>
      </c>
      <c r="C2674" s="4">
        <v>1</v>
      </c>
      <c r="D2674" s="4">
        <v>0</v>
      </c>
      <c r="E2674" s="4">
        <v>0</v>
      </c>
      <c r="F2674" s="4">
        <v>1</v>
      </c>
      <c r="G2674" s="4">
        <v>1</v>
      </c>
      <c r="H2674" s="4">
        <v>1</v>
      </c>
      <c r="I2674" s="4">
        <f t="shared" si="75"/>
        <v>4080</v>
      </c>
      <c r="J2674" s="4">
        <f t="shared" si="76"/>
        <v>5520</v>
      </c>
      <c r="K2674" s="4">
        <v>4800</v>
      </c>
    </row>
    <row r="2675" spans="1:11">
      <c r="A2675">
        <v>205000</v>
      </c>
      <c r="B2675">
        <v>1</v>
      </c>
      <c r="C2675">
        <v>1</v>
      </c>
      <c r="D2675" s="4">
        <v>0</v>
      </c>
      <c r="E2675" s="4">
        <v>0</v>
      </c>
      <c r="F2675" s="4">
        <v>1</v>
      </c>
      <c r="G2675">
        <v>1</v>
      </c>
      <c r="H2675">
        <v>1</v>
      </c>
      <c r="I2675" s="4">
        <f t="shared" si="62"/>
        <v>4250</v>
      </c>
      <c r="J2675" s="4">
        <f t="shared" si="63"/>
        <v>5750</v>
      </c>
      <c r="K2675">
        <v>5000</v>
      </c>
    </row>
    <row r="2676" spans="1:11" s="4" customFormat="1">
      <c r="A2676" s="4">
        <v>205600</v>
      </c>
      <c r="B2676" s="4">
        <v>1</v>
      </c>
      <c r="C2676" s="4">
        <v>1</v>
      </c>
      <c r="D2676" s="4">
        <v>0</v>
      </c>
      <c r="E2676" s="4">
        <v>0</v>
      </c>
      <c r="F2676" s="4">
        <v>1</v>
      </c>
      <c r="G2676" s="4">
        <v>1</v>
      </c>
      <c r="H2676" s="4">
        <v>1</v>
      </c>
      <c r="I2676" s="4">
        <f t="shared" ref="I2676" si="77">INT(K2676*85%)</f>
        <v>4760</v>
      </c>
      <c r="J2676" s="4">
        <f t="shared" ref="J2676" si="78">INT(K2676*115%)</f>
        <v>6440</v>
      </c>
      <c r="K2676" s="4">
        <v>5600</v>
      </c>
    </row>
    <row r="2677" spans="1:11">
      <c r="A2677">
        <v>206000</v>
      </c>
      <c r="B2677">
        <v>1</v>
      </c>
      <c r="C2677">
        <v>1</v>
      </c>
      <c r="D2677" s="4">
        <v>0</v>
      </c>
      <c r="E2677" s="4">
        <v>0</v>
      </c>
      <c r="F2677" s="4">
        <v>1</v>
      </c>
      <c r="G2677">
        <v>1</v>
      </c>
      <c r="H2677">
        <v>1</v>
      </c>
      <c r="I2677" s="4">
        <f t="shared" si="62"/>
        <v>5100</v>
      </c>
      <c r="J2677" s="4">
        <f t="shared" si="63"/>
        <v>6900</v>
      </c>
      <c r="K2677">
        <v>6000</v>
      </c>
    </row>
    <row r="2678" spans="1:11" s="4" customFormat="1">
      <c r="A2678" s="4">
        <v>207000</v>
      </c>
      <c r="B2678" s="4">
        <v>1</v>
      </c>
      <c r="C2678" s="4">
        <v>1</v>
      </c>
      <c r="D2678" s="4">
        <v>0</v>
      </c>
      <c r="E2678" s="4">
        <v>0</v>
      </c>
      <c r="F2678" s="4">
        <v>1</v>
      </c>
      <c r="G2678" s="4">
        <v>1</v>
      </c>
      <c r="H2678" s="4">
        <v>1</v>
      </c>
      <c r="I2678" s="4">
        <f t="shared" ref="I2678:I2688" si="79">INT(K2678*85%)</f>
        <v>5950</v>
      </c>
      <c r="J2678" s="4">
        <f t="shared" ref="J2678:J2688" si="80">INT(K2678*115%)</f>
        <v>8050</v>
      </c>
      <c r="K2678" s="4">
        <v>7000</v>
      </c>
    </row>
    <row r="2679" spans="1:11" s="4" customFormat="1">
      <c r="A2679" s="4">
        <v>208000</v>
      </c>
      <c r="B2679" s="4">
        <v>1</v>
      </c>
      <c r="C2679" s="4">
        <v>1</v>
      </c>
      <c r="D2679" s="4">
        <v>0</v>
      </c>
      <c r="E2679" s="4">
        <v>0</v>
      </c>
      <c r="F2679" s="4">
        <v>1</v>
      </c>
      <c r="G2679" s="4">
        <v>1</v>
      </c>
      <c r="H2679" s="4">
        <v>1</v>
      </c>
      <c r="I2679" s="4">
        <f t="shared" si="79"/>
        <v>6800</v>
      </c>
      <c r="J2679" s="4">
        <f t="shared" si="80"/>
        <v>9200</v>
      </c>
      <c r="K2679" s="4">
        <v>8000</v>
      </c>
    </row>
    <row r="2680" spans="1:11" s="4" customFormat="1">
      <c r="A2680" s="4">
        <v>208400</v>
      </c>
      <c r="B2680" s="4">
        <v>1</v>
      </c>
      <c r="C2680" s="4">
        <v>1</v>
      </c>
      <c r="D2680" s="4">
        <v>0</v>
      </c>
      <c r="E2680" s="4">
        <v>0</v>
      </c>
      <c r="F2680" s="4">
        <v>1</v>
      </c>
      <c r="G2680" s="4">
        <v>1</v>
      </c>
      <c r="H2680" s="4">
        <v>1</v>
      </c>
      <c r="I2680" s="4">
        <f t="shared" ref="I2680" si="81">INT(K2680*85%)</f>
        <v>7140</v>
      </c>
      <c r="J2680" s="4">
        <f t="shared" ref="J2680" si="82">INT(K2680*115%)</f>
        <v>9660</v>
      </c>
      <c r="K2680" s="4">
        <v>8400</v>
      </c>
    </row>
    <row r="2681" spans="1:11" s="4" customFormat="1">
      <c r="A2681" s="4">
        <v>209000</v>
      </c>
      <c r="B2681" s="4">
        <v>1</v>
      </c>
      <c r="C2681" s="4">
        <v>1</v>
      </c>
      <c r="D2681" s="4">
        <v>0</v>
      </c>
      <c r="E2681" s="4">
        <v>0</v>
      </c>
      <c r="F2681" s="4">
        <v>1</v>
      </c>
      <c r="G2681" s="4">
        <v>1</v>
      </c>
      <c r="H2681" s="4">
        <v>1</v>
      </c>
      <c r="I2681" s="4">
        <f t="shared" si="79"/>
        <v>7650</v>
      </c>
      <c r="J2681" s="4">
        <f t="shared" si="80"/>
        <v>10350</v>
      </c>
      <c r="K2681" s="4">
        <v>9000</v>
      </c>
    </row>
    <row r="2682" spans="1:11" s="4" customFormat="1">
      <c r="A2682" s="4">
        <v>209800</v>
      </c>
      <c r="B2682" s="4">
        <v>1</v>
      </c>
      <c r="C2682" s="4">
        <v>1</v>
      </c>
      <c r="D2682" s="4">
        <v>0</v>
      </c>
      <c r="E2682" s="4">
        <v>0</v>
      </c>
      <c r="F2682" s="4">
        <v>1</v>
      </c>
      <c r="G2682" s="4">
        <v>1</v>
      </c>
      <c r="H2682" s="4">
        <v>1</v>
      </c>
      <c r="I2682" s="4">
        <f t="shared" ref="I2682" si="83">INT(K2682*85%)</f>
        <v>8330</v>
      </c>
      <c r="J2682" s="4">
        <f t="shared" ref="J2682" si="84">INT(K2682*115%)</f>
        <v>11270</v>
      </c>
      <c r="K2682" s="4">
        <v>9800</v>
      </c>
    </row>
    <row r="2683" spans="1:11" s="4" customFormat="1">
      <c r="A2683" s="4">
        <v>210000</v>
      </c>
      <c r="B2683" s="4">
        <v>1</v>
      </c>
      <c r="C2683" s="4">
        <v>1</v>
      </c>
      <c r="D2683" s="4">
        <v>0</v>
      </c>
      <c r="E2683" s="4">
        <v>0</v>
      </c>
      <c r="F2683" s="4">
        <v>1</v>
      </c>
      <c r="G2683" s="4">
        <v>1</v>
      </c>
      <c r="H2683" s="4">
        <v>1</v>
      </c>
      <c r="I2683" s="4">
        <f t="shared" si="79"/>
        <v>8500</v>
      </c>
      <c r="J2683" s="4">
        <f t="shared" si="80"/>
        <v>11500</v>
      </c>
      <c r="K2683" s="4">
        <v>10000</v>
      </c>
    </row>
    <row r="2684" spans="1:11" s="4" customFormat="1">
      <c r="A2684" s="4">
        <v>211000</v>
      </c>
      <c r="B2684" s="4">
        <v>1</v>
      </c>
      <c r="C2684" s="4">
        <v>1</v>
      </c>
      <c r="D2684" s="4">
        <v>0</v>
      </c>
      <c r="E2684" s="4">
        <v>0</v>
      </c>
      <c r="F2684" s="4">
        <v>1</v>
      </c>
      <c r="G2684" s="4">
        <v>1</v>
      </c>
      <c r="H2684" s="4">
        <v>1</v>
      </c>
      <c r="I2684" s="4">
        <f t="shared" si="79"/>
        <v>9350</v>
      </c>
      <c r="J2684" s="4">
        <f t="shared" si="80"/>
        <v>12650</v>
      </c>
      <c r="K2684" s="4">
        <v>11000</v>
      </c>
    </row>
    <row r="2685" spans="1:11" s="4" customFormat="1">
      <c r="A2685" s="4">
        <v>211200</v>
      </c>
      <c r="B2685" s="4">
        <v>1</v>
      </c>
      <c r="C2685" s="4">
        <v>1</v>
      </c>
      <c r="D2685" s="4">
        <v>0</v>
      </c>
      <c r="E2685" s="4">
        <v>0</v>
      </c>
      <c r="F2685" s="4">
        <v>1</v>
      </c>
      <c r="G2685" s="4">
        <v>1</v>
      </c>
      <c r="H2685" s="4">
        <v>1</v>
      </c>
      <c r="I2685" s="4">
        <f t="shared" ref="I2685" si="85">INT(K2685*85%)</f>
        <v>9520</v>
      </c>
      <c r="J2685" s="4">
        <f t="shared" ref="J2685" si="86">INT(K2685*115%)</f>
        <v>12880</v>
      </c>
      <c r="K2685" s="4">
        <v>11200</v>
      </c>
    </row>
    <row r="2686" spans="1:11" s="4" customFormat="1">
      <c r="A2686" s="4">
        <v>212000</v>
      </c>
      <c r="B2686" s="4">
        <v>1</v>
      </c>
      <c r="C2686" s="4">
        <v>1</v>
      </c>
      <c r="D2686" s="4">
        <v>0</v>
      </c>
      <c r="E2686" s="4">
        <v>0</v>
      </c>
      <c r="F2686" s="4">
        <v>1</v>
      </c>
      <c r="G2686" s="4">
        <v>1</v>
      </c>
      <c r="H2686" s="4">
        <v>1</v>
      </c>
      <c r="I2686" s="4">
        <f t="shared" si="79"/>
        <v>10200</v>
      </c>
      <c r="J2686" s="4">
        <f t="shared" si="80"/>
        <v>13800</v>
      </c>
      <c r="K2686" s="4">
        <v>12000</v>
      </c>
    </row>
    <row r="2687" spans="1:11" s="4" customFormat="1">
      <c r="A2687" s="4">
        <v>212600</v>
      </c>
      <c r="B2687" s="4">
        <v>1</v>
      </c>
      <c r="C2687" s="4">
        <v>1</v>
      </c>
      <c r="D2687" s="4">
        <v>0</v>
      </c>
      <c r="E2687" s="4">
        <v>0</v>
      </c>
      <c r="F2687" s="4">
        <v>1</v>
      </c>
      <c r="G2687" s="4">
        <v>1</v>
      </c>
      <c r="H2687" s="4">
        <v>1</v>
      </c>
      <c r="I2687" s="4">
        <f t="shared" ref="I2687" si="87">INT(K2687*85%)</f>
        <v>10710</v>
      </c>
      <c r="J2687" s="4">
        <f t="shared" ref="J2687" si="88">INT(K2687*115%)</f>
        <v>14490</v>
      </c>
      <c r="K2687" s="4">
        <v>12600</v>
      </c>
    </row>
    <row r="2688" spans="1:11" s="4" customFormat="1">
      <c r="A2688" s="4">
        <v>213000</v>
      </c>
      <c r="B2688" s="4">
        <v>1</v>
      </c>
      <c r="C2688" s="4">
        <v>1</v>
      </c>
      <c r="D2688" s="4">
        <v>0</v>
      </c>
      <c r="E2688" s="4">
        <v>0</v>
      </c>
      <c r="F2688" s="4">
        <v>1</v>
      </c>
      <c r="G2688" s="4">
        <v>1</v>
      </c>
      <c r="H2688" s="4">
        <v>1</v>
      </c>
      <c r="I2688" s="4">
        <f t="shared" si="79"/>
        <v>11050</v>
      </c>
      <c r="J2688" s="4">
        <f t="shared" si="80"/>
        <v>14950</v>
      </c>
      <c r="K2688" s="4">
        <v>13000</v>
      </c>
    </row>
    <row r="2689" spans="1:11">
      <c r="A2689">
        <v>214000</v>
      </c>
      <c r="B2689">
        <v>1</v>
      </c>
      <c r="C2689">
        <v>1</v>
      </c>
      <c r="D2689" s="4">
        <v>0</v>
      </c>
      <c r="E2689" s="4">
        <v>0</v>
      </c>
      <c r="F2689" s="4">
        <v>1</v>
      </c>
      <c r="G2689">
        <v>1</v>
      </c>
      <c r="H2689">
        <v>1</v>
      </c>
      <c r="I2689" s="4">
        <f t="shared" si="62"/>
        <v>11900</v>
      </c>
      <c r="J2689" s="4">
        <f t="shared" si="63"/>
        <v>16100</v>
      </c>
      <c r="K2689">
        <v>14000</v>
      </c>
    </row>
    <row r="2690" spans="1:11">
      <c r="A2690">
        <v>215000</v>
      </c>
      <c r="B2690">
        <v>1</v>
      </c>
      <c r="C2690">
        <v>1</v>
      </c>
      <c r="D2690" s="4">
        <v>0</v>
      </c>
      <c r="E2690" s="4">
        <v>0</v>
      </c>
      <c r="F2690" s="4">
        <v>1</v>
      </c>
      <c r="G2690">
        <v>1</v>
      </c>
      <c r="H2690">
        <v>1</v>
      </c>
      <c r="I2690" s="4">
        <f t="shared" si="62"/>
        <v>12750</v>
      </c>
      <c r="J2690" s="4">
        <f t="shared" si="63"/>
        <v>17250</v>
      </c>
      <c r="K2690">
        <v>15000</v>
      </c>
    </row>
    <row r="2691" spans="1:11" s="4" customFormat="1">
      <c r="A2691" s="4">
        <v>215400</v>
      </c>
      <c r="B2691" s="4">
        <v>1</v>
      </c>
      <c r="C2691" s="4">
        <v>1</v>
      </c>
      <c r="D2691" s="4">
        <v>0</v>
      </c>
      <c r="E2691" s="4">
        <v>0</v>
      </c>
      <c r="F2691" s="4">
        <v>1</v>
      </c>
      <c r="G2691" s="4">
        <v>1</v>
      </c>
      <c r="H2691" s="4">
        <v>1</v>
      </c>
      <c r="I2691" s="4">
        <f t="shared" ref="I2691:I2694" si="89">INT(K2691*85%)</f>
        <v>13090</v>
      </c>
      <c r="J2691" s="4">
        <f t="shared" ref="J2691:J2694" si="90">INT(K2691*115%)</f>
        <v>17710</v>
      </c>
      <c r="K2691" s="4">
        <v>15400</v>
      </c>
    </row>
    <row r="2692" spans="1:11" s="4" customFormat="1">
      <c r="A2692" s="4">
        <v>216800</v>
      </c>
      <c r="B2692" s="4">
        <v>1</v>
      </c>
      <c r="C2692" s="4">
        <v>1</v>
      </c>
      <c r="D2692" s="4">
        <v>0</v>
      </c>
      <c r="E2692" s="4">
        <v>0</v>
      </c>
      <c r="F2692" s="4">
        <v>1</v>
      </c>
      <c r="G2692" s="4">
        <v>1</v>
      </c>
      <c r="H2692" s="4">
        <v>1</v>
      </c>
      <c r="I2692" s="4">
        <f t="shared" si="89"/>
        <v>14280</v>
      </c>
      <c r="J2692" s="4">
        <f t="shared" si="90"/>
        <v>19320</v>
      </c>
      <c r="K2692" s="4">
        <v>16800</v>
      </c>
    </row>
    <row r="2693" spans="1:11" s="4" customFormat="1">
      <c r="A2693" s="4">
        <v>217500</v>
      </c>
      <c r="B2693" s="4">
        <v>1</v>
      </c>
      <c r="C2693" s="4">
        <v>1</v>
      </c>
      <c r="D2693" s="4">
        <v>0</v>
      </c>
      <c r="E2693" s="4">
        <v>0</v>
      </c>
      <c r="F2693" s="4">
        <v>1</v>
      </c>
      <c r="G2693" s="4">
        <v>1</v>
      </c>
      <c r="H2693" s="4">
        <v>1</v>
      </c>
      <c r="I2693" s="4">
        <f t="shared" si="89"/>
        <v>14875</v>
      </c>
      <c r="J2693" s="4">
        <f t="shared" si="90"/>
        <v>20125</v>
      </c>
      <c r="K2693" s="4">
        <v>17500</v>
      </c>
    </row>
    <row r="2694" spans="1:11" s="4" customFormat="1">
      <c r="A2694" s="4">
        <v>220000</v>
      </c>
      <c r="B2694" s="4">
        <v>1</v>
      </c>
      <c r="C2694" s="4">
        <v>1</v>
      </c>
      <c r="D2694" s="4">
        <v>0</v>
      </c>
      <c r="E2694" s="4">
        <v>0</v>
      </c>
      <c r="F2694" s="4">
        <v>1</v>
      </c>
      <c r="G2694" s="4">
        <v>1</v>
      </c>
      <c r="H2694" s="4">
        <v>1</v>
      </c>
      <c r="I2694" s="4">
        <f t="shared" si="89"/>
        <v>17000</v>
      </c>
      <c r="J2694" s="4">
        <f t="shared" si="90"/>
        <v>23000</v>
      </c>
      <c r="K2694" s="4">
        <v>20000</v>
      </c>
    </row>
    <row r="2695" spans="1:11" s="4" customFormat="1">
      <c r="A2695" s="4">
        <v>230000</v>
      </c>
      <c r="B2695" s="4">
        <v>1</v>
      </c>
      <c r="C2695" s="4">
        <v>1</v>
      </c>
      <c r="D2695" s="4">
        <v>0</v>
      </c>
      <c r="E2695" s="4">
        <v>0</v>
      </c>
      <c r="F2695" s="4">
        <v>1</v>
      </c>
      <c r="G2695" s="4">
        <v>1</v>
      </c>
      <c r="H2695" s="4">
        <v>1</v>
      </c>
      <c r="I2695" s="4">
        <f t="shared" ref="I2695" si="91">INT(K2695*85%)</f>
        <v>25500</v>
      </c>
      <c r="J2695" s="4">
        <f t="shared" si="63"/>
        <v>34500</v>
      </c>
      <c r="K2695" s="4">
        <v>30000</v>
      </c>
    </row>
    <row r="2696" spans="1:11">
      <c r="A2696">
        <v>99900001</v>
      </c>
      <c r="B2696">
        <v>1</v>
      </c>
      <c r="C2696">
        <v>1</v>
      </c>
      <c r="D2696" s="4">
        <v>1</v>
      </c>
      <c r="E2696" s="4">
        <v>0</v>
      </c>
      <c r="F2696" s="4">
        <v>1</v>
      </c>
      <c r="G2696">
        <v>99900001</v>
      </c>
      <c r="H2696">
        <v>1</v>
      </c>
      <c r="I2696">
        <v>1</v>
      </c>
      <c r="J2696">
        <v>1</v>
      </c>
      <c r="K2696" t="s">
        <v>280</v>
      </c>
    </row>
    <row r="2697" spans="1:11">
      <c r="A2697">
        <v>99900002</v>
      </c>
      <c r="B2697">
        <v>1</v>
      </c>
      <c r="C2697">
        <v>1</v>
      </c>
      <c r="D2697" s="4">
        <v>1</v>
      </c>
      <c r="E2697" s="4">
        <v>0</v>
      </c>
      <c r="F2697" s="4">
        <v>1</v>
      </c>
      <c r="G2697">
        <v>99900002</v>
      </c>
      <c r="H2697">
        <v>1</v>
      </c>
      <c r="I2697">
        <v>1</v>
      </c>
      <c r="J2697">
        <v>1</v>
      </c>
      <c r="K2697" t="s">
        <v>281</v>
      </c>
    </row>
    <row r="2698" spans="1:11">
      <c r="A2698">
        <v>99900003</v>
      </c>
      <c r="B2698">
        <v>1</v>
      </c>
      <c r="C2698">
        <v>1</v>
      </c>
      <c r="D2698" s="4">
        <v>1</v>
      </c>
      <c r="E2698" s="4">
        <v>0</v>
      </c>
      <c r="F2698" s="4">
        <v>1</v>
      </c>
      <c r="G2698">
        <v>99900003</v>
      </c>
      <c r="H2698">
        <v>1</v>
      </c>
      <c r="I2698">
        <v>1</v>
      </c>
      <c r="J2698">
        <v>1</v>
      </c>
      <c r="K2698" t="s">
        <v>282</v>
      </c>
    </row>
    <row r="2699" spans="1:11">
      <c r="A2699">
        <v>99900004</v>
      </c>
      <c r="B2699">
        <v>1</v>
      </c>
      <c r="C2699">
        <v>1</v>
      </c>
      <c r="D2699" s="4">
        <v>1</v>
      </c>
      <c r="E2699" s="4">
        <v>0</v>
      </c>
      <c r="F2699" s="4">
        <v>1</v>
      </c>
      <c r="G2699">
        <v>99900004</v>
      </c>
      <c r="H2699">
        <v>1</v>
      </c>
      <c r="I2699">
        <v>1</v>
      </c>
      <c r="J2699">
        <v>1</v>
      </c>
      <c r="K2699" t="s">
        <v>283</v>
      </c>
    </row>
    <row r="2700" spans="1:11">
      <c r="A2700">
        <v>99900005</v>
      </c>
      <c r="B2700">
        <v>1</v>
      </c>
      <c r="C2700">
        <v>1</v>
      </c>
      <c r="D2700" s="4">
        <v>1</v>
      </c>
      <c r="E2700" s="4">
        <v>0</v>
      </c>
      <c r="F2700" s="4">
        <v>1</v>
      </c>
      <c r="G2700">
        <v>99900005</v>
      </c>
      <c r="H2700">
        <v>1</v>
      </c>
      <c r="I2700">
        <v>1</v>
      </c>
      <c r="J2700">
        <v>1</v>
      </c>
      <c r="K2700" t="s">
        <v>284</v>
      </c>
    </row>
    <row r="2701" spans="1:11">
      <c r="A2701">
        <v>99900006</v>
      </c>
      <c r="B2701">
        <v>1</v>
      </c>
      <c r="C2701">
        <v>1</v>
      </c>
      <c r="D2701" s="4">
        <v>1</v>
      </c>
      <c r="E2701" s="4">
        <v>0</v>
      </c>
      <c r="F2701" s="4">
        <v>1</v>
      </c>
      <c r="G2701">
        <v>99900006</v>
      </c>
      <c r="H2701">
        <v>1</v>
      </c>
      <c r="I2701">
        <v>1</v>
      </c>
      <c r="J2701">
        <v>1</v>
      </c>
      <c r="K2701" t="s">
        <v>285</v>
      </c>
    </row>
    <row r="2702" spans="1:11">
      <c r="A2702">
        <v>99900007</v>
      </c>
      <c r="B2702">
        <v>1</v>
      </c>
      <c r="C2702">
        <v>1</v>
      </c>
      <c r="D2702" s="4">
        <v>1</v>
      </c>
      <c r="E2702" s="4">
        <v>0</v>
      </c>
      <c r="F2702" s="4">
        <v>1</v>
      </c>
      <c r="G2702">
        <v>99900007</v>
      </c>
      <c r="H2702">
        <v>1</v>
      </c>
      <c r="I2702">
        <v>1</v>
      </c>
      <c r="J2702">
        <v>1</v>
      </c>
      <c r="K2702" t="s">
        <v>286</v>
      </c>
    </row>
    <row r="2703" spans="1:11">
      <c r="A2703">
        <v>99900008</v>
      </c>
      <c r="B2703">
        <v>1</v>
      </c>
      <c r="C2703">
        <v>1</v>
      </c>
      <c r="D2703" s="4">
        <v>1</v>
      </c>
      <c r="E2703" s="4">
        <v>0</v>
      </c>
      <c r="F2703" s="4">
        <v>1</v>
      </c>
      <c r="G2703">
        <v>99900008</v>
      </c>
      <c r="H2703">
        <v>1</v>
      </c>
      <c r="I2703">
        <v>1</v>
      </c>
      <c r="J2703">
        <v>1</v>
      </c>
      <c r="K2703" t="s">
        <v>287</v>
      </c>
    </row>
    <row r="2704" spans="1:11">
      <c r="A2704">
        <v>99900009</v>
      </c>
      <c r="B2704">
        <v>1</v>
      </c>
      <c r="C2704">
        <v>1</v>
      </c>
      <c r="D2704" s="4">
        <v>1</v>
      </c>
      <c r="E2704" s="4">
        <v>0</v>
      </c>
      <c r="F2704" s="4">
        <v>1</v>
      </c>
      <c r="G2704">
        <v>99900009</v>
      </c>
      <c r="H2704">
        <v>1</v>
      </c>
      <c r="I2704">
        <v>1</v>
      </c>
      <c r="J2704">
        <v>1</v>
      </c>
      <c r="K2704" t="s">
        <v>288</v>
      </c>
    </row>
    <row r="2705" spans="1:11">
      <c r="A2705">
        <v>99900010</v>
      </c>
      <c r="B2705">
        <v>1</v>
      </c>
      <c r="C2705">
        <v>1</v>
      </c>
      <c r="D2705" s="4">
        <v>1</v>
      </c>
      <c r="E2705" s="4">
        <v>0</v>
      </c>
      <c r="F2705" s="4">
        <v>1</v>
      </c>
      <c r="G2705">
        <v>99900010</v>
      </c>
      <c r="H2705">
        <v>1</v>
      </c>
      <c r="I2705">
        <v>1</v>
      </c>
      <c r="J2705">
        <v>1</v>
      </c>
      <c r="K2705" t="s">
        <v>289</v>
      </c>
    </row>
    <row r="2706" spans="1:11">
      <c r="A2706">
        <v>99900011</v>
      </c>
      <c r="B2706">
        <v>1</v>
      </c>
      <c r="C2706">
        <v>1</v>
      </c>
      <c r="D2706" s="4">
        <v>1</v>
      </c>
      <c r="E2706" s="4">
        <v>0</v>
      </c>
      <c r="F2706" s="4">
        <v>1</v>
      </c>
      <c r="G2706">
        <v>99900011</v>
      </c>
      <c r="H2706">
        <v>1</v>
      </c>
      <c r="I2706">
        <v>1</v>
      </c>
      <c r="J2706">
        <v>1</v>
      </c>
      <c r="K2706" t="s">
        <v>290</v>
      </c>
    </row>
    <row r="2707" spans="1:11">
      <c r="A2707">
        <v>99900012</v>
      </c>
      <c r="B2707">
        <v>1</v>
      </c>
      <c r="C2707">
        <v>1</v>
      </c>
      <c r="D2707" s="4">
        <v>1</v>
      </c>
      <c r="E2707" s="4">
        <v>0</v>
      </c>
      <c r="F2707" s="4">
        <v>1</v>
      </c>
      <c r="G2707">
        <v>99900012</v>
      </c>
      <c r="H2707">
        <v>1</v>
      </c>
      <c r="I2707">
        <v>1</v>
      </c>
      <c r="J2707">
        <v>1</v>
      </c>
      <c r="K2707" t="s">
        <v>291</v>
      </c>
    </row>
    <row r="2708" spans="1:11">
      <c r="A2708">
        <v>99900013</v>
      </c>
      <c r="B2708">
        <v>1</v>
      </c>
      <c r="C2708">
        <v>1</v>
      </c>
      <c r="D2708" s="4">
        <v>1</v>
      </c>
      <c r="E2708" s="4">
        <v>0</v>
      </c>
      <c r="F2708" s="4">
        <v>1</v>
      </c>
      <c r="G2708">
        <v>99900013</v>
      </c>
      <c r="H2708">
        <v>1</v>
      </c>
      <c r="I2708">
        <v>1</v>
      </c>
      <c r="J2708">
        <v>1</v>
      </c>
      <c r="K2708" t="s">
        <v>292</v>
      </c>
    </row>
    <row r="2709" spans="1:11">
      <c r="A2709">
        <v>99900014</v>
      </c>
      <c r="B2709">
        <v>1</v>
      </c>
      <c r="C2709">
        <v>1</v>
      </c>
      <c r="D2709" s="4">
        <v>1</v>
      </c>
      <c r="E2709" s="4">
        <v>0</v>
      </c>
      <c r="F2709" s="4">
        <v>1</v>
      </c>
      <c r="G2709">
        <v>99900014</v>
      </c>
      <c r="H2709">
        <v>1</v>
      </c>
      <c r="I2709">
        <v>1</v>
      </c>
      <c r="J2709">
        <v>1</v>
      </c>
      <c r="K2709" t="s">
        <v>293</v>
      </c>
    </row>
    <row r="2710" spans="1:11">
      <c r="A2710">
        <v>99900015</v>
      </c>
      <c r="B2710">
        <v>1</v>
      </c>
      <c r="C2710">
        <v>1</v>
      </c>
      <c r="D2710" s="4">
        <v>1</v>
      </c>
      <c r="E2710" s="4">
        <v>0</v>
      </c>
      <c r="F2710" s="4">
        <v>1</v>
      </c>
      <c r="G2710">
        <v>99900015</v>
      </c>
      <c r="H2710">
        <v>1</v>
      </c>
      <c r="I2710">
        <v>1</v>
      </c>
      <c r="J2710">
        <v>1</v>
      </c>
      <c r="K2710" t="s">
        <v>294</v>
      </c>
    </row>
    <row r="2711" spans="1:11">
      <c r="A2711">
        <v>99900016</v>
      </c>
      <c r="B2711">
        <v>1</v>
      </c>
      <c r="C2711">
        <v>1</v>
      </c>
      <c r="D2711" s="4">
        <v>1</v>
      </c>
      <c r="E2711" s="4">
        <v>0</v>
      </c>
      <c r="F2711" s="4">
        <v>1</v>
      </c>
      <c r="G2711">
        <v>99900016</v>
      </c>
      <c r="H2711">
        <v>1</v>
      </c>
      <c r="I2711">
        <v>1</v>
      </c>
      <c r="J2711">
        <v>1</v>
      </c>
      <c r="K2711" t="s">
        <v>295</v>
      </c>
    </row>
    <row r="2712" spans="1:11">
      <c r="A2712">
        <v>99900017</v>
      </c>
      <c r="B2712">
        <v>1</v>
      </c>
      <c r="C2712">
        <v>1</v>
      </c>
      <c r="D2712" s="4">
        <v>1</v>
      </c>
      <c r="E2712" s="4">
        <v>0</v>
      </c>
      <c r="F2712" s="4">
        <v>1</v>
      </c>
      <c r="G2712">
        <v>99900017</v>
      </c>
      <c r="H2712">
        <v>1</v>
      </c>
      <c r="I2712">
        <v>1</v>
      </c>
      <c r="J2712">
        <v>1</v>
      </c>
      <c r="K2712" t="s">
        <v>296</v>
      </c>
    </row>
    <row r="2713" spans="1:11">
      <c r="A2713">
        <v>999000180</v>
      </c>
      <c r="B2713">
        <v>1</v>
      </c>
      <c r="C2713">
        <v>1</v>
      </c>
      <c r="D2713" s="4">
        <v>1</v>
      </c>
      <c r="E2713" s="4">
        <v>0</v>
      </c>
      <c r="F2713" s="4">
        <v>1</v>
      </c>
      <c r="G2713">
        <v>99900018</v>
      </c>
      <c r="H2713">
        <v>1</v>
      </c>
      <c r="I2713">
        <v>1</v>
      </c>
      <c r="J2713">
        <v>1</v>
      </c>
      <c r="K2713" t="s">
        <v>297</v>
      </c>
    </row>
    <row r="2714" spans="1:11" s="4" customFormat="1">
      <c r="A2714" s="4">
        <v>999000181</v>
      </c>
      <c r="B2714" s="4">
        <v>1</v>
      </c>
      <c r="C2714" s="4">
        <v>1</v>
      </c>
      <c r="D2714" s="4">
        <v>1</v>
      </c>
      <c r="E2714" s="4">
        <v>1</v>
      </c>
      <c r="F2714" s="4">
        <v>1</v>
      </c>
      <c r="G2714" s="4">
        <v>99900018</v>
      </c>
      <c r="H2714" s="4">
        <v>1</v>
      </c>
      <c r="I2714" s="4">
        <v>1</v>
      </c>
      <c r="J2714" s="4">
        <v>1</v>
      </c>
      <c r="K2714" s="4" t="s">
        <v>297</v>
      </c>
    </row>
    <row r="2715" spans="1:11">
      <c r="A2715">
        <v>999000190</v>
      </c>
      <c r="B2715">
        <v>1</v>
      </c>
      <c r="C2715">
        <v>1</v>
      </c>
      <c r="D2715" s="4">
        <v>1</v>
      </c>
      <c r="E2715" s="4">
        <v>0</v>
      </c>
      <c r="F2715" s="4">
        <v>1</v>
      </c>
      <c r="G2715">
        <v>99900019</v>
      </c>
      <c r="H2715">
        <v>1</v>
      </c>
      <c r="I2715">
        <v>1</v>
      </c>
      <c r="J2715">
        <v>1</v>
      </c>
      <c r="K2715" t="s">
        <v>298</v>
      </c>
    </row>
    <row r="2716" spans="1:11" s="4" customFormat="1">
      <c r="A2716" s="4">
        <v>999000191</v>
      </c>
      <c r="B2716" s="4">
        <v>1</v>
      </c>
      <c r="C2716" s="4">
        <v>1</v>
      </c>
      <c r="D2716" s="4">
        <v>1</v>
      </c>
      <c r="E2716" s="4">
        <v>1</v>
      </c>
      <c r="F2716" s="4">
        <v>1</v>
      </c>
      <c r="G2716" s="4">
        <v>99900019</v>
      </c>
      <c r="H2716" s="4">
        <v>1</v>
      </c>
      <c r="I2716" s="4">
        <v>1</v>
      </c>
      <c r="J2716" s="4">
        <v>1</v>
      </c>
      <c r="K2716" s="4" t="s">
        <v>298</v>
      </c>
    </row>
    <row r="2717" spans="1:11">
      <c r="A2717">
        <v>99900020</v>
      </c>
      <c r="B2717">
        <v>1</v>
      </c>
      <c r="C2717">
        <v>1</v>
      </c>
      <c r="D2717" s="4">
        <v>1</v>
      </c>
      <c r="E2717" s="4">
        <v>0</v>
      </c>
      <c r="F2717" s="4">
        <v>1</v>
      </c>
      <c r="G2717">
        <v>99900020</v>
      </c>
      <c r="H2717">
        <v>1</v>
      </c>
      <c r="I2717">
        <v>1</v>
      </c>
      <c r="J2717">
        <v>1</v>
      </c>
      <c r="K2717" t="s">
        <v>299</v>
      </c>
    </row>
    <row r="2718" spans="1:11">
      <c r="A2718">
        <v>999000210</v>
      </c>
      <c r="B2718">
        <v>1</v>
      </c>
      <c r="C2718">
        <v>1</v>
      </c>
      <c r="D2718" s="4">
        <v>1</v>
      </c>
      <c r="E2718" s="4">
        <v>0</v>
      </c>
      <c r="F2718" s="4">
        <v>1</v>
      </c>
      <c r="G2718">
        <v>99900021</v>
      </c>
      <c r="H2718">
        <v>1</v>
      </c>
      <c r="I2718">
        <v>1</v>
      </c>
      <c r="J2718">
        <v>1</v>
      </c>
      <c r="K2718" t="s">
        <v>300</v>
      </c>
    </row>
    <row r="2719" spans="1:11" s="4" customFormat="1">
      <c r="A2719" s="4">
        <v>999000211</v>
      </c>
      <c r="B2719" s="4">
        <v>1</v>
      </c>
      <c r="C2719" s="4">
        <v>1</v>
      </c>
      <c r="D2719" s="4">
        <v>1</v>
      </c>
      <c r="E2719" s="4">
        <v>1</v>
      </c>
      <c r="F2719" s="4">
        <v>1</v>
      </c>
      <c r="G2719" s="4">
        <v>99900021</v>
      </c>
      <c r="H2719" s="4">
        <v>1</v>
      </c>
      <c r="I2719" s="4">
        <v>1</v>
      </c>
      <c r="J2719" s="4">
        <v>1</v>
      </c>
      <c r="K2719" s="4" t="s">
        <v>300</v>
      </c>
    </row>
    <row r="2720" spans="1:11">
      <c r="A2720">
        <v>999000220</v>
      </c>
      <c r="B2720">
        <v>1</v>
      </c>
      <c r="C2720">
        <v>1</v>
      </c>
      <c r="D2720" s="4">
        <v>1</v>
      </c>
      <c r="E2720" s="4">
        <v>0</v>
      </c>
      <c r="F2720" s="4">
        <v>1</v>
      </c>
      <c r="G2720">
        <v>99900022</v>
      </c>
      <c r="H2720">
        <v>1</v>
      </c>
      <c r="I2720">
        <v>1</v>
      </c>
      <c r="J2720">
        <v>1</v>
      </c>
      <c r="K2720" t="s">
        <v>301</v>
      </c>
    </row>
    <row r="2721" spans="1:11" s="4" customFormat="1">
      <c r="A2721" s="4">
        <v>999000221</v>
      </c>
      <c r="B2721" s="4">
        <v>1</v>
      </c>
      <c r="C2721" s="4">
        <v>1</v>
      </c>
      <c r="D2721" s="4">
        <v>1</v>
      </c>
      <c r="E2721" s="4">
        <v>1</v>
      </c>
      <c r="F2721" s="4">
        <v>1</v>
      </c>
      <c r="G2721" s="4">
        <v>99900022</v>
      </c>
      <c r="H2721" s="4">
        <v>1</v>
      </c>
      <c r="I2721" s="4">
        <v>1</v>
      </c>
      <c r="J2721" s="4">
        <v>1</v>
      </c>
      <c r="K2721" s="4" t="s">
        <v>301</v>
      </c>
    </row>
    <row r="2722" spans="1:11">
      <c r="A2722">
        <v>999000230</v>
      </c>
      <c r="B2722">
        <v>1</v>
      </c>
      <c r="C2722">
        <v>1</v>
      </c>
      <c r="D2722" s="4">
        <v>1</v>
      </c>
      <c r="E2722" s="4">
        <v>0</v>
      </c>
      <c r="F2722" s="4">
        <v>1</v>
      </c>
      <c r="G2722">
        <v>99900023</v>
      </c>
      <c r="H2722">
        <v>1</v>
      </c>
      <c r="I2722">
        <v>1</v>
      </c>
      <c r="J2722">
        <v>1</v>
      </c>
      <c r="K2722" t="s">
        <v>302</v>
      </c>
    </row>
    <row r="2723" spans="1:11" s="4" customFormat="1">
      <c r="A2723" s="4">
        <v>999000231</v>
      </c>
      <c r="B2723" s="4">
        <v>1</v>
      </c>
      <c r="C2723" s="4">
        <v>1</v>
      </c>
      <c r="D2723" s="4">
        <v>1</v>
      </c>
      <c r="E2723" s="4">
        <v>0</v>
      </c>
      <c r="F2723" s="4">
        <v>1</v>
      </c>
      <c r="G2723" s="4">
        <v>99900023</v>
      </c>
      <c r="H2723" s="4">
        <v>1</v>
      </c>
      <c r="I2723" s="4">
        <v>1</v>
      </c>
      <c r="J2723" s="4">
        <v>1</v>
      </c>
      <c r="K2723" s="4" t="s">
        <v>302</v>
      </c>
    </row>
    <row r="2724" spans="1:11">
      <c r="A2724">
        <v>999000240</v>
      </c>
      <c r="B2724">
        <v>1</v>
      </c>
      <c r="C2724">
        <v>1</v>
      </c>
      <c r="D2724" s="4">
        <v>1</v>
      </c>
      <c r="E2724" s="4">
        <v>0</v>
      </c>
      <c r="F2724" s="4">
        <v>1</v>
      </c>
      <c r="G2724">
        <v>99900024</v>
      </c>
      <c r="H2724">
        <v>1</v>
      </c>
      <c r="I2724">
        <v>1</v>
      </c>
      <c r="J2724">
        <v>1</v>
      </c>
      <c r="K2724" t="s">
        <v>303</v>
      </c>
    </row>
    <row r="2725" spans="1:11" s="4" customFormat="1">
      <c r="A2725" s="4">
        <v>999000241</v>
      </c>
      <c r="B2725" s="4">
        <v>1</v>
      </c>
      <c r="C2725" s="4">
        <v>1</v>
      </c>
      <c r="D2725" s="4">
        <v>1</v>
      </c>
      <c r="E2725" s="4">
        <v>1</v>
      </c>
      <c r="F2725" s="4">
        <v>1</v>
      </c>
      <c r="G2725" s="4">
        <v>99900024</v>
      </c>
      <c r="H2725" s="4">
        <v>1</v>
      </c>
      <c r="I2725" s="4">
        <v>1</v>
      </c>
      <c r="J2725" s="4">
        <v>1</v>
      </c>
      <c r="K2725" s="4" t="s">
        <v>303</v>
      </c>
    </row>
    <row r="2726" spans="1:11">
      <c r="A2726">
        <v>999000250</v>
      </c>
      <c r="B2726">
        <v>1</v>
      </c>
      <c r="C2726">
        <v>1</v>
      </c>
      <c r="D2726" s="4">
        <v>1</v>
      </c>
      <c r="E2726" s="4">
        <v>0</v>
      </c>
      <c r="F2726" s="4">
        <v>1</v>
      </c>
      <c r="G2726">
        <v>99900025</v>
      </c>
      <c r="H2726">
        <v>1</v>
      </c>
      <c r="I2726">
        <v>1</v>
      </c>
      <c r="J2726">
        <v>1</v>
      </c>
      <c r="K2726" t="s">
        <v>304</v>
      </c>
    </row>
    <row r="2727" spans="1:11" s="4" customFormat="1">
      <c r="A2727" s="4">
        <v>999000251</v>
      </c>
      <c r="B2727" s="4">
        <v>1</v>
      </c>
      <c r="C2727" s="4">
        <v>1</v>
      </c>
      <c r="D2727" s="4">
        <v>1</v>
      </c>
      <c r="E2727" s="4">
        <v>1</v>
      </c>
      <c r="F2727" s="4">
        <v>1</v>
      </c>
      <c r="G2727" s="4">
        <v>99900025</v>
      </c>
      <c r="H2727" s="4">
        <v>1</v>
      </c>
      <c r="I2727" s="4">
        <v>1</v>
      </c>
      <c r="J2727" s="4">
        <v>1</v>
      </c>
      <c r="K2727" s="4" t="s">
        <v>304</v>
      </c>
    </row>
    <row r="2728" spans="1:11">
      <c r="A2728">
        <v>99900026</v>
      </c>
      <c r="B2728">
        <v>1</v>
      </c>
      <c r="C2728">
        <v>1</v>
      </c>
      <c r="D2728" s="4">
        <v>1</v>
      </c>
      <c r="E2728" s="4">
        <v>0</v>
      </c>
      <c r="F2728" s="4">
        <v>1</v>
      </c>
      <c r="G2728">
        <v>99900026</v>
      </c>
      <c r="H2728">
        <v>1</v>
      </c>
      <c r="I2728">
        <v>1</v>
      </c>
      <c r="J2728">
        <v>1</v>
      </c>
      <c r="K2728" t="s">
        <v>305</v>
      </c>
    </row>
    <row r="2729" spans="1:11">
      <c r="A2729">
        <v>999000270</v>
      </c>
      <c r="B2729">
        <v>1</v>
      </c>
      <c r="C2729">
        <v>1</v>
      </c>
      <c r="D2729" s="4">
        <v>1</v>
      </c>
      <c r="E2729" s="4">
        <v>0</v>
      </c>
      <c r="F2729" s="4">
        <v>1</v>
      </c>
      <c r="G2729">
        <v>99900027</v>
      </c>
      <c r="H2729">
        <v>1</v>
      </c>
      <c r="I2729">
        <v>1</v>
      </c>
      <c r="J2729">
        <v>1</v>
      </c>
      <c r="K2729" t="s">
        <v>306</v>
      </c>
    </row>
    <row r="2730" spans="1:11" s="4" customFormat="1">
      <c r="A2730" s="4">
        <v>999000271</v>
      </c>
      <c r="B2730" s="4">
        <v>1</v>
      </c>
      <c r="C2730" s="4">
        <v>1</v>
      </c>
      <c r="D2730" s="4">
        <v>1</v>
      </c>
      <c r="E2730" s="4">
        <v>1</v>
      </c>
      <c r="F2730" s="4">
        <v>1</v>
      </c>
      <c r="G2730" s="4">
        <v>99900027</v>
      </c>
      <c r="H2730" s="4">
        <v>1</v>
      </c>
      <c r="I2730" s="4">
        <v>1</v>
      </c>
      <c r="J2730" s="4">
        <v>1</v>
      </c>
      <c r="K2730" s="4" t="s">
        <v>306</v>
      </c>
    </row>
    <row r="2731" spans="1:11">
      <c r="A2731">
        <v>999000280</v>
      </c>
      <c r="B2731">
        <v>1</v>
      </c>
      <c r="C2731">
        <v>1</v>
      </c>
      <c r="D2731" s="4">
        <v>1</v>
      </c>
      <c r="E2731" s="4">
        <v>0</v>
      </c>
      <c r="F2731" s="4">
        <v>1</v>
      </c>
      <c r="G2731">
        <v>99900028</v>
      </c>
      <c r="H2731">
        <v>1</v>
      </c>
      <c r="I2731">
        <v>1</v>
      </c>
      <c r="J2731">
        <v>1</v>
      </c>
      <c r="K2731" t="s">
        <v>307</v>
      </c>
    </row>
    <row r="2732" spans="1:11" s="4" customFormat="1">
      <c r="A2732" s="4">
        <v>999000281</v>
      </c>
      <c r="B2732" s="4">
        <v>1</v>
      </c>
      <c r="C2732" s="4">
        <v>1</v>
      </c>
      <c r="D2732" s="4">
        <v>1</v>
      </c>
      <c r="E2732" s="4">
        <v>1</v>
      </c>
      <c r="F2732" s="4">
        <v>1</v>
      </c>
      <c r="G2732" s="4">
        <v>99900028</v>
      </c>
      <c r="H2732" s="4">
        <v>1</v>
      </c>
      <c r="I2732" s="4">
        <v>1</v>
      </c>
      <c r="J2732" s="4">
        <v>1</v>
      </c>
      <c r="K2732" s="4" t="s">
        <v>307</v>
      </c>
    </row>
    <row r="2733" spans="1:11">
      <c r="A2733">
        <v>99900029</v>
      </c>
      <c r="B2733">
        <v>1</v>
      </c>
      <c r="C2733">
        <v>1</v>
      </c>
      <c r="D2733" s="4">
        <v>1</v>
      </c>
      <c r="E2733" s="4">
        <v>0</v>
      </c>
      <c r="F2733" s="4">
        <v>1</v>
      </c>
      <c r="G2733">
        <v>99900029</v>
      </c>
      <c r="H2733">
        <v>1</v>
      </c>
      <c r="I2733">
        <v>1</v>
      </c>
      <c r="J2733">
        <v>1</v>
      </c>
      <c r="K2733" t="s">
        <v>308</v>
      </c>
    </row>
    <row r="2734" spans="1:11">
      <c r="A2734">
        <v>999000300</v>
      </c>
      <c r="B2734">
        <v>1</v>
      </c>
      <c r="C2734">
        <v>1</v>
      </c>
      <c r="D2734" s="4">
        <v>1</v>
      </c>
      <c r="E2734" s="4">
        <v>0</v>
      </c>
      <c r="F2734" s="4">
        <v>1</v>
      </c>
      <c r="G2734">
        <v>99900030</v>
      </c>
      <c r="H2734">
        <v>1</v>
      </c>
      <c r="I2734">
        <v>1</v>
      </c>
      <c r="J2734">
        <v>1</v>
      </c>
      <c r="K2734" t="s">
        <v>309</v>
      </c>
    </row>
    <row r="2735" spans="1:11" s="4" customFormat="1">
      <c r="A2735" s="4">
        <v>999000301</v>
      </c>
      <c r="B2735" s="4">
        <v>1</v>
      </c>
      <c r="C2735" s="4">
        <v>1</v>
      </c>
      <c r="D2735" s="4">
        <v>1</v>
      </c>
      <c r="E2735" s="4">
        <v>1</v>
      </c>
      <c r="F2735" s="4">
        <v>1</v>
      </c>
      <c r="G2735" s="4">
        <v>99900030</v>
      </c>
      <c r="H2735" s="4">
        <v>1</v>
      </c>
      <c r="I2735" s="4">
        <v>1</v>
      </c>
      <c r="J2735" s="4">
        <v>1</v>
      </c>
      <c r="K2735" s="4" t="s">
        <v>309</v>
      </c>
    </row>
    <row r="2736" spans="1:11">
      <c r="A2736">
        <v>99900031</v>
      </c>
      <c r="B2736">
        <v>1</v>
      </c>
      <c r="C2736">
        <v>1</v>
      </c>
      <c r="D2736" s="4">
        <v>1</v>
      </c>
      <c r="E2736" s="4">
        <v>0</v>
      </c>
      <c r="F2736" s="4">
        <v>1</v>
      </c>
      <c r="G2736">
        <v>99900031</v>
      </c>
      <c r="H2736">
        <v>1</v>
      </c>
      <c r="I2736">
        <v>1</v>
      </c>
      <c r="J2736">
        <v>1</v>
      </c>
      <c r="K2736" t="s">
        <v>310</v>
      </c>
    </row>
    <row r="2737" spans="1:11">
      <c r="A2737">
        <v>99900032</v>
      </c>
      <c r="B2737">
        <v>1</v>
      </c>
      <c r="C2737">
        <v>1</v>
      </c>
      <c r="D2737" s="4">
        <v>1</v>
      </c>
      <c r="E2737" s="4">
        <v>0</v>
      </c>
      <c r="F2737" s="4">
        <v>1</v>
      </c>
      <c r="G2737">
        <v>99900032</v>
      </c>
      <c r="H2737">
        <v>1</v>
      </c>
      <c r="I2737">
        <v>1</v>
      </c>
      <c r="J2737">
        <v>1</v>
      </c>
      <c r="K2737" t="s">
        <v>311</v>
      </c>
    </row>
    <row r="2738" spans="1:11">
      <c r="A2738">
        <v>99900033</v>
      </c>
      <c r="B2738">
        <v>1</v>
      </c>
      <c r="C2738">
        <v>1</v>
      </c>
      <c r="D2738" s="4">
        <v>1</v>
      </c>
      <c r="E2738" s="4">
        <v>0</v>
      </c>
      <c r="F2738" s="4">
        <v>1</v>
      </c>
      <c r="G2738">
        <v>99900033</v>
      </c>
      <c r="H2738">
        <v>1</v>
      </c>
      <c r="I2738">
        <v>1</v>
      </c>
      <c r="J2738">
        <v>1</v>
      </c>
      <c r="K2738" t="s">
        <v>312</v>
      </c>
    </row>
    <row r="2739" spans="1:11">
      <c r="A2739">
        <v>999000340</v>
      </c>
      <c r="B2739">
        <v>1</v>
      </c>
      <c r="C2739">
        <v>1</v>
      </c>
      <c r="D2739" s="4">
        <v>1</v>
      </c>
      <c r="E2739" s="4">
        <v>0</v>
      </c>
      <c r="F2739" s="4">
        <v>1</v>
      </c>
      <c r="G2739">
        <v>99900034</v>
      </c>
      <c r="H2739">
        <v>1</v>
      </c>
      <c r="I2739">
        <v>1</v>
      </c>
      <c r="J2739">
        <v>1</v>
      </c>
      <c r="K2739" t="s">
        <v>313</v>
      </c>
    </row>
    <row r="2740" spans="1:11" s="4" customFormat="1">
      <c r="A2740" s="4">
        <v>999000341</v>
      </c>
      <c r="B2740" s="4">
        <v>1</v>
      </c>
      <c r="C2740" s="4">
        <v>1</v>
      </c>
      <c r="D2740" s="4">
        <v>1</v>
      </c>
      <c r="E2740" s="4">
        <v>1</v>
      </c>
      <c r="F2740" s="4">
        <v>1</v>
      </c>
      <c r="G2740" s="4">
        <v>99900034</v>
      </c>
      <c r="H2740" s="4">
        <v>1</v>
      </c>
      <c r="I2740" s="4">
        <v>1</v>
      </c>
      <c r="J2740" s="4">
        <v>1</v>
      </c>
      <c r="K2740" s="4" t="s">
        <v>313</v>
      </c>
    </row>
    <row r="2741" spans="1:11" s="4" customFormat="1">
      <c r="A2741" s="4">
        <v>99900035</v>
      </c>
      <c r="B2741" s="4">
        <v>1</v>
      </c>
      <c r="C2741" s="4">
        <v>1</v>
      </c>
      <c r="D2741" s="4">
        <v>1</v>
      </c>
      <c r="E2741" s="4">
        <v>0</v>
      </c>
      <c r="F2741" s="4">
        <v>1</v>
      </c>
      <c r="G2741" s="4">
        <v>99900035</v>
      </c>
      <c r="H2741" s="4">
        <v>1</v>
      </c>
      <c r="I2741" s="4">
        <v>1</v>
      </c>
      <c r="J2741" s="4">
        <v>1</v>
      </c>
      <c r="K2741" s="4" t="s">
        <v>762</v>
      </c>
    </row>
    <row r="2742" spans="1:11" s="4" customFormat="1">
      <c r="A2742" s="4">
        <v>99900036</v>
      </c>
      <c r="B2742" s="4">
        <v>1</v>
      </c>
      <c r="C2742" s="4">
        <v>1</v>
      </c>
      <c r="D2742" s="4">
        <v>1</v>
      </c>
      <c r="E2742" s="4">
        <v>0</v>
      </c>
      <c r="F2742" s="4">
        <v>1</v>
      </c>
      <c r="G2742" s="4">
        <v>99900036</v>
      </c>
      <c r="H2742" s="4">
        <v>1</v>
      </c>
      <c r="I2742" s="4">
        <v>1</v>
      </c>
      <c r="J2742" s="4">
        <v>1</v>
      </c>
      <c r="K2742" s="4" t="s">
        <v>763</v>
      </c>
    </row>
    <row r="2743" spans="1:11" s="4" customFormat="1">
      <c r="A2743" s="4">
        <v>99900037</v>
      </c>
      <c r="B2743" s="4">
        <v>1</v>
      </c>
      <c r="C2743" s="4">
        <v>1</v>
      </c>
      <c r="D2743" s="4">
        <v>1</v>
      </c>
      <c r="E2743" s="4">
        <v>0</v>
      </c>
      <c r="F2743" s="4">
        <v>1</v>
      </c>
      <c r="G2743" s="4">
        <v>99900037</v>
      </c>
      <c r="H2743" s="4">
        <v>1</v>
      </c>
      <c r="I2743" s="4">
        <v>1</v>
      </c>
      <c r="J2743" s="4">
        <v>1</v>
      </c>
      <c r="K2743" s="4" t="s">
        <v>764</v>
      </c>
    </row>
    <row r="2744" spans="1:11" s="4" customFormat="1">
      <c r="A2744" s="4">
        <v>99900038</v>
      </c>
      <c r="B2744" s="4">
        <v>1</v>
      </c>
      <c r="C2744" s="4">
        <v>1</v>
      </c>
      <c r="D2744" s="4">
        <v>1</v>
      </c>
      <c r="E2744" s="4">
        <v>0</v>
      </c>
      <c r="F2744" s="4">
        <v>1</v>
      </c>
      <c r="G2744" s="4">
        <v>99900038</v>
      </c>
      <c r="H2744" s="4">
        <v>1</v>
      </c>
      <c r="I2744" s="4">
        <v>1</v>
      </c>
      <c r="J2744" s="4">
        <v>1</v>
      </c>
      <c r="K2744" s="4" t="s">
        <v>765</v>
      </c>
    </row>
    <row r="2745" spans="1:11" s="4" customFormat="1">
      <c r="A2745" s="4">
        <v>99900039</v>
      </c>
      <c r="B2745" s="4">
        <v>1</v>
      </c>
      <c r="C2745" s="4">
        <v>1</v>
      </c>
      <c r="D2745" s="4">
        <v>1</v>
      </c>
      <c r="E2745" s="4">
        <v>0</v>
      </c>
      <c r="F2745" s="4">
        <v>1</v>
      </c>
      <c r="G2745" s="4">
        <v>99900039</v>
      </c>
      <c r="H2745" s="4">
        <v>1</v>
      </c>
      <c r="I2745" s="4">
        <v>1</v>
      </c>
      <c r="J2745" s="4">
        <v>1</v>
      </c>
      <c r="K2745" s="4" t="s">
        <v>766</v>
      </c>
    </row>
    <row r="2746" spans="1:11" s="4" customFormat="1">
      <c r="A2746" s="4">
        <v>99900040</v>
      </c>
      <c r="B2746" s="4">
        <v>1</v>
      </c>
      <c r="C2746" s="4">
        <v>1</v>
      </c>
      <c r="D2746" s="4">
        <v>1</v>
      </c>
      <c r="E2746" s="4">
        <v>0</v>
      </c>
      <c r="F2746" s="4">
        <v>1</v>
      </c>
      <c r="G2746" s="4">
        <v>99900040</v>
      </c>
      <c r="H2746" s="4">
        <v>1</v>
      </c>
      <c r="I2746" s="4">
        <v>1</v>
      </c>
      <c r="J2746" s="4">
        <v>1</v>
      </c>
      <c r="K2746" s="4" t="s">
        <v>767</v>
      </c>
    </row>
    <row r="2747" spans="1:11">
      <c r="A2747">
        <v>999100010</v>
      </c>
      <c r="B2747">
        <v>1</v>
      </c>
      <c r="C2747">
        <v>1</v>
      </c>
      <c r="D2747" s="4">
        <v>1</v>
      </c>
      <c r="E2747" s="4">
        <v>0</v>
      </c>
      <c r="F2747" s="4">
        <v>1</v>
      </c>
      <c r="G2747">
        <v>99910001</v>
      </c>
      <c r="H2747">
        <v>1</v>
      </c>
      <c r="I2747">
        <v>1</v>
      </c>
      <c r="J2747">
        <v>1</v>
      </c>
      <c r="K2747" t="s">
        <v>466</v>
      </c>
    </row>
    <row r="2748" spans="1:11" s="4" customFormat="1">
      <c r="A2748" s="4">
        <v>999100011</v>
      </c>
      <c r="B2748" s="4">
        <v>1</v>
      </c>
      <c r="C2748" s="4">
        <v>1</v>
      </c>
      <c r="D2748" s="4">
        <v>1</v>
      </c>
      <c r="E2748" s="4">
        <v>1</v>
      </c>
      <c r="F2748" s="4">
        <v>1</v>
      </c>
      <c r="G2748" s="4">
        <v>99910001</v>
      </c>
      <c r="H2748" s="4">
        <v>1</v>
      </c>
      <c r="I2748" s="4">
        <v>1</v>
      </c>
      <c r="J2748" s="4">
        <v>1</v>
      </c>
      <c r="K2748" s="4" t="s">
        <v>466</v>
      </c>
    </row>
    <row r="2749" spans="1:11">
      <c r="A2749">
        <v>999100070</v>
      </c>
      <c r="B2749">
        <v>1</v>
      </c>
      <c r="C2749">
        <v>1</v>
      </c>
      <c r="D2749" s="4">
        <v>1</v>
      </c>
      <c r="E2749" s="4">
        <v>0</v>
      </c>
      <c r="F2749" s="4">
        <v>1</v>
      </c>
      <c r="G2749">
        <v>99910007</v>
      </c>
      <c r="H2749">
        <v>1</v>
      </c>
      <c r="I2749">
        <v>1</v>
      </c>
      <c r="J2749">
        <v>1</v>
      </c>
      <c r="K2749" t="s">
        <v>465</v>
      </c>
    </row>
    <row r="2750" spans="1:11" s="4" customFormat="1">
      <c r="A2750" s="4">
        <v>999100071</v>
      </c>
      <c r="B2750" s="4">
        <v>1</v>
      </c>
      <c r="C2750" s="4">
        <v>1</v>
      </c>
      <c r="D2750" s="4">
        <v>1</v>
      </c>
      <c r="E2750" s="4">
        <v>1</v>
      </c>
      <c r="F2750" s="4">
        <v>1</v>
      </c>
      <c r="G2750" s="4">
        <v>99910007</v>
      </c>
      <c r="H2750" s="4">
        <v>1</v>
      </c>
      <c r="I2750" s="4">
        <v>1</v>
      </c>
      <c r="J2750" s="4">
        <v>1</v>
      </c>
      <c r="K2750" s="4" t="s">
        <v>465</v>
      </c>
    </row>
    <row r="2751" spans="1:11">
      <c r="A2751">
        <v>99920001</v>
      </c>
      <c r="B2751">
        <v>1</v>
      </c>
      <c r="C2751">
        <v>1</v>
      </c>
      <c r="D2751" s="4">
        <v>1</v>
      </c>
      <c r="E2751" s="4">
        <v>0</v>
      </c>
      <c r="F2751" s="4">
        <v>1</v>
      </c>
      <c r="G2751">
        <v>99920001</v>
      </c>
      <c r="H2751">
        <v>1</v>
      </c>
      <c r="I2751">
        <v>1</v>
      </c>
      <c r="J2751">
        <v>1</v>
      </c>
      <c r="K2751" t="s">
        <v>314</v>
      </c>
    </row>
    <row r="2752" spans="1:11">
      <c r="A2752">
        <v>99920002</v>
      </c>
      <c r="B2752">
        <v>1</v>
      </c>
      <c r="C2752">
        <v>1</v>
      </c>
      <c r="D2752" s="4">
        <v>1</v>
      </c>
      <c r="E2752" s="4">
        <v>0</v>
      </c>
      <c r="F2752" s="4">
        <v>1</v>
      </c>
      <c r="G2752">
        <v>99920002</v>
      </c>
      <c r="H2752">
        <v>1</v>
      </c>
      <c r="I2752">
        <v>1</v>
      </c>
      <c r="J2752">
        <v>1</v>
      </c>
      <c r="K2752" t="s">
        <v>315</v>
      </c>
    </row>
    <row r="2753" spans="1:11">
      <c r="A2753">
        <v>99920003</v>
      </c>
      <c r="B2753">
        <v>1</v>
      </c>
      <c r="C2753">
        <v>1</v>
      </c>
      <c r="D2753" s="4">
        <v>1</v>
      </c>
      <c r="E2753" s="4">
        <v>0</v>
      </c>
      <c r="F2753" s="4">
        <v>1</v>
      </c>
      <c r="G2753">
        <v>99920003</v>
      </c>
      <c r="H2753">
        <v>1</v>
      </c>
      <c r="I2753">
        <v>1</v>
      </c>
      <c r="J2753">
        <v>1</v>
      </c>
      <c r="K2753" t="s">
        <v>316</v>
      </c>
    </row>
    <row r="2754" spans="1:11">
      <c r="A2754">
        <v>99920004</v>
      </c>
      <c r="B2754">
        <v>1</v>
      </c>
      <c r="C2754">
        <v>1</v>
      </c>
      <c r="D2754" s="4">
        <v>1</v>
      </c>
      <c r="E2754" s="4">
        <v>0</v>
      </c>
      <c r="F2754" s="4">
        <v>1</v>
      </c>
      <c r="G2754">
        <v>99920004</v>
      </c>
      <c r="H2754">
        <v>1</v>
      </c>
      <c r="I2754">
        <v>1</v>
      </c>
      <c r="J2754">
        <v>1</v>
      </c>
      <c r="K2754" t="s">
        <v>317</v>
      </c>
    </row>
    <row r="2755" spans="1:11">
      <c r="A2755">
        <v>99920005</v>
      </c>
      <c r="B2755">
        <v>1</v>
      </c>
      <c r="C2755">
        <v>1</v>
      </c>
      <c r="D2755" s="4">
        <v>1</v>
      </c>
      <c r="E2755" s="4">
        <v>0</v>
      </c>
      <c r="F2755" s="4">
        <v>1</v>
      </c>
      <c r="G2755">
        <v>99920005</v>
      </c>
      <c r="H2755">
        <v>1</v>
      </c>
      <c r="I2755">
        <v>1</v>
      </c>
      <c r="J2755">
        <v>1</v>
      </c>
      <c r="K2755" t="s">
        <v>318</v>
      </c>
    </row>
    <row r="2756" spans="1:11">
      <c r="A2756">
        <v>99920006</v>
      </c>
      <c r="B2756">
        <v>1</v>
      </c>
      <c r="C2756">
        <v>1</v>
      </c>
      <c r="D2756" s="4">
        <v>1</v>
      </c>
      <c r="E2756" s="4">
        <v>0</v>
      </c>
      <c r="F2756" s="4">
        <v>1</v>
      </c>
      <c r="G2756">
        <v>99920006</v>
      </c>
      <c r="H2756">
        <v>1</v>
      </c>
      <c r="I2756">
        <v>1</v>
      </c>
      <c r="J2756">
        <v>1</v>
      </c>
      <c r="K2756" t="s">
        <v>319</v>
      </c>
    </row>
    <row r="2757" spans="1:11">
      <c r="A2757">
        <v>99920007</v>
      </c>
      <c r="B2757">
        <v>1</v>
      </c>
      <c r="C2757">
        <v>1</v>
      </c>
      <c r="D2757" s="4">
        <v>1</v>
      </c>
      <c r="E2757" s="4">
        <v>0</v>
      </c>
      <c r="F2757" s="4">
        <v>1</v>
      </c>
      <c r="G2757">
        <v>99920007</v>
      </c>
      <c r="H2757">
        <v>1</v>
      </c>
      <c r="I2757">
        <v>1</v>
      </c>
      <c r="J2757">
        <v>1</v>
      </c>
      <c r="K2757" t="s">
        <v>320</v>
      </c>
    </row>
    <row r="2758" spans="1:11">
      <c r="A2758">
        <v>99920008</v>
      </c>
      <c r="B2758">
        <v>1</v>
      </c>
      <c r="C2758">
        <v>1</v>
      </c>
      <c r="D2758" s="4">
        <v>1</v>
      </c>
      <c r="E2758" s="4">
        <v>0</v>
      </c>
      <c r="F2758" s="4">
        <v>1</v>
      </c>
      <c r="G2758">
        <v>99920008</v>
      </c>
      <c r="H2758">
        <v>1</v>
      </c>
      <c r="I2758">
        <v>1</v>
      </c>
      <c r="J2758">
        <v>1</v>
      </c>
      <c r="K2758" t="s">
        <v>3007</v>
      </c>
    </row>
    <row r="2759" spans="1:11">
      <c r="A2759">
        <v>99920009</v>
      </c>
      <c r="B2759">
        <v>1</v>
      </c>
      <c r="C2759">
        <v>1</v>
      </c>
      <c r="D2759" s="4">
        <v>1</v>
      </c>
      <c r="E2759" s="4">
        <v>0</v>
      </c>
      <c r="F2759" s="4">
        <v>1</v>
      </c>
      <c r="G2759">
        <v>99920009</v>
      </c>
      <c r="H2759">
        <v>1</v>
      </c>
      <c r="I2759">
        <v>1</v>
      </c>
      <c r="J2759">
        <v>1</v>
      </c>
      <c r="K2759" t="s">
        <v>321</v>
      </c>
    </row>
    <row r="2760" spans="1:11">
      <c r="A2760">
        <v>99920010</v>
      </c>
      <c r="B2760">
        <v>1</v>
      </c>
      <c r="C2760">
        <v>1</v>
      </c>
      <c r="D2760" s="4">
        <v>1</v>
      </c>
      <c r="E2760" s="4">
        <v>0</v>
      </c>
      <c r="F2760" s="4">
        <v>1</v>
      </c>
      <c r="G2760">
        <v>99920010</v>
      </c>
      <c r="H2760">
        <v>1</v>
      </c>
      <c r="I2760">
        <v>1</v>
      </c>
      <c r="J2760">
        <v>1</v>
      </c>
      <c r="K2760" t="s">
        <v>322</v>
      </c>
    </row>
    <row r="2761" spans="1:11">
      <c r="A2761">
        <v>99920011</v>
      </c>
      <c r="B2761">
        <v>1</v>
      </c>
      <c r="C2761">
        <v>1</v>
      </c>
      <c r="D2761" s="4">
        <v>1</v>
      </c>
      <c r="E2761" s="4">
        <v>0</v>
      </c>
      <c r="F2761" s="4">
        <v>1</v>
      </c>
      <c r="G2761">
        <v>99920011</v>
      </c>
      <c r="H2761">
        <v>1</v>
      </c>
      <c r="I2761">
        <v>1</v>
      </c>
      <c r="J2761">
        <v>1</v>
      </c>
      <c r="K2761" t="s">
        <v>323</v>
      </c>
    </row>
    <row r="2762" spans="1:11">
      <c r="A2762">
        <v>99920012</v>
      </c>
      <c r="B2762">
        <v>1</v>
      </c>
      <c r="C2762">
        <v>1</v>
      </c>
      <c r="D2762" s="4">
        <v>1</v>
      </c>
      <c r="E2762" s="4">
        <v>0</v>
      </c>
      <c r="F2762" s="4">
        <v>1</v>
      </c>
      <c r="G2762">
        <v>99920012</v>
      </c>
      <c r="H2762">
        <v>1</v>
      </c>
      <c r="I2762">
        <v>1</v>
      </c>
      <c r="J2762">
        <v>1</v>
      </c>
      <c r="K2762" t="s">
        <v>324</v>
      </c>
    </row>
    <row r="2763" spans="1:11">
      <c r="A2763">
        <v>99920013</v>
      </c>
      <c r="B2763">
        <v>1</v>
      </c>
      <c r="C2763">
        <v>1</v>
      </c>
      <c r="D2763" s="4">
        <v>1</v>
      </c>
      <c r="E2763" s="4">
        <v>0</v>
      </c>
      <c r="F2763" s="4">
        <v>1</v>
      </c>
      <c r="G2763">
        <v>99920013</v>
      </c>
      <c r="H2763">
        <v>1</v>
      </c>
      <c r="I2763">
        <v>1</v>
      </c>
      <c r="J2763">
        <v>1</v>
      </c>
      <c r="K2763" t="s">
        <v>325</v>
      </c>
    </row>
    <row r="2764" spans="1:11">
      <c r="A2764">
        <v>99920014</v>
      </c>
      <c r="B2764">
        <v>1</v>
      </c>
      <c r="C2764">
        <v>1</v>
      </c>
      <c r="D2764" s="4">
        <v>1</v>
      </c>
      <c r="E2764" s="4">
        <v>0</v>
      </c>
      <c r="F2764" s="4">
        <v>1</v>
      </c>
      <c r="G2764">
        <v>99920014</v>
      </c>
      <c r="H2764">
        <v>1</v>
      </c>
      <c r="I2764">
        <v>1</v>
      </c>
      <c r="J2764">
        <v>1</v>
      </c>
      <c r="K2764" t="s">
        <v>326</v>
      </c>
    </row>
    <row r="2765" spans="1:11">
      <c r="A2765">
        <v>99920015</v>
      </c>
      <c r="B2765">
        <v>1</v>
      </c>
      <c r="C2765">
        <v>1</v>
      </c>
      <c r="D2765" s="4">
        <v>1</v>
      </c>
      <c r="E2765" s="4">
        <v>0</v>
      </c>
      <c r="F2765" s="4">
        <v>1</v>
      </c>
      <c r="G2765">
        <v>99920015</v>
      </c>
      <c r="H2765">
        <v>1</v>
      </c>
      <c r="I2765">
        <v>1</v>
      </c>
      <c r="J2765">
        <v>1</v>
      </c>
      <c r="K2765" t="s">
        <v>327</v>
      </c>
    </row>
    <row r="2766" spans="1:11">
      <c r="A2766">
        <v>999200160</v>
      </c>
      <c r="B2766">
        <v>1</v>
      </c>
      <c r="C2766">
        <v>1</v>
      </c>
      <c r="D2766" s="4">
        <v>1</v>
      </c>
      <c r="E2766" s="4">
        <v>0</v>
      </c>
      <c r="F2766" s="4">
        <v>1</v>
      </c>
      <c r="G2766">
        <v>99920016</v>
      </c>
      <c r="H2766">
        <v>1</v>
      </c>
      <c r="I2766">
        <v>1</v>
      </c>
      <c r="J2766">
        <v>1</v>
      </c>
      <c r="K2766" t="s">
        <v>328</v>
      </c>
    </row>
    <row r="2767" spans="1:11" s="4" customFormat="1">
      <c r="A2767" s="4">
        <v>999200161</v>
      </c>
      <c r="B2767" s="4">
        <v>1</v>
      </c>
      <c r="C2767" s="4">
        <v>1</v>
      </c>
      <c r="D2767" s="4">
        <v>1</v>
      </c>
      <c r="E2767" s="4">
        <v>1</v>
      </c>
      <c r="F2767" s="4">
        <v>1</v>
      </c>
      <c r="G2767" s="4">
        <v>99920016</v>
      </c>
      <c r="H2767" s="4">
        <v>1</v>
      </c>
      <c r="I2767" s="4">
        <v>1</v>
      </c>
      <c r="J2767" s="4">
        <v>1</v>
      </c>
      <c r="K2767" s="4" t="s">
        <v>328</v>
      </c>
    </row>
    <row r="2768" spans="1:11">
      <c r="A2768">
        <v>999200170</v>
      </c>
      <c r="B2768">
        <v>1</v>
      </c>
      <c r="C2768">
        <v>1</v>
      </c>
      <c r="D2768" s="4">
        <v>1</v>
      </c>
      <c r="E2768" s="4">
        <v>0</v>
      </c>
      <c r="F2768" s="4">
        <v>1</v>
      </c>
      <c r="G2768">
        <v>99920017</v>
      </c>
      <c r="H2768">
        <v>1</v>
      </c>
      <c r="I2768">
        <v>1</v>
      </c>
      <c r="J2768">
        <v>1</v>
      </c>
      <c r="K2768" t="s">
        <v>329</v>
      </c>
    </row>
    <row r="2769" spans="1:11" s="4" customFormat="1">
      <c r="A2769" s="4">
        <v>999200171</v>
      </c>
      <c r="B2769" s="4">
        <v>1</v>
      </c>
      <c r="C2769" s="4">
        <v>1</v>
      </c>
      <c r="D2769" s="4">
        <v>1</v>
      </c>
      <c r="E2769" s="4">
        <v>1</v>
      </c>
      <c r="F2769" s="4">
        <v>1</v>
      </c>
      <c r="G2769" s="4">
        <v>99920017</v>
      </c>
      <c r="H2769" s="4">
        <v>1</v>
      </c>
      <c r="I2769" s="4">
        <v>1</v>
      </c>
      <c r="J2769" s="4">
        <v>1</v>
      </c>
      <c r="K2769" s="4" t="s">
        <v>329</v>
      </c>
    </row>
    <row r="2770" spans="1:11">
      <c r="A2770">
        <v>999200180</v>
      </c>
      <c r="B2770">
        <v>1</v>
      </c>
      <c r="C2770">
        <v>1</v>
      </c>
      <c r="D2770" s="4">
        <v>1</v>
      </c>
      <c r="E2770" s="4">
        <v>0</v>
      </c>
      <c r="F2770" s="4">
        <v>1</v>
      </c>
      <c r="G2770">
        <v>99920018</v>
      </c>
      <c r="H2770">
        <v>1</v>
      </c>
      <c r="I2770">
        <v>1</v>
      </c>
      <c r="J2770">
        <v>1</v>
      </c>
      <c r="K2770" t="s">
        <v>330</v>
      </c>
    </row>
    <row r="2771" spans="1:11" s="4" customFormat="1">
      <c r="A2771" s="4">
        <v>999200181</v>
      </c>
      <c r="B2771" s="4">
        <v>1</v>
      </c>
      <c r="C2771" s="4">
        <v>1</v>
      </c>
      <c r="D2771" s="4">
        <v>1</v>
      </c>
      <c r="E2771" s="4">
        <v>1</v>
      </c>
      <c r="F2771" s="4">
        <v>1</v>
      </c>
      <c r="G2771" s="4">
        <v>99920018</v>
      </c>
      <c r="H2771" s="4">
        <v>1</v>
      </c>
      <c r="I2771" s="4">
        <v>1</v>
      </c>
      <c r="J2771" s="4">
        <v>1</v>
      </c>
      <c r="K2771" s="4" t="s">
        <v>330</v>
      </c>
    </row>
    <row r="2772" spans="1:11">
      <c r="A2772">
        <v>999200190</v>
      </c>
      <c r="B2772">
        <v>1</v>
      </c>
      <c r="C2772">
        <v>1</v>
      </c>
      <c r="D2772" s="4">
        <v>1</v>
      </c>
      <c r="E2772" s="4">
        <v>0</v>
      </c>
      <c r="F2772" s="4">
        <v>1</v>
      </c>
      <c r="G2772">
        <v>99920019</v>
      </c>
      <c r="H2772">
        <v>1</v>
      </c>
      <c r="I2772">
        <v>1</v>
      </c>
      <c r="J2772">
        <v>1</v>
      </c>
      <c r="K2772" t="s">
        <v>331</v>
      </c>
    </row>
    <row r="2773" spans="1:11" s="4" customFormat="1">
      <c r="A2773" s="4">
        <v>999200191</v>
      </c>
      <c r="B2773" s="4">
        <v>1</v>
      </c>
      <c r="C2773" s="4">
        <v>1</v>
      </c>
      <c r="D2773" s="4">
        <v>1</v>
      </c>
      <c r="E2773" s="4">
        <v>1</v>
      </c>
      <c r="F2773" s="4">
        <v>1</v>
      </c>
      <c r="G2773" s="4">
        <v>99920019</v>
      </c>
      <c r="H2773" s="4">
        <v>1</v>
      </c>
      <c r="I2773" s="4">
        <v>1</v>
      </c>
      <c r="J2773" s="4">
        <v>1</v>
      </c>
      <c r="K2773" s="4" t="s">
        <v>331</v>
      </c>
    </row>
    <row r="2774" spans="1:11">
      <c r="A2774">
        <v>999200200</v>
      </c>
      <c r="B2774">
        <v>1</v>
      </c>
      <c r="C2774">
        <v>1</v>
      </c>
      <c r="D2774" s="4">
        <v>1</v>
      </c>
      <c r="E2774" s="4">
        <v>0</v>
      </c>
      <c r="F2774" s="4">
        <v>1</v>
      </c>
      <c r="G2774">
        <v>99920020</v>
      </c>
      <c r="H2774">
        <v>1</v>
      </c>
      <c r="I2774">
        <v>1</v>
      </c>
      <c r="J2774">
        <v>1</v>
      </c>
      <c r="K2774" t="s">
        <v>332</v>
      </c>
    </row>
    <row r="2775" spans="1:11" s="4" customFormat="1">
      <c r="A2775" s="4">
        <v>999200201</v>
      </c>
      <c r="B2775" s="4">
        <v>1</v>
      </c>
      <c r="C2775" s="4">
        <v>1</v>
      </c>
      <c r="D2775" s="4">
        <v>1</v>
      </c>
      <c r="E2775" s="4">
        <v>1</v>
      </c>
      <c r="F2775" s="4">
        <v>1</v>
      </c>
      <c r="G2775" s="4">
        <v>99920020</v>
      </c>
      <c r="H2775" s="4">
        <v>1</v>
      </c>
      <c r="I2775" s="4">
        <v>1</v>
      </c>
      <c r="J2775" s="4">
        <v>1</v>
      </c>
      <c r="K2775" s="4" t="s">
        <v>332</v>
      </c>
    </row>
    <row r="2776" spans="1:11">
      <c r="A2776">
        <v>999200210</v>
      </c>
      <c r="B2776">
        <v>1</v>
      </c>
      <c r="C2776">
        <v>1</v>
      </c>
      <c r="D2776" s="4">
        <v>1</v>
      </c>
      <c r="E2776" s="4">
        <v>0</v>
      </c>
      <c r="F2776" s="4">
        <v>1</v>
      </c>
      <c r="G2776">
        <v>99920021</v>
      </c>
      <c r="H2776">
        <v>1</v>
      </c>
      <c r="I2776">
        <v>1</v>
      </c>
      <c r="J2776">
        <v>1</v>
      </c>
      <c r="K2776" t="s">
        <v>333</v>
      </c>
    </row>
    <row r="2777" spans="1:11" s="4" customFormat="1">
      <c r="A2777" s="4">
        <v>999200211</v>
      </c>
      <c r="B2777" s="4">
        <v>1</v>
      </c>
      <c r="C2777" s="4">
        <v>1</v>
      </c>
      <c r="D2777" s="4">
        <v>1</v>
      </c>
      <c r="E2777" s="4">
        <v>1</v>
      </c>
      <c r="F2777" s="4">
        <v>1</v>
      </c>
      <c r="G2777" s="4">
        <v>99920021</v>
      </c>
      <c r="H2777" s="4">
        <v>1</v>
      </c>
      <c r="I2777" s="4">
        <v>1</v>
      </c>
      <c r="J2777" s="4">
        <v>1</v>
      </c>
      <c r="K2777" s="4" t="s">
        <v>333</v>
      </c>
    </row>
    <row r="2778" spans="1:11">
      <c r="A2778">
        <v>99920022</v>
      </c>
      <c r="B2778">
        <v>1</v>
      </c>
      <c r="C2778">
        <v>1</v>
      </c>
      <c r="D2778" s="4">
        <v>1</v>
      </c>
      <c r="E2778" s="4">
        <v>0</v>
      </c>
      <c r="F2778" s="4">
        <v>1</v>
      </c>
      <c r="G2778">
        <v>99920022</v>
      </c>
      <c r="H2778">
        <v>1</v>
      </c>
      <c r="I2778">
        <v>1</v>
      </c>
      <c r="J2778">
        <v>1</v>
      </c>
      <c r="K2778" t="s">
        <v>334</v>
      </c>
    </row>
    <row r="2779" spans="1:11">
      <c r="A2779">
        <v>99920023</v>
      </c>
      <c r="B2779">
        <v>1</v>
      </c>
      <c r="C2779">
        <v>1</v>
      </c>
      <c r="D2779" s="4">
        <v>1</v>
      </c>
      <c r="E2779" s="4">
        <v>0</v>
      </c>
      <c r="F2779" s="4">
        <v>1</v>
      </c>
      <c r="G2779">
        <v>99920023</v>
      </c>
      <c r="H2779">
        <v>1</v>
      </c>
      <c r="I2779">
        <v>1</v>
      </c>
      <c r="J2779">
        <v>1</v>
      </c>
      <c r="K2779" t="s">
        <v>335</v>
      </c>
    </row>
    <row r="2780" spans="1:11">
      <c r="A2780">
        <v>99920024</v>
      </c>
      <c r="B2780">
        <v>1</v>
      </c>
      <c r="C2780">
        <v>1</v>
      </c>
      <c r="D2780" s="4">
        <v>1</v>
      </c>
      <c r="E2780" s="4">
        <v>0</v>
      </c>
      <c r="F2780" s="4">
        <v>1</v>
      </c>
      <c r="G2780">
        <v>99920024</v>
      </c>
      <c r="H2780">
        <v>1</v>
      </c>
      <c r="I2780">
        <v>1</v>
      </c>
      <c r="J2780">
        <v>1</v>
      </c>
      <c r="K2780" t="s">
        <v>336</v>
      </c>
    </row>
    <row r="2781" spans="1:11">
      <c r="A2781">
        <v>999200250</v>
      </c>
      <c r="B2781">
        <v>1</v>
      </c>
      <c r="C2781">
        <v>1</v>
      </c>
      <c r="D2781" s="4">
        <v>1</v>
      </c>
      <c r="E2781" s="4">
        <v>0</v>
      </c>
      <c r="F2781" s="4">
        <v>1</v>
      </c>
      <c r="G2781">
        <v>99920025</v>
      </c>
      <c r="H2781">
        <v>1</v>
      </c>
      <c r="I2781">
        <v>1</v>
      </c>
      <c r="J2781">
        <v>1</v>
      </c>
      <c r="K2781" t="s">
        <v>337</v>
      </c>
    </row>
    <row r="2782" spans="1:11" s="4" customFormat="1">
      <c r="A2782" s="4">
        <v>999200251</v>
      </c>
      <c r="B2782" s="4">
        <v>1</v>
      </c>
      <c r="C2782" s="4">
        <v>1</v>
      </c>
      <c r="D2782" s="4">
        <v>1</v>
      </c>
      <c r="E2782" s="4">
        <v>1</v>
      </c>
      <c r="F2782" s="4">
        <v>1</v>
      </c>
      <c r="G2782" s="4">
        <v>99920025</v>
      </c>
      <c r="H2782" s="4">
        <v>1</v>
      </c>
      <c r="I2782" s="4">
        <v>1</v>
      </c>
      <c r="J2782" s="4">
        <v>1</v>
      </c>
      <c r="K2782" s="4" t="s">
        <v>337</v>
      </c>
    </row>
    <row r="2783" spans="1:11">
      <c r="A2783">
        <v>999200260</v>
      </c>
      <c r="B2783">
        <v>1</v>
      </c>
      <c r="C2783">
        <v>1</v>
      </c>
      <c r="D2783" s="4">
        <v>1</v>
      </c>
      <c r="E2783" s="4">
        <v>0</v>
      </c>
      <c r="F2783" s="4">
        <v>1</v>
      </c>
      <c r="G2783">
        <v>99920026</v>
      </c>
      <c r="H2783">
        <v>1</v>
      </c>
      <c r="I2783">
        <v>1</v>
      </c>
      <c r="J2783">
        <v>1</v>
      </c>
      <c r="K2783" t="s">
        <v>338</v>
      </c>
    </row>
    <row r="2784" spans="1:11" s="4" customFormat="1">
      <c r="A2784" s="4">
        <v>999200261</v>
      </c>
      <c r="B2784" s="4">
        <v>1</v>
      </c>
      <c r="C2784" s="4">
        <v>1</v>
      </c>
      <c r="D2784" s="4">
        <v>1</v>
      </c>
      <c r="E2784" s="4">
        <v>1</v>
      </c>
      <c r="F2784" s="4">
        <v>1</v>
      </c>
      <c r="G2784" s="4">
        <v>99920026</v>
      </c>
      <c r="H2784" s="4">
        <v>1</v>
      </c>
      <c r="I2784" s="4">
        <v>1</v>
      </c>
      <c r="J2784" s="4">
        <v>1</v>
      </c>
      <c r="K2784" s="4" t="s">
        <v>338</v>
      </c>
    </row>
    <row r="2785" spans="1:11" s="4" customFormat="1">
      <c r="A2785" s="4">
        <v>99920027</v>
      </c>
      <c r="B2785" s="4">
        <v>1</v>
      </c>
      <c r="C2785" s="4">
        <v>1</v>
      </c>
      <c r="D2785" s="4">
        <v>1</v>
      </c>
      <c r="E2785" s="4">
        <v>0</v>
      </c>
      <c r="F2785" s="4">
        <v>1</v>
      </c>
      <c r="G2785" s="4">
        <v>99920027</v>
      </c>
      <c r="H2785" s="4">
        <v>1</v>
      </c>
      <c r="I2785" s="4">
        <v>1</v>
      </c>
      <c r="J2785" s="4">
        <v>1</v>
      </c>
      <c r="K2785" s="4" t="s">
        <v>484</v>
      </c>
    </row>
    <row r="2786" spans="1:11" s="4" customFormat="1">
      <c r="A2786" s="4">
        <v>99920028</v>
      </c>
      <c r="B2786" s="4">
        <v>1</v>
      </c>
      <c r="C2786" s="4">
        <v>1</v>
      </c>
      <c r="D2786" s="4">
        <v>1</v>
      </c>
      <c r="E2786" s="4">
        <v>0</v>
      </c>
      <c r="F2786" s="4">
        <v>1</v>
      </c>
      <c r="G2786" s="4">
        <v>99920028</v>
      </c>
      <c r="H2786" s="4">
        <v>1</v>
      </c>
      <c r="I2786" s="4">
        <v>1</v>
      </c>
      <c r="J2786" s="4">
        <v>1</v>
      </c>
      <c r="K2786" s="4" t="s">
        <v>485</v>
      </c>
    </row>
    <row r="2787" spans="1:11" s="4" customFormat="1">
      <c r="A2787" s="4">
        <v>99920029</v>
      </c>
      <c r="B2787" s="4">
        <v>1</v>
      </c>
      <c r="C2787" s="4">
        <v>1</v>
      </c>
      <c r="D2787" s="4">
        <v>1</v>
      </c>
      <c r="E2787" s="4">
        <v>0</v>
      </c>
      <c r="F2787" s="4">
        <v>1</v>
      </c>
      <c r="G2787" s="4">
        <v>99920029</v>
      </c>
      <c r="H2787" s="4">
        <v>1</v>
      </c>
      <c r="I2787" s="4">
        <v>1</v>
      </c>
      <c r="J2787" s="4">
        <v>1</v>
      </c>
      <c r="K2787" s="4" t="s">
        <v>486</v>
      </c>
    </row>
    <row r="2788" spans="1:11" s="4" customFormat="1">
      <c r="A2788" s="4">
        <v>999200300</v>
      </c>
      <c r="B2788" s="4">
        <v>1</v>
      </c>
      <c r="C2788" s="4">
        <v>1</v>
      </c>
      <c r="D2788" s="4">
        <v>1</v>
      </c>
      <c r="E2788" s="4">
        <v>0</v>
      </c>
      <c r="F2788" s="4">
        <v>1</v>
      </c>
      <c r="G2788" s="4">
        <v>99920030</v>
      </c>
      <c r="H2788" s="4">
        <v>1</v>
      </c>
      <c r="I2788" s="4">
        <v>1</v>
      </c>
      <c r="J2788" s="4">
        <v>1</v>
      </c>
      <c r="K2788" s="4" t="s">
        <v>487</v>
      </c>
    </row>
    <row r="2789" spans="1:11" s="4" customFormat="1">
      <c r="A2789" s="4">
        <v>999200301</v>
      </c>
      <c r="B2789" s="4">
        <v>1</v>
      </c>
      <c r="C2789" s="4">
        <v>1</v>
      </c>
      <c r="D2789" s="4">
        <v>1</v>
      </c>
      <c r="E2789" s="4">
        <v>1</v>
      </c>
      <c r="F2789" s="4">
        <v>1</v>
      </c>
      <c r="G2789" s="4">
        <v>99920030</v>
      </c>
      <c r="H2789" s="4">
        <v>1</v>
      </c>
      <c r="I2789" s="4">
        <v>1</v>
      </c>
      <c r="J2789" s="4">
        <v>1</v>
      </c>
      <c r="K2789" s="4" t="s">
        <v>487</v>
      </c>
    </row>
    <row r="2790" spans="1:11" s="4" customFormat="1">
      <c r="A2790" s="4">
        <v>999200310</v>
      </c>
      <c r="B2790" s="4">
        <v>1</v>
      </c>
      <c r="C2790" s="4">
        <v>1</v>
      </c>
      <c r="D2790" s="4">
        <v>1</v>
      </c>
      <c r="E2790" s="4">
        <v>0</v>
      </c>
      <c r="F2790" s="4">
        <v>1</v>
      </c>
      <c r="G2790" s="4">
        <v>99920031</v>
      </c>
      <c r="H2790" s="4">
        <v>1</v>
      </c>
      <c r="I2790" s="4">
        <v>1</v>
      </c>
      <c r="J2790" s="4">
        <v>1</v>
      </c>
      <c r="K2790" s="4" t="s">
        <v>488</v>
      </c>
    </row>
    <row r="2791" spans="1:11" s="4" customFormat="1">
      <c r="A2791" s="4">
        <v>999200311</v>
      </c>
      <c r="B2791" s="4">
        <v>1</v>
      </c>
      <c r="C2791" s="4">
        <v>1</v>
      </c>
      <c r="D2791" s="4">
        <v>1</v>
      </c>
      <c r="E2791" s="4">
        <v>1</v>
      </c>
      <c r="F2791" s="4">
        <v>1</v>
      </c>
      <c r="G2791" s="4">
        <v>99920031</v>
      </c>
      <c r="H2791" s="4">
        <v>1</v>
      </c>
      <c r="I2791" s="4">
        <v>1</v>
      </c>
      <c r="J2791" s="4">
        <v>1</v>
      </c>
      <c r="K2791" s="4" t="s">
        <v>488</v>
      </c>
    </row>
    <row r="2792" spans="1:11" s="4" customFormat="1">
      <c r="A2792" s="4">
        <v>99920032</v>
      </c>
      <c r="B2792" s="4">
        <v>1</v>
      </c>
      <c r="C2792" s="4">
        <v>1</v>
      </c>
      <c r="D2792" s="4">
        <v>1</v>
      </c>
      <c r="E2792" s="4">
        <v>0</v>
      </c>
      <c r="F2792" s="4">
        <v>1</v>
      </c>
      <c r="G2792" s="4">
        <v>99920032</v>
      </c>
      <c r="H2792" s="4">
        <v>1</v>
      </c>
      <c r="I2792" s="4">
        <v>1</v>
      </c>
      <c r="J2792" s="4">
        <v>1</v>
      </c>
      <c r="K2792" s="4" t="s">
        <v>768</v>
      </c>
    </row>
    <row r="2793" spans="1:11" s="4" customFormat="1">
      <c r="A2793" s="4">
        <v>99920033</v>
      </c>
      <c r="B2793" s="4">
        <v>1</v>
      </c>
      <c r="C2793" s="4">
        <v>1</v>
      </c>
      <c r="D2793" s="4">
        <v>1</v>
      </c>
      <c r="E2793" s="4">
        <v>0</v>
      </c>
      <c r="F2793" s="4">
        <v>1</v>
      </c>
      <c r="G2793" s="4">
        <v>99920033</v>
      </c>
      <c r="H2793" s="4">
        <v>1</v>
      </c>
      <c r="I2793" s="4">
        <v>1</v>
      </c>
      <c r="J2793" s="4">
        <v>1</v>
      </c>
      <c r="K2793" s="4" t="s">
        <v>769</v>
      </c>
    </row>
    <row r="2794" spans="1:11" s="4" customFormat="1">
      <c r="A2794" s="4">
        <v>99920034</v>
      </c>
      <c r="B2794" s="4">
        <v>1</v>
      </c>
      <c r="C2794" s="4">
        <v>1</v>
      </c>
      <c r="D2794" s="4">
        <v>1</v>
      </c>
      <c r="E2794" s="4">
        <v>0</v>
      </c>
      <c r="F2794" s="4">
        <v>1</v>
      </c>
      <c r="G2794" s="4">
        <v>99920034</v>
      </c>
      <c r="H2794" s="4">
        <v>1</v>
      </c>
      <c r="I2794" s="4">
        <v>1</v>
      </c>
      <c r="J2794" s="4">
        <v>1</v>
      </c>
      <c r="K2794" s="4" t="s">
        <v>770</v>
      </c>
    </row>
    <row r="2795" spans="1:11">
      <c r="A2795">
        <v>99930001</v>
      </c>
      <c r="B2795">
        <v>1</v>
      </c>
      <c r="C2795">
        <v>1</v>
      </c>
      <c r="D2795" s="4">
        <v>1</v>
      </c>
      <c r="E2795" s="4">
        <v>0</v>
      </c>
      <c r="F2795" s="4">
        <v>1</v>
      </c>
      <c r="G2795">
        <v>99930001</v>
      </c>
      <c r="H2795">
        <v>1</v>
      </c>
      <c r="I2795">
        <v>1</v>
      </c>
      <c r="J2795">
        <v>1</v>
      </c>
      <c r="K2795" t="s">
        <v>339</v>
      </c>
    </row>
    <row r="2796" spans="1:11">
      <c r="A2796">
        <v>99930002</v>
      </c>
      <c r="B2796">
        <v>1</v>
      </c>
      <c r="C2796">
        <v>1</v>
      </c>
      <c r="D2796" s="4">
        <v>1</v>
      </c>
      <c r="E2796" s="4">
        <v>0</v>
      </c>
      <c r="F2796" s="4">
        <v>1</v>
      </c>
      <c r="G2796">
        <v>99930002</v>
      </c>
      <c r="H2796">
        <v>1</v>
      </c>
      <c r="I2796">
        <v>1</v>
      </c>
      <c r="J2796">
        <v>1</v>
      </c>
      <c r="K2796" t="s">
        <v>340</v>
      </c>
    </row>
    <row r="2797" spans="1:11">
      <c r="A2797">
        <v>99930003</v>
      </c>
      <c r="B2797">
        <v>1</v>
      </c>
      <c r="C2797">
        <v>1</v>
      </c>
      <c r="D2797" s="4">
        <v>1</v>
      </c>
      <c r="E2797" s="4">
        <v>0</v>
      </c>
      <c r="F2797" s="4">
        <v>1</v>
      </c>
      <c r="G2797">
        <v>99930003</v>
      </c>
      <c r="H2797">
        <v>1</v>
      </c>
      <c r="I2797">
        <v>1</v>
      </c>
      <c r="J2797">
        <v>1</v>
      </c>
      <c r="K2797" t="s">
        <v>341</v>
      </c>
    </row>
    <row r="2798" spans="1:11">
      <c r="A2798">
        <v>99930004</v>
      </c>
      <c r="B2798">
        <v>1</v>
      </c>
      <c r="C2798">
        <v>1</v>
      </c>
      <c r="D2798" s="4">
        <v>1</v>
      </c>
      <c r="E2798" s="4">
        <v>0</v>
      </c>
      <c r="F2798" s="4">
        <v>1</v>
      </c>
      <c r="G2798">
        <v>99930004</v>
      </c>
      <c r="H2798">
        <v>1</v>
      </c>
      <c r="I2798">
        <v>1</v>
      </c>
      <c r="J2798">
        <v>1</v>
      </c>
      <c r="K2798" t="s">
        <v>342</v>
      </c>
    </row>
    <row r="2799" spans="1:11">
      <c r="A2799">
        <v>99930005</v>
      </c>
      <c r="B2799">
        <v>1</v>
      </c>
      <c r="C2799">
        <v>1</v>
      </c>
      <c r="D2799" s="4">
        <v>1</v>
      </c>
      <c r="E2799" s="4">
        <v>0</v>
      </c>
      <c r="F2799" s="4">
        <v>1</v>
      </c>
      <c r="G2799">
        <v>99930005</v>
      </c>
      <c r="H2799">
        <v>1</v>
      </c>
      <c r="I2799">
        <v>1</v>
      </c>
      <c r="J2799">
        <v>1</v>
      </c>
      <c r="K2799" t="s">
        <v>343</v>
      </c>
    </row>
    <row r="2800" spans="1:11">
      <c r="A2800">
        <v>99930006</v>
      </c>
      <c r="B2800">
        <v>1</v>
      </c>
      <c r="C2800">
        <v>1</v>
      </c>
      <c r="D2800" s="4">
        <v>1</v>
      </c>
      <c r="E2800" s="4">
        <v>0</v>
      </c>
      <c r="F2800" s="4">
        <v>1</v>
      </c>
      <c r="G2800">
        <v>99930006</v>
      </c>
      <c r="H2800">
        <v>1</v>
      </c>
      <c r="I2800">
        <v>1</v>
      </c>
      <c r="J2800">
        <v>1</v>
      </c>
      <c r="K2800" t="s">
        <v>344</v>
      </c>
    </row>
    <row r="2801" spans="1:11">
      <c r="A2801">
        <v>99930007</v>
      </c>
      <c r="B2801">
        <v>1</v>
      </c>
      <c r="C2801">
        <v>1</v>
      </c>
      <c r="D2801" s="4">
        <v>1</v>
      </c>
      <c r="E2801" s="4">
        <v>0</v>
      </c>
      <c r="F2801" s="4">
        <v>1</v>
      </c>
      <c r="G2801">
        <v>99930007</v>
      </c>
      <c r="H2801">
        <v>1</v>
      </c>
      <c r="I2801">
        <v>1</v>
      </c>
      <c r="J2801">
        <v>1</v>
      </c>
      <c r="K2801" t="s">
        <v>345</v>
      </c>
    </row>
    <row r="2802" spans="1:11">
      <c r="A2802">
        <v>99930008</v>
      </c>
      <c r="B2802">
        <v>1</v>
      </c>
      <c r="C2802">
        <v>1</v>
      </c>
      <c r="D2802" s="4">
        <v>1</v>
      </c>
      <c r="E2802" s="4">
        <v>0</v>
      </c>
      <c r="F2802" s="4">
        <v>1</v>
      </c>
      <c r="G2802">
        <v>99930008</v>
      </c>
      <c r="H2802">
        <v>1</v>
      </c>
      <c r="I2802">
        <v>1</v>
      </c>
      <c r="J2802">
        <v>1</v>
      </c>
      <c r="K2802" t="s">
        <v>346</v>
      </c>
    </row>
    <row r="2803" spans="1:11">
      <c r="A2803">
        <v>99930009</v>
      </c>
      <c r="B2803">
        <v>1</v>
      </c>
      <c r="C2803">
        <v>1</v>
      </c>
      <c r="D2803" s="4">
        <v>1</v>
      </c>
      <c r="E2803" s="4">
        <v>0</v>
      </c>
      <c r="F2803" s="4">
        <v>1</v>
      </c>
      <c r="G2803">
        <v>99930009</v>
      </c>
      <c r="H2803">
        <v>1</v>
      </c>
      <c r="I2803">
        <v>1</v>
      </c>
      <c r="J2803">
        <v>1</v>
      </c>
      <c r="K2803" t="s">
        <v>347</v>
      </c>
    </row>
    <row r="2804" spans="1:11">
      <c r="A2804">
        <v>99930010</v>
      </c>
      <c r="B2804">
        <v>1</v>
      </c>
      <c r="C2804">
        <v>1</v>
      </c>
      <c r="D2804" s="4">
        <v>1</v>
      </c>
      <c r="E2804" s="4">
        <v>0</v>
      </c>
      <c r="F2804" s="4">
        <v>1</v>
      </c>
      <c r="G2804">
        <v>99930010</v>
      </c>
      <c r="H2804">
        <v>1</v>
      </c>
      <c r="I2804">
        <v>1</v>
      </c>
      <c r="J2804">
        <v>1</v>
      </c>
      <c r="K2804" t="s">
        <v>348</v>
      </c>
    </row>
    <row r="2805" spans="1:11">
      <c r="A2805">
        <v>99930011</v>
      </c>
      <c r="B2805">
        <v>1</v>
      </c>
      <c r="C2805">
        <v>1</v>
      </c>
      <c r="D2805" s="4">
        <v>1</v>
      </c>
      <c r="E2805" s="4">
        <v>0</v>
      </c>
      <c r="F2805" s="4">
        <v>1</v>
      </c>
      <c r="G2805">
        <v>99930011</v>
      </c>
      <c r="H2805">
        <v>1</v>
      </c>
      <c r="I2805">
        <v>1</v>
      </c>
      <c r="J2805">
        <v>1</v>
      </c>
      <c r="K2805" t="s">
        <v>349</v>
      </c>
    </row>
    <row r="2806" spans="1:11">
      <c r="A2806">
        <v>99930012</v>
      </c>
      <c r="B2806">
        <v>1</v>
      </c>
      <c r="C2806">
        <v>1</v>
      </c>
      <c r="D2806" s="4">
        <v>1</v>
      </c>
      <c r="E2806" s="4">
        <v>0</v>
      </c>
      <c r="F2806" s="4">
        <v>1</v>
      </c>
      <c r="G2806">
        <v>99930012</v>
      </c>
      <c r="H2806">
        <v>1</v>
      </c>
      <c r="I2806">
        <v>1</v>
      </c>
      <c r="J2806">
        <v>1</v>
      </c>
      <c r="K2806" t="s">
        <v>350</v>
      </c>
    </row>
    <row r="2807" spans="1:11">
      <c r="A2807">
        <v>99930013</v>
      </c>
      <c r="B2807">
        <v>1</v>
      </c>
      <c r="C2807">
        <v>1</v>
      </c>
      <c r="D2807" s="4">
        <v>1</v>
      </c>
      <c r="E2807" s="4">
        <v>0</v>
      </c>
      <c r="F2807" s="4">
        <v>1</v>
      </c>
      <c r="G2807">
        <v>99930013</v>
      </c>
      <c r="H2807">
        <v>1</v>
      </c>
      <c r="I2807">
        <v>1</v>
      </c>
      <c r="J2807">
        <v>1</v>
      </c>
      <c r="K2807" t="s">
        <v>351</v>
      </c>
    </row>
    <row r="2808" spans="1:11">
      <c r="A2808">
        <v>999300140</v>
      </c>
      <c r="B2808">
        <v>1</v>
      </c>
      <c r="C2808">
        <v>1</v>
      </c>
      <c r="D2808" s="4">
        <v>1</v>
      </c>
      <c r="E2808" s="4">
        <v>0</v>
      </c>
      <c r="F2808" s="4">
        <v>1</v>
      </c>
      <c r="G2808">
        <v>99930014</v>
      </c>
      <c r="H2808">
        <v>1</v>
      </c>
      <c r="I2808">
        <v>1</v>
      </c>
      <c r="J2808">
        <v>1</v>
      </c>
      <c r="K2808" t="s">
        <v>352</v>
      </c>
    </row>
    <row r="2809" spans="1:11" s="4" customFormat="1">
      <c r="A2809" s="4">
        <v>999300141</v>
      </c>
      <c r="B2809" s="4">
        <v>1</v>
      </c>
      <c r="C2809" s="4">
        <v>1</v>
      </c>
      <c r="D2809" s="4">
        <v>1</v>
      </c>
      <c r="E2809" s="4">
        <v>1</v>
      </c>
      <c r="F2809" s="4">
        <v>1</v>
      </c>
      <c r="G2809" s="4">
        <v>99930014</v>
      </c>
      <c r="H2809" s="4">
        <v>1</v>
      </c>
      <c r="I2809" s="4">
        <v>1</v>
      </c>
      <c r="J2809" s="4">
        <v>1</v>
      </c>
      <c r="K2809" s="4" t="s">
        <v>352</v>
      </c>
    </row>
    <row r="2810" spans="1:11">
      <c r="A2810">
        <v>99930015</v>
      </c>
      <c r="B2810">
        <v>1</v>
      </c>
      <c r="C2810">
        <v>1</v>
      </c>
      <c r="D2810" s="4">
        <v>1</v>
      </c>
      <c r="E2810" s="4">
        <v>0</v>
      </c>
      <c r="F2810" s="4">
        <v>1</v>
      </c>
      <c r="G2810">
        <v>99930015</v>
      </c>
      <c r="H2810">
        <v>1</v>
      </c>
      <c r="I2810">
        <v>1</v>
      </c>
      <c r="J2810">
        <v>1</v>
      </c>
      <c r="K2810" t="s">
        <v>87</v>
      </c>
    </row>
    <row r="2811" spans="1:11">
      <c r="A2811">
        <v>99930016</v>
      </c>
      <c r="B2811">
        <v>1</v>
      </c>
      <c r="C2811">
        <v>1</v>
      </c>
      <c r="D2811" s="4">
        <v>1</v>
      </c>
      <c r="E2811" s="4">
        <v>0</v>
      </c>
      <c r="F2811" s="4">
        <v>1</v>
      </c>
      <c r="G2811">
        <v>99930016</v>
      </c>
      <c r="H2811">
        <v>1</v>
      </c>
      <c r="I2811">
        <v>1</v>
      </c>
      <c r="J2811">
        <v>1</v>
      </c>
      <c r="K2811" t="s">
        <v>353</v>
      </c>
    </row>
    <row r="2812" spans="1:11">
      <c r="A2812">
        <v>999300170</v>
      </c>
      <c r="B2812">
        <v>1</v>
      </c>
      <c r="C2812">
        <v>1</v>
      </c>
      <c r="D2812" s="4">
        <v>1</v>
      </c>
      <c r="E2812" s="4">
        <v>0</v>
      </c>
      <c r="F2812" s="4">
        <v>1</v>
      </c>
      <c r="G2812">
        <v>99930017</v>
      </c>
      <c r="H2812">
        <v>1</v>
      </c>
      <c r="I2812">
        <v>1</v>
      </c>
      <c r="J2812">
        <v>1</v>
      </c>
      <c r="K2812" t="s">
        <v>354</v>
      </c>
    </row>
    <row r="2813" spans="1:11" s="4" customFormat="1">
      <c r="A2813" s="4">
        <v>999300171</v>
      </c>
      <c r="B2813" s="4">
        <v>1</v>
      </c>
      <c r="C2813" s="4">
        <v>1</v>
      </c>
      <c r="D2813" s="4">
        <v>1</v>
      </c>
      <c r="E2813" s="4">
        <v>1</v>
      </c>
      <c r="F2813" s="4">
        <v>1</v>
      </c>
      <c r="G2813" s="4">
        <v>99930017</v>
      </c>
      <c r="H2813" s="4">
        <v>1</v>
      </c>
      <c r="I2813" s="4">
        <v>1</v>
      </c>
      <c r="J2813" s="4">
        <v>1</v>
      </c>
      <c r="K2813" s="4" t="s">
        <v>354</v>
      </c>
    </row>
    <row r="2814" spans="1:11">
      <c r="A2814">
        <v>999300180</v>
      </c>
      <c r="B2814">
        <v>1</v>
      </c>
      <c r="C2814">
        <v>1</v>
      </c>
      <c r="D2814" s="4">
        <v>1</v>
      </c>
      <c r="E2814" s="4">
        <v>0</v>
      </c>
      <c r="F2814" s="4">
        <v>1</v>
      </c>
      <c r="G2814">
        <v>99930018</v>
      </c>
      <c r="H2814">
        <v>1</v>
      </c>
      <c r="I2814">
        <v>1</v>
      </c>
      <c r="J2814">
        <v>1</v>
      </c>
      <c r="K2814" t="s">
        <v>355</v>
      </c>
    </row>
    <row r="2815" spans="1:11" s="4" customFormat="1">
      <c r="A2815" s="4">
        <v>999300181</v>
      </c>
      <c r="B2815" s="4">
        <v>1</v>
      </c>
      <c r="C2815" s="4">
        <v>1</v>
      </c>
      <c r="D2815" s="4">
        <v>1</v>
      </c>
      <c r="E2815" s="4">
        <v>1</v>
      </c>
      <c r="F2815" s="4">
        <v>1</v>
      </c>
      <c r="G2815" s="4">
        <v>99930018</v>
      </c>
      <c r="H2815" s="4">
        <v>1</v>
      </c>
      <c r="I2815" s="4">
        <v>1</v>
      </c>
      <c r="J2815" s="4">
        <v>1</v>
      </c>
      <c r="K2815" s="4" t="s">
        <v>355</v>
      </c>
    </row>
    <row r="2816" spans="1:11">
      <c r="A2816">
        <v>999300190</v>
      </c>
      <c r="B2816">
        <v>1</v>
      </c>
      <c r="C2816">
        <v>1</v>
      </c>
      <c r="D2816" s="4">
        <v>1</v>
      </c>
      <c r="E2816" s="4">
        <v>0</v>
      </c>
      <c r="F2816" s="4">
        <v>1</v>
      </c>
      <c r="G2816">
        <v>99930019</v>
      </c>
      <c r="H2816">
        <v>1</v>
      </c>
      <c r="I2816">
        <v>1</v>
      </c>
      <c r="J2816">
        <v>1</v>
      </c>
      <c r="K2816" t="s">
        <v>356</v>
      </c>
    </row>
    <row r="2817" spans="1:11" s="4" customFormat="1">
      <c r="A2817" s="4">
        <v>999300191</v>
      </c>
      <c r="B2817" s="4">
        <v>1</v>
      </c>
      <c r="C2817" s="4">
        <v>1</v>
      </c>
      <c r="D2817" s="4">
        <v>1</v>
      </c>
      <c r="E2817" s="4">
        <v>1</v>
      </c>
      <c r="F2817" s="4">
        <v>1</v>
      </c>
      <c r="G2817" s="4">
        <v>99930019</v>
      </c>
      <c r="H2817" s="4">
        <v>1</v>
      </c>
      <c r="I2817" s="4">
        <v>1</v>
      </c>
      <c r="J2817" s="4">
        <v>1</v>
      </c>
      <c r="K2817" s="4" t="s">
        <v>356</v>
      </c>
    </row>
    <row r="2818" spans="1:11">
      <c r="A2818">
        <v>999300200</v>
      </c>
      <c r="B2818">
        <v>1</v>
      </c>
      <c r="C2818">
        <v>1</v>
      </c>
      <c r="D2818" s="4">
        <v>1</v>
      </c>
      <c r="E2818" s="4">
        <v>0</v>
      </c>
      <c r="F2818" s="4">
        <v>1</v>
      </c>
      <c r="G2818">
        <v>99930020</v>
      </c>
      <c r="H2818">
        <v>1</v>
      </c>
      <c r="I2818">
        <v>1</v>
      </c>
      <c r="J2818">
        <v>1</v>
      </c>
      <c r="K2818" t="s">
        <v>357</v>
      </c>
    </row>
    <row r="2819" spans="1:11" s="4" customFormat="1">
      <c r="A2819" s="4">
        <v>999300201</v>
      </c>
      <c r="B2819" s="4">
        <v>1</v>
      </c>
      <c r="C2819" s="4">
        <v>1</v>
      </c>
      <c r="D2819" s="4">
        <v>1</v>
      </c>
      <c r="E2819" s="4">
        <v>1</v>
      </c>
      <c r="F2819" s="4">
        <v>1</v>
      </c>
      <c r="G2819" s="4">
        <v>99930020</v>
      </c>
      <c r="H2819" s="4">
        <v>1</v>
      </c>
      <c r="I2819" s="4">
        <v>1</v>
      </c>
      <c r="J2819" s="4">
        <v>1</v>
      </c>
      <c r="K2819" s="4" t="s">
        <v>357</v>
      </c>
    </row>
    <row r="2820" spans="1:11">
      <c r="A2820">
        <v>999300210</v>
      </c>
      <c r="B2820">
        <v>1</v>
      </c>
      <c r="C2820">
        <v>1</v>
      </c>
      <c r="D2820" s="4">
        <v>1</v>
      </c>
      <c r="E2820" s="4">
        <v>0</v>
      </c>
      <c r="F2820" s="4">
        <v>1</v>
      </c>
      <c r="G2820">
        <v>99930021</v>
      </c>
      <c r="H2820">
        <v>1</v>
      </c>
      <c r="I2820">
        <v>1</v>
      </c>
      <c r="J2820">
        <v>1</v>
      </c>
      <c r="K2820" t="s">
        <v>358</v>
      </c>
    </row>
    <row r="2821" spans="1:11" s="4" customFormat="1">
      <c r="A2821" s="4">
        <v>999300211</v>
      </c>
      <c r="B2821" s="4">
        <v>1</v>
      </c>
      <c r="C2821" s="4">
        <v>1</v>
      </c>
      <c r="D2821" s="4">
        <v>1</v>
      </c>
      <c r="E2821" s="4">
        <v>1</v>
      </c>
      <c r="F2821" s="4">
        <v>1</v>
      </c>
      <c r="G2821" s="4">
        <v>99930021</v>
      </c>
      <c r="H2821" s="4">
        <v>1</v>
      </c>
      <c r="I2821" s="4">
        <v>1</v>
      </c>
      <c r="J2821" s="4">
        <v>1</v>
      </c>
      <c r="K2821" s="4" t="s">
        <v>358</v>
      </c>
    </row>
    <row r="2822" spans="1:11">
      <c r="A2822">
        <v>99930022</v>
      </c>
      <c r="B2822">
        <v>1</v>
      </c>
      <c r="C2822">
        <v>1</v>
      </c>
      <c r="D2822" s="4">
        <v>1</v>
      </c>
      <c r="E2822" s="4">
        <v>0</v>
      </c>
      <c r="F2822" s="4">
        <v>1</v>
      </c>
      <c r="G2822">
        <v>99930022</v>
      </c>
      <c r="H2822">
        <v>1</v>
      </c>
      <c r="I2822">
        <v>1</v>
      </c>
      <c r="J2822">
        <v>1</v>
      </c>
      <c r="K2822" t="s">
        <v>359</v>
      </c>
    </row>
    <row r="2823" spans="1:11">
      <c r="A2823">
        <v>99930023</v>
      </c>
      <c r="B2823">
        <v>1</v>
      </c>
      <c r="C2823">
        <v>1</v>
      </c>
      <c r="D2823" s="4">
        <v>1</v>
      </c>
      <c r="E2823" s="4">
        <v>0</v>
      </c>
      <c r="F2823" s="4">
        <v>1</v>
      </c>
      <c r="G2823">
        <v>99930023</v>
      </c>
      <c r="H2823">
        <v>1</v>
      </c>
      <c r="I2823">
        <v>1</v>
      </c>
      <c r="J2823">
        <v>1</v>
      </c>
      <c r="K2823" t="s">
        <v>360</v>
      </c>
    </row>
    <row r="2824" spans="1:11">
      <c r="A2824">
        <v>99930024</v>
      </c>
      <c r="B2824">
        <v>1</v>
      </c>
      <c r="C2824">
        <v>1</v>
      </c>
      <c r="D2824" s="4">
        <v>1</v>
      </c>
      <c r="E2824" s="4">
        <v>0</v>
      </c>
      <c r="F2824" s="4">
        <v>1</v>
      </c>
      <c r="G2824">
        <v>99930024</v>
      </c>
      <c r="H2824">
        <v>1</v>
      </c>
      <c r="I2824">
        <v>1</v>
      </c>
      <c r="J2824">
        <v>1</v>
      </c>
      <c r="K2824" t="s">
        <v>361</v>
      </c>
    </row>
    <row r="2825" spans="1:11">
      <c r="A2825">
        <v>99930025</v>
      </c>
      <c r="B2825">
        <v>1</v>
      </c>
      <c r="C2825">
        <v>1</v>
      </c>
      <c r="D2825" s="4">
        <v>1</v>
      </c>
      <c r="E2825" s="4">
        <v>0</v>
      </c>
      <c r="F2825" s="4">
        <v>1</v>
      </c>
      <c r="G2825">
        <v>99930025</v>
      </c>
      <c r="H2825">
        <v>1</v>
      </c>
      <c r="I2825">
        <v>1</v>
      </c>
      <c r="J2825">
        <v>1</v>
      </c>
      <c r="K2825" t="s">
        <v>362</v>
      </c>
    </row>
    <row r="2826" spans="1:11">
      <c r="A2826">
        <v>99930026</v>
      </c>
      <c r="B2826">
        <v>1</v>
      </c>
      <c r="C2826">
        <v>1</v>
      </c>
      <c r="D2826" s="4">
        <v>1</v>
      </c>
      <c r="E2826" s="4">
        <v>0</v>
      </c>
      <c r="F2826" s="4">
        <v>1</v>
      </c>
      <c r="G2826">
        <v>99930026</v>
      </c>
      <c r="H2826">
        <v>1</v>
      </c>
      <c r="I2826">
        <v>1</v>
      </c>
      <c r="J2826">
        <v>1</v>
      </c>
      <c r="K2826" t="s">
        <v>363</v>
      </c>
    </row>
    <row r="2827" spans="1:11">
      <c r="A2827">
        <v>99930027</v>
      </c>
      <c r="B2827">
        <v>1</v>
      </c>
      <c r="C2827">
        <v>1</v>
      </c>
      <c r="D2827" s="4">
        <v>1</v>
      </c>
      <c r="E2827" s="4">
        <v>0</v>
      </c>
      <c r="F2827" s="4">
        <v>1</v>
      </c>
      <c r="G2827">
        <v>99930027</v>
      </c>
      <c r="H2827">
        <v>1</v>
      </c>
      <c r="I2827">
        <v>1</v>
      </c>
      <c r="J2827">
        <v>1</v>
      </c>
      <c r="K2827" t="s">
        <v>364</v>
      </c>
    </row>
    <row r="2828" spans="1:11">
      <c r="A2828">
        <v>99930028</v>
      </c>
      <c r="B2828">
        <v>1</v>
      </c>
      <c r="C2828">
        <v>1</v>
      </c>
      <c r="D2828" s="4">
        <v>1</v>
      </c>
      <c r="E2828" s="4">
        <v>0</v>
      </c>
      <c r="F2828" s="4">
        <v>1</v>
      </c>
      <c r="G2828">
        <v>99930028</v>
      </c>
      <c r="H2828">
        <v>1</v>
      </c>
      <c r="I2828">
        <v>1</v>
      </c>
      <c r="J2828">
        <v>1</v>
      </c>
      <c r="K2828" t="s">
        <v>365</v>
      </c>
    </row>
    <row r="2829" spans="1:11">
      <c r="A2829">
        <v>99930029</v>
      </c>
      <c r="B2829">
        <v>1</v>
      </c>
      <c r="C2829">
        <v>1</v>
      </c>
      <c r="D2829" s="4">
        <v>1</v>
      </c>
      <c r="E2829" s="4">
        <v>0</v>
      </c>
      <c r="F2829" s="4">
        <v>1</v>
      </c>
      <c r="G2829">
        <v>99930029</v>
      </c>
      <c r="H2829">
        <v>1</v>
      </c>
      <c r="I2829">
        <v>1</v>
      </c>
      <c r="J2829">
        <v>1</v>
      </c>
      <c r="K2829" t="s">
        <v>366</v>
      </c>
    </row>
    <row r="2830" spans="1:11">
      <c r="A2830">
        <v>99930030</v>
      </c>
      <c r="B2830">
        <v>1</v>
      </c>
      <c r="C2830">
        <v>1</v>
      </c>
      <c r="D2830" s="4">
        <v>1</v>
      </c>
      <c r="E2830" s="4">
        <v>0</v>
      </c>
      <c r="F2830" s="4">
        <v>1</v>
      </c>
      <c r="G2830">
        <v>99930030</v>
      </c>
      <c r="H2830">
        <v>1</v>
      </c>
      <c r="I2830">
        <v>1</v>
      </c>
      <c r="J2830">
        <v>1</v>
      </c>
      <c r="K2830" t="s">
        <v>367</v>
      </c>
    </row>
    <row r="2831" spans="1:11">
      <c r="A2831">
        <v>999300310</v>
      </c>
      <c r="B2831">
        <v>1</v>
      </c>
      <c r="C2831">
        <v>1</v>
      </c>
      <c r="D2831" s="4">
        <v>1</v>
      </c>
      <c r="E2831" s="4">
        <v>0</v>
      </c>
      <c r="F2831" s="4">
        <v>1</v>
      </c>
      <c r="G2831">
        <v>99930031</v>
      </c>
      <c r="H2831">
        <v>1</v>
      </c>
      <c r="I2831">
        <v>1</v>
      </c>
      <c r="J2831">
        <v>1</v>
      </c>
      <c r="K2831" t="s">
        <v>368</v>
      </c>
    </row>
    <row r="2832" spans="1:11" s="4" customFormat="1">
      <c r="A2832" s="4">
        <v>999300311</v>
      </c>
      <c r="B2832" s="4">
        <v>1</v>
      </c>
      <c r="C2832" s="4">
        <v>1</v>
      </c>
      <c r="D2832" s="4">
        <v>1</v>
      </c>
      <c r="E2832" s="4">
        <v>1</v>
      </c>
      <c r="F2832" s="4">
        <v>1</v>
      </c>
      <c r="G2832" s="4">
        <v>99930031</v>
      </c>
      <c r="H2832" s="4">
        <v>1</v>
      </c>
      <c r="I2832" s="4">
        <v>1</v>
      </c>
      <c r="J2832" s="4">
        <v>1</v>
      </c>
      <c r="K2832" s="4" t="s">
        <v>368</v>
      </c>
    </row>
    <row r="2833" spans="1:11">
      <c r="A2833">
        <v>999300320</v>
      </c>
      <c r="B2833">
        <v>1</v>
      </c>
      <c r="C2833">
        <v>1</v>
      </c>
      <c r="D2833" s="4">
        <v>1</v>
      </c>
      <c r="E2833" s="4">
        <v>0</v>
      </c>
      <c r="F2833" s="4">
        <v>1</v>
      </c>
      <c r="G2833">
        <v>99930032</v>
      </c>
      <c r="H2833">
        <v>1</v>
      </c>
      <c r="I2833">
        <v>1</v>
      </c>
      <c r="J2833">
        <v>1</v>
      </c>
      <c r="K2833" t="s">
        <v>369</v>
      </c>
    </row>
    <row r="2834" spans="1:11" s="4" customFormat="1">
      <c r="A2834" s="4">
        <v>999300321</v>
      </c>
      <c r="B2834" s="4">
        <v>1</v>
      </c>
      <c r="C2834" s="4">
        <v>1</v>
      </c>
      <c r="D2834" s="4">
        <v>1</v>
      </c>
      <c r="E2834" s="4">
        <v>1</v>
      </c>
      <c r="F2834" s="4">
        <v>1</v>
      </c>
      <c r="G2834" s="4">
        <v>99930032</v>
      </c>
      <c r="H2834" s="4">
        <v>1</v>
      </c>
      <c r="I2834" s="4">
        <v>1</v>
      </c>
      <c r="J2834" s="4">
        <v>1</v>
      </c>
      <c r="K2834" s="4" t="s">
        <v>369</v>
      </c>
    </row>
    <row r="2835" spans="1:11" s="4" customFormat="1">
      <c r="A2835" s="4">
        <v>99930033</v>
      </c>
      <c r="B2835" s="4">
        <v>1</v>
      </c>
      <c r="C2835" s="4">
        <v>1</v>
      </c>
      <c r="D2835" s="4">
        <v>1</v>
      </c>
      <c r="E2835" s="4">
        <v>0</v>
      </c>
      <c r="F2835" s="4">
        <v>1</v>
      </c>
      <c r="G2835" s="4">
        <v>99930033</v>
      </c>
      <c r="H2835" s="4">
        <v>1</v>
      </c>
      <c r="I2835" s="4">
        <v>1</v>
      </c>
      <c r="J2835" s="4">
        <v>1</v>
      </c>
      <c r="K2835" s="4" t="s">
        <v>489</v>
      </c>
    </row>
    <row r="2836" spans="1:11" s="4" customFormat="1">
      <c r="A2836" s="4">
        <v>99930034</v>
      </c>
      <c r="B2836" s="4">
        <v>1</v>
      </c>
      <c r="C2836" s="4">
        <v>1</v>
      </c>
      <c r="D2836" s="4">
        <v>1</v>
      </c>
      <c r="E2836" s="4">
        <v>0</v>
      </c>
      <c r="F2836" s="4">
        <v>1</v>
      </c>
      <c r="G2836" s="4">
        <v>99930034</v>
      </c>
      <c r="H2836" s="4">
        <v>1</v>
      </c>
      <c r="I2836" s="4">
        <v>1</v>
      </c>
      <c r="J2836" s="4">
        <v>1</v>
      </c>
      <c r="K2836" s="4" t="s">
        <v>490</v>
      </c>
    </row>
    <row r="2837" spans="1:11" s="4" customFormat="1">
      <c r="A2837" s="4">
        <v>99930035</v>
      </c>
      <c r="B2837" s="4">
        <v>1</v>
      </c>
      <c r="C2837" s="4">
        <v>1</v>
      </c>
      <c r="D2837" s="4">
        <v>1</v>
      </c>
      <c r="E2837" s="4">
        <v>0</v>
      </c>
      <c r="F2837" s="4">
        <v>1</v>
      </c>
      <c r="G2837" s="4">
        <v>99930035</v>
      </c>
      <c r="H2837" s="4">
        <v>1</v>
      </c>
      <c r="I2837" s="4">
        <v>1</v>
      </c>
      <c r="J2837" s="4">
        <v>1</v>
      </c>
      <c r="K2837" s="4" t="s">
        <v>491</v>
      </c>
    </row>
    <row r="2838" spans="1:11" s="4" customFormat="1">
      <c r="A2838" s="4">
        <v>999300360</v>
      </c>
      <c r="B2838" s="4">
        <v>1</v>
      </c>
      <c r="C2838" s="4">
        <v>1</v>
      </c>
      <c r="D2838" s="4">
        <v>1</v>
      </c>
      <c r="E2838" s="4">
        <v>0</v>
      </c>
      <c r="F2838" s="4">
        <v>1</v>
      </c>
      <c r="G2838" s="4">
        <v>99930036</v>
      </c>
      <c r="H2838" s="4">
        <v>1</v>
      </c>
      <c r="I2838" s="4">
        <v>1</v>
      </c>
      <c r="J2838" s="4">
        <v>1</v>
      </c>
      <c r="K2838" s="4" t="s">
        <v>492</v>
      </c>
    </row>
    <row r="2839" spans="1:11" s="4" customFormat="1">
      <c r="A2839" s="4">
        <v>999300361</v>
      </c>
      <c r="B2839" s="4">
        <v>1</v>
      </c>
      <c r="C2839" s="4">
        <v>1</v>
      </c>
      <c r="D2839" s="4">
        <v>1</v>
      </c>
      <c r="E2839" s="4">
        <v>1</v>
      </c>
      <c r="F2839" s="4">
        <v>1</v>
      </c>
      <c r="G2839" s="4">
        <v>99930036</v>
      </c>
      <c r="H2839" s="4">
        <v>1</v>
      </c>
      <c r="I2839" s="4">
        <v>1</v>
      </c>
      <c r="J2839" s="4">
        <v>1</v>
      </c>
      <c r="K2839" s="4" t="s">
        <v>492</v>
      </c>
    </row>
    <row r="2840" spans="1:11" s="4" customFormat="1">
      <c r="A2840" s="4">
        <v>999300370</v>
      </c>
      <c r="B2840" s="4">
        <v>1</v>
      </c>
      <c r="C2840" s="4">
        <v>1</v>
      </c>
      <c r="D2840" s="4">
        <v>1</v>
      </c>
      <c r="E2840" s="4">
        <v>0</v>
      </c>
      <c r="F2840" s="4">
        <v>1</v>
      </c>
      <c r="G2840" s="4">
        <v>99930037</v>
      </c>
      <c r="H2840" s="4">
        <v>1</v>
      </c>
      <c r="I2840" s="4">
        <v>1</v>
      </c>
      <c r="J2840" s="4">
        <v>1</v>
      </c>
      <c r="K2840" s="4" t="s">
        <v>493</v>
      </c>
    </row>
    <row r="2841" spans="1:11" s="4" customFormat="1">
      <c r="A2841" s="4">
        <v>999300371</v>
      </c>
      <c r="B2841" s="4">
        <v>1</v>
      </c>
      <c r="C2841" s="4">
        <v>1</v>
      </c>
      <c r="D2841" s="4">
        <v>1</v>
      </c>
      <c r="E2841" s="4">
        <v>1</v>
      </c>
      <c r="F2841" s="4">
        <v>1</v>
      </c>
      <c r="G2841" s="4">
        <v>99930037</v>
      </c>
      <c r="H2841" s="4">
        <v>1</v>
      </c>
      <c r="I2841" s="4">
        <v>1</v>
      </c>
      <c r="J2841" s="4">
        <v>1</v>
      </c>
      <c r="K2841" s="4" t="s">
        <v>493</v>
      </c>
    </row>
    <row r="2842" spans="1:11" s="4" customFormat="1">
      <c r="A2842" s="4">
        <v>99930038</v>
      </c>
      <c r="B2842" s="4">
        <v>1</v>
      </c>
      <c r="C2842" s="4">
        <v>1</v>
      </c>
      <c r="D2842" s="4">
        <v>1</v>
      </c>
      <c r="E2842" s="4">
        <v>0</v>
      </c>
      <c r="F2842" s="4">
        <v>1</v>
      </c>
      <c r="G2842" s="4">
        <v>99930038</v>
      </c>
      <c r="H2842" s="4">
        <v>1</v>
      </c>
      <c r="I2842" s="4">
        <v>1</v>
      </c>
      <c r="J2842" s="4">
        <v>1</v>
      </c>
      <c r="K2842" s="4" t="s">
        <v>771</v>
      </c>
    </row>
    <row r="2843" spans="1:11" s="4" customFormat="1">
      <c r="A2843" s="4">
        <v>99930039</v>
      </c>
      <c r="B2843" s="4">
        <v>1</v>
      </c>
      <c r="C2843" s="4">
        <v>1</v>
      </c>
      <c r="D2843" s="4">
        <v>1</v>
      </c>
      <c r="E2843" s="4">
        <v>0</v>
      </c>
      <c r="F2843" s="4">
        <v>1</v>
      </c>
      <c r="G2843" s="4">
        <v>99930039</v>
      </c>
      <c r="H2843" s="4">
        <v>1</v>
      </c>
      <c r="I2843" s="4">
        <v>1</v>
      </c>
      <c r="J2843" s="4">
        <v>1</v>
      </c>
      <c r="K2843" s="4" t="s">
        <v>772</v>
      </c>
    </row>
    <row r="2844" spans="1:11" s="4" customFormat="1">
      <c r="A2844" s="4">
        <v>99930040</v>
      </c>
      <c r="B2844" s="4">
        <v>1</v>
      </c>
      <c r="C2844" s="4">
        <v>1</v>
      </c>
      <c r="D2844" s="4">
        <v>1</v>
      </c>
      <c r="E2844" s="4">
        <v>0</v>
      </c>
      <c r="F2844" s="4">
        <v>1</v>
      </c>
      <c r="G2844" s="4">
        <v>99930040</v>
      </c>
      <c r="H2844" s="4">
        <v>1</v>
      </c>
      <c r="I2844" s="4">
        <v>1</v>
      </c>
      <c r="J2844" s="4">
        <v>1</v>
      </c>
      <c r="K2844" s="4" t="s">
        <v>773</v>
      </c>
    </row>
    <row r="2845" spans="1:11">
      <c r="A2845">
        <v>99940001</v>
      </c>
      <c r="B2845">
        <v>1</v>
      </c>
      <c r="C2845">
        <v>1</v>
      </c>
      <c r="D2845" s="4">
        <v>1</v>
      </c>
      <c r="E2845" s="4">
        <v>0</v>
      </c>
      <c r="F2845" s="4">
        <v>1</v>
      </c>
      <c r="G2845">
        <v>99940001</v>
      </c>
      <c r="H2845">
        <v>1</v>
      </c>
      <c r="I2845">
        <v>1</v>
      </c>
      <c r="J2845">
        <v>1</v>
      </c>
      <c r="K2845" t="s">
        <v>370</v>
      </c>
    </row>
    <row r="2846" spans="1:11">
      <c r="A2846">
        <v>99940002</v>
      </c>
      <c r="B2846">
        <v>1</v>
      </c>
      <c r="C2846">
        <v>1</v>
      </c>
      <c r="D2846" s="4">
        <v>1</v>
      </c>
      <c r="E2846" s="4">
        <v>0</v>
      </c>
      <c r="F2846" s="4">
        <v>1</v>
      </c>
      <c r="G2846">
        <v>99940002</v>
      </c>
      <c r="H2846">
        <v>1</v>
      </c>
      <c r="I2846">
        <v>1</v>
      </c>
      <c r="J2846">
        <v>1</v>
      </c>
      <c r="K2846" t="s">
        <v>371</v>
      </c>
    </row>
    <row r="2847" spans="1:11">
      <c r="A2847">
        <v>99940003</v>
      </c>
      <c r="B2847">
        <v>1</v>
      </c>
      <c r="C2847">
        <v>1</v>
      </c>
      <c r="D2847" s="4">
        <v>1</v>
      </c>
      <c r="E2847" s="4">
        <v>0</v>
      </c>
      <c r="F2847" s="4">
        <v>1</v>
      </c>
      <c r="G2847">
        <v>99940003</v>
      </c>
      <c r="H2847">
        <v>1</v>
      </c>
      <c r="I2847">
        <v>1</v>
      </c>
      <c r="J2847">
        <v>1</v>
      </c>
      <c r="K2847" t="s">
        <v>372</v>
      </c>
    </row>
    <row r="2848" spans="1:11">
      <c r="A2848">
        <v>99940004</v>
      </c>
      <c r="B2848">
        <v>1</v>
      </c>
      <c r="C2848">
        <v>1</v>
      </c>
      <c r="D2848" s="4">
        <v>1</v>
      </c>
      <c r="E2848" s="4">
        <v>0</v>
      </c>
      <c r="F2848" s="4">
        <v>1</v>
      </c>
      <c r="G2848">
        <v>99940004</v>
      </c>
      <c r="H2848">
        <v>1</v>
      </c>
      <c r="I2848">
        <v>1</v>
      </c>
      <c r="J2848">
        <v>1</v>
      </c>
      <c r="K2848" t="s">
        <v>373</v>
      </c>
    </row>
    <row r="2849" spans="1:11">
      <c r="A2849">
        <v>99940005</v>
      </c>
      <c r="B2849">
        <v>1</v>
      </c>
      <c r="C2849">
        <v>1</v>
      </c>
      <c r="D2849" s="4">
        <v>1</v>
      </c>
      <c r="E2849" s="4">
        <v>0</v>
      </c>
      <c r="F2849" s="4">
        <v>1</v>
      </c>
      <c r="G2849">
        <v>99940005</v>
      </c>
      <c r="H2849">
        <v>1</v>
      </c>
      <c r="I2849">
        <v>1</v>
      </c>
      <c r="J2849">
        <v>1</v>
      </c>
      <c r="K2849" t="s">
        <v>374</v>
      </c>
    </row>
    <row r="2850" spans="1:11">
      <c r="A2850">
        <v>99940006</v>
      </c>
      <c r="B2850">
        <v>1</v>
      </c>
      <c r="C2850">
        <v>1</v>
      </c>
      <c r="D2850" s="4">
        <v>1</v>
      </c>
      <c r="E2850" s="4">
        <v>0</v>
      </c>
      <c r="F2850" s="4">
        <v>1</v>
      </c>
      <c r="G2850">
        <v>99940006</v>
      </c>
      <c r="H2850">
        <v>1</v>
      </c>
      <c r="I2850">
        <v>1</v>
      </c>
      <c r="J2850">
        <v>1</v>
      </c>
      <c r="K2850" t="s">
        <v>375</v>
      </c>
    </row>
    <row r="2851" spans="1:11">
      <c r="A2851">
        <v>99940007</v>
      </c>
      <c r="B2851">
        <v>1</v>
      </c>
      <c r="C2851">
        <v>1</v>
      </c>
      <c r="D2851" s="4">
        <v>1</v>
      </c>
      <c r="E2851" s="4">
        <v>0</v>
      </c>
      <c r="F2851" s="4">
        <v>1</v>
      </c>
      <c r="G2851">
        <v>99940007</v>
      </c>
      <c r="H2851">
        <v>1</v>
      </c>
      <c r="I2851">
        <v>1</v>
      </c>
      <c r="J2851">
        <v>1</v>
      </c>
      <c r="K2851" t="s">
        <v>376</v>
      </c>
    </row>
    <row r="2852" spans="1:11">
      <c r="A2852">
        <v>99940008</v>
      </c>
      <c r="B2852">
        <v>1</v>
      </c>
      <c r="C2852">
        <v>1</v>
      </c>
      <c r="D2852" s="4">
        <v>1</v>
      </c>
      <c r="E2852" s="4">
        <v>0</v>
      </c>
      <c r="F2852" s="4">
        <v>1</v>
      </c>
      <c r="G2852">
        <v>99940008</v>
      </c>
      <c r="H2852">
        <v>1</v>
      </c>
      <c r="I2852">
        <v>1</v>
      </c>
      <c r="J2852">
        <v>1</v>
      </c>
      <c r="K2852" t="s">
        <v>377</v>
      </c>
    </row>
    <row r="2853" spans="1:11">
      <c r="A2853">
        <v>99940009</v>
      </c>
      <c r="B2853">
        <v>1</v>
      </c>
      <c r="C2853">
        <v>1</v>
      </c>
      <c r="D2853" s="4">
        <v>1</v>
      </c>
      <c r="E2853" s="4">
        <v>0</v>
      </c>
      <c r="F2853" s="4">
        <v>1</v>
      </c>
      <c r="G2853">
        <v>99940009</v>
      </c>
      <c r="H2853">
        <v>1</v>
      </c>
      <c r="I2853">
        <v>1</v>
      </c>
      <c r="J2853">
        <v>1</v>
      </c>
      <c r="K2853" t="s">
        <v>378</v>
      </c>
    </row>
    <row r="2854" spans="1:11">
      <c r="A2854">
        <v>999400100</v>
      </c>
      <c r="B2854">
        <v>1</v>
      </c>
      <c r="C2854">
        <v>1</v>
      </c>
      <c r="D2854" s="4">
        <v>1</v>
      </c>
      <c r="E2854" s="4">
        <v>0</v>
      </c>
      <c r="F2854" s="4">
        <v>1</v>
      </c>
      <c r="G2854">
        <v>99940010</v>
      </c>
      <c r="H2854">
        <v>1</v>
      </c>
      <c r="I2854">
        <v>1</v>
      </c>
      <c r="J2854">
        <v>1</v>
      </c>
      <c r="K2854" t="s">
        <v>379</v>
      </c>
    </row>
    <row r="2855" spans="1:11" s="4" customFormat="1">
      <c r="A2855" s="4">
        <v>999400101</v>
      </c>
      <c r="B2855" s="4">
        <v>1</v>
      </c>
      <c r="C2855" s="4">
        <v>1</v>
      </c>
      <c r="D2855" s="4">
        <v>1</v>
      </c>
      <c r="E2855" s="4">
        <v>1</v>
      </c>
      <c r="F2855" s="4">
        <v>1</v>
      </c>
      <c r="G2855" s="4">
        <v>99940010</v>
      </c>
      <c r="H2855" s="4">
        <v>1</v>
      </c>
      <c r="I2855" s="4">
        <v>1</v>
      </c>
      <c r="J2855" s="4">
        <v>1</v>
      </c>
      <c r="K2855" s="4" t="s">
        <v>379</v>
      </c>
    </row>
    <row r="2856" spans="1:11">
      <c r="A2856">
        <v>999400110</v>
      </c>
      <c r="B2856">
        <v>1</v>
      </c>
      <c r="C2856">
        <v>1</v>
      </c>
      <c r="D2856" s="4">
        <v>1</v>
      </c>
      <c r="E2856" s="4">
        <v>0</v>
      </c>
      <c r="F2856" s="4">
        <v>1</v>
      </c>
      <c r="G2856">
        <v>99940011</v>
      </c>
      <c r="H2856">
        <v>1</v>
      </c>
      <c r="I2856">
        <v>1</v>
      </c>
      <c r="J2856">
        <v>1</v>
      </c>
      <c r="K2856" t="s">
        <v>380</v>
      </c>
    </row>
    <row r="2857" spans="1:11" s="4" customFormat="1">
      <c r="A2857" s="4">
        <v>999400111</v>
      </c>
      <c r="B2857" s="4">
        <v>1</v>
      </c>
      <c r="C2857" s="4">
        <v>1</v>
      </c>
      <c r="D2857" s="4">
        <v>1</v>
      </c>
      <c r="E2857" s="4">
        <v>1</v>
      </c>
      <c r="F2857" s="4">
        <v>1</v>
      </c>
      <c r="G2857" s="4">
        <v>99940011</v>
      </c>
      <c r="H2857" s="4">
        <v>1</v>
      </c>
      <c r="I2857" s="4">
        <v>1</v>
      </c>
      <c r="J2857" s="4">
        <v>1</v>
      </c>
      <c r="K2857" s="4" t="s">
        <v>380</v>
      </c>
    </row>
    <row r="2858" spans="1:11">
      <c r="A2858">
        <v>999400120</v>
      </c>
      <c r="B2858">
        <v>1</v>
      </c>
      <c r="C2858">
        <v>1</v>
      </c>
      <c r="D2858" s="4">
        <v>1</v>
      </c>
      <c r="E2858" s="4">
        <v>0</v>
      </c>
      <c r="F2858" s="4">
        <v>1</v>
      </c>
      <c r="G2858">
        <v>99940012</v>
      </c>
      <c r="H2858">
        <v>1</v>
      </c>
      <c r="I2858">
        <v>1</v>
      </c>
      <c r="J2858">
        <v>1</v>
      </c>
      <c r="K2858" t="s">
        <v>381</v>
      </c>
    </row>
    <row r="2859" spans="1:11" s="4" customFormat="1">
      <c r="A2859" s="4">
        <v>999400121</v>
      </c>
      <c r="B2859" s="4">
        <v>1</v>
      </c>
      <c r="C2859" s="4">
        <v>1</v>
      </c>
      <c r="D2859" s="4">
        <v>1</v>
      </c>
      <c r="E2859" s="4">
        <v>1</v>
      </c>
      <c r="F2859" s="4">
        <v>1</v>
      </c>
      <c r="G2859" s="4">
        <v>99940012</v>
      </c>
      <c r="H2859" s="4">
        <v>1</v>
      </c>
      <c r="I2859" s="4">
        <v>1</v>
      </c>
      <c r="J2859" s="4">
        <v>1</v>
      </c>
      <c r="K2859" s="4" t="s">
        <v>381</v>
      </c>
    </row>
    <row r="2860" spans="1:11">
      <c r="A2860">
        <v>99940013</v>
      </c>
      <c r="B2860">
        <v>1</v>
      </c>
      <c r="C2860">
        <v>1</v>
      </c>
      <c r="D2860" s="4">
        <v>1</v>
      </c>
      <c r="E2860" s="4">
        <v>0</v>
      </c>
      <c r="F2860" s="4">
        <v>1</v>
      </c>
      <c r="G2860">
        <v>99940013</v>
      </c>
      <c r="H2860">
        <v>1</v>
      </c>
      <c r="I2860">
        <v>1</v>
      </c>
      <c r="J2860">
        <v>1</v>
      </c>
      <c r="K2860" t="s">
        <v>3006</v>
      </c>
    </row>
    <row r="2861" spans="1:11">
      <c r="A2861">
        <v>99940014</v>
      </c>
      <c r="B2861">
        <v>1</v>
      </c>
      <c r="C2861">
        <v>1</v>
      </c>
      <c r="D2861" s="4">
        <v>1</v>
      </c>
      <c r="E2861" s="4">
        <v>0</v>
      </c>
      <c r="F2861" s="4">
        <v>1</v>
      </c>
      <c r="G2861">
        <v>99940014</v>
      </c>
      <c r="H2861">
        <v>1</v>
      </c>
      <c r="I2861">
        <v>1</v>
      </c>
      <c r="J2861">
        <v>1</v>
      </c>
      <c r="K2861" t="s">
        <v>382</v>
      </c>
    </row>
    <row r="2862" spans="1:11">
      <c r="A2862">
        <v>999400150</v>
      </c>
      <c r="B2862">
        <v>1</v>
      </c>
      <c r="C2862">
        <v>1</v>
      </c>
      <c r="D2862" s="4">
        <v>1</v>
      </c>
      <c r="E2862" s="4">
        <v>0</v>
      </c>
      <c r="F2862" s="4">
        <v>1</v>
      </c>
      <c r="G2862">
        <v>99940015</v>
      </c>
      <c r="H2862">
        <v>1</v>
      </c>
      <c r="I2862">
        <v>1</v>
      </c>
      <c r="J2862">
        <v>1</v>
      </c>
      <c r="K2862" t="s">
        <v>383</v>
      </c>
    </row>
    <row r="2863" spans="1:11" s="4" customFormat="1">
      <c r="A2863" s="4">
        <v>999400151</v>
      </c>
      <c r="B2863" s="4">
        <v>1</v>
      </c>
      <c r="C2863" s="4">
        <v>1</v>
      </c>
      <c r="D2863" s="4">
        <v>1</v>
      </c>
      <c r="E2863" s="4">
        <v>1</v>
      </c>
      <c r="F2863" s="4">
        <v>1</v>
      </c>
      <c r="G2863" s="4">
        <v>99940015</v>
      </c>
      <c r="H2863" s="4">
        <v>1</v>
      </c>
      <c r="I2863" s="4">
        <v>1</v>
      </c>
      <c r="J2863" s="4">
        <v>1</v>
      </c>
      <c r="K2863" s="4" t="s">
        <v>383</v>
      </c>
    </row>
    <row r="2864" spans="1:11">
      <c r="A2864">
        <v>999400160</v>
      </c>
      <c r="B2864">
        <v>1</v>
      </c>
      <c r="C2864">
        <v>1</v>
      </c>
      <c r="D2864" s="4">
        <v>1</v>
      </c>
      <c r="E2864" s="4">
        <v>0</v>
      </c>
      <c r="F2864" s="4">
        <v>1</v>
      </c>
      <c r="G2864">
        <v>99940016</v>
      </c>
      <c r="H2864">
        <v>1</v>
      </c>
      <c r="I2864">
        <v>1</v>
      </c>
      <c r="J2864">
        <v>1</v>
      </c>
      <c r="K2864" t="s">
        <v>384</v>
      </c>
    </row>
    <row r="2865" spans="1:11" s="4" customFormat="1">
      <c r="A2865" s="4">
        <v>999400161</v>
      </c>
      <c r="B2865" s="4">
        <v>1</v>
      </c>
      <c r="C2865" s="4">
        <v>1</v>
      </c>
      <c r="D2865" s="4">
        <v>1</v>
      </c>
      <c r="E2865" s="4">
        <v>1</v>
      </c>
      <c r="F2865" s="4">
        <v>1</v>
      </c>
      <c r="G2865" s="4">
        <v>99940016</v>
      </c>
      <c r="H2865" s="4">
        <v>1</v>
      </c>
      <c r="I2865" s="4">
        <v>1</v>
      </c>
      <c r="J2865" s="4">
        <v>1</v>
      </c>
      <c r="K2865" s="4" t="s">
        <v>384</v>
      </c>
    </row>
    <row r="2866" spans="1:11">
      <c r="A2866">
        <v>99940017</v>
      </c>
      <c r="B2866">
        <v>1</v>
      </c>
      <c r="C2866">
        <v>1</v>
      </c>
      <c r="D2866" s="4">
        <v>1</v>
      </c>
      <c r="E2866" s="4">
        <v>0</v>
      </c>
      <c r="F2866" s="4">
        <v>1</v>
      </c>
      <c r="G2866">
        <v>99940017</v>
      </c>
      <c r="H2866">
        <v>1</v>
      </c>
      <c r="I2866">
        <v>1</v>
      </c>
      <c r="J2866">
        <v>1</v>
      </c>
      <c r="K2866" t="s">
        <v>385</v>
      </c>
    </row>
    <row r="2867" spans="1:11">
      <c r="A2867">
        <v>99940018</v>
      </c>
      <c r="B2867">
        <v>1</v>
      </c>
      <c r="C2867">
        <v>1</v>
      </c>
      <c r="D2867" s="4">
        <v>1</v>
      </c>
      <c r="E2867" s="4">
        <v>0</v>
      </c>
      <c r="F2867" s="4">
        <v>1</v>
      </c>
      <c r="G2867">
        <v>99940018</v>
      </c>
      <c r="H2867">
        <v>1</v>
      </c>
      <c r="I2867">
        <v>1</v>
      </c>
      <c r="J2867">
        <v>1</v>
      </c>
      <c r="K2867" t="s">
        <v>386</v>
      </c>
    </row>
    <row r="2868" spans="1:11">
      <c r="A2868">
        <v>99940019</v>
      </c>
      <c r="B2868">
        <v>1</v>
      </c>
      <c r="C2868">
        <v>1</v>
      </c>
      <c r="D2868" s="4">
        <v>1</v>
      </c>
      <c r="E2868" s="4">
        <v>0</v>
      </c>
      <c r="F2868" s="4">
        <v>1</v>
      </c>
      <c r="G2868">
        <v>99940019</v>
      </c>
      <c r="H2868">
        <v>1</v>
      </c>
      <c r="I2868">
        <v>1</v>
      </c>
      <c r="J2868">
        <v>1</v>
      </c>
      <c r="K2868" t="s">
        <v>387</v>
      </c>
    </row>
    <row r="2869" spans="1:11">
      <c r="A2869">
        <v>999400200</v>
      </c>
      <c r="B2869">
        <v>1</v>
      </c>
      <c r="C2869">
        <v>1</v>
      </c>
      <c r="D2869" s="4">
        <v>1</v>
      </c>
      <c r="E2869" s="4">
        <v>0</v>
      </c>
      <c r="F2869" s="4">
        <v>1</v>
      </c>
      <c r="G2869">
        <v>99940020</v>
      </c>
      <c r="H2869">
        <v>1</v>
      </c>
      <c r="I2869">
        <v>1</v>
      </c>
      <c r="J2869">
        <v>1</v>
      </c>
      <c r="K2869" t="s">
        <v>388</v>
      </c>
    </row>
    <row r="2870" spans="1:11" s="4" customFormat="1">
      <c r="A2870" s="4">
        <v>999400201</v>
      </c>
      <c r="B2870" s="4">
        <v>1</v>
      </c>
      <c r="C2870" s="4">
        <v>1</v>
      </c>
      <c r="D2870" s="4">
        <v>1</v>
      </c>
      <c r="E2870" s="4">
        <v>1</v>
      </c>
      <c r="F2870" s="4">
        <v>1</v>
      </c>
      <c r="G2870" s="4">
        <v>99940020</v>
      </c>
      <c r="H2870" s="4">
        <v>1</v>
      </c>
      <c r="I2870" s="4">
        <v>1</v>
      </c>
      <c r="J2870" s="4">
        <v>1</v>
      </c>
      <c r="K2870" s="4" t="s">
        <v>388</v>
      </c>
    </row>
    <row r="2871" spans="1:11">
      <c r="A2871">
        <v>999400210</v>
      </c>
      <c r="B2871">
        <v>1</v>
      </c>
      <c r="C2871">
        <v>1</v>
      </c>
      <c r="D2871" s="4">
        <v>1</v>
      </c>
      <c r="E2871" s="4">
        <v>0</v>
      </c>
      <c r="F2871" s="4">
        <v>1</v>
      </c>
      <c r="G2871">
        <v>99940021</v>
      </c>
      <c r="H2871">
        <v>1</v>
      </c>
      <c r="I2871">
        <v>1</v>
      </c>
      <c r="J2871">
        <v>1</v>
      </c>
      <c r="K2871" t="s">
        <v>389</v>
      </c>
    </row>
    <row r="2872" spans="1:11" s="4" customFormat="1">
      <c r="A2872" s="4">
        <v>999400211</v>
      </c>
      <c r="B2872" s="4">
        <v>1</v>
      </c>
      <c r="C2872" s="4">
        <v>1</v>
      </c>
      <c r="D2872" s="4">
        <v>1</v>
      </c>
      <c r="E2872" s="4">
        <v>1</v>
      </c>
      <c r="F2872" s="4">
        <v>1</v>
      </c>
      <c r="G2872" s="4">
        <v>99940021</v>
      </c>
      <c r="H2872" s="4">
        <v>1</v>
      </c>
      <c r="I2872" s="4">
        <v>1</v>
      </c>
      <c r="J2872" s="4">
        <v>1</v>
      </c>
      <c r="K2872" s="4" t="s">
        <v>389</v>
      </c>
    </row>
    <row r="2873" spans="1:11">
      <c r="A2873">
        <v>999400220</v>
      </c>
      <c r="B2873">
        <v>1</v>
      </c>
      <c r="C2873">
        <v>1</v>
      </c>
      <c r="D2873" s="4">
        <v>1</v>
      </c>
      <c r="E2873" s="4">
        <v>0</v>
      </c>
      <c r="F2873" s="4">
        <v>1</v>
      </c>
      <c r="G2873">
        <v>99940022</v>
      </c>
      <c r="H2873">
        <v>1</v>
      </c>
      <c r="I2873">
        <v>1</v>
      </c>
      <c r="J2873">
        <v>1</v>
      </c>
      <c r="K2873" t="s">
        <v>390</v>
      </c>
    </row>
    <row r="2874" spans="1:11" s="4" customFormat="1">
      <c r="A2874" s="4">
        <v>999400221</v>
      </c>
      <c r="B2874" s="4">
        <v>1</v>
      </c>
      <c r="C2874" s="4">
        <v>1</v>
      </c>
      <c r="D2874" s="4">
        <v>1</v>
      </c>
      <c r="E2874" s="4">
        <v>1</v>
      </c>
      <c r="F2874" s="4">
        <v>1</v>
      </c>
      <c r="G2874" s="4">
        <v>99940022</v>
      </c>
      <c r="H2874" s="4">
        <v>1</v>
      </c>
      <c r="I2874" s="4">
        <v>1</v>
      </c>
      <c r="J2874" s="4">
        <v>1</v>
      </c>
      <c r="K2874" s="4" t="s">
        <v>390</v>
      </c>
    </row>
    <row r="2875" spans="1:11">
      <c r="A2875">
        <v>999400230</v>
      </c>
      <c r="B2875">
        <v>1</v>
      </c>
      <c r="C2875">
        <v>1</v>
      </c>
      <c r="D2875" s="4">
        <v>1</v>
      </c>
      <c r="E2875" s="4">
        <v>0</v>
      </c>
      <c r="F2875" s="4">
        <v>1</v>
      </c>
      <c r="G2875">
        <v>99940023</v>
      </c>
      <c r="H2875">
        <v>1</v>
      </c>
      <c r="I2875">
        <v>1</v>
      </c>
      <c r="J2875">
        <v>1</v>
      </c>
      <c r="K2875" t="s">
        <v>391</v>
      </c>
    </row>
    <row r="2876" spans="1:11" s="4" customFormat="1">
      <c r="A2876" s="4">
        <v>999400231</v>
      </c>
      <c r="B2876" s="4">
        <v>1</v>
      </c>
      <c r="C2876" s="4">
        <v>1</v>
      </c>
      <c r="D2876" s="4">
        <v>1</v>
      </c>
      <c r="E2876" s="4">
        <v>1</v>
      </c>
      <c r="F2876" s="4">
        <v>1</v>
      </c>
      <c r="G2876" s="4">
        <v>99940023</v>
      </c>
      <c r="H2876" s="4">
        <v>1</v>
      </c>
      <c r="I2876" s="4">
        <v>1</v>
      </c>
      <c r="J2876" s="4">
        <v>1</v>
      </c>
      <c r="K2876" s="4" t="s">
        <v>391</v>
      </c>
    </row>
    <row r="2877" spans="1:11" s="4" customFormat="1">
      <c r="A2877" s="4">
        <v>99940024</v>
      </c>
      <c r="B2877" s="4">
        <v>1</v>
      </c>
      <c r="C2877" s="4">
        <v>1</v>
      </c>
      <c r="D2877" s="4">
        <v>1</v>
      </c>
      <c r="E2877" s="4">
        <v>0</v>
      </c>
      <c r="F2877" s="4">
        <v>1</v>
      </c>
      <c r="G2877" s="4">
        <v>99940024</v>
      </c>
      <c r="H2877" s="4">
        <v>1</v>
      </c>
      <c r="I2877" s="4">
        <v>1</v>
      </c>
      <c r="J2877" s="4">
        <v>1</v>
      </c>
      <c r="K2877" s="4" t="s">
        <v>494</v>
      </c>
    </row>
    <row r="2878" spans="1:11" s="4" customFormat="1">
      <c r="A2878" s="4">
        <v>99940025</v>
      </c>
      <c r="B2878" s="4">
        <v>1</v>
      </c>
      <c r="C2878" s="4">
        <v>1</v>
      </c>
      <c r="D2878" s="4">
        <v>1</v>
      </c>
      <c r="E2878" s="4">
        <v>0</v>
      </c>
      <c r="F2878" s="4">
        <v>1</v>
      </c>
      <c r="G2878" s="4">
        <v>99940025</v>
      </c>
      <c r="H2878" s="4">
        <v>1</v>
      </c>
      <c r="I2878" s="4">
        <v>1</v>
      </c>
      <c r="J2878" s="4">
        <v>1</v>
      </c>
      <c r="K2878" s="4" t="s">
        <v>495</v>
      </c>
    </row>
    <row r="2879" spans="1:11" s="4" customFormat="1">
      <c r="A2879" s="4">
        <v>99940026</v>
      </c>
      <c r="B2879" s="4">
        <v>1</v>
      </c>
      <c r="C2879" s="4">
        <v>1</v>
      </c>
      <c r="D2879" s="4">
        <v>1</v>
      </c>
      <c r="E2879" s="4">
        <v>0</v>
      </c>
      <c r="F2879" s="4">
        <v>1</v>
      </c>
      <c r="G2879" s="4">
        <v>99940026</v>
      </c>
      <c r="H2879" s="4">
        <v>1</v>
      </c>
      <c r="I2879" s="4">
        <v>1</v>
      </c>
      <c r="J2879" s="4">
        <v>1</v>
      </c>
      <c r="K2879" s="4" t="s">
        <v>496</v>
      </c>
    </row>
    <row r="2880" spans="1:11" s="4" customFormat="1">
      <c r="A2880" s="4">
        <v>99940027</v>
      </c>
      <c r="B2880" s="4">
        <v>1</v>
      </c>
      <c r="C2880" s="4">
        <v>1</v>
      </c>
      <c r="D2880" s="4">
        <v>1</v>
      </c>
      <c r="E2880" s="4">
        <v>0</v>
      </c>
      <c r="F2880" s="4">
        <v>1</v>
      </c>
      <c r="G2880" s="4">
        <v>99940027</v>
      </c>
      <c r="H2880" s="4">
        <v>1</v>
      </c>
      <c r="I2880" s="4">
        <v>1</v>
      </c>
      <c r="J2880" s="4">
        <v>1</v>
      </c>
      <c r="K2880" s="4" t="s">
        <v>497</v>
      </c>
    </row>
    <row r="2881" spans="1:11" s="4" customFormat="1">
      <c r="A2881" s="4">
        <v>999400280</v>
      </c>
      <c r="B2881" s="4">
        <v>1</v>
      </c>
      <c r="C2881" s="4">
        <v>1</v>
      </c>
      <c r="D2881" s="4">
        <v>1</v>
      </c>
      <c r="E2881" s="4">
        <v>0</v>
      </c>
      <c r="F2881" s="4">
        <v>1</v>
      </c>
      <c r="G2881" s="4">
        <v>99940028</v>
      </c>
      <c r="H2881" s="4">
        <v>1</v>
      </c>
      <c r="I2881" s="4">
        <v>1</v>
      </c>
      <c r="J2881" s="4">
        <v>1</v>
      </c>
      <c r="K2881" s="4" t="s">
        <v>498</v>
      </c>
    </row>
    <row r="2882" spans="1:11" s="4" customFormat="1">
      <c r="A2882" s="4">
        <v>999400281</v>
      </c>
      <c r="B2882" s="4">
        <v>1</v>
      </c>
      <c r="C2882" s="4">
        <v>1</v>
      </c>
      <c r="D2882" s="4">
        <v>1</v>
      </c>
      <c r="E2882" s="4">
        <v>1</v>
      </c>
      <c r="F2882" s="4">
        <v>1</v>
      </c>
      <c r="G2882" s="4">
        <v>99940028</v>
      </c>
      <c r="H2882" s="4">
        <v>1</v>
      </c>
      <c r="I2882" s="4">
        <v>1</v>
      </c>
      <c r="J2882" s="4">
        <v>1</v>
      </c>
      <c r="K2882" s="4" t="s">
        <v>498</v>
      </c>
    </row>
    <row r="2883" spans="1:11" s="4" customFormat="1">
      <c r="A2883" s="4">
        <v>999400290</v>
      </c>
      <c r="B2883" s="4">
        <v>1</v>
      </c>
      <c r="C2883" s="4">
        <v>1</v>
      </c>
      <c r="D2883" s="4">
        <v>1</v>
      </c>
      <c r="E2883" s="4">
        <v>0</v>
      </c>
      <c r="F2883" s="4">
        <v>1</v>
      </c>
      <c r="G2883" s="4">
        <v>99940029</v>
      </c>
      <c r="H2883" s="4">
        <v>1</v>
      </c>
      <c r="I2883" s="4">
        <v>1</v>
      </c>
      <c r="J2883" s="4">
        <v>1</v>
      </c>
      <c r="K2883" s="4" t="s">
        <v>499</v>
      </c>
    </row>
    <row r="2884" spans="1:11" s="4" customFormat="1">
      <c r="A2884" s="4">
        <v>999400291</v>
      </c>
      <c r="B2884" s="4">
        <v>1</v>
      </c>
      <c r="C2884" s="4">
        <v>1</v>
      </c>
      <c r="D2884" s="4">
        <v>1</v>
      </c>
      <c r="E2884" s="4">
        <v>1</v>
      </c>
      <c r="F2884" s="4">
        <v>1</v>
      </c>
      <c r="G2884" s="4">
        <v>99940029</v>
      </c>
      <c r="H2884" s="4">
        <v>1</v>
      </c>
      <c r="I2884" s="4">
        <v>1</v>
      </c>
      <c r="J2884" s="4">
        <v>1</v>
      </c>
      <c r="K2884" s="4" t="s">
        <v>499</v>
      </c>
    </row>
    <row r="2885" spans="1:11" s="4" customFormat="1">
      <c r="A2885" s="4">
        <v>99940030</v>
      </c>
      <c r="B2885" s="4">
        <v>1</v>
      </c>
      <c r="C2885" s="4">
        <v>1</v>
      </c>
      <c r="D2885" s="4">
        <v>1</v>
      </c>
      <c r="E2885" s="4">
        <v>0</v>
      </c>
      <c r="F2885" s="4">
        <v>1</v>
      </c>
      <c r="G2885" s="4">
        <v>99940030</v>
      </c>
      <c r="H2885" s="4">
        <v>1</v>
      </c>
      <c r="I2885" s="4">
        <v>1</v>
      </c>
      <c r="J2885" s="4">
        <v>1</v>
      </c>
      <c r="K2885" s="4" t="s">
        <v>774</v>
      </c>
    </row>
    <row r="2886" spans="1:11" s="4" customFormat="1">
      <c r="A2886" s="4">
        <v>99940031</v>
      </c>
      <c r="B2886" s="4">
        <v>1</v>
      </c>
      <c r="C2886" s="4">
        <v>1</v>
      </c>
      <c r="D2886" s="4">
        <v>1</v>
      </c>
      <c r="E2886" s="4">
        <v>0</v>
      </c>
      <c r="F2886" s="4">
        <v>1</v>
      </c>
      <c r="G2886" s="4">
        <v>99940031</v>
      </c>
      <c r="H2886" s="4">
        <v>1</v>
      </c>
      <c r="I2886" s="4">
        <v>1</v>
      </c>
      <c r="J2886" s="4">
        <v>1</v>
      </c>
      <c r="K2886" s="4" t="s">
        <v>775</v>
      </c>
    </row>
    <row r="2887" spans="1:11" s="4" customFormat="1">
      <c r="A2887" s="4">
        <v>99940032</v>
      </c>
      <c r="B2887" s="4">
        <v>1</v>
      </c>
      <c r="C2887" s="4">
        <v>1</v>
      </c>
      <c r="D2887" s="4">
        <v>1</v>
      </c>
      <c r="E2887" s="4">
        <v>0</v>
      </c>
      <c r="F2887" s="4">
        <v>1</v>
      </c>
      <c r="G2887" s="4">
        <v>99940032</v>
      </c>
      <c r="H2887" s="4">
        <v>1</v>
      </c>
      <c r="I2887" s="4">
        <v>1</v>
      </c>
      <c r="J2887" s="4">
        <v>1</v>
      </c>
      <c r="K2887" s="4" t="s">
        <v>776</v>
      </c>
    </row>
    <row r="2888" spans="1:11" s="4" customFormat="1">
      <c r="A2888" s="4">
        <v>99950006</v>
      </c>
      <c r="B2888" s="4">
        <v>1</v>
      </c>
      <c r="C2888" s="4">
        <v>1</v>
      </c>
      <c r="D2888" s="4">
        <v>1</v>
      </c>
      <c r="E2888" s="4">
        <v>0</v>
      </c>
      <c r="F2888" s="4">
        <v>1</v>
      </c>
      <c r="G2888" s="4">
        <v>99950006</v>
      </c>
      <c r="H2888" s="4">
        <v>1</v>
      </c>
      <c r="I2888" s="4">
        <v>1</v>
      </c>
      <c r="J2888" s="4">
        <v>1</v>
      </c>
      <c r="K2888" s="4" t="s">
        <v>2951</v>
      </c>
    </row>
    <row r="2889" spans="1:11" s="4" customFormat="1">
      <c r="A2889" s="4">
        <v>99950007</v>
      </c>
      <c r="B2889" s="4">
        <v>1</v>
      </c>
      <c r="C2889" s="4">
        <v>1</v>
      </c>
      <c r="D2889" s="4">
        <v>1</v>
      </c>
      <c r="E2889" s="4">
        <v>0</v>
      </c>
      <c r="F2889" s="4">
        <v>1</v>
      </c>
      <c r="G2889" s="4">
        <v>99950007</v>
      </c>
      <c r="H2889" s="4">
        <v>1</v>
      </c>
      <c r="I2889" s="4">
        <v>1</v>
      </c>
      <c r="J2889" s="4">
        <v>1</v>
      </c>
      <c r="K2889" s="4" t="s">
        <v>2952</v>
      </c>
    </row>
    <row r="2890" spans="1:11" s="4" customFormat="1">
      <c r="A2890" s="4">
        <v>99990111</v>
      </c>
      <c r="B2890" s="4">
        <v>1</v>
      </c>
      <c r="C2890" s="4">
        <v>1</v>
      </c>
      <c r="D2890" s="4">
        <v>1</v>
      </c>
      <c r="E2890" s="4">
        <v>0</v>
      </c>
      <c r="F2890" s="4">
        <v>1</v>
      </c>
      <c r="G2890" s="4">
        <v>99990111</v>
      </c>
      <c r="H2890" s="4">
        <v>1</v>
      </c>
      <c r="I2890" s="4">
        <v>1</v>
      </c>
      <c r="J2890" s="4">
        <v>1</v>
      </c>
      <c r="K2890" s="4" t="s">
        <v>467</v>
      </c>
    </row>
    <row r="2891" spans="1:11" s="4" customFormat="1">
      <c r="A2891" s="4">
        <v>99990211</v>
      </c>
      <c r="B2891" s="4">
        <v>1</v>
      </c>
      <c r="C2891" s="4">
        <v>1</v>
      </c>
      <c r="D2891" s="4">
        <v>1</v>
      </c>
      <c r="E2891" s="4">
        <v>0</v>
      </c>
      <c r="F2891" s="4">
        <v>1</v>
      </c>
      <c r="G2891" s="4">
        <v>99990211</v>
      </c>
      <c r="H2891" s="4">
        <v>1</v>
      </c>
      <c r="I2891" s="4">
        <v>1</v>
      </c>
      <c r="J2891" s="4">
        <v>1</v>
      </c>
      <c r="K2891" s="4" t="s">
        <v>468</v>
      </c>
    </row>
    <row r="2892" spans="1:11" s="4" customFormat="1">
      <c r="A2892" s="4">
        <v>99990311</v>
      </c>
      <c r="B2892" s="4">
        <v>1</v>
      </c>
      <c r="C2892" s="4">
        <v>1</v>
      </c>
      <c r="D2892" s="4">
        <v>1</v>
      </c>
      <c r="E2892" s="4">
        <v>0</v>
      </c>
      <c r="F2892" s="4">
        <v>1</v>
      </c>
      <c r="G2892" s="4">
        <v>99990311</v>
      </c>
      <c r="H2892" s="4">
        <v>1</v>
      </c>
      <c r="I2892" s="4">
        <v>1</v>
      </c>
      <c r="J2892" s="4">
        <v>1</v>
      </c>
      <c r="K2892" s="4" t="s">
        <v>469</v>
      </c>
    </row>
    <row r="2893" spans="1:11" s="4" customFormat="1">
      <c r="A2893" s="4">
        <v>99990411</v>
      </c>
      <c r="B2893" s="4">
        <v>1</v>
      </c>
      <c r="C2893" s="4">
        <v>1</v>
      </c>
      <c r="D2893" s="4">
        <v>1</v>
      </c>
      <c r="E2893" s="4">
        <v>0</v>
      </c>
      <c r="F2893" s="4">
        <v>1</v>
      </c>
      <c r="G2893" s="4">
        <v>99990411</v>
      </c>
      <c r="H2893" s="4">
        <v>1</v>
      </c>
      <c r="I2893" s="4">
        <v>1</v>
      </c>
      <c r="J2893" s="4">
        <v>1</v>
      </c>
      <c r="K2893" s="4" t="s">
        <v>470</v>
      </c>
    </row>
    <row r="2894" spans="1:11" s="4" customFormat="1">
      <c r="A2894" s="4">
        <v>999905110</v>
      </c>
      <c r="B2894" s="4">
        <v>1</v>
      </c>
      <c r="C2894" s="4">
        <v>1</v>
      </c>
      <c r="D2894" s="4">
        <v>1</v>
      </c>
      <c r="E2894" s="4">
        <v>0</v>
      </c>
      <c r="F2894" s="4">
        <v>1</v>
      </c>
      <c r="G2894" s="4">
        <v>99990511</v>
      </c>
      <c r="H2894" s="4">
        <v>1</v>
      </c>
      <c r="I2894" s="4">
        <v>1</v>
      </c>
      <c r="J2894" s="4">
        <v>1</v>
      </c>
      <c r="K2894" s="4" t="s">
        <v>471</v>
      </c>
    </row>
    <row r="2895" spans="1:11" s="4" customFormat="1">
      <c r="A2895" s="4">
        <v>999905111</v>
      </c>
      <c r="B2895" s="4">
        <v>1</v>
      </c>
      <c r="C2895" s="4">
        <v>1</v>
      </c>
      <c r="D2895" s="4">
        <v>1</v>
      </c>
      <c r="E2895" s="4">
        <v>1</v>
      </c>
      <c r="F2895" s="4">
        <v>1</v>
      </c>
      <c r="G2895" s="4">
        <v>99990511</v>
      </c>
      <c r="H2895" s="4">
        <v>1</v>
      </c>
      <c r="I2895" s="4">
        <v>1</v>
      </c>
      <c r="J2895" s="4">
        <v>1</v>
      </c>
      <c r="K2895" s="4" t="s">
        <v>471</v>
      </c>
    </row>
    <row r="2896" spans="1:11" s="4" customFormat="1">
      <c r="A2896" s="4">
        <v>99990611</v>
      </c>
      <c r="B2896" s="4">
        <v>1</v>
      </c>
      <c r="C2896" s="4">
        <v>1</v>
      </c>
      <c r="D2896" s="4">
        <v>1</v>
      </c>
      <c r="E2896" s="4">
        <v>0</v>
      </c>
      <c r="F2896" s="4">
        <v>1</v>
      </c>
      <c r="G2896" s="4">
        <v>99990611</v>
      </c>
      <c r="H2896" s="4">
        <v>1</v>
      </c>
      <c r="I2896" s="4">
        <v>1</v>
      </c>
      <c r="J2896" s="4">
        <v>1</v>
      </c>
      <c r="K2896" s="4" t="s">
        <v>472</v>
      </c>
    </row>
    <row r="2897" spans="1:11" s="4" customFormat="1">
      <c r="A2897" s="4">
        <v>99990621</v>
      </c>
      <c r="B2897" s="4">
        <v>1</v>
      </c>
      <c r="C2897" s="4">
        <v>1</v>
      </c>
      <c r="D2897" s="4">
        <v>1</v>
      </c>
      <c r="E2897" s="4">
        <v>0</v>
      </c>
      <c r="F2897" s="4">
        <v>1</v>
      </c>
      <c r="G2897" s="4">
        <v>99990621</v>
      </c>
      <c r="H2897" s="4">
        <v>1</v>
      </c>
      <c r="I2897" s="4">
        <v>1</v>
      </c>
      <c r="J2897" s="4">
        <v>1</v>
      </c>
      <c r="K2897" s="4" t="s">
        <v>473</v>
      </c>
    </row>
    <row r="2898" spans="1:11" s="4" customFormat="1">
      <c r="A2898" s="4">
        <v>99990631</v>
      </c>
      <c r="B2898" s="4">
        <v>1</v>
      </c>
      <c r="C2898" s="4">
        <v>1</v>
      </c>
      <c r="D2898" s="4">
        <v>1</v>
      </c>
      <c r="E2898" s="4">
        <v>0</v>
      </c>
      <c r="F2898" s="4">
        <v>1</v>
      </c>
      <c r="G2898" s="4">
        <v>99990631</v>
      </c>
      <c r="H2898" s="4">
        <v>1</v>
      </c>
      <c r="I2898" s="4">
        <v>1</v>
      </c>
      <c r="J2898" s="4">
        <v>1</v>
      </c>
      <c r="K2898" s="4" t="s">
        <v>474</v>
      </c>
    </row>
    <row r="2899" spans="1:11">
      <c r="A2899" s="4">
        <v>99980113</v>
      </c>
      <c r="B2899">
        <v>1</v>
      </c>
      <c r="C2899">
        <v>1</v>
      </c>
      <c r="D2899" s="4">
        <v>1</v>
      </c>
      <c r="E2899" s="4">
        <v>0</v>
      </c>
      <c r="F2899" s="4">
        <v>1</v>
      </c>
      <c r="G2899">
        <v>99980113</v>
      </c>
      <c r="H2899">
        <v>1</v>
      </c>
      <c r="I2899">
        <v>1</v>
      </c>
      <c r="J2899">
        <v>1</v>
      </c>
      <c r="K2899" t="s">
        <v>475</v>
      </c>
    </row>
    <row r="2900" spans="1:11">
      <c r="A2900" s="4">
        <v>99990113</v>
      </c>
      <c r="B2900">
        <v>1</v>
      </c>
      <c r="C2900">
        <v>1</v>
      </c>
      <c r="D2900" s="4">
        <v>1</v>
      </c>
      <c r="E2900" s="4">
        <v>0</v>
      </c>
      <c r="F2900" s="4">
        <v>1</v>
      </c>
      <c r="G2900">
        <v>99990113</v>
      </c>
      <c r="H2900">
        <v>1</v>
      </c>
      <c r="I2900">
        <v>1</v>
      </c>
      <c r="J2900">
        <v>1</v>
      </c>
      <c r="K2900" t="s">
        <v>476</v>
      </c>
    </row>
    <row r="2901" spans="1:11">
      <c r="A2901" s="4">
        <v>99980213</v>
      </c>
      <c r="B2901">
        <v>1</v>
      </c>
      <c r="C2901">
        <v>1</v>
      </c>
      <c r="D2901" s="4">
        <v>1</v>
      </c>
      <c r="E2901" s="4">
        <v>0</v>
      </c>
      <c r="F2901" s="4">
        <v>1</v>
      </c>
      <c r="G2901">
        <v>99980213</v>
      </c>
      <c r="H2901">
        <v>1</v>
      </c>
      <c r="I2901">
        <v>1</v>
      </c>
      <c r="J2901">
        <v>1</v>
      </c>
      <c r="K2901" t="s">
        <v>392</v>
      </c>
    </row>
    <row r="2902" spans="1:11" s="4" customFormat="1">
      <c r="A2902" s="4">
        <v>99990213</v>
      </c>
      <c r="B2902" s="4">
        <v>1</v>
      </c>
      <c r="C2902" s="4">
        <v>1</v>
      </c>
      <c r="D2902" s="4">
        <v>1</v>
      </c>
      <c r="E2902" s="4">
        <v>0</v>
      </c>
      <c r="F2902" s="4">
        <v>1</v>
      </c>
      <c r="G2902" s="4">
        <v>99990213</v>
      </c>
      <c r="H2902" s="4">
        <v>1</v>
      </c>
      <c r="I2902" s="4">
        <v>1</v>
      </c>
      <c r="J2902" s="4">
        <v>1</v>
      </c>
      <c r="K2902" s="4" t="s">
        <v>392</v>
      </c>
    </row>
    <row r="2903" spans="1:11">
      <c r="A2903" s="4">
        <v>99980313</v>
      </c>
      <c r="B2903">
        <v>1</v>
      </c>
      <c r="C2903">
        <v>1</v>
      </c>
      <c r="D2903" s="4">
        <v>1</v>
      </c>
      <c r="E2903" s="4">
        <v>0</v>
      </c>
      <c r="F2903" s="4">
        <v>1</v>
      </c>
      <c r="G2903">
        <v>99980313</v>
      </c>
      <c r="H2903">
        <v>1</v>
      </c>
      <c r="I2903">
        <v>1</v>
      </c>
      <c r="J2903">
        <v>1</v>
      </c>
      <c r="K2903" t="s">
        <v>393</v>
      </c>
    </row>
    <row r="2904" spans="1:11" s="4" customFormat="1">
      <c r="A2904" s="4">
        <v>99990313</v>
      </c>
      <c r="B2904" s="4">
        <v>1</v>
      </c>
      <c r="C2904" s="4">
        <v>1</v>
      </c>
      <c r="D2904" s="4">
        <v>1</v>
      </c>
      <c r="E2904" s="4">
        <v>0</v>
      </c>
      <c r="F2904" s="4">
        <v>1</v>
      </c>
      <c r="G2904" s="4">
        <v>99990313</v>
      </c>
      <c r="H2904" s="4">
        <v>1</v>
      </c>
      <c r="I2904" s="4">
        <v>1</v>
      </c>
      <c r="J2904" s="4">
        <v>1</v>
      </c>
      <c r="K2904" s="4" t="s">
        <v>393</v>
      </c>
    </row>
    <row r="2905" spans="1:11">
      <c r="A2905" s="4">
        <v>99980413</v>
      </c>
      <c r="B2905">
        <v>1</v>
      </c>
      <c r="C2905">
        <v>1</v>
      </c>
      <c r="D2905" s="4">
        <v>1</v>
      </c>
      <c r="E2905" s="4">
        <v>0</v>
      </c>
      <c r="F2905" s="4">
        <v>1</v>
      </c>
      <c r="G2905">
        <v>99980413</v>
      </c>
      <c r="H2905">
        <v>1</v>
      </c>
      <c r="I2905">
        <v>1</v>
      </c>
      <c r="J2905">
        <v>1</v>
      </c>
      <c r="K2905" t="s">
        <v>394</v>
      </c>
    </row>
    <row r="2906" spans="1:11" s="4" customFormat="1">
      <c r="A2906" s="4">
        <v>99980423</v>
      </c>
      <c r="B2906" s="4">
        <v>1</v>
      </c>
      <c r="C2906" s="4">
        <v>1</v>
      </c>
      <c r="D2906" s="4">
        <v>1</v>
      </c>
      <c r="E2906" s="4">
        <v>0</v>
      </c>
      <c r="F2906" s="4">
        <v>1</v>
      </c>
      <c r="G2906" s="4">
        <v>99980423</v>
      </c>
      <c r="H2906" s="4">
        <v>1</v>
      </c>
      <c r="I2906" s="4">
        <v>1</v>
      </c>
      <c r="J2906" s="4">
        <v>1</v>
      </c>
      <c r="K2906" s="4" t="s">
        <v>477</v>
      </c>
    </row>
    <row r="2907" spans="1:11" s="4" customFormat="1">
      <c r="A2907" s="4">
        <v>99980433</v>
      </c>
      <c r="B2907" s="4">
        <v>1</v>
      </c>
      <c r="C2907" s="4">
        <v>1</v>
      </c>
      <c r="D2907" s="4">
        <v>1</v>
      </c>
      <c r="E2907" s="4">
        <v>0</v>
      </c>
      <c r="F2907" s="4">
        <v>1</v>
      </c>
      <c r="G2907" s="4">
        <v>99980433</v>
      </c>
      <c r="H2907" s="4">
        <v>1</v>
      </c>
      <c r="I2907" s="4">
        <v>1</v>
      </c>
      <c r="J2907" s="4">
        <v>1</v>
      </c>
      <c r="K2907" s="4" t="s">
        <v>478</v>
      </c>
    </row>
    <row r="2908" spans="1:11" s="4" customFormat="1">
      <c r="A2908" s="4">
        <v>99990413</v>
      </c>
      <c r="B2908" s="4">
        <v>1</v>
      </c>
      <c r="C2908" s="4">
        <v>1</v>
      </c>
      <c r="D2908" s="4">
        <v>1</v>
      </c>
      <c r="E2908" s="4">
        <v>0</v>
      </c>
      <c r="F2908" s="4">
        <v>1</v>
      </c>
      <c r="G2908" s="4">
        <v>99990413</v>
      </c>
      <c r="H2908" s="4">
        <v>1</v>
      </c>
      <c r="I2908" s="4">
        <v>1</v>
      </c>
      <c r="J2908" s="4">
        <v>1</v>
      </c>
      <c r="K2908" s="4" t="s">
        <v>394</v>
      </c>
    </row>
    <row r="2909" spans="1:11" s="4" customFormat="1">
      <c r="A2909" s="4">
        <v>99990423</v>
      </c>
      <c r="B2909" s="4">
        <v>1</v>
      </c>
      <c r="C2909" s="4">
        <v>1</v>
      </c>
      <c r="D2909" s="4">
        <v>1</v>
      </c>
      <c r="E2909" s="4">
        <v>0</v>
      </c>
      <c r="F2909" s="4">
        <v>1</v>
      </c>
      <c r="G2909" s="4">
        <v>99990423</v>
      </c>
      <c r="H2909" s="4">
        <v>1</v>
      </c>
      <c r="I2909" s="4">
        <v>1</v>
      </c>
      <c r="J2909" s="4">
        <v>1</v>
      </c>
      <c r="K2909" s="4" t="s">
        <v>477</v>
      </c>
    </row>
    <row r="2910" spans="1:11" s="4" customFormat="1">
      <c r="A2910" s="4">
        <v>99990433</v>
      </c>
      <c r="B2910" s="4">
        <v>1</v>
      </c>
      <c r="C2910" s="4">
        <v>1</v>
      </c>
      <c r="D2910" s="4">
        <v>1</v>
      </c>
      <c r="E2910" s="4">
        <v>0</v>
      </c>
      <c r="F2910" s="4">
        <v>1</v>
      </c>
      <c r="G2910" s="4">
        <v>99990433</v>
      </c>
      <c r="H2910" s="4">
        <v>1</v>
      </c>
      <c r="I2910" s="4">
        <v>1</v>
      </c>
      <c r="J2910" s="4">
        <v>1</v>
      </c>
      <c r="K2910" s="4" t="s">
        <v>478</v>
      </c>
    </row>
    <row r="2911" spans="1:11" s="4" customFormat="1">
      <c r="A2911" s="4">
        <v>999805130</v>
      </c>
      <c r="B2911" s="4">
        <v>1</v>
      </c>
      <c r="C2911" s="4">
        <v>1</v>
      </c>
      <c r="D2911" s="4">
        <v>1</v>
      </c>
      <c r="E2911" s="4">
        <v>0</v>
      </c>
      <c r="F2911" s="4">
        <v>1</v>
      </c>
      <c r="G2911" s="4">
        <v>99980513</v>
      </c>
      <c r="H2911" s="4">
        <v>1</v>
      </c>
      <c r="I2911" s="4">
        <v>1</v>
      </c>
      <c r="J2911" s="4">
        <v>1</v>
      </c>
      <c r="K2911" s="4" t="s">
        <v>395</v>
      </c>
    </row>
    <row r="2912" spans="1:11" s="4" customFormat="1">
      <c r="A2912" s="4">
        <v>999805131</v>
      </c>
      <c r="B2912" s="4">
        <v>1</v>
      </c>
      <c r="C2912" s="4">
        <v>1</v>
      </c>
      <c r="D2912" s="4">
        <v>1</v>
      </c>
      <c r="E2912" s="4">
        <v>1</v>
      </c>
      <c r="F2912" s="4">
        <v>1</v>
      </c>
      <c r="G2912" s="4">
        <v>99980513</v>
      </c>
      <c r="H2912" s="4">
        <v>1</v>
      </c>
      <c r="I2912" s="4">
        <v>1</v>
      </c>
      <c r="J2912" s="4">
        <v>1</v>
      </c>
      <c r="K2912" s="4" t="s">
        <v>395</v>
      </c>
    </row>
    <row r="2913" spans="1:11" s="4" customFormat="1">
      <c r="A2913" s="4">
        <v>999805230</v>
      </c>
      <c r="B2913" s="4">
        <v>1</v>
      </c>
      <c r="C2913" s="4">
        <v>1</v>
      </c>
      <c r="D2913" s="4">
        <v>1</v>
      </c>
      <c r="E2913" s="4">
        <v>0</v>
      </c>
      <c r="F2913" s="4">
        <v>1</v>
      </c>
      <c r="G2913" s="4">
        <v>99980523</v>
      </c>
      <c r="H2913" s="4">
        <v>1</v>
      </c>
      <c r="I2913" s="4">
        <v>1</v>
      </c>
      <c r="J2913" s="4">
        <v>1</v>
      </c>
      <c r="K2913" s="4" t="s">
        <v>479</v>
      </c>
    </row>
    <row r="2914" spans="1:11" s="4" customFormat="1">
      <c r="A2914" s="4">
        <v>999805231</v>
      </c>
      <c r="B2914" s="4">
        <v>1</v>
      </c>
      <c r="C2914" s="4">
        <v>1</v>
      </c>
      <c r="D2914" s="4">
        <v>1</v>
      </c>
      <c r="E2914" s="4">
        <v>1</v>
      </c>
      <c r="F2914" s="4">
        <v>1</v>
      </c>
      <c r="G2914" s="4">
        <v>99980523</v>
      </c>
      <c r="H2914" s="4">
        <v>1</v>
      </c>
      <c r="I2914" s="4">
        <v>1</v>
      </c>
      <c r="J2914" s="4">
        <v>1</v>
      </c>
      <c r="K2914" s="4" t="s">
        <v>479</v>
      </c>
    </row>
    <row r="2915" spans="1:11" s="4" customFormat="1">
      <c r="A2915" s="4">
        <v>999805330</v>
      </c>
      <c r="B2915" s="4">
        <v>1</v>
      </c>
      <c r="C2915" s="4">
        <v>1</v>
      </c>
      <c r="D2915" s="4">
        <v>1</v>
      </c>
      <c r="E2915" s="4">
        <v>0</v>
      </c>
      <c r="F2915" s="4">
        <v>1</v>
      </c>
      <c r="G2915" s="4">
        <v>99980533</v>
      </c>
      <c r="H2915" s="4">
        <v>1</v>
      </c>
      <c r="I2915" s="4">
        <v>1</v>
      </c>
      <c r="J2915" s="4">
        <v>1</v>
      </c>
      <c r="K2915" s="4" t="s">
        <v>480</v>
      </c>
    </row>
    <row r="2916" spans="1:11" s="4" customFormat="1">
      <c r="A2916" s="4">
        <v>999805331</v>
      </c>
      <c r="B2916" s="4">
        <v>1</v>
      </c>
      <c r="C2916" s="4">
        <v>1</v>
      </c>
      <c r="D2916" s="4">
        <v>1</v>
      </c>
      <c r="E2916" s="4">
        <v>1</v>
      </c>
      <c r="F2916" s="4">
        <v>1</v>
      </c>
      <c r="G2916" s="4">
        <v>99980533</v>
      </c>
      <c r="H2916" s="4">
        <v>1</v>
      </c>
      <c r="I2916" s="4">
        <v>1</v>
      </c>
      <c r="J2916" s="4">
        <v>1</v>
      </c>
      <c r="K2916" s="4" t="s">
        <v>480</v>
      </c>
    </row>
    <row r="2917" spans="1:11" s="4" customFormat="1">
      <c r="A2917" s="4">
        <v>999905130</v>
      </c>
      <c r="B2917" s="4">
        <v>1</v>
      </c>
      <c r="C2917" s="4">
        <v>1</v>
      </c>
      <c r="D2917" s="4">
        <v>1</v>
      </c>
      <c r="E2917" s="4">
        <v>0</v>
      </c>
      <c r="F2917" s="4">
        <v>1</v>
      </c>
      <c r="G2917" s="4">
        <v>99990513</v>
      </c>
      <c r="H2917" s="4">
        <v>1</v>
      </c>
      <c r="I2917" s="4">
        <v>1</v>
      </c>
      <c r="J2917" s="4">
        <v>1</v>
      </c>
      <c r="K2917" s="4" t="s">
        <v>395</v>
      </c>
    </row>
    <row r="2918" spans="1:11" s="4" customFormat="1">
      <c r="A2918" s="4">
        <v>999905131</v>
      </c>
      <c r="B2918" s="4">
        <v>1</v>
      </c>
      <c r="C2918" s="4">
        <v>1</v>
      </c>
      <c r="D2918" s="4">
        <v>1</v>
      </c>
      <c r="E2918" s="4">
        <v>1</v>
      </c>
      <c r="F2918" s="4">
        <v>1</v>
      </c>
      <c r="G2918" s="4">
        <v>99990513</v>
      </c>
      <c r="H2918" s="4">
        <v>1</v>
      </c>
      <c r="I2918" s="4">
        <v>1</v>
      </c>
      <c r="J2918" s="4">
        <v>1</v>
      </c>
      <c r="K2918" s="4" t="s">
        <v>395</v>
      </c>
    </row>
    <row r="2919" spans="1:11" s="4" customFormat="1">
      <c r="A2919" s="4">
        <v>999905230</v>
      </c>
      <c r="B2919" s="4">
        <v>1</v>
      </c>
      <c r="C2919" s="4">
        <v>1</v>
      </c>
      <c r="D2919" s="4">
        <v>1</v>
      </c>
      <c r="E2919" s="4">
        <v>0</v>
      </c>
      <c r="F2919" s="4">
        <v>1</v>
      </c>
      <c r="G2919" s="4">
        <v>99990523</v>
      </c>
      <c r="H2919" s="4">
        <v>1</v>
      </c>
      <c r="I2919" s="4">
        <v>1</v>
      </c>
      <c r="J2919" s="4">
        <v>1</v>
      </c>
      <c r="K2919" s="4" t="s">
        <v>479</v>
      </c>
    </row>
    <row r="2920" spans="1:11" s="4" customFormat="1">
      <c r="A2920" s="4">
        <v>999905231</v>
      </c>
      <c r="B2920" s="4">
        <v>1</v>
      </c>
      <c r="C2920" s="4">
        <v>1</v>
      </c>
      <c r="D2920" s="4">
        <v>1</v>
      </c>
      <c r="E2920" s="4">
        <v>1</v>
      </c>
      <c r="F2920" s="4">
        <v>1</v>
      </c>
      <c r="G2920" s="4">
        <v>99990523</v>
      </c>
      <c r="H2920" s="4">
        <v>1</v>
      </c>
      <c r="I2920" s="4">
        <v>1</v>
      </c>
      <c r="J2920" s="4">
        <v>1</v>
      </c>
      <c r="K2920" s="4" t="s">
        <v>479</v>
      </c>
    </row>
    <row r="2921" spans="1:11" s="4" customFormat="1">
      <c r="A2921" s="4">
        <v>999905330</v>
      </c>
      <c r="B2921" s="4">
        <v>1</v>
      </c>
      <c r="C2921" s="4">
        <v>1</v>
      </c>
      <c r="D2921" s="4">
        <v>1</v>
      </c>
      <c r="E2921" s="4">
        <v>0</v>
      </c>
      <c r="F2921" s="4">
        <v>1</v>
      </c>
      <c r="G2921" s="4">
        <v>99990533</v>
      </c>
      <c r="H2921" s="4">
        <v>1</v>
      </c>
      <c r="I2921" s="4">
        <v>1</v>
      </c>
      <c r="J2921" s="4">
        <v>1</v>
      </c>
      <c r="K2921" s="4" t="s">
        <v>480</v>
      </c>
    </row>
    <row r="2922" spans="1:11" s="4" customFormat="1">
      <c r="A2922" s="4">
        <v>999905331</v>
      </c>
      <c r="B2922" s="4">
        <v>1</v>
      </c>
      <c r="C2922" s="4">
        <v>1</v>
      </c>
      <c r="D2922" s="4">
        <v>1</v>
      </c>
      <c r="E2922" s="4">
        <v>1</v>
      </c>
      <c r="F2922" s="4">
        <v>1</v>
      </c>
      <c r="G2922" s="4">
        <v>99990533</v>
      </c>
      <c r="H2922" s="4">
        <v>1</v>
      </c>
      <c r="I2922" s="4">
        <v>1</v>
      </c>
      <c r="J2922" s="4">
        <v>1</v>
      </c>
      <c r="K2922" s="4" t="s">
        <v>480</v>
      </c>
    </row>
    <row r="2923" spans="1:11">
      <c r="A2923" s="4">
        <v>99980613</v>
      </c>
      <c r="B2923" s="4">
        <v>1</v>
      </c>
      <c r="C2923" s="4">
        <v>1</v>
      </c>
      <c r="D2923" s="4">
        <v>1</v>
      </c>
      <c r="E2923" s="4">
        <v>0</v>
      </c>
      <c r="F2923" s="4">
        <v>1</v>
      </c>
      <c r="G2923" s="4">
        <v>99980613</v>
      </c>
      <c r="H2923" s="4">
        <v>1</v>
      </c>
      <c r="I2923" s="4">
        <v>1</v>
      </c>
      <c r="J2923" s="4">
        <v>1</v>
      </c>
      <c r="K2923" s="4" t="s">
        <v>508</v>
      </c>
    </row>
    <row r="2924" spans="1:11">
      <c r="A2924" s="4">
        <v>99980623</v>
      </c>
      <c r="B2924" s="4">
        <v>1</v>
      </c>
      <c r="C2924" s="4">
        <v>1</v>
      </c>
      <c r="D2924" s="4">
        <v>1</v>
      </c>
      <c r="E2924" s="4">
        <v>0</v>
      </c>
      <c r="F2924" s="4">
        <v>1</v>
      </c>
      <c r="G2924" s="4">
        <v>99980623</v>
      </c>
      <c r="H2924" s="4">
        <v>1</v>
      </c>
      <c r="I2924" s="4">
        <v>1</v>
      </c>
      <c r="J2924" s="4">
        <v>1</v>
      </c>
      <c r="K2924" s="4" t="s">
        <v>509</v>
      </c>
    </row>
    <row r="2925" spans="1:11">
      <c r="A2925" s="4">
        <v>99980633</v>
      </c>
      <c r="B2925" s="4">
        <v>1</v>
      </c>
      <c r="C2925" s="4">
        <v>1</v>
      </c>
      <c r="D2925" s="4">
        <v>1</v>
      </c>
      <c r="E2925" s="4">
        <v>0</v>
      </c>
      <c r="F2925" s="4">
        <v>1</v>
      </c>
      <c r="G2925" s="4">
        <v>99980633</v>
      </c>
      <c r="H2925" s="4">
        <v>1</v>
      </c>
      <c r="I2925" s="4">
        <v>1</v>
      </c>
      <c r="J2925" s="4">
        <v>1</v>
      </c>
      <c r="K2925" s="4" t="s">
        <v>510</v>
      </c>
    </row>
    <row r="2926" spans="1:11">
      <c r="A2926" s="4">
        <v>99990613</v>
      </c>
      <c r="B2926" s="4">
        <v>1</v>
      </c>
      <c r="C2926" s="4">
        <v>1</v>
      </c>
      <c r="D2926" s="4">
        <v>1</v>
      </c>
      <c r="E2926" s="4">
        <v>0</v>
      </c>
      <c r="F2926" s="4">
        <v>1</v>
      </c>
      <c r="G2926" s="4">
        <v>99990613</v>
      </c>
      <c r="H2926" s="4">
        <v>1</v>
      </c>
      <c r="I2926" s="4">
        <v>1</v>
      </c>
      <c r="J2926" s="4">
        <v>1</v>
      </c>
      <c r="K2926" s="4" t="s">
        <v>481</v>
      </c>
    </row>
    <row r="2927" spans="1:11">
      <c r="A2927" s="4">
        <v>99990623</v>
      </c>
      <c r="B2927" s="4">
        <v>1</v>
      </c>
      <c r="C2927" s="4">
        <v>1</v>
      </c>
      <c r="D2927" s="4">
        <v>1</v>
      </c>
      <c r="E2927" s="4">
        <v>0</v>
      </c>
      <c r="F2927" s="4">
        <v>1</v>
      </c>
      <c r="G2927" s="4">
        <v>99990623</v>
      </c>
      <c r="H2927" s="4">
        <v>1</v>
      </c>
      <c r="I2927" s="4">
        <v>1</v>
      </c>
      <c r="J2927" s="4">
        <v>1</v>
      </c>
      <c r="K2927" s="4" t="s">
        <v>482</v>
      </c>
    </row>
    <row r="2928" spans="1:11">
      <c r="A2928" s="4">
        <v>99990633</v>
      </c>
      <c r="B2928" s="4">
        <v>1</v>
      </c>
      <c r="C2928" s="4">
        <v>1</v>
      </c>
      <c r="D2928" s="4">
        <v>1</v>
      </c>
      <c r="E2928" s="4">
        <v>0</v>
      </c>
      <c r="F2928" s="4">
        <v>1</v>
      </c>
      <c r="G2928" s="4">
        <v>99990633</v>
      </c>
      <c r="H2928" s="4">
        <v>1</v>
      </c>
      <c r="I2928" s="4">
        <v>1</v>
      </c>
      <c r="J2928" s="4">
        <v>1</v>
      </c>
      <c r="K2928" s="4" t="s">
        <v>483</v>
      </c>
    </row>
    <row r="2929" spans="1:11" s="4" customFormat="1">
      <c r="A2929" s="4">
        <v>99990315</v>
      </c>
      <c r="B2929" s="4">
        <v>1</v>
      </c>
      <c r="C2929" s="4">
        <v>1</v>
      </c>
      <c r="D2929" s="4">
        <v>1</v>
      </c>
      <c r="E2929" s="4">
        <v>0</v>
      </c>
      <c r="F2929" s="4">
        <v>1</v>
      </c>
      <c r="G2929" s="4">
        <v>99990315</v>
      </c>
      <c r="H2929" s="4">
        <v>1</v>
      </c>
      <c r="I2929" s="4">
        <v>1</v>
      </c>
      <c r="J2929" s="4">
        <v>1</v>
      </c>
      <c r="K2929" s="4" t="s">
        <v>500</v>
      </c>
    </row>
    <row r="2930" spans="1:11" s="4" customFormat="1">
      <c r="A2930" s="4">
        <v>99990415</v>
      </c>
      <c r="B2930" s="4">
        <v>1</v>
      </c>
      <c r="C2930" s="4">
        <v>1</v>
      </c>
      <c r="D2930" s="4">
        <v>1</v>
      </c>
      <c r="E2930" s="4">
        <v>0</v>
      </c>
      <c r="F2930" s="4">
        <v>1</v>
      </c>
      <c r="G2930" s="4">
        <v>99990415</v>
      </c>
      <c r="H2930" s="4">
        <v>1</v>
      </c>
      <c r="I2930" s="4">
        <v>1</v>
      </c>
      <c r="J2930" s="4">
        <v>1</v>
      </c>
      <c r="K2930" s="4" t="s">
        <v>501</v>
      </c>
    </row>
    <row r="2931" spans="1:11" s="4" customFormat="1">
      <c r="A2931" s="4">
        <v>99990515</v>
      </c>
      <c r="B2931" s="4">
        <v>1</v>
      </c>
      <c r="C2931" s="4">
        <v>1</v>
      </c>
      <c r="D2931" s="4">
        <v>1</v>
      </c>
      <c r="E2931" s="4">
        <v>0</v>
      </c>
      <c r="F2931" s="4">
        <v>1</v>
      </c>
      <c r="G2931" s="4">
        <v>99990515</v>
      </c>
      <c r="H2931" s="4">
        <v>1</v>
      </c>
      <c r="I2931" s="4">
        <v>1</v>
      </c>
      <c r="J2931" s="4">
        <v>1</v>
      </c>
      <c r="K2931" s="4" t="s">
        <v>502</v>
      </c>
    </row>
    <row r="2932" spans="1:11" s="4" customFormat="1">
      <c r="A2932" s="4">
        <v>99990615</v>
      </c>
      <c r="B2932" s="4">
        <v>1</v>
      </c>
      <c r="C2932" s="4">
        <v>1</v>
      </c>
      <c r="D2932" s="4">
        <v>1</v>
      </c>
      <c r="E2932" s="4">
        <v>0</v>
      </c>
      <c r="F2932" s="4">
        <v>1</v>
      </c>
      <c r="G2932" s="4">
        <v>99990615</v>
      </c>
      <c r="H2932" s="4">
        <v>1</v>
      </c>
      <c r="I2932" s="4">
        <v>1</v>
      </c>
      <c r="J2932" s="4">
        <v>1</v>
      </c>
      <c r="K2932" s="4" t="s">
        <v>503</v>
      </c>
    </row>
    <row r="2933" spans="1:11" s="4" customFormat="1">
      <c r="A2933" s="4">
        <v>99990317</v>
      </c>
      <c r="B2933" s="4">
        <v>1</v>
      </c>
      <c r="C2933" s="4">
        <v>1</v>
      </c>
      <c r="D2933" s="4">
        <v>1</v>
      </c>
      <c r="E2933" s="4">
        <v>0</v>
      </c>
      <c r="F2933" s="4">
        <v>1</v>
      </c>
      <c r="G2933" s="4">
        <v>99990317</v>
      </c>
      <c r="H2933" s="4">
        <v>1</v>
      </c>
      <c r="I2933" s="4">
        <v>1</v>
      </c>
      <c r="J2933" s="4">
        <v>1</v>
      </c>
      <c r="K2933" s="4" t="s">
        <v>504</v>
      </c>
    </row>
    <row r="2934" spans="1:11" s="4" customFormat="1">
      <c r="A2934" s="4">
        <v>99990417</v>
      </c>
      <c r="B2934" s="4">
        <v>1</v>
      </c>
      <c r="C2934" s="4">
        <v>1</v>
      </c>
      <c r="D2934" s="4">
        <v>1</v>
      </c>
      <c r="E2934" s="4">
        <v>0</v>
      </c>
      <c r="F2934" s="4">
        <v>1</v>
      </c>
      <c r="G2934" s="4">
        <v>99990417</v>
      </c>
      <c r="H2934" s="4">
        <v>1</v>
      </c>
      <c r="I2934" s="4">
        <v>1</v>
      </c>
      <c r="J2934" s="4">
        <v>1</v>
      </c>
      <c r="K2934" s="4" t="s">
        <v>505</v>
      </c>
    </row>
    <row r="2935" spans="1:11" s="4" customFormat="1">
      <c r="A2935" s="4">
        <v>99990517</v>
      </c>
      <c r="B2935" s="4">
        <v>1</v>
      </c>
      <c r="C2935" s="4">
        <v>1</v>
      </c>
      <c r="D2935" s="4">
        <v>1</v>
      </c>
      <c r="E2935" s="4">
        <v>0</v>
      </c>
      <c r="F2935" s="4">
        <v>1</v>
      </c>
      <c r="G2935" s="4">
        <v>99990517</v>
      </c>
      <c r="H2935" s="4">
        <v>1</v>
      </c>
      <c r="I2935" s="4">
        <v>1</v>
      </c>
      <c r="J2935" s="4">
        <v>1</v>
      </c>
      <c r="K2935" s="4" t="s">
        <v>506</v>
      </c>
    </row>
    <row r="2936" spans="1:11" s="4" customFormat="1">
      <c r="A2936" s="4">
        <v>99990617</v>
      </c>
      <c r="B2936" s="4">
        <v>1</v>
      </c>
      <c r="C2936" s="4">
        <v>1</v>
      </c>
      <c r="D2936" s="4">
        <v>1</v>
      </c>
      <c r="E2936" s="4">
        <v>0</v>
      </c>
      <c r="F2936" s="4">
        <v>1</v>
      </c>
      <c r="G2936" s="4">
        <v>99990617</v>
      </c>
      <c r="H2936" s="4">
        <v>1</v>
      </c>
      <c r="I2936" s="4">
        <v>1</v>
      </c>
      <c r="J2936" s="4">
        <v>1</v>
      </c>
      <c r="K2936" s="4" t="s">
        <v>507</v>
      </c>
    </row>
    <row r="2937" spans="1:11" s="4" customFormat="1">
      <c r="A2937" s="4">
        <v>99980713</v>
      </c>
      <c r="B2937" s="4">
        <v>1</v>
      </c>
      <c r="C2937" s="4">
        <v>1</v>
      </c>
      <c r="D2937" s="4">
        <v>1</v>
      </c>
      <c r="E2937" s="4">
        <v>0</v>
      </c>
      <c r="F2937" s="4">
        <v>1</v>
      </c>
      <c r="G2937" s="4">
        <v>99980713</v>
      </c>
      <c r="H2937" s="4">
        <v>1</v>
      </c>
      <c r="I2937" s="4">
        <v>1</v>
      </c>
      <c r="J2937" s="4">
        <v>1</v>
      </c>
      <c r="K2937" s="4" t="s">
        <v>777</v>
      </c>
    </row>
    <row r="2938" spans="1:11" s="4" customFormat="1">
      <c r="A2938" s="4">
        <v>99990713</v>
      </c>
      <c r="B2938" s="4">
        <v>1</v>
      </c>
      <c r="C2938" s="4">
        <v>1</v>
      </c>
      <c r="D2938" s="4">
        <v>1</v>
      </c>
      <c r="E2938" s="4">
        <v>0</v>
      </c>
      <c r="F2938" s="4">
        <v>1</v>
      </c>
      <c r="G2938" s="4">
        <v>99990713</v>
      </c>
      <c r="H2938" s="4">
        <v>1</v>
      </c>
      <c r="I2938" s="4">
        <v>1</v>
      </c>
      <c r="J2938" s="4">
        <v>1</v>
      </c>
      <c r="K2938" s="4" t="s">
        <v>778</v>
      </c>
    </row>
    <row r="2939" spans="1:11" s="4" customFormat="1">
      <c r="A2939" s="4">
        <v>99980723</v>
      </c>
      <c r="B2939" s="4">
        <v>1</v>
      </c>
      <c r="C2939" s="4">
        <v>1</v>
      </c>
      <c r="D2939" s="4">
        <v>1</v>
      </c>
      <c r="E2939" s="4">
        <v>0</v>
      </c>
      <c r="F2939" s="4">
        <v>1</v>
      </c>
      <c r="G2939" s="4">
        <v>99980723</v>
      </c>
      <c r="H2939" s="4">
        <v>1</v>
      </c>
      <c r="I2939" s="4">
        <v>1</v>
      </c>
      <c r="J2939" s="4">
        <v>1</v>
      </c>
      <c r="K2939" s="4" t="s">
        <v>779</v>
      </c>
    </row>
    <row r="2940" spans="1:11" s="4" customFormat="1">
      <c r="A2940" s="4">
        <v>99990723</v>
      </c>
      <c r="B2940" s="4">
        <v>1</v>
      </c>
      <c r="C2940" s="4">
        <v>1</v>
      </c>
      <c r="D2940" s="4">
        <v>1</v>
      </c>
      <c r="E2940" s="4">
        <v>0</v>
      </c>
      <c r="F2940" s="4">
        <v>1</v>
      </c>
      <c r="G2940" s="4">
        <v>99990723</v>
      </c>
      <c r="H2940" s="4">
        <v>1</v>
      </c>
      <c r="I2940" s="4">
        <v>1</v>
      </c>
      <c r="J2940" s="4">
        <v>1</v>
      </c>
      <c r="K2940" s="4" t="s">
        <v>780</v>
      </c>
    </row>
    <row r="2941" spans="1:11" s="4" customFormat="1">
      <c r="A2941" s="4">
        <v>99980733</v>
      </c>
      <c r="B2941" s="4">
        <v>1</v>
      </c>
      <c r="C2941" s="4">
        <v>1</v>
      </c>
      <c r="D2941" s="4">
        <v>1</v>
      </c>
      <c r="E2941" s="4">
        <v>0</v>
      </c>
      <c r="F2941" s="4">
        <v>1</v>
      </c>
      <c r="G2941" s="4">
        <v>99980733</v>
      </c>
      <c r="H2941" s="4">
        <v>1</v>
      </c>
      <c r="I2941" s="4">
        <v>1</v>
      </c>
      <c r="J2941" s="4">
        <v>1</v>
      </c>
      <c r="K2941" s="4" t="s">
        <v>781</v>
      </c>
    </row>
    <row r="2942" spans="1:11" s="4" customFormat="1">
      <c r="A2942" s="4">
        <v>99990733</v>
      </c>
      <c r="B2942" s="4">
        <v>1</v>
      </c>
      <c r="C2942" s="4">
        <v>1</v>
      </c>
      <c r="D2942" s="4">
        <v>1</v>
      </c>
      <c r="E2942" s="4">
        <v>0</v>
      </c>
      <c r="F2942" s="4">
        <v>1</v>
      </c>
      <c r="G2942" s="4">
        <v>99990733</v>
      </c>
      <c r="H2942" s="4">
        <v>1</v>
      </c>
      <c r="I2942" s="4">
        <v>1</v>
      </c>
      <c r="J2942" s="4">
        <v>1</v>
      </c>
      <c r="K2942" s="4" t="s">
        <v>782</v>
      </c>
    </row>
    <row r="2943" spans="1:11" s="4" customFormat="1">
      <c r="A2943" s="4">
        <v>99990715</v>
      </c>
      <c r="B2943" s="4">
        <v>1</v>
      </c>
      <c r="C2943" s="4">
        <v>1</v>
      </c>
      <c r="D2943" s="4">
        <v>1</v>
      </c>
      <c r="E2943" s="4">
        <v>0</v>
      </c>
      <c r="F2943" s="4">
        <v>1</v>
      </c>
      <c r="G2943" s="4">
        <v>99990715</v>
      </c>
      <c r="H2943" s="4">
        <v>1</v>
      </c>
      <c r="I2943" s="4">
        <v>1</v>
      </c>
      <c r="J2943" s="4">
        <v>1</v>
      </c>
      <c r="K2943" s="4" t="s">
        <v>783</v>
      </c>
    </row>
    <row r="2944" spans="1:11" s="4" customFormat="1">
      <c r="A2944" s="4">
        <v>99990725</v>
      </c>
      <c r="B2944" s="4">
        <v>1</v>
      </c>
      <c r="C2944" s="4">
        <v>1</v>
      </c>
      <c r="D2944" s="4">
        <v>1</v>
      </c>
      <c r="E2944" s="4">
        <v>0</v>
      </c>
      <c r="F2944" s="4">
        <v>1</v>
      </c>
      <c r="G2944" s="4">
        <v>99990725</v>
      </c>
      <c r="H2944" s="4">
        <v>1</v>
      </c>
      <c r="I2944" s="4">
        <v>1</v>
      </c>
      <c r="J2944" s="4">
        <v>1</v>
      </c>
      <c r="K2944" s="4" t="s">
        <v>784</v>
      </c>
    </row>
    <row r="2945" spans="1:11" s="4" customFormat="1">
      <c r="A2945" s="4">
        <v>99990735</v>
      </c>
      <c r="B2945" s="4">
        <v>1</v>
      </c>
      <c r="C2945" s="4">
        <v>1</v>
      </c>
      <c r="D2945" s="4">
        <v>1</v>
      </c>
      <c r="E2945" s="4">
        <v>0</v>
      </c>
      <c r="F2945" s="4">
        <v>1</v>
      </c>
      <c r="G2945" s="4">
        <v>99990735</v>
      </c>
      <c r="H2945" s="4">
        <v>1</v>
      </c>
      <c r="I2945" s="4">
        <v>1</v>
      </c>
      <c r="J2945" s="4">
        <v>1</v>
      </c>
      <c r="K2945" s="4" t="s">
        <v>785</v>
      </c>
    </row>
    <row r="2946" spans="1:11" s="4" customFormat="1">
      <c r="A2946" s="4">
        <v>99990717</v>
      </c>
      <c r="B2946" s="4">
        <v>1</v>
      </c>
      <c r="C2946" s="4">
        <v>1</v>
      </c>
      <c r="D2946" s="4">
        <v>1</v>
      </c>
      <c r="E2946" s="4">
        <v>0</v>
      </c>
      <c r="F2946" s="4">
        <v>1</v>
      </c>
      <c r="G2946" s="4">
        <v>99990717</v>
      </c>
      <c r="H2946" s="4">
        <v>1</v>
      </c>
      <c r="I2946" s="4">
        <v>1</v>
      </c>
      <c r="J2946" s="4">
        <v>1</v>
      </c>
      <c r="K2946" s="4" t="s">
        <v>786</v>
      </c>
    </row>
    <row r="2947" spans="1:11" s="4" customFormat="1">
      <c r="A2947" s="4">
        <v>99990727</v>
      </c>
      <c r="B2947" s="4">
        <v>1</v>
      </c>
      <c r="C2947" s="4">
        <v>1</v>
      </c>
      <c r="D2947" s="4">
        <v>1</v>
      </c>
      <c r="E2947" s="4">
        <v>0</v>
      </c>
      <c r="F2947" s="4">
        <v>1</v>
      </c>
      <c r="G2947" s="4">
        <v>99990727</v>
      </c>
      <c r="H2947" s="4">
        <v>1</v>
      </c>
      <c r="I2947" s="4">
        <v>1</v>
      </c>
      <c r="J2947" s="4">
        <v>1</v>
      </c>
      <c r="K2947" s="4" t="s">
        <v>787</v>
      </c>
    </row>
    <row r="2948" spans="1:11" s="4" customFormat="1">
      <c r="A2948" s="4">
        <v>99990737</v>
      </c>
      <c r="B2948" s="4">
        <v>1</v>
      </c>
      <c r="C2948" s="4">
        <v>1</v>
      </c>
      <c r="D2948" s="4">
        <v>1</v>
      </c>
      <c r="E2948" s="4">
        <v>0</v>
      </c>
      <c r="F2948" s="4">
        <v>1</v>
      </c>
      <c r="G2948" s="4">
        <v>99990737</v>
      </c>
      <c r="H2948" s="4">
        <v>1</v>
      </c>
      <c r="I2948" s="4">
        <v>1</v>
      </c>
      <c r="J2948" s="4">
        <v>1</v>
      </c>
      <c r="K2948" s="4" t="s">
        <v>788</v>
      </c>
    </row>
    <row r="2949" spans="1:11" s="4" customFormat="1">
      <c r="A2949" s="4">
        <v>1000010</v>
      </c>
      <c r="B2949" s="4">
        <v>1</v>
      </c>
      <c r="C2949" s="4">
        <v>1</v>
      </c>
      <c r="D2949" s="4">
        <v>1</v>
      </c>
      <c r="E2949" s="4">
        <v>2</v>
      </c>
      <c r="F2949" s="4">
        <v>1</v>
      </c>
      <c r="G2949" s="4">
        <v>99900001</v>
      </c>
      <c r="H2949" s="4">
        <v>1350</v>
      </c>
      <c r="I2949" s="4">
        <v>1</v>
      </c>
      <c r="J2949" s="4">
        <v>1</v>
      </c>
      <c r="K2949" s="4" t="s">
        <v>280</v>
      </c>
    </row>
    <row r="2950" spans="1:11" s="4" customFormat="1">
      <c r="A2950" s="4">
        <v>1000010</v>
      </c>
      <c r="B2950" s="4">
        <v>1</v>
      </c>
      <c r="C2950" s="4">
        <v>1</v>
      </c>
      <c r="D2950" s="4">
        <v>1</v>
      </c>
      <c r="E2950" s="4">
        <v>2</v>
      </c>
      <c r="F2950" s="4">
        <v>1</v>
      </c>
      <c r="G2950" s="4">
        <v>99900002</v>
      </c>
      <c r="H2950" s="4">
        <v>1350</v>
      </c>
      <c r="I2950" s="4">
        <v>1</v>
      </c>
      <c r="J2950" s="4">
        <v>1</v>
      </c>
      <c r="K2950" s="4" t="s">
        <v>281</v>
      </c>
    </row>
    <row r="2951" spans="1:11" s="4" customFormat="1">
      <c r="A2951" s="4">
        <v>1000010</v>
      </c>
      <c r="B2951" s="4">
        <v>1</v>
      </c>
      <c r="C2951" s="4">
        <v>1</v>
      </c>
      <c r="D2951" s="4">
        <v>1</v>
      </c>
      <c r="E2951" s="4">
        <v>2</v>
      </c>
      <c r="F2951" s="4">
        <v>1</v>
      </c>
      <c r="G2951" s="4">
        <v>99900003</v>
      </c>
      <c r="H2951" s="4">
        <v>900</v>
      </c>
      <c r="I2951" s="4">
        <v>1</v>
      </c>
      <c r="J2951" s="4">
        <v>1</v>
      </c>
      <c r="K2951" s="4" t="s">
        <v>282</v>
      </c>
    </row>
    <row r="2952" spans="1:11" s="4" customFormat="1">
      <c r="A2952" s="4">
        <v>1000010</v>
      </c>
      <c r="B2952" s="4">
        <v>1</v>
      </c>
      <c r="C2952" s="4">
        <v>1</v>
      </c>
      <c r="D2952" s="4">
        <v>1</v>
      </c>
      <c r="E2952" s="4">
        <v>2</v>
      </c>
      <c r="F2952" s="4">
        <v>1</v>
      </c>
      <c r="G2952" s="4">
        <v>99900004</v>
      </c>
      <c r="H2952" s="4">
        <v>900</v>
      </c>
      <c r="I2952" s="4">
        <v>1</v>
      </c>
      <c r="J2952" s="4">
        <v>1</v>
      </c>
      <c r="K2952" s="4" t="s">
        <v>283</v>
      </c>
    </row>
    <row r="2953" spans="1:11" s="4" customFormat="1">
      <c r="A2953" s="4">
        <v>1000010</v>
      </c>
      <c r="B2953" s="4">
        <v>1</v>
      </c>
      <c r="C2953" s="4">
        <v>1</v>
      </c>
      <c r="D2953" s="4">
        <v>1</v>
      </c>
      <c r="E2953" s="4">
        <v>2</v>
      </c>
      <c r="F2953" s="4">
        <v>1</v>
      </c>
      <c r="G2953" s="4">
        <v>99900005</v>
      </c>
      <c r="H2953" s="4">
        <v>900</v>
      </c>
      <c r="I2953" s="4">
        <v>1</v>
      </c>
      <c r="J2953" s="4">
        <v>1</v>
      </c>
      <c r="K2953" s="4" t="s">
        <v>284</v>
      </c>
    </row>
    <row r="2954" spans="1:11" s="4" customFormat="1">
      <c r="A2954" s="4">
        <v>1000010</v>
      </c>
      <c r="B2954" s="4">
        <v>1</v>
      </c>
      <c r="C2954" s="4">
        <v>1</v>
      </c>
      <c r="D2954" s="4">
        <v>1</v>
      </c>
      <c r="E2954" s="4">
        <v>2</v>
      </c>
      <c r="F2954" s="4">
        <v>1</v>
      </c>
      <c r="G2954" s="4">
        <v>99900006</v>
      </c>
      <c r="H2954" s="4">
        <v>900</v>
      </c>
      <c r="I2954" s="4">
        <v>1</v>
      </c>
      <c r="J2954" s="4">
        <v>1</v>
      </c>
      <c r="K2954" s="4" t="s">
        <v>285</v>
      </c>
    </row>
    <row r="2955" spans="1:11" s="4" customFormat="1">
      <c r="A2955" s="4">
        <v>1000010</v>
      </c>
      <c r="B2955" s="4">
        <v>1</v>
      </c>
      <c r="C2955" s="4">
        <v>1</v>
      </c>
      <c r="D2955" s="4">
        <v>1</v>
      </c>
      <c r="E2955" s="4">
        <v>2</v>
      </c>
      <c r="F2955" s="4">
        <v>1</v>
      </c>
      <c r="G2955" s="4">
        <v>99900008</v>
      </c>
      <c r="H2955" s="4">
        <v>500</v>
      </c>
      <c r="I2955" s="4">
        <v>1</v>
      </c>
      <c r="J2955" s="4">
        <v>1</v>
      </c>
      <c r="K2955" s="4" t="s">
        <v>287</v>
      </c>
    </row>
    <row r="2956" spans="1:11" s="4" customFormat="1">
      <c r="A2956" s="4">
        <v>1000010</v>
      </c>
      <c r="B2956" s="4">
        <v>1</v>
      </c>
      <c r="C2956" s="4">
        <v>1</v>
      </c>
      <c r="D2956" s="4">
        <v>1</v>
      </c>
      <c r="E2956" s="4">
        <v>2</v>
      </c>
      <c r="F2956" s="4">
        <v>1</v>
      </c>
      <c r="G2956" s="4">
        <v>99900009</v>
      </c>
      <c r="H2956" s="4">
        <v>500</v>
      </c>
      <c r="I2956" s="4">
        <v>1</v>
      </c>
      <c r="J2956" s="4">
        <v>1</v>
      </c>
      <c r="K2956" s="4" t="s">
        <v>288</v>
      </c>
    </row>
    <row r="2957" spans="1:11" s="4" customFormat="1">
      <c r="A2957" s="4">
        <v>1000010</v>
      </c>
      <c r="B2957" s="4">
        <v>1</v>
      </c>
      <c r="C2957" s="4">
        <v>1</v>
      </c>
      <c r="D2957" s="4">
        <v>1</v>
      </c>
      <c r="E2957" s="4">
        <v>2</v>
      </c>
      <c r="F2957" s="4">
        <v>1</v>
      </c>
      <c r="G2957" s="4">
        <v>99900010</v>
      </c>
      <c r="H2957" s="4">
        <v>500</v>
      </c>
      <c r="I2957" s="4">
        <v>1</v>
      </c>
      <c r="J2957" s="4">
        <v>1</v>
      </c>
      <c r="K2957" s="4" t="s">
        <v>289</v>
      </c>
    </row>
    <row r="2958" spans="1:11" s="4" customFormat="1">
      <c r="A2958" s="4">
        <v>1000010</v>
      </c>
      <c r="B2958" s="4">
        <v>1</v>
      </c>
      <c r="C2958" s="4">
        <v>1</v>
      </c>
      <c r="D2958" s="4">
        <v>1</v>
      </c>
      <c r="E2958" s="4">
        <v>2</v>
      </c>
      <c r="F2958" s="4">
        <v>1</v>
      </c>
      <c r="G2958" s="4">
        <v>99900011</v>
      </c>
      <c r="H2958" s="4">
        <v>500</v>
      </c>
      <c r="I2958" s="4">
        <v>1</v>
      </c>
      <c r="J2958" s="4">
        <v>1</v>
      </c>
      <c r="K2958" s="4" t="s">
        <v>290</v>
      </c>
    </row>
    <row r="2959" spans="1:11" s="4" customFormat="1">
      <c r="A2959" s="4">
        <v>1000010</v>
      </c>
      <c r="B2959" s="4">
        <v>1</v>
      </c>
      <c r="C2959" s="4">
        <v>1</v>
      </c>
      <c r="D2959" s="4">
        <v>1</v>
      </c>
      <c r="E2959" s="4">
        <v>2</v>
      </c>
      <c r="F2959" s="4">
        <v>1</v>
      </c>
      <c r="G2959" s="4">
        <v>99900012</v>
      </c>
      <c r="H2959" s="4">
        <v>500</v>
      </c>
      <c r="I2959" s="4">
        <v>1</v>
      </c>
      <c r="J2959" s="4">
        <v>1</v>
      </c>
      <c r="K2959" s="4" t="s">
        <v>291</v>
      </c>
    </row>
    <row r="2960" spans="1:11" s="4" customFormat="1">
      <c r="A2960" s="4">
        <v>1000010</v>
      </c>
      <c r="B2960" s="4">
        <v>1</v>
      </c>
      <c r="C2960" s="4">
        <v>1</v>
      </c>
      <c r="D2960" s="4">
        <v>1</v>
      </c>
      <c r="E2960" s="4">
        <v>2</v>
      </c>
      <c r="F2960" s="4">
        <v>1</v>
      </c>
      <c r="G2960" s="4">
        <v>99900013</v>
      </c>
      <c r="H2960" s="4">
        <v>200</v>
      </c>
      <c r="I2960" s="4">
        <v>1</v>
      </c>
      <c r="J2960" s="4">
        <v>1</v>
      </c>
      <c r="K2960" s="4" t="s">
        <v>292</v>
      </c>
    </row>
    <row r="2961" spans="1:11" s="4" customFormat="1">
      <c r="A2961" s="4">
        <v>1000010</v>
      </c>
      <c r="B2961" s="4">
        <v>1</v>
      </c>
      <c r="C2961" s="4">
        <v>1</v>
      </c>
      <c r="D2961" s="4">
        <v>1</v>
      </c>
      <c r="E2961" s="4">
        <v>2</v>
      </c>
      <c r="F2961" s="4">
        <v>1</v>
      </c>
      <c r="G2961" s="4">
        <v>99900014</v>
      </c>
      <c r="H2961" s="4">
        <v>200</v>
      </c>
      <c r="I2961" s="4">
        <v>1</v>
      </c>
      <c r="J2961" s="4">
        <v>1</v>
      </c>
      <c r="K2961" s="4" t="s">
        <v>293</v>
      </c>
    </row>
    <row r="2962" spans="1:11" s="4" customFormat="1">
      <c r="A2962" s="4">
        <v>1000010</v>
      </c>
      <c r="B2962" s="4">
        <v>1</v>
      </c>
      <c r="C2962" s="4">
        <v>1</v>
      </c>
      <c r="D2962" s="4">
        <v>1</v>
      </c>
      <c r="E2962" s="4">
        <v>2</v>
      </c>
      <c r="F2962" s="4">
        <v>1</v>
      </c>
      <c r="G2962" s="4">
        <v>99900015</v>
      </c>
      <c r="H2962" s="4">
        <v>200</v>
      </c>
      <c r="I2962" s="4">
        <v>1</v>
      </c>
      <c r="J2962" s="4">
        <v>1</v>
      </c>
      <c r="K2962" s="4" t="s">
        <v>294</v>
      </c>
    </row>
    <row r="2963" spans="1:11" s="4" customFormat="1">
      <c r="A2963" s="4">
        <v>1000010</v>
      </c>
      <c r="B2963" s="4">
        <v>1</v>
      </c>
      <c r="C2963" s="4">
        <v>1</v>
      </c>
      <c r="D2963" s="4">
        <v>1</v>
      </c>
      <c r="E2963" s="4">
        <v>2</v>
      </c>
      <c r="F2963" s="4">
        <v>1</v>
      </c>
      <c r="G2963" s="4">
        <v>99900016</v>
      </c>
      <c r="H2963" s="4">
        <v>200</v>
      </c>
      <c r="I2963" s="4">
        <v>1</v>
      </c>
      <c r="J2963" s="4">
        <v>1</v>
      </c>
      <c r="K2963" s="4" t="s">
        <v>295</v>
      </c>
    </row>
    <row r="2964" spans="1:11" s="4" customFormat="1">
      <c r="A2964" s="4">
        <v>1000010</v>
      </c>
      <c r="B2964" s="4">
        <v>1</v>
      </c>
      <c r="C2964" s="4">
        <v>1</v>
      </c>
      <c r="D2964" s="4">
        <v>1</v>
      </c>
      <c r="E2964" s="4">
        <v>2</v>
      </c>
      <c r="F2964" s="4">
        <v>1</v>
      </c>
      <c r="G2964" s="4">
        <v>99900017</v>
      </c>
      <c r="H2964" s="4">
        <v>200</v>
      </c>
      <c r="I2964" s="4">
        <v>1</v>
      </c>
      <c r="J2964" s="4">
        <v>1</v>
      </c>
      <c r="K2964" s="4" t="s">
        <v>296</v>
      </c>
    </row>
    <row r="2965" spans="1:11" s="4" customFormat="1">
      <c r="A2965" s="4">
        <v>1000010</v>
      </c>
      <c r="B2965" s="4">
        <v>1</v>
      </c>
      <c r="C2965" s="4">
        <v>1</v>
      </c>
      <c r="D2965" s="4">
        <v>1</v>
      </c>
      <c r="E2965" s="4">
        <v>2</v>
      </c>
      <c r="F2965" s="4">
        <v>1</v>
      </c>
      <c r="G2965" s="4">
        <v>99900020</v>
      </c>
      <c r="H2965" s="4">
        <v>200</v>
      </c>
      <c r="I2965" s="4">
        <v>1</v>
      </c>
      <c r="J2965" s="4">
        <v>1</v>
      </c>
      <c r="K2965" s="4" t="s">
        <v>299</v>
      </c>
    </row>
    <row r="2966" spans="1:11" s="4" customFormat="1">
      <c r="A2966" s="4">
        <v>1000011</v>
      </c>
      <c r="B2966" s="4">
        <v>1</v>
      </c>
      <c r="C2966" s="4">
        <v>1</v>
      </c>
      <c r="D2966" s="4">
        <v>1</v>
      </c>
      <c r="E2966" s="4">
        <v>2</v>
      </c>
      <c r="F2966" s="4">
        <v>1</v>
      </c>
      <c r="G2966" s="4">
        <v>99900013</v>
      </c>
      <c r="H2966" s="4">
        <v>2000</v>
      </c>
      <c r="I2966" s="4">
        <v>1</v>
      </c>
      <c r="J2966" s="4">
        <v>1</v>
      </c>
      <c r="K2966" s="4" t="s">
        <v>292</v>
      </c>
    </row>
    <row r="2967" spans="1:11" s="4" customFormat="1">
      <c r="A2967" s="4">
        <v>1000011</v>
      </c>
      <c r="B2967" s="4">
        <v>1</v>
      </c>
      <c r="C2967" s="4">
        <v>1</v>
      </c>
      <c r="D2967" s="4">
        <v>1</v>
      </c>
      <c r="E2967" s="4">
        <v>2</v>
      </c>
      <c r="F2967" s="4">
        <v>1</v>
      </c>
      <c r="G2967" s="4">
        <v>99900017</v>
      </c>
      <c r="H2967" s="4">
        <v>2000</v>
      </c>
      <c r="I2967" s="4">
        <v>1</v>
      </c>
      <c r="J2967" s="4">
        <v>1</v>
      </c>
      <c r="K2967" s="4" t="s">
        <v>296</v>
      </c>
    </row>
    <row r="2968" spans="1:11" s="4" customFormat="1">
      <c r="A2968" s="4">
        <v>1000011</v>
      </c>
      <c r="B2968" s="4">
        <v>1</v>
      </c>
      <c r="C2968" s="4">
        <v>1</v>
      </c>
      <c r="D2968" s="4">
        <v>1</v>
      </c>
      <c r="E2968" s="4">
        <v>2</v>
      </c>
      <c r="F2968" s="4">
        <v>1</v>
      </c>
      <c r="G2968" s="4">
        <v>99900015</v>
      </c>
      <c r="H2968" s="4">
        <v>2000</v>
      </c>
      <c r="I2968" s="4">
        <v>1</v>
      </c>
      <c r="J2968" s="4">
        <v>1</v>
      </c>
      <c r="K2968" s="4" t="s">
        <v>294</v>
      </c>
    </row>
    <row r="2969" spans="1:11" s="4" customFormat="1">
      <c r="A2969" s="4">
        <v>1000011</v>
      </c>
      <c r="B2969" s="4">
        <v>1</v>
      </c>
      <c r="C2969" s="4">
        <v>1</v>
      </c>
      <c r="D2969" s="4">
        <v>1</v>
      </c>
      <c r="E2969" s="4">
        <v>2</v>
      </c>
      <c r="F2969" s="4">
        <v>1</v>
      </c>
      <c r="G2969" s="4">
        <v>99900020</v>
      </c>
      <c r="H2969" s="4">
        <v>1800</v>
      </c>
      <c r="I2969" s="4">
        <v>1</v>
      </c>
      <c r="J2969" s="4">
        <v>1</v>
      </c>
      <c r="K2969" s="4" t="s">
        <v>299</v>
      </c>
    </row>
    <row r="2970" spans="1:11" s="4" customFormat="1">
      <c r="A2970" s="4">
        <v>1000011</v>
      </c>
      <c r="B2970" s="4">
        <v>1</v>
      </c>
      <c r="C2970" s="4">
        <v>1</v>
      </c>
      <c r="D2970" s="4">
        <v>1</v>
      </c>
      <c r="E2970" s="4">
        <v>2</v>
      </c>
      <c r="F2970" s="4">
        <v>1</v>
      </c>
      <c r="G2970" s="4">
        <v>99900034</v>
      </c>
      <c r="H2970" s="4">
        <v>700</v>
      </c>
      <c r="I2970" s="4">
        <v>1</v>
      </c>
      <c r="J2970" s="4">
        <v>1</v>
      </c>
      <c r="K2970" s="4" t="s">
        <v>313</v>
      </c>
    </row>
    <row r="2971" spans="1:11" s="4" customFormat="1">
      <c r="A2971" s="4">
        <v>1000011</v>
      </c>
      <c r="B2971" s="4">
        <v>1</v>
      </c>
      <c r="C2971" s="4">
        <v>1</v>
      </c>
      <c r="D2971" s="4">
        <v>1</v>
      </c>
      <c r="E2971" s="4">
        <v>2</v>
      </c>
      <c r="F2971" s="4">
        <v>1</v>
      </c>
      <c r="G2971" s="4">
        <v>99900018</v>
      </c>
      <c r="H2971" s="4">
        <v>433</v>
      </c>
      <c r="I2971" s="4">
        <v>1</v>
      </c>
      <c r="J2971" s="4">
        <v>1</v>
      </c>
      <c r="K2971" s="4" t="s">
        <v>297</v>
      </c>
    </row>
    <row r="2972" spans="1:11" s="4" customFormat="1">
      <c r="A2972" s="4">
        <v>1000011</v>
      </c>
      <c r="B2972" s="4">
        <v>1</v>
      </c>
      <c r="C2972" s="4">
        <v>1</v>
      </c>
      <c r="D2972" s="4">
        <v>1</v>
      </c>
      <c r="E2972" s="4">
        <v>2</v>
      </c>
      <c r="F2972" s="4">
        <v>1</v>
      </c>
      <c r="G2972" s="4">
        <v>99900019</v>
      </c>
      <c r="H2972" s="4">
        <v>433</v>
      </c>
      <c r="I2972" s="4">
        <v>1</v>
      </c>
      <c r="J2972" s="4">
        <v>1</v>
      </c>
      <c r="K2972" s="4" t="s">
        <v>298</v>
      </c>
    </row>
    <row r="2973" spans="1:11" s="4" customFormat="1">
      <c r="A2973" s="4">
        <v>1000011</v>
      </c>
      <c r="B2973" s="4">
        <v>1</v>
      </c>
      <c r="C2973" s="4">
        <v>1</v>
      </c>
      <c r="D2973" s="4">
        <v>1</v>
      </c>
      <c r="E2973" s="4">
        <v>2</v>
      </c>
      <c r="F2973" s="4">
        <v>1</v>
      </c>
      <c r="G2973" s="4">
        <v>99900021</v>
      </c>
      <c r="H2973" s="4">
        <v>433</v>
      </c>
      <c r="I2973" s="4">
        <v>1</v>
      </c>
      <c r="J2973" s="4">
        <v>1</v>
      </c>
      <c r="K2973" s="4" t="s">
        <v>300</v>
      </c>
    </row>
    <row r="2974" spans="1:11" s="4" customFormat="1">
      <c r="A2974" s="4">
        <v>1000012</v>
      </c>
      <c r="B2974" s="4">
        <v>1</v>
      </c>
      <c r="C2974" s="4">
        <v>1</v>
      </c>
      <c r="D2974" s="4">
        <v>1</v>
      </c>
      <c r="E2974" s="4">
        <v>2</v>
      </c>
      <c r="F2974" s="4">
        <v>0</v>
      </c>
      <c r="G2974" s="4">
        <v>99900018</v>
      </c>
      <c r="H2974" s="4">
        <v>1333</v>
      </c>
      <c r="I2974" s="4">
        <v>1</v>
      </c>
      <c r="J2974" s="4">
        <v>1</v>
      </c>
      <c r="K2974" s="4" t="s">
        <v>297</v>
      </c>
    </row>
    <row r="2975" spans="1:11" s="4" customFormat="1">
      <c r="A2975" s="4">
        <v>1000012</v>
      </c>
      <c r="B2975" s="4">
        <v>1</v>
      </c>
      <c r="C2975" s="4">
        <v>1</v>
      </c>
      <c r="D2975" s="4">
        <v>1</v>
      </c>
      <c r="E2975" s="4">
        <v>2</v>
      </c>
      <c r="F2975" s="4">
        <v>0</v>
      </c>
      <c r="G2975" s="4">
        <v>99900019</v>
      </c>
      <c r="H2975" s="4">
        <v>1333</v>
      </c>
      <c r="I2975" s="4">
        <v>1</v>
      </c>
      <c r="J2975" s="4">
        <v>1</v>
      </c>
      <c r="K2975" s="4" t="s">
        <v>298</v>
      </c>
    </row>
    <row r="2976" spans="1:11" s="4" customFormat="1">
      <c r="A2976" s="4">
        <v>1000012</v>
      </c>
      <c r="B2976" s="4">
        <v>1</v>
      </c>
      <c r="C2976" s="4">
        <v>1</v>
      </c>
      <c r="D2976" s="4">
        <v>1</v>
      </c>
      <c r="E2976" s="4">
        <v>2</v>
      </c>
      <c r="F2976" s="4">
        <v>0</v>
      </c>
      <c r="G2976" s="4">
        <v>99900021</v>
      </c>
      <c r="H2976" s="4">
        <v>1333</v>
      </c>
      <c r="I2976" s="4">
        <v>1</v>
      </c>
      <c r="J2976" s="4">
        <v>1</v>
      </c>
      <c r="K2976" s="4" t="s">
        <v>300</v>
      </c>
    </row>
    <row r="2977" spans="1:11" s="4" customFormat="1">
      <c r="A2977" s="4">
        <v>1000012</v>
      </c>
      <c r="B2977" s="4">
        <v>1</v>
      </c>
      <c r="C2977" s="4">
        <v>1</v>
      </c>
      <c r="D2977" s="4">
        <v>1</v>
      </c>
      <c r="E2977" s="4">
        <v>2</v>
      </c>
      <c r="F2977" s="4">
        <v>0</v>
      </c>
      <c r="G2977" s="4">
        <v>99900022</v>
      </c>
      <c r="H2977" s="4">
        <v>2000</v>
      </c>
      <c r="I2977" s="4">
        <v>1</v>
      </c>
      <c r="J2977" s="4">
        <v>1</v>
      </c>
      <c r="K2977" s="4" t="s">
        <v>301</v>
      </c>
    </row>
    <row r="2978" spans="1:11" s="4" customFormat="1">
      <c r="A2978" s="4">
        <v>1000012</v>
      </c>
      <c r="B2978" s="4">
        <v>1</v>
      </c>
      <c r="C2978" s="4">
        <v>1</v>
      </c>
      <c r="D2978" s="4">
        <v>1</v>
      </c>
      <c r="E2978" s="4">
        <v>2</v>
      </c>
      <c r="F2978" s="4">
        <v>0</v>
      </c>
      <c r="G2978" s="4">
        <v>99900023</v>
      </c>
      <c r="H2978" s="4">
        <v>2000</v>
      </c>
      <c r="I2978" s="4">
        <v>1</v>
      </c>
      <c r="J2978" s="4">
        <v>1</v>
      </c>
      <c r="K2978" s="4" t="s">
        <v>302</v>
      </c>
    </row>
    <row r="2979" spans="1:11" s="4" customFormat="1">
      <c r="A2979" s="4">
        <v>1000012</v>
      </c>
      <c r="B2979" s="4">
        <v>1</v>
      </c>
      <c r="C2979" s="4">
        <v>1</v>
      </c>
      <c r="D2979" s="4">
        <v>1</v>
      </c>
      <c r="E2979" s="4">
        <v>2</v>
      </c>
      <c r="F2979" s="4">
        <v>0</v>
      </c>
      <c r="G2979" s="4">
        <v>99900024</v>
      </c>
      <c r="H2979" s="4">
        <v>2000</v>
      </c>
      <c r="I2979" s="4">
        <v>1</v>
      </c>
      <c r="J2979" s="4">
        <v>1</v>
      </c>
      <c r="K2979" s="4" t="s">
        <v>303</v>
      </c>
    </row>
    <row r="2980" spans="1:11" s="4" customFormat="1">
      <c r="A2980" s="4">
        <v>1000019</v>
      </c>
      <c r="B2980" s="4">
        <v>1</v>
      </c>
      <c r="C2980" s="4">
        <v>1</v>
      </c>
      <c r="D2980" s="4">
        <v>1</v>
      </c>
      <c r="E2980" s="4">
        <v>2</v>
      </c>
      <c r="F2980" s="4">
        <v>1</v>
      </c>
      <c r="G2980" s="4">
        <v>99900022</v>
      </c>
      <c r="H2980" s="4">
        <v>3333</v>
      </c>
      <c r="I2980" s="4">
        <v>1</v>
      </c>
      <c r="J2980" s="4">
        <v>1</v>
      </c>
      <c r="K2980" s="4" t="s">
        <v>301</v>
      </c>
    </row>
    <row r="2981" spans="1:11" s="4" customFormat="1">
      <c r="A2981" s="4">
        <v>1000019</v>
      </c>
      <c r="B2981" s="4">
        <v>1</v>
      </c>
      <c r="C2981" s="4">
        <v>1</v>
      </c>
      <c r="D2981" s="4">
        <v>1</v>
      </c>
      <c r="E2981" s="4">
        <v>2</v>
      </c>
      <c r="F2981" s="4">
        <v>1</v>
      </c>
      <c r="G2981" s="4">
        <v>99900023</v>
      </c>
      <c r="H2981" s="4">
        <v>3333</v>
      </c>
      <c r="I2981" s="4">
        <v>1</v>
      </c>
      <c r="J2981" s="4">
        <v>1</v>
      </c>
      <c r="K2981" s="4" t="s">
        <v>302</v>
      </c>
    </row>
    <row r="2982" spans="1:11" s="4" customFormat="1">
      <c r="A2982" s="4">
        <v>1000019</v>
      </c>
      <c r="B2982" s="4">
        <v>1</v>
      </c>
      <c r="C2982" s="4">
        <v>1</v>
      </c>
      <c r="D2982" s="4">
        <v>1</v>
      </c>
      <c r="E2982" s="4">
        <v>2</v>
      </c>
      <c r="F2982" s="4">
        <v>1</v>
      </c>
      <c r="G2982" s="4">
        <v>99900024</v>
      </c>
      <c r="H2982" s="4">
        <v>3333</v>
      </c>
      <c r="I2982" s="4">
        <v>1</v>
      </c>
      <c r="J2982" s="4">
        <v>1</v>
      </c>
      <c r="K2982" s="4" t="s">
        <v>303</v>
      </c>
    </row>
    <row r="2983" spans="1:11" s="4" customFormat="1">
      <c r="A2983" s="4">
        <v>1000020</v>
      </c>
      <c r="B2983" s="4">
        <v>1</v>
      </c>
      <c r="C2983" s="4">
        <v>1</v>
      </c>
      <c r="D2983" s="4">
        <v>1</v>
      </c>
      <c r="E2983" s="4">
        <v>2</v>
      </c>
      <c r="F2983" s="4">
        <v>1</v>
      </c>
      <c r="G2983" s="4">
        <v>99920001</v>
      </c>
      <c r="H2983" s="4">
        <v>1550</v>
      </c>
      <c r="I2983" s="4">
        <v>1</v>
      </c>
      <c r="J2983" s="4">
        <v>1</v>
      </c>
      <c r="K2983" s="4" t="s">
        <v>314</v>
      </c>
    </row>
    <row r="2984" spans="1:11" s="4" customFormat="1">
      <c r="A2984" s="4">
        <v>1000020</v>
      </c>
      <c r="B2984" s="4">
        <v>1</v>
      </c>
      <c r="C2984" s="4">
        <v>1</v>
      </c>
      <c r="D2984" s="4">
        <v>1</v>
      </c>
      <c r="E2984" s="4">
        <v>2</v>
      </c>
      <c r="F2984" s="4">
        <v>1</v>
      </c>
      <c r="G2984" s="4">
        <v>99920002</v>
      </c>
      <c r="H2984" s="4">
        <v>1550</v>
      </c>
      <c r="I2984" s="4">
        <v>1</v>
      </c>
      <c r="J2984" s="4">
        <v>1</v>
      </c>
      <c r="K2984" s="4" t="s">
        <v>315</v>
      </c>
    </row>
    <row r="2985" spans="1:11" s="4" customFormat="1">
      <c r="A2985" s="4">
        <v>1000020</v>
      </c>
      <c r="B2985" s="4">
        <v>1</v>
      </c>
      <c r="C2985" s="4">
        <v>1</v>
      </c>
      <c r="D2985" s="4">
        <v>1</v>
      </c>
      <c r="E2985" s="4">
        <v>2</v>
      </c>
      <c r="F2985" s="4">
        <v>1</v>
      </c>
      <c r="G2985" s="4">
        <v>99920003</v>
      </c>
      <c r="H2985" s="4">
        <v>1200</v>
      </c>
      <c r="I2985" s="4">
        <v>1</v>
      </c>
      <c r="J2985" s="4">
        <v>1</v>
      </c>
      <c r="K2985" s="4" t="s">
        <v>316</v>
      </c>
    </row>
    <row r="2986" spans="1:11" s="4" customFormat="1">
      <c r="A2986" s="4">
        <v>1000020</v>
      </c>
      <c r="B2986" s="4">
        <v>1</v>
      </c>
      <c r="C2986" s="4">
        <v>1</v>
      </c>
      <c r="D2986" s="4">
        <v>1</v>
      </c>
      <c r="E2986" s="4">
        <v>2</v>
      </c>
      <c r="F2986" s="4">
        <v>1</v>
      </c>
      <c r="G2986" s="4">
        <v>99920004</v>
      </c>
      <c r="H2986" s="4">
        <v>1200</v>
      </c>
      <c r="I2986" s="4">
        <v>1</v>
      </c>
      <c r="J2986" s="4">
        <v>1</v>
      </c>
      <c r="K2986" s="4" t="s">
        <v>317</v>
      </c>
    </row>
    <row r="2987" spans="1:11" s="4" customFormat="1">
      <c r="A2987" s="4">
        <v>1000020</v>
      </c>
      <c r="B2987" s="4">
        <v>1</v>
      </c>
      <c r="C2987" s="4">
        <v>1</v>
      </c>
      <c r="D2987" s="4">
        <v>1</v>
      </c>
      <c r="E2987" s="4">
        <v>2</v>
      </c>
      <c r="F2987" s="4">
        <v>1</v>
      </c>
      <c r="G2987" s="4">
        <v>99920005</v>
      </c>
      <c r="H2987" s="4">
        <v>1200</v>
      </c>
      <c r="I2987" s="4">
        <v>1</v>
      </c>
      <c r="J2987" s="4">
        <v>1</v>
      </c>
      <c r="K2987" s="4" t="s">
        <v>318</v>
      </c>
    </row>
    <row r="2988" spans="1:11" s="4" customFormat="1">
      <c r="A2988" s="4">
        <v>1000020</v>
      </c>
      <c r="B2988" s="4">
        <v>1</v>
      </c>
      <c r="C2988" s="4">
        <v>1</v>
      </c>
      <c r="D2988" s="4">
        <v>1</v>
      </c>
      <c r="E2988" s="4">
        <v>2</v>
      </c>
      <c r="F2988" s="4">
        <v>1</v>
      </c>
      <c r="G2988" s="4">
        <v>99920006</v>
      </c>
      <c r="H2988" s="4">
        <v>700</v>
      </c>
      <c r="I2988" s="4">
        <v>1</v>
      </c>
      <c r="J2988" s="4">
        <v>1</v>
      </c>
      <c r="K2988" s="4" t="s">
        <v>319</v>
      </c>
    </row>
    <row r="2989" spans="1:11" s="4" customFormat="1">
      <c r="A2989" s="4">
        <v>1000020</v>
      </c>
      <c r="B2989" s="4">
        <v>1</v>
      </c>
      <c r="C2989" s="4">
        <v>1</v>
      </c>
      <c r="D2989" s="4">
        <v>1</v>
      </c>
      <c r="E2989" s="4">
        <v>2</v>
      </c>
      <c r="F2989" s="4">
        <v>1</v>
      </c>
      <c r="G2989" s="4">
        <v>99920007</v>
      </c>
      <c r="H2989" s="4">
        <v>50</v>
      </c>
      <c r="I2989" s="4">
        <v>1</v>
      </c>
      <c r="J2989" s="4">
        <v>1</v>
      </c>
      <c r="K2989" s="4" t="s">
        <v>320</v>
      </c>
    </row>
    <row r="2990" spans="1:11" s="4" customFormat="1">
      <c r="A2990" s="4">
        <v>1000020</v>
      </c>
      <c r="B2990" s="4">
        <v>1</v>
      </c>
      <c r="C2990" s="4">
        <v>1</v>
      </c>
      <c r="D2990" s="4">
        <v>1</v>
      </c>
      <c r="E2990" s="4">
        <v>2</v>
      </c>
      <c r="F2990" s="4">
        <v>1</v>
      </c>
      <c r="G2990" s="4">
        <v>99920008</v>
      </c>
      <c r="H2990" s="4">
        <v>100</v>
      </c>
      <c r="I2990" s="4">
        <v>1</v>
      </c>
      <c r="J2990" s="4">
        <v>1</v>
      </c>
      <c r="K2990" s="4" t="s">
        <v>615</v>
      </c>
    </row>
    <row r="2991" spans="1:11" s="4" customFormat="1">
      <c r="A2991" s="4">
        <v>1000020</v>
      </c>
      <c r="B2991" s="4">
        <v>1</v>
      </c>
      <c r="C2991" s="4">
        <v>1</v>
      </c>
      <c r="D2991" s="4">
        <v>1</v>
      </c>
      <c r="E2991" s="4">
        <v>2</v>
      </c>
      <c r="F2991" s="4">
        <v>1</v>
      </c>
      <c r="G2991" s="4">
        <v>99920009</v>
      </c>
      <c r="H2991" s="4">
        <v>50</v>
      </c>
      <c r="I2991" s="4">
        <v>1</v>
      </c>
      <c r="J2991" s="4">
        <v>1</v>
      </c>
      <c r="K2991" s="4" t="s">
        <v>321</v>
      </c>
    </row>
    <row r="2992" spans="1:11" s="4" customFormat="1">
      <c r="A2992" s="4">
        <v>1000020</v>
      </c>
      <c r="B2992" s="4">
        <v>1</v>
      </c>
      <c r="C2992" s="4">
        <v>1</v>
      </c>
      <c r="D2992" s="4">
        <v>1</v>
      </c>
      <c r="E2992" s="4">
        <v>2</v>
      </c>
      <c r="F2992" s="4">
        <v>1</v>
      </c>
      <c r="G2992" s="4">
        <v>99920010</v>
      </c>
      <c r="H2992" s="4">
        <v>700</v>
      </c>
      <c r="I2992" s="4">
        <v>1</v>
      </c>
      <c r="J2992" s="4">
        <v>1</v>
      </c>
      <c r="K2992" s="4" t="s">
        <v>322</v>
      </c>
    </row>
    <row r="2993" spans="1:11" s="4" customFormat="1">
      <c r="A2993" s="4">
        <v>1000020</v>
      </c>
      <c r="B2993" s="4">
        <v>1</v>
      </c>
      <c r="C2993" s="4">
        <v>1</v>
      </c>
      <c r="D2993" s="4">
        <v>1</v>
      </c>
      <c r="E2993" s="4">
        <v>2</v>
      </c>
      <c r="F2993" s="4">
        <v>1</v>
      </c>
      <c r="G2993" s="4">
        <v>99920011</v>
      </c>
      <c r="H2993" s="4">
        <v>700</v>
      </c>
      <c r="I2993" s="4">
        <v>1</v>
      </c>
      <c r="J2993" s="4">
        <v>1</v>
      </c>
      <c r="K2993" s="4" t="s">
        <v>323</v>
      </c>
    </row>
    <row r="2994" spans="1:11" s="4" customFormat="1">
      <c r="A2994" s="4">
        <v>1000020</v>
      </c>
      <c r="B2994" s="4">
        <v>1</v>
      </c>
      <c r="C2994" s="4">
        <v>1</v>
      </c>
      <c r="D2994" s="4">
        <v>1</v>
      </c>
      <c r="E2994" s="4">
        <v>2</v>
      </c>
      <c r="F2994" s="4">
        <v>1</v>
      </c>
      <c r="G2994" s="4">
        <v>99920012</v>
      </c>
      <c r="H2994" s="4">
        <v>700</v>
      </c>
      <c r="I2994" s="4">
        <v>1</v>
      </c>
      <c r="J2994" s="4">
        <v>1</v>
      </c>
      <c r="K2994" s="4" t="s">
        <v>324</v>
      </c>
    </row>
    <row r="2995" spans="1:11" s="4" customFormat="1">
      <c r="A2995" s="4">
        <v>1000020</v>
      </c>
      <c r="B2995" s="4">
        <v>1</v>
      </c>
      <c r="C2995" s="4">
        <v>1</v>
      </c>
      <c r="D2995" s="4">
        <v>1</v>
      </c>
      <c r="E2995" s="4">
        <v>2</v>
      </c>
      <c r="F2995" s="4">
        <v>1</v>
      </c>
      <c r="G2995" s="4">
        <v>99920013</v>
      </c>
      <c r="H2995" s="4">
        <v>100</v>
      </c>
      <c r="I2995" s="4">
        <v>1</v>
      </c>
      <c r="J2995" s="4">
        <v>1</v>
      </c>
      <c r="K2995" s="4" t="s">
        <v>325</v>
      </c>
    </row>
    <row r="2996" spans="1:11" s="4" customFormat="1">
      <c r="A2996" s="4">
        <v>1000020</v>
      </c>
      <c r="B2996" s="4">
        <v>1</v>
      </c>
      <c r="C2996" s="4">
        <v>1</v>
      </c>
      <c r="D2996" s="4">
        <v>1</v>
      </c>
      <c r="E2996" s="4">
        <v>2</v>
      </c>
      <c r="F2996" s="4">
        <v>1</v>
      </c>
      <c r="G2996" s="4">
        <v>99920014</v>
      </c>
      <c r="H2996" s="4">
        <v>100</v>
      </c>
      <c r="I2996" s="4">
        <v>1</v>
      </c>
      <c r="J2996" s="4">
        <v>1</v>
      </c>
      <c r="K2996" s="4" t="s">
        <v>326</v>
      </c>
    </row>
    <row r="2997" spans="1:11" s="4" customFormat="1">
      <c r="A2997" s="4">
        <v>1000020</v>
      </c>
      <c r="B2997" s="4">
        <v>1</v>
      </c>
      <c r="C2997" s="4">
        <v>1</v>
      </c>
      <c r="D2997" s="4">
        <v>1</v>
      </c>
      <c r="E2997" s="4">
        <v>2</v>
      </c>
      <c r="F2997" s="4">
        <v>1</v>
      </c>
      <c r="G2997" s="4">
        <v>99920015</v>
      </c>
      <c r="H2997" s="4">
        <v>100</v>
      </c>
      <c r="I2997" s="4">
        <v>1</v>
      </c>
      <c r="J2997" s="4">
        <v>1</v>
      </c>
      <c r="K2997" s="4" t="s">
        <v>327</v>
      </c>
    </row>
    <row r="2998" spans="1:11" s="4" customFormat="1">
      <c r="A2998" s="4">
        <v>1000021</v>
      </c>
      <c r="B2998" s="4">
        <v>1</v>
      </c>
      <c r="C2998" s="4">
        <v>1</v>
      </c>
      <c r="D2998" s="4">
        <v>1</v>
      </c>
      <c r="E2998" s="4">
        <v>2</v>
      </c>
      <c r="F2998" s="4">
        <v>1</v>
      </c>
      <c r="G2998" s="4">
        <v>99920008</v>
      </c>
      <c r="H2998" s="4">
        <v>800</v>
      </c>
      <c r="I2998" s="4">
        <v>1</v>
      </c>
      <c r="J2998" s="4">
        <v>1</v>
      </c>
      <c r="K2998" s="4" t="s">
        <v>615</v>
      </c>
    </row>
    <row r="2999" spans="1:11" s="4" customFormat="1">
      <c r="A2999" s="4">
        <v>1000021</v>
      </c>
      <c r="B2999" s="4">
        <v>1</v>
      </c>
      <c r="C2999" s="4">
        <v>1</v>
      </c>
      <c r="D2999" s="4">
        <v>1</v>
      </c>
      <c r="E2999" s="4">
        <v>2</v>
      </c>
      <c r="F2999" s="4">
        <v>1</v>
      </c>
      <c r="G2999" s="4">
        <v>99920007</v>
      </c>
      <c r="H2999" s="4">
        <v>2200</v>
      </c>
      <c r="I2999" s="4">
        <v>1</v>
      </c>
      <c r="J2999" s="4">
        <v>1</v>
      </c>
      <c r="K2999" s="4" t="s">
        <v>320</v>
      </c>
    </row>
    <row r="3000" spans="1:11" s="4" customFormat="1">
      <c r="A3000" s="4">
        <v>1000021</v>
      </c>
      <c r="B3000" s="4">
        <v>1</v>
      </c>
      <c r="C3000" s="4">
        <v>1</v>
      </c>
      <c r="D3000" s="4">
        <v>1</v>
      </c>
      <c r="E3000" s="4">
        <v>2</v>
      </c>
      <c r="F3000" s="4">
        <v>1</v>
      </c>
      <c r="G3000" s="4">
        <v>99920009</v>
      </c>
      <c r="H3000" s="4">
        <v>2200</v>
      </c>
      <c r="I3000" s="4">
        <v>1</v>
      </c>
      <c r="J3000" s="4">
        <v>1</v>
      </c>
      <c r="K3000" s="4" t="s">
        <v>321</v>
      </c>
    </row>
    <row r="3001" spans="1:11" s="4" customFormat="1">
      <c r="A3001" s="4">
        <v>1000021</v>
      </c>
      <c r="B3001" s="4">
        <v>1</v>
      </c>
      <c r="C3001" s="4">
        <v>1</v>
      </c>
      <c r="D3001" s="4">
        <v>1</v>
      </c>
      <c r="E3001" s="4">
        <v>2</v>
      </c>
      <c r="F3001" s="4">
        <v>1</v>
      </c>
      <c r="G3001" s="4">
        <v>99920013</v>
      </c>
      <c r="H3001" s="4">
        <v>1600</v>
      </c>
      <c r="I3001" s="4">
        <v>1</v>
      </c>
      <c r="J3001" s="4">
        <v>1</v>
      </c>
      <c r="K3001" s="4" t="s">
        <v>325</v>
      </c>
    </row>
    <row r="3002" spans="1:11" s="4" customFormat="1">
      <c r="A3002" s="4">
        <v>1000021</v>
      </c>
      <c r="B3002" s="4">
        <v>1</v>
      </c>
      <c r="C3002" s="4">
        <v>1</v>
      </c>
      <c r="D3002" s="4">
        <v>1</v>
      </c>
      <c r="E3002" s="4">
        <v>2</v>
      </c>
      <c r="F3002" s="4">
        <v>1</v>
      </c>
      <c r="G3002" s="4">
        <v>99920014</v>
      </c>
      <c r="H3002" s="4">
        <v>1600</v>
      </c>
      <c r="I3002" s="4">
        <v>1</v>
      </c>
      <c r="J3002" s="4">
        <v>1</v>
      </c>
      <c r="K3002" s="4" t="s">
        <v>326</v>
      </c>
    </row>
    <row r="3003" spans="1:11" s="4" customFormat="1">
      <c r="A3003" s="4">
        <v>1000021</v>
      </c>
      <c r="B3003" s="4">
        <v>1</v>
      </c>
      <c r="C3003" s="4">
        <v>1</v>
      </c>
      <c r="D3003" s="4">
        <v>1</v>
      </c>
      <c r="E3003" s="4">
        <v>2</v>
      </c>
      <c r="F3003" s="4">
        <v>1</v>
      </c>
      <c r="G3003" s="4">
        <v>99920015</v>
      </c>
      <c r="H3003" s="4">
        <v>1600</v>
      </c>
      <c r="I3003" s="4">
        <v>1</v>
      </c>
      <c r="J3003" s="4">
        <v>1</v>
      </c>
      <c r="K3003" s="4" t="s">
        <v>327</v>
      </c>
    </row>
    <row r="3004" spans="1:11" s="4" customFormat="1">
      <c r="A3004" s="4">
        <v>1000022</v>
      </c>
      <c r="B3004" s="4">
        <v>1</v>
      </c>
      <c r="C3004" s="4">
        <v>1</v>
      </c>
      <c r="D3004" s="4">
        <v>1</v>
      </c>
      <c r="E3004" s="4">
        <v>2</v>
      </c>
      <c r="F3004" s="4">
        <v>0</v>
      </c>
      <c r="G3004" s="4">
        <v>99920026</v>
      </c>
      <c r="H3004" s="4">
        <v>3400</v>
      </c>
      <c r="I3004" s="4">
        <v>1</v>
      </c>
      <c r="J3004" s="4">
        <v>1</v>
      </c>
      <c r="K3004" s="4" t="s">
        <v>338</v>
      </c>
    </row>
    <row r="3005" spans="1:11" s="4" customFormat="1">
      <c r="A3005" s="4">
        <v>1000022</v>
      </c>
      <c r="B3005" s="4">
        <v>1</v>
      </c>
      <c r="C3005" s="4">
        <v>1</v>
      </c>
      <c r="D3005" s="4">
        <v>1</v>
      </c>
      <c r="E3005" s="4">
        <v>2</v>
      </c>
      <c r="F3005" s="4">
        <v>0</v>
      </c>
      <c r="G3005" s="4">
        <v>99920016</v>
      </c>
      <c r="H3005" s="4">
        <v>2000</v>
      </c>
      <c r="I3005" s="4">
        <v>1</v>
      </c>
      <c r="J3005" s="4">
        <v>1</v>
      </c>
      <c r="K3005" s="4" t="s">
        <v>328</v>
      </c>
    </row>
    <row r="3006" spans="1:11" s="4" customFormat="1">
      <c r="A3006" s="4">
        <v>1000022</v>
      </c>
      <c r="B3006" s="4">
        <v>1</v>
      </c>
      <c r="C3006" s="4">
        <v>1</v>
      </c>
      <c r="D3006" s="4">
        <v>1</v>
      </c>
      <c r="E3006" s="4">
        <v>2</v>
      </c>
      <c r="F3006" s="4">
        <v>0</v>
      </c>
      <c r="G3006" s="4">
        <v>99920020</v>
      </c>
      <c r="H3006" s="4">
        <v>2000</v>
      </c>
      <c r="I3006" s="4">
        <v>1</v>
      </c>
      <c r="J3006" s="4">
        <v>1</v>
      </c>
      <c r="K3006" s="4" t="s">
        <v>332</v>
      </c>
    </row>
    <row r="3007" spans="1:11" s="4" customFormat="1">
      <c r="A3007" s="4">
        <v>1000022</v>
      </c>
      <c r="B3007" s="4">
        <v>1</v>
      </c>
      <c r="C3007" s="4">
        <v>1</v>
      </c>
      <c r="D3007" s="4">
        <v>1</v>
      </c>
      <c r="E3007" s="4">
        <v>2</v>
      </c>
      <c r="F3007" s="4">
        <v>0</v>
      </c>
      <c r="G3007" s="4">
        <v>99920021</v>
      </c>
      <c r="H3007" s="4">
        <v>2000</v>
      </c>
      <c r="I3007" s="4">
        <v>1</v>
      </c>
      <c r="J3007" s="4">
        <v>1</v>
      </c>
      <c r="K3007" s="4" t="s">
        <v>333</v>
      </c>
    </row>
    <row r="3008" spans="1:11" s="4" customFormat="1">
      <c r="A3008" s="4">
        <v>1000022</v>
      </c>
      <c r="B3008" s="4">
        <v>1</v>
      </c>
      <c r="C3008" s="4">
        <v>1</v>
      </c>
      <c r="D3008" s="4">
        <v>1</v>
      </c>
      <c r="E3008" s="4">
        <v>2</v>
      </c>
      <c r="F3008" s="4">
        <v>0</v>
      </c>
      <c r="G3008" s="4">
        <v>99920025</v>
      </c>
      <c r="H3008" s="4">
        <v>600</v>
      </c>
      <c r="I3008" s="4">
        <v>1</v>
      </c>
      <c r="J3008" s="4">
        <v>1</v>
      </c>
      <c r="K3008" s="4" t="s">
        <v>337</v>
      </c>
    </row>
    <row r="3009" spans="1:11" s="4" customFormat="1">
      <c r="A3009" s="4">
        <v>1000029</v>
      </c>
      <c r="B3009" s="4">
        <v>1</v>
      </c>
      <c r="C3009" s="4">
        <v>1</v>
      </c>
      <c r="D3009" s="4">
        <v>1</v>
      </c>
      <c r="E3009" s="4">
        <v>2</v>
      </c>
      <c r="F3009" s="4">
        <v>1</v>
      </c>
      <c r="G3009" s="4">
        <v>99920016</v>
      </c>
      <c r="H3009" s="4">
        <v>3000</v>
      </c>
      <c r="I3009" s="4">
        <v>1</v>
      </c>
      <c r="J3009" s="4">
        <v>1</v>
      </c>
      <c r="K3009" s="4" t="s">
        <v>328</v>
      </c>
    </row>
    <row r="3010" spans="1:11" s="4" customFormat="1">
      <c r="A3010" s="4">
        <v>1000029</v>
      </c>
      <c r="B3010" s="4">
        <v>1</v>
      </c>
      <c r="C3010" s="4">
        <v>1</v>
      </c>
      <c r="D3010" s="4">
        <v>1</v>
      </c>
      <c r="E3010" s="4">
        <v>2</v>
      </c>
      <c r="F3010" s="4">
        <v>1</v>
      </c>
      <c r="G3010" s="4">
        <v>99920020</v>
      </c>
      <c r="H3010" s="4">
        <v>3000</v>
      </c>
      <c r="I3010" s="4">
        <v>1</v>
      </c>
      <c r="J3010" s="4">
        <v>1</v>
      </c>
      <c r="K3010" s="4" t="s">
        <v>332</v>
      </c>
    </row>
    <row r="3011" spans="1:11" s="4" customFormat="1">
      <c r="A3011" s="4">
        <v>1000029</v>
      </c>
      <c r="B3011" s="4">
        <v>1</v>
      </c>
      <c r="C3011" s="4">
        <v>1</v>
      </c>
      <c r="D3011" s="4">
        <v>1</v>
      </c>
      <c r="E3011" s="4">
        <v>2</v>
      </c>
      <c r="F3011" s="4">
        <v>1</v>
      </c>
      <c r="G3011" s="4">
        <v>99920021</v>
      </c>
      <c r="H3011" s="4">
        <v>3000</v>
      </c>
      <c r="I3011" s="4">
        <v>1</v>
      </c>
      <c r="J3011" s="4">
        <v>1</v>
      </c>
      <c r="K3011" s="4" t="s">
        <v>333</v>
      </c>
    </row>
    <row r="3012" spans="1:11" s="4" customFormat="1">
      <c r="A3012" s="4">
        <v>1000029</v>
      </c>
      <c r="B3012" s="4">
        <v>1</v>
      </c>
      <c r="C3012" s="4">
        <v>1</v>
      </c>
      <c r="D3012" s="4">
        <v>1</v>
      </c>
      <c r="E3012" s="4">
        <v>2</v>
      </c>
      <c r="F3012" s="4">
        <v>1</v>
      </c>
      <c r="G3012" s="4">
        <v>99920025</v>
      </c>
      <c r="H3012" s="4">
        <v>1000</v>
      </c>
      <c r="I3012" s="4">
        <v>1</v>
      </c>
      <c r="J3012" s="4">
        <v>1</v>
      </c>
      <c r="K3012" s="4" t="s">
        <v>337</v>
      </c>
    </row>
    <row r="3013" spans="1:11" s="4" customFormat="1">
      <c r="A3013" s="4">
        <v>1100020</v>
      </c>
      <c r="B3013" s="4">
        <v>1</v>
      </c>
      <c r="C3013" s="4">
        <v>1</v>
      </c>
      <c r="D3013" s="4">
        <v>1</v>
      </c>
      <c r="E3013" s="4">
        <v>2</v>
      </c>
      <c r="F3013" s="4">
        <v>0</v>
      </c>
      <c r="G3013" s="4">
        <v>99920016</v>
      </c>
      <c r="H3013" s="4">
        <v>30</v>
      </c>
      <c r="I3013" s="4">
        <v>1</v>
      </c>
      <c r="J3013" s="4">
        <v>1</v>
      </c>
      <c r="K3013" s="4" t="s">
        <v>328</v>
      </c>
    </row>
    <row r="3014" spans="1:11" s="4" customFormat="1">
      <c r="A3014" s="4">
        <v>1100020</v>
      </c>
      <c r="B3014" s="4">
        <v>1</v>
      </c>
      <c r="C3014" s="4">
        <v>1</v>
      </c>
      <c r="D3014" s="4">
        <v>1</v>
      </c>
      <c r="E3014" s="4">
        <v>2</v>
      </c>
      <c r="F3014" s="4">
        <v>0</v>
      </c>
      <c r="G3014" s="4">
        <v>99920020</v>
      </c>
      <c r="H3014" s="4">
        <v>30</v>
      </c>
      <c r="I3014" s="4">
        <v>1</v>
      </c>
      <c r="J3014" s="4">
        <v>1</v>
      </c>
      <c r="K3014" s="4" t="s">
        <v>332</v>
      </c>
    </row>
    <row r="3015" spans="1:11" s="4" customFormat="1">
      <c r="A3015" s="4">
        <v>1100020</v>
      </c>
      <c r="B3015" s="4">
        <v>1</v>
      </c>
      <c r="C3015" s="4">
        <v>1</v>
      </c>
      <c r="D3015" s="4">
        <v>1</v>
      </c>
      <c r="E3015" s="4">
        <v>2</v>
      </c>
      <c r="F3015" s="4">
        <v>0</v>
      </c>
      <c r="G3015" s="4">
        <v>99920021</v>
      </c>
      <c r="H3015" s="4">
        <v>30</v>
      </c>
      <c r="I3015" s="4">
        <v>1</v>
      </c>
      <c r="J3015" s="4">
        <v>1</v>
      </c>
      <c r="K3015" s="4" t="s">
        <v>333</v>
      </c>
    </row>
    <row r="3016" spans="1:11" s="4" customFormat="1">
      <c r="A3016" s="4">
        <v>1100020</v>
      </c>
      <c r="B3016" s="4">
        <v>1</v>
      </c>
      <c r="C3016" s="4">
        <v>1</v>
      </c>
      <c r="D3016" s="4">
        <v>1</v>
      </c>
      <c r="E3016" s="4">
        <v>2</v>
      </c>
      <c r="F3016" s="4">
        <v>0</v>
      </c>
      <c r="G3016" s="4">
        <v>99920025</v>
      </c>
      <c r="H3016" s="4">
        <v>10</v>
      </c>
      <c r="I3016" s="4">
        <v>1</v>
      </c>
      <c r="J3016" s="4">
        <v>1</v>
      </c>
      <c r="K3016" s="4" t="s">
        <v>337</v>
      </c>
    </row>
    <row r="3017" spans="1:11" s="4" customFormat="1">
      <c r="A3017" s="4">
        <v>1100020</v>
      </c>
      <c r="B3017" s="4">
        <v>1</v>
      </c>
      <c r="C3017" s="4">
        <v>1</v>
      </c>
      <c r="D3017" s="4">
        <v>1</v>
      </c>
      <c r="E3017" s="4">
        <v>2</v>
      </c>
      <c r="F3017" s="4">
        <v>0</v>
      </c>
      <c r="G3017" s="4">
        <v>111001</v>
      </c>
      <c r="H3017" s="4">
        <v>9900</v>
      </c>
      <c r="I3017" s="4">
        <v>20</v>
      </c>
      <c r="J3017" s="4">
        <v>80</v>
      </c>
      <c r="K3017" s="4" t="s">
        <v>3044</v>
      </c>
    </row>
    <row r="3018" spans="1:11" s="4" customFormat="1">
      <c r="A3018" s="4">
        <v>1100021</v>
      </c>
      <c r="B3018" s="4">
        <v>1</v>
      </c>
      <c r="C3018" s="4">
        <v>1</v>
      </c>
      <c r="D3018" s="4">
        <v>1</v>
      </c>
      <c r="E3018" s="4">
        <v>2</v>
      </c>
      <c r="F3018" s="4">
        <v>0</v>
      </c>
      <c r="G3018" s="4">
        <v>99920017</v>
      </c>
      <c r="H3018" s="4">
        <v>3333</v>
      </c>
      <c r="I3018" s="4">
        <v>1</v>
      </c>
      <c r="J3018" s="4">
        <v>1</v>
      </c>
      <c r="K3018" s="4" t="s">
        <v>329</v>
      </c>
    </row>
    <row r="3019" spans="1:11" s="4" customFormat="1">
      <c r="A3019" s="4">
        <v>1100021</v>
      </c>
      <c r="B3019" s="4">
        <v>1</v>
      </c>
      <c r="C3019" s="4">
        <v>1</v>
      </c>
      <c r="D3019" s="4">
        <v>1</v>
      </c>
      <c r="E3019" s="4">
        <v>2</v>
      </c>
      <c r="F3019" s="4">
        <v>0</v>
      </c>
      <c r="G3019" s="4">
        <v>99920018</v>
      </c>
      <c r="H3019" s="4">
        <v>3333</v>
      </c>
      <c r="I3019" s="4">
        <v>1</v>
      </c>
      <c r="J3019" s="4">
        <v>1</v>
      </c>
      <c r="K3019" s="4" t="s">
        <v>330</v>
      </c>
    </row>
    <row r="3020" spans="1:11" s="4" customFormat="1">
      <c r="A3020" s="4">
        <v>1100021</v>
      </c>
      <c r="B3020" s="4">
        <v>1</v>
      </c>
      <c r="C3020" s="4">
        <v>1</v>
      </c>
      <c r="D3020" s="4">
        <v>1</v>
      </c>
      <c r="E3020" s="4">
        <v>2</v>
      </c>
      <c r="F3020" s="4">
        <v>0</v>
      </c>
      <c r="G3020" s="4">
        <v>99920019</v>
      </c>
      <c r="H3020" s="4">
        <v>3333</v>
      </c>
      <c r="I3020" s="4">
        <v>1</v>
      </c>
      <c r="J3020" s="4">
        <v>1</v>
      </c>
      <c r="K3020" s="4" t="s">
        <v>331</v>
      </c>
    </row>
    <row r="3021" spans="1:11" s="4" customFormat="1">
      <c r="A3021" s="4">
        <v>1100029</v>
      </c>
      <c r="B3021" s="4">
        <v>1</v>
      </c>
      <c r="C3021" s="4">
        <v>1</v>
      </c>
      <c r="D3021" s="4">
        <v>1</v>
      </c>
      <c r="E3021" s="4">
        <v>2</v>
      </c>
      <c r="F3021" s="4">
        <v>1</v>
      </c>
      <c r="G3021" s="4">
        <v>99920017</v>
      </c>
      <c r="H3021" s="4">
        <v>3333</v>
      </c>
      <c r="I3021" s="4">
        <v>1</v>
      </c>
      <c r="J3021" s="4">
        <v>1</v>
      </c>
      <c r="K3021" s="4" t="s">
        <v>329</v>
      </c>
    </row>
    <row r="3022" spans="1:11" s="4" customFormat="1">
      <c r="A3022" s="4">
        <v>1100029</v>
      </c>
      <c r="B3022" s="4">
        <v>1</v>
      </c>
      <c r="C3022" s="4">
        <v>1</v>
      </c>
      <c r="D3022" s="4">
        <v>1</v>
      </c>
      <c r="E3022" s="4">
        <v>2</v>
      </c>
      <c r="F3022" s="4">
        <v>1</v>
      </c>
      <c r="G3022" s="4">
        <v>99920018</v>
      </c>
      <c r="H3022" s="4">
        <v>3333</v>
      </c>
      <c r="I3022" s="4">
        <v>1</v>
      </c>
      <c r="J3022" s="4">
        <v>1</v>
      </c>
      <c r="K3022" s="4" t="s">
        <v>330</v>
      </c>
    </row>
    <row r="3023" spans="1:11" s="4" customFormat="1">
      <c r="A3023" s="4">
        <v>1100029</v>
      </c>
      <c r="B3023" s="4">
        <v>1</v>
      </c>
      <c r="C3023" s="4">
        <v>1</v>
      </c>
      <c r="D3023" s="4">
        <v>1</v>
      </c>
      <c r="E3023" s="4">
        <v>2</v>
      </c>
      <c r="F3023" s="4">
        <v>1</v>
      </c>
      <c r="G3023" s="4">
        <v>99920019</v>
      </c>
      <c r="H3023" s="4">
        <v>3333</v>
      </c>
      <c r="I3023" s="4">
        <v>1</v>
      </c>
      <c r="J3023" s="4">
        <v>1</v>
      </c>
      <c r="K3023" s="4" t="s">
        <v>331</v>
      </c>
    </row>
    <row r="3024" spans="1:11" s="4" customFormat="1">
      <c r="A3024" s="4">
        <v>1000030</v>
      </c>
      <c r="B3024" s="4">
        <v>1</v>
      </c>
      <c r="C3024" s="4">
        <v>1</v>
      </c>
      <c r="D3024" s="4">
        <v>1</v>
      </c>
      <c r="E3024" s="4">
        <v>2</v>
      </c>
      <c r="F3024" s="4">
        <v>1</v>
      </c>
      <c r="G3024" s="4">
        <v>99930001</v>
      </c>
      <c r="H3024" s="4">
        <v>1600</v>
      </c>
      <c r="I3024" s="4">
        <v>1</v>
      </c>
      <c r="J3024" s="4">
        <v>1</v>
      </c>
      <c r="K3024" s="4" t="s">
        <v>339</v>
      </c>
    </row>
    <row r="3025" spans="1:11" s="4" customFormat="1">
      <c r="A3025" s="4">
        <v>1000030</v>
      </c>
      <c r="B3025" s="4">
        <v>1</v>
      </c>
      <c r="C3025" s="4">
        <v>1</v>
      </c>
      <c r="D3025" s="4">
        <v>1</v>
      </c>
      <c r="E3025" s="4">
        <v>2</v>
      </c>
      <c r="F3025" s="4">
        <v>1</v>
      </c>
      <c r="G3025" s="4">
        <v>99930002</v>
      </c>
      <c r="H3025" s="4">
        <v>1500</v>
      </c>
      <c r="I3025" s="4">
        <v>1</v>
      </c>
      <c r="J3025" s="4">
        <v>1</v>
      </c>
      <c r="K3025" s="4" t="s">
        <v>340</v>
      </c>
    </row>
    <row r="3026" spans="1:11" s="4" customFormat="1">
      <c r="A3026" s="4">
        <v>1000030</v>
      </c>
      <c r="B3026" s="4">
        <v>1</v>
      </c>
      <c r="C3026" s="4">
        <v>1</v>
      </c>
      <c r="D3026" s="4">
        <v>1</v>
      </c>
      <c r="E3026" s="4">
        <v>2</v>
      </c>
      <c r="F3026" s="4">
        <v>1</v>
      </c>
      <c r="G3026" s="4">
        <v>99930003</v>
      </c>
      <c r="H3026" s="4">
        <v>1500</v>
      </c>
      <c r="I3026" s="4">
        <v>1</v>
      </c>
      <c r="J3026" s="4">
        <v>1</v>
      </c>
      <c r="K3026" s="4" t="s">
        <v>341</v>
      </c>
    </row>
    <row r="3027" spans="1:11" s="4" customFormat="1">
      <c r="A3027" s="4">
        <v>1000030</v>
      </c>
      <c r="B3027" s="4">
        <v>1</v>
      </c>
      <c r="C3027" s="4">
        <v>1</v>
      </c>
      <c r="D3027" s="4">
        <v>1</v>
      </c>
      <c r="E3027" s="4">
        <v>2</v>
      </c>
      <c r="F3027" s="4">
        <v>1</v>
      </c>
      <c r="G3027" s="4">
        <v>99930004</v>
      </c>
      <c r="H3027" s="4">
        <v>1000</v>
      </c>
      <c r="I3027" s="4">
        <v>1</v>
      </c>
      <c r="J3027" s="4">
        <v>1</v>
      </c>
      <c r="K3027" s="4" t="s">
        <v>342</v>
      </c>
    </row>
    <row r="3028" spans="1:11" s="4" customFormat="1">
      <c r="A3028" s="4">
        <v>1000030</v>
      </c>
      <c r="B3028" s="4">
        <v>1</v>
      </c>
      <c r="C3028" s="4">
        <v>1</v>
      </c>
      <c r="D3028" s="4">
        <v>1</v>
      </c>
      <c r="E3028" s="4">
        <v>2</v>
      </c>
      <c r="F3028" s="4">
        <v>1</v>
      </c>
      <c r="G3028" s="4">
        <v>99930005</v>
      </c>
      <c r="H3028" s="4">
        <v>1000</v>
      </c>
      <c r="I3028" s="4">
        <v>1</v>
      </c>
      <c r="J3028" s="4">
        <v>1</v>
      </c>
      <c r="K3028" s="4" t="s">
        <v>343</v>
      </c>
    </row>
    <row r="3029" spans="1:11" s="4" customFormat="1">
      <c r="A3029" s="4">
        <v>1000030</v>
      </c>
      <c r="B3029" s="4">
        <v>1</v>
      </c>
      <c r="C3029" s="4">
        <v>1</v>
      </c>
      <c r="D3029" s="4">
        <v>1</v>
      </c>
      <c r="E3029" s="4">
        <v>2</v>
      </c>
      <c r="F3029" s="4">
        <v>1</v>
      </c>
      <c r="G3029" s="4">
        <v>99930006</v>
      </c>
      <c r="H3029" s="4">
        <v>600</v>
      </c>
      <c r="I3029" s="4">
        <v>1</v>
      </c>
      <c r="J3029" s="4">
        <v>1</v>
      </c>
      <c r="K3029" s="4" t="s">
        <v>344</v>
      </c>
    </row>
    <row r="3030" spans="1:11" s="4" customFormat="1">
      <c r="A3030" s="4">
        <v>1000030</v>
      </c>
      <c r="B3030" s="4">
        <v>1</v>
      </c>
      <c r="C3030" s="4">
        <v>1</v>
      </c>
      <c r="D3030" s="4">
        <v>1</v>
      </c>
      <c r="E3030" s="4">
        <v>2</v>
      </c>
      <c r="F3030" s="4">
        <v>1</v>
      </c>
      <c r="G3030" s="4">
        <v>99930007</v>
      </c>
      <c r="H3030" s="4">
        <v>600</v>
      </c>
      <c r="I3030" s="4">
        <v>1</v>
      </c>
      <c r="J3030" s="4">
        <v>1</v>
      </c>
      <c r="K3030" s="4" t="s">
        <v>345</v>
      </c>
    </row>
    <row r="3031" spans="1:11" s="4" customFormat="1">
      <c r="A3031" s="4">
        <v>1000030</v>
      </c>
      <c r="B3031" s="4">
        <v>1</v>
      </c>
      <c r="C3031" s="4">
        <v>1</v>
      </c>
      <c r="D3031" s="4">
        <v>1</v>
      </c>
      <c r="E3031" s="4">
        <v>2</v>
      </c>
      <c r="F3031" s="4">
        <v>1</v>
      </c>
      <c r="G3031" s="4">
        <v>99930008</v>
      </c>
      <c r="H3031" s="4">
        <v>600</v>
      </c>
      <c r="I3031" s="4">
        <v>1</v>
      </c>
      <c r="J3031" s="4">
        <v>1</v>
      </c>
      <c r="K3031" s="4" t="s">
        <v>346</v>
      </c>
    </row>
    <row r="3032" spans="1:11" s="4" customFormat="1">
      <c r="A3032" s="4">
        <v>1000030</v>
      </c>
      <c r="B3032" s="4">
        <v>1</v>
      </c>
      <c r="C3032" s="4">
        <v>1</v>
      </c>
      <c r="D3032" s="4">
        <v>1</v>
      </c>
      <c r="E3032" s="4">
        <v>2</v>
      </c>
      <c r="F3032" s="4">
        <v>1</v>
      </c>
      <c r="G3032" s="4">
        <v>99930009</v>
      </c>
      <c r="H3032" s="4">
        <v>600</v>
      </c>
      <c r="I3032" s="4">
        <v>1</v>
      </c>
      <c r="J3032" s="4">
        <v>1</v>
      </c>
      <c r="K3032" s="4" t="s">
        <v>347</v>
      </c>
    </row>
    <row r="3033" spans="1:11" s="4" customFormat="1">
      <c r="A3033" s="4">
        <v>1000030</v>
      </c>
      <c r="B3033" s="4">
        <v>1</v>
      </c>
      <c r="C3033" s="4">
        <v>1</v>
      </c>
      <c r="D3033" s="4">
        <v>1</v>
      </c>
      <c r="E3033" s="4">
        <v>2</v>
      </c>
      <c r="F3033" s="4">
        <v>1</v>
      </c>
      <c r="G3033" s="4">
        <v>99930010</v>
      </c>
      <c r="H3033" s="4">
        <v>300</v>
      </c>
      <c r="I3033" s="4">
        <v>1</v>
      </c>
      <c r="J3033" s="4">
        <v>1</v>
      </c>
      <c r="K3033" s="4" t="s">
        <v>348</v>
      </c>
    </row>
    <row r="3034" spans="1:11" s="4" customFormat="1">
      <c r="A3034" s="4">
        <v>1000030</v>
      </c>
      <c r="B3034" s="4">
        <v>1</v>
      </c>
      <c r="C3034" s="4">
        <v>1</v>
      </c>
      <c r="D3034" s="4">
        <v>1</v>
      </c>
      <c r="E3034" s="4">
        <v>2</v>
      </c>
      <c r="F3034" s="4">
        <v>1</v>
      </c>
      <c r="G3034" s="4">
        <v>99930015</v>
      </c>
      <c r="H3034" s="4">
        <v>300</v>
      </c>
      <c r="I3034" s="4">
        <v>1</v>
      </c>
      <c r="J3034" s="4">
        <v>1</v>
      </c>
      <c r="K3034" s="4" t="s">
        <v>87</v>
      </c>
    </row>
    <row r="3035" spans="1:11" s="4" customFormat="1">
      <c r="A3035" s="4">
        <v>1000030</v>
      </c>
      <c r="B3035" s="4">
        <v>1</v>
      </c>
      <c r="C3035" s="4">
        <v>1</v>
      </c>
      <c r="D3035" s="4">
        <v>1</v>
      </c>
      <c r="E3035" s="4">
        <v>2</v>
      </c>
      <c r="F3035" s="4">
        <v>1</v>
      </c>
      <c r="G3035" s="4">
        <v>99930011</v>
      </c>
      <c r="H3035" s="4">
        <v>100</v>
      </c>
      <c r="I3035" s="4">
        <v>1</v>
      </c>
      <c r="J3035" s="4">
        <v>1</v>
      </c>
      <c r="K3035" s="4" t="s">
        <v>349</v>
      </c>
    </row>
    <row r="3036" spans="1:11" s="4" customFormat="1">
      <c r="A3036" s="4">
        <v>1000030</v>
      </c>
      <c r="B3036" s="4">
        <v>1</v>
      </c>
      <c r="C3036" s="4">
        <v>1</v>
      </c>
      <c r="D3036" s="4">
        <v>1</v>
      </c>
      <c r="E3036" s="4">
        <v>2</v>
      </c>
      <c r="F3036" s="4">
        <v>1</v>
      </c>
      <c r="G3036" s="4">
        <v>99930012</v>
      </c>
      <c r="H3036" s="4">
        <v>100</v>
      </c>
      <c r="I3036" s="4">
        <v>1</v>
      </c>
      <c r="J3036" s="4">
        <v>1</v>
      </c>
      <c r="K3036" s="4" t="s">
        <v>350</v>
      </c>
    </row>
    <row r="3037" spans="1:11" s="4" customFormat="1">
      <c r="A3037" s="4">
        <v>1000030</v>
      </c>
      <c r="B3037" s="4">
        <v>1</v>
      </c>
      <c r="C3037" s="4">
        <v>1</v>
      </c>
      <c r="D3037" s="4">
        <v>1</v>
      </c>
      <c r="E3037" s="4">
        <v>2</v>
      </c>
      <c r="F3037" s="4">
        <v>1</v>
      </c>
      <c r="G3037" s="4">
        <v>99930013</v>
      </c>
      <c r="H3037" s="4">
        <v>100</v>
      </c>
      <c r="I3037" s="4">
        <v>1</v>
      </c>
      <c r="J3037" s="4">
        <v>1</v>
      </c>
      <c r="K3037" s="4" t="s">
        <v>351</v>
      </c>
    </row>
    <row r="3038" spans="1:11" s="4" customFormat="1">
      <c r="A3038" s="4">
        <v>1000030</v>
      </c>
      <c r="B3038" s="4">
        <v>1</v>
      </c>
      <c r="C3038" s="4">
        <v>1</v>
      </c>
      <c r="D3038" s="4">
        <v>1</v>
      </c>
      <c r="E3038" s="4">
        <v>2</v>
      </c>
      <c r="F3038" s="4">
        <v>1</v>
      </c>
      <c r="G3038" s="4">
        <v>99930016</v>
      </c>
      <c r="H3038" s="4">
        <v>100</v>
      </c>
      <c r="I3038" s="4">
        <v>1</v>
      </c>
      <c r="J3038" s="4">
        <v>1</v>
      </c>
      <c r="K3038" s="4" t="s">
        <v>353</v>
      </c>
    </row>
    <row r="3039" spans="1:11" s="4" customFormat="1">
      <c r="A3039" s="4">
        <v>1000031</v>
      </c>
      <c r="B3039" s="4">
        <v>1</v>
      </c>
      <c r="C3039" s="4">
        <v>1</v>
      </c>
      <c r="D3039" s="4">
        <v>1</v>
      </c>
      <c r="E3039" s="4">
        <v>2</v>
      </c>
      <c r="F3039" s="4">
        <v>1</v>
      </c>
      <c r="G3039" s="4">
        <v>99930011</v>
      </c>
      <c r="H3039" s="4">
        <v>2500</v>
      </c>
      <c r="I3039" s="4">
        <v>1</v>
      </c>
      <c r="J3039" s="4">
        <v>1</v>
      </c>
      <c r="K3039" s="4" t="s">
        <v>349</v>
      </c>
    </row>
    <row r="3040" spans="1:11" s="4" customFormat="1">
      <c r="A3040" s="4">
        <v>1000031</v>
      </c>
      <c r="B3040" s="4">
        <v>1</v>
      </c>
      <c r="C3040" s="4">
        <v>1</v>
      </c>
      <c r="D3040" s="4">
        <v>1</v>
      </c>
      <c r="E3040" s="4">
        <v>2</v>
      </c>
      <c r="F3040" s="4">
        <v>1</v>
      </c>
      <c r="G3040" s="4">
        <v>99930012</v>
      </c>
      <c r="H3040" s="4">
        <v>2500</v>
      </c>
      <c r="I3040" s="4">
        <v>1</v>
      </c>
      <c r="J3040" s="4">
        <v>1</v>
      </c>
      <c r="K3040" s="4" t="s">
        <v>350</v>
      </c>
    </row>
    <row r="3041" spans="1:11" s="4" customFormat="1">
      <c r="A3041" s="4">
        <v>1000031</v>
      </c>
      <c r="B3041" s="4">
        <v>1</v>
      </c>
      <c r="C3041" s="4">
        <v>1</v>
      </c>
      <c r="D3041" s="4">
        <v>1</v>
      </c>
      <c r="E3041" s="4">
        <v>2</v>
      </c>
      <c r="F3041" s="4">
        <v>1</v>
      </c>
      <c r="G3041" s="4">
        <v>99930013</v>
      </c>
      <c r="H3041" s="4">
        <v>2500</v>
      </c>
      <c r="I3041" s="4">
        <v>1</v>
      </c>
      <c r="J3041" s="4">
        <v>1</v>
      </c>
      <c r="K3041" s="4" t="s">
        <v>351</v>
      </c>
    </row>
    <row r="3042" spans="1:11" s="4" customFormat="1">
      <c r="A3042" s="4">
        <v>1000031</v>
      </c>
      <c r="B3042" s="4">
        <v>1</v>
      </c>
      <c r="C3042" s="4">
        <v>1</v>
      </c>
      <c r="D3042" s="4">
        <v>1</v>
      </c>
      <c r="E3042" s="4">
        <v>2</v>
      </c>
      <c r="F3042" s="4">
        <v>1</v>
      </c>
      <c r="G3042" s="4">
        <v>99930016</v>
      </c>
      <c r="H3042" s="4">
        <v>2500</v>
      </c>
      <c r="I3042" s="4">
        <v>1</v>
      </c>
      <c r="J3042" s="4">
        <v>1</v>
      </c>
      <c r="K3042" s="4" t="s">
        <v>353</v>
      </c>
    </row>
    <row r="3043" spans="1:11" s="4" customFormat="1">
      <c r="A3043" s="4">
        <v>1000032</v>
      </c>
      <c r="B3043" s="4">
        <v>1</v>
      </c>
      <c r="C3043" s="4">
        <v>1</v>
      </c>
      <c r="D3043" s="4">
        <v>1</v>
      </c>
      <c r="E3043" s="4">
        <v>2</v>
      </c>
      <c r="F3043" s="4">
        <v>0</v>
      </c>
      <c r="G3043" s="4">
        <v>99930032</v>
      </c>
      <c r="H3043" s="4">
        <v>3400</v>
      </c>
      <c r="I3043" s="4">
        <v>1</v>
      </c>
      <c r="J3043" s="4">
        <v>1</v>
      </c>
      <c r="K3043" s="4" t="s">
        <v>369</v>
      </c>
    </row>
    <row r="3044" spans="1:11" s="4" customFormat="1">
      <c r="A3044" s="4">
        <v>1000032</v>
      </c>
      <c r="B3044" s="4">
        <v>1</v>
      </c>
      <c r="C3044" s="4">
        <v>1</v>
      </c>
      <c r="D3044" s="4">
        <v>1</v>
      </c>
      <c r="E3044" s="4">
        <v>2</v>
      </c>
      <c r="F3044" s="4">
        <v>0</v>
      </c>
      <c r="G3044" s="4">
        <v>99930014</v>
      </c>
      <c r="H3044" s="4">
        <v>2200</v>
      </c>
      <c r="I3044" s="4">
        <v>1</v>
      </c>
      <c r="J3044" s="4">
        <v>1</v>
      </c>
      <c r="K3044" s="4" t="s">
        <v>352</v>
      </c>
    </row>
    <row r="3045" spans="1:11" s="4" customFormat="1">
      <c r="A3045" s="4">
        <v>1000032</v>
      </c>
      <c r="B3045" s="4">
        <v>1</v>
      </c>
      <c r="C3045" s="4">
        <v>1</v>
      </c>
      <c r="D3045" s="4">
        <v>1</v>
      </c>
      <c r="E3045" s="4">
        <v>2</v>
      </c>
      <c r="F3045" s="4">
        <v>0</v>
      </c>
      <c r="G3045" s="4">
        <v>99930017</v>
      </c>
      <c r="H3045" s="4">
        <v>2200</v>
      </c>
      <c r="I3045" s="4">
        <v>1</v>
      </c>
      <c r="J3045" s="4">
        <v>1</v>
      </c>
      <c r="K3045" s="4" t="s">
        <v>354</v>
      </c>
    </row>
    <row r="3046" spans="1:11" s="4" customFormat="1">
      <c r="A3046" s="4">
        <v>1000032</v>
      </c>
      <c r="B3046" s="4">
        <v>1</v>
      </c>
      <c r="C3046" s="4">
        <v>1</v>
      </c>
      <c r="D3046" s="4">
        <v>1</v>
      </c>
      <c r="E3046" s="4">
        <v>2</v>
      </c>
      <c r="F3046" s="4">
        <v>0</v>
      </c>
      <c r="G3046" s="4">
        <v>99930018</v>
      </c>
      <c r="H3046" s="4">
        <v>2200</v>
      </c>
      <c r="I3046" s="4">
        <v>1</v>
      </c>
      <c r="J3046" s="4">
        <v>1</v>
      </c>
      <c r="K3046" s="4" t="s">
        <v>355</v>
      </c>
    </row>
    <row r="3047" spans="1:11" s="4" customFormat="1">
      <c r="A3047" s="4">
        <v>1000039</v>
      </c>
      <c r="B3047" s="4">
        <v>1</v>
      </c>
      <c r="C3047" s="4">
        <v>1</v>
      </c>
      <c r="D3047" s="4">
        <v>1</v>
      </c>
      <c r="E3047" s="4">
        <v>2</v>
      </c>
      <c r="F3047" s="4">
        <v>1</v>
      </c>
      <c r="G3047" s="4">
        <v>99930014</v>
      </c>
      <c r="H3047" s="4">
        <v>3333</v>
      </c>
      <c r="I3047" s="4">
        <v>1</v>
      </c>
      <c r="J3047" s="4">
        <v>1</v>
      </c>
      <c r="K3047" s="4" t="s">
        <v>352</v>
      </c>
    </row>
    <row r="3048" spans="1:11" s="4" customFormat="1">
      <c r="A3048" s="4">
        <v>1000039</v>
      </c>
      <c r="B3048" s="4">
        <v>1</v>
      </c>
      <c r="C3048" s="4">
        <v>1</v>
      </c>
      <c r="D3048" s="4">
        <v>1</v>
      </c>
      <c r="E3048" s="4">
        <v>2</v>
      </c>
      <c r="F3048" s="4">
        <v>1</v>
      </c>
      <c r="G3048" s="4">
        <v>99930017</v>
      </c>
      <c r="H3048" s="4">
        <v>3333</v>
      </c>
      <c r="I3048" s="4">
        <v>1</v>
      </c>
      <c r="J3048" s="4">
        <v>1</v>
      </c>
      <c r="K3048" s="4" t="s">
        <v>354</v>
      </c>
    </row>
    <row r="3049" spans="1:11" s="4" customFormat="1">
      <c r="A3049" s="4">
        <v>1000039</v>
      </c>
      <c r="B3049" s="4">
        <v>1</v>
      </c>
      <c r="C3049" s="4">
        <v>1</v>
      </c>
      <c r="D3049" s="4">
        <v>1</v>
      </c>
      <c r="E3049" s="4">
        <v>2</v>
      </c>
      <c r="F3049" s="4">
        <v>1</v>
      </c>
      <c r="G3049" s="4">
        <v>99930018</v>
      </c>
      <c r="H3049" s="4">
        <v>3333</v>
      </c>
      <c r="I3049" s="4">
        <v>1</v>
      </c>
      <c r="J3049" s="4">
        <v>1</v>
      </c>
      <c r="K3049" s="4" t="s">
        <v>355</v>
      </c>
    </row>
    <row r="3050" spans="1:11" s="4" customFormat="1">
      <c r="A3050" s="4">
        <v>1100030</v>
      </c>
      <c r="B3050" s="4">
        <v>1</v>
      </c>
      <c r="C3050" s="4">
        <v>1</v>
      </c>
      <c r="D3050" s="4">
        <v>1</v>
      </c>
      <c r="E3050" s="4">
        <v>2</v>
      </c>
      <c r="F3050" s="4">
        <v>0</v>
      </c>
      <c r="G3050" s="4">
        <v>99930014</v>
      </c>
      <c r="H3050" s="4">
        <v>66</v>
      </c>
      <c r="I3050" s="4">
        <v>1</v>
      </c>
      <c r="J3050" s="4">
        <v>1</v>
      </c>
      <c r="K3050" s="4" t="s">
        <v>352</v>
      </c>
    </row>
    <row r="3051" spans="1:11" s="4" customFormat="1">
      <c r="A3051" s="4">
        <v>1100030</v>
      </c>
      <c r="B3051" s="4">
        <v>1</v>
      </c>
      <c r="C3051" s="4">
        <v>1</v>
      </c>
      <c r="D3051" s="4">
        <v>1</v>
      </c>
      <c r="E3051" s="4">
        <v>2</v>
      </c>
      <c r="F3051" s="4">
        <v>0</v>
      </c>
      <c r="G3051" s="4">
        <v>99930017</v>
      </c>
      <c r="H3051" s="4">
        <v>66</v>
      </c>
      <c r="I3051" s="4">
        <v>1</v>
      </c>
      <c r="J3051" s="4">
        <v>1</v>
      </c>
      <c r="K3051" s="4" t="s">
        <v>354</v>
      </c>
    </row>
    <row r="3052" spans="1:11" s="4" customFormat="1">
      <c r="A3052" s="4">
        <v>1100030</v>
      </c>
      <c r="B3052" s="4">
        <v>1</v>
      </c>
      <c r="C3052" s="4">
        <v>1</v>
      </c>
      <c r="D3052" s="4">
        <v>1</v>
      </c>
      <c r="E3052" s="4">
        <v>2</v>
      </c>
      <c r="F3052" s="4">
        <v>0</v>
      </c>
      <c r="G3052" s="4">
        <v>99930018</v>
      </c>
      <c r="H3052" s="4">
        <v>66</v>
      </c>
      <c r="I3052" s="4">
        <v>1</v>
      </c>
      <c r="J3052" s="4">
        <v>1</v>
      </c>
      <c r="K3052" s="4" t="s">
        <v>355</v>
      </c>
    </row>
    <row r="3053" spans="1:11" s="4" customFormat="1">
      <c r="A3053" s="4">
        <v>1100030</v>
      </c>
      <c r="B3053" s="4">
        <v>1</v>
      </c>
      <c r="C3053" s="4">
        <v>1</v>
      </c>
      <c r="D3053" s="4">
        <v>1</v>
      </c>
      <c r="E3053" s="4">
        <v>2</v>
      </c>
      <c r="F3053" s="4">
        <v>0</v>
      </c>
      <c r="G3053" s="4">
        <v>111001</v>
      </c>
      <c r="H3053" s="4">
        <v>9800</v>
      </c>
      <c r="I3053" s="4">
        <v>20</v>
      </c>
      <c r="J3053" s="4">
        <v>80</v>
      </c>
      <c r="K3053" s="4" t="s">
        <v>3044</v>
      </c>
    </row>
    <row r="3054" spans="1:11" s="4" customFormat="1">
      <c r="A3054" s="4">
        <v>1100031</v>
      </c>
      <c r="B3054" s="4">
        <v>1</v>
      </c>
      <c r="C3054" s="4">
        <v>1</v>
      </c>
      <c r="D3054" s="4">
        <v>1</v>
      </c>
      <c r="E3054" s="4">
        <v>2</v>
      </c>
      <c r="F3054" s="4">
        <v>0</v>
      </c>
      <c r="G3054" s="4">
        <v>99930019</v>
      </c>
      <c r="H3054" s="4">
        <v>3333</v>
      </c>
      <c r="I3054" s="4">
        <v>1</v>
      </c>
      <c r="J3054" s="4">
        <v>1</v>
      </c>
      <c r="K3054" s="4" t="s">
        <v>356</v>
      </c>
    </row>
    <row r="3055" spans="1:11" s="4" customFormat="1">
      <c r="A3055" s="4">
        <v>1100031</v>
      </c>
      <c r="B3055" s="4">
        <v>1</v>
      </c>
      <c r="C3055" s="4">
        <v>1</v>
      </c>
      <c r="D3055" s="4">
        <v>1</v>
      </c>
      <c r="E3055" s="4">
        <v>2</v>
      </c>
      <c r="F3055" s="4">
        <v>0</v>
      </c>
      <c r="G3055" s="4">
        <v>99930020</v>
      </c>
      <c r="H3055" s="4">
        <v>3333</v>
      </c>
      <c r="I3055" s="4">
        <v>1</v>
      </c>
      <c r="J3055" s="4">
        <v>1</v>
      </c>
      <c r="K3055" s="4" t="s">
        <v>357</v>
      </c>
    </row>
    <row r="3056" spans="1:11" s="4" customFormat="1">
      <c r="A3056" s="4">
        <v>1100031</v>
      </c>
      <c r="B3056" s="4">
        <v>1</v>
      </c>
      <c r="C3056" s="4">
        <v>1</v>
      </c>
      <c r="D3056" s="4">
        <v>1</v>
      </c>
      <c r="E3056" s="4">
        <v>2</v>
      </c>
      <c r="F3056" s="4">
        <v>0</v>
      </c>
      <c r="G3056" s="4">
        <v>99930021</v>
      </c>
      <c r="H3056" s="4">
        <v>3333</v>
      </c>
      <c r="I3056" s="4">
        <v>1</v>
      </c>
      <c r="J3056" s="4">
        <v>1</v>
      </c>
      <c r="K3056" s="4" t="s">
        <v>358</v>
      </c>
    </row>
    <row r="3057" spans="1:11" s="4" customFormat="1">
      <c r="A3057" s="4">
        <v>1100039</v>
      </c>
      <c r="B3057" s="4">
        <v>1</v>
      </c>
      <c r="C3057" s="4">
        <v>1</v>
      </c>
      <c r="D3057" s="4">
        <v>1</v>
      </c>
      <c r="E3057" s="4">
        <v>2</v>
      </c>
      <c r="F3057" s="4">
        <v>1</v>
      </c>
      <c r="G3057" s="4">
        <v>99930019</v>
      </c>
      <c r="H3057" s="4">
        <v>3333</v>
      </c>
      <c r="I3057" s="4">
        <v>1</v>
      </c>
      <c r="J3057" s="4">
        <v>1</v>
      </c>
      <c r="K3057" s="4" t="s">
        <v>356</v>
      </c>
    </row>
    <row r="3058" spans="1:11" s="4" customFormat="1">
      <c r="A3058" s="4">
        <v>1100039</v>
      </c>
      <c r="B3058" s="4">
        <v>1</v>
      </c>
      <c r="C3058" s="4">
        <v>1</v>
      </c>
      <c r="D3058" s="4">
        <v>1</v>
      </c>
      <c r="E3058" s="4">
        <v>2</v>
      </c>
      <c r="F3058" s="4">
        <v>1</v>
      </c>
      <c r="G3058" s="4">
        <v>99930020</v>
      </c>
      <c r="H3058" s="4">
        <v>3333</v>
      </c>
      <c r="I3058" s="4">
        <v>1</v>
      </c>
      <c r="J3058" s="4">
        <v>1</v>
      </c>
      <c r="K3058" s="4" t="s">
        <v>357</v>
      </c>
    </row>
    <row r="3059" spans="1:11" s="4" customFormat="1">
      <c r="A3059" s="4">
        <v>1100039</v>
      </c>
      <c r="B3059" s="4">
        <v>1</v>
      </c>
      <c r="C3059" s="4">
        <v>1</v>
      </c>
      <c r="D3059" s="4">
        <v>1</v>
      </c>
      <c r="E3059" s="4">
        <v>2</v>
      </c>
      <c r="F3059" s="4">
        <v>1</v>
      </c>
      <c r="G3059" s="4">
        <v>99930021</v>
      </c>
      <c r="H3059" s="4">
        <v>3333</v>
      </c>
      <c r="I3059" s="4">
        <v>1</v>
      </c>
      <c r="J3059" s="4">
        <v>1</v>
      </c>
      <c r="K3059" s="4" t="s">
        <v>358</v>
      </c>
    </row>
    <row r="3060" spans="1:11" s="4" customFormat="1">
      <c r="A3060" s="4">
        <v>1000040</v>
      </c>
      <c r="B3060" s="4">
        <v>1</v>
      </c>
      <c r="C3060" s="4">
        <v>1</v>
      </c>
      <c r="D3060" s="4">
        <v>1</v>
      </c>
      <c r="E3060" s="4">
        <v>2</v>
      </c>
      <c r="F3060" s="4">
        <v>1</v>
      </c>
      <c r="G3060" s="4">
        <v>99940001</v>
      </c>
      <c r="H3060" s="4">
        <v>1600</v>
      </c>
      <c r="I3060" s="4">
        <v>1</v>
      </c>
      <c r="J3060" s="4">
        <v>1</v>
      </c>
      <c r="K3060" s="4" t="s">
        <v>370</v>
      </c>
    </row>
    <row r="3061" spans="1:11" s="4" customFormat="1">
      <c r="A3061" s="4">
        <v>1000040</v>
      </c>
      <c r="B3061" s="4">
        <v>1</v>
      </c>
      <c r="C3061" s="4">
        <v>1</v>
      </c>
      <c r="D3061" s="4">
        <v>1</v>
      </c>
      <c r="E3061" s="4">
        <v>2</v>
      </c>
      <c r="F3061" s="4">
        <v>1</v>
      </c>
      <c r="G3061" s="4">
        <v>99940002</v>
      </c>
      <c r="H3061" s="4">
        <v>1600</v>
      </c>
      <c r="I3061" s="4">
        <v>1</v>
      </c>
      <c r="J3061" s="4">
        <v>1</v>
      </c>
      <c r="K3061" s="4" t="s">
        <v>371</v>
      </c>
    </row>
    <row r="3062" spans="1:11" s="4" customFormat="1">
      <c r="A3062" s="4">
        <v>1000040</v>
      </c>
      <c r="B3062" s="4">
        <v>1</v>
      </c>
      <c r="C3062" s="4">
        <v>1</v>
      </c>
      <c r="D3062" s="4">
        <v>1</v>
      </c>
      <c r="E3062" s="4">
        <v>2</v>
      </c>
      <c r="F3062" s="4">
        <v>1</v>
      </c>
      <c r="G3062" s="4">
        <v>99940003</v>
      </c>
      <c r="H3062" s="4">
        <v>1300</v>
      </c>
      <c r="I3062" s="4">
        <v>1</v>
      </c>
      <c r="J3062" s="4">
        <v>1</v>
      </c>
      <c r="K3062" s="4" t="s">
        <v>372</v>
      </c>
    </row>
    <row r="3063" spans="1:11" s="4" customFormat="1">
      <c r="A3063" s="4">
        <v>1000040</v>
      </c>
      <c r="B3063" s="4">
        <v>1</v>
      </c>
      <c r="C3063" s="4">
        <v>1</v>
      </c>
      <c r="D3063" s="4">
        <v>1</v>
      </c>
      <c r="E3063" s="4">
        <v>2</v>
      </c>
      <c r="F3063" s="4">
        <v>1</v>
      </c>
      <c r="G3063" s="4">
        <v>99940004</v>
      </c>
      <c r="H3063" s="4">
        <v>800</v>
      </c>
      <c r="I3063" s="4">
        <v>1</v>
      </c>
      <c r="J3063" s="4">
        <v>1</v>
      </c>
      <c r="K3063" s="4" t="s">
        <v>373</v>
      </c>
    </row>
    <row r="3064" spans="1:11" s="4" customFormat="1">
      <c r="A3064" s="4">
        <v>1000040</v>
      </c>
      <c r="B3064" s="4">
        <v>1</v>
      </c>
      <c r="C3064" s="4">
        <v>1</v>
      </c>
      <c r="D3064" s="4">
        <v>1</v>
      </c>
      <c r="E3064" s="4">
        <v>2</v>
      </c>
      <c r="F3064" s="4">
        <v>1</v>
      </c>
      <c r="G3064" s="4">
        <v>99940005</v>
      </c>
      <c r="H3064" s="4">
        <v>800</v>
      </c>
      <c r="I3064" s="4">
        <v>1</v>
      </c>
      <c r="J3064" s="4">
        <v>1</v>
      </c>
      <c r="K3064" s="4" t="s">
        <v>374</v>
      </c>
    </row>
    <row r="3065" spans="1:11" s="4" customFormat="1">
      <c r="A3065" s="4">
        <v>1000040</v>
      </c>
      <c r="B3065" s="4">
        <v>1</v>
      </c>
      <c r="C3065" s="4">
        <v>1</v>
      </c>
      <c r="D3065" s="4">
        <v>1</v>
      </c>
      <c r="E3065" s="4">
        <v>2</v>
      </c>
      <c r="F3065" s="4">
        <v>1</v>
      </c>
      <c r="G3065" s="4">
        <v>99940006</v>
      </c>
      <c r="H3065" s="4">
        <v>600</v>
      </c>
      <c r="I3065" s="4">
        <v>1</v>
      </c>
      <c r="J3065" s="4">
        <v>1</v>
      </c>
      <c r="K3065" s="4" t="s">
        <v>375</v>
      </c>
    </row>
    <row r="3066" spans="1:11" s="4" customFormat="1">
      <c r="A3066" s="4">
        <v>1000040</v>
      </c>
      <c r="B3066" s="4">
        <v>1</v>
      </c>
      <c r="C3066" s="4">
        <v>1</v>
      </c>
      <c r="D3066" s="4">
        <v>1</v>
      </c>
      <c r="E3066" s="4">
        <v>2</v>
      </c>
      <c r="F3066" s="4">
        <v>1</v>
      </c>
      <c r="G3066" s="4">
        <v>99940007</v>
      </c>
      <c r="H3066" s="4">
        <v>600</v>
      </c>
      <c r="I3066" s="4">
        <v>1</v>
      </c>
      <c r="J3066" s="4">
        <v>1</v>
      </c>
      <c r="K3066" s="4" t="s">
        <v>376</v>
      </c>
    </row>
    <row r="3067" spans="1:11" s="4" customFormat="1">
      <c r="A3067" s="4">
        <v>1000040</v>
      </c>
      <c r="B3067" s="4">
        <v>1</v>
      </c>
      <c r="C3067" s="4">
        <v>1</v>
      </c>
      <c r="D3067" s="4">
        <v>1</v>
      </c>
      <c r="E3067" s="4">
        <v>2</v>
      </c>
      <c r="F3067" s="4">
        <v>1</v>
      </c>
      <c r="G3067" s="4">
        <v>99940008</v>
      </c>
      <c r="H3067" s="4">
        <v>600</v>
      </c>
      <c r="I3067" s="4">
        <v>1</v>
      </c>
      <c r="J3067" s="4">
        <v>1</v>
      </c>
      <c r="K3067" s="4" t="s">
        <v>377</v>
      </c>
    </row>
    <row r="3068" spans="1:11" s="4" customFormat="1">
      <c r="A3068" s="4">
        <v>1000040</v>
      </c>
      <c r="B3068" s="4">
        <v>1</v>
      </c>
      <c r="C3068" s="4">
        <v>1</v>
      </c>
      <c r="D3068" s="4">
        <v>1</v>
      </c>
      <c r="E3068" s="4">
        <v>2</v>
      </c>
      <c r="F3068" s="4">
        <v>1</v>
      </c>
      <c r="G3068" s="4">
        <v>99940017</v>
      </c>
      <c r="H3068" s="4">
        <v>1300</v>
      </c>
      <c r="I3068" s="4">
        <v>1</v>
      </c>
      <c r="J3068" s="4">
        <v>1</v>
      </c>
      <c r="K3068" s="4" t="s">
        <v>385</v>
      </c>
    </row>
    <row r="3069" spans="1:11" s="4" customFormat="1">
      <c r="A3069" s="4">
        <v>1000040</v>
      </c>
      <c r="B3069" s="4">
        <v>1</v>
      </c>
      <c r="C3069" s="4">
        <v>1</v>
      </c>
      <c r="D3069" s="4">
        <v>1</v>
      </c>
      <c r="E3069" s="4">
        <v>2</v>
      </c>
      <c r="F3069" s="4">
        <v>1</v>
      </c>
      <c r="G3069" s="4">
        <v>99940018</v>
      </c>
      <c r="H3069" s="4">
        <v>600</v>
      </c>
      <c r="I3069" s="4">
        <v>1</v>
      </c>
      <c r="J3069" s="4">
        <v>1</v>
      </c>
      <c r="K3069" s="4" t="s">
        <v>386</v>
      </c>
    </row>
    <row r="3070" spans="1:11" s="4" customFormat="1">
      <c r="A3070" s="4">
        <v>1000040</v>
      </c>
      <c r="B3070" s="4">
        <v>1</v>
      </c>
      <c r="C3070" s="4">
        <v>1</v>
      </c>
      <c r="D3070" s="4">
        <v>1</v>
      </c>
      <c r="E3070" s="4">
        <v>2</v>
      </c>
      <c r="F3070" s="4">
        <v>1</v>
      </c>
      <c r="G3070" s="4">
        <v>99940009</v>
      </c>
      <c r="H3070" s="4">
        <v>50</v>
      </c>
      <c r="I3070" s="4">
        <v>1</v>
      </c>
      <c r="J3070" s="4">
        <v>1</v>
      </c>
      <c r="K3070" s="4" t="s">
        <v>378</v>
      </c>
    </row>
    <row r="3071" spans="1:11" s="4" customFormat="1">
      <c r="A3071" s="4">
        <v>1000040</v>
      </c>
      <c r="B3071" s="4">
        <v>1</v>
      </c>
      <c r="C3071" s="4">
        <v>1</v>
      </c>
      <c r="D3071" s="4">
        <v>1</v>
      </c>
      <c r="E3071" s="4">
        <v>2</v>
      </c>
      <c r="F3071" s="4">
        <v>1</v>
      </c>
      <c r="G3071" s="4">
        <v>99940013</v>
      </c>
      <c r="H3071" s="4">
        <v>50</v>
      </c>
      <c r="I3071" s="4">
        <v>1</v>
      </c>
      <c r="J3071" s="4">
        <v>1</v>
      </c>
      <c r="K3071" s="4" t="s">
        <v>616</v>
      </c>
    </row>
    <row r="3072" spans="1:11" s="4" customFormat="1">
      <c r="A3072" s="4">
        <v>1000040</v>
      </c>
      <c r="B3072" s="4">
        <v>1</v>
      </c>
      <c r="C3072" s="4">
        <v>1</v>
      </c>
      <c r="D3072" s="4">
        <v>1</v>
      </c>
      <c r="E3072" s="4">
        <v>2</v>
      </c>
      <c r="F3072" s="4">
        <v>1</v>
      </c>
      <c r="G3072" s="4">
        <v>99940014</v>
      </c>
      <c r="H3072" s="4">
        <v>50</v>
      </c>
      <c r="I3072" s="4">
        <v>1</v>
      </c>
      <c r="J3072" s="4">
        <v>1</v>
      </c>
      <c r="K3072" s="4" t="s">
        <v>382</v>
      </c>
    </row>
    <row r="3073" spans="1:11" s="4" customFormat="1">
      <c r="A3073" s="4">
        <v>1000040</v>
      </c>
      <c r="B3073" s="4">
        <v>1</v>
      </c>
      <c r="C3073" s="4">
        <v>1</v>
      </c>
      <c r="D3073" s="4">
        <v>1</v>
      </c>
      <c r="E3073" s="4">
        <v>2</v>
      </c>
      <c r="F3073" s="4">
        <v>1</v>
      </c>
      <c r="G3073" s="4">
        <v>99940019</v>
      </c>
      <c r="H3073" s="4">
        <v>50</v>
      </c>
      <c r="I3073" s="4">
        <v>1</v>
      </c>
      <c r="J3073" s="4">
        <v>1</v>
      </c>
      <c r="K3073" s="4" t="s">
        <v>387</v>
      </c>
    </row>
    <row r="3074" spans="1:11" s="4" customFormat="1">
      <c r="A3074" s="4">
        <v>1000041</v>
      </c>
      <c r="B3074" s="4">
        <v>1</v>
      </c>
      <c r="C3074" s="4">
        <v>1</v>
      </c>
      <c r="D3074" s="4">
        <v>1</v>
      </c>
      <c r="E3074" s="4">
        <v>2</v>
      </c>
      <c r="F3074" s="4">
        <v>1</v>
      </c>
      <c r="G3074" s="4">
        <v>99940009</v>
      </c>
      <c r="H3074" s="4">
        <v>3300</v>
      </c>
      <c r="I3074" s="4">
        <v>1</v>
      </c>
      <c r="J3074" s="4">
        <v>1</v>
      </c>
      <c r="K3074" s="4" t="s">
        <v>378</v>
      </c>
    </row>
    <row r="3075" spans="1:11" s="4" customFormat="1">
      <c r="A3075" s="4">
        <v>1000041</v>
      </c>
      <c r="B3075" s="4">
        <v>1</v>
      </c>
      <c r="C3075" s="4">
        <v>1</v>
      </c>
      <c r="D3075" s="4">
        <v>1</v>
      </c>
      <c r="E3075" s="4">
        <v>2</v>
      </c>
      <c r="F3075" s="4">
        <v>1</v>
      </c>
      <c r="G3075" s="4">
        <v>99940013</v>
      </c>
      <c r="H3075" s="4">
        <v>1700</v>
      </c>
      <c r="I3075" s="4">
        <v>1</v>
      </c>
      <c r="J3075" s="4">
        <v>1</v>
      </c>
      <c r="K3075" s="4" t="s">
        <v>616</v>
      </c>
    </row>
    <row r="3076" spans="1:11" s="4" customFormat="1">
      <c r="A3076" s="4">
        <v>1000041</v>
      </c>
      <c r="B3076" s="4">
        <v>1</v>
      </c>
      <c r="C3076" s="4">
        <v>1</v>
      </c>
      <c r="D3076" s="4">
        <v>1</v>
      </c>
      <c r="E3076" s="4">
        <v>2</v>
      </c>
      <c r="F3076" s="4">
        <v>1</v>
      </c>
      <c r="G3076" s="4">
        <v>99940014</v>
      </c>
      <c r="H3076" s="4">
        <v>1700</v>
      </c>
      <c r="I3076" s="4">
        <v>1</v>
      </c>
      <c r="J3076" s="4">
        <v>1</v>
      </c>
      <c r="K3076" s="4" t="s">
        <v>382</v>
      </c>
    </row>
    <row r="3077" spans="1:11" s="4" customFormat="1">
      <c r="A3077" s="4">
        <v>1000041</v>
      </c>
      <c r="B3077" s="4">
        <v>1</v>
      </c>
      <c r="C3077" s="4">
        <v>1</v>
      </c>
      <c r="D3077" s="4">
        <v>1</v>
      </c>
      <c r="E3077" s="4">
        <v>2</v>
      </c>
      <c r="F3077" s="4">
        <v>1</v>
      </c>
      <c r="G3077" s="4">
        <v>99940019</v>
      </c>
      <c r="H3077" s="4">
        <v>3300</v>
      </c>
      <c r="I3077" s="4">
        <v>1</v>
      </c>
      <c r="J3077" s="4">
        <v>1</v>
      </c>
      <c r="K3077" s="4" t="s">
        <v>387</v>
      </c>
    </row>
    <row r="3078" spans="1:11" s="4" customFormat="1">
      <c r="A3078" s="4">
        <v>1000042</v>
      </c>
      <c r="B3078" s="4">
        <v>1</v>
      </c>
      <c r="C3078" s="4">
        <v>1</v>
      </c>
      <c r="D3078" s="4">
        <v>1</v>
      </c>
      <c r="E3078" s="4">
        <v>2</v>
      </c>
      <c r="F3078" s="4">
        <v>0</v>
      </c>
      <c r="G3078" s="4">
        <v>99940015</v>
      </c>
      <c r="H3078" s="4">
        <v>3000</v>
      </c>
      <c r="I3078" s="4">
        <v>1</v>
      </c>
      <c r="J3078" s="4">
        <v>1</v>
      </c>
      <c r="K3078" s="4" t="s">
        <v>383</v>
      </c>
    </row>
    <row r="3079" spans="1:11" s="4" customFormat="1">
      <c r="A3079" s="4">
        <v>1000042</v>
      </c>
      <c r="B3079" s="4">
        <v>1</v>
      </c>
      <c r="C3079" s="4">
        <v>1</v>
      </c>
      <c r="D3079" s="4">
        <v>1</v>
      </c>
      <c r="E3079" s="4">
        <v>2</v>
      </c>
      <c r="F3079" s="4">
        <v>0</v>
      </c>
      <c r="G3079" s="4">
        <v>99940011</v>
      </c>
      <c r="H3079" s="4">
        <v>3000</v>
      </c>
      <c r="I3079" s="4">
        <v>1</v>
      </c>
      <c r="J3079" s="4">
        <v>1</v>
      </c>
      <c r="K3079" s="4" t="s">
        <v>380</v>
      </c>
    </row>
    <row r="3080" spans="1:11" s="4" customFormat="1">
      <c r="A3080" s="4">
        <v>1000042</v>
      </c>
      <c r="B3080" s="4">
        <v>1</v>
      </c>
      <c r="C3080" s="4">
        <v>1</v>
      </c>
      <c r="D3080" s="4">
        <v>1</v>
      </c>
      <c r="E3080" s="4">
        <v>2</v>
      </c>
      <c r="F3080" s="4">
        <v>0</v>
      </c>
      <c r="G3080" s="4">
        <v>99940020</v>
      </c>
      <c r="H3080" s="4">
        <v>3000</v>
      </c>
      <c r="I3080" s="4">
        <v>1</v>
      </c>
      <c r="J3080" s="4">
        <v>1</v>
      </c>
      <c r="K3080" s="4" t="s">
        <v>388</v>
      </c>
    </row>
    <row r="3081" spans="1:11" s="4" customFormat="1">
      <c r="A3081" s="4">
        <v>1000042</v>
      </c>
      <c r="B3081" s="4">
        <v>1</v>
      </c>
      <c r="C3081" s="4">
        <v>1</v>
      </c>
      <c r="D3081" s="4">
        <v>1</v>
      </c>
      <c r="E3081" s="4">
        <v>2</v>
      </c>
      <c r="F3081" s="4">
        <v>0</v>
      </c>
      <c r="G3081" s="4">
        <v>99940022</v>
      </c>
      <c r="H3081" s="4">
        <v>1000</v>
      </c>
      <c r="I3081" s="4">
        <v>1</v>
      </c>
      <c r="J3081" s="4">
        <v>1</v>
      </c>
      <c r="K3081" s="4" t="s">
        <v>390</v>
      </c>
    </row>
    <row r="3082" spans="1:11" s="4" customFormat="1">
      <c r="A3082" s="4">
        <v>1000049</v>
      </c>
      <c r="B3082" s="4">
        <v>1</v>
      </c>
      <c r="C3082" s="4">
        <v>1</v>
      </c>
      <c r="D3082" s="4">
        <v>1</v>
      </c>
      <c r="E3082" s="4">
        <v>2</v>
      </c>
      <c r="F3082" s="4">
        <v>1</v>
      </c>
      <c r="G3082" s="4">
        <v>99940015</v>
      </c>
      <c r="H3082" s="4">
        <v>3000</v>
      </c>
      <c r="I3082" s="4">
        <v>1</v>
      </c>
      <c r="J3082" s="4">
        <v>1</v>
      </c>
      <c r="K3082" s="4" t="s">
        <v>383</v>
      </c>
    </row>
    <row r="3083" spans="1:11" s="4" customFormat="1">
      <c r="A3083" s="4">
        <v>1000049</v>
      </c>
      <c r="B3083" s="4">
        <v>1</v>
      </c>
      <c r="C3083" s="4">
        <v>1</v>
      </c>
      <c r="D3083" s="4">
        <v>1</v>
      </c>
      <c r="E3083" s="4">
        <v>2</v>
      </c>
      <c r="F3083" s="4">
        <v>1</v>
      </c>
      <c r="G3083" s="4">
        <v>99940011</v>
      </c>
      <c r="H3083" s="4">
        <v>3000</v>
      </c>
      <c r="I3083" s="4">
        <v>1</v>
      </c>
      <c r="J3083" s="4">
        <v>1</v>
      </c>
      <c r="K3083" s="4" t="s">
        <v>380</v>
      </c>
    </row>
    <row r="3084" spans="1:11" s="4" customFormat="1">
      <c r="A3084" s="4">
        <v>1000049</v>
      </c>
      <c r="B3084" s="4">
        <v>1</v>
      </c>
      <c r="C3084" s="4">
        <v>1</v>
      </c>
      <c r="D3084" s="4">
        <v>1</v>
      </c>
      <c r="E3084" s="4">
        <v>2</v>
      </c>
      <c r="F3084" s="4">
        <v>1</v>
      </c>
      <c r="G3084" s="4">
        <v>99940020</v>
      </c>
      <c r="H3084" s="4">
        <v>3000</v>
      </c>
      <c r="I3084" s="4">
        <v>1</v>
      </c>
      <c r="J3084" s="4">
        <v>1</v>
      </c>
      <c r="K3084" s="4" t="s">
        <v>388</v>
      </c>
    </row>
    <row r="3085" spans="1:11" s="4" customFormat="1">
      <c r="A3085" s="4">
        <v>1000049</v>
      </c>
      <c r="B3085" s="4">
        <v>1</v>
      </c>
      <c r="C3085" s="4">
        <v>1</v>
      </c>
      <c r="D3085" s="4">
        <v>1</v>
      </c>
      <c r="E3085" s="4">
        <v>2</v>
      </c>
      <c r="F3085" s="4">
        <v>1</v>
      </c>
      <c r="G3085" s="4">
        <v>99940022</v>
      </c>
      <c r="H3085" s="4">
        <v>1000</v>
      </c>
      <c r="I3085" s="4">
        <v>1</v>
      </c>
      <c r="J3085" s="4">
        <v>1</v>
      </c>
      <c r="K3085" s="4" t="s">
        <v>390</v>
      </c>
    </row>
    <row r="3086" spans="1:11" s="4" customFormat="1">
      <c r="A3086" s="4">
        <v>1100040</v>
      </c>
      <c r="B3086" s="4">
        <v>1</v>
      </c>
      <c r="C3086" s="4">
        <v>1</v>
      </c>
      <c r="D3086" s="4">
        <v>1</v>
      </c>
      <c r="E3086" s="4">
        <v>2</v>
      </c>
      <c r="F3086" s="4">
        <v>0</v>
      </c>
      <c r="G3086" s="4">
        <v>99940015</v>
      </c>
      <c r="H3086" s="4">
        <v>45</v>
      </c>
      <c r="I3086" s="4">
        <v>1</v>
      </c>
      <c r="J3086" s="4">
        <v>1</v>
      </c>
      <c r="K3086" s="4" t="s">
        <v>383</v>
      </c>
    </row>
    <row r="3087" spans="1:11" s="4" customFormat="1">
      <c r="A3087" s="4">
        <v>1100040</v>
      </c>
      <c r="B3087" s="4">
        <v>1</v>
      </c>
      <c r="C3087" s="4">
        <v>1</v>
      </c>
      <c r="D3087" s="4">
        <v>1</v>
      </c>
      <c r="E3087" s="4">
        <v>2</v>
      </c>
      <c r="F3087" s="4">
        <v>0</v>
      </c>
      <c r="G3087" s="4">
        <v>99940011</v>
      </c>
      <c r="H3087" s="4">
        <v>45</v>
      </c>
      <c r="I3087" s="4">
        <v>1</v>
      </c>
      <c r="J3087" s="4">
        <v>1</v>
      </c>
      <c r="K3087" s="4" t="s">
        <v>380</v>
      </c>
    </row>
    <row r="3088" spans="1:11" s="4" customFormat="1">
      <c r="A3088" s="4">
        <v>1100040</v>
      </c>
      <c r="B3088" s="4">
        <v>1</v>
      </c>
      <c r="C3088" s="4">
        <v>1</v>
      </c>
      <c r="D3088" s="4">
        <v>1</v>
      </c>
      <c r="E3088" s="4">
        <v>2</v>
      </c>
      <c r="F3088" s="4">
        <v>0</v>
      </c>
      <c r="G3088" s="4">
        <v>99940020</v>
      </c>
      <c r="H3088" s="4">
        <v>45</v>
      </c>
      <c r="I3088" s="4">
        <v>1</v>
      </c>
      <c r="J3088" s="4">
        <v>1</v>
      </c>
      <c r="K3088" s="4" t="s">
        <v>388</v>
      </c>
    </row>
    <row r="3089" spans="1:11" s="4" customFormat="1">
      <c r="A3089" s="4">
        <v>1100040</v>
      </c>
      <c r="B3089" s="4">
        <v>1</v>
      </c>
      <c r="C3089" s="4">
        <v>1</v>
      </c>
      <c r="D3089" s="4">
        <v>1</v>
      </c>
      <c r="E3089" s="4">
        <v>2</v>
      </c>
      <c r="F3089" s="4">
        <v>0</v>
      </c>
      <c r="G3089" s="4">
        <v>99940022</v>
      </c>
      <c r="H3089" s="4">
        <v>15</v>
      </c>
      <c r="I3089" s="4">
        <v>1</v>
      </c>
      <c r="J3089" s="4">
        <v>1</v>
      </c>
      <c r="K3089" s="4" t="s">
        <v>390</v>
      </c>
    </row>
    <row r="3090" spans="1:11" s="4" customFormat="1">
      <c r="A3090" s="4">
        <v>1100040</v>
      </c>
      <c r="B3090" s="4">
        <v>1</v>
      </c>
      <c r="C3090" s="4">
        <v>1</v>
      </c>
      <c r="D3090" s="4">
        <v>1</v>
      </c>
      <c r="E3090" s="4">
        <v>2</v>
      </c>
      <c r="F3090" s="4">
        <v>0</v>
      </c>
      <c r="G3090" s="4">
        <v>111001</v>
      </c>
      <c r="H3090" s="4">
        <v>9850</v>
      </c>
      <c r="I3090" s="4">
        <v>20</v>
      </c>
      <c r="J3090" s="4">
        <v>80</v>
      </c>
      <c r="K3090" s="4" t="s">
        <v>3044</v>
      </c>
    </row>
    <row r="3091" spans="1:11" s="4" customFormat="1">
      <c r="A3091" s="4">
        <v>1100041</v>
      </c>
      <c r="B3091" s="4">
        <v>1</v>
      </c>
      <c r="C3091" s="4">
        <v>1</v>
      </c>
      <c r="D3091" s="4">
        <v>1</v>
      </c>
      <c r="E3091" s="4">
        <v>2</v>
      </c>
      <c r="F3091" s="4">
        <v>0</v>
      </c>
      <c r="G3091" s="4">
        <v>99940010</v>
      </c>
      <c r="H3091" s="4">
        <v>3333</v>
      </c>
      <c r="I3091" s="4">
        <v>1</v>
      </c>
      <c r="J3091" s="4">
        <v>1</v>
      </c>
      <c r="K3091" s="4" t="s">
        <v>379</v>
      </c>
    </row>
    <row r="3092" spans="1:11" s="4" customFormat="1">
      <c r="A3092" s="4">
        <v>1100041</v>
      </c>
      <c r="B3092" s="4">
        <v>1</v>
      </c>
      <c r="C3092" s="4">
        <v>1</v>
      </c>
      <c r="D3092" s="4">
        <v>1</v>
      </c>
      <c r="E3092" s="4">
        <v>2</v>
      </c>
      <c r="F3092" s="4">
        <v>0</v>
      </c>
      <c r="G3092" s="4">
        <v>99940012</v>
      </c>
      <c r="H3092" s="4">
        <v>3333</v>
      </c>
      <c r="I3092" s="4">
        <v>1</v>
      </c>
      <c r="J3092" s="4">
        <v>1</v>
      </c>
      <c r="K3092" s="4" t="s">
        <v>381</v>
      </c>
    </row>
    <row r="3093" spans="1:11" s="4" customFormat="1">
      <c r="A3093" s="4">
        <v>1100041</v>
      </c>
      <c r="B3093" s="4">
        <v>1</v>
      </c>
      <c r="C3093" s="4">
        <v>1</v>
      </c>
      <c r="D3093" s="4">
        <v>1</v>
      </c>
      <c r="E3093" s="4">
        <v>2</v>
      </c>
      <c r="F3093" s="4">
        <v>0</v>
      </c>
      <c r="G3093" s="4">
        <v>99940016</v>
      </c>
      <c r="H3093" s="4">
        <v>3333</v>
      </c>
      <c r="I3093" s="4">
        <v>1</v>
      </c>
      <c r="J3093" s="4">
        <v>1</v>
      </c>
      <c r="K3093" s="4" t="s">
        <v>384</v>
      </c>
    </row>
    <row r="3094" spans="1:11" s="4" customFormat="1">
      <c r="A3094" s="4">
        <v>1100049</v>
      </c>
      <c r="B3094" s="4">
        <v>1</v>
      </c>
      <c r="C3094" s="4">
        <v>1</v>
      </c>
      <c r="D3094" s="4">
        <v>1</v>
      </c>
      <c r="E3094" s="4">
        <v>2</v>
      </c>
      <c r="F3094" s="4">
        <v>1</v>
      </c>
      <c r="G3094" s="4">
        <v>99940010</v>
      </c>
      <c r="H3094" s="4">
        <v>3333</v>
      </c>
      <c r="I3094" s="4">
        <v>1</v>
      </c>
      <c r="J3094" s="4">
        <v>1</v>
      </c>
      <c r="K3094" s="4" t="s">
        <v>379</v>
      </c>
    </row>
    <row r="3095" spans="1:11" s="4" customFormat="1">
      <c r="A3095" s="4">
        <v>1100049</v>
      </c>
      <c r="B3095" s="4">
        <v>1</v>
      </c>
      <c r="C3095" s="4">
        <v>1</v>
      </c>
      <c r="D3095" s="4">
        <v>1</v>
      </c>
      <c r="E3095" s="4">
        <v>2</v>
      </c>
      <c r="F3095" s="4">
        <v>1</v>
      </c>
      <c r="G3095" s="4">
        <v>99940012</v>
      </c>
      <c r="H3095" s="4">
        <v>3333</v>
      </c>
      <c r="I3095" s="4">
        <v>1</v>
      </c>
      <c r="J3095" s="4">
        <v>1</v>
      </c>
      <c r="K3095" s="4" t="s">
        <v>381</v>
      </c>
    </row>
    <row r="3096" spans="1:11" s="4" customFormat="1">
      <c r="A3096" s="4">
        <v>1100049</v>
      </c>
      <c r="B3096" s="4">
        <v>1</v>
      </c>
      <c r="C3096" s="4">
        <v>1</v>
      </c>
      <c r="D3096" s="4">
        <v>1</v>
      </c>
      <c r="E3096" s="4">
        <v>2</v>
      </c>
      <c r="F3096" s="4">
        <v>1</v>
      </c>
      <c r="G3096" s="4">
        <v>99940016</v>
      </c>
      <c r="H3096" s="4">
        <v>3333</v>
      </c>
      <c r="I3096" s="4">
        <v>1</v>
      </c>
      <c r="J3096" s="4">
        <v>1</v>
      </c>
      <c r="K3096" s="4" t="s">
        <v>384</v>
      </c>
    </row>
    <row r="3097" spans="1:11" s="4" customFormat="1">
      <c r="A3097" s="4">
        <v>1000050</v>
      </c>
      <c r="B3097" s="4">
        <v>1</v>
      </c>
      <c r="C3097" s="4">
        <v>1</v>
      </c>
      <c r="D3097" s="4">
        <v>1</v>
      </c>
      <c r="E3097" s="4">
        <v>2</v>
      </c>
      <c r="F3097" s="4">
        <v>1</v>
      </c>
      <c r="G3097" s="4">
        <v>99980113</v>
      </c>
      <c r="H3097" s="4">
        <v>2050</v>
      </c>
      <c r="I3097" s="4">
        <v>1</v>
      </c>
      <c r="J3097" s="4">
        <v>1</v>
      </c>
      <c r="K3097" s="4" t="s">
        <v>617</v>
      </c>
    </row>
    <row r="3098" spans="1:11" s="4" customFormat="1">
      <c r="A3098" s="4">
        <v>1000050</v>
      </c>
      <c r="B3098" s="4">
        <v>1</v>
      </c>
      <c r="C3098" s="4">
        <v>1</v>
      </c>
      <c r="D3098" s="4">
        <v>1</v>
      </c>
      <c r="E3098" s="4">
        <v>2</v>
      </c>
      <c r="F3098" s="4">
        <v>1</v>
      </c>
      <c r="G3098" s="4">
        <v>99990113</v>
      </c>
      <c r="H3098" s="4">
        <v>2050</v>
      </c>
      <c r="I3098" s="4">
        <v>1</v>
      </c>
      <c r="J3098" s="4">
        <v>1</v>
      </c>
      <c r="K3098" s="4" t="s">
        <v>618</v>
      </c>
    </row>
    <row r="3099" spans="1:11" s="4" customFormat="1">
      <c r="A3099" s="4">
        <v>1000050</v>
      </c>
      <c r="B3099" s="4">
        <v>1</v>
      </c>
      <c r="C3099" s="4">
        <v>1</v>
      </c>
      <c r="D3099" s="4">
        <v>1</v>
      </c>
      <c r="E3099" s="4">
        <v>2</v>
      </c>
      <c r="F3099" s="4">
        <v>1</v>
      </c>
      <c r="G3099" s="4">
        <v>99980213</v>
      </c>
      <c r="H3099" s="4">
        <v>1600</v>
      </c>
      <c r="I3099" s="4">
        <v>1</v>
      </c>
      <c r="J3099" s="4">
        <v>1</v>
      </c>
      <c r="K3099" s="4" t="s">
        <v>392</v>
      </c>
    </row>
    <row r="3100" spans="1:11" s="4" customFormat="1">
      <c r="A3100" s="4">
        <v>1000050</v>
      </c>
      <c r="B3100" s="4">
        <v>1</v>
      </c>
      <c r="C3100" s="4">
        <v>1</v>
      </c>
      <c r="D3100" s="4">
        <v>1</v>
      </c>
      <c r="E3100" s="4">
        <v>2</v>
      </c>
      <c r="F3100" s="4">
        <v>1</v>
      </c>
      <c r="G3100" s="4">
        <v>99990213</v>
      </c>
      <c r="H3100" s="4">
        <v>1600</v>
      </c>
      <c r="I3100" s="4">
        <v>1</v>
      </c>
      <c r="J3100" s="4">
        <v>1</v>
      </c>
      <c r="K3100" s="4" t="s">
        <v>619</v>
      </c>
    </row>
    <row r="3101" spans="1:11" s="4" customFormat="1">
      <c r="A3101" s="4">
        <v>1000050</v>
      </c>
      <c r="B3101" s="4">
        <v>1</v>
      </c>
      <c r="C3101" s="4">
        <v>1</v>
      </c>
      <c r="D3101" s="4">
        <v>1</v>
      </c>
      <c r="E3101" s="4">
        <v>2</v>
      </c>
      <c r="F3101" s="4">
        <v>1</v>
      </c>
      <c r="G3101" s="4">
        <v>99980313</v>
      </c>
      <c r="H3101" s="4">
        <v>1100</v>
      </c>
      <c r="I3101" s="4">
        <v>1</v>
      </c>
      <c r="J3101" s="4">
        <v>1</v>
      </c>
      <c r="K3101" s="4" t="s">
        <v>393</v>
      </c>
    </row>
    <row r="3102" spans="1:11" s="4" customFormat="1">
      <c r="A3102" s="4">
        <v>1000050</v>
      </c>
      <c r="B3102" s="4">
        <v>1</v>
      </c>
      <c r="C3102" s="4">
        <v>1</v>
      </c>
      <c r="D3102" s="4">
        <v>1</v>
      </c>
      <c r="E3102" s="4">
        <v>2</v>
      </c>
      <c r="F3102" s="4">
        <v>1</v>
      </c>
      <c r="G3102" s="4">
        <v>99990313</v>
      </c>
      <c r="H3102" s="4">
        <v>1100</v>
      </c>
      <c r="I3102" s="4">
        <v>1</v>
      </c>
      <c r="J3102" s="4">
        <v>1</v>
      </c>
      <c r="K3102" s="4" t="s">
        <v>620</v>
      </c>
    </row>
    <row r="3103" spans="1:11" s="4" customFormat="1">
      <c r="A3103" s="4">
        <v>1000050</v>
      </c>
      <c r="B3103" s="4">
        <v>1</v>
      </c>
      <c r="C3103" s="4">
        <v>1</v>
      </c>
      <c r="D3103" s="4">
        <v>1</v>
      </c>
      <c r="E3103" s="4">
        <v>2</v>
      </c>
      <c r="F3103" s="4">
        <v>1</v>
      </c>
      <c r="G3103" s="4">
        <v>99980413</v>
      </c>
      <c r="H3103" s="4">
        <v>100</v>
      </c>
      <c r="I3103" s="4">
        <v>1</v>
      </c>
      <c r="J3103" s="4">
        <v>1</v>
      </c>
      <c r="K3103" s="4" t="s">
        <v>394</v>
      </c>
    </row>
    <row r="3104" spans="1:11" s="4" customFormat="1">
      <c r="A3104" s="4">
        <v>1000050</v>
      </c>
      <c r="B3104" s="4">
        <v>1</v>
      </c>
      <c r="C3104" s="4">
        <v>1</v>
      </c>
      <c r="D3104" s="4">
        <v>1</v>
      </c>
      <c r="E3104" s="4">
        <v>2</v>
      </c>
      <c r="F3104" s="4">
        <v>1</v>
      </c>
      <c r="G3104" s="4">
        <v>99990413</v>
      </c>
      <c r="H3104" s="4">
        <v>100</v>
      </c>
      <c r="I3104" s="4">
        <v>1</v>
      </c>
      <c r="J3104" s="4">
        <v>1</v>
      </c>
      <c r="K3104" s="4" t="s">
        <v>621</v>
      </c>
    </row>
    <row r="3105" spans="1:11" s="4" customFormat="1">
      <c r="A3105" s="4">
        <v>1000050</v>
      </c>
      <c r="B3105" s="4">
        <v>1</v>
      </c>
      <c r="C3105" s="4">
        <v>1</v>
      </c>
      <c r="D3105" s="4">
        <v>1</v>
      </c>
      <c r="E3105" s="4">
        <v>2</v>
      </c>
      <c r="F3105" s="4">
        <v>1</v>
      </c>
      <c r="G3105" s="4">
        <v>99980423</v>
      </c>
      <c r="H3105" s="4">
        <v>100</v>
      </c>
      <c r="I3105" s="4">
        <v>1</v>
      </c>
      <c r="J3105" s="4">
        <v>1</v>
      </c>
      <c r="K3105" s="4" t="s">
        <v>622</v>
      </c>
    </row>
    <row r="3106" spans="1:11" s="4" customFormat="1">
      <c r="A3106" s="4">
        <v>1000050</v>
      </c>
      <c r="B3106" s="4">
        <v>1</v>
      </c>
      <c r="C3106" s="4">
        <v>1</v>
      </c>
      <c r="D3106" s="4">
        <v>1</v>
      </c>
      <c r="E3106" s="4">
        <v>2</v>
      </c>
      <c r="F3106" s="4">
        <v>1</v>
      </c>
      <c r="G3106" s="4">
        <v>99990423</v>
      </c>
      <c r="H3106" s="4">
        <v>100</v>
      </c>
      <c r="I3106" s="4">
        <v>1</v>
      </c>
      <c r="J3106" s="4">
        <v>1</v>
      </c>
      <c r="K3106" s="4" t="s">
        <v>623</v>
      </c>
    </row>
    <row r="3107" spans="1:11" s="4" customFormat="1">
      <c r="A3107" s="4">
        <v>1000050</v>
      </c>
      <c r="B3107" s="4">
        <v>1</v>
      </c>
      <c r="C3107" s="4">
        <v>1</v>
      </c>
      <c r="D3107" s="4">
        <v>1</v>
      </c>
      <c r="E3107" s="4">
        <v>2</v>
      </c>
      <c r="F3107" s="4">
        <v>1</v>
      </c>
      <c r="G3107" s="4">
        <v>99980433</v>
      </c>
      <c r="H3107" s="4">
        <v>100</v>
      </c>
      <c r="I3107" s="4">
        <v>1</v>
      </c>
      <c r="J3107" s="4">
        <v>1</v>
      </c>
      <c r="K3107" s="4" t="s">
        <v>624</v>
      </c>
    </row>
    <row r="3108" spans="1:11" s="4" customFormat="1">
      <c r="A3108" s="4">
        <v>1000050</v>
      </c>
      <c r="B3108" s="4">
        <v>1</v>
      </c>
      <c r="C3108" s="4">
        <v>1</v>
      </c>
      <c r="D3108" s="4">
        <v>1</v>
      </c>
      <c r="E3108" s="4">
        <v>2</v>
      </c>
      <c r="F3108" s="4">
        <v>1</v>
      </c>
      <c r="G3108" s="4">
        <v>99990433</v>
      </c>
      <c r="H3108" s="4">
        <v>100</v>
      </c>
      <c r="I3108" s="4">
        <v>1</v>
      </c>
      <c r="J3108" s="4">
        <v>1</v>
      </c>
      <c r="K3108" s="4" t="s">
        <v>625</v>
      </c>
    </row>
    <row r="3109" spans="1:11" s="4" customFormat="1">
      <c r="A3109" s="4">
        <v>1000051</v>
      </c>
      <c r="B3109" s="4">
        <v>1</v>
      </c>
      <c r="C3109" s="4">
        <v>1</v>
      </c>
      <c r="D3109" s="4">
        <v>1</v>
      </c>
      <c r="E3109" s="4">
        <v>2</v>
      </c>
      <c r="F3109" s="4">
        <v>0</v>
      </c>
      <c r="G3109" s="4">
        <v>99980413</v>
      </c>
      <c r="H3109" s="4">
        <v>500</v>
      </c>
      <c r="I3109" s="4">
        <v>1</v>
      </c>
      <c r="J3109" s="4">
        <v>1</v>
      </c>
      <c r="K3109" s="4" t="s">
        <v>394</v>
      </c>
    </row>
    <row r="3110" spans="1:11" s="4" customFormat="1">
      <c r="A3110" s="4">
        <v>1000051</v>
      </c>
      <c r="B3110" s="4">
        <v>1</v>
      </c>
      <c r="C3110" s="4">
        <v>1</v>
      </c>
      <c r="D3110" s="4">
        <v>1</v>
      </c>
      <c r="E3110" s="4">
        <v>2</v>
      </c>
      <c r="F3110" s="4">
        <v>0</v>
      </c>
      <c r="G3110" s="4">
        <v>99990413</v>
      </c>
      <c r="H3110" s="4">
        <v>500</v>
      </c>
      <c r="I3110" s="4">
        <v>1</v>
      </c>
      <c r="J3110" s="4">
        <v>1</v>
      </c>
      <c r="K3110" s="4" t="s">
        <v>621</v>
      </c>
    </row>
    <row r="3111" spans="1:11" s="4" customFormat="1">
      <c r="A3111" s="4">
        <v>1000051</v>
      </c>
      <c r="B3111" s="4">
        <v>1</v>
      </c>
      <c r="C3111" s="4">
        <v>1</v>
      </c>
      <c r="D3111" s="4">
        <v>1</v>
      </c>
      <c r="E3111" s="4">
        <v>2</v>
      </c>
      <c r="F3111" s="4">
        <v>0</v>
      </c>
      <c r="G3111" s="4">
        <v>99980423</v>
      </c>
      <c r="H3111" s="4">
        <v>500</v>
      </c>
      <c r="I3111" s="4">
        <v>1</v>
      </c>
      <c r="J3111" s="4">
        <v>1</v>
      </c>
      <c r="K3111" s="4" t="s">
        <v>622</v>
      </c>
    </row>
    <row r="3112" spans="1:11" s="4" customFormat="1">
      <c r="A3112" s="4">
        <v>1000051</v>
      </c>
      <c r="B3112" s="4">
        <v>1</v>
      </c>
      <c r="C3112" s="4">
        <v>1</v>
      </c>
      <c r="D3112" s="4">
        <v>1</v>
      </c>
      <c r="E3112" s="4">
        <v>2</v>
      </c>
      <c r="F3112" s="4">
        <v>0</v>
      </c>
      <c r="G3112" s="4">
        <v>99990423</v>
      </c>
      <c r="H3112" s="4">
        <v>500</v>
      </c>
      <c r="I3112" s="4">
        <v>1</v>
      </c>
      <c r="J3112" s="4">
        <v>1</v>
      </c>
      <c r="K3112" s="4" t="s">
        <v>623</v>
      </c>
    </row>
    <row r="3113" spans="1:11" s="4" customFormat="1">
      <c r="A3113" s="4">
        <v>1000051</v>
      </c>
      <c r="B3113" s="4">
        <v>1</v>
      </c>
      <c r="C3113" s="4">
        <v>1</v>
      </c>
      <c r="D3113" s="4">
        <v>1</v>
      </c>
      <c r="E3113" s="4">
        <v>2</v>
      </c>
      <c r="F3113" s="4">
        <v>0</v>
      </c>
      <c r="G3113" s="4">
        <v>99980433</v>
      </c>
      <c r="H3113" s="4">
        <v>500</v>
      </c>
      <c r="I3113" s="4">
        <v>1</v>
      </c>
      <c r="J3113" s="4">
        <v>1</v>
      </c>
      <c r="K3113" s="4" t="s">
        <v>624</v>
      </c>
    </row>
    <row r="3114" spans="1:11" s="4" customFormat="1">
      <c r="A3114" s="4">
        <v>1000051</v>
      </c>
      <c r="B3114" s="4">
        <v>1</v>
      </c>
      <c r="C3114" s="4">
        <v>1</v>
      </c>
      <c r="D3114" s="4">
        <v>1</v>
      </c>
      <c r="E3114" s="4">
        <v>2</v>
      </c>
      <c r="F3114" s="4">
        <v>0</v>
      </c>
      <c r="G3114" s="4">
        <v>99990433</v>
      </c>
      <c r="H3114" s="4">
        <v>500</v>
      </c>
      <c r="I3114" s="4">
        <v>1</v>
      </c>
      <c r="J3114" s="4">
        <v>1</v>
      </c>
      <c r="K3114" s="4" t="s">
        <v>625</v>
      </c>
    </row>
    <row r="3115" spans="1:11" s="4" customFormat="1">
      <c r="A3115" s="4">
        <v>1000051</v>
      </c>
      <c r="B3115" s="4">
        <v>1</v>
      </c>
      <c r="C3115" s="4">
        <v>1</v>
      </c>
      <c r="D3115" s="4">
        <v>1</v>
      </c>
      <c r="E3115" s="4">
        <v>2</v>
      </c>
      <c r="F3115" s="4">
        <v>0</v>
      </c>
      <c r="G3115" s="4">
        <v>99980513</v>
      </c>
      <c r="H3115" s="4">
        <v>1000</v>
      </c>
      <c r="I3115" s="4">
        <v>1</v>
      </c>
      <c r="J3115" s="4">
        <v>1</v>
      </c>
      <c r="K3115" s="4" t="s">
        <v>395</v>
      </c>
    </row>
    <row r="3116" spans="1:11" s="4" customFormat="1">
      <c r="A3116" s="4">
        <v>1000051</v>
      </c>
      <c r="B3116" s="4">
        <v>1</v>
      </c>
      <c r="C3116" s="4">
        <v>1</v>
      </c>
      <c r="D3116" s="4">
        <v>1</v>
      </c>
      <c r="E3116" s="4">
        <v>2</v>
      </c>
      <c r="F3116" s="4">
        <v>0</v>
      </c>
      <c r="G3116" s="4">
        <v>99990513</v>
      </c>
      <c r="H3116" s="4">
        <v>1000</v>
      </c>
      <c r="I3116" s="4">
        <v>1</v>
      </c>
      <c r="J3116" s="4">
        <v>1</v>
      </c>
      <c r="K3116" s="4" t="s">
        <v>626</v>
      </c>
    </row>
    <row r="3117" spans="1:11" s="4" customFormat="1">
      <c r="A3117" s="4">
        <v>1000051</v>
      </c>
      <c r="B3117" s="4">
        <v>1</v>
      </c>
      <c r="C3117" s="4">
        <v>1</v>
      </c>
      <c r="D3117" s="4">
        <v>1</v>
      </c>
      <c r="E3117" s="4">
        <v>2</v>
      </c>
      <c r="F3117" s="4">
        <v>0</v>
      </c>
      <c r="G3117" s="4">
        <v>99980523</v>
      </c>
      <c r="H3117" s="4">
        <v>1000</v>
      </c>
      <c r="I3117" s="4">
        <v>1</v>
      </c>
      <c r="J3117" s="4">
        <v>1</v>
      </c>
      <c r="K3117" s="4" t="s">
        <v>479</v>
      </c>
    </row>
    <row r="3118" spans="1:11" s="4" customFormat="1">
      <c r="A3118" s="4">
        <v>1000051</v>
      </c>
      <c r="B3118" s="4">
        <v>1</v>
      </c>
      <c r="C3118" s="4">
        <v>1</v>
      </c>
      <c r="D3118" s="4">
        <v>1</v>
      </c>
      <c r="E3118" s="4">
        <v>2</v>
      </c>
      <c r="F3118" s="4">
        <v>0</v>
      </c>
      <c r="G3118" s="4">
        <v>99990523</v>
      </c>
      <c r="H3118" s="4">
        <v>1000</v>
      </c>
      <c r="I3118" s="4">
        <v>1</v>
      </c>
      <c r="J3118" s="4">
        <v>1</v>
      </c>
      <c r="K3118" s="4" t="s">
        <v>627</v>
      </c>
    </row>
    <row r="3119" spans="1:11" s="4" customFormat="1">
      <c r="A3119" s="4">
        <v>1000051</v>
      </c>
      <c r="B3119" s="4">
        <v>1</v>
      </c>
      <c r="C3119" s="4">
        <v>1</v>
      </c>
      <c r="D3119" s="4">
        <v>1</v>
      </c>
      <c r="E3119" s="4">
        <v>2</v>
      </c>
      <c r="F3119" s="4">
        <v>0</v>
      </c>
      <c r="G3119" s="4">
        <v>99980533</v>
      </c>
      <c r="H3119" s="4">
        <v>1000</v>
      </c>
      <c r="I3119" s="4">
        <v>1</v>
      </c>
      <c r="J3119" s="4">
        <v>1</v>
      </c>
      <c r="K3119" s="4" t="s">
        <v>480</v>
      </c>
    </row>
    <row r="3120" spans="1:11" s="4" customFormat="1">
      <c r="A3120" s="4">
        <v>1000051</v>
      </c>
      <c r="B3120" s="4">
        <v>1</v>
      </c>
      <c r="C3120" s="4">
        <v>1</v>
      </c>
      <c r="D3120" s="4">
        <v>1</v>
      </c>
      <c r="E3120" s="4">
        <v>2</v>
      </c>
      <c r="F3120" s="4">
        <v>0</v>
      </c>
      <c r="G3120" s="4">
        <v>99990533</v>
      </c>
      <c r="H3120" s="4">
        <v>1000</v>
      </c>
      <c r="I3120" s="4">
        <v>1</v>
      </c>
      <c r="J3120" s="4">
        <v>1</v>
      </c>
      <c r="K3120" s="4" t="s">
        <v>628</v>
      </c>
    </row>
    <row r="3121" spans="1:11" s="4" customFormat="1">
      <c r="A3121" s="4">
        <v>1000059</v>
      </c>
      <c r="B3121" s="4">
        <v>1</v>
      </c>
      <c r="C3121" s="4">
        <v>1</v>
      </c>
      <c r="D3121" s="4">
        <v>1</v>
      </c>
      <c r="E3121" s="4">
        <v>2</v>
      </c>
      <c r="F3121" s="4">
        <v>1</v>
      </c>
      <c r="G3121" s="4">
        <v>99980513</v>
      </c>
      <c r="H3121" s="4">
        <v>1667</v>
      </c>
      <c r="I3121" s="4">
        <v>1</v>
      </c>
      <c r="J3121" s="4">
        <v>1</v>
      </c>
      <c r="K3121" s="4" t="s">
        <v>395</v>
      </c>
    </row>
    <row r="3122" spans="1:11" s="4" customFormat="1">
      <c r="A3122" s="4">
        <v>1000059</v>
      </c>
      <c r="B3122" s="4">
        <v>1</v>
      </c>
      <c r="C3122" s="4">
        <v>1</v>
      </c>
      <c r="D3122" s="4">
        <v>1</v>
      </c>
      <c r="E3122" s="4">
        <v>2</v>
      </c>
      <c r="F3122" s="4">
        <v>1</v>
      </c>
      <c r="G3122" s="4">
        <v>99990513</v>
      </c>
      <c r="H3122" s="4">
        <v>1667</v>
      </c>
      <c r="I3122" s="4">
        <v>1</v>
      </c>
      <c r="J3122" s="4">
        <v>1</v>
      </c>
      <c r="K3122" s="4" t="s">
        <v>626</v>
      </c>
    </row>
    <row r="3123" spans="1:11" s="4" customFormat="1">
      <c r="A3123" s="4">
        <v>1000059</v>
      </c>
      <c r="B3123" s="4">
        <v>1</v>
      </c>
      <c r="C3123" s="4">
        <v>1</v>
      </c>
      <c r="D3123" s="4">
        <v>1</v>
      </c>
      <c r="E3123" s="4">
        <v>2</v>
      </c>
      <c r="F3123" s="4">
        <v>1</v>
      </c>
      <c r="G3123" s="4">
        <v>99980523</v>
      </c>
      <c r="H3123" s="4">
        <v>1667</v>
      </c>
      <c r="I3123" s="4">
        <v>1</v>
      </c>
      <c r="J3123" s="4">
        <v>1</v>
      </c>
      <c r="K3123" s="4" t="s">
        <v>479</v>
      </c>
    </row>
    <row r="3124" spans="1:11" s="4" customFormat="1">
      <c r="A3124" s="4">
        <v>1000059</v>
      </c>
      <c r="B3124" s="4">
        <v>1</v>
      </c>
      <c r="C3124" s="4">
        <v>1</v>
      </c>
      <c r="D3124" s="4">
        <v>1</v>
      </c>
      <c r="E3124" s="4">
        <v>2</v>
      </c>
      <c r="F3124" s="4">
        <v>1</v>
      </c>
      <c r="G3124" s="4">
        <v>99990523</v>
      </c>
      <c r="H3124" s="4">
        <v>1667</v>
      </c>
      <c r="I3124" s="4">
        <v>1</v>
      </c>
      <c r="J3124" s="4">
        <v>1</v>
      </c>
      <c r="K3124" s="4" t="s">
        <v>627</v>
      </c>
    </row>
    <row r="3125" spans="1:11" s="4" customFormat="1">
      <c r="A3125" s="4">
        <v>1000059</v>
      </c>
      <c r="B3125" s="4">
        <v>1</v>
      </c>
      <c r="C3125" s="4">
        <v>1</v>
      </c>
      <c r="D3125" s="4">
        <v>1</v>
      </c>
      <c r="E3125" s="4">
        <v>2</v>
      </c>
      <c r="F3125" s="4">
        <v>1</v>
      </c>
      <c r="G3125" s="4">
        <v>99980533</v>
      </c>
      <c r="H3125" s="4">
        <v>1667</v>
      </c>
      <c r="I3125" s="4">
        <v>1</v>
      </c>
      <c r="J3125" s="4">
        <v>1</v>
      </c>
      <c r="K3125" s="4" t="s">
        <v>480</v>
      </c>
    </row>
    <row r="3126" spans="1:11" s="4" customFormat="1">
      <c r="A3126" s="4">
        <v>1000059</v>
      </c>
      <c r="B3126" s="4">
        <v>1</v>
      </c>
      <c r="C3126" s="4">
        <v>1</v>
      </c>
      <c r="D3126" s="4">
        <v>1</v>
      </c>
      <c r="E3126" s="4">
        <v>2</v>
      </c>
      <c r="F3126" s="4">
        <v>1</v>
      </c>
      <c r="G3126" s="4">
        <v>99990533</v>
      </c>
      <c r="H3126" s="4">
        <v>1667</v>
      </c>
      <c r="I3126" s="4">
        <v>1</v>
      </c>
      <c r="J3126" s="4">
        <v>1</v>
      </c>
      <c r="K3126" s="4" t="s">
        <v>628</v>
      </c>
    </row>
    <row r="3127" spans="1:11" s="4" customFormat="1">
      <c r="A3127" s="4">
        <v>1000060</v>
      </c>
      <c r="B3127" s="4">
        <v>1</v>
      </c>
      <c r="C3127" s="4">
        <v>1</v>
      </c>
      <c r="D3127" s="4">
        <v>1</v>
      </c>
      <c r="E3127" s="4">
        <v>2</v>
      </c>
      <c r="F3127" s="4">
        <v>1</v>
      </c>
      <c r="G3127" s="4">
        <v>99990111</v>
      </c>
      <c r="H3127" s="4">
        <v>5000</v>
      </c>
      <c r="I3127" s="4">
        <v>1</v>
      </c>
      <c r="J3127" s="4">
        <v>1</v>
      </c>
      <c r="K3127" s="4" t="s">
        <v>629</v>
      </c>
    </row>
    <row r="3128" spans="1:11" s="4" customFormat="1">
      <c r="A3128" s="4">
        <v>1000060</v>
      </c>
      <c r="B3128" s="4">
        <v>1</v>
      </c>
      <c r="C3128" s="4">
        <v>1</v>
      </c>
      <c r="D3128" s="4">
        <v>1</v>
      </c>
      <c r="E3128" s="4">
        <v>2</v>
      </c>
      <c r="F3128" s="4">
        <v>1</v>
      </c>
      <c r="G3128" s="4">
        <v>99990211</v>
      </c>
      <c r="H3128" s="4">
        <v>3600</v>
      </c>
      <c r="I3128" s="4">
        <v>1</v>
      </c>
      <c r="J3128" s="4">
        <v>1</v>
      </c>
      <c r="K3128" s="4" t="s">
        <v>630</v>
      </c>
    </row>
    <row r="3129" spans="1:11" s="4" customFormat="1">
      <c r="A3129" s="4">
        <v>1000060</v>
      </c>
      <c r="B3129" s="4">
        <v>1</v>
      </c>
      <c r="C3129" s="4">
        <v>1</v>
      </c>
      <c r="D3129" s="4">
        <v>1</v>
      </c>
      <c r="E3129" s="4">
        <v>2</v>
      </c>
      <c r="F3129" s="4">
        <v>1</v>
      </c>
      <c r="G3129" s="4">
        <v>99990311</v>
      </c>
      <c r="H3129" s="4">
        <v>800</v>
      </c>
      <c r="I3129" s="4">
        <v>1</v>
      </c>
      <c r="J3129" s="4">
        <v>1</v>
      </c>
      <c r="K3129" s="4" t="s">
        <v>631</v>
      </c>
    </row>
    <row r="3130" spans="1:11" s="4" customFormat="1">
      <c r="A3130" s="4">
        <v>1000060</v>
      </c>
      <c r="B3130" s="4">
        <v>1</v>
      </c>
      <c r="C3130" s="4">
        <v>1</v>
      </c>
      <c r="D3130" s="4">
        <v>1</v>
      </c>
      <c r="E3130" s="4">
        <v>2</v>
      </c>
      <c r="F3130" s="4">
        <v>1</v>
      </c>
      <c r="G3130" s="4">
        <v>99990411</v>
      </c>
      <c r="H3130" s="4">
        <v>600</v>
      </c>
      <c r="I3130" s="4">
        <v>1</v>
      </c>
      <c r="J3130" s="4">
        <v>1</v>
      </c>
      <c r="K3130" s="4" t="s">
        <v>632</v>
      </c>
    </row>
    <row r="3131" spans="1:11" s="4" customFormat="1">
      <c r="A3131" s="4">
        <v>1000061</v>
      </c>
      <c r="B3131" s="4">
        <v>1</v>
      </c>
      <c r="C3131" s="4">
        <v>1</v>
      </c>
      <c r="D3131" s="4">
        <v>1</v>
      </c>
      <c r="E3131" s="4">
        <v>2</v>
      </c>
      <c r="F3131" s="4">
        <v>1</v>
      </c>
      <c r="G3131" s="4">
        <v>99990311</v>
      </c>
      <c r="H3131" s="4">
        <v>3400</v>
      </c>
      <c r="I3131" s="4">
        <v>1</v>
      </c>
      <c r="J3131" s="4">
        <v>1</v>
      </c>
      <c r="K3131" s="4" t="s">
        <v>631</v>
      </c>
    </row>
    <row r="3132" spans="1:11" s="4" customFormat="1">
      <c r="A3132" s="4">
        <v>1000061</v>
      </c>
      <c r="B3132" s="4">
        <v>1</v>
      </c>
      <c r="C3132" s="4">
        <v>1</v>
      </c>
      <c r="D3132" s="4">
        <v>1</v>
      </c>
      <c r="E3132" s="4">
        <v>2</v>
      </c>
      <c r="F3132" s="4">
        <v>1</v>
      </c>
      <c r="G3132" s="4">
        <v>99990411</v>
      </c>
      <c r="H3132" s="4">
        <v>3400</v>
      </c>
      <c r="I3132" s="4">
        <v>1</v>
      </c>
      <c r="J3132" s="4">
        <v>1</v>
      </c>
      <c r="K3132" s="4" t="s">
        <v>632</v>
      </c>
    </row>
    <row r="3133" spans="1:11" s="4" customFormat="1">
      <c r="A3133" s="4">
        <v>1000061</v>
      </c>
      <c r="B3133" s="4">
        <v>1</v>
      </c>
      <c r="C3133" s="4">
        <v>1</v>
      </c>
      <c r="D3133" s="4">
        <v>1</v>
      </c>
      <c r="E3133" s="4">
        <v>2</v>
      </c>
      <c r="F3133" s="4">
        <v>1</v>
      </c>
      <c r="G3133" s="4">
        <v>99910001</v>
      </c>
      <c r="H3133" s="4">
        <v>1200</v>
      </c>
      <c r="I3133" s="4">
        <v>1</v>
      </c>
      <c r="J3133" s="4">
        <v>1</v>
      </c>
      <c r="K3133" s="4" t="s">
        <v>634</v>
      </c>
    </row>
    <row r="3134" spans="1:11" s="4" customFormat="1">
      <c r="A3134" s="4">
        <v>1000061</v>
      </c>
      <c r="B3134" s="4">
        <v>1</v>
      </c>
      <c r="C3134" s="4">
        <v>1</v>
      </c>
      <c r="D3134" s="4">
        <v>1</v>
      </c>
      <c r="E3134" s="4">
        <v>2</v>
      </c>
      <c r="F3134" s="4">
        <v>1</v>
      </c>
      <c r="G3134" s="4">
        <v>99910007</v>
      </c>
      <c r="H3134" s="4">
        <v>2000</v>
      </c>
      <c r="I3134" s="4">
        <v>1</v>
      </c>
      <c r="J3134" s="4">
        <v>1</v>
      </c>
      <c r="K3134" s="4" t="s">
        <v>635</v>
      </c>
    </row>
    <row r="3135" spans="1:11" s="4" customFormat="1">
      <c r="A3135" s="4">
        <v>1000062</v>
      </c>
      <c r="B3135" s="4">
        <v>1</v>
      </c>
      <c r="C3135" s="4">
        <v>1</v>
      </c>
      <c r="D3135" s="4">
        <v>1</v>
      </c>
      <c r="E3135" s="4">
        <v>2</v>
      </c>
      <c r="F3135" s="4">
        <v>0</v>
      </c>
      <c r="G3135" s="4">
        <v>99910001</v>
      </c>
      <c r="H3135" s="4">
        <v>4500</v>
      </c>
      <c r="I3135" s="4">
        <v>1</v>
      </c>
      <c r="J3135" s="4">
        <v>1</v>
      </c>
      <c r="K3135" s="4" t="s">
        <v>634</v>
      </c>
    </row>
    <row r="3136" spans="1:11" s="4" customFormat="1">
      <c r="A3136" s="4">
        <v>1000062</v>
      </c>
      <c r="B3136" s="4">
        <v>1</v>
      </c>
      <c r="C3136" s="4">
        <v>1</v>
      </c>
      <c r="D3136" s="4">
        <v>1</v>
      </c>
      <c r="E3136" s="4">
        <v>2</v>
      </c>
      <c r="F3136" s="4">
        <v>0</v>
      </c>
      <c r="G3136" s="4">
        <v>99990511</v>
      </c>
      <c r="H3136" s="4">
        <v>5500</v>
      </c>
      <c r="I3136" s="4">
        <v>1</v>
      </c>
      <c r="J3136" s="4">
        <v>1</v>
      </c>
      <c r="K3136" s="4" t="s">
        <v>633</v>
      </c>
    </row>
    <row r="3137" spans="1:11" s="4" customFormat="1">
      <c r="A3137" s="4">
        <v>1000069</v>
      </c>
      <c r="B3137" s="4">
        <v>1</v>
      </c>
      <c r="C3137" s="4">
        <v>1</v>
      </c>
      <c r="D3137" s="4">
        <v>1</v>
      </c>
      <c r="E3137" s="4">
        <v>2</v>
      </c>
      <c r="F3137" s="4">
        <v>1</v>
      </c>
      <c r="G3137" s="4">
        <v>99990511</v>
      </c>
      <c r="H3137" s="4">
        <v>10000</v>
      </c>
      <c r="I3137" s="4">
        <v>1</v>
      </c>
      <c r="J3137" s="4">
        <v>1</v>
      </c>
      <c r="K3137" s="4" t="s">
        <v>633</v>
      </c>
    </row>
    <row r="3138" spans="1:11" s="4" customFormat="1">
      <c r="A3138" s="4">
        <v>1100070</v>
      </c>
      <c r="B3138" s="4">
        <v>1</v>
      </c>
      <c r="C3138" s="4">
        <v>1</v>
      </c>
      <c r="D3138" s="4">
        <v>1</v>
      </c>
      <c r="E3138" s="4">
        <v>2</v>
      </c>
      <c r="F3138" s="4">
        <v>0</v>
      </c>
      <c r="G3138" s="4">
        <v>99990317</v>
      </c>
      <c r="H3138" s="4">
        <v>100</v>
      </c>
      <c r="I3138" s="4">
        <v>1</v>
      </c>
      <c r="J3138" s="4">
        <v>1</v>
      </c>
      <c r="K3138" s="4" t="s">
        <v>3045</v>
      </c>
    </row>
    <row r="3139" spans="1:11" s="4" customFormat="1">
      <c r="A3139" s="4">
        <v>1100070</v>
      </c>
      <c r="B3139" s="4">
        <v>1</v>
      </c>
      <c r="C3139" s="4">
        <v>1</v>
      </c>
      <c r="D3139" s="4">
        <v>1</v>
      </c>
      <c r="E3139" s="4">
        <v>2</v>
      </c>
      <c r="F3139" s="4">
        <v>0</v>
      </c>
      <c r="G3139" s="4">
        <v>111001</v>
      </c>
      <c r="H3139" s="4">
        <v>9900</v>
      </c>
      <c r="I3139" s="4">
        <v>20</v>
      </c>
      <c r="J3139" s="4">
        <v>80</v>
      </c>
      <c r="K3139" s="4" t="s">
        <v>3044</v>
      </c>
    </row>
    <row r="3140" spans="1:11" s="4" customFormat="1">
      <c r="A3140" s="4">
        <v>1100071</v>
      </c>
      <c r="B3140" s="4">
        <v>1</v>
      </c>
      <c r="C3140" s="4">
        <v>1</v>
      </c>
      <c r="D3140" s="4">
        <v>1</v>
      </c>
      <c r="E3140" s="4">
        <v>2</v>
      </c>
      <c r="F3140" s="4">
        <v>0</v>
      </c>
      <c r="G3140" s="4">
        <v>99990417</v>
      </c>
      <c r="H3140" s="4">
        <v>10000</v>
      </c>
      <c r="I3140" s="4">
        <v>1</v>
      </c>
      <c r="J3140" s="4">
        <v>1</v>
      </c>
      <c r="K3140" s="4" t="s">
        <v>3046</v>
      </c>
    </row>
    <row r="3141" spans="1:11" s="4" customFormat="1">
      <c r="A3141" s="4">
        <v>1100079</v>
      </c>
      <c r="B3141" s="4">
        <v>1</v>
      </c>
      <c r="C3141" s="4">
        <v>1</v>
      </c>
      <c r="D3141" s="4">
        <v>1</v>
      </c>
      <c r="E3141" s="4">
        <v>2</v>
      </c>
      <c r="F3141" s="4">
        <v>1</v>
      </c>
      <c r="G3141" s="4">
        <v>99990317</v>
      </c>
      <c r="H3141" s="4">
        <v>9000</v>
      </c>
      <c r="I3141" s="4">
        <v>1</v>
      </c>
      <c r="J3141" s="4">
        <v>1</v>
      </c>
      <c r="K3141" s="4" t="s">
        <v>3045</v>
      </c>
    </row>
    <row r="3142" spans="1:11" s="4" customFormat="1">
      <c r="A3142" s="4">
        <v>1100079</v>
      </c>
      <c r="B3142" s="4">
        <v>1</v>
      </c>
      <c r="C3142" s="4">
        <v>1</v>
      </c>
      <c r="D3142" s="4">
        <v>1</v>
      </c>
      <c r="E3142" s="4">
        <v>2</v>
      </c>
      <c r="F3142" s="4">
        <v>1</v>
      </c>
      <c r="G3142" s="4">
        <v>99990417</v>
      </c>
      <c r="H3142" s="4">
        <v>1000</v>
      </c>
      <c r="I3142" s="4">
        <v>1</v>
      </c>
      <c r="J3142" s="4">
        <v>1</v>
      </c>
      <c r="K3142" s="4" t="s">
        <v>3046</v>
      </c>
    </row>
    <row r="3143" spans="1:11" s="4" customFormat="1">
      <c r="A3143" s="4">
        <v>1100080</v>
      </c>
      <c r="B3143" s="4">
        <v>1</v>
      </c>
      <c r="C3143" s="4">
        <v>1</v>
      </c>
      <c r="D3143" s="4">
        <v>1</v>
      </c>
      <c r="E3143" s="4">
        <v>2</v>
      </c>
      <c r="F3143" s="4">
        <v>0</v>
      </c>
      <c r="G3143" s="4">
        <v>99990315</v>
      </c>
      <c r="H3143" s="4">
        <v>100</v>
      </c>
      <c r="I3143" s="4">
        <v>1</v>
      </c>
      <c r="J3143" s="4">
        <v>1</v>
      </c>
      <c r="K3143" s="4" t="s">
        <v>3047</v>
      </c>
    </row>
    <row r="3144" spans="1:11" s="4" customFormat="1">
      <c r="A3144" s="4">
        <v>1100080</v>
      </c>
      <c r="B3144" s="4">
        <v>1</v>
      </c>
      <c r="C3144" s="4">
        <v>1</v>
      </c>
      <c r="D3144" s="4">
        <v>1</v>
      </c>
      <c r="E3144" s="4">
        <v>2</v>
      </c>
      <c r="F3144" s="4">
        <v>0</v>
      </c>
      <c r="G3144" s="4">
        <v>111001</v>
      </c>
      <c r="H3144" s="4">
        <v>9900</v>
      </c>
      <c r="I3144" s="4">
        <v>20</v>
      </c>
      <c r="J3144" s="4">
        <v>80</v>
      </c>
      <c r="K3144" s="4" t="s">
        <v>3044</v>
      </c>
    </row>
    <row r="3145" spans="1:11" s="4" customFormat="1">
      <c r="A3145" s="4">
        <v>1100081</v>
      </c>
      <c r="B3145" s="4">
        <v>1</v>
      </c>
      <c r="C3145" s="4">
        <v>1</v>
      </c>
      <c r="D3145" s="4">
        <v>1</v>
      </c>
      <c r="E3145" s="4">
        <v>2</v>
      </c>
      <c r="F3145" s="4">
        <v>0</v>
      </c>
      <c r="G3145" s="4">
        <v>99990415</v>
      </c>
      <c r="H3145" s="4">
        <v>10000</v>
      </c>
      <c r="I3145" s="4">
        <v>1</v>
      </c>
      <c r="J3145" s="4">
        <v>1</v>
      </c>
      <c r="K3145" s="4" t="s">
        <v>3048</v>
      </c>
    </row>
    <row r="3146" spans="1:11" s="4" customFormat="1">
      <c r="A3146" s="4">
        <v>1100089</v>
      </c>
      <c r="B3146" s="4">
        <v>1</v>
      </c>
      <c r="C3146" s="4">
        <v>1</v>
      </c>
      <c r="D3146" s="4">
        <v>1</v>
      </c>
      <c r="E3146" s="4">
        <v>2</v>
      </c>
      <c r="F3146" s="4">
        <v>1</v>
      </c>
      <c r="G3146" s="4">
        <v>99990315</v>
      </c>
      <c r="H3146" s="4">
        <v>9000</v>
      </c>
      <c r="I3146" s="4">
        <v>1</v>
      </c>
      <c r="J3146" s="4">
        <v>1</v>
      </c>
      <c r="K3146" s="4" t="s">
        <v>3049</v>
      </c>
    </row>
    <row r="3147" spans="1:11" s="4" customFormat="1">
      <c r="A3147" s="4">
        <v>1100089</v>
      </c>
      <c r="B3147" s="4">
        <v>1</v>
      </c>
      <c r="C3147" s="4">
        <v>1</v>
      </c>
      <c r="D3147" s="4">
        <v>1</v>
      </c>
      <c r="E3147" s="4">
        <v>2</v>
      </c>
      <c r="F3147" s="4">
        <v>1</v>
      </c>
      <c r="G3147" s="4">
        <v>99990415</v>
      </c>
      <c r="H3147" s="4">
        <v>1000</v>
      </c>
      <c r="I3147" s="4">
        <v>1</v>
      </c>
      <c r="J3147" s="4">
        <v>1</v>
      </c>
      <c r="K3147" s="4" t="s">
        <v>3048</v>
      </c>
    </row>
    <row r="3148" spans="1:11" s="4" customFormat="1">
      <c r="A3148" s="4">
        <v>1000200</v>
      </c>
      <c r="B3148" s="4">
        <v>1</v>
      </c>
      <c r="C3148" s="4">
        <v>1</v>
      </c>
      <c r="D3148" s="4">
        <v>1</v>
      </c>
      <c r="E3148" s="4">
        <v>2</v>
      </c>
      <c r="F3148" s="4">
        <v>1</v>
      </c>
      <c r="G3148" s="4">
        <v>31031</v>
      </c>
      <c r="H3148" s="4">
        <v>800</v>
      </c>
      <c r="I3148" s="4">
        <v>1</v>
      </c>
      <c r="J3148" s="4">
        <v>1</v>
      </c>
      <c r="K3148" s="4" t="s">
        <v>408</v>
      </c>
    </row>
    <row r="3149" spans="1:11" s="4" customFormat="1">
      <c r="A3149" s="4">
        <v>1000200</v>
      </c>
      <c r="B3149" s="4">
        <v>1</v>
      </c>
      <c r="C3149" s="4">
        <v>1</v>
      </c>
      <c r="D3149" s="4">
        <v>1</v>
      </c>
      <c r="E3149" s="4">
        <v>2</v>
      </c>
      <c r="F3149" s="4">
        <v>1</v>
      </c>
      <c r="G3149" s="4">
        <v>31032</v>
      </c>
      <c r="H3149" s="4">
        <v>800</v>
      </c>
      <c r="I3149" s="4">
        <v>1</v>
      </c>
      <c r="J3149" s="4">
        <v>1</v>
      </c>
      <c r="K3149" s="4" t="s">
        <v>409</v>
      </c>
    </row>
    <row r="3150" spans="1:11" s="4" customFormat="1">
      <c r="A3150" s="4">
        <v>1000200</v>
      </c>
      <c r="B3150" s="4">
        <v>1</v>
      </c>
      <c r="C3150" s="4">
        <v>1</v>
      </c>
      <c r="D3150" s="4">
        <v>1</v>
      </c>
      <c r="E3150" s="4">
        <v>2</v>
      </c>
      <c r="F3150" s="4">
        <v>1</v>
      </c>
      <c r="G3150" s="4">
        <v>31033</v>
      </c>
      <c r="H3150" s="4">
        <v>800</v>
      </c>
      <c r="I3150" s="4">
        <v>1</v>
      </c>
      <c r="J3150" s="4">
        <v>1</v>
      </c>
      <c r="K3150" s="4" t="s">
        <v>410</v>
      </c>
    </row>
    <row r="3151" spans="1:11" s="4" customFormat="1">
      <c r="A3151" s="4">
        <v>1000200</v>
      </c>
      <c r="B3151" s="4">
        <v>1</v>
      </c>
      <c r="C3151" s="4">
        <v>1</v>
      </c>
      <c r="D3151" s="4">
        <v>1</v>
      </c>
      <c r="E3151" s="4">
        <v>2</v>
      </c>
      <c r="F3151" s="4">
        <v>1</v>
      </c>
      <c r="G3151" s="4">
        <v>32531</v>
      </c>
      <c r="H3151" s="4">
        <v>400</v>
      </c>
      <c r="I3151" s="4">
        <v>1</v>
      </c>
      <c r="J3151" s="4">
        <v>1</v>
      </c>
      <c r="K3151" s="4" t="s">
        <v>416</v>
      </c>
    </row>
    <row r="3152" spans="1:11" s="4" customFormat="1">
      <c r="A3152" s="4">
        <v>1000200</v>
      </c>
      <c r="B3152" s="4">
        <v>1</v>
      </c>
      <c r="C3152" s="4">
        <v>1</v>
      </c>
      <c r="D3152" s="4">
        <v>1</v>
      </c>
      <c r="E3152" s="4">
        <v>2</v>
      </c>
      <c r="F3152" s="4">
        <v>1</v>
      </c>
      <c r="G3152" s="4">
        <v>32532</v>
      </c>
      <c r="H3152" s="4">
        <v>400</v>
      </c>
      <c r="I3152" s="4">
        <v>1</v>
      </c>
      <c r="J3152" s="4">
        <v>1</v>
      </c>
      <c r="K3152" s="4" t="s">
        <v>417</v>
      </c>
    </row>
    <row r="3153" spans="1:11" s="4" customFormat="1">
      <c r="A3153" s="4">
        <v>1000200</v>
      </c>
      <c r="B3153" s="4">
        <v>1</v>
      </c>
      <c r="C3153" s="4">
        <v>1</v>
      </c>
      <c r="D3153" s="4">
        <v>1</v>
      </c>
      <c r="E3153" s="4">
        <v>2</v>
      </c>
      <c r="F3153" s="4">
        <v>1</v>
      </c>
      <c r="G3153" s="4">
        <v>32541</v>
      </c>
      <c r="H3153" s="4">
        <v>400</v>
      </c>
      <c r="I3153" s="4">
        <v>1</v>
      </c>
      <c r="J3153" s="4">
        <v>1</v>
      </c>
      <c r="K3153" s="4" t="s">
        <v>418</v>
      </c>
    </row>
    <row r="3154" spans="1:11" s="4" customFormat="1">
      <c r="A3154" s="4">
        <v>1000200</v>
      </c>
      <c r="B3154" s="4">
        <v>1</v>
      </c>
      <c r="C3154" s="4">
        <v>1</v>
      </c>
      <c r="D3154" s="4">
        <v>1</v>
      </c>
      <c r="E3154" s="4">
        <v>2</v>
      </c>
      <c r="F3154" s="4">
        <v>1</v>
      </c>
      <c r="G3154" s="4">
        <v>32544</v>
      </c>
      <c r="H3154" s="4">
        <v>400</v>
      </c>
      <c r="I3154" s="4">
        <v>1</v>
      </c>
      <c r="J3154" s="4">
        <v>1</v>
      </c>
      <c r="K3154" s="4" t="s">
        <v>419</v>
      </c>
    </row>
    <row r="3155" spans="1:11" s="4" customFormat="1">
      <c r="A3155" s="4">
        <v>1000200</v>
      </c>
      <c r="B3155" s="4">
        <v>1</v>
      </c>
      <c r="C3155" s="4">
        <v>1</v>
      </c>
      <c r="D3155" s="4">
        <v>1</v>
      </c>
      <c r="E3155" s="4">
        <v>2</v>
      </c>
      <c r="F3155" s="4">
        <v>1</v>
      </c>
      <c r="G3155" s="4">
        <v>32533</v>
      </c>
      <c r="H3155" s="4">
        <v>400</v>
      </c>
      <c r="I3155" s="4">
        <v>1</v>
      </c>
      <c r="J3155" s="4">
        <v>1</v>
      </c>
      <c r="K3155" s="4" t="s">
        <v>420</v>
      </c>
    </row>
    <row r="3156" spans="1:11" s="4" customFormat="1">
      <c r="A3156" s="4">
        <v>1000200</v>
      </c>
      <c r="B3156" s="4">
        <v>1</v>
      </c>
      <c r="C3156" s="4">
        <v>1</v>
      </c>
      <c r="D3156" s="4">
        <v>1</v>
      </c>
      <c r="E3156" s="4">
        <v>2</v>
      </c>
      <c r="F3156" s="4">
        <v>1</v>
      </c>
      <c r="G3156" s="4">
        <v>32538</v>
      </c>
      <c r="H3156" s="4">
        <v>400</v>
      </c>
      <c r="I3156" s="4">
        <v>1</v>
      </c>
      <c r="J3156" s="4">
        <v>1</v>
      </c>
      <c r="K3156" s="4" t="s">
        <v>421</v>
      </c>
    </row>
    <row r="3157" spans="1:11" s="4" customFormat="1">
      <c r="A3157" s="4">
        <v>1000200</v>
      </c>
      <c r="B3157" s="4">
        <v>1</v>
      </c>
      <c r="C3157" s="4">
        <v>1</v>
      </c>
      <c r="D3157" s="4">
        <v>1</v>
      </c>
      <c r="E3157" s="4">
        <v>2</v>
      </c>
      <c r="F3157" s="4">
        <v>1</v>
      </c>
      <c r="G3157" s="4">
        <v>32545</v>
      </c>
      <c r="H3157" s="4">
        <v>400</v>
      </c>
      <c r="I3157" s="4">
        <v>1</v>
      </c>
      <c r="J3157" s="4">
        <v>1</v>
      </c>
      <c r="K3157" s="4" t="s">
        <v>422</v>
      </c>
    </row>
    <row r="3158" spans="1:11" s="4" customFormat="1">
      <c r="A3158" s="4">
        <v>1000200</v>
      </c>
      <c r="B3158" s="4">
        <v>1</v>
      </c>
      <c r="C3158" s="4">
        <v>1</v>
      </c>
      <c r="D3158" s="4">
        <v>1</v>
      </c>
      <c r="E3158" s="4">
        <v>2</v>
      </c>
      <c r="F3158" s="4">
        <v>1</v>
      </c>
      <c r="G3158" s="4">
        <v>32534</v>
      </c>
      <c r="H3158" s="4">
        <v>400</v>
      </c>
      <c r="I3158" s="4">
        <v>1</v>
      </c>
      <c r="J3158" s="4">
        <v>1</v>
      </c>
      <c r="K3158" s="4" t="s">
        <v>423</v>
      </c>
    </row>
    <row r="3159" spans="1:11" s="4" customFormat="1">
      <c r="A3159" s="4">
        <v>1000200</v>
      </c>
      <c r="B3159" s="4">
        <v>1</v>
      </c>
      <c r="C3159" s="4">
        <v>1</v>
      </c>
      <c r="D3159" s="4">
        <v>1</v>
      </c>
      <c r="E3159" s="4">
        <v>2</v>
      </c>
      <c r="F3159" s="4">
        <v>1</v>
      </c>
      <c r="G3159" s="4">
        <v>32536</v>
      </c>
      <c r="H3159" s="4">
        <v>400</v>
      </c>
      <c r="I3159" s="4">
        <v>1</v>
      </c>
      <c r="J3159" s="4">
        <v>1</v>
      </c>
      <c r="K3159" s="4" t="s">
        <v>424</v>
      </c>
    </row>
    <row r="3160" spans="1:11" s="4" customFormat="1">
      <c r="A3160" s="4">
        <v>1000200</v>
      </c>
      <c r="B3160" s="4">
        <v>1</v>
      </c>
      <c r="C3160" s="4">
        <v>1</v>
      </c>
      <c r="D3160" s="4">
        <v>1</v>
      </c>
      <c r="E3160" s="4">
        <v>2</v>
      </c>
      <c r="F3160" s="4">
        <v>1</v>
      </c>
      <c r="G3160" s="4">
        <v>32549</v>
      </c>
      <c r="H3160" s="4">
        <v>400</v>
      </c>
      <c r="I3160" s="4">
        <v>1</v>
      </c>
      <c r="J3160" s="4">
        <v>1</v>
      </c>
      <c r="K3160" s="4" t="s">
        <v>430</v>
      </c>
    </row>
    <row r="3161" spans="1:11" s="4" customFormat="1">
      <c r="A3161" s="4">
        <v>1000200</v>
      </c>
      <c r="B3161" s="4">
        <v>1</v>
      </c>
      <c r="C3161" s="4">
        <v>1</v>
      </c>
      <c r="D3161" s="4">
        <v>1</v>
      </c>
      <c r="E3161" s="4">
        <v>2</v>
      </c>
      <c r="F3161" s="4">
        <v>1</v>
      </c>
      <c r="G3161" s="4">
        <v>33002</v>
      </c>
      <c r="H3161" s="4">
        <v>400</v>
      </c>
      <c r="I3161" s="4">
        <v>1</v>
      </c>
      <c r="J3161" s="4">
        <v>1</v>
      </c>
      <c r="K3161" s="4" t="s">
        <v>433</v>
      </c>
    </row>
    <row r="3162" spans="1:11" s="4" customFormat="1">
      <c r="A3162" s="4">
        <v>1000200</v>
      </c>
      <c r="B3162" s="4">
        <v>1</v>
      </c>
      <c r="C3162" s="4">
        <v>1</v>
      </c>
      <c r="D3162" s="4">
        <v>1</v>
      </c>
      <c r="E3162" s="4">
        <v>2</v>
      </c>
      <c r="F3162" s="4">
        <v>1</v>
      </c>
      <c r="G3162" s="4">
        <v>33001</v>
      </c>
      <c r="H3162" s="4">
        <v>400</v>
      </c>
      <c r="I3162" s="4">
        <v>1</v>
      </c>
      <c r="J3162" s="4">
        <v>1</v>
      </c>
      <c r="K3162" s="4" t="s">
        <v>434</v>
      </c>
    </row>
    <row r="3163" spans="1:11" s="4" customFormat="1">
      <c r="A3163" s="4">
        <v>1000200</v>
      </c>
      <c r="B3163" s="4">
        <v>1</v>
      </c>
      <c r="C3163" s="4">
        <v>1</v>
      </c>
      <c r="D3163" s="4">
        <v>1</v>
      </c>
      <c r="E3163" s="4">
        <v>2</v>
      </c>
      <c r="F3163" s="4">
        <v>1</v>
      </c>
      <c r="G3163" s="4">
        <v>33004</v>
      </c>
      <c r="H3163" s="4">
        <v>400</v>
      </c>
      <c r="I3163" s="4">
        <v>1</v>
      </c>
      <c r="J3163" s="4">
        <v>1</v>
      </c>
      <c r="K3163" s="4" t="s">
        <v>435</v>
      </c>
    </row>
    <row r="3164" spans="1:11" s="4" customFormat="1">
      <c r="A3164" s="4">
        <v>1000200</v>
      </c>
      <c r="B3164" s="4">
        <v>1</v>
      </c>
      <c r="C3164" s="4">
        <v>1</v>
      </c>
      <c r="D3164" s="4">
        <v>1</v>
      </c>
      <c r="E3164" s="4">
        <v>2</v>
      </c>
      <c r="F3164" s="4">
        <v>1</v>
      </c>
      <c r="G3164" s="4">
        <v>33005</v>
      </c>
      <c r="H3164" s="4">
        <v>400</v>
      </c>
      <c r="I3164" s="4">
        <v>1</v>
      </c>
      <c r="J3164" s="4">
        <v>1</v>
      </c>
      <c r="K3164" s="4" t="s">
        <v>436</v>
      </c>
    </row>
    <row r="3165" spans="1:11" s="4" customFormat="1">
      <c r="A3165" s="4">
        <v>1000200</v>
      </c>
      <c r="B3165" s="4">
        <v>1</v>
      </c>
      <c r="C3165" s="4">
        <v>1</v>
      </c>
      <c r="D3165" s="4">
        <v>1</v>
      </c>
      <c r="E3165" s="4">
        <v>2</v>
      </c>
      <c r="F3165" s="4">
        <v>1</v>
      </c>
      <c r="G3165" s="4">
        <v>33003</v>
      </c>
      <c r="H3165" s="4">
        <v>400</v>
      </c>
      <c r="I3165" s="4">
        <v>1</v>
      </c>
      <c r="J3165" s="4">
        <v>1</v>
      </c>
      <c r="K3165" s="4" t="s">
        <v>2953</v>
      </c>
    </row>
    <row r="3166" spans="1:11" s="4" customFormat="1">
      <c r="A3166" s="4">
        <v>1000200</v>
      </c>
      <c r="B3166" s="4">
        <v>1</v>
      </c>
      <c r="C3166" s="4">
        <v>1</v>
      </c>
      <c r="D3166" s="4">
        <v>1</v>
      </c>
      <c r="E3166" s="4">
        <v>2</v>
      </c>
      <c r="F3166" s="4">
        <v>1</v>
      </c>
      <c r="G3166" s="4">
        <v>33009</v>
      </c>
      <c r="H3166" s="4">
        <v>400</v>
      </c>
      <c r="I3166" s="4">
        <v>1</v>
      </c>
      <c r="J3166" s="4">
        <v>1</v>
      </c>
      <c r="K3166" s="4" t="s">
        <v>437</v>
      </c>
    </row>
    <row r="3167" spans="1:11" s="4" customFormat="1">
      <c r="A3167" s="4">
        <v>1000200</v>
      </c>
      <c r="B3167" s="4">
        <v>1</v>
      </c>
      <c r="C3167" s="4">
        <v>1</v>
      </c>
      <c r="D3167" s="4">
        <v>1</v>
      </c>
      <c r="E3167" s="4">
        <v>2</v>
      </c>
      <c r="F3167" s="4">
        <v>1</v>
      </c>
      <c r="G3167" s="4">
        <v>33014</v>
      </c>
      <c r="H3167" s="4">
        <v>400</v>
      </c>
      <c r="I3167" s="4">
        <v>1</v>
      </c>
      <c r="J3167" s="4">
        <v>1</v>
      </c>
      <c r="K3167" s="4" t="s">
        <v>438</v>
      </c>
    </row>
    <row r="3168" spans="1:11" s="4" customFormat="1">
      <c r="A3168" s="4">
        <v>1000200</v>
      </c>
      <c r="B3168" s="4">
        <v>1</v>
      </c>
      <c r="C3168" s="4">
        <v>1</v>
      </c>
      <c r="D3168" s="4">
        <v>1</v>
      </c>
      <c r="E3168" s="4">
        <v>2</v>
      </c>
      <c r="F3168" s="4">
        <v>1</v>
      </c>
      <c r="G3168" s="4">
        <v>33006</v>
      </c>
      <c r="H3168" s="4">
        <v>400</v>
      </c>
      <c r="I3168" s="4">
        <v>1</v>
      </c>
      <c r="J3168" s="4">
        <v>1</v>
      </c>
      <c r="K3168" s="4" t="s">
        <v>439</v>
      </c>
    </row>
    <row r="3169" spans="1:11" s="4" customFormat="1">
      <c r="A3169" s="4">
        <v>1000200</v>
      </c>
      <c r="B3169" s="4">
        <v>1</v>
      </c>
      <c r="C3169" s="4">
        <v>1</v>
      </c>
      <c r="D3169" s="4">
        <v>1</v>
      </c>
      <c r="E3169" s="4">
        <v>2</v>
      </c>
      <c r="F3169" s="4">
        <v>1</v>
      </c>
      <c r="G3169" s="4">
        <v>33007</v>
      </c>
      <c r="H3169" s="4">
        <v>400</v>
      </c>
      <c r="I3169" s="4">
        <v>1</v>
      </c>
      <c r="J3169" s="4">
        <v>1</v>
      </c>
      <c r="K3169" s="4" t="s">
        <v>440</v>
      </c>
    </row>
    <row r="3170" spans="1:11" s="4" customFormat="1">
      <c r="A3170" s="4">
        <v>1000201</v>
      </c>
      <c r="B3170" s="4">
        <v>1</v>
      </c>
      <c r="C3170" s="4">
        <v>1</v>
      </c>
      <c r="D3170" s="4">
        <v>1</v>
      </c>
      <c r="E3170" s="4">
        <v>2</v>
      </c>
      <c r="F3170" s="4">
        <v>1</v>
      </c>
      <c r="G3170" s="4">
        <v>32536</v>
      </c>
      <c r="H3170" s="4">
        <v>4400</v>
      </c>
      <c r="I3170" s="4">
        <v>1</v>
      </c>
      <c r="J3170" s="4">
        <v>1</v>
      </c>
      <c r="K3170" s="4" t="s">
        <v>424</v>
      </c>
    </row>
    <row r="3171" spans="1:11" s="4" customFormat="1">
      <c r="A3171" s="4">
        <v>1000201</v>
      </c>
      <c r="B3171" s="4">
        <v>1</v>
      </c>
      <c r="C3171" s="4">
        <v>1</v>
      </c>
      <c r="D3171" s="4">
        <v>1</v>
      </c>
      <c r="E3171" s="4">
        <v>2</v>
      </c>
      <c r="F3171" s="4">
        <v>1</v>
      </c>
      <c r="G3171" s="4">
        <v>33007</v>
      </c>
      <c r="H3171" s="4">
        <v>4400</v>
      </c>
      <c r="I3171" s="4">
        <v>1</v>
      </c>
      <c r="J3171" s="4">
        <v>1</v>
      </c>
      <c r="K3171" s="4" t="s">
        <v>440</v>
      </c>
    </row>
    <row r="3172" spans="1:11" s="4" customFormat="1">
      <c r="A3172" s="4">
        <v>1000201</v>
      </c>
      <c r="B3172" s="4">
        <v>1</v>
      </c>
      <c r="C3172" s="4">
        <v>1</v>
      </c>
      <c r="D3172" s="4">
        <v>1</v>
      </c>
      <c r="E3172" s="4">
        <v>2</v>
      </c>
      <c r="F3172" s="4">
        <v>1</v>
      </c>
      <c r="G3172" s="4">
        <v>32547</v>
      </c>
      <c r="H3172" s="4">
        <v>100</v>
      </c>
      <c r="I3172" s="4">
        <v>1</v>
      </c>
      <c r="J3172" s="4">
        <v>1</v>
      </c>
      <c r="K3172" s="4" t="s">
        <v>427</v>
      </c>
    </row>
    <row r="3173" spans="1:11" s="4" customFormat="1">
      <c r="A3173" s="4">
        <v>1000201</v>
      </c>
      <c r="B3173" s="4">
        <v>1</v>
      </c>
      <c r="C3173" s="4">
        <v>1</v>
      </c>
      <c r="D3173" s="4">
        <v>1</v>
      </c>
      <c r="E3173" s="4">
        <v>2</v>
      </c>
      <c r="F3173" s="4">
        <v>1</v>
      </c>
      <c r="G3173" s="4">
        <v>33011</v>
      </c>
      <c r="H3173" s="4">
        <v>100</v>
      </c>
      <c r="I3173" s="4">
        <v>1</v>
      </c>
      <c r="J3173" s="4">
        <v>1</v>
      </c>
      <c r="K3173" s="4" t="s">
        <v>441</v>
      </c>
    </row>
    <row r="3174" spans="1:11" s="4" customFormat="1">
      <c r="A3174" s="4">
        <v>1000201</v>
      </c>
      <c r="B3174" s="4">
        <v>1</v>
      </c>
      <c r="C3174" s="4">
        <v>1</v>
      </c>
      <c r="D3174" s="4">
        <v>1</v>
      </c>
      <c r="E3174" s="4">
        <v>2</v>
      </c>
      <c r="F3174" s="4">
        <v>1</v>
      </c>
      <c r="G3174" s="4">
        <v>31034</v>
      </c>
      <c r="H3174" s="4">
        <v>100</v>
      </c>
      <c r="I3174" s="4">
        <v>1</v>
      </c>
      <c r="J3174" s="4">
        <v>1</v>
      </c>
      <c r="K3174" s="4" t="s">
        <v>411</v>
      </c>
    </row>
    <row r="3175" spans="1:11" s="4" customFormat="1">
      <c r="A3175" s="4">
        <v>1000201</v>
      </c>
      <c r="B3175" s="4">
        <v>1</v>
      </c>
      <c r="C3175" s="4">
        <v>1</v>
      </c>
      <c r="D3175" s="4">
        <v>1</v>
      </c>
      <c r="E3175" s="4">
        <v>2</v>
      </c>
      <c r="F3175" s="4">
        <v>1</v>
      </c>
      <c r="G3175" s="4">
        <v>32546</v>
      </c>
      <c r="H3175" s="4">
        <v>100</v>
      </c>
      <c r="I3175" s="4">
        <v>1</v>
      </c>
      <c r="J3175" s="4">
        <v>1</v>
      </c>
      <c r="K3175" s="4" t="s">
        <v>425</v>
      </c>
    </row>
    <row r="3176" spans="1:11" s="4" customFormat="1">
      <c r="A3176" s="4">
        <v>1000201</v>
      </c>
      <c r="B3176" s="4">
        <v>1</v>
      </c>
      <c r="C3176" s="4">
        <v>1</v>
      </c>
      <c r="D3176" s="4">
        <v>1</v>
      </c>
      <c r="E3176" s="4">
        <v>2</v>
      </c>
      <c r="F3176" s="4">
        <v>1</v>
      </c>
      <c r="G3176" s="4">
        <v>33012</v>
      </c>
      <c r="H3176" s="4">
        <v>100</v>
      </c>
      <c r="I3176" s="4">
        <v>1</v>
      </c>
      <c r="J3176" s="4">
        <v>1</v>
      </c>
      <c r="K3176" s="4" t="s">
        <v>443</v>
      </c>
    </row>
    <row r="3177" spans="1:11" s="4" customFormat="1">
      <c r="A3177" s="4">
        <v>1000201</v>
      </c>
      <c r="B3177" s="4">
        <v>1</v>
      </c>
      <c r="C3177" s="4">
        <v>1</v>
      </c>
      <c r="D3177" s="4">
        <v>1</v>
      </c>
      <c r="E3177" s="4">
        <v>2</v>
      </c>
      <c r="F3177" s="4">
        <v>1</v>
      </c>
      <c r="G3177" s="4">
        <v>31035</v>
      </c>
      <c r="H3177" s="4">
        <v>100</v>
      </c>
      <c r="I3177" s="4">
        <v>1</v>
      </c>
      <c r="J3177" s="4">
        <v>1</v>
      </c>
      <c r="K3177" s="4" t="s">
        <v>412</v>
      </c>
    </row>
    <row r="3178" spans="1:11" s="4" customFormat="1">
      <c r="A3178" s="4">
        <v>1000201</v>
      </c>
      <c r="B3178" s="4">
        <v>1</v>
      </c>
      <c r="C3178" s="4">
        <v>1</v>
      </c>
      <c r="D3178" s="4">
        <v>1</v>
      </c>
      <c r="E3178" s="4">
        <v>2</v>
      </c>
      <c r="F3178" s="4">
        <v>1</v>
      </c>
      <c r="G3178" s="4">
        <v>90217</v>
      </c>
      <c r="H3178" s="4">
        <v>200</v>
      </c>
      <c r="I3178" s="4">
        <v>1</v>
      </c>
      <c r="J3178" s="4">
        <v>1</v>
      </c>
      <c r="K3178" s="4" t="s">
        <v>2954</v>
      </c>
    </row>
    <row r="3179" spans="1:11" s="4" customFormat="1">
      <c r="A3179" s="4">
        <v>1000201</v>
      </c>
      <c r="B3179" s="4">
        <v>1</v>
      </c>
      <c r="C3179" s="4">
        <v>1</v>
      </c>
      <c r="D3179" s="4">
        <v>1</v>
      </c>
      <c r="E3179" s="4">
        <v>2</v>
      </c>
      <c r="F3179" s="4">
        <v>1</v>
      </c>
      <c r="G3179" s="4">
        <v>90218</v>
      </c>
      <c r="H3179" s="4">
        <v>200</v>
      </c>
      <c r="I3179" s="4">
        <v>1</v>
      </c>
      <c r="J3179" s="4">
        <v>1</v>
      </c>
      <c r="K3179" s="4" t="s">
        <v>2955</v>
      </c>
    </row>
    <row r="3180" spans="1:11" s="4" customFormat="1">
      <c r="A3180" s="4">
        <v>1000201</v>
      </c>
      <c r="B3180" s="4">
        <v>1</v>
      </c>
      <c r="C3180" s="4">
        <v>1</v>
      </c>
      <c r="D3180" s="4">
        <v>1</v>
      </c>
      <c r="E3180" s="4">
        <v>2</v>
      </c>
      <c r="F3180" s="4">
        <v>1</v>
      </c>
      <c r="G3180" s="4">
        <v>90219</v>
      </c>
      <c r="H3180" s="4">
        <v>200</v>
      </c>
      <c r="I3180" s="4">
        <v>1</v>
      </c>
      <c r="J3180" s="4">
        <v>1</v>
      </c>
      <c r="K3180" s="4" t="s">
        <v>2956</v>
      </c>
    </row>
    <row r="3181" spans="1:11" s="4" customFormat="1">
      <c r="A3181" s="4">
        <v>1000202</v>
      </c>
      <c r="B3181" s="4">
        <v>1</v>
      </c>
      <c r="C3181" s="4">
        <v>1</v>
      </c>
      <c r="D3181" s="4">
        <v>1</v>
      </c>
      <c r="E3181" s="4">
        <v>2</v>
      </c>
      <c r="F3181" s="4">
        <v>0</v>
      </c>
      <c r="G3181" s="4">
        <v>32535</v>
      </c>
      <c r="H3181" s="4">
        <v>3500</v>
      </c>
      <c r="I3181" s="4">
        <v>1</v>
      </c>
      <c r="J3181" s="4">
        <v>1</v>
      </c>
      <c r="K3181" s="4" t="s">
        <v>426</v>
      </c>
    </row>
    <row r="3182" spans="1:11" s="4" customFormat="1">
      <c r="A3182" s="4">
        <v>1000202</v>
      </c>
      <c r="B3182" s="4">
        <v>1</v>
      </c>
      <c r="C3182" s="4">
        <v>1</v>
      </c>
      <c r="D3182" s="4">
        <v>1</v>
      </c>
      <c r="E3182" s="4">
        <v>2</v>
      </c>
      <c r="F3182" s="4">
        <v>0</v>
      </c>
      <c r="G3182" s="4">
        <v>31036</v>
      </c>
      <c r="H3182" s="4">
        <v>2000</v>
      </c>
      <c r="I3182" s="4">
        <v>1</v>
      </c>
      <c r="J3182" s="4">
        <v>1</v>
      </c>
      <c r="K3182" s="4" t="s">
        <v>413</v>
      </c>
    </row>
    <row r="3183" spans="1:11" s="4" customFormat="1">
      <c r="A3183" s="4">
        <v>1000202</v>
      </c>
      <c r="B3183" s="4">
        <v>1</v>
      </c>
      <c r="C3183" s="4">
        <v>1</v>
      </c>
      <c r="D3183" s="4">
        <v>1</v>
      </c>
      <c r="E3183" s="4">
        <v>2</v>
      </c>
      <c r="F3183" s="4">
        <v>0</v>
      </c>
      <c r="G3183" s="4">
        <v>32537</v>
      </c>
      <c r="H3183" s="4">
        <v>2500</v>
      </c>
      <c r="I3183" s="4">
        <v>1</v>
      </c>
      <c r="J3183" s="4">
        <v>1</v>
      </c>
      <c r="K3183" s="4" t="s">
        <v>428</v>
      </c>
    </row>
    <row r="3184" spans="1:11" s="4" customFormat="1">
      <c r="A3184" s="4">
        <v>1000202</v>
      </c>
      <c r="B3184" s="4">
        <v>1</v>
      </c>
      <c r="C3184" s="4">
        <v>1</v>
      </c>
      <c r="D3184" s="4">
        <v>1</v>
      </c>
      <c r="E3184" s="4">
        <v>2</v>
      </c>
      <c r="F3184" s="4">
        <v>0</v>
      </c>
      <c r="G3184" s="4">
        <v>33008</v>
      </c>
      <c r="H3184" s="4">
        <v>2000</v>
      </c>
      <c r="I3184" s="4">
        <v>1</v>
      </c>
      <c r="J3184" s="4">
        <v>1</v>
      </c>
      <c r="K3184" s="4" t="s">
        <v>444</v>
      </c>
    </row>
    <row r="3185" spans="1:11" s="4" customFormat="1">
      <c r="A3185" s="4">
        <v>1000209</v>
      </c>
      <c r="B3185" s="4">
        <v>1</v>
      </c>
      <c r="C3185" s="4">
        <v>1</v>
      </c>
      <c r="D3185" s="4">
        <v>1</v>
      </c>
      <c r="E3185" s="4">
        <v>2</v>
      </c>
      <c r="F3185" s="4">
        <v>1</v>
      </c>
      <c r="G3185" s="4">
        <v>32535</v>
      </c>
      <c r="H3185" s="4">
        <v>3500</v>
      </c>
      <c r="I3185" s="4">
        <v>1</v>
      </c>
      <c r="J3185" s="4">
        <v>1</v>
      </c>
      <c r="K3185" s="4" t="s">
        <v>426</v>
      </c>
    </row>
    <row r="3186" spans="1:11" s="4" customFormat="1">
      <c r="A3186" s="4">
        <v>1000209</v>
      </c>
      <c r="B3186" s="4">
        <v>1</v>
      </c>
      <c r="C3186" s="4">
        <v>1</v>
      </c>
      <c r="D3186" s="4">
        <v>1</v>
      </c>
      <c r="E3186" s="4">
        <v>2</v>
      </c>
      <c r="F3186" s="4">
        <v>1</v>
      </c>
      <c r="G3186" s="4">
        <v>31036</v>
      </c>
      <c r="H3186" s="4">
        <v>2000</v>
      </c>
      <c r="I3186" s="4">
        <v>1</v>
      </c>
      <c r="J3186" s="4">
        <v>1</v>
      </c>
      <c r="K3186" s="4" t="s">
        <v>413</v>
      </c>
    </row>
    <row r="3187" spans="1:11" s="4" customFormat="1">
      <c r="A3187" s="4">
        <v>1000209</v>
      </c>
      <c r="B3187" s="4">
        <v>1</v>
      </c>
      <c r="C3187" s="4">
        <v>1</v>
      </c>
      <c r="D3187" s="4">
        <v>1</v>
      </c>
      <c r="E3187" s="4">
        <v>2</v>
      </c>
      <c r="F3187" s="4">
        <v>1</v>
      </c>
      <c r="G3187" s="4">
        <v>32537</v>
      </c>
      <c r="H3187" s="4">
        <v>2500</v>
      </c>
      <c r="I3187" s="4">
        <v>1</v>
      </c>
      <c r="J3187" s="4">
        <v>1</v>
      </c>
      <c r="K3187" s="4" t="s">
        <v>428</v>
      </c>
    </row>
    <row r="3188" spans="1:11" s="4" customFormat="1">
      <c r="A3188" s="4">
        <v>1000209</v>
      </c>
      <c r="B3188" s="4">
        <v>1</v>
      </c>
      <c r="C3188" s="4">
        <v>1</v>
      </c>
      <c r="D3188" s="4">
        <v>1</v>
      </c>
      <c r="E3188" s="4">
        <v>2</v>
      </c>
      <c r="F3188" s="4">
        <v>1</v>
      </c>
      <c r="G3188" s="4">
        <v>33008</v>
      </c>
      <c r="H3188" s="4">
        <v>2000</v>
      </c>
      <c r="I3188" s="4">
        <v>1</v>
      </c>
      <c r="J3188" s="4">
        <v>1</v>
      </c>
      <c r="K3188" s="4" t="s">
        <v>444</v>
      </c>
    </row>
    <row r="3189" spans="1:11" s="4" customFormat="1">
      <c r="A3189" s="4">
        <v>1000210</v>
      </c>
      <c r="B3189" s="4">
        <v>1</v>
      </c>
      <c r="C3189" s="4">
        <v>1</v>
      </c>
      <c r="D3189" s="4">
        <v>1</v>
      </c>
      <c r="E3189" s="4">
        <v>0</v>
      </c>
      <c r="F3189" s="4">
        <v>1</v>
      </c>
      <c r="G3189" s="4">
        <v>301</v>
      </c>
      <c r="H3189" s="4">
        <v>1000</v>
      </c>
      <c r="I3189" s="4">
        <v>1</v>
      </c>
      <c r="J3189" s="4">
        <v>1</v>
      </c>
      <c r="K3189" s="4" t="s">
        <v>250</v>
      </c>
    </row>
    <row r="3190" spans="1:11" s="4" customFormat="1">
      <c r="A3190" s="4">
        <v>1000210</v>
      </c>
      <c r="B3190" s="4">
        <v>1</v>
      </c>
      <c r="C3190" s="4">
        <v>1</v>
      </c>
      <c r="D3190" s="4">
        <v>1</v>
      </c>
      <c r="E3190" s="4">
        <v>0</v>
      </c>
      <c r="F3190" s="4">
        <v>1</v>
      </c>
      <c r="G3190" s="4">
        <v>302</v>
      </c>
      <c r="H3190" s="4">
        <v>1400</v>
      </c>
      <c r="I3190" s="4">
        <v>1</v>
      </c>
      <c r="J3190" s="4">
        <v>1</v>
      </c>
      <c r="K3190" s="4" t="s">
        <v>251</v>
      </c>
    </row>
    <row r="3191" spans="1:11" s="4" customFormat="1">
      <c r="A3191" s="4">
        <v>1000210</v>
      </c>
      <c r="B3191" s="4">
        <v>1</v>
      </c>
      <c r="C3191" s="4">
        <v>1</v>
      </c>
      <c r="D3191" s="4">
        <v>1</v>
      </c>
      <c r="E3191" s="4">
        <v>0</v>
      </c>
      <c r="F3191" s="4">
        <v>1</v>
      </c>
      <c r="G3191" s="4">
        <v>303</v>
      </c>
      <c r="H3191" s="4">
        <v>800</v>
      </c>
      <c r="I3191" s="4">
        <v>1</v>
      </c>
      <c r="J3191" s="4">
        <v>1</v>
      </c>
      <c r="K3191" s="4" t="s">
        <v>118</v>
      </c>
    </row>
    <row r="3192" spans="1:11" s="4" customFormat="1">
      <c r="A3192" s="4">
        <v>1000210</v>
      </c>
      <c r="B3192" s="4">
        <v>1</v>
      </c>
      <c r="C3192" s="4">
        <v>1</v>
      </c>
      <c r="D3192" s="4">
        <v>1</v>
      </c>
      <c r="E3192" s="4">
        <v>0</v>
      </c>
      <c r="F3192" s="4">
        <v>1</v>
      </c>
      <c r="G3192" s="4">
        <v>321</v>
      </c>
      <c r="H3192" s="4">
        <v>1000</v>
      </c>
      <c r="I3192" s="4">
        <v>1</v>
      </c>
      <c r="J3192" s="4">
        <v>1</v>
      </c>
      <c r="K3192" s="4" t="s">
        <v>254</v>
      </c>
    </row>
    <row r="3193" spans="1:11" s="4" customFormat="1">
      <c r="A3193" s="4">
        <v>1000210</v>
      </c>
      <c r="B3193" s="4">
        <v>1</v>
      </c>
      <c r="C3193" s="4">
        <v>1</v>
      </c>
      <c r="D3193" s="4">
        <v>1</v>
      </c>
      <c r="E3193" s="4">
        <v>0</v>
      </c>
      <c r="F3193" s="4">
        <v>1</v>
      </c>
      <c r="G3193" s="4">
        <v>322</v>
      </c>
      <c r="H3193" s="4">
        <v>1400</v>
      </c>
      <c r="I3193" s="4">
        <v>1</v>
      </c>
      <c r="J3193" s="4">
        <v>1</v>
      </c>
      <c r="K3193" s="4" t="s">
        <v>255</v>
      </c>
    </row>
    <row r="3194" spans="1:11" s="4" customFormat="1">
      <c r="A3194" s="4">
        <v>1000210</v>
      </c>
      <c r="B3194" s="4">
        <v>1</v>
      </c>
      <c r="C3194" s="4">
        <v>1</v>
      </c>
      <c r="D3194" s="4">
        <v>1</v>
      </c>
      <c r="E3194" s="4">
        <v>0</v>
      </c>
      <c r="F3194" s="4">
        <v>1</v>
      </c>
      <c r="G3194" s="4">
        <v>323</v>
      </c>
      <c r="H3194" s="4">
        <v>800</v>
      </c>
      <c r="I3194" s="4">
        <v>1</v>
      </c>
      <c r="J3194" s="4">
        <v>1</v>
      </c>
      <c r="K3194" s="4" t="s">
        <v>396</v>
      </c>
    </row>
    <row r="3195" spans="1:11" s="4" customFormat="1">
      <c r="A3195" s="4">
        <v>1000210</v>
      </c>
      <c r="B3195" s="4">
        <v>1</v>
      </c>
      <c r="C3195" s="4">
        <v>1</v>
      </c>
      <c r="D3195" s="4">
        <v>1</v>
      </c>
      <c r="E3195" s="4">
        <v>0</v>
      </c>
      <c r="F3195" s="4">
        <v>1</v>
      </c>
      <c r="G3195" s="4">
        <v>351</v>
      </c>
      <c r="H3195" s="4">
        <v>1000</v>
      </c>
      <c r="I3195" s="4">
        <v>1</v>
      </c>
      <c r="J3195" s="4">
        <v>1</v>
      </c>
      <c r="K3195" s="4" t="s">
        <v>397</v>
      </c>
    </row>
    <row r="3196" spans="1:11" s="4" customFormat="1">
      <c r="A3196" s="4">
        <v>1000210</v>
      </c>
      <c r="B3196" s="4">
        <v>1</v>
      </c>
      <c r="C3196" s="4">
        <v>1</v>
      </c>
      <c r="D3196" s="4">
        <v>1</v>
      </c>
      <c r="E3196" s="4">
        <v>0</v>
      </c>
      <c r="F3196" s="4">
        <v>1</v>
      </c>
      <c r="G3196" s="4">
        <v>352</v>
      </c>
      <c r="H3196" s="4">
        <v>500</v>
      </c>
      <c r="I3196" s="4">
        <v>1</v>
      </c>
      <c r="J3196" s="4">
        <v>1</v>
      </c>
      <c r="K3196" s="4" t="s">
        <v>398</v>
      </c>
    </row>
    <row r="3197" spans="1:11" s="4" customFormat="1">
      <c r="A3197" s="4">
        <v>1000210</v>
      </c>
      <c r="B3197" s="4">
        <v>1</v>
      </c>
      <c r="C3197" s="4">
        <v>1</v>
      </c>
      <c r="D3197" s="4">
        <v>1</v>
      </c>
      <c r="E3197" s="4">
        <v>0</v>
      </c>
      <c r="F3197" s="4">
        <v>1</v>
      </c>
      <c r="G3197" s="4">
        <v>353</v>
      </c>
      <c r="H3197" s="4">
        <v>300</v>
      </c>
      <c r="I3197" s="4">
        <v>1</v>
      </c>
      <c r="J3197" s="4">
        <v>1</v>
      </c>
      <c r="K3197" s="4" t="s">
        <v>399</v>
      </c>
    </row>
    <row r="3198" spans="1:11" s="4" customFormat="1">
      <c r="A3198" s="4">
        <v>1000210</v>
      </c>
      <c r="B3198" s="4">
        <v>1</v>
      </c>
      <c r="C3198" s="4">
        <v>1</v>
      </c>
      <c r="D3198" s="4">
        <v>1</v>
      </c>
      <c r="E3198" s="4">
        <v>0</v>
      </c>
      <c r="F3198" s="4">
        <v>1</v>
      </c>
      <c r="G3198" s="4">
        <v>701</v>
      </c>
      <c r="H3198" s="4">
        <v>100</v>
      </c>
      <c r="I3198" s="4">
        <v>1</v>
      </c>
      <c r="J3198" s="4">
        <v>1</v>
      </c>
      <c r="K3198" s="4" t="s">
        <v>2436</v>
      </c>
    </row>
    <row r="3199" spans="1:11" s="4" customFormat="1">
      <c r="A3199" s="4">
        <v>1000210</v>
      </c>
      <c r="B3199" s="4">
        <v>1</v>
      </c>
      <c r="C3199" s="4">
        <v>1</v>
      </c>
      <c r="D3199" s="4">
        <v>1</v>
      </c>
      <c r="E3199" s="4">
        <v>0</v>
      </c>
      <c r="F3199" s="4">
        <v>1</v>
      </c>
      <c r="G3199" s="4">
        <v>702</v>
      </c>
      <c r="H3199" s="4">
        <v>100</v>
      </c>
      <c r="I3199" s="4">
        <v>1</v>
      </c>
      <c r="J3199" s="4">
        <v>1</v>
      </c>
      <c r="K3199" s="4" t="s">
        <v>2437</v>
      </c>
    </row>
    <row r="3200" spans="1:11" s="4" customFormat="1">
      <c r="A3200" s="4">
        <v>1000210</v>
      </c>
      <c r="B3200" s="4">
        <v>1</v>
      </c>
      <c r="C3200" s="4">
        <v>1</v>
      </c>
      <c r="D3200" s="4">
        <v>1</v>
      </c>
      <c r="E3200" s="4">
        <v>0</v>
      </c>
      <c r="F3200" s="4">
        <v>1</v>
      </c>
      <c r="G3200" s="4">
        <v>703</v>
      </c>
      <c r="H3200" s="4">
        <v>100</v>
      </c>
      <c r="I3200" s="4">
        <v>1</v>
      </c>
      <c r="J3200" s="4">
        <v>1</v>
      </c>
      <c r="K3200" s="4" t="s">
        <v>2438</v>
      </c>
    </row>
    <row r="3201" spans="1:11" s="4" customFormat="1">
      <c r="A3201" s="4">
        <v>1000210</v>
      </c>
      <c r="B3201" s="4">
        <v>1</v>
      </c>
      <c r="C3201" s="4">
        <v>1</v>
      </c>
      <c r="D3201" s="4">
        <v>1</v>
      </c>
      <c r="E3201" s="4">
        <v>0</v>
      </c>
      <c r="F3201" s="4">
        <v>1</v>
      </c>
      <c r="G3201" s="4">
        <v>704</v>
      </c>
      <c r="H3201" s="4">
        <v>100</v>
      </c>
      <c r="I3201" s="4">
        <v>1</v>
      </c>
      <c r="J3201" s="4">
        <v>1</v>
      </c>
      <c r="K3201" s="4" t="s">
        <v>2439</v>
      </c>
    </row>
    <row r="3202" spans="1:11" s="4" customFormat="1">
      <c r="A3202" s="4">
        <v>1000210</v>
      </c>
      <c r="B3202" s="4">
        <v>1</v>
      </c>
      <c r="C3202" s="4">
        <v>1</v>
      </c>
      <c r="D3202" s="4">
        <v>1</v>
      </c>
      <c r="E3202" s="4">
        <v>0</v>
      </c>
      <c r="F3202" s="4">
        <v>1</v>
      </c>
      <c r="G3202" s="4">
        <v>705</v>
      </c>
      <c r="H3202" s="4">
        <v>100</v>
      </c>
      <c r="I3202" s="4">
        <v>1</v>
      </c>
      <c r="J3202" s="4">
        <v>1</v>
      </c>
      <c r="K3202" s="4" t="s">
        <v>2440</v>
      </c>
    </row>
    <row r="3203" spans="1:11" s="4" customFormat="1">
      <c r="A3203" s="4">
        <v>1000210</v>
      </c>
      <c r="B3203" s="4">
        <v>1</v>
      </c>
      <c r="C3203" s="4">
        <v>1</v>
      </c>
      <c r="D3203" s="4">
        <v>1</v>
      </c>
      <c r="E3203" s="4">
        <v>0</v>
      </c>
      <c r="F3203" s="4">
        <v>1</v>
      </c>
      <c r="G3203" s="4">
        <v>706</v>
      </c>
      <c r="H3203" s="4">
        <v>100</v>
      </c>
      <c r="I3203" s="4">
        <v>1</v>
      </c>
      <c r="J3203" s="4">
        <v>1</v>
      </c>
      <c r="K3203" s="4" t="s">
        <v>2441</v>
      </c>
    </row>
    <row r="3204" spans="1:11" s="4" customFormat="1">
      <c r="A3204" s="4">
        <v>1000210</v>
      </c>
      <c r="B3204" s="4">
        <v>1</v>
      </c>
      <c r="C3204" s="4">
        <v>1</v>
      </c>
      <c r="D3204" s="4">
        <v>1</v>
      </c>
      <c r="E3204" s="4">
        <v>0</v>
      </c>
      <c r="F3204" s="4">
        <v>1</v>
      </c>
      <c r="G3204" s="4">
        <v>40001</v>
      </c>
      <c r="H3204" s="4">
        <v>300</v>
      </c>
      <c r="I3204" s="4">
        <v>1</v>
      </c>
      <c r="J3204" s="4">
        <v>1</v>
      </c>
      <c r="K3204" s="4" t="s">
        <v>261</v>
      </c>
    </row>
    <row r="3205" spans="1:11" s="4" customFormat="1">
      <c r="A3205" s="4">
        <v>1000210</v>
      </c>
      <c r="B3205" s="4">
        <v>1</v>
      </c>
      <c r="C3205" s="4">
        <v>1</v>
      </c>
      <c r="D3205" s="4">
        <v>1</v>
      </c>
      <c r="E3205" s="4">
        <v>0</v>
      </c>
      <c r="F3205" s="4">
        <v>1</v>
      </c>
      <c r="G3205" s="4">
        <v>40002</v>
      </c>
      <c r="H3205" s="4">
        <v>200</v>
      </c>
      <c r="I3205" s="4">
        <v>1</v>
      </c>
      <c r="J3205" s="4">
        <v>1</v>
      </c>
      <c r="K3205" s="4" t="s">
        <v>262</v>
      </c>
    </row>
    <row r="3206" spans="1:11" s="4" customFormat="1">
      <c r="A3206" s="4">
        <v>1000210</v>
      </c>
      <c r="B3206" s="4">
        <v>1</v>
      </c>
      <c r="C3206" s="4">
        <v>1</v>
      </c>
      <c r="D3206" s="4">
        <v>1</v>
      </c>
      <c r="E3206" s="4">
        <v>0</v>
      </c>
      <c r="F3206" s="4">
        <v>1</v>
      </c>
      <c r="G3206" s="4">
        <v>40003</v>
      </c>
      <c r="H3206" s="4">
        <v>100</v>
      </c>
      <c r="I3206" s="4">
        <v>1</v>
      </c>
      <c r="J3206" s="4">
        <v>1</v>
      </c>
      <c r="K3206" s="4" t="s">
        <v>263</v>
      </c>
    </row>
    <row r="3207" spans="1:11" s="4" customFormat="1">
      <c r="A3207" s="4">
        <v>1000210</v>
      </c>
      <c r="B3207" s="4">
        <v>1</v>
      </c>
      <c r="C3207" s="4">
        <v>1</v>
      </c>
      <c r="D3207" s="4">
        <v>1</v>
      </c>
      <c r="E3207" s="4">
        <v>0</v>
      </c>
      <c r="F3207" s="4">
        <v>1</v>
      </c>
      <c r="G3207" s="4">
        <v>40011</v>
      </c>
      <c r="H3207" s="4">
        <v>300</v>
      </c>
      <c r="I3207" s="4">
        <v>1</v>
      </c>
      <c r="J3207" s="4">
        <v>1</v>
      </c>
      <c r="K3207" s="4" t="s">
        <v>264</v>
      </c>
    </row>
    <row r="3208" spans="1:11" s="4" customFormat="1">
      <c r="A3208" s="4">
        <v>1000210</v>
      </c>
      <c r="B3208" s="4">
        <v>1</v>
      </c>
      <c r="C3208" s="4">
        <v>1</v>
      </c>
      <c r="D3208" s="4">
        <v>1</v>
      </c>
      <c r="E3208" s="4">
        <v>0</v>
      </c>
      <c r="F3208" s="4">
        <v>1</v>
      </c>
      <c r="G3208" s="4">
        <v>40012</v>
      </c>
      <c r="H3208" s="4">
        <v>200</v>
      </c>
      <c r="I3208" s="4">
        <v>1</v>
      </c>
      <c r="J3208" s="4">
        <v>1</v>
      </c>
      <c r="K3208" s="4" t="s">
        <v>265</v>
      </c>
    </row>
    <row r="3209" spans="1:11" s="4" customFormat="1">
      <c r="A3209" s="4">
        <v>1000210</v>
      </c>
      <c r="B3209" s="4">
        <v>1</v>
      </c>
      <c r="C3209" s="4">
        <v>1</v>
      </c>
      <c r="D3209" s="4">
        <v>1</v>
      </c>
      <c r="E3209" s="4">
        <v>0</v>
      </c>
      <c r="F3209" s="4">
        <v>1</v>
      </c>
      <c r="G3209" s="4">
        <v>40013</v>
      </c>
      <c r="H3209" s="4">
        <v>100</v>
      </c>
      <c r="I3209" s="4">
        <v>1</v>
      </c>
      <c r="J3209" s="4">
        <v>1</v>
      </c>
      <c r="K3209" s="4" t="s">
        <v>266</v>
      </c>
    </row>
    <row r="3210" spans="1:11" s="4" customFormat="1">
      <c r="A3210" s="4">
        <v>1000211</v>
      </c>
      <c r="B3210" s="4">
        <v>1</v>
      </c>
      <c r="C3210" s="4">
        <v>1</v>
      </c>
      <c r="D3210" s="4">
        <v>1</v>
      </c>
      <c r="E3210" s="4">
        <v>0</v>
      </c>
      <c r="F3210" s="4">
        <v>0</v>
      </c>
      <c r="G3210" s="4">
        <v>80003</v>
      </c>
      <c r="H3210" s="4">
        <v>1600</v>
      </c>
      <c r="I3210" s="4">
        <v>1</v>
      </c>
      <c r="J3210" s="4">
        <v>1</v>
      </c>
      <c r="K3210" s="4" t="s">
        <v>25</v>
      </c>
    </row>
    <row r="3211" spans="1:11" s="4" customFormat="1">
      <c r="A3211" s="4">
        <v>1000211</v>
      </c>
      <c r="B3211" s="4">
        <v>1</v>
      </c>
      <c r="C3211" s="4">
        <v>1</v>
      </c>
      <c r="D3211" s="4">
        <v>1</v>
      </c>
      <c r="E3211" s="4">
        <v>0</v>
      </c>
      <c r="F3211" s="4">
        <v>0</v>
      </c>
      <c r="G3211" s="4">
        <v>701</v>
      </c>
      <c r="H3211" s="4">
        <v>1400</v>
      </c>
      <c r="I3211" s="4">
        <v>1</v>
      </c>
      <c r="J3211" s="4">
        <v>1</v>
      </c>
      <c r="K3211" s="4" t="s">
        <v>2436</v>
      </c>
    </row>
    <row r="3212" spans="1:11" s="4" customFormat="1">
      <c r="A3212" s="4">
        <v>1000211</v>
      </c>
      <c r="B3212" s="4">
        <v>1</v>
      </c>
      <c r="C3212" s="4">
        <v>1</v>
      </c>
      <c r="D3212" s="4">
        <v>1</v>
      </c>
      <c r="E3212" s="4">
        <v>0</v>
      </c>
      <c r="F3212" s="4">
        <v>0</v>
      </c>
      <c r="G3212" s="4">
        <v>702</v>
      </c>
      <c r="H3212" s="4">
        <v>1400</v>
      </c>
      <c r="I3212" s="4">
        <v>1</v>
      </c>
      <c r="J3212" s="4">
        <v>1</v>
      </c>
      <c r="K3212" s="4" t="s">
        <v>2437</v>
      </c>
    </row>
    <row r="3213" spans="1:11" s="4" customFormat="1">
      <c r="A3213" s="4">
        <v>1000211</v>
      </c>
      <c r="B3213" s="4">
        <v>1</v>
      </c>
      <c r="C3213" s="4">
        <v>1</v>
      </c>
      <c r="D3213" s="4">
        <v>1</v>
      </c>
      <c r="E3213" s="4">
        <v>0</v>
      </c>
      <c r="F3213" s="4">
        <v>0</v>
      </c>
      <c r="G3213" s="4">
        <v>703</v>
      </c>
      <c r="H3213" s="4">
        <v>1400</v>
      </c>
      <c r="I3213" s="4">
        <v>1</v>
      </c>
      <c r="J3213" s="4">
        <v>1</v>
      </c>
      <c r="K3213" s="4" t="s">
        <v>2438</v>
      </c>
    </row>
    <row r="3214" spans="1:11" s="4" customFormat="1">
      <c r="A3214" s="4">
        <v>1000211</v>
      </c>
      <c r="B3214" s="4">
        <v>1</v>
      </c>
      <c r="C3214" s="4">
        <v>1</v>
      </c>
      <c r="D3214" s="4">
        <v>1</v>
      </c>
      <c r="E3214" s="4">
        <v>0</v>
      </c>
      <c r="F3214" s="4">
        <v>0</v>
      </c>
      <c r="G3214" s="4">
        <v>704</v>
      </c>
      <c r="H3214" s="4">
        <v>1400</v>
      </c>
      <c r="I3214" s="4">
        <v>1</v>
      </c>
      <c r="J3214" s="4">
        <v>1</v>
      </c>
      <c r="K3214" s="4" t="s">
        <v>2439</v>
      </c>
    </row>
    <row r="3215" spans="1:11" s="4" customFormat="1">
      <c r="A3215" s="4">
        <v>1000211</v>
      </c>
      <c r="B3215" s="4">
        <v>1</v>
      </c>
      <c r="C3215" s="4">
        <v>1</v>
      </c>
      <c r="D3215" s="4">
        <v>1</v>
      </c>
      <c r="E3215" s="4">
        <v>0</v>
      </c>
      <c r="F3215" s="4">
        <v>0</v>
      </c>
      <c r="G3215" s="4">
        <v>705</v>
      </c>
      <c r="H3215" s="4">
        <v>1400</v>
      </c>
      <c r="I3215" s="4">
        <v>1</v>
      </c>
      <c r="J3215" s="4">
        <v>1</v>
      </c>
      <c r="K3215" s="4" t="s">
        <v>2440</v>
      </c>
    </row>
    <row r="3216" spans="1:11" s="4" customFormat="1">
      <c r="A3216" s="4">
        <v>1000211</v>
      </c>
      <c r="B3216" s="4">
        <v>1</v>
      </c>
      <c r="C3216" s="4">
        <v>1</v>
      </c>
      <c r="D3216" s="4">
        <v>1</v>
      </c>
      <c r="E3216" s="4">
        <v>0</v>
      </c>
      <c r="F3216" s="4">
        <v>0</v>
      </c>
      <c r="G3216" s="4">
        <v>706</v>
      </c>
      <c r="H3216" s="4">
        <v>1400</v>
      </c>
      <c r="I3216" s="4">
        <v>1</v>
      </c>
      <c r="J3216" s="4">
        <v>1</v>
      </c>
      <c r="K3216" s="4" t="s">
        <v>2441</v>
      </c>
    </row>
    <row r="3217" spans="1:11" s="4" customFormat="1">
      <c r="A3217" s="4">
        <v>1000300</v>
      </c>
      <c r="B3217" s="4">
        <v>1</v>
      </c>
      <c r="C3217" s="4">
        <v>1</v>
      </c>
      <c r="D3217" s="4">
        <v>1</v>
      </c>
      <c r="E3217" s="4">
        <v>0</v>
      </c>
      <c r="F3217" s="4">
        <v>0</v>
      </c>
      <c r="G3217" s="4">
        <v>99900009</v>
      </c>
      <c r="H3217" s="4">
        <v>300</v>
      </c>
      <c r="I3217" s="4">
        <v>1</v>
      </c>
      <c r="J3217" s="4">
        <v>1</v>
      </c>
      <c r="K3217" s="4" t="s">
        <v>288</v>
      </c>
    </row>
    <row r="3218" spans="1:11" s="4" customFormat="1">
      <c r="A3218" s="4">
        <v>1000300</v>
      </c>
      <c r="B3218" s="4">
        <v>1</v>
      </c>
      <c r="C3218" s="4">
        <v>1</v>
      </c>
      <c r="D3218" s="4">
        <v>1</v>
      </c>
      <c r="E3218" s="4">
        <v>0</v>
      </c>
      <c r="F3218" s="4">
        <v>0</v>
      </c>
      <c r="G3218" s="4">
        <v>99900010</v>
      </c>
      <c r="H3218" s="4">
        <v>300</v>
      </c>
      <c r="I3218" s="4">
        <v>1</v>
      </c>
      <c r="J3218" s="4">
        <v>1</v>
      </c>
      <c r="K3218" s="4" t="s">
        <v>289</v>
      </c>
    </row>
    <row r="3219" spans="1:11" s="4" customFormat="1">
      <c r="A3219" s="4">
        <v>1000300</v>
      </c>
      <c r="B3219" s="4">
        <v>1</v>
      </c>
      <c r="C3219" s="4">
        <v>1</v>
      </c>
      <c r="D3219" s="4">
        <v>1</v>
      </c>
      <c r="E3219" s="4">
        <v>0</v>
      </c>
      <c r="F3219" s="4">
        <v>0</v>
      </c>
      <c r="G3219" s="4">
        <v>99900011</v>
      </c>
      <c r="H3219" s="4">
        <v>300</v>
      </c>
      <c r="I3219" s="4">
        <v>1</v>
      </c>
      <c r="J3219" s="4">
        <v>1</v>
      </c>
      <c r="K3219" s="4" t="s">
        <v>290</v>
      </c>
    </row>
    <row r="3220" spans="1:11" s="4" customFormat="1">
      <c r="A3220" s="4">
        <v>1000300</v>
      </c>
      <c r="B3220" s="4">
        <v>1</v>
      </c>
      <c r="C3220" s="4">
        <v>1</v>
      </c>
      <c r="D3220" s="4">
        <v>1</v>
      </c>
      <c r="E3220" s="4">
        <v>0</v>
      </c>
      <c r="F3220" s="4">
        <v>0</v>
      </c>
      <c r="G3220" s="4">
        <v>99900012</v>
      </c>
      <c r="H3220" s="4">
        <v>300</v>
      </c>
      <c r="I3220" s="4">
        <v>1</v>
      </c>
      <c r="J3220" s="4">
        <v>1</v>
      </c>
      <c r="K3220" s="4" t="s">
        <v>291</v>
      </c>
    </row>
    <row r="3221" spans="1:11" s="4" customFormat="1">
      <c r="A3221" s="4">
        <v>1000300</v>
      </c>
      <c r="B3221" s="4">
        <v>1</v>
      </c>
      <c r="C3221" s="4">
        <v>1</v>
      </c>
      <c r="D3221" s="4">
        <v>1</v>
      </c>
      <c r="E3221" s="4">
        <v>0</v>
      </c>
      <c r="F3221" s="4">
        <v>0</v>
      </c>
      <c r="G3221" s="4">
        <v>99900014</v>
      </c>
      <c r="H3221" s="4">
        <v>300</v>
      </c>
      <c r="I3221" s="4">
        <v>1</v>
      </c>
      <c r="J3221" s="4">
        <v>1</v>
      </c>
      <c r="K3221" s="4" t="s">
        <v>293</v>
      </c>
    </row>
    <row r="3222" spans="1:11" s="4" customFormat="1">
      <c r="A3222" s="4">
        <v>1000300</v>
      </c>
      <c r="B3222" s="4">
        <v>1</v>
      </c>
      <c r="C3222" s="4">
        <v>1</v>
      </c>
      <c r="D3222" s="4">
        <v>1</v>
      </c>
      <c r="E3222" s="4">
        <v>0</v>
      </c>
      <c r="F3222" s="4">
        <v>0</v>
      </c>
      <c r="G3222" s="4">
        <v>99920003</v>
      </c>
      <c r="H3222" s="4">
        <v>300</v>
      </c>
      <c r="I3222" s="4">
        <v>1</v>
      </c>
      <c r="J3222" s="4">
        <v>1</v>
      </c>
      <c r="K3222" s="4" t="s">
        <v>316</v>
      </c>
    </row>
    <row r="3223" spans="1:11" s="4" customFormat="1">
      <c r="A3223" s="4">
        <v>1000300</v>
      </c>
      <c r="B3223" s="4">
        <v>1</v>
      </c>
      <c r="C3223" s="4">
        <v>1</v>
      </c>
      <c r="D3223" s="4">
        <v>1</v>
      </c>
      <c r="E3223" s="4">
        <v>0</v>
      </c>
      <c r="F3223" s="4">
        <v>0</v>
      </c>
      <c r="G3223" s="4">
        <v>99920004</v>
      </c>
      <c r="H3223" s="4">
        <v>300</v>
      </c>
      <c r="I3223" s="4">
        <v>1</v>
      </c>
      <c r="J3223" s="4">
        <v>1</v>
      </c>
      <c r="K3223" s="4" t="s">
        <v>317</v>
      </c>
    </row>
    <row r="3224" spans="1:11" s="4" customFormat="1">
      <c r="A3224" s="4">
        <v>1000300</v>
      </c>
      <c r="B3224" s="4">
        <v>1</v>
      </c>
      <c r="C3224" s="4">
        <v>1</v>
      </c>
      <c r="D3224" s="4">
        <v>1</v>
      </c>
      <c r="E3224" s="4">
        <v>0</v>
      </c>
      <c r="F3224" s="4">
        <v>0</v>
      </c>
      <c r="G3224" s="4">
        <v>99920005</v>
      </c>
      <c r="H3224" s="4">
        <v>300</v>
      </c>
      <c r="I3224" s="4">
        <v>1</v>
      </c>
      <c r="J3224" s="4">
        <v>1</v>
      </c>
      <c r="K3224" s="4" t="s">
        <v>318</v>
      </c>
    </row>
    <row r="3225" spans="1:11" s="4" customFormat="1">
      <c r="A3225" s="4">
        <v>1000300</v>
      </c>
      <c r="B3225" s="4">
        <v>1</v>
      </c>
      <c r="C3225" s="4">
        <v>1</v>
      </c>
      <c r="D3225" s="4">
        <v>1</v>
      </c>
      <c r="E3225" s="4">
        <v>0</v>
      </c>
      <c r="F3225" s="4">
        <v>0</v>
      </c>
      <c r="G3225" s="4">
        <v>99920006</v>
      </c>
      <c r="H3225" s="4">
        <v>300</v>
      </c>
      <c r="I3225" s="4">
        <v>1</v>
      </c>
      <c r="J3225" s="4">
        <v>1</v>
      </c>
      <c r="K3225" s="4" t="s">
        <v>319</v>
      </c>
    </row>
    <row r="3226" spans="1:11" s="4" customFormat="1">
      <c r="A3226" s="4">
        <v>1000300</v>
      </c>
      <c r="B3226" s="4">
        <v>1</v>
      </c>
      <c r="C3226" s="4">
        <v>1</v>
      </c>
      <c r="D3226" s="4">
        <v>1</v>
      </c>
      <c r="E3226" s="4">
        <v>0</v>
      </c>
      <c r="F3226" s="4">
        <v>0</v>
      </c>
      <c r="G3226" s="4">
        <v>99920010</v>
      </c>
      <c r="H3226" s="4">
        <v>300</v>
      </c>
      <c r="I3226" s="4">
        <v>1</v>
      </c>
      <c r="J3226" s="4">
        <v>1</v>
      </c>
      <c r="K3226" s="4" t="s">
        <v>322</v>
      </c>
    </row>
    <row r="3227" spans="1:11" s="4" customFormat="1">
      <c r="A3227" s="4">
        <v>1000300</v>
      </c>
      <c r="B3227" s="4">
        <v>1</v>
      </c>
      <c r="C3227" s="4">
        <v>1</v>
      </c>
      <c r="D3227" s="4">
        <v>1</v>
      </c>
      <c r="E3227" s="4">
        <v>0</v>
      </c>
      <c r="F3227" s="4">
        <v>0</v>
      </c>
      <c r="G3227" s="4">
        <v>99920011</v>
      </c>
      <c r="H3227" s="4">
        <v>300</v>
      </c>
      <c r="I3227" s="4">
        <v>1</v>
      </c>
      <c r="J3227" s="4">
        <v>1</v>
      </c>
      <c r="K3227" s="4" t="s">
        <v>323</v>
      </c>
    </row>
    <row r="3228" spans="1:11" s="4" customFormat="1">
      <c r="A3228" s="4">
        <v>1000300</v>
      </c>
      <c r="B3228" s="4">
        <v>1</v>
      </c>
      <c r="C3228" s="4">
        <v>1</v>
      </c>
      <c r="D3228" s="4">
        <v>1</v>
      </c>
      <c r="E3228" s="4">
        <v>0</v>
      </c>
      <c r="F3228" s="4">
        <v>0</v>
      </c>
      <c r="G3228" s="4">
        <v>99920012</v>
      </c>
      <c r="H3228" s="4">
        <v>300</v>
      </c>
      <c r="I3228" s="4">
        <v>1</v>
      </c>
      <c r="J3228" s="4">
        <v>1</v>
      </c>
      <c r="K3228" s="4" t="s">
        <v>324</v>
      </c>
    </row>
    <row r="3229" spans="1:11" s="4" customFormat="1">
      <c r="A3229" s="4">
        <v>1000300</v>
      </c>
      <c r="B3229" s="4">
        <v>1</v>
      </c>
      <c r="C3229" s="4">
        <v>1</v>
      </c>
      <c r="D3229" s="4">
        <v>1</v>
      </c>
      <c r="E3229" s="4">
        <v>0</v>
      </c>
      <c r="F3229" s="4">
        <v>0</v>
      </c>
      <c r="G3229" s="4">
        <v>99930004</v>
      </c>
      <c r="H3229" s="4">
        <v>300</v>
      </c>
      <c r="I3229" s="4">
        <v>1</v>
      </c>
      <c r="J3229" s="4">
        <v>1</v>
      </c>
      <c r="K3229" s="4" t="s">
        <v>342</v>
      </c>
    </row>
    <row r="3230" spans="1:11" s="4" customFormat="1">
      <c r="A3230" s="4">
        <v>1000300</v>
      </c>
      <c r="B3230" s="4">
        <v>1</v>
      </c>
      <c r="C3230" s="4">
        <v>1</v>
      </c>
      <c r="D3230" s="4">
        <v>1</v>
      </c>
      <c r="E3230" s="4">
        <v>0</v>
      </c>
      <c r="F3230" s="4">
        <v>0</v>
      </c>
      <c r="G3230" s="4">
        <v>99930005</v>
      </c>
      <c r="H3230" s="4">
        <v>300</v>
      </c>
      <c r="I3230" s="4">
        <v>1</v>
      </c>
      <c r="J3230" s="4">
        <v>1</v>
      </c>
      <c r="K3230" s="4" t="s">
        <v>343</v>
      </c>
    </row>
    <row r="3231" spans="1:11" s="4" customFormat="1">
      <c r="A3231" s="4">
        <v>1000300</v>
      </c>
      <c r="B3231" s="4">
        <v>1</v>
      </c>
      <c r="C3231" s="4">
        <v>1</v>
      </c>
      <c r="D3231" s="4">
        <v>1</v>
      </c>
      <c r="E3231" s="4">
        <v>0</v>
      </c>
      <c r="F3231" s="4">
        <v>0</v>
      </c>
      <c r="G3231" s="4">
        <v>99930006</v>
      </c>
      <c r="H3231" s="4">
        <v>300</v>
      </c>
      <c r="I3231" s="4">
        <v>1</v>
      </c>
      <c r="J3231" s="4">
        <v>1</v>
      </c>
      <c r="K3231" s="4" t="s">
        <v>344</v>
      </c>
    </row>
    <row r="3232" spans="1:11" s="4" customFormat="1">
      <c r="A3232" s="4">
        <v>1000300</v>
      </c>
      <c r="B3232" s="4">
        <v>1</v>
      </c>
      <c r="C3232" s="4">
        <v>1</v>
      </c>
      <c r="D3232" s="4">
        <v>1</v>
      </c>
      <c r="E3232" s="4">
        <v>0</v>
      </c>
      <c r="F3232" s="4">
        <v>0</v>
      </c>
      <c r="G3232" s="4">
        <v>99930007</v>
      </c>
      <c r="H3232" s="4">
        <v>300</v>
      </c>
      <c r="I3232" s="4">
        <v>1</v>
      </c>
      <c r="J3232" s="4">
        <v>1</v>
      </c>
      <c r="K3232" s="4" t="s">
        <v>345</v>
      </c>
    </row>
    <row r="3233" spans="1:11" s="4" customFormat="1">
      <c r="A3233" s="4">
        <v>1000300</v>
      </c>
      <c r="B3233" s="4">
        <v>1</v>
      </c>
      <c r="C3233" s="4">
        <v>1</v>
      </c>
      <c r="D3233" s="4">
        <v>1</v>
      </c>
      <c r="E3233" s="4">
        <v>0</v>
      </c>
      <c r="F3233" s="4">
        <v>0</v>
      </c>
      <c r="G3233" s="4">
        <v>99930008</v>
      </c>
      <c r="H3233" s="4">
        <v>300</v>
      </c>
      <c r="I3233" s="4">
        <v>1</v>
      </c>
      <c r="J3233" s="4">
        <v>1</v>
      </c>
      <c r="K3233" s="4" t="s">
        <v>346</v>
      </c>
    </row>
    <row r="3234" spans="1:11" s="4" customFormat="1">
      <c r="A3234" s="4">
        <v>1000300</v>
      </c>
      <c r="B3234" s="4">
        <v>1</v>
      </c>
      <c r="C3234" s="4">
        <v>1</v>
      </c>
      <c r="D3234" s="4">
        <v>1</v>
      </c>
      <c r="E3234" s="4">
        <v>0</v>
      </c>
      <c r="F3234" s="4">
        <v>0</v>
      </c>
      <c r="G3234" s="4">
        <v>99930009</v>
      </c>
      <c r="H3234" s="4">
        <v>300</v>
      </c>
      <c r="I3234" s="4">
        <v>1</v>
      </c>
      <c r="J3234" s="4">
        <v>1</v>
      </c>
      <c r="K3234" s="4" t="s">
        <v>347</v>
      </c>
    </row>
    <row r="3235" spans="1:11" s="4" customFormat="1">
      <c r="A3235" s="4">
        <v>1000300</v>
      </c>
      <c r="B3235" s="4">
        <v>1</v>
      </c>
      <c r="C3235" s="4">
        <v>1</v>
      </c>
      <c r="D3235" s="4">
        <v>1</v>
      </c>
      <c r="E3235" s="4">
        <v>0</v>
      </c>
      <c r="F3235" s="4">
        <v>0</v>
      </c>
      <c r="G3235" s="4">
        <v>99930010</v>
      </c>
      <c r="H3235" s="4">
        <v>300</v>
      </c>
      <c r="I3235" s="4">
        <v>1</v>
      </c>
      <c r="J3235" s="4">
        <v>1</v>
      </c>
      <c r="K3235" s="4" t="s">
        <v>348</v>
      </c>
    </row>
    <row r="3236" spans="1:11" s="4" customFormat="1">
      <c r="A3236" s="4">
        <v>1000300</v>
      </c>
      <c r="B3236" s="4">
        <v>1</v>
      </c>
      <c r="C3236" s="4">
        <v>1</v>
      </c>
      <c r="D3236" s="4">
        <v>1</v>
      </c>
      <c r="E3236" s="4">
        <v>0</v>
      </c>
      <c r="F3236" s="4">
        <v>0</v>
      </c>
      <c r="G3236" s="4">
        <v>99930015</v>
      </c>
      <c r="H3236" s="4">
        <v>300</v>
      </c>
      <c r="I3236" s="4">
        <v>1</v>
      </c>
      <c r="J3236" s="4">
        <v>1</v>
      </c>
      <c r="K3236" s="4" t="s">
        <v>87</v>
      </c>
    </row>
    <row r="3237" spans="1:11" s="4" customFormat="1">
      <c r="A3237" s="4">
        <v>1000300</v>
      </c>
      <c r="B3237" s="4">
        <v>1</v>
      </c>
      <c r="C3237" s="4">
        <v>1</v>
      </c>
      <c r="D3237" s="4">
        <v>1</v>
      </c>
      <c r="E3237" s="4">
        <v>0</v>
      </c>
      <c r="F3237" s="4">
        <v>0</v>
      </c>
      <c r="G3237" s="4">
        <v>99940004</v>
      </c>
      <c r="H3237" s="4">
        <v>300</v>
      </c>
      <c r="I3237" s="4">
        <v>1</v>
      </c>
      <c r="J3237" s="4">
        <v>1</v>
      </c>
      <c r="K3237" s="4" t="s">
        <v>373</v>
      </c>
    </row>
    <row r="3238" spans="1:11" s="4" customFormat="1">
      <c r="A3238" s="4">
        <v>1000300</v>
      </c>
      <c r="B3238" s="4">
        <v>1</v>
      </c>
      <c r="C3238" s="4">
        <v>1</v>
      </c>
      <c r="D3238" s="4">
        <v>1</v>
      </c>
      <c r="E3238" s="4">
        <v>0</v>
      </c>
      <c r="F3238" s="4">
        <v>0</v>
      </c>
      <c r="G3238" s="4">
        <v>99940005</v>
      </c>
      <c r="H3238" s="4">
        <v>300</v>
      </c>
      <c r="I3238" s="4">
        <v>1</v>
      </c>
      <c r="J3238" s="4">
        <v>1</v>
      </c>
      <c r="K3238" s="4" t="s">
        <v>374</v>
      </c>
    </row>
    <row r="3239" spans="1:11" s="4" customFormat="1">
      <c r="A3239" s="4">
        <v>1000300</v>
      </c>
      <c r="B3239" s="4">
        <v>1</v>
      </c>
      <c r="C3239" s="4">
        <v>1</v>
      </c>
      <c r="D3239" s="4">
        <v>1</v>
      </c>
      <c r="E3239" s="4">
        <v>0</v>
      </c>
      <c r="F3239" s="4">
        <v>0</v>
      </c>
      <c r="G3239" s="4">
        <v>99940006</v>
      </c>
      <c r="H3239" s="4">
        <v>300</v>
      </c>
      <c r="I3239" s="4">
        <v>1</v>
      </c>
      <c r="J3239" s="4">
        <v>1</v>
      </c>
      <c r="K3239" s="4" t="s">
        <v>375</v>
      </c>
    </row>
    <row r="3240" spans="1:11" s="4" customFormat="1">
      <c r="A3240" s="4">
        <v>1000300</v>
      </c>
      <c r="B3240" s="4">
        <v>1</v>
      </c>
      <c r="C3240" s="4">
        <v>1</v>
      </c>
      <c r="D3240" s="4">
        <v>1</v>
      </c>
      <c r="E3240" s="4">
        <v>0</v>
      </c>
      <c r="F3240" s="4">
        <v>0</v>
      </c>
      <c r="G3240" s="4">
        <v>99940007</v>
      </c>
      <c r="H3240" s="4">
        <v>300</v>
      </c>
      <c r="I3240" s="4">
        <v>1</v>
      </c>
      <c r="J3240" s="4">
        <v>1</v>
      </c>
      <c r="K3240" s="4" t="s">
        <v>376</v>
      </c>
    </row>
    <row r="3241" spans="1:11" s="4" customFormat="1">
      <c r="A3241" s="4">
        <v>1000300</v>
      </c>
      <c r="B3241" s="4">
        <v>1</v>
      </c>
      <c r="C3241" s="4">
        <v>1</v>
      </c>
      <c r="D3241" s="4">
        <v>1</v>
      </c>
      <c r="E3241" s="4">
        <v>0</v>
      </c>
      <c r="F3241" s="4">
        <v>0</v>
      </c>
      <c r="G3241" s="4">
        <v>99940008</v>
      </c>
      <c r="H3241" s="4">
        <v>300</v>
      </c>
      <c r="I3241" s="4">
        <v>1</v>
      </c>
      <c r="J3241" s="4">
        <v>1</v>
      </c>
      <c r="K3241" s="4" t="s">
        <v>377</v>
      </c>
    </row>
    <row r="3242" spans="1:11" s="4" customFormat="1">
      <c r="A3242" s="4">
        <v>1000300</v>
      </c>
      <c r="B3242" s="4">
        <v>1</v>
      </c>
      <c r="C3242" s="4">
        <v>1</v>
      </c>
      <c r="D3242" s="4">
        <v>1</v>
      </c>
      <c r="E3242" s="4">
        <v>0</v>
      </c>
      <c r="F3242" s="4">
        <v>0</v>
      </c>
      <c r="G3242" s="4">
        <v>99940017</v>
      </c>
      <c r="H3242" s="4">
        <v>300</v>
      </c>
      <c r="I3242" s="4">
        <v>1</v>
      </c>
      <c r="J3242" s="4">
        <v>1</v>
      </c>
      <c r="K3242" s="4" t="s">
        <v>385</v>
      </c>
    </row>
    <row r="3243" spans="1:11" s="4" customFormat="1">
      <c r="A3243" s="4">
        <v>1000300</v>
      </c>
      <c r="B3243" s="4">
        <v>1</v>
      </c>
      <c r="C3243" s="4">
        <v>1</v>
      </c>
      <c r="D3243" s="4">
        <v>1</v>
      </c>
      <c r="E3243" s="4">
        <v>0</v>
      </c>
      <c r="F3243" s="4">
        <v>0</v>
      </c>
      <c r="G3243" s="4">
        <v>99940018</v>
      </c>
      <c r="H3243" s="4">
        <v>300</v>
      </c>
      <c r="I3243" s="4">
        <v>1</v>
      </c>
      <c r="J3243" s="4">
        <v>1</v>
      </c>
      <c r="K3243" s="4" t="s">
        <v>386</v>
      </c>
    </row>
    <row r="3244" spans="1:11" s="4" customFormat="1">
      <c r="A3244" s="4">
        <v>1000300</v>
      </c>
      <c r="B3244" s="4">
        <v>1</v>
      </c>
      <c r="C3244" s="4">
        <v>1</v>
      </c>
      <c r="D3244" s="4">
        <v>1</v>
      </c>
      <c r="E3244" s="4">
        <v>0</v>
      </c>
      <c r="F3244" s="4">
        <v>0</v>
      </c>
      <c r="G3244" s="4">
        <v>99980313</v>
      </c>
      <c r="H3244" s="4">
        <v>300</v>
      </c>
      <c r="I3244" s="4">
        <v>1</v>
      </c>
      <c r="J3244" s="4">
        <v>1</v>
      </c>
      <c r="K3244" s="4" t="s">
        <v>393</v>
      </c>
    </row>
    <row r="3245" spans="1:11" s="4" customFormat="1">
      <c r="A3245" s="4">
        <v>1000300</v>
      </c>
      <c r="B3245" s="4">
        <v>1</v>
      </c>
      <c r="C3245" s="4">
        <v>1</v>
      </c>
      <c r="D3245" s="4">
        <v>1</v>
      </c>
      <c r="E3245" s="4">
        <v>0</v>
      </c>
      <c r="F3245" s="4">
        <v>0</v>
      </c>
      <c r="G3245" s="4">
        <v>99990313</v>
      </c>
      <c r="H3245" s="4">
        <v>300</v>
      </c>
      <c r="I3245" s="4">
        <v>1</v>
      </c>
      <c r="J3245" s="4">
        <v>1</v>
      </c>
      <c r="K3245" s="4" t="s">
        <v>620</v>
      </c>
    </row>
    <row r="3246" spans="1:11" s="4" customFormat="1">
      <c r="A3246" s="4">
        <v>1000300</v>
      </c>
      <c r="B3246" s="4">
        <v>1</v>
      </c>
      <c r="C3246" s="4">
        <v>1</v>
      </c>
      <c r="D3246" s="4">
        <v>1</v>
      </c>
      <c r="E3246" s="4">
        <v>0</v>
      </c>
      <c r="F3246" s="4">
        <v>0</v>
      </c>
      <c r="G3246" s="4">
        <v>99990111</v>
      </c>
      <c r="H3246" s="4">
        <v>300</v>
      </c>
      <c r="I3246" s="4">
        <v>1</v>
      </c>
      <c r="J3246" s="4">
        <v>1</v>
      </c>
      <c r="K3246" s="4" t="s">
        <v>629</v>
      </c>
    </row>
    <row r="3247" spans="1:11" s="4" customFormat="1">
      <c r="A3247" s="4">
        <v>1000300</v>
      </c>
      <c r="B3247" s="4">
        <v>1</v>
      </c>
      <c r="C3247" s="4">
        <v>1</v>
      </c>
      <c r="D3247" s="4">
        <v>1</v>
      </c>
      <c r="E3247" s="4">
        <v>0</v>
      </c>
      <c r="F3247" s="4">
        <v>0</v>
      </c>
      <c r="G3247" s="4">
        <v>99990211</v>
      </c>
      <c r="H3247" s="4">
        <v>300</v>
      </c>
      <c r="I3247" s="4">
        <v>1</v>
      </c>
      <c r="J3247" s="4">
        <v>1</v>
      </c>
      <c r="K3247" s="4" t="s">
        <v>630</v>
      </c>
    </row>
    <row r="3248" spans="1:11" s="4" customFormat="1">
      <c r="A3248" s="4">
        <v>1000300</v>
      </c>
      <c r="B3248" s="4">
        <v>1</v>
      </c>
      <c r="C3248" s="4">
        <v>1</v>
      </c>
      <c r="D3248" s="4">
        <v>1</v>
      </c>
      <c r="E3248" s="4">
        <v>0</v>
      </c>
      <c r="F3248" s="4">
        <v>0</v>
      </c>
      <c r="G3248" s="4">
        <v>1</v>
      </c>
      <c r="H3248" s="4">
        <v>700</v>
      </c>
      <c r="I3248" s="4">
        <f>K3248*85%</f>
        <v>4250</v>
      </c>
      <c r="J3248" s="4">
        <f>K3248*115%</f>
        <v>5750</v>
      </c>
      <c r="K3248" s="4">
        <v>5000</v>
      </c>
    </row>
    <row r="3249" spans="1:11" s="4" customFormat="1">
      <c r="A3249" s="4">
        <v>1000301</v>
      </c>
      <c r="B3249" s="4">
        <v>1</v>
      </c>
      <c r="C3249" s="4">
        <v>1</v>
      </c>
      <c r="D3249" s="4">
        <v>1</v>
      </c>
      <c r="E3249" s="4">
        <v>0</v>
      </c>
      <c r="F3249" s="4">
        <v>0</v>
      </c>
      <c r="G3249" s="4">
        <v>99900013</v>
      </c>
      <c r="H3249" s="4">
        <v>700</v>
      </c>
      <c r="I3249" s="4">
        <v>1</v>
      </c>
      <c r="J3249" s="4">
        <v>1</v>
      </c>
      <c r="K3249" s="4" t="s">
        <v>292</v>
      </c>
    </row>
    <row r="3250" spans="1:11" s="4" customFormat="1">
      <c r="A3250" s="4">
        <v>1000301</v>
      </c>
      <c r="B3250" s="4">
        <v>1</v>
      </c>
      <c r="C3250" s="4">
        <v>1</v>
      </c>
      <c r="D3250" s="4">
        <v>1</v>
      </c>
      <c r="E3250" s="4">
        <v>0</v>
      </c>
      <c r="F3250" s="4">
        <v>0</v>
      </c>
      <c r="G3250" s="4">
        <v>99900017</v>
      </c>
      <c r="H3250" s="4">
        <v>700</v>
      </c>
      <c r="I3250" s="4">
        <v>1</v>
      </c>
      <c r="J3250" s="4">
        <v>1</v>
      </c>
      <c r="K3250" s="4" t="s">
        <v>296</v>
      </c>
    </row>
    <row r="3251" spans="1:11" s="4" customFormat="1">
      <c r="A3251" s="4">
        <v>1000301</v>
      </c>
      <c r="B3251" s="4">
        <v>1</v>
      </c>
      <c r="C3251" s="4">
        <v>1</v>
      </c>
      <c r="D3251" s="4">
        <v>1</v>
      </c>
      <c r="E3251" s="4">
        <v>0</v>
      </c>
      <c r="F3251" s="4">
        <v>0</v>
      </c>
      <c r="G3251" s="4">
        <v>99900015</v>
      </c>
      <c r="H3251" s="4">
        <v>700</v>
      </c>
      <c r="I3251" s="4">
        <v>1</v>
      </c>
      <c r="J3251" s="4">
        <v>1</v>
      </c>
      <c r="K3251" s="4" t="s">
        <v>294</v>
      </c>
    </row>
    <row r="3252" spans="1:11" s="4" customFormat="1">
      <c r="A3252" s="4">
        <v>1000301</v>
      </c>
      <c r="B3252" s="4">
        <v>1</v>
      </c>
      <c r="C3252" s="4">
        <v>1</v>
      </c>
      <c r="D3252" s="4">
        <v>1</v>
      </c>
      <c r="E3252" s="4">
        <v>0</v>
      </c>
      <c r="F3252" s="4">
        <v>0</v>
      </c>
      <c r="G3252" s="4">
        <v>99900020</v>
      </c>
      <c r="H3252" s="4">
        <v>600</v>
      </c>
      <c r="I3252" s="4">
        <v>1</v>
      </c>
      <c r="J3252" s="4">
        <v>1</v>
      </c>
      <c r="K3252" s="4" t="s">
        <v>299</v>
      </c>
    </row>
    <row r="3253" spans="1:11" s="4" customFormat="1">
      <c r="A3253" s="4">
        <v>1000301</v>
      </c>
      <c r="B3253" s="4">
        <v>1</v>
      </c>
      <c r="C3253" s="4">
        <v>1</v>
      </c>
      <c r="D3253" s="4">
        <v>1</v>
      </c>
      <c r="E3253" s="4">
        <v>0</v>
      </c>
      <c r="F3253" s="4">
        <v>0</v>
      </c>
      <c r="G3253" s="4">
        <v>99900018</v>
      </c>
      <c r="H3253" s="4">
        <v>40</v>
      </c>
      <c r="I3253" s="4">
        <v>1</v>
      </c>
      <c r="J3253" s="4">
        <v>1</v>
      </c>
      <c r="K3253" s="4" t="s">
        <v>297</v>
      </c>
    </row>
    <row r="3254" spans="1:11" s="4" customFormat="1">
      <c r="A3254" s="4">
        <v>1000301</v>
      </c>
      <c r="B3254" s="4">
        <v>1</v>
      </c>
      <c r="C3254" s="4">
        <v>1</v>
      </c>
      <c r="D3254" s="4">
        <v>1</v>
      </c>
      <c r="E3254" s="4">
        <v>0</v>
      </c>
      <c r="F3254" s="4">
        <v>0</v>
      </c>
      <c r="G3254" s="4">
        <v>99900019</v>
      </c>
      <c r="H3254" s="4">
        <v>40</v>
      </c>
      <c r="I3254" s="4">
        <v>1</v>
      </c>
      <c r="J3254" s="4">
        <v>1</v>
      </c>
      <c r="K3254" s="4" t="s">
        <v>298</v>
      </c>
    </row>
    <row r="3255" spans="1:11" s="4" customFormat="1">
      <c r="A3255" s="4">
        <v>1000301</v>
      </c>
      <c r="B3255" s="4">
        <v>1</v>
      </c>
      <c r="C3255" s="4">
        <v>1</v>
      </c>
      <c r="D3255" s="4">
        <v>1</v>
      </c>
      <c r="E3255" s="4">
        <v>0</v>
      </c>
      <c r="F3255" s="4">
        <v>0</v>
      </c>
      <c r="G3255" s="4">
        <v>99900021</v>
      </c>
      <c r="H3255" s="4">
        <v>40</v>
      </c>
      <c r="I3255" s="4">
        <v>1</v>
      </c>
      <c r="J3255" s="4">
        <v>1</v>
      </c>
      <c r="K3255" s="4" t="s">
        <v>300</v>
      </c>
    </row>
    <row r="3256" spans="1:11" s="4" customFormat="1">
      <c r="A3256" s="4">
        <v>1000301</v>
      </c>
      <c r="B3256" s="4">
        <v>1</v>
      </c>
      <c r="C3256" s="4">
        <v>1</v>
      </c>
      <c r="D3256" s="4">
        <v>1</v>
      </c>
      <c r="E3256" s="4">
        <v>0</v>
      </c>
      <c r="F3256" s="4">
        <v>0</v>
      </c>
      <c r="G3256" s="4">
        <v>99920013</v>
      </c>
      <c r="H3256" s="4">
        <v>600</v>
      </c>
      <c r="I3256" s="4">
        <v>1</v>
      </c>
      <c r="J3256" s="4">
        <v>1</v>
      </c>
      <c r="K3256" s="4" t="s">
        <v>325</v>
      </c>
    </row>
    <row r="3257" spans="1:11" s="4" customFormat="1">
      <c r="A3257" s="4">
        <v>1000301</v>
      </c>
      <c r="B3257" s="4">
        <v>1</v>
      </c>
      <c r="C3257" s="4">
        <v>1</v>
      </c>
      <c r="D3257" s="4">
        <v>1</v>
      </c>
      <c r="E3257" s="4">
        <v>0</v>
      </c>
      <c r="F3257" s="4">
        <v>0</v>
      </c>
      <c r="G3257" s="4">
        <v>99920014</v>
      </c>
      <c r="H3257" s="4">
        <v>600</v>
      </c>
      <c r="I3257" s="4">
        <v>1</v>
      </c>
      <c r="J3257" s="4">
        <v>1</v>
      </c>
      <c r="K3257" s="4" t="s">
        <v>326</v>
      </c>
    </row>
    <row r="3258" spans="1:11" s="4" customFormat="1">
      <c r="A3258" s="4">
        <v>1000301</v>
      </c>
      <c r="B3258" s="4">
        <v>1</v>
      </c>
      <c r="C3258" s="4">
        <v>1</v>
      </c>
      <c r="D3258" s="4">
        <v>1</v>
      </c>
      <c r="E3258" s="4">
        <v>0</v>
      </c>
      <c r="F3258" s="4">
        <v>0</v>
      </c>
      <c r="G3258" s="4">
        <v>99920015</v>
      </c>
      <c r="H3258" s="4">
        <v>600</v>
      </c>
      <c r="I3258" s="4">
        <v>1</v>
      </c>
      <c r="J3258" s="4">
        <v>1</v>
      </c>
      <c r="K3258" s="4" t="s">
        <v>327</v>
      </c>
    </row>
    <row r="3259" spans="1:11" s="4" customFormat="1">
      <c r="A3259" s="4">
        <v>1000301</v>
      </c>
      <c r="B3259" s="4">
        <v>1</v>
      </c>
      <c r="C3259" s="4">
        <v>1</v>
      </c>
      <c r="D3259" s="4">
        <v>1</v>
      </c>
      <c r="E3259" s="4">
        <v>0</v>
      </c>
      <c r="F3259" s="4">
        <v>0</v>
      </c>
      <c r="G3259" s="4">
        <v>99920016</v>
      </c>
      <c r="H3259" s="4">
        <v>30</v>
      </c>
      <c r="I3259" s="4">
        <v>1</v>
      </c>
      <c r="J3259" s="4">
        <v>1</v>
      </c>
      <c r="K3259" s="4" t="s">
        <v>328</v>
      </c>
    </row>
    <row r="3260" spans="1:11" s="4" customFormat="1">
      <c r="A3260" s="4">
        <v>1000301</v>
      </c>
      <c r="B3260" s="4">
        <v>1</v>
      </c>
      <c r="C3260" s="4">
        <v>1</v>
      </c>
      <c r="D3260" s="4">
        <v>1</v>
      </c>
      <c r="E3260" s="4">
        <v>0</v>
      </c>
      <c r="F3260" s="4">
        <v>0</v>
      </c>
      <c r="G3260" s="4">
        <v>99920020</v>
      </c>
      <c r="H3260" s="4">
        <v>30</v>
      </c>
      <c r="I3260" s="4">
        <v>1</v>
      </c>
      <c r="J3260" s="4">
        <v>1</v>
      </c>
      <c r="K3260" s="4" t="s">
        <v>332</v>
      </c>
    </row>
    <row r="3261" spans="1:11" s="4" customFormat="1">
      <c r="A3261" s="4">
        <v>1000301</v>
      </c>
      <c r="B3261" s="4">
        <v>1</v>
      </c>
      <c r="C3261" s="4">
        <v>1</v>
      </c>
      <c r="D3261" s="4">
        <v>1</v>
      </c>
      <c r="E3261" s="4">
        <v>0</v>
      </c>
      <c r="F3261" s="4">
        <v>0</v>
      </c>
      <c r="G3261" s="4">
        <v>99920021</v>
      </c>
      <c r="H3261" s="4">
        <v>30</v>
      </c>
      <c r="I3261" s="4">
        <v>1</v>
      </c>
      <c r="J3261" s="4">
        <v>1</v>
      </c>
      <c r="K3261" s="4" t="s">
        <v>333</v>
      </c>
    </row>
    <row r="3262" spans="1:11" s="4" customFormat="1">
      <c r="A3262" s="4">
        <v>1000301</v>
      </c>
      <c r="B3262" s="4">
        <v>1</v>
      </c>
      <c r="C3262" s="4">
        <v>1</v>
      </c>
      <c r="D3262" s="4">
        <v>1</v>
      </c>
      <c r="E3262" s="4">
        <v>0</v>
      </c>
      <c r="F3262" s="4">
        <v>0</v>
      </c>
      <c r="G3262" s="4">
        <v>99930011</v>
      </c>
      <c r="H3262" s="4">
        <v>600</v>
      </c>
      <c r="I3262" s="4">
        <v>1</v>
      </c>
      <c r="J3262" s="4">
        <v>1</v>
      </c>
      <c r="K3262" s="4" t="s">
        <v>349</v>
      </c>
    </row>
    <row r="3263" spans="1:11" s="4" customFormat="1">
      <c r="A3263" s="4">
        <v>1000301</v>
      </c>
      <c r="B3263" s="4">
        <v>1</v>
      </c>
      <c r="C3263" s="4">
        <v>1</v>
      </c>
      <c r="D3263" s="4">
        <v>1</v>
      </c>
      <c r="E3263" s="4">
        <v>0</v>
      </c>
      <c r="F3263" s="4">
        <v>0</v>
      </c>
      <c r="G3263" s="4">
        <v>99930012</v>
      </c>
      <c r="H3263" s="4">
        <v>600</v>
      </c>
      <c r="I3263" s="4">
        <v>1</v>
      </c>
      <c r="J3263" s="4">
        <v>1</v>
      </c>
      <c r="K3263" s="4" t="s">
        <v>350</v>
      </c>
    </row>
    <row r="3264" spans="1:11" s="4" customFormat="1">
      <c r="A3264" s="4">
        <v>1000301</v>
      </c>
      <c r="B3264" s="4">
        <v>1</v>
      </c>
      <c r="C3264" s="4">
        <v>1</v>
      </c>
      <c r="D3264" s="4">
        <v>1</v>
      </c>
      <c r="E3264" s="4">
        <v>0</v>
      </c>
      <c r="F3264" s="4">
        <v>0</v>
      </c>
      <c r="G3264" s="4">
        <v>99930013</v>
      </c>
      <c r="H3264" s="4">
        <v>600</v>
      </c>
      <c r="I3264" s="4">
        <v>1</v>
      </c>
      <c r="J3264" s="4">
        <v>1</v>
      </c>
      <c r="K3264" s="4" t="s">
        <v>351</v>
      </c>
    </row>
    <row r="3265" spans="1:11" s="4" customFormat="1">
      <c r="A3265" s="4">
        <v>1000301</v>
      </c>
      <c r="B3265" s="4">
        <v>1</v>
      </c>
      <c r="C3265" s="4">
        <v>1</v>
      </c>
      <c r="D3265" s="4">
        <v>1</v>
      </c>
      <c r="E3265" s="4">
        <v>0</v>
      </c>
      <c r="F3265" s="4">
        <v>0</v>
      </c>
      <c r="G3265" s="4">
        <v>99930016</v>
      </c>
      <c r="H3265" s="4">
        <v>600</v>
      </c>
      <c r="I3265" s="4">
        <v>1</v>
      </c>
      <c r="J3265" s="4">
        <v>1</v>
      </c>
      <c r="K3265" s="4" t="s">
        <v>353</v>
      </c>
    </row>
    <row r="3266" spans="1:11" s="4" customFormat="1">
      <c r="A3266" s="4">
        <v>1000301</v>
      </c>
      <c r="B3266" s="4">
        <v>1</v>
      </c>
      <c r="C3266" s="4">
        <v>1</v>
      </c>
      <c r="D3266" s="4">
        <v>1</v>
      </c>
      <c r="E3266" s="4">
        <v>0</v>
      </c>
      <c r="F3266" s="4">
        <v>0</v>
      </c>
      <c r="G3266" s="4">
        <v>99930014</v>
      </c>
      <c r="H3266" s="4">
        <v>40</v>
      </c>
      <c r="I3266" s="4">
        <v>1</v>
      </c>
      <c r="J3266" s="4">
        <v>1</v>
      </c>
      <c r="K3266" s="4" t="s">
        <v>352</v>
      </c>
    </row>
    <row r="3267" spans="1:11" s="4" customFormat="1">
      <c r="A3267" s="4">
        <v>1000301</v>
      </c>
      <c r="B3267" s="4">
        <v>1</v>
      </c>
      <c r="C3267" s="4">
        <v>1</v>
      </c>
      <c r="D3267" s="4">
        <v>1</v>
      </c>
      <c r="E3267" s="4">
        <v>0</v>
      </c>
      <c r="F3267" s="4">
        <v>0</v>
      </c>
      <c r="G3267" s="4">
        <v>99930017</v>
      </c>
      <c r="H3267" s="4">
        <v>40</v>
      </c>
      <c r="I3267" s="4">
        <v>1</v>
      </c>
      <c r="J3267" s="4">
        <v>1</v>
      </c>
      <c r="K3267" s="4" t="s">
        <v>354</v>
      </c>
    </row>
    <row r="3268" spans="1:11" s="4" customFormat="1">
      <c r="A3268" s="4">
        <v>1000301</v>
      </c>
      <c r="B3268" s="4">
        <v>1</v>
      </c>
      <c r="C3268" s="4">
        <v>1</v>
      </c>
      <c r="D3268" s="4">
        <v>1</v>
      </c>
      <c r="E3268" s="4">
        <v>0</v>
      </c>
      <c r="F3268" s="4">
        <v>0</v>
      </c>
      <c r="G3268" s="4">
        <v>99930018</v>
      </c>
      <c r="H3268" s="4">
        <v>40</v>
      </c>
      <c r="I3268" s="4">
        <v>1</v>
      </c>
      <c r="J3268" s="4">
        <v>1</v>
      </c>
      <c r="K3268" s="4" t="s">
        <v>355</v>
      </c>
    </row>
    <row r="3269" spans="1:11" s="4" customFormat="1">
      <c r="A3269" s="4">
        <v>1000301</v>
      </c>
      <c r="B3269" s="4">
        <v>1</v>
      </c>
      <c r="C3269" s="4">
        <v>1</v>
      </c>
      <c r="D3269" s="4">
        <v>1</v>
      </c>
      <c r="E3269" s="4">
        <v>0</v>
      </c>
      <c r="F3269" s="4">
        <v>0</v>
      </c>
      <c r="G3269" s="4">
        <v>99940009</v>
      </c>
      <c r="H3269" s="4">
        <v>600</v>
      </c>
      <c r="I3269" s="4">
        <v>1</v>
      </c>
      <c r="J3269" s="4">
        <v>1</v>
      </c>
      <c r="K3269" s="4" t="s">
        <v>378</v>
      </c>
    </row>
    <row r="3270" spans="1:11" s="4" customFormat="1">
      <c r="A3270" s="4">
        <v>1000301</v>
      </c>
      <c r="B3270" s="4">
        <v>1</v>
      </c>
      <c r="C3270" s="4">
        <v>1</v>
      </c>
      <c r="D3270" s="4">
        <v>1</v>
      </c>
      <c r="E3270" s="4">
        <v>0</v>
      </c>
      <c r="F3270" s="4">
        <v>0</v>
      </c>
      <c r="G3270" s="4">
        <v>99940019</v>
      </c>
      <c r="H3270" s="4">
        <v>600</v>
      </c>
      <c r="I3270" s="4">
        <v>1</v>
      </c>
      <c r="J3270" s="4">
        <v>1</v>
      </c>
      <c r="K3270" s="4" t="s">
        <v>387</v>
      </c>
    </row>
    <row r="3271" spans="1:11" s="4" customFormat="1">
      <c r="A3271" s="4">
        <v>1000301</v>
      </c>
      <c r="B3271" s="4">
        <v>1</v>
      </c>
      <c r="C3271" s="4">
        <v>1</v>
      </c>
      <c r="D3271" s="4">
        <v>1</v>
      </c>
      <c r="E3271" s="4">
        <v>0</v>
      </c>
      <c r="F3271" s="4">
        <v>0</v>
      </c>
      <c r="G3271" s="4">
        <v>99940015</v>
      </c>
      <c r="H3271" s="4">
        <v>40</v>
      </c>
      <c r="I3271" s="4">
        <v>1</v>
      </c>
      <c r="J3271" s="4">
        <v>1</v>
      </c>
      <c r="K3271" s="4" t="s">
        <v>383</v>
      </c>
    </row>
    <row r="3272" spans="1:11" s="4" customFormat="1">
      <c r="A3272" s="4">
        <v>1000301</v>
      </c>
      <c r="B3272" s="4">
        <v>1</v>
      </c>
      <c r="C3272" s="4">
        <v>1</v>
      </c>
      <c r="D3272" s="4">
        <v>1</v>
      </c>
      <c r="E3272" s="4">
        <v>0</v>
      </c>
      <c r="F3272" s="4">
        <v>0</v>
      </c>
      <c r="G3272" s="4">
        <v>99940011</v>
      </c>
      <c r="H3272" s="4">
        <v>40</v>
      </c>
      <c r="I3272" s="4">
        <v>1</v>
      </c>
      <c r="J3272" s="4">
        <v>1</v>
      </c>
      <c r="K3272" s="4" t="s">
        <v>380</v>
      </c>
    </row>
    <row r="3273" spans="1:11" s="4" customFormat="1">
      <c r="A3273" s="4">
        <v>1000301</v>
      </c>
      <c r="B3273" s="4">
        <v>1</v>
      </c>
      <c r="C3273" s="4">
        <v>1</v>
      </c>
      <c r="D3273" s="4">
        <v>1</v>
      </c>
      <c r="E3273" s="4">
        <v>0</v>
      </c>
      <c r="F3273" s="4">
        <v>0</v>
      </c>
      <c r="G3273" s="4">
        <v>99940020</v>
      </c>
      <c r="H3273" s="4">
        <v>40</v>
      </c>
      <c r="I3273" s="4">
        <v>1</v>
      </c>
      <c r="J3273" s="4">
        <v>1</v>
      </c>
      <c r="K3273" s="4" t="s">
        <v>388</v>
      </c>
    </row>
    <row r="3274" spans="1:11" s="4" customFormat="1">
      <c r="A3274" s="4">
        <v>1000301</v>
      </c>
      <c r="B3274" s="4">
        <v>1</v>
      </c>
      <c r="C3274" s="4">
        <v>1</v>
      </c>
      <c r="D3274" s="4">
        <v>1</v>
      </c>
      <c r="E3274" s="4">
        <v>0</v>
      </c>
      <c r="F3274" s="4">
        <v>0</v>
      </c>
      <c r="G3274" s="4">
        <v>99980413</v>
      </c>
      <c r="H3274" s="4">
        <v>100</v>
      </c>
      <c r="I3274" s="4">
        <v>1</v>
      </c>
      <c r="J3274" s="4">
        <v>1</v>
      </c>
      <c r="K3274" s="4" t="s">
        <v>394</v>
      </c>
    </row>
    <row r="3275" spans="1:11" s="4" customFormat="1">
      <c r="A3275" s="4">
        <v>1000301</v>
      </c>
      <c r="B3275" s="4">
        <v>1</v>
      </c>
      <c r="C3275" s="4">
        <v>1</v>
      </c>
      <c r="D3275" s="4">
        <v>1</v>
      </c>
      <c r="E3275" s="4">
        <v>0</v>
      </c>
      <c r="F3275" s="4">
        <v>0</v>
      </c>
      <c r="G3275" s="4">
        <v>99990413</v>
      </c>
      <c r="H3275" s="4">
        <v>100</v>
      </c>
      <c r="I3275" s="4">
        <v>1</v>
      </c>
      <c r="J3275" s="4">
        <v>1</v>
      </c>
      <c r="K3275" s="4" t="s">
        <v>621</v>
      </c>
    </row>
    <row r="3276" spans="1:11" s="4" customFormat="1">
      <c r="A3276" s="4">
        <v>1000301</v>
      </c>
      <c r="B3276" s="4">
        <v>1</v>
      </c>
      <c r="C3276" s="4">
        <v>1</v>
      </c>
      <c r="D3276" s="4">
        <v>1</v>
      </c>
      <c r="E3276" s="4">
        <v>0</v>
      </c>
      <c r="F3276" s="4">
        <v>0</v>
      </c>
      <c r="G3276" s="4">
        <v>99980423</v>
      </c>
      <c r="H3276" s="4">
        <v>100</v>
      </c>
      <c r="I3276" s="4">
        <v>1</v>
      </c>
      <c r="J3276" s="4">
        <v>1</v>
      </c>
      <c r="K3276" s="4" t="s">
        <v>622</v>
      </c>
    </row>
    <row r="3277" spans="1:11" s="4" customFormat="1">
      <c r="A3277" s="4">
        <v>1000301</v>
      </c>
      <c r="B3277" s="4">
        <v>1</v>
      </c>
      <c r="C3277" s="4">
        <v>1</v>
      </c>
      <c r="D3277" s="4">
        <v>1</v>
      </c>
      <c r="E3277" s="4">
        <v>0</v>
      </c>
      <c r="F3277" s="4">
        <v>0</v>
      </c>
      <c r="G3277" s="4">
        <v>99990423</v>
      </c>
      <c r="H3277" s="4">
        <v>100</v>
      </c>
      <c r="I3277" s="4">
        <v>1</v>
      </c>
      <c r="J3277" s="4">
        <v>1</v>
      </c>
      <c r="K3277" s="4" t="s">
        <v>623</v>
      </c>
    </row>
    <row r="3278" spans="1:11" s="4" customFormat="1">
      <c r="A3278" s="4">
        <v>1000301</v>
      </c>
      <c r="B3278" s="4">
        <v>1</v>
      </c>
      <c r="C3278" s="4">
        <v>1</v>
      </c>
      <c r="D3278" s="4">
        <v>1</v>
      </c>
      <c r="E3278" s="4">
        <v>0</v>
      </c>
      <c r="F3278" s="4">
        <v>0</v>
      </c>
      <c r="G3278" s="4">
        <v>99980433</v>
      </c>
      <c r="H3278" s="4">
        <v>100</v>
      </c>
      <c r="I3278" s="4">
        <v>1</v>
      </c>
      <c r="J3278" s="4">
        <v>1</v>
      </c>
      <c r="K3278" s="4" t="s">
        <v>624</v>
      </c>
    </row>
    <row r="3279" spans="1:11" s="4" customFormat="1">
      <c r="A3279" s="4">
        <v>1000301</v>
      </c>
      <c r="B3279" s="4">
        <v>1</v>
      </c>
      <c r="C3279" s="4">
        <v>1</v>
      </c>
      <c r="D3279" s="4">
        <v>1</v>
      </c>
      <c r="E3279" s="4">
        <v>0</v>
      </c>
      <c r="F3279" s="4">
        <v>0</v>
      </c>
      <c r="G3279" s="4">
        <v>99990433</v>
      </c>
      <c r="H3279" s="4">
        <v>100</v>
      </c>
      <c r="I3279" s="4">
        <v>1</v>
      </c>
      <c r="J3279" s="4">
        <v>1</v>
      </c>
      <c r="K3279" s="4" t="s">
        <v>625</v>
      </c>
    </row>
    <row r="3280" spans="1:11" s="4" customFormat="1">
      <c r="A3280" s="4">
        <v>1000301</v>
      </c>
      <c r="B3280" s="4">
        <v>1</v>
      </c>
      <c r="C3280" s="4">
        <v>1</v>
      </c>
      <c r="D3280" s="4">
        <v>1</v>
      </c>
      <c r="E3280" s="4">
        <v>0</v>
      </c>
      <c r="F3280" s="4">
        <v>0</v>
      </c>
      <c r="G3280" s="4">
        <v>1</v>
      </c>
      <c r="H3280" s="4">
        <v>850</v>
      </c>
      <c r="I3280" s="4">
        <f>K3280*85%</f>
        <v>127500</v>
      </c>
      <c r="J3280" s="4">
        <f>K3280*115%</f>
        <v>172500</v>
      </c>
      <c r="K3280" s="4">
        <v>150000</v>
      </c>
    </row>
    <row r="3281" spans="1:11" s="4" customFormat="1">
      <c r="A3281" s="4">
        <v>1000309</v>
      </c>
      <c r="B3281" s="4">
        <v>1</v>
      </c>
      <c r="C3281" s="4">
        <v>1</v>
      </c>
      <c r="D3281" s="4">
        <v>1</v>
      </c>
      <c r="E3281" s="4">
        <v>0</v>
      </c>
      <c r="F3281" s="4">
        <v>0</v>
      </c>
      <c r="G3281" s="4">
        <v>99900022</v>
      </c>
      <c r="H3281" s="4">
        <v>700</v>
      </c>
      <c r="I3281" s="4">
        <v>1</v>
      </c>
      <c r="J3281" s="4">
        <v>1</v>
      </c>
      <c r="K3281" s="4" t="s">
        <v>301</v>
      </c>
    </row>
    <row r="3282" spans="1:11" s="4" customFormat="1">
      <c r="A3282" s="4">
        <v>1000309</v>
      </c>
      <c r="B3282" s="4">
        <v>1</v>
      </c>
      <c r="C3282" s="4">
        <v>1</v>
      </c>
      <c r="D3282" s="4">
        <v>1</v>
      </c>
      <c r="E3282" s="4">
        <v>0</v>
      </c>
      <c r="F3282" s="4">
        <v>0</v>
      </c>
      <c r="G3282" s="4">
        <v>99900023</v>
      </c>
      <c r="H3282" s="4">
        <v>700</v>
      </c>
      <c r="I3282" s="4">
        <v>1</v>
      </c>
      <c r="J3282" s="4">
        <v>1</v>
      </c>
      <c r="K3282" s="4" t="s">
        <v>302</v>
      </c>
    </row>
    <row r="3283" spans="1:11" s="4" customFormat="1">
      <c r="A3283" s="4">
        <v>1000309</v>
      </c>
      <c r="B3283" s="4">
        <v>1</v>
      </c>
      <c r="C3283" s="4">
        <v>1</v>
      </c>
      <c r="D3283" s="4">
        <v>1</v>
      </c>
      <c r="E3283" s="4">
        <v>0</v>
      </c>
      <c r="F3283" s="4">
        <v>0</v>
      </c>
      <c r="G3283" s="4">
        <v>99900024</v>
      </c>
      <c r="H3283" s="4">
        <v>700</v>
      </c>
      <c r="I3283" s="4">
        <v>1</v>
      </c>
      <c r="J3283" s="4">
        <v>1</v>
      </c>
      <c r="K3283" s="4" t="s">
        <v>303</v>
      </c>
    </row>
    <row r="3284" spans="1:11" s="4" customFormat="1">
      <c r="A3284" s="4">
        <v>1000309</v>
      </c>
      <c r="B3284" s="4">
        <v>1</v>
      </c>
      <c r="C3284" s="4">
        <v>1</v>
      </c>
      <c r="D3284" s="4">
        <v>1</v>
      </c>
      <c r="E3284" s="4">
        <v>0</v>
      </c>
      <c r="F3284" s="4">
        <v>0</v>
      </c>
      <c r="G3284" s="4">
        <v>99980513</v>
      </c>
      <c r="H3284" s="4">
        <v>1320</v>
      </c>
      <c r="I3284" s="4">
        <v>1</v>
      </c>
      <c r="J3284" s="4">
        <v>1</v>
      </c>
      <c r="K3284" s="4" t="s">
        <v>395</v>
      </c>
    </row>
    <row r="3285" spans="1:11" s="4" customFormat="1">
      <c r="A3285" s="4">
        <v>1000309</v>
      </c>
      <c r="B3285" s="4">
        <v>1</v>
      </c>
      <c r="C3285" s="4">
        <v>1</v>
      </c>
      <c r="D3285" s="4">
        <v>1</v>
      </c>
      <c r="E3285" s="4">
        <v>0</v>
      </c>
      <c r="F3285" s="4">
        <v>0</v>
      </c>
      <c r="G3285" s="4">
        <v>99990513</v>
      </c>
      <c r="H3285" s="4">
        <v>1320</v>
      </c>
      <c r="I3285" s="4">
        <v>1</v>
      </c>
      <c r="J3285" s="4">
        <v>1</v>
      </c>
      <c r="K3285" s="4" t="s">
        <v>626</v>
      </c>
    </row>
    <row r="3286" spans="1:11" s="4" customFormat="1">
      <c r="A3286" s="4">
        <v>1000309</v>
      </c>
      <c r="B3286" s="4">
        <v>1</v>
      </c>
      <c r="C3286" s="4">
        <v>1</v>
      </c>
      <c r="D3286" s="4">
        <v>1</v>
      </c>
      <c r="E3286" s="4">
        <v>0</v>
      </c>
      <c r="F3286" s="4">
        <v>0</v>
      </c>
      <c r="G3286" s="4">
        <v>99980523</v>
      </c>
      <c r="H3286" s="4">
        <v>1320</v>
      </c>
      <c r="I3286" s="4">
        <v>1</v>
      </c>
      <c r="J3286" s="4">
        <v>1</v>
      </c>
      <c r="K3286" s="4" t="s">
        <v>479</v>
      </c>
    </row>
    <row r="3287" spans="1:11" s="4" customFormat="1">
      <c r="A3287" s="4">
        <v>1000309</v>
      </c>
      <c r="B3287" s="4">
        <v>1</v>
      </c>
      <c r="C3287" s="4">
        <v>1</v>
      </c>
      <c r="D3287" s="4">
        <v>1</v>
      </c>
      <c r="E3287" s="4">
        <v>0</v>
      </c>
      <c r="F3287" s="4">
        <v>0</v>
      </c>
      <c r="G3287" s="4">
        <v>99990523</v>
      </c>
      <c r="H3287" s="4">
        <v>1320</v>
      </c>
      <c r="I3287" s="4">
        <v>1</v>
      </c>
      <c r="J3287" s="4">
        <v>1</v>
      </c>
      <c r="K3287" s="4" t="s">
        <v>627</v>
      </c>
    </row>
    <row r="3288" spans="1:11" s="4" customFormat="1">
      <c r="A3288" s="4">
        <v>1000309</v>
      </c>
      <c r="B3288" s="4">
        <v>1</v>
      </c>
      <c r="C3288" s="4">
        <v>1</v>
      </c>
      <c r="D3288" s="4">
        <v>1</v>
      </c>
      <c r="E3288" s="4">
        <v>0</v>
      </c>
      <c r="F3288" s="4">
        <v>0</v>
      </c>
      <c r="G3288" s="4">
        <v>99980533</v>
      </c>
      <c r="H3288" s="4">
        <v>1320</v>
      </c>
      <c r="I3288" s="4">
        <v>1</v>
      </c>
      <c r="J3288" s="4">
        <v>1</v>
      </c>
      <c r="K3288" s="4" t="s">
        <v>480</v>
      </c>
    </row>
    <row r="3289" spans="1:11" s="4" customFormat="1">
      <c r="A3289" s="4">
        <v>1000309</v>
      </c>
      <c r="B3289" s="4">
        <v>1</v>
      </c>
      <c r="C3289" s="4">
        <v>1</v>
      </c>
      <c r="D3289" s="4">
        <v>1</v>
      </c>
      <c r="E3289" s="4">
        <v>0</v>
      </c>
      <c r="F3289" s="4">
        <v>0</v>
      </c>
      <c r="G3289" s="4">
        <v>99990533</v>
      </c>
      <c r="H3289" s="4">
        <v>1320</v>
      </c>
      <c r="I3289" s="4">
        <v>1</v>
      </c>
      <c r="J3289" s="4">
        <v>1</v>
      </c>
      <c r="K3289" s="4" t="s">
        <v>628</v>
      </c>
    </row>
    <row r="3290" spans="1:11" s="4" customFormat="1">
      <c r="A3290" s="4">
        <v>9000001</v>
      </c>
      <c r="B3290" s="4">
        <v>1</v>
      </c>
      <c r="C3290" s="4">
        <v>1</v>
      </c>
      <c r="D3290" s="4">
        <v>1</v>
      </c>
      <c r="E3290" s="4">
        <v>0</v>
      </c>
      <c r="F3290" s="4">
        <v>0</v>
      </c>
      <c r="G3290" s="4">
        <v>31036</v>
      </c>
      <c r="H3290" s="4">
        <v>2500</v>
      </c>
      <c r="I3290" s="4">
        <v>1</v>
      </c>
      <c r="J3290" s="4">
        <v>1</v>
      </c>
      <c r="K3290" s="4" t="s">
        <v>413</v>
      </c>
    </row>
    <row r="3291" spans="1:11" s="4" customFormat="1">
      <c r="A3291" s="4">
        <v>9000001</v>
      </c>
      <c r="B3291" s="4">
        <v>1</v>
      </c>
      <c r="C3291" s="4">
        <v>1</v>
      </c>
      <c r="D3291" s="4">
        <v>1</v>
      </c>
      <c r="E3291" s="4">
        <v>0</v>
      </c>
      <c r="F3291" s="4">
        <v>0</v>
      </c>
      <c r="G3291" s="4">
        <v>32537</v>
      </c>
      <c r="H3291" s="4">
        <v>5000</v>
      </c>
      <c r="I3291" s="4">
        <v>1</v>
      </c>
      <c r="J3291" s="4">
        <v>1</v>
      </c>
      <c r="K3291" s="4" t="s">
        <v>428</v>
      </c>
    </row>
    <row r="3292" spans="1:11" s="4" customFormat="1">
      <c r="A3292" s="4">
        <v>9000001</v>
      </c>
      <c r="B3292" s="4">
        <v>1</v>
      </c>
      <c r="C3292" s="4">
        <v>1</v>
      </c>
      <c r="D3292" s="4">
        <v>1</v>
      </c>
      <c r="E3292" s="4">
        <v>0</v>
      </c>
      <c r="F3292" s="4">
        <v>0</v>
      </c>
      <c r="G3292" s="4">
        <v>33008</v>
      </c>
      <c r="H3292" s="4">
        <v>2500</v>
      </c>
      <c r="I3292" s="4">
        <v>1</v>
      </c>
      <c r="J3292" s="4">
        <v>1</v>
      </c>
      <c r="K3292" s="4" t="s">
        <v>444</v>
      </c>
    </row>
    <row r="3293" spans="1:11" s="4" customFormat="1">
      <c r="A3293" s="4">
        <v>9000002</v>
      </c>
      <c r="B3293" s="4">
        <v>1</v>
      </c>
      <c r="C3293" s="4">
        <v>1</v>
      </c>
      <c r="D3293" s="4">
        <v>1</v>
      </c>
      <c r="E3293" s="4">
        <v>0</v>
      </c>
      <c r="F3293" s="4">
        <v>0</v>
      </c>
      <c r="G3293" s="4">
        <v>32535</v>
      </c>
      <c r="H3293" s="4">
        <v>1</v>
      </c>
      <c r="I3293" s="4">
        <v>1</v>
      </c>
      <c r="J3293" s="4">
        <v>1</v>
      </c>
      <c r="K3293" s="4" t="s">
        <v>3043</v>
      </c>
    </row>
    <row r="3294" spans="1:11" s="4" customFormat="1">
      <c r="A3294" s="4">
        <v>9000003</v>
      </c>
      <c r="B3294" s="4">
        <v>1</v>
      </c>
      <c r="C3294" s="4">
        <v>1</v>
      </c>
      <c r="D3294" s="4">
        <v>1</v>
      </c>
      <c r="E3294" s="4">
        <v>0</v>
      </c>
      <c r="F3294" s="4">
        <v>1</v>
      </c>
      <c r="G3294" s="4">
        <v>99920027</v>
      </c>
      <c r="H3294" s="4">
        <v>1</v>
      </c>
      <c r="I3294" s="4">
        <v>1</v>
      </c>
      <c r="J3294" s="4">
        <v>1</v>
      </c>
      <c r="K3294" s="4" t="s">
        <v>484</v>
      </c>
    </row>
    <row r="3295" spans="1:11" s="4" customFormat="1">
      <c r="A3295" s="4">
        <v>9000003</v>
      </c>
      <c r="B3295" s="4">
        <v>1</v>
      </c>
      <c r="C3295" s="4">
        <v>1</v>
      </c>
      <c r="D3295" s="4">
        <v>1</v>
      </c>
      <c r="E3295" s="4">
        <v>0</v>
      </c>
      <c r="F3295" s="4">
        <v>1</v>
      </c>
      <c r="G3295" s="4">
        <v>99920028</v>
      </c>
      <c r="H3295" s="4">
        <v>1</v>
      </c>
      <c r="I3295" s="4">
        <v>1</v>
      </c>
      <c r="J3295" s="4">
        <v>1</v>
      </c>
      <c r="K3295" s="4" t="s">
        <v>485</v>
      </c>
    </row>
    <row r="3296" spans="1:11" s="4" customFormat="1">
      <c r="A3296" s="4">
        <v>9000003</v>
      </c>
      <c r="B3296" s="4">
        <v>1</v>
      </c>
      <c r="C3296" s="4">
        <v>1</v>
      </c>
      <c r="D3296" s="4">
        <v>1</v>
      </c>
      <c r="E3296" s="4">
        <v>0</v>
      </c>
      <c r="F3296" s="4">
        <v>1</v>
      </c>
      <c r="G3296" s="4">
        <v>99920029</v>
      </c>
      <c r="H3296" s="4">
        <v>1</v>
      </c>
      <c r="I3296" s="4">
        <v>1</v>
      </c>
      <c r="J3296" s="4">
        <v>1</v>
      </c>
      <c r="K3296" s="4" t="s">
        <v>486</v>
      </c>
    </row>
    <row r="3297" spans="1:11" s="4" customFormat="1">
      <c r="A3297" s="4">
        <v>9000003</v>
      </c>
      <c r="B3297" s="4">
        <v>1</v>
      </c>
      <c r="C3297" s="4">
        <v>1</v>
      </c>
      <c r="D3297" s="4">
        <v>1</v>
      </c>
      <c r="E3297" s="4">
        <v>0</v>
      </c>
      <c r="F3297" s="4">
        <v>1</v>
      </c>
      <c r="G3297" s="4">
        <v>99930033</v>
      </c>
      <c r="H3297" s="4">
        <v>1</v>
      </c>
      <c r="I3297" s="4">
        <v>1</v>
      </c>
      <c r="J3297" s="4">
        <v>1</v>
      </c>
      <c r="K3297" s="4" t="s">
        <v>489</v>
      </c>
    </row>
    <row r="3298" spans="1:11" s="4" customFormat="1">
      <c r="A3298" s="4">
        <v>9000003</v>
      </c>
      <c r="B3298" s="4">
        <v>1</v>
      </c>
      <c r="C3298" s="4">
        <v>1</v>
      </c>
      <c r="D3298" s="4">
        <v>1</v>
      </c>
      <c r="E3298" s="4">
        <v>0</v>
      </c>
      <c r="F3298" s="4">
        <v>1</v>
      </c>
      <c r="G3298" s="4">
        <v>99930034</v>
      </c>
      <c r="H3298" s="4">
        <v>1</v>
      </c>
      <c r="I3298" s="4">
        <v>1</v>
      </c>
      <c r="J3298" s="4">
        <v>1</v>
      </c>
      <c r="K3298" s="4" t="s">
        <v>490</v>
      </c>
    </row>
    <row r="3299" spans="1:11" s="4" customFormat="1">
      <c r="A3299" s="4">
        <v>9000003</v>
      </c>
      <c r="B3299" s="4">
        <v>1</v>
      </c>
      <c r="C3299" s="4">
        <v>1</v>
      </c>
      <c r="D3299" s="4">
        <v>1</v>
      </c>
      <c r="E3299" s="4">
        <v>0</v>
      </c>
      <c r="F3299" s="4">
        <v>1</v>
      </c>
      <c r="G3299" s="4">
        <v>99930035</v>
      </c>
      <c r="H3299" s="4">
        <v>1</v>
      </c>
      <c r="I3299" s="4">
        <v>1</v>
      </c>
      <c r="J3299" s="4">
        <v>1</v>
      </c>
      <c r="K3299" s="4" t="s">
        <v>491</v>
      </c>
    </row>
    <row r="3300" spans="1:11" s="4" customFormat="1">
      <c r="A3300" s="4">
        <v>9000003</v>
      </c>
      <c r="B3300" s="4">
        <v>1</v>
      </c>
      <c r="C3300" s="4">
        <v>1</v>
      </c>
      <c r="D3300" s="4">
        <v>1</v>
      </c>
      <c r="E3300" s="4">
        <v>0</v>
      </c>
      <c r="F3300" s="4">
        <v>1</v>
      </c>
      <c r="G3300" s="4">
        <v>99940024</v>
      </c>
      <c r="H3300" s="4">
        <v>1</v>
      </c>
      <c r="I3300" s="4">
        <v>1</v>
      </c>
      <c r="J3300" s="4">
        <v>1</v>
      </c>
      <c r="K3300" s="4" t="s">
        <v>494</v>
      </c>
    </row>
    <row r="3301" spans="1:11" s="4" customFormat="1">
      <c r="A3301" s="4">
        <v>9000003</v>
      </c>
      <c r="B3301" s="4">
        <v>1</v>
      </c>
      <c r="C3301" s="4">
        <v>1</v>
      </c>
      <c r="D3301" s="4">
        <v>1</v>
      </c>
      <c r="E3301" s="4">
        <v>0</v>
      </c>
      <c r="F3301" s="4">
        <v>1</v>
      </c>
      <c r="G3301" s="4">
        <v>99940025</v>
      </c>
      <c r="H3301" s="4">
        <v>1</v>
      </c>
      <c r="I3301" s="4">
        <v>1</v>
      </c>
      <c r="J3301" s="4">
        <v>1</v>
      </c>
      <c r="K3301" s="4" t="s">
        <v>495</v>
      </c>
    </row>
    <row r="3302" spans="1:11" s="4" customFormat="1">
      <c r="A3302" s="4">
        <v>9000003</v>
      </c>
      <c r="B3302" s="4">
        <v>1</v>
      </c>
      <c r="C3302" s="4">
        <v>1</v>
      </c>
      <c r="D3302" s="4">
        <v>1</v>
      </c>
      <c r="E3302" s="4">
        <v>0</v>
      </c>
      <c r="F3302" s="4">
        <v>1</v>
      </c>
      <c r="G3302" s="4">
        <v>99940026</v>
      </c>
      <c r="H3302" s="4">
        <v>1</v>
      </c>
      <c r="I3302" s="4">
        <v>1</v>
      </c>
      <c r="J3302" s="4">
        <v>1</v>
      </c>
      <c r="K3302" s="4" t="s">
        <v>496</v>
      </c>
    </row>
    <row r="3303" spans="1:11" s="4" customFormat="1">
      <c r="A3303" s="4">
        <v>9000004</v>
      </c>
      <c r="B3303" s="4">
        <v>1</v>
      </c>
      <c r="C3303" s="4">
        <v>1</v>
      </c>
      <c r="D3303" s="4">
        <v>1</v>
      </c>
      <c r="E3303" s="4">
        <v>1</v>
      </c>
      <c r="F3303" s="4">
        <v>1</v>
      </c>
      <c r="G3303" s="4">
        <v>99920027</v>
      </c>
      <c r="H3303" s="4">
        <v>1</v>
      </c>
      <c r="I3303" s="4">
        <v>1</v>
      </c>
      <c r="J3303" s="4">
        <v>1</v>
      </c>
      <c r="K3303" s="4" t="s">
        <v>484</v>
      </c>
    </row>
    <row r="3304" spans="1:11" s="4" customFormat="1">
      <c r="A3304" s="4">
        <v>9000004</v>
      </c>
      <c r="B3304" s="4">
        <v>1</v>
      </c>
      <c r="C3304" s="4">
        <v>1</v>
      </c>
      <c r="D3304" s="4">
        <v>1</v>
      </c>
      <c r="E3304" s="4">
        <v>1</v>
      </c>
      <c r="F3304" s="4">
        <v>1</v>
      </c>
      <c r="G3304" s="4">
        <v>99920028</v>
      </c>
      <c r="H3304" s="4">
        <v>1</v>
      </c>
      <c r="I3304" s="4">
        <v>1</v>
      </c>
      <c r="J3304" s="4">
        <v>1</v>
      </c>
      <c r="K3304" s="4" t="s">
        <v>485</v>
      </c>
    </row>
    <row r="3305" spans="1:11" s="4" customFormat="1">
      <c r="A3305" s="4">
        <v>9000004</v>
      </c>
      <c r="B3305" s="4">
        <v>1</v>
      </c>
      <c r="C3305" s="4">
        <v>1</v>
      </c>
      <c r="D3305" s="4">
        <v>1</v>
      </c>
      <c r="E3305" s="4">
        <v>1</v>
      </c>
      <c r="F3305" s="4">
        <v>1</v>
      </c>
      <c r="G3305" s="4">
        <v>99920029</v>
      </c>
      <c r="H3305" s="4">
        <v>1</v>
      </c>
      <c r="I3305" s="4">
        <v>1</v>
      </c>
      <c r="J3305" s="4">
        <v>1</v>
      </c>
      <c r="K3305" s="4" t="s">
        <v>486</v>
      </c>
    </row>
    <row r="3306" spans="1:11" s="4" customFormat="1">
      <c r="A3306" s="4">
        <v>9000004</v>
      </c>
      <c r="B3306" s="4">
        <v>1</v>
      </c>
      <c r="C3306" s="4">
        <v>1</v>
      </c>
      <c r="D3306" s="4">
        <v>1</v>
      </c>
      <c r="E3306" s="4">
        <v>1</v>
      </c>
      <c r="F3306" s="4">
        <v>1</v>
      </c>
      <c r="G3306" s="4">
        <v>99930033</v>
      </c>
      <c r="H3306" s="4">
        <v>1</v>
      </c>
      <c r="I3306" s="4">
        <v>1</v>
      </c>
      <c r="J3306" s="4">
        <v>1</v>
      </c>
      <c r="K3306" s="4" t="s">
        <v>489</v>
      </c>
    </row>
    <row r="3307" spans="1:11" s="4" customFormat="1">
      <c r="A3307" s="4">
        <v>9000004</v>
      </c>
      <c r="B3307" s="4">
        <v>1</v>
      </c>
      <c r="C3307" s="4">
        <v>1</v>
      </c>
      <c r="D3307" s="4">
        <v>1</v>
      </c>
      <c r="E3307" s="4">
        <v>1</v>
      </c>
      <c r="F3307" s="4">
        <v>1</v>
      </c>
      <c r="G3307" s="4">
        <v>99930034</v>
      </c>
      <c r="H3307" s="4">
        <v>1</v>
      </c>
      <c r="I3307" s="4">
        <v>1</v>
      </c>
      <c r="J3307" s="4">
        <v>1</v>
      </c>
      <c r="K3307" s="4" t="s">
        <v>490</v>
      </c>
    </row>
    <row r="3308" spans="1:11" s="4" customFormat="1">
      <c r="A3308" s="4">
        <v>9000004</v>
      </c>
      <c r="B3308" s="4">
        <v>1</v>
      </c>
      <c r="C3308" s="4">
        <v>1</v>
      </c>
      <c r="D3308" s="4">
        <v>1</v>
      </c>
      <c r="E3308" s="4">
        <v>1</v>
      </c>
      <c r="F3308" s="4">
        <v>1</v>
      </c>
      <c r="G3308" s="4">
        <v>99930035</v>
      </c>
      <c r="H3308" s="4">
        <v>1</v>
      </c>
      <c r="I3308" s="4">
        <v>1</v>
      </c>
      <c r="J3308" s="4">
        <v>1</v>
      </c>
      <c r="K3308" s="4" t="s">
        <v>491</v>
      </c>
    </row>
    <row r="3309" spans="1:11" s="4" customFormat="1">
      <c r="A3309" s="4">
        <v>9000004</v>
      </c>
      <c r="B3309" s="4">
        <v>1</v>
      </c>
      <c r="C3309" s="4">
        <v>1</v>
      </c>
      <c r="D3309" s="4">
        <v>1</v>
      </c>
      <c r="E3309" s="4">
        <v>1</v>
      </c>
      <c r="F3309" s="4">
        <v>1</v>
      </c>
      <c r="G3309" s="4">
        <v>99940024</v>
      </c>
      <c r="H3309" s="4">
        <v>1</v>
      </c>
      <c r="I3309" s="4">
        <v>1</v>
      </c>
      <c r="J3309" s="4">
        <v>1</v>
      </c>
      <c r="K3309" s="4" t="s">
        <v>494</v>
      </c>
    </row>
    <row r="3310" spans="1:11" s="4" customFormat="1">
      <c r="A3310" s="4">
        <v>9000004</v>
      </c>
      <c r="B3310" s="4">
        <v>1</v>
      </c>
      <c r="C3310" s="4">
        <v>1</v>
      </c>
      <c r="D3310" s="4">
        <v>1</v>
      </c>
      <c r="E3310" s="4">
        <v>1</v>
      </c>
      <c r="F3310" s="4">
        <v>1</v>
      </c>
      <c r="G3310" s="4">
        <v>99940025</v>
      </c>
      <c r="H3310" s="4">
        <v>1</v>
      </c>
      <c r="I3310" s="4">
        <v>1</v>
      </c>
      <c r="J3310" s="4">
        <v>1</v>
      </c>
      <c r="K3310" s="4" t="s">
        <v>495</v>
      </c>
    </row>
    <row r="3311" spans="1:11" s="4" customFormat="1">
      <c r="A3311" s="4">
        <v>9000004</v>
      </c>
      <c r="B3311" s="4">
        <v>1</v>
      </c>
      <c r="C3311" s="4">
        <v>1</v>
      </c>
      <c r="D3311" s="4">
        <v>1</v>
      </c>
      <c r="E3311" s="4">
        <v>1</v>
      </c>
      <c r="F3311" s="4">
        <v>1</v>
      </c>
      <c r="G3311" s="4">
        <v>99940026</v>
      </c>
      <c r="H3311" s="4">
        <v>1</v>
      </c>
      <c r="I3311" s="4">
        <v>1</v>
      </c>
      <c r="J3311" s="4">
        <v>1</v>
      </c>
      <c r="K3311" s="4" t="s">
        <v>496</v>
      </c>
    </row>
    <row r="3312" spans="1:11" s="4" customFormat="1">
      <c r="A3312" s="4">
        <v>9000005</v>
      </c>
      <c r="B3312" s="4">
        <v>1</v>
      </c>
      <c r="C3312" s="4">
        <v>1</v>
      </c>
      <c r="D3312" s="4">
        <v>1</v>
      </c>
      <c r="E3312" s="4">
        <v>0</v>
      </c>
      <c r="F3312" s="4">
        <v>1</v>
      </c>
      <c r="G3312" s="4">
        <v>99900031</v>
      </c>
      <c r="H3312" s="4">
        <v>1</v>
      </c>
      <c r="I3312" s="4">
        <v>1</v>
      </c>
      <c r="J3312" s="4">
        <v>1</v>
      </c>
      <c r="K3312" s="4" t="s">
        <v>310</v>
      </c>
    </row>
    <row r="3313" spans="1:11" s="4" customFormat="1">
      <c r="A3313" s="4">
        <v>9000005</v>
      </c>
      <c r="B3313" s="4">
        <v>1</v>
      </c>
      <c r="C3313" s="4">
        <v>1</v>
      </c>
      <c r="D3313" s="4">
        <v>1</v>
      </c>
      <c r="E3313" s="4">
        <v>0</v>
      </c>
      <c r="F3313" s="4">
        <v>1</v>
      </c>
      <c r="G3313" s="4">
        <v>99900032</v>
      </c>
      <c r="H3313" s="4">
        <v>1</v>
      </c>
      <c r="I3313" s="4">
        <v>1</v>
      </c>
      <c r="J3313" s="4">
        <v>1</v>
      </c>
      <c r="K3313" s="4" t="s">
        <v>311</v>
      </c>
    </row>
    <row r="3314" spans="1:11" s="4" customFormat="1">
      <c r="A3314" s="4">
        <v>9000005</v>
      </c>
      <c r="B3314" s="4">
        <v>1</v>
      </c>
      <c r="C3314" s="4">
        <v>1</v>
      </c>
      <c r="D3314" s="4">
        <v>1</v>
      </c>
      <c r="E3314" s="4">
        <v>0</v>
      </c>
      <c r="F3314" s="4">
        <v>1</v>
      </c>
      <c r="G3314" s="4">
        <v>99900033</v>
      </c>
      <c r="H3314" s="4">
        <v>1</v>
      </c>
      <c r="I3314" s="4">
        <v>1</v>
      </c>
      <c r="J3314" s="4">
        <v>1</v>
      </c>
      <c r="K3314" s="4" t="s">
        <v>312</v>
      </c>
    </row>
    <row r="3315" spans="1:11">
      <c r="A3315" s="4">
        <v>400001</v>
      </c>
      <c r="B3315" s="4">
        <v>1</v>
      </c>
      <c r="C3315" s="4">
        <v>1</v>
      </c>
      <c r="D3315" s="4">
        <v>0</v>
      </c>
      <c r="E3315" s="4">
        <v>0</v>
      </c>
      <c r="G3315">
        <v>10110</v>
      </c>
      <c r="H3315" s="4">
        <v>1</v>
      </c>
      <c r="I3315" s="4">
        <v>1</v>
      </c>
      <c r="J3315" s="4">
        <v>1</v>
      </c>
      <c r="K3315" t="s">
        <v>461</v>
      </c>
    </row>
    <row r="3316" spans="1:11">
      <c r="A3316" s="4">
        <v>400001</v>
      </c>
      <c r="B3316" s="4">
        <v>1</v>
      </c>
      <c r="C3316" s="4">
        <v>1</v>
      </c>
      <c r="D3316" s="4">
        <v>0</v>
      </c>
      <c r="E3316" s="4">
        <v>0</v>
      </c>
      <c r="G3316">
        <v>10120</v>
      </c>
      <c r="H3316" s="4">
        <v>1</v>
      </c>
      <c r="I3316" s="4">
        <v>1</v>
      </c>
      <c r="J3316" s="4">
        <v>1</v>
      </c>
    </row>
    <row r="3317" spans="1:11">
      <c r="A3317" s="4">
        <v>400001</v>
      </c>
      <c r="B3317" s="4">
        <v>1</v>
      </c>
      <c r="C3317" s="4">
        <v>1</v>
      </c>
      <c r="D3317" s="4">
        <v>0</v>
      </c>
      <c r="E3317" s="4">
        <v>0</v>
      </c>
      <c r="G3317">
        <v>10220</v>
      </c>
      <c r="H3317" s="4">
        <v>1</v>
      </c>
      <c r="I3317" s="4">
        <v>1</v>
      </c>
      <c r="J3317" s="4">
        <v>1</v>
      </c>
    </row>
    <row r="3318" spans="1:11">
      <c r="A3318" s="4">
        <v>400001</v>
      </c>
      <c r="B3318" s="4">
        <v>1</v>
      </c>
      <c r="C3318" s="4">
        <v>1</v>
      </c>
      <c r="D3318" s="4">
        <v>0</v>
      </c>
      <c r="E3318" s="4">
        <v>0</v>
      </c>
      <c r="G3318">
        <v>10320</v>
      </c>
      <c r="H3318" s="4">
        <v>1</v>
      </c>
      <c r="I3318" s="4">
        <v>1</v>
      </c>
      <c r="J3318" s="4">
        <v>1</v>
      </c>
    </row>
    <row r="3319" spans="1:11">
      <c r="A3319" s="4">
        <v>400001</v>
      </c>
      <c r="B3319" s="4">
        <v>1</v>
      </c>
      <c r="C3319" s="4">
        <v>1</v>
      </c>
      <c r="D3319" s="4">
        <v>0</v>
      </c>
      <c r="E3319" s="4">
        <v>0</v>
      </c>
      <c r="G3319">
        <v>10420</v>
      </c>
      <c r="H3319" s="4">
        <v>1</v>
      </c>
      <c r="I3319" s="4">
        <v>1</v>
      </c>
      <c r="J3319" s="4">
        <v>1</v>
      </c>
    </row>
    <row r="3320" spans="1:11">
      <c r="A3320" s="4">
        <v>400001</v>
      </c>
      <c r="B3320" s="4">
        <v>1</v>
      </c>
      <c r="C3320" s="4">
        <v>1</v>
      </c>
      <c r="D3320" s="4">
        <v>0</v>
      </c>
      <c r="E3320" s="4">
        <v>0</v>
      </c>
      <c r="G3320">
        <v>10520</v>
      </c>
      <c r="H3320" s="4">
        <v>1</v>
      </c>
      <c r="I3320" s="4">
        <v>1</v>
      </c>
      <c r="J3320" s="4">
        <v>1</v>
      </c>
    </row>
    <row r="3321" spans="1:11">
      <c r="A3321" s="4">
        <v>400101</v>
      </c>
      <c r="B3321" s="4">
        <v>1</v>
      </c>
      <c r="C3321" s="4">
        <v>1</v>
      </c>
      <c r="D3321" s="4">
        <v>0</v>
      </c>
      <c r="E3321" s="4">
        <v>0</v>
      </c>
      <c r="G3321" s="4">
        <v>114003</v>
      </c>
      <c r="H3321" s="4">
        <v>1</v>
      </c>
      <c r="I3321" s="4">
        <v>1</v>
      </c>
      <c r="J3321" s="4">
        <v>1</v>
      </c>
      <c r="K3321" t="s">
        <v>462</v>
      </c>
    </row>
    <row r="3322" spans="1:11">
      <c r="A3322" s="4">
        <v>400101</v>
      </c>
      <c r="B3322" s="4">
        <v>1</v>
      </c>
      <c r="C3322" s="4">
        <v>1</v>
      </c>
      <c r="D3322" s="4">
        <v>0</v>
      </c>
      <c r="E3322" s="4">
        <v>0</v>
      </c>
      <c r="G3322" s="4">
        <v>114004</v>
      </c>
      <c r="H3322" s="4">
        <v>1</v>
      </c>
      <c r="I3322" s="4">
        <v>1</v>
      </c>
      <c r="J3322" s="4">
        <v>1</v>
      </c>
    </row>
    <row r="3323" spans="1:11">
      <c r="A3323" s="4">
        <v>400101</v>
      </c>
      <c r="B3323" s="4">
        <v>1</v>
      </c>
      <c r="C3323" s="4">
        <v>1</v>
      </c>
      <c r="D3323" s="4">
        <v>0</v>
      </c>
      <c r="E3323" s="4">
        <v>0</v>
      </c>
      <c r="G3323" s="4">
        <v>114005</v>
      </c>
      <c r="H3323" s="4">
        <v>1</v>
      </c>
      <c r="I3323" s="4">
        <v>1</v>
      </c>
      <c r="J3323" s="4">
        <v>1</v>
      </c>
    </row>
    <row r="3324" spans="1:11">
      <c r="A3324" s="4">
        <v>400101</v>
      </c>
      <c r="B3324" s="4">
        <v>1</v>
      </c>
      <c r="C3324" s="4">
        <v>1</v>
      </c>
      <c r="D3324" s="4">
        <v>0</v>
      </c>
      <c r="E3324" s="4">
        <v>0</v>
      </c>
      <c r="G3324" s="4">
        <v>114006</v>
      </c>
      <c r="H3324" s="4">
        <v>1</v>
      </c>
      <c r="I3324" s="4">
        <v>1</v>
      </c>
      <c r="J3324" s="4">
        <v>1</v>
      </c>
    </row>
    <row r="3325" spans="1:11">
      <c r="A3325" s="4">
        <v>400101</v>
      </c>
      <c r="B3325" s="4">
        <v>1</v>
      </c>
      <c r="C3325" s="4">
        <v>1</v>
      </c>
      <c r="D3325" s="4">
        <v>0</v>
      </c>
      <c r="E3325" s="4">
        <v>0</v>
      </c>
      <c r="G3325" s="4">
        <v>114007</v>
      </c>
      <c r="H3325" s="4">
        <v>1</v>
      </c>
      <c r="I3325" s="4">
        <v>1</v>
      </c>
      <c r="J3325" s="4">
        <v>1</v>
      </c>
    </row>
    <row r="3326" spans="1:11">
      <c r="A3326" s="4">
        <v>400101</v>
      </c>
      <c r="B3326" s="4">
        <v>1</v>
      </c>
      <c r="C3326" s="4">
        <v>1</v>
      </c>
      <c r="D3326" s="4">
        <v>0</v>
      </c>
      <c r="E3326" s="4">
        <v>0</v>
      </c>
      <c r="G3326" s="4">
        <v>114008</v>
      </c>
      <c r="H3326" s="4">
        <v>1</v>
      </c>
      <c r="I3326" s="4">
        <v>1</v>
      </c>
      <c r="J3326" s="4">
        <v>1</v>
      </c>
    </row>
    <row r="3327" spans="1:11">
      <c r="A3327" s="4">
        <v>400101</v>
      </c>
      <c r="B3327" s="4">
        <v>1</v>
      </c>
      <c r="C3327" s="4">
        <v>1</v>
      </c>
      <c r="D3327" s="4">
        <v>0</v>
      </c>
      <c r="E3327" s="4">
        <v>0</v>
      </c>
      <c r="G3327" s="4">
        <v>114009</v>
      </c>
      <c r="H3327" s="4">
        <v>1</v>
      </c>
      <c r="I3327" s="4">
        <v>1</v>
      </c>
      <c r="J3327" s="4">
        <v>1</v>
      </c>
    </row>
    <row r="3328" spans="1:11">
      <c r="A3328" s="4">
        <v>400101</v>
      </c>
      <c r="B3328" s="4">
        <v>1</v>
      </c>
      <c r="C3328" s="4">
        <v>1</v>
      </c>
      <c r="D3328" s="4">
        <v>0</v>
      </c>
      <c r="E3328" s="4">
        <v>0</v>
      </c>
      <c r="G3328" s="4">
        <v>114010</v>
      </c>
      <c r="H3328" s="4">
        <v>1</v>
      </c>
      <c r="I3328" s="4">
        <v>1</v>
      </c>
      <c r="J3328" s="4">
        <v>1</v>
      </c>
    </row>
    <row r="3329" spans="1:10">
      <c r="A3329" s="4">
        <v>400101</v>
      </c>
      <c r="B3329" s="4">
        <v>1</v>
      </c>
      <c r="C3329" s="4">
        <v>1</v>
      </c>
      <c r="D3329" s="4">
        <v>0</v>
      </c>
      <c r="E3329" s="4">
        <v>0</v>
      </c>
      <c r="G3329" s="4">
        <v>114011</v>
      </c>
      <c r="H3329" s="4">
        <v>1</v>
      </c>
      <c r="I3329" s="4">
        <v>1</v>
      </c>
      <c r="J3329" s="4">
        <v>1</v>
      </c>
    </row>
    <row r="3330" spans="1:10">
      <c r="A3330" s="4">
        <v>400101</v>
      </c>
      <c r="B3330" s="4">
        <v>1</v>
      </c>
      <c r="C3330" s="4">
        <v>1</v>
      </c>
      <c r="D3330" s="4">
        <v>0</v>
      </c>
      <c r="E3330" s="4">
        <v>0</v>
      </c>
      <c r="G3330" s="4">
        <v>114012</v>
      </c>
      <c r="H3330" s="4">
        <v>1</v>
      </c>
      <c r="I3330" s="4">
        <v>1</v>
      </c>
      <c r="J3330" s="4">
        <v>1</v>
      </c>
    </row>
    <row r="3331" spans="1:10">
      <c r="A3331" s="4">
        <v>400101</v>
      </c>
      <c r="B3331" s="4">
        <v>1</v>
      </c>
      <c r="C3331" s="4">
        <v>1</v>
      </c>
      <c r="D3331" s="4">
        <v>0</v>
      </c>
      <c r="E3331" s="4">
        <v>0</v>
      </c>
      <c r="G3331" s="4">
        <v>114013</v>
      </c>
      <c r="H3331" s="4">
        <v>1</v>
      </c>
      <c r="I3331" s="4">
        <v>1</v>
      </c>
      <c r="J3331" s="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3" sqref="B13"/>
    </sheetView>
  </sheetViews>
  <sheetFormatPr defaultRowHeight="13.5"/>
  <cols>
    <col min="1" max="1" width="18.375" style="1" bestFit="1" customWidth="1"/>
    <col min="2" max="2" width="15.125" bestFit="1" customWidth="1"/>
    <col min="3" max="3" width="19.375" bestFit="1" customWidth="1"/>
  </cols>
  <sheetData>
    <row r="1" spans="1:3">
      <c r="A1" s="1" t="s">
        <v>8</v>
      </c>
      <c r="B1" t="s">
        <v>9</v>
      </c>
      <c r="C1" t="s">
        <v>10</v>
      </c>
    </row>
    <row r="2" spans="1:3">
      <c r="A2" s="2" t="s">
        <v>0</v>
      </c>
      <c r="B2" t="s">
        <v>11</v>
      </c>
    </row>
    <row r="3" spans="1:3">
      <c r="A3" s="3" t="s">
        <v>1</v>
      </c>
      <c r="B3" t="s">
        <v>12</v>
      </c>
      <c r="C3" t="s">
        <v>13</v>
      </c>
    </row>
    <row r="4" spans="1:3">
      <c r="A4" s="3" t="s">
        <v>2</v>
      </c>
      <c r="B4" t="s">
        <v>15</v>
      </c>
      <c r="C4" t="s">
        <v>14</v>
      </c>
    </row>
    <row r="5" spans="1:3">
      <c r="A5" s="3" t="s">
        <v>3</v>
      </c>
      <c r="B5" t="s">
        <v>21</v>
      </c>
    </row>
    <row r="6" spans="1:3">
      <c r="A6" s="3" t="s">
        <v>4</v>
      </c>
      <c r="B6" t="s">
        <v>16</v>
      </c>
    </row>
    <row r="7" spans="1:3">
      <c r="A7" s="3" t="s">
        <v>5</v>
      </c>
      <c r="B7" t="s">
        <v>17</v>
      </c>
    </row>
    <row r="8" spans="1:3">
      <c r="A8" s="3" t="s">
        <v>6</v>
      </c>
      <c r="B8" t="s">
        <v>18</v>
      </c>
    </row>
    <row r="9" spans="1:3">
      <c r="A9" s="3" t="s">
        <v>7</v>
      </c>
      <c r="B9" t="s">
        <v>19</v>
      </c>
      <c r="C9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2"/>
  <sheetViews>
    <sheetView workbookViewId="0">
      <selection activeCell="F26" sqref="F26"/>
    </sheetView>
  </sheetViews>
  <sheetFormatPr defaultRowHeight="13.5"/>
  <sheetData>
    <row r="1" spans="1:9" s="4" customFormat="1">
      <c r="A1" s="4">
        <v>5001</v>
      </c>
      <c r="B1" s="4">
        <v>1</v>
      </c>
      <c r="C1" s="4">
        <v>0</v>
      </c>
      <c r="D1" s="4">
        <v>90068</v>
      </c>
      <c r="E1" s="4">
        <v>1</v>
      </c>
      <c r="F1" s="4">
        <v>1</v>
      </c>
      <c r="G1" s="4">
        <v>1</v>
      </c>
      <c r="H1" s="4" t="s">
        <v>22</v>
      </c>
      <c r="I1" s="4" t="s">
        <v>26</v>
      </c>
    </row>
    <row r="2" spans="1:9" s="4" customFormat="1">
      <c r="A2" s="4">
        <v>5002</v>
      </c>
      <c r="B2" s="4">
        <v>1</v>
      </c>
      <c r="C2" s="4">
        <v>0</v>
      </c>
      <c r="D2" s="4">
        <v>90088</v>
      </c>
      <c r="E2" s="4">
        <v>1</v>
      </c>
      <c r="F2" s="4">
        <v>1</v>
      </c>
      <c r="G2" s="4">
        <v>1</v>
      </c>
      <c r="I2" s="4" t="s">
        <v>27</v>
      </c>
    </row>
    <row r="3" spans="1:9" s="4" customFormat="1">
      <c r="A3" s="4">
        <v>5003</v>
      </c>
      <c r="B3" s="4">
        <v>1</v>
      </c>
      <c r="C3" s="4">
        <v>0</v>
      </c>
      <c r="D3" s="4">
        <v>90090</v>
      </c>
      <c r="E3" s="4">
        <v>1</v>
      </c>
      <c r="F3" s="4">
        <v>1</v>
      </c>
      <c r="G3" s="4">
        <v>1</v>
      </c>
      <c r="I3" s="4" t="s">
        <v>28</v>
      </c>
    </row>
    <row r="4" spans="1:9" s="4" customFormat="1">
      <c r="A4" s="4">
        <v>5004</v>
      </c>
      <c r="B4" s="4">
        <v>1</v>
      </c>
      <c r="C4" s="4">
        <v>0</v>
      </c>
      <c r="D4" s="4">
        <v>90091</v>
      </c>
      <c r="E4" s="4">
        <v>1</v>
      </c>
      <c r="F4" s="4">
        <v>1</v>
      </c>
      <c r="G4" s="4">
        <v>1</v>
      </c>
      <c r="I4" s="4" t="s">
        <v>29</v>
      </c>
    </row>
    <row r="5" spans="1:9" s="4" customFormat="1">
      <c r="A5" s="4">
        <v>5005</v>
      </c>
      <c r="B5" s="4">
        <v>1</v>
      </c>
      <c r="C5" s="4">
        <v>0</v>
      </c>
      <c r="D5" s="4">
        <v>90096</v>
      </c>
      <c r="E5" s="4">
        <v>1</v>
      </c>
      <c r="F5" s="4">
        <v>1</v>
      </c>
      <c r="G5" s="4">
        <v>1</v>
      </c>
      <c r="I5" s="4" t="s">
        <v>30</v>
      </c>
    </row>
    <row r="6" spans="1:9" s="4" customFormat="1">
      <c r="A6" s="4">
        <v>5006</v>
      </c>
      <c r="B6" s="4">
        <v>1</v>
      </c>
      <c r="C6" s="4">
        <v>0</v>
      </c>
      <c r="D6" s="4">
        <v>90076</v>
      </c>
      <c r="E6" s="4">
        <v>1</v>
      </c>
      <c r="F6" s="4">
        <v>1</v>
      </c>
      <c r="G6" s="4">
        <v>1</v>
      </c>
      <c r="I6" s="4" t="s">
        <v>31</v>
      </c>
    </row>
    <row r="7" spans="1:9" s="4" customFormat="1">
      <c r="A7" s="4">
        <v>5007</v>
      </c>
      <c r="B7" s="4">
        <v>1</v>
      </c>
      <c r="C7" s="4">
        <v>0</v>
      </c>
      <c r="D7" s="4">
        <v>90094</v>
      </c>
      <c r="E7" s="4">
        <v>1</v>
      </c>
      <c r="F7" s="4">
        <v>1</v>
      </c>
      <c r="G7" s="4">
        <v>1</v>
      </c>
      <c r="I7" s="4" t="s">
        <v>32</v>
      </c>
    </row>
    <row r="8" spans="1:9" s="4" customFormat="1">
      <c r="A8" s="4">
        <v>5008</v>
      </c>
      <c r="B8" s="4">
        <v>1</v>
      </c>
      <c r="C8" s="4">
        <v>0</v>
      </c>
      <c r="D8" s="4">
        <v>90098</v>
      </c>
      <c r="E8" s="4">
        <v>1</v>
      </c>
      <c r="F8" s="4">
        <v>1</v>
      </c>
      <c r="G8" s="4">
        <v>1</v>
      </c>
      <c r="I8" s="4" t="s">
        <v>33</v>
      </c>
    </row>
    <row r="9" spans="1:9" s="4" customFormat="1">
      <c r="A9" s="4">
        <v>5009</v>
      </c>
      <c r="B9" s="4">
        <v>1</v>
      </c>
      <c r="C9" s="4">
        <v>0</v>
      </c>
      <c r="D9" s="4">
        <v>90099</v>
      </c>
      <c r="E9" s="4">
        <v>1</v>
      </c>
      <c r="F9" s="4">
        <v>1</v>
      </c>
      <c r="G9" s="4">
        <v>1</v>
      </c>
      <c r="I9" s="4" t="s">
        <v>34</v>
      </c>
    </row>
    <row r="10" spans="1:9" s="4" customFormat="1">
      <c r="A10" s="4">
        <v>5010</v>
      </c>
      <c r="B10" s="4">
        <v>1</v>
      </c>
      <c r="C10" s="4">
        <v>0</v>
      </c>
      <c r="D10" s="4">
        <v>90106</v>
      </c>
      <c r="E10" s="4">
        <v>1</v>
      </c>
      <c r="F10" s="4">
        <v>1</v>
      </c>
      <c r="G10" s="4">
        <v>1</v>
      </c>
      <c r="I10" s="4" t="s">
        <v>35</v>
      </c>
    </row>
    <row r="11" spans="1:9" s="4" customFormat="1">
      <c r="A11" s="4">
        <v>5011</v>
      </c>
      <c r="B11" s="4">
        <v>1</v>
      </c>
      <c r="C11" s="4">
        <v>0</v>
      </c>
      <c r="D11" s="4">
        <v>90108</v>
      </c>
      <c r="E11" s="4">
        <v>1</v>
      </c>
      <c r="F11" s="4">
        <v>1</v>
      </c>
      <c r="G11" s="4">
        <v>1</v>
      </c>
      <c r="I11" s="4" t="s">
        <v>36</v>
      </c>
    </row>
    <row r="12" spans="1:9" s="4" customFormat="1">
      <c r="A12" s="4">
        <v>5012</v>
      </c>
      <c r="B12" s="4">
        <v>1</v>
      </c>
      <c r="C12" s="4">
        <v>0</v>
      </c>
      <c r="D12" s="4">
        <v>90104</v>
      </c>
      <c r="E12" s="4">
        <v>1</v>
      </c>
      <c r="F12" s="4">
        <v>1</v>
      </c>
      <c r="G12" s="4">
        <v>1</v>
      </c>
      <c r="I12" s="4" t="s">
        <v>37</v>
      </c>
    </row>
    <row r="13" spans="1:9" s="4" customFormat="1">
      <c r="A13" s="4">
        <v>5013</v>
      </c>
      <c r="B13" s="4">
        <v>1</v>
      </c>
      <c r="C13" s="4">
        <v>0</v>
      </c>
      <c r="D13" s="4">
        <v>90109</v>
      </c>
      <c r="E13" s="4">
        <v>1</v>
      </c>
      <c r="F13" s="4">
        <v>1</v>
      </c>
      <c r="G13" s="4">
        <v>1</v>
      </c>
      <c r="I13" s="4" t="s">
        <v>38</v>
      </c>
    </row>
    <row r="14" spans="1:9" s="4" customFormat="1">
      <c r="A14" s="4">
        <v>5014</v>
      </c>
      <c r="B14" s="4">
        <v>1</v>
      </c>
      <c r="C14" s="4">
        <v>0</v>
      </c>
      <c r="D14" s="4">
        <v>90012</v>
      </c>
      <c r="E14" s="4">
        <v>1</v>
      </c>
      <c r="F14" s="4">
        <v>1</v>
      </c>
      <c r="G14" s="4">
        <v>1</v>
      </c>
      <c r="I14" s="4" t="s">
        <v>39</v>
      </c>
    </row>
    <row r="15" spans="1:9" s="4" customFormat="1">
      <c r="A15" s="4">
        <v>5015</v>
      </c>
      <c r="B15" s="4">
        <v>1</v>
      </c>
      <c r="C15" s="4">
        <v>0</v>
      </c>
      <c r="D15" s="4">
        <v>90106</v>
      </c>
      <c r="E15" s="4">
        <v>1</v>
      </c>
      <c r="F15" s="4">
        <v>1</v>
      </c>
      <c r="G15" s="4">
        <v>1</v>
      </c>
      <c r="I15" s="4" t="s">
        <v>35</v>
      </c>
    </row>
    <row r="16" spans="1:9" s="4" customFormat="1">
      <c r="A16" s="4">
        <v>5016</v>
      </c>
      <c r="B16" s="4">
        <v>1</v>
      </c>
      <c r="C16" s="4">
        <v>0</v>
      </c>
      <c r="D16" s="4">
        <v>90108</v>
      </c>
      <c r="E16" s="4">
        <v>1</v>
      </c>
      <c r="F16" s="4">
        <v>1</v>
      </c>
      <c r="G16" s="4">
        <v>1</v>
      </c>
      <c r="I16" s="4" t="s">
        <v>36</v>
      </c>
    </row>
    <row r="17" spans="1:9" s="4" customFormat="1">
      <c r="A17" s="4">
        <v>5017</v>
      </c>
      <c r="B17" s="4">
        <v>1</v>
      </c>
      <c r="C17" s="4">
        <v>0</v>
      </c>
      <c r="D17" s="4">
        <v>90104</v>
      </c>
      <c r="E17" s="4">
        <v>1</v>
      </c>
      <c r="F17" s="4">
        <v>1</v>
      </c>
      <c r="G17" s="4">
        <v>1</v>
      </c>
      <c r="I17" s="4" t="s">
        <v>37</v>
      </c>
    </row>
    <row r="18" spans="1:9" s="4" customFormat="1">
      <c r="A18" s="4">
        <v>5018</v>
      </c>
      <c r="B18" s="4">
        <v>1</v>
      </c>
      <c r="C18" s="4">
        <v>0</v>
      </c>
      <c r="D18" s="4">
        <v>90109</v>
      </c>
      <c r="E18" s="4">
        <v>1</v>
      </c>
      <c r="F18" s="4">
        <v>1</v>
      </c>
      <c r="G18" s="4">
        <v>1</v>
      </c>
      <c r="I18" s="4" t="s">
        <v>38</v>
      </c>
    </row>
    <row r="19" spans="1:9" s="4" customFormat="1">
      <c r="A19" s="4">
        <v>5019</v>
      </c>
      <c r="B19" s="4">
        <v>1</v>
      </c>
      <c r="C19" s="4">
        <v>0</v>
      </c>
      <c r="D19" s="4">
        <v>90012</v>
      </c>
      <c r="E19" s="4">
        <v>1</v>
      </c>
      <c r="F19" s="4">
        <v>1</v>
      </c>
      <c r="G19" s="4">
        <v>1</v>
      </c>
      <c r="I19" s="4" t="s">
        <v>39</v>
      </c>
    </row>
    <row r="20" spans="1:9" s="4" customFormat="1">
      <c r="A20" s="4">
        <v>5020</v>
      </c>
      <c r="B20" s="4">
        <v>1</v>
      </c>
      <c r="C20" s="4">
        <v>0</v>
      </c>
      <c r="D20" s="4">
        <v>90099</v>
      </c>
      <c r="E20" s="4">
        <v>1</v>
      </c>
      <c r="F20" s="4">
        <v>1</v>
      </c>
      <c r="G20" s="4">
        <v>1</v>
      </c>
      <c r="I20" s="4" t="s">
        <v>34</v>
      </c>
    </row>
    <row r="21" spans="1:9" s="4" customFormat="1">
      <c r="A21" s="4">
        <v>5021</v>
      </c>
      <c r="B21" s="4">
        <v>1</v>
      </c>
      <c r="C21" s="4">
        <v>0</v>
      </c>
      <c r="D21" s="4">
        <v>90099</v>
      </c>
      <c r="E21" s="4">
        <v>1</v>
      </c>
      <c r="F21" s="4">
        <v>1</v>
      </c>
      <c r="G21" s="4">
        <v>1</v>
      </c>
      <c r="I21" s="4" t="s">
        <v>34</v>
      </c>
    </row>
    <row r="22" spans="1:9" s="4" customFormat="1">
      <c r="A22" s="4">
        <v>5022</v>
      </c>
      <c r="B22" s="4">
        <v>1</v>
      </c>
      <c r="C22" s="4">
        <v>0</v>
      </c>
      <c r="D22" s="4">
        <v>90100</v>
      </c>
      <c r="E22" s="4">
        <v>1</v>
      </c>
      <c r="F22" s="4">
        <v>1</v>
      </c>
      <c r="G22" s="4">
        <v>1</v>
      </c>
      <c r="I22" s="4" t="s">
        <v>40</v>
      </c>
    </row>
    <row r="23" spans="1:9" s="4" customFormat="1">
      <c r="A23" s="4">
        <v>5023</v>
      </c>
      <c r="B23" s="4">
        <v>1</v>
      </c>
      <c r="C23" s="4">
        <v>0</v>
      </c>
      <c r="D23" s="4">
        <v>90104</v>
      </c>
      <c r="E23" s="4">
        <v>1</v>
      </c>
      <c r="F23" s="4">
        <v>1</v>
      </c>
      <c r="G23" s="4">
        <v>1</v>
      </c>
      <c r="I23" s="4" t="s">
        <v>37</v>
      </c>
    </row>
    <row r="24" spans="1:9" s="4" customFormat="1">
      <c r="A24" s="4">
        <v>5024</v>
      </c>
      <c r="B24" s="4">
        <v>1</v>
      </c>
      <c r="C24" s="4">
        <v>0</v>
      </c>
      <c r="D24" s="4">
        <v>90108</v>
      </c>
      <c r="E24" s="4">
        <v>1</v>
      </c>
      <c r="F24" s="4">
        <v>1</v>
      </c>
      <c r="G24" s="4">
        <v>1</v>
      </c>
      <c r="I24" s="4" t="s">
        <v>36</v>
      </c>
    </row>
    <row r="25" spans="1:9" s="4" customFormat="1">
      <c r="A25" s="4">
        <v>5025</v>
      </c>
      <c r="B25" s="4">
        <v>1</v>
      </c>
      <c r="C25" s="4">
        <v>0</v>
      </c>
      <c r="D25" s="4">
        <v>90114</v>
      </c>
      <c r="E25" s="4">
        <v>1</v>
      </c>
      <c r="F25" s="4">
        <v>1</v>
      </c>
      <c r="G25" s="4">
        <v>1</v>
      </c>
      <c r="I25" s="4" t="s">
        <v>41</v>
      </c>
    </row>
    <row r="26" spans="1:9" s="4" customFormat="1">
      <c r="A26" s="4">
        <v>5026</v>
      </c>
      <c r="B26" s="4">
        <v>1</v>
      </c>
      <c r="C26" s="4">
        <v>0</v>
      </c>
      <c r="D26" s="4">
        <v>90115</v>
      </c>
      <c r="E26" s="4">
        <v>1</v>
      </c>
      <c r="F26" s="4">
        <v>1</v>
      </c>
      <c r="G26" s="4">
        <v>1</v>
      </c>
      <c r="I26" s="4" t="s">
        <v>42</v>
      </c>
    </row>
    <row r="27" spans="1:9" s="4" customFormat="1">
      <c r="A27" s="4">
        <v>5027</v>
      </c>
      <c r="B27" s="4">
        <v>1</v>
      </c>
      <c r="C27" s="4">
        <v>0</v>
      </c>
      <c r="D27" s="4">
        <v>90116</v>
      </c>
      <c r="E27" s="4">
        <v>1</v>
      </c>
      <c r="F27" s="4">
        <v>1</v>
      </c>
      <c r="G27" s="4">
        <v>1</v>
      </c>
      <c r="I27" s="4" t="s">
        <v>43</v>
      </c>
    </row>
    <row r="28" spans="1:9" s="4" customFormat="1">
      <c r="A28" s="4">
        <v>5028</v>
      </c>
      <c r="B28" s="4">
        <v>1</v>
      </c>
      <c r="C28" s="4">
        <v>0</v>
      </c>
      <c r="D28" s="4">
        <v>90117</v>
      </c>
      <c r="E28" s="4">
        <v>1</v>
      </c>
      <c r="F28" s="4">
        <v>1</v>
      </c>
      <c r="G28" s="4">
        <v>1</v>
      </c>
      <c r="I28" s="4" t="s">
        <v>44</v>
      </c>
    </row>
    <row r="29" spans="1:9" s="4" customFormat="1">
      <c r="A29" s="4">
        <v>5029</v>
      </c>
      <c r="B29" s="4">
        <v>1</v>
      </c>
      <c r="C29" s="4">
        <v>0</v>
      </c>
      <c r="D29" s="4">
        <v>90122</v>
      </c>
      <c r="E29" s="4">
        <v>1</v>
      </c>
      <c r="F29" s="4">
        <v>1</v>
      </c>
      <c r="G29" s="4">
        <v>1</v>
      </c>
      <c r="I29" s="4" t="s">
        <v>45</v>
      </c>
    </row>
    <row r="30" spans="1:9" s="4" customFormat="1">
      <c r="A30" s="4">
        <v>5030</v>
      </c>
      <c r="B30" s="4">
        <v>1</v>
      </c>
      <c r="C30" s="4">
        <v>0</v>
      </c>
      <c r="D30" s="4">
        <v>90123</v>
      </c>
      <c r="E30" s="4">
        <v>1</v>
      </c>
      <c r="F30" s="4">
        <v>1</v>
      </c>
      <c r="G30" s="4">
        <v>1</v>
      </c>
      <c r="I30" s="4" t="s">
        <v>46</v>
      </c>
    </row>
    <row r="31" spans="1:9" s="4" customFormat="1">
      <c r="A31" s="4">
        <v>5031</v>
      </c>
      <c r="B31" s="4">
        <v>1</v>
      </c>
      <c r="C31" s="4">
        <v>0</v>
      </c>
      <c r="D31" s="4">
        <v>90137</v>
      </c>
      <c r="E31" s="4">
        <v>1</v>
      </c>
      <c r="F31" s="4">
        <v>1</v>
      </c>
      <c r="G31" s="4">
        <v>1</v>
      </c>
      <c r="I31" s="4" t="s">
        <v>47</v>
      </c>
    </row>
    <row r="32" spans="1:9" s="4" customFormat="1">
      <c r="A32" s="4">
        <v>5032</v>
      </c>
      <c r="B32" s="4">
        <v>1</v>
      </c>
      <c r="C32" s="4">
        <v>0</v>
      </c>
      <c r="D32" s="4">
        <v>90147</v>
      </c>
      <c r="E32" s="4">
        <v>1</v>
      </c>
      <c r="F32" s="4">
        <v>1</v>
      </c>
      <c r="G32" s="4">
        <v>1</v>
      </c>
      <c r="I32" s="4" t="s">
        <v>48</v>
      </c>
    </row>
    <row r="33" spans="1:9" s="4" customFormat="1">
      <c r="A33" s="4">
        <v>5033</v>
      </c>
      <c r="B33" s="4">
        <v>1</v>
      </c>
      <c r="C33" s="4">
        <v>0</v>
      </c>
      <c r="D33" s="4">
        <v>90148</v>
      </c>
      <c r="E33" s="4">
        <v>1</v>
      </c>
      <c r="F33" s="4">
        <v>1</v>
      </c>
      <c r="G33" s="4">
        <v>1</v>
      </c>
      <c r="I33" s="4" t="s">
        <v>49</v>
      </c>
    </row>
    <row r="34" spans="1:9" s="4" customFormat="1">
      <c r="A34" s="4">
        <v>5034</v>
      </c>
      <c r="B34" s="4">
        <v>1</v>
      </c>
      <c r="C34" s="4">
        <v>0</v>
      </c>
      <c r="D34" s="4">
        <v>90149</v>
      </c>
      <c r="E34" s="4">
        <v>1</v>
      </c>
      <c r="F34" s="4">
        <v>1</v>
      </c>
      <c r="G34" s="4">
        <v>1</v>
      </c>
      <c r="I34" s="4" t="s">
        <v>50</v>
      </c>
    </row>
    <row r="35" spans="1:9" s="4" customFormat="1">
      <c r="A35" s="4">
        <v>5035</v>
      </c>
      <c r="B35" s="4">
        <v>1</v>
      </c>
      <c r="C35" s="4">
        <v>0</v>
      </c>
      <c r="D35" s="4">
        <v>90150</v>
      </c>
      <c r="E35" s="4">
        <v>1</v>
      </c>
      <c r="F35" s="4">
        <v>1</v>
      </c>
      <c r="G35" s="4">
        <v>1</v>
      </c>
      <c r="I35" s="4" t="s">
        <v>51</v>
      </c>
    </row>
    <row r="36" spans="1:9" s="4" customFormat="1">
      <c r="A36" s="4">
        <v>5036</v>
      </c>
      <c r="B36" s="4">
        <v>1</v>
      </c>
      <c r="C36" s="4">
        <v>0</v>
      </c>
      <c r="D36" s="4">
        <v>90151</v>
      </c>
      <c r="E36" s="4">
        <v>1</v>
      </c>
      <c r="F36" s="4">
        <v>1</v>
      </c>
      <c r="G36" s="4">
        <v>1</v>
      </c>
      <c r="I36" s="4" t="s">
        <v>52</v>
      </c>
    </row>
    <row r="37" spans="1:9" s="4" customFormat="1">
      <c r="A37" s="4">
        <v>5037</v>
      </c>
      <c r="B37" s="4">
        <v>1</v>
      </c>
      <c r="C37" s="4">
        <v>0</v>
      </c>
      <c r="D37" s="4">
        <v>90152</v>
      </c>
      <c r="E37" s="4">
        <v>1</v>
      </c>
      <c r="F37" s="4">
        <v>1</v>
      </c>
      <c r="G37" s="4">
        <v>1</v>
      </c>
      <c r="I37" s="4" t="s">
        <v>53</v>
      </c>
    </row>
    <row r="38" spans="1:9" s="4" customFormat="1">
      <c r="A38" s="4">
        <v>5038</v>
      </c>
      <c r="B38" s="4">
        <v>1</v>
      </c>
      <c r="C38" s="4">
        <v>0</v>
      </c>
      <c r="D38" s="4">
        <v>90153</v>
      </c>
      <c r="E38" s="4">
        <v>1</v>
      </c>
      <c r="F38" s="4">
        <v>1</v>
      </c>
      <c r="G38" s="4">
        <v>1</v>
      </c>
    </row>
    <row r="39" spans="1:9" s="4" customFormat="1">
      <c r="A39" s="4">
        <v>5039</v>
      </c>
      <c r="B39" s="4">
        <v>1</v>
      </c>
      <c r="C39" s="4">
        <v>0</v>
      </c>
      <c r="D39" s="4">
        <v>90154</v>
      </c>
      <c r="E39" s="4">
        <v>1</v>
      </c>
      <c r="F39" s="4">
        <v>1</v>
      </c>
      <c r="G39" s="4">
        <v>1</v>
      </c>
    </row>
    <row r="40" spans="1:9" s="4" customFormat="1">
      <c r="A40" s="4">
        <v>5040</v>
      </c>
      <c r="B40" s="4">
        <v>1</v>
      </c>
      <c r="C40" s="4">
        <v>0</v>
      </c>
      <c r="D40" s="4">
        <v>90155</v>
      </c>
      <c r="E40" s="4">
        <v>1</v>
      </c>
      <c r="F40" s="4">
        <v>1</v>
      </c>
      <c r="G40" s="4">
        <v>1</v>
      </c>
    </row>
    <row r="41" spans="1:9" s="4" customFormat="1">
      <c r="A41" s="4">
        <v>5041</v>
      </c>
      <c r="B41" s="4">
        <v>1</v>
      </c>
      <c r="C41" s="4">
        <v>0</v>
      </c>
      <c r="D41" s="4">
        <v>90156</v>
      </c>
      <c r="E41" s="4">
        <v>1</v>
      </c>
      <c r="F41" s="4">
        <v>1</v>
      </c>
      <c r="G41" s="4">
        <v>1</v>
      </c>
    </row>
    <row r="42" spans="1:9" s="4" customFormat="1">
      <c r="A42" s="4">
        <v>5042</v>
      </c>
      <c r="B42" s="4">
        <v>1</v>
      </c>
      <c r="C42" s="4">
        <v>0</v>
      </c>
      <c r="D42" s="4">
        <v>90157</v>
      </c>
      <c r="E42" s="4">
        <v>1</v>
      </c>
      <c r="F42" s="4">
        <v>1</v>
      </c>
      <c r="G42" s="4">
        <v>1</v>
      </c>
    </row>
    <row r="43" spans="1:9" s="4" customFormat="1">
      <c r="A43" s="4">
        <v>5043</v>
      </c>
      <c r="B43" s="4">
        <v>1</v>
      </c>
      <c r="C43" s="4">
        <v>0</v>
      </c>
      <c r="D43" s="4">
        <v>90158</v>
      </c>
      <c r="E43" s="4">
        <v>1</v>
      </c>
      <c r="F43" s="4">
        <v>1</v>
      </c>
      <c r="G43" s="4">
        <v>1</v>
      </c>
    </row>
    <row r="44" spans="1:9" s="4" customFormat="1">
      <c r="A44" s="4">
        <v>5044</v>
      </c>
      <c r="B44" s="4">
        <v>1</v>
      </c>
      <c r="C44" s="4">
        <v>0</v>
      </c>
      <c r="D44" s="4">
        <v>90164</v>
      </c>
      <c r="E44" s="4">
        <v>1</v>
      </c>
      <c r="F44" s="4">
        <v>1</v>
      </c>
      <c r="G44" s="4">
        <v>1</v>
      </c>
      <c r="I44" s="4" t="s">
        <v>54</v>
      </c>
    </row>
    <row r="45" spans="1:9" s="4" customFormat="1">
      <c r="A45" s="4">
        <v>5045</v>
      </c>
      <c r="B45" s="4">
        <v>1</v>
      </c>
      <c r="C45" s="4">
        <v>0</v>
      </c>
      <c r="D45" s="4">
        <v>90174</v>
      </c>
      <c r="E45" s="4">
        <v>1</v>
      </c>
      <c r="F45" s="4">
        <v>1</v>
      </c>
      <c r="G45" s="4">
        <v>1</v>
      </c>
      <c r="I45" s="4" t="s">
        <v>55</v>
      </c>
    </row>
    <row r="46" spans="1:9" s="4" customFormat="1">
      <c r="A46" s="4">
        <v>5046</v>
      </c>
      <c r="B46" s="4">
        <v>1</v>
      </c>
      <c r="C46" s="4">
        <v>0</v>
      </c>
      <c r="D46" s="4">
        <v>90167</v>
      </c>
      <c r="E46" s="4">
        <v>1</v>
      </c>
      <c r="F46" s="4">
        <v>1</v>
      </c>
      <c r="G46" s="4">
        <v>1</v>
      </c>
      <c r="I46" s="4" t="s">
        <v>56</v>
      </c>
    </row>
    <row r="47" spans="1:9" s="4" customFormat="1">
      <c r="A47" s="4">
        <v>5047</v>
      </c>
      <c r="B47" s="4">
        <v>1</v>
      </c>
      <c r="C47" s="4">
        <v>0</v>
      </c>
      <c r="D47" s="4">
        <v>90176</v>
      </c>
      <c r="E47" s="4">
        <v>1</v>
      </c>
      <c r="F47" s="4">
        <v>1</v>
      </c>
      <c r="G47" s="4">
        <v>1</v>
      </c>
      <c r="I47" s="4" t="s">
        <v>99</v>
      </c>
    </row>
    <row r="48" spans="1:9" s="4" customFormat="1">
      <c r="A48" s="4">
        <v>5048</v>
      </c>
      <c r="B48" s="4">
        <v>1</v>
      </c>
      <c r="C48" s="4">
        <v>0</v>
      </c>
      <c r="D48" s="4">
        <v>90177</v>
      </c>
      <c r="E48" s="4">
        <v>1</v>
      </c>
      <c r="F48" s="4">
        <v>1</v>
      </c>
      <c r="G48" s="4">
        <v>1</v>
      </c>
      <c r="I48" s="4" t="s">
        <v>100</v>
      </c>
    </row>
    <row r="49" spans="1:9" s="4" customFormat="1">
      <c r="A49" s="4">
        <v>5049</v>
      </c>
      <c r="B49" s="4">
        <v>1</v>
      </c>
      <c r="C49" s="4">
        <v>0</v>
      </c>
      <c r="D49" s="4">
        <v>90178</v>
      </c>
      <c r="E49" s="4">
        <v>1</v>
      </c>
      <c r="F49" s="4">
        <v>1</v>
      </c>
      <c r="G49" s="4">
        <v>1</v>
      </c>
      <c r="I49" s="4" t="s">
        <v>101</v>
      </c>
    </row>
    <row r="50" spans="1:9" s="4" customFormat="1">
      <c r="A50" s="4">
        <v>5050</v>
      </c>
      <c r="B50" s="4">
        <v>1</v>
      </c>
      <c r="C50" s="4">
        <v>0</v>
      </c>
      <c r="D50" s="4">
        <v>90179</v>
      </c>
      <c r="E50" s="4">
        <v>1</v>
      </c>
      <c r="F50" s="4">
        <v>1</v>
      </c>
      <c r="G50" s="4">
        <v>1</v>
      </c>
      <c r="I50" s="4" t="s">
        <v>102</v>
      </c>
    </row>
    <row r="51" spans="1:9" s="4" customFormat="1">
      <c r="A51" s="4">
        <v>5051</v>
      </c>
      <c r="B51" s="4">
        <v>1</v>
      </c>
      <c r="C51" s="4">
        <v>0</v>
      </c>
      <c r="D51" s="4">
        <v>90180</v>
      </c>
      <c r="E51" s="4">
        <v>1</v>
      </c>
      <c r="F51" s="4">
        <v>1</v>
      </c>
      <c r="G51" s="4">
        <v>1</v>
      </c>
      <c r="I51" s="4" t="s">
        <v>103</v>
      </c>
    </row>
    <row r="52" spans="1:9" s="4" customFormat="1">
      <c r="A52" s="4">
        <v>5052</v>
      </c>
      <c r="B52" s="4">
        <v>1</v>
      </c>
      <c r="C52" s="4">
        <v>0</v>
      </c>
      <c r="D52" s="4">
        <v>90181</v>
      </c>
      <c r="E52" s="4">
        <v>1</v>
      </c>
      <c r="F52" s="4">
        <v>1</v>
      </c>
      <c r="G52" s="4">
        <v>1</v>
      </c>
      <c r="I52" s="4" t="s">
        <v>104</v>
      </c>
    </row>
    <row r="53" spans="1:9" s="4" customFormat="1">
      <c r="A53" s="4">
        <v>5053</v>
      </c>
      <c r="B53" s="4">
        <v>1</v>
      </c>
      <c r="C53" s="4">
        <v>0</v>
      </c>
      <c r="D53" s="4">
        <v>90182</v>
      </c>
      <c r="E53" s="4">
        <v>1</v>
      </c>
      <c r="F53" s="4">
        <v>1</v>
      </c>
      <c r="G53" s="4">
        <v>1</v>
      </c>
      <c r="I53" s="4" t="s">
        <v>105</v>
      </c>
    </row>
    <row r="54" spans="1:9" s="4" customFormat="1">
      <c r="A54" s="4">
        <v>5054</v>
      </c>
      <c r="B54" s="4">
        <v>1</v>
      </c>
      <c r="C54" s="4">
        <v>0</v>
      </c>
      <c r="D54" s="4">
        <v>90183</v>
      </c>
      <c r="E54" s="4">
        <v>1</v>
      </c>
      <c r="F54" s="4">
        <v>1</v>
      </c>
      <c r="G54" s="4">
        <v>1</v>
      </c>
      <c r="I54" s="4" t="s">
        <v>113</v>
      </c>
    </row>
    <row r="55" spans="1:9" s="4" customFormat="1">
      <c r="A55" s="4">
        <v>5055</v>
      </c>
      <c r="B55" s="4">
        <v>1</v>
      </c>
      <c r="C55" s="4">
        <v>0</v>
      </c>
      <c r="D55" s="4">
        <v>90184</v>
      </c>
      <c r="E55" s="4">
        <v>1</v>
      </c>
      <c r="F55" s="4">
        <v>1</v>
      </c>
      <c r="G55" s="4">
        <v>1</v>
      </c>
      <c r="I55" s="4" t="s">
        <v>114</v>
      </c>
    </row>
    <row r="56" spans="1:9" s="4" customFormat="1">
      <c r="A56" s="4">
        <v>5056</v>
      </c>
      <c r="B56" s="4">
        <v>1</v>
      </c>
      <c r="C56" s="4">
        <v>0</v>
      </c>
      <c r="D56" s="4">
        <v>90185</v>
      </c>
      <c r="E56" s="4">
        <v>1</v>
      </c>
      <c r="F56" s="4">
        <v>1</v>
      </c>
      <c r="G56" s="4">
        <v>1</v>
      </c>
      <c r="I56" s="4" t="s">
        <v>106</v>
      </c>
    </row>
    <row r="57" spans="1:9" s="4" customFormat="1">
      <c r="A57" s="4">
        <v>5057</v>
      </c>
      <c r="B57" s="4">
        <v>1</v>
      </c>
      <c r="C57" s="4">
        <v>0</v>
      </c>
      <c r="D57" s="4">
        <v>90186</v>
      </c>
      <c r="E57" s="4">
        <v>1</v>
      </c>
      <c r="F57" s="4">
        <v>1</v>
      </c>
      <c r="G57" s="4">
        <v>1</v>
      </c>
      <c r="I57" s="4" t="s">
        <v>107</v>
      </c>
    </row>
    <row r="58" spans="1:9" s="4" customFormat="1">
      <c r="A58" s="4">
        <v>5058</v>
      </c>
      <c r="B58" s="4">
        <v>1</v>
      </c>
      <c r="C58" s="4">
        <v>0</v>
      </c>
      <c r="D58" s="4">
        <v>90187</v>
      </c>
      <c r="E58" s="4">
        <v>1</v>
      </c>
      <c r="F58" s="4">
        <v>1</v>
      </c>
      <c r="G58" s="4">
        <v>1</v>
      </c>
      <c r="I58" s="4" t="s">
        <v>108</v>
      </c>
    </row>
    <row r="59" spans="1:9" s="4" customFormat="1">
      <c r="A59" s="4">
        <v>5059</v>
      </c>
      <c r="B59" s="4">
        <v>1</v>
      </c>
      <c r="C59" s="4">
        <v>0</v>
      </c>
      <c r="D59" s="4">
        <v>90188</v>
      </c>
      <c r="E59" s="4">
        <v>1</v>
      </c>
      <c r="F59" s="4">
        <v>1</v>
      </c>
      <c r="G59" s="4">
        <v>1</v>
      </c>
      <c r="I59" s="4" t="s">
        <v>109</v>
      </c>
    </row>
    <row r="60" spans="1:9" s="4" customFormat="1">
      <c r="A60" s="4">
        <v>5060</v>
      </c>
      <c r="B60" s="4">
        <v>1</v>
      </c>
      <c r="C60" s="4">
        <v>0</v>
      </c>
      <c r="D60" s="4">
        <v>90189</v>
      </c>
      <c r="E60" s="4">
        <v>1</v>
      </c>
      <c r="F60" s="4">
        <v>1</v>
      </c>
      <c r="G60" s="4">
        <v>1</v>
      </c>
      <c r="I60" s="4" t="s">
        <v>115</v>
      </c>
    </row>
    <row r="61" spans="1:9" s="4" customFormat="1">
      <c r="A61" s="4">
        <v>5061</v>
      </c>
      <c r="B61" s="4">
        <v>1</v>
      </c>
      <c r="C61" s="4">
        <v>0</v>
      </c>
      <c r="D61" s="4">
        <v>90190</v>
      </c>
      <c r="E61" s="4">
        <v>1</v>
      </c>
      <c r="F61" s="4">
        <v>1</v>
      </c>
      <c r="G61" s="4">
        <v>1</v>
      </c>
      <c r="I61" s="4" t="s">
        <v>110</v>
      </c>
    </row>
    <row r="62" spans="1:9" s="4" customFormat="1">
      <c r="A62" s="4">
        <v>5062</v>
      </c>
      <c r="B62" s="4">
        <v>1</v>
      </c>
      <c r="C62" s="4">
        <v>0</v>
      </c>
      <c r="D62" s="4">
        <v>90191</v>
      </c>
      <c r="E62" s="4">
        <v>1</v>
      </c>
      <c r="F62" s="4">
        <v>1</v>
      </c>
      <c r="G62" s="4">
        <v>1</v>
      </c>
      <c r="I62" s="4" t="s">
        <v>249</v>
      </c>
    </row>
    <row r="63" spans="1:9" s="4" customFormat="1">
      <c r="A63" s="4">
        <v>6001</v>
      </c>
      <c r="B63" s="4">
        <v>1</v>
      </c>
      <c r="C63" s="4">
        <v>0</v>
      </c>
      <c r="D63" s="4">
        <v>90065</v>
      </c>
      <c r="E63" s="4">
        <v>1</v>
      </c>
      <c r="F63" s="4">
        <v>1</v>
      </c>
      <c r="G63" s="4">
        <v>1</v>
      </c>
      <c r="H63" s="4" t="s">
        <v>23</v>
      </c>
      <c r="I63" s="4" t="s">
        <v>57</v>
      </c>
    </row>
    <row r="64" spans="1:9" s="4" customFormat="1">
      <c r="A64" s="4">
        <v>6002</v>
      </c>
      <c r="B64" s="4">
        <v>1</v>
      </c>
      <c r="C64" s="4">
        <v>0</v>
      </c>
      <c r="D64" s="4">
        <v>90066</v>
      </c>
      <c r="E64" s="4">
        <v>1</v>
      </c>
      <c r="F64" s="4">
        <v>1</v>
      </c>
      <c r="G64" s="4">
        <v>1</v>
      </c>
      <c r="I64" s="4" t="s">
        <v>58</v>
      </c>
    </row>
    <row r="65" spans="1:9" s="4" customFormat="1">
      <c r="A65" s="4">
        <v>6003</v>
      </c>
      <c r="B65" s="4">
        <v>1</v>
      </c>
      <c r="C65" s="4">
        <v>0</v>
      </c>
      <c r="D65" s="4">
        <v>90082</v>
      </c>
      <c r="E65" s="4">
        <v>1</v>
      </c>
      <c r="F65" s="4">
        <v>1</v>
      </c>
      <c r="G65" s="4">
        <v>1</v>
      </c>
      <c r="I65" s="4" t="s">
        <v>59</v>
      </c>
    </row>
    <row r="66" spans="1:9" s="4" customFormat="1">
      <c r="A66" s="4">
        <v>6004</v>
      </c>
      <c r="B66" s="4">
        <v>1</v>
      </c>
      <c r="C66" s="4">
        <v>0</v>
      </c>
      <c r="D66" s="4">
        <v>90080</v>
      </c>
      <c r="E66" s="4">
        <v>1</v>
      </c>
      <c r="F66" s="4">
        <v>1</v>
      </c>
      <c r="G66" s="4">
        <v>1</v>
      </c>
      <c r="I66" s="4" t="s">
        <v>60</v>
      </c>
    </row>
    <row r="67" spans="1:9" s="4" customFormat="1">
      <c r="A67" s="4">
        <v>6005</v>
      </c>
      <c r="B67" s="4">
        <v>1</v>
      </c>
      <c r="C67" s="4">
        <v>0</v>
      </c>
      <c r="D67" s="4">
        <v>90081</v>
      </c>
      <c r="E67" s="4">
        <v>1</v>
      </c>
      <c r="F67" s="4">
        <v>1</v>
      </c>
      <c r="G67" s="4">
        <v>1</v>
      </c>
      <c r="I67" s="4" t="s">
        <v>61</v>
      </c>
    </row>
    <row r="68" spans="1:9" s="4" customFormat="1">
      <c r="A68" s="4">
        <v>6006</v>
      </c>
      <c r="B68" s="4">
        <v>1</v>
      </c>
      <c r="C68" s="4">
        <v>0</v>
      </c>
      <c r="D68" s="4">
        <v>90079</v>
      </c>
      <c r="E68" s="4">
        <v>1</v>
      </c>
      <c r="F68" s="4">
        <v>1</v>
      </c>
      <c r="G68" s="4">
        <v>1</v>
      </c>
      <c r="I68" s="4" t="s">
        <v>62</v>
      </c>
    </row>
    <row r="69" spans="1:9" s="4" customFormat="1">
      <c r="A69" s="4">
        <v>6007</v>
      </c>
      <c r="B69" s="4">
        <v>1</v>
      </c>
      <c r="C69" s="4">
        <v>0</v>
      </c>
      <c r="D69" s="4">
        <v>90067</v>
      </c>
      <c r="E69" s="4">
        <v>1</v>
      </c>
      <c r="F69" s="4">
        <v>1</v>
      </c>
      <c r="G69" s="4">
        <v>1</v>
      </c>
      <c r="I69" s="4" t="s">
        <v>63</v>
      </c>
    </row>
    <row r="70" spans="1:9" s="4" customFormat="1">
      <c r="A70" s="4">
        <v>6008</v>
      </c>
      <c r="B70" s="4">
        <v>1</v>
      </c>
      <c r="C70" s="4">
        <v>0</v>
      </c>
      <c r="D70" s="4">
        <v>90068</v>
      </c>
      <c r="E70" s="4">
        <v>1</v>
      </c>
      <c r="F70" s="4">
        <v>1</v>
      </c>
      <c r="G70" s="4">
        <v>1</v>
      </c>
      <c r="I70" s="4" t="s">
        <v>26</v>
      </c>
    </row>
    <row r="71" spans="1:9" s="4" customFormat="1">
      <c r="A71" s="4">
        <v>6009</v>
      </c>
      <c r="B71" s="4">
        <v>1</v>
      </c>
      <c r="C71" s="4">
        <v>0</v>
      </c>
      <c r="D71" s="4">
        <v>90069</v>
      </c>
      <c r="E71" s="4">
        <v>1</v>
      </c>
      <c r="F71" s="4">
        <v>1</v>
      </c>
      <c r="G71" s="4">
        <v>1</v>
      </c>
      <c r="I71" s="4" t="s">
        <v>64</v>
      </c>
    </row>
    <row r="72" spans="1:9" s="4" customFormat="1">
      <c r="A72" s="4">
        <v>6010</v>
      </c>
      <c r="B72" s="4">
        <v>1</v>
      </c>
      <c r="C72" s="4">
        <v>0</v>
      </c>
      <c r="D72" s="4">
        <v>90074</v>
      </c>
      <c r="E72" s="4">
        <v>1</v>
      </c>
      <c r="F72" s="4">
        <v>1</v>
      </c>
      <c r="G72" s="4">
        <v>1</v>
      </c>
      <c r="I72" s="4" t="s">
        <v>65</v>
      </c>
    </row>
    <row r="73" spans="1:9" s="4" customFormat="1">
      <c r="A73" s="4">
        <v>6011</v>
      </c>
      <c r="B73" s="4">
        <v>1</v>
      </c>
      <c r="C73" s="4">
        <v>0</v>
      </c>
      <c r="D73" s="4">
        <v>90074</v>
      </c>
      <c r="E73" s="4">
        <v>1</v>
      </c>
      <c r="F73" s="4">
        <v>1</v>
      </c>
      <c r="G73" s="4">
        <v>1</v>
      </c>
      <c r="I73" s="4" t="s">
        <v>65</v>
      </c>
    </row>
    <row r="74" spans="1:9" s="4" customFormat="1">
      <c r="A74" s="4">
        <v>6012</v>
      </c>
      <c r="B74" s="4">
        <v>1</v>
      </c>
      <c r="C74" s="4">
        <v>0</v>
      </c>
      <c r="D74" s="4">
        <v>90075</v>
      </c>
      <c r="E74" s="4">
        <v>1</v>
      </c>
      <c r="F74" s="4">
        <v>1</v>
      </c>
      <c r="G74" s="4">
        <v>1</v>
      </c>
      <c r="I74" s="4" t="s">
        <v>66</v>
      </c>
    </row>
    <row r="75" spans="1:9" s="4" customFormat="1">
      <c r="A75" s="4">
        <v>6013</v>
      </c>
      <c r="B75" s="4">
        <v>1</v>
      </c>
      <c r="C75" s="4">
        <v>0</v>
      </c>
      <c r="D75" s="4">
        <v>90075</v>
      </c>
      <c r="E75" s="4">
        <v>1</v>
      </c>
      <c r="F75" s="4">
        <v>1</v>
      </c>
      <c r="G75" s="4">
        <v>1</v>
      </c>
      <c r="I75" s="4" t="s">
        <v>66</v>
      </c>
    </row>
    <row r="76" spans="1:9" s="4" customFormat="1">
      <c r="A76" s="4">
        <v>6014</v>
      </c>
      <c r="B76" s="4">
        <v>1</v>
      </c>
      <c r="C76" s="4">
        <v>0</v>
      </c>
      <c r="D76" s="4">
        <v>90087</v>
      </c>
      <c r="E76" s="4">
        <v>1</v>
      </c>
      <c r="F76" s="4">
        <v>1</v>
      </c>
      <c r="G76" s="4">
        <v>1</v>
      </c>
      <c r="I76" s="4" t="s">
        <v>67</v>
      </c>
    </row>
    <row r="77" spans="1:9" s="4" customFormat="1">
      <c r="A77" s="4">
        <v>6015</v>
      </c>
      <c r="B77" s="4">
        <v>1</v>
      </c>
      <c r="C77" s="4">
        <v>0</v>
      </c>
      <c r="D77" s="4">
        <v>90089</v>
      </c>
      <c r="E77" s="4">
        <v>1</v>
      </c>
      <c r="F77" s="4">
        <v>1</v>
      </c>
      <c r="G77" s="4">
        <v>1</v>
      </c>
      <c r="I77" s="4" t="s">
        <v>68</v>
      </c>
    </row>
    <row r="78" spans="1:9" s="4" customFormat="1">
      <c r="A78" s="4">
        <v>6016</v>
      </c>
      <c r="B78" s="4">
        <v>1</v>
      </c>
      <c r="C78" s="4">
        <v>0</v>
      </c>
      <c r="D78" s="4">
        <v>90092</v>
      </c>
      <c r="E78" s="4">
        <v>1</v>
      </c>
      <c r="F78" s="4">
        <v>1</v>
      </c>
      <c r="G78" s="4">
        <v>1</v>
      </c>
      <c r="I78" s="4" t="s">
        <v>69</v>
      </c>
    </row>
    <row r="79" spans="1:9" s="4" customFormat="1">
      <c r="A79" s="4">
        <v>6017</v>
      </c>
      <c r="B79" s="4">
        <v>1</v>
      </c>
      <c r="C79" s="4">
        <v>0</v>
      </c>
      <c r="D79" s="4">
        <v>90093</v>
      </c>
      <c r="E79" s="4">
        <v>1</v>
      </c>
      <c r="F79" s="4">
        <v>1</v>
      </c>
      <c r="G79" s="4">
        <v>1</v>
      </c>
      <c r="I79" s="4" t="s">
        <v>70</v>
      </c>
    </row>
    <row r="80" spans="1:9" s="4" customFormat="1">
      <c r="A80" s="4">
        <v>6018</v>
      </c>
      <c r="B80" s="4">
        <v>1</v>
      </c>
      <c r="C80" s="4">
        <v>0</v>
      </c>
      <c r="D80" s="4">
        <v>90095</v>
      </c>
      <c r="E80" s="4">
        <v>1</v>
      </c>
      <c r="F80" s="4">
        <v>1</v>
      </c>
      <c r="G80" s="4">
        <v>1</v>
      </c>
      <c r="I80" s="4" t="s">
        <v>71</v>
      </c>
    </row>
    <row r="81" spans="1:9" s="4" customFormat="1">
      <c r="A81" s="4">
        <v>6019</v>
      </c>
      <c r="B81" s="4">
        <v>1</v>
      </c>
      <c r="C81" s="4">
        <v>0</v>
      </c>
      <c r="D81" s="4">
        <v>90097</v>
      </c>
      <c r="E81" s="4">
        <v>1</v>
      </c>
      <c r="F81" s="4">
        <v>1</v>
      </c>
      <c r="G81" s="4">
        <v>1</v>
      </c>
      <c r="I81" s="4" t="s">
        <v>72</v>
      </c>
    </row>
    <row r="82" spans="1:9" s="4" customFormat="1">
      <c r="A82" s="4">
        <v>6020</v>
      </c>
      <c r="B82" s="4">
        <v>1</v>
      </c>
      <c r="C82" s="4">
        <v>0</v>
      </c>
      <c r="D82" s="4">
        <v>90074</v>
      </c>
      <c r="E82" s="4">
        <v>1</v>
      </c>
      <c r="F82" s="4">
        <v>1</v>
      </c>
      <c r="G82" s="4">
        <v>1</v>
      </c>
      <c r="I82" s="4" t="s">
        <v>65</v>
      </c>
    </row>
    <row r="83" spans="1:9" s="4" customFormat="1">
      <c r="A83" s="4">
        <v>6021</v>
      </c>
      <c r="B83" s="4">
        <v>1</v>
      </c>
      <c r="C83" s="4">
        <v>0</v>
      </c>
      <c r="D83" s="4">
        <v>90075</v>
      </c>
      <c r="E83" s="4">
        <v>1</v>
      </c>
      <c r="F83" s="4">
        <v>1</v>
      </c>
      <c r="G83" s="4">
        <v>1</v>
      </c>
      <c r="I83" s="4" t="s">
        <v>66</v>
      </c>
    </row>
    <row r="84" spans="1:9" s="4" customFormat="1">
      <c r="A84" s="4">
        <v>6022</v>
      </c>
      <c r="B84" s="4">
        <v>1</v>
      </c>
      <c r="C84" s="4">
        <v>0</v>
      </c>
      <c r="D84" s="4">
        <v>90107</v>
      </c>
      <c r="E84" s="4">
        <v>1</v>
      </c>
      <c r="F84" s="4">
        <v>1</v>
      </c>
      <c r="G84" s="4">
        <v>1</v>
      </c>
      <c r="I84" s="4" t="s">
        <v>73</v>
      </c>
    </row>
    <row r="85" spans="1:9" s="4" customFormat="1">
      <c r="A85" s="4">
        <v>6023</v>
      </c>
      <c r="B85" s="4">
        <v>1</v>
      </c>
      <c r="C85" s="4">
        <v>0</v>
      </c>
      <c r="D85" s="4">
        <v>90110</v>
      </c>
      <c r="E85" s="4">
        <v>1</v>
      </c>
      <c r="F85" s="4">
        <v>1</v>
      </c>
      <c r="G85" s="4">
        <v>1</v>
      </c>
      <c r="I85" s="4" t="s">
        <v>74</v>
      </c>
    </row>
    <row r="86" spans="1:9" s="4" customFormat="1">
      <c r="A86" s="4">
        <v>6024</v>
      </c>
      <c r="B86" s="4">
        <v>1</v>
      </c>
      <c r="C86" s="4">
        <v>0</v>
      </c>
      <c r="D86" s="4">
        <v>90113</v>
      </c>
      <c r="E86" s="4">
        <v>1</v>
      </c>
      <c r="F86" s="4">
        <v>1</v>
      </c>
      <c r="G86" s="4">
        <v>1</v>
      </c>
      <c r="I86" s="4" t="s">
        <v>75</v>
      </c>
    </row>
    <row r="87" spans="1:9" s="4" customFormat="1">
      <c r="A87" s="4">
        <v>6025</v>
      </c>
      <c r="B87" s="4">
        <v>1</v>
      </c>
      <c r="C87" s="4">
        <v>0</v>
      </c>
      <c r="D87" s="4">
        <v>90107</v>
      </c>
      <c r="E87" s="4">
        <v>1</v>
      </c>
      <c r="F87" s="4">
        <v>1</v>
      </c>
      <c r="G87" s="4">
        <v>1</v>
      </c>
      <c r="I87" s="4" t="s">
        <v>73</v>
      </c>
    </row>
    <row r="88" spans="1:9" s="4" customFormat="1">
      <c r="A88" s="4">
        <v>6026</v>
      </c>
      <c r="B88" s="4">
        <v>1</v>
      </c>
      <c r="C88" s="4">
        <v>0</v>
      </c>
      <c r="D88" s="4">
        <v>90110</v>
      </c>
      <c r="E88" s="4">
        <v>1</v>
      </c>
      <c r="F88" s="4">
        <v>1</v>
      </c>
      <c r="G88" s="4">
        <v>1</v>
      </c>
      <c r="I88" s="4" t="s">
        <v>74</v>
      </c>
    </row>
    <row r="89" spans="1:9" s="4" customFormat="1">
      <c r="A89" s="4">
        <v>6027</v>
      </c>
      <c r="B89" s="4">
        <v>1</v>
      </c>
      <c r="C89" s="4">
        <v>0</v>
      </c>
      <c r="D89" s="4">
        <v>90113</v>
      </c>
      <c r="E89" s="4">
        <v>1</v>
      </c>
      <c r="F89" s="4">
        <v>1</v>
      </c>
      <c r="G89" s="4">
        <v>1</v>
      </c>
      <c r="I89" s="4" t="s">
        <v>75</v>
      </c>
    </row>
    <row r="90" spans="1:9" s="4" customFormat="1">
      <c r="A90" s="4">
        <v>6028</v>
      </c>
      <c r="B90" s="4">
        <v>1</v>
      </c>
      <c r="C90" s="4">
        <v>0</v>
      </c>
      <c r="D90" s="4">
        <v>90106</v>
      </c>
      <c r="E90" s="4">
        <v>1</v>
      </c>
      <c r="F90" s="4">
        <v>1</v>
      </c>
      <c r="G90" s="4">
        <v>1</v>
      </c>
      <c r="I90" s="4" t="s">
        <v>35</v>
      </c>
    </row>
    <row r="91" spans="1:9" s="4" customFormat="1">
      <c r="A91" s="4">
        <v>6029</v>
      </c>
      <c r="B91" s="4">
        <v>1</v>
      </c>
      <c r="C91" s="4">
        <v>0</v>
      </c>
      <c r="D91" s="4">
        <v>90107</v>
      </c>
      <c r="E91" s="4">
        <v>1</v>
      </c>
      <c r="F91" s="4">
        <v>1</v>
      </c>
      <c r="G91" s="4">
        <v>1</v>
      </c>
      <c r="I91" s="4" t="s">
        <v>73</v>
      </c>
    </row>
    <row r="92" spans="1:9" s="4" customFormat="1">
      <c r="A92" s="4">
        <v>6030</v>
      </c>
      <c r="B92" s="4">
        <v>1</v>
      </c>
      <c r="C92" s="4">
        <v>0</v>
      </c>
      <c r="D92" s="4">
        <v>90102</v>
      </c>
      <c r="E92" s="4">
        <v>1</v>
      </c>
      <c r="F92" s="4">
        <v>1</v>
      </c>
      <c r="G92" s="4">
        <v>1</v>
      </c>
      <c r="I92" s="4" t="s">
        <v>76</v>
      </c>
    </row>
    <row r="93" spans="1:9" s="4" customFormat="1">
      <c r="A93" s="4">
        <v>6031</v>
      </c>
      <c r="B93" s="4">
        <v>1</v>
      </c>
      <c r="C93" s="4">
        <v>0</v>
      </c>
      <c r="D93" s="4">
        <v>90103</v>
      </c>
      <c r="E93" s="4">
        <v>1</v>
      </c>
      <c r="F93" s="4">
        <v>1</v>
      </c>
      <c r="G93" s="4">
        <v>1</v>
      </c>
      <c r="I93" s="4" t="s">
        <v>77</v>
      </c>
    </row>
    <row r="94" spans="1:9" s="4" customFormat="1">
      <c r="A94" s="4">
        <v>6032</v>
      </c>
      <c r="B94" s="4">
        <v>1</v>
      </c>
      <c r="C94" s="4">
        <v>0</v>
      </c>
      <c r="D94" s="4">
        <v>90109</v>
      </c>
      <c r="E94" s="4">
        <v>1</v>
      </c>
      <c r="F94" s="4">
        <v>1</v>
      </c>
      <c r="G94" s="4">
        <v>1</v>
      </c>
      <c r="I94" s="4" t="s">
        <v>38</v>
      </c>
    </row>
    <row r="95" spans="1:9" s="4" customFormat="1">
      <c r="A95" s="4">
        <v>6033</v>
      </c>
      <c r="B95" s="4">
        <v>1</v>
      </c>
      <c r="C95" s="4">
        <v>0</v>
      </c>
      <c r="D95" s="4">
        <v>90110</v>
      </c>
      <c r="E95" s="4">
        <v>1</v>
      </c>
      <c r="F95" s="4">
        <v>1</v>
      </c>
      <c r="G95" s="4">
        <v>1</v>
      </c>
      <c r="I95" s="4" t="s">
        <v>74</v>
      </c>
    </row>
    <row r="96" spans="1:9" s="4" customFormat="1">
      <c r="A96" s="4">
        <v>6034</v>
      </c>
      <c r="B96" s="4">
        <v>1</v>
      </c>
      <c r="C96" s="4">
        <v>0</v>
      </c>
      <c r="D96" s="4">
        <v>90111</v>
      </c>
      <c r="E96" s="4">
        <v>1</v>
      </c>
      <c r="F96" s="4">
        <v>1</v>
      </c>
      <c r="G96" s="4">
        <v>1</v>
      </c>
      <c r="I96" s="4" t="s">
        <v>78</v>
      </c>
    </row>
    <row r="97" spans="1:9" s="4" customFormat="1">
      <c r="A97" s="4">
        <v>6035</v>
      </c>
      <c r="B97" s="4">
        <v>1</v>
      </c>
      <c r="C97" s="4">
        <v>0</v>
      </c>
      <c r="D97" s="4">
        <v>90112</v>
      </c>
      <c r="E97" s="4">
        <v>1</v>
      </c>
      <c r="F97" s="4">
        <v>1</v>
      </c>
      <c r="G97" s="4">
        <v>1</v>
      </c>
      <c r="I97" s="4" t="s">
        <v>79</v>
      </c>
    </row>
    <row r="98" spans="1:9" s="4" customFormat="1">
      <c r="A98" s="4">
        <v>6036</v>
      </c>
      <c r="B98" s="4">
        <v>1</v>
      </c>
      <c r="C98" s="4">
        <v>0</v>
      </c>
      <c r="D98" s="4">
        <v>90113</v>
      </c>
      <c r="E98" s="4">
        <v>1</v>
      </c>
      <c r="F98" s="4">
        <v>1</v>
      </c>
      <c r="G98" s="4">
        <v>1</v>
      </c>
      <c r="I98" s="4" t="s">
        <v>75</v>
      </c>
    </row>
    <row r="99" spans="1:9" s="4" customFormat="1">
      <c r="A99" s="4">
        <v>6037</v>
      </c>
      <c r="B99" s="4">
        <v>1</v>
      </c>
      <c r="C99" s="4">
        <v>0</v>
      </c>
      <c r="D99" s="4">
        <v>90107</v>
      </c>
      <c r="E99" s="4">
        <v>1</v>
      </c>
      <c r="F99" s="4">
        <v>1</v>
      </c>
      <c r="G99" s="4">
        <v>1</v>
      </c>
      <c r="I99" s="4" t="s">
        <v>73</v>
      </c>
    </row>
    <row r="100" spans="1:9" s="4" customFormat="1">
      <c r="A100" s="4">
        <v>6038</v>
      </c>
      <c r="B100" s="4">
        <v>1</v>
      </c>
      <c r="C100" s="4">
        <v>0</v>
      </c>
      <c r="D100" s="4">
        <v>90118</v>
      </c>
      <c r="E100" s="4">
        <v>1</v>
      </c>
      <c r="F100" s="4">
        <v>1</v>
      </c>
      <c r="G100" s="4">
        <v>1</v>
      </c>
      <c r="I100" s="4" t="s">
        <v>80</v>
      </c>
    </row>
    <row r="101" spans="1:9" s="4" customFormat="1">
      <c r="A101" s="4">
        <v>6039</v>
      </c>
      <c r="B101" s="4">
        <v>1</v>
      </c>
      <c r="C101" s="4">
        <v>0</v>
      </c>
      <c r="D101" s="4">
        <v>90119</v>
      </c>
      <c r="E101" s="4">
        <v>1</v>
      </c>
      <c r="F101" s="4">
        <v>1</v>
      </c>
      <c r="G101" s="4">
        <v>1</v>
      </c>
      <c r="I101" s="4" t="s">
        <v>81</v>
      </c>
    </row>
    <row r="102" spans="1:9" s="4" customFormat="1">
      <c r="A102" s="4">
        <v>6040</v>
      </c>
      <c r="B102" s="4">
        <v>1</v>
      </c>
      <c r="C102" s="4">
        <v>0</v>
      </c>
      <c r="D102" s="4">
        <v>90120</v>
      </c>
      <c r="E102" s="4">
        <v>1</v>
      </c>
      <c r="F102" s="4">
        <v>1</v>
      </c>
      <c r="G102" s="4">
        <v>1</v>
      </c>
      <c r="I102" s="4" t="s">
        <v>82</v>
      </c>
    </row>
    <row r="103" spans="1:9" s="4" customFormat="1">
      <c r="A103" s="4">
        <v>6041</v>
      </c>
      <c r="B103" s="4">
        <v>1</v>
      </c>
      <c r="C103" s="4">
        <v>0</v>
      </c>
      <c r="D103" s="4">
        <v>90124</v>
      </c>
      <c r="E103" s="4">
        <v>1</v>
      </c>
      <c r="F103" s="4">
        <v>1</v>
      </c>
      <c r="G103" s="4">
        <v>1</v>
      </c>
      <c r="I103" s="4" t="s">
        <v>83</v>
      </c>
    </row>
    <row r="104" spans="1:9" s="4" customFormat="1">
      <c r="A104" s="4">
        <v>6042</v>
      </c>
      <c r="B104" s="4">
        <v>1</v>
      </c>
      <c r="C104" s="4">
        <v>0</v>
      </c>
      <c r="D104" s="4">
        <v>90140</v>
      </c>
      <c r="E104" s="4">
        <v>1</v>
      </c>
      <c r="F104" s="4">
        <v>1</v>
      </c>
      <c r="G104" s="4">
        <v>1</v>
      </c>
      <c r="I104" s="4" t="s">
        <v>84</v>
      </c>
    </row>
    <row r="105" spans="1:9" s="4" customFormat="1">
      <c r="A105" s="4">
        <v>6043</v>
      </c>
      <c r="B105" s="4">
        <v>1</v>
      </c>
      <c r="C105" s="4">
        <v>0</v>
      </c>
      <c r="D105" s="4">
        <v>90141</v>
      </c>
      <c r="E105" s="4">
        <v>1</v>
      </c>
      <c r="F105" s="4">
        <v>1</v>
      </c>
      <c r="G105" s="4">
        <v>1</v>
      </c>
      <c r="I105" s="4" t="s">
        <v>85</v>
      </c>
    </row>
    <row r="106" spans="1:9" s="4" customFormat="1">
      <c r="A106" s="4">
        <v>6044</v>
      </c>
      <c r="B106" s="4">
        <v>1</v>
      </c>
      <c r="C106" s="4">
        <v>0</v>
      </c>
      <c r="D106" s="4">
        <v>90142</v>
      </c>
      <c r="E106" s="4">
        <v>1</v>
      </c>
      <c r="F106" s="4">
        <v>1</v>
      </c>
      <c r="G106" s="4">
        <v>1</v>
      </c>
      <c r="I106" s="4" t="s">
        <v>86</v>
      </c>
    </row>
    <row r="107" spans="1:9" s="4" customFormat="1">
      <c r="A107" s="4">
        <v>6045</v>
      </c>
      <c r="B107" s="4">
        <v>1</v>
      </c>
      <c r="C107" s="4">
        <v>0</v>
      </c>
      <c r="D107" s="4">
        <v>90143</v>
      </c>
      <c r="E107" s="4">
        <v>1</v>
      </c>
      <c r="F107" s="4">
        <v>1</v>
      </c>
      <c r="G107" s="4">
        <v>1</v>
      </c>
      <c r="I107" s="4" t="s">
        <v>87</v>
      </c>
    </row>
    <row r="108" spans="1:9" s="4" customFormat="1">
      <c r="A108" s="4">
        <v>6046</v>
      </c>
      <c r="B108" s="4">
        <v>1</v>
      </c>
      <c r="C108" s="4">
        <v>0</v>
      </c>
      <c r="D108" s="4">
        <v>90144</v>
      </c>
      <c r="E108" s="4">
        <v>1</v>
      </c>
      <c r="F108" s="4">
        <v>1</v>
      </c>
      <c r="G108" s="4">
        <v>1</v>
      </c>
      <c r="I108" s="4" t="s">
        <v>88</v>
      </c>
    </row>
    <row r="109" spans="1:9" s="4" customFormat="1">
      <c r="A109" s="4">
        <v>6047</v>
      </c>
      <c r="B109" s="4">
        <v>1</v>
      </c>
      <c r="C109" s="4">
        <v>0</v>
      </c>
      <c r="D109" s="4">
        <v>90145</v>
      </c>
      <c r="E109" s="4">
        <v>1</v>
      </c>
      <c r="F109" s="4">
        <v>1</v>
      </c>
      <c r="G109" s="4">
        <v>1</v>
      </c>
      <c r="I109" s="4" t="s">
        <v>89</v>
      </c>
    </row>
    <row r="110" spans="1:9" s="4" customFormat="1">
      <c r="A110" s="4">
        <v>6048</v>
      </c>
      <c r="B110" s="4">
        <v>1</v>
      </c>
      <c r="C110" s="4">
        <v>0</v>
      </c>
      <c r="D110" s="4">
        <v>90146</v>
      </c>
      <c r="E110" s="4">
        <v>1</v>
      </c>
      <c r="F110" s="4">
        <v>1</v>
      </c>
      <c r="G110" s="4">
        <v>1</v>
      </c>
      <c r="I110" s="4" t="s">
        <v>90</v>
      </c>
    </row>
    <row r="111" spans="1:9" s="4" customFormat="1">
      <c r="A111" s="4">
        <v>6049</v>
      </c>
      <c r="B111" s="4">
        <v>1</v>
      </c>
      <c r="C111" s="4">
        <v>0</v>
      </c>
      <c r="D111" s="4">
        <v>90131</v>
      </c>
      <c r="E111" s="4">
        <v>1</v>
      </c>
      <c r="F111" s="4">
        <v>1</v>
      </c>
      <c r="G111" s="4">
        <v>1</v>
      </c>
      <c r="I111" s="4" t="s">
        <v>91</v>
      </c>
    </row>
    <row r="112" spans="1:9" s="4" customFormat="1">
      <c r="A112" s="4">
        <v>6050</v>
      </c>
      <c r="B112" s="4">
        <v>1</v>
      </c>
      <c r="C112" s="4">
        <v>0</v>
      </c>
      <c r="D112" s="4">
        <v>90133</v>
      </c>
      <c r="E112" s="4">
        <v>1</v>
      </c>
      <c r="F112" s="4">
        <v>1</v>
      </c>
      <c r="G112" s="4">
        <v>1</v>
      </c>
      <c r="I112" s="4" t="s">
        <v>92</v>
      </c>
    </row>
    <row r="113" spans="1:9" s="4" customFormat="1">
      <c r="A113" s="4">
        <v>6051</v>
      </c>
      <c r="B113" s="4">
        <v>1</v>
      </c>
      <c r="C113" s="4">
        <v>0</v>
      </c>
      <c r="D113" s="4">
        <v>90166</v>
      </c>
      <c r="E113" s="4">
        <v>1</v>
      </c>
      <c r="F113" s="4">
        <v>1</v>
      </c>
      <c r="G113" s="4">
        <v>1</v>
      </c>
      <c r="I113" s="4" t="s">
        <v>93</v>
      </c>
    </row>
    <row r="114" spans="1:9" s="4" customFormat="1">
      <c r="A114" s="4">
        <v>6052</v>
      </c>
      <c r="B114" s="4">
        <v>1</v>
      </c>
      <c r="C114" s="4">
        <v>0</v>
      </c>
      <c r="D114" s="4">
        <v>90168</v>
      </c>
      <c r="E114" s="4">
        <v>1</v>
      </c>
      <c r="F114" s="4">
        <v>1</v>
      </c>
      <c r="G114" s="4">
        <v>1</v>
      </c>
      <c r="I114" s="4" t="s">
        <v>94</v>
      </c>
    </row>
    <row r="115" spans="1:9" s="4" customFormat="1">
      <c r="A115" s="4">
        <v>6053</v>
      </c>
      <c r="B115" s="4">
        <v>1</v>
      </c>
      <c r="C115" s="4">
        <v>0</v>
      </c>
      <c r="D115" s="4">
        <v>90175</v>
      </c>
      <c r="E115" s="4">
        <v>1</v>
      </c>
      <c r="F115" s="4">
        <v>1</v>
      </c>
      <c r="G115" s="4">
        <v>1</v>
      </c>
    </row>
    <row r="116" spans="1:9" s="4" customFormat="1">
      <c r="A116" s="4">
        <v>8002</v>
      </c>
      <c r="B116" s="4">
        <v>1</v>
      </c>
      <c r="C116" s="4">
        <v>0</v>
      </c>
      <c r="D116" s="4">
        <v>90169</v>
      </c>
      <c r="E116" s="4">
        <v>1</v>
      </c>
      <c r="F116" s="4">
        <v>1</v>
      </c>
      <c r="G116" s="4">
        <v>1</v>
      </c>
      <c r="H116" s="4" t="s">
        <v>116</v>
      </c>
      <c r="I116" s="4" t="s">
        <v>95</v>
      </c>
    </row>
    <row r="117" spans="1:9" s="4" customFormat="1">
      <c r="A117" s="4">
        <v>8003</v>
      </c>
      <c r="B117" s="4">
        <v>1</v>
      </c>
      <c r="C117" s="4">
        <v>0</v>
      </c>
      <c r="D117" s="4">
        <v>90170</v>
      </c>
      <c r="E117" s="4">
        <v>1</v>
      </c>
      <c r="F117" s="4">
        <v>1</v>
      </c>
      <c r="G117" s="4">
        <v>1</v>
      </c>
      <c r="I117" s="4" t="s">
        <v>96</v>
      </c>
    </row>
    <row r="118" spans="1:9" s="4" customFormat="1">
      <c r="A118" s="4">
        <v>8004</v>
      </c>
      <c r="B118" s="4">
        <v>1</v>
      </c>
      <c r="C118" s="4">
        <v>0</v>
      </c>
      <c r="D118" s="4">
        <v>90172</v>
      </c>
      <c r="E118" s="4">
        <v>1</v>
      </c>
      <c r="F118" s="4">
        <v>1</v>
      </c>
      <c r="G118" s="4">
        <v>1</v>
      </c>
      <c r="I118" s="4" t="s">
        <v>97</v>
      </c>
    </row>
    <row r="119" spans="1:9" s="4" customFormat="1">
      <c r="A119" s="4">
        <v>8005</v>
      </c>
      <c r="B119" s="4">
        <v>1</v>
      </c>
      <c r="C119" s="4">
        <v>0</v>
      </c>
      <c r="D119" s="4">
        <v>90173</v>
      </c>
      <c r="E119" s="4">
        <v>1</v>
      </c>
      <c r="F119" s="4">
        <v>1</v>
      </c>
      <c r="G119" s="4">
        <v>1</v>
      </c>
      <c r="I119" s="4" t="s">
        <v>98</v>
      </c>
    </row>
    <row r="120" spans="1:9" s="4" customFormat="1">
      <c r="A120" s="4">
        <v>9010</v>
      </c>
      <c r="B120" s="4">
        <v>1</v>
      </c>
      <c r="C120" s="4">
        <v>0</v>
      </c>
      <c r="D120" s="4">
        <v>301</v>
      </c>
      <c r="E120" s="4">
        <v>10</v>
      </c>
      <c r="F120" s="4">
        <v>5</v>
      </c>
      <c r="G120" s="4">
        <v>10</v>
      </c>
      <c r="H120" s="4" t="s">
        <v>117</v>
      </c>
    </row>
    <row r="121" spans="1:9" s="4" customFormat="1">
      <c r="A121" s="4">
        <v>9010</v>
      </c>
      <c r="B121" s="4">
        <v>1</v>
      </c>
      <c r="C121" s="4">
        <v>0</v>
      </c>
      <c r="D121" s="4">
        <v>302</v>
      </c>
      <c r="E121" s="4">
        <v>10</v>
      </c>
      <c r="F121" s="4">
        <v>4</v>
      </c>
      <c r="G121" s="4">
        <v>8</v>
      </c>
    </row>
    <row r="122" spans="1:9" s="4" customFormat="1">
      <c r="A122" s="4">
        <v>9010</v>
      </c>
      <c r="B122" s="4">
        <v>1</v>
      </c>
      <c r="C122" s="4">
        <v>0</v>
      </c>
      <c r="D122" s="4">
        <v>303</v>
      </c>
      <c r="E122" s="4">
        <v>10</v>
      </c>
      <c r="F122" s="4">
        <v>3</v>
      </c>
      <c r="G122" s="4">
        <v>6</v>
      </c>
    </row>
    <row r="123" spans="1:9" s="4" customFormat="1">
      <c r="A123" s="4">
        <v>200010</v>
      </c>
      <c r="B123" s="4">
        <v>1</v>
      </c>
      <c r="C123" s="4">
        <v>1</v>
      </c>
      <c r="D123" s="4">
        <v>1</v>
      </c>
      <c r="E123" s="4">
        <v>1</v>
      </c>
      <c r="F123" s="4">
        <v>8</v>
      </c>
      <c r="G123" s="4">
        <v>12</v>
      </c>
      <c r="H123" s="5">
        <v>10</v>
      </c>
    </row>
    <row r="124" spans="1:9" s="4" customFormat="1">
      <c r="A124" s="4">
        <v>200050</v>
      </c>
      <c r="B124" s="4">
        <v>1</v>
      </c>
      <c r="C124" s="4">
        <v>1</v>
      </c>
      <c r="D124" s="4">
        <v>1</v>
      </c>
      <c r="E124" s="4">
        <v>1</v>
      </c>
      <c r="F124" s="4">
        <v>40</v>
      </c>
      <c r="G124" s="4">
        <v>60</v>
      </c>
      <c r="H124" s="5">
        <v>50</v>
      </c>
    </row>
    <row r="125" spans="1:9" s="4" customFormat="1">
      <c r="A125" s="4">
        <v>200070</v>
      </c>
      <c r="B125" s="4">
        <v>1</v>
      </c>
      <c r="C125" s="4">
        <v>1</v>
      </c>
      <c r="D125" s="4">
        <v>1</v>
      </c>
      <c r="E125" s="4">
        <v>1</v>
      </c>
      <c r="F125" s="4">
        <v>56</v>
      </c>
      <c r="G125" s="4">
        <v>84</v>
      </c>
      <c r="H125" s="5">
        <v>70</v>
      </c>
    </row>
    <row r="126" spans="1:9" s="4" customFormat="1">
      <c r="A126" s="4">
        <v>200100</v>
      </c>
      <c r="B126" s="4">
        <v>1</v>
      </c>
      <c r="C126" s="4">
        <v>1</v>
      </c>
      <c r="D126" s="4">
        <v>1</v>
      </c>
      <c r="E126" s="4">
        <v>1</v>
      </c>
      <c r="F126" s="4">
        <v>80</v>
      </c>
      <c r="G126" s="4">
        <v>120</v>
      </c>
      <c r="H126" s="5">
        <v>100</v>
      </c>
    </row>
    <row r="127" spans="1:9" s="4" customFormat="1">
      <c r="A127" s="4">
        <v>200120</v>
      </c>
      <c r="B127" s="4">
        <v>1</v>
      </c>
      <c r="C127" s="4">
        <v>1</v>
      </c>
      <c r="D127" s="4">
        <v>1</v>
      </c>
      <c r="E127" s="4">
        <v>1</v>
      </c>
      <c r="F127" s="4">
        <v>96</v>
      </c>
      <c r="G127" s="4">
        <v>144</v>
      </c>
      <c r="H127" s="5">
        <v>120</v>
      </c>
    </row>
    <row r="128" spans="1:9" s="4" customFormat="1">
      <c r="A128" s="4">
        <v>200190</v>
      </c>
      <c r="B128" s="4">
        <v>1</v>
      </c>
      <c r="C128" s="4">
        <v>1</v>
      </c>
      <c r="D128" s="4">
        <v>1</v>
      </c>
      <c r="E128" s="4">
        <v>1</v>
      </c>
      <c r="F128" s="4">
        <v>152</v>
      </c>
      <c r="G128" s="4">
        <v>228</v>
      </c>
      <c r="H128" s="5">
        <v>190</v>
      </c>
    </row>
    <row r="129" spans="1:8" s="4" customFormat="1">
      <c r="A129" s="4">
        <v>200200</v>
      </c>
      <c r="B129" s="4">
        <v>1</v>
      </c>
      <c r="C129" s="4">
        <v>1</v>
      </c>
      <c r="D129" s="4">
        <v>1</v>
      </c>
      <c r="E129" s="4">
        <v>1</v>
      </c>
      <c r="F129" s="4">
        <v>160</v>
      </c>
      <c r="G129" s="4">
        <v>240</v>
      </c>
      <c r="H129" s="5">
        <v>200</v>
      </c>
    </row>
    <row r="130" spans="1:8" s="4" customFormat="1">
      <c r="A130" s="4">
        <v>200220</v>
      </c>
      <c r="B130" s="4">
        <v>1</v>
      </c>
      <c r="C130" s="4">
        <v>1</v>
      </c>
      <c r="D130" s="4">
        <v>1</v>
      </c>
      <c r="E130" s="4">
        <v>1</v>
      </c>
      <c r="F130" s="4">
        <v>176</v>
      </c>
      <c r="G130" s="4">
        <v>264</v>
      </c>
      <c r="H130" s="5">
        <v>220</v>
      </c>
    </row>
    <row r="131" spans="1:8" s="4" customFormat="1">
      <c r="A131" s="4">
        <v>200250</v>
      </c>
      <c r="B131" s="4">
        <v>1</v>
      </c>
      <c r="C131" s="4">
        <v>1</v>
      </c>
      <c r="D131" s="4">
        <v>1</v>
      </c>
      <c r="E131" s="4">
        <v>1</v>
      </c>
      <c r="F131" s="4">
        <v>200</v>
      </c>
      <c r="G131" s="4">
        <v>300</v>
      </c>
      <c r="H131" s="5">
        <v>250</v>
      </c>
    </row>
    <row r="132" spans="1:8" s="4" customFormat="1">
      <c r="A132" s="4">
        <v>200280</v>
      </c>
      <c r="B132" s="4">
        <v>1</v>
      </c>
      <c r="C132" s="4">
        <v>1</v>
      </c>
      <c r="D132" s="4">
        <v>1</v>
      </c>
      <c r="E132" s="4">
        <v>1</v>
      </c>
      <c r="F132" s="4">
        <v>224</v>
      </c>
      <c r="G132" s="4">
        <v>336</v>
      </c>
      <c r="H132" s="5">
        <v>280</v>
      </c>
    </row>
    <row r="133" spans="1:8" s="4" customFormat="1">
      <c r="A133" s="4">
        <v>200300</v>
      </c>
      <c r="B133" s="4">
        <v>1</v>
      </c>
      <c r="C133" s="4">
        <v>1</v>
      </c>
      <c r="D133" s="4">
        <v>1</v>
      </c>
      <c r="E133" s="4">
        <v>1</v>
      </c>
      <c r="F133" s="4">
        <v>240</v>
      </c>
      <c r="G133" s="4">
        <v>360</v>
      </c>
      <c r="H133" s="5">
        <v>300</v>
      </c>
    </row>
    <row r="134" spans="1:8" s="4" customFormat="1">
      <c r="A134" s="4">
        <v>200375</v>
      </c>
      <c r="B134" s="4">
        <v>1</v>
      </c>
      <c r="C134" s="4">
        <v>1</v>
      </c>
      <c r="D134" s="4">
        <v>1</v>
      </c>
      <c r="E134" s="4">
        <v>1</v>
      </c>
      <c r="F134" s="4">
        <v>300</v>
      </c>
      <c r="G134" s="4">
        <v>450</v>
      </c>
      <c r="H134" s="5">
        <v>375</v>
      </c>
    </row>
    <row r="135" spans="1:8" s="4" customFormat="1">
      <c r="A135" s="4">
        <v>200450</v>
      </c>
      <c r="B135" s="4">
        <v>1</v>
      </c>
      <c r="C135" s="4">
        <v>1</v>
      </c>
      <c r="D135" s="4">
        <v>1</v>
      </c>
      <c r="E135" s="4">
        <v>1</v>
      </c>
      <c r="F135" s="4">
        <v>360</v>
      </c>
      <c r="G135" s="4">
        <v>540</v>
      </c>
      <c r="H135" s="5">
        <v>450</v>
      </c>
    </row>
    <row r="136" spans="1:8" s="4" customFormat="1">
      <c r="A136" s="4">
        <v>201160</v>
      </c>
      <c r="B136" s="4">
        <v>1</v>
      </c>
      <c r="C136" s="4">
        <v>1</v>
      </c>
      <c r="D136" s="4">
        <v>1</v>
      </c>
      <c r="E136" s="4">
        <v>1</v>
      </c>
      <c r="F136" s="4">
        <v>928</v>
      </c>
      <c r="G136" s="4">
        <v>1392</v>
      </c>
      <c r="H136" s="5">
        <v>1160</v>
      </c>
    </row>
    <row r="137" spans="1:8" s="4" customFormat="1">
      <c r="A137" s="4">
        <v>202500</v>
      </c>
      <c r="B137" s="4">
        <v>1</v>
      </c>
      <c r="C137" s="4">
        <v>1</v>
      </c>
      <c r="D137" s="4">
        <v>1</v>
      </c>
      <c r="E137" s="4">
        <v>1</v>
      </c>
      <c r="F137" s="4">
        <v>2000</v>
      </c>
      <c r="G137" s="4">
        <v>3000</v>
      </c>
      <c r="H137" s="5">
        <v>2500</v>
      </c>
    </row>
    <row r="138" spans="1:8" s="4" customFormat="1">
      <c r="A138" s="4">
        <v>204000</v>
      </c>
      <c r="B138" s="4">
        <v>1</v>
      </c>
      <c r="C138" s="4">
        <v>1</v>
      </c>
      <c r="D138" s="4">
        <v>1</v>
      </c>
      <c r="E138" s="4">
        <v>1</v>
      </c>
      <c r="F138" s="4">
        <v>3200</v>
      </c>
      <c r="G138" s="4">
        <v>4800</v>
      </c>
      <c r="H138" s="5">
        <v>4000</v>
      </c>
    </row>
    <row r="139" spans="1:8" s="4" customFormat="1">
      <c r="A139" s="4">
        <v>205000</v>
      </c>
      <c r="B139" s="4">
        <v>1</v>
      </c>
      <c r="C139" s="4">
        <v>1</v>
      </c>
      <c r="D139" s="4">
        <v>1</v>
      </c>
      <c r="E139" s="4">
        <v>1</v>
      </c>
      <c r="F139" s="4">
        <v>4000</v>
      </c>
      <c r="G139" s="4">
        <v>6000</v>
      </c>
      <c r="H139" s="5">
        <v>5000</v>
      </c>
    </row>
    <row r="140" spans="1:8" s="4" customFormat="1">
      <c r="A140" s="4">
        <v>206000</v>
      </c>
      <c r="B140" s="4">
        <v>1</v>
      </c>
      <c r="C140" s="4">
        <v>1</v>
      </c>
      <c r="D140" s="4">
        <v>1</v>
      </c>
      <c r="E140" s="4">
        <v>1</v>
      </c>
      <c r="F140" s="4">
        <v>4800</v>
      </c>
      <c r="G140" s="4">
        <v>7200</v>
      </c>
      <c r="H140" s="5">
        <v>6000</v>
      </c>
    </row>
    <row r="141" spans="1:8" s="4" customFormat="1">
      <c r="A141" s="4">
        <v>214000</v>
      </c>
      <c r="B141" s="4">
        <v>1</v>
      </c>
      <c r="C141" s="4">
        <v>1</v>
      </c>
      <c r="D141" s="4">
        <v>1</v>
      </c>
      <c r="E141" s="4">
        <v>1</v>
      </c>
      <c r="F141" s="4">
        <v>11200</v>
      </c>
      <c r="G141" s="4">
        <v>16800</v>
      </c>
      <c r="H141" s="5">
        <v>14000</v>
      </c>
    </row>
    <row r="142" spans="1:8" s="4" customFormat="1">
      <c r="A142" s="4">
        <v>215000</v>
      </c>
      <c r="B142" s="4">
        <v>1</v>
      </c>
      <c r="C142" s="4">
        <v>1</v>
      </c>
      <c r="D142" s="4">
        <v>1</v>
      </c>
      <c r="E142" s="4">
        <v>1</v>
      </c>
      <c r="F142" s="4">
        <v>12000</v>
      </c>
      <c r="G142" s="4">
        <v>18000</v>
      </c>
      <c r="H142" s="5">
        <v>15000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M198"/>
  <sheetViews>
    <sheetView workbookViewId="0">
      <selection activeCell="F129" sqref="F129"/>
    </sheetView>
  </sheetViews>
  <sheetFormatPr defaultRowHeight="13.5"/>
  <sheetData>
    <row r="4" spans="3:13" s="4" customFormat="1"/>
    <row r="5" spans="3:13" s="4" customFormat="1"/>
    <row r="6" spans="3:13">
      <c r="C6">
        <v>115003</v>
      </c>
      <c r="D6">
        <v>0</v>
      </c>
      <c r="H6" s="4">
        <v>115003</v>
      </c>
      <c r="M6">
        <f>SUM(H6:K6)</f>
        <v>115003</v>
      </c>
    </row>
    <row r="7" spans="3:13" s="4" customFormat="1">
      <c r="I7" s="4">
        <v>115003</v>
      </c>
      <c r="M7" s="4">
        <f t="shared" ref="M7:M70" si="0">SUM(H7:K7)</f>
        <v>115003</v>
      </c>
    </row>
    <row r="8" spans="3:13" s="4" customFormat="1">
      <c r="E8" s="4">
        <v>0</v>
      </c>
      <c r="J8" s="4">
        <v>115003</v>
      </c>
      <c r="M8" s="4">
        <f t="shared" si="0"/>
        <v>115003</v>
      </c>
    </row>
    <row r="9" spans="3:13" s="4" customFormat="1">
      <c r="K9" s="4">
        <v>115003</v>
      </c>
      <c r="M9" s="4">
        <f t="shared" si="0"/>
        <v>115003</v>
      </c>
    </row>
    <row r="10" spans="3:13">
      <c r="C10">
        <v>115004</v>
      </c>
      <c r="D10">
        <v>0</v>
      </c>
      <c r="H10" s="4">
        <v>115004</v>
      </c>
      <c r="I10" s="4"/>
      <c r="J10" s="4"/>
      <c r="K10" s="4"/>
      <c r="M10" s="4">
        <f t="shared" si="0"/>
        <v>115004</v>
      </c>
    </row>
    <row r="11" spans="3:13" s="4" customFormat="1">
      <c r="I11" s="4">
        <v>115004</v>
      </c>
      <c r="M11" s="4">
        <f t="shared" si="0"/>
        <v>115004</v>
      </c>
    </row>
    <row r="12" spans="3:13" s="4" customFormat="1">
      <c r="E12" s="4">
        <v>0</v>
      </c>
      <c r="J12" s="4">
        <v>115004</v>
      </c>
      <c r="M12" s="4">
        <f t="shared" si="0"/>
        <v>115004</v>
      </c>
    </row>
    <row r="13" spans="3:13" s="4" customFormat="1">
      <c r="K13" s="4">
        <v>115004</v>
      </c>
      <c r="M13" s="4">
        <f t="shared" si="0"/>
        <v>115004</v>
      </c>
    </row>
    <row r="14" spans="3:13">
      <c r="C14">
        <v>115005</v>
      </c>
      <c r="D14" s="4">
        <v>0</v>
      </c>
      <c r="E14" s="4"/>
      <c r="H14" s="4">
        <v>115005</v>
      </c>
      <c r="I14" s="4"/>
      <c r="J14" s="4"/>
      <c r="K14" s="4"/>
      <c r="M14" s="4">
        <f t="shared" si="0"/>
        <v>115005</v>
      </c>
    </row>
    <row r="15" spans="3:13" s="4" customFormat="1">
      <c r="I15" s="4">
        <v>115005</v>
      </c>
      <c r="M15" s="4">
        <f t="shared" si="0"/>
        <v>115005</v>
      </c>
    </row>
    <row r="16" spans="3:13" s="4" customFormat="1">
      <c r="E16" s="4">
        <v>0</v>
      </c>
      <c r="J16" s="4">
        <v>115005</v>
      </c>
      <c r="M16" s="4">
        <f t="shared" si="0"/>
        <v>115005</v>
      </c>
    </row>
    <row r="17" spans="3:13" s="4" customFormat="1">
      <c r="K17" s="4">
        <v>115005</v>
      </c>
      <c r="M17" s="4">
        <f t="shared" si="0"/>
        <v>115005</v>
      </c>
    </row>
    <row r="18" spans="3:13">
      <c r="C18">
        <v>115006</v>
      </c>
      <c r="D18" s="4">
        <v>0</v>
      </c>
      <c r="E18" s="4"/>
      <c r="H18" s="4">
        <v>115006</v>
      </c>
      <c r="I18" s="4"/>
      <c r="J18" s="4"/>
      <c r="K18" s="4"/>
      <c r="M18" s="4">
        <f t="shared" si="0"/>
        <v>115006</v>
      </c>
    </row>
    <row r="19" spans="3:13" s="4" customFormat="1">
      <c r="I19" s="4">
        <v>115006</v>
      </c>
      <c r="M19" s="4">
        <f t="shared" si="0"/>
        <v>115006</v>
      </c>
    </row>
    <row r="20" spans="3:13" s="4" customFormat="1">
      <c r="E20" s="4">
        <v>0</v>
      </c>
      <c r="J20" s="4">
        <v>115006</v>
      </c>
      <c r="M20" s="4">
        <f t="shared" si="0"/>
        <v>115006</v>
      </c>
    </row>
    <row r="21" spans="3:13" s="4" customFormat="1">
      <c r="K21" s="4">
        <v>115006</v>
      </c>
      <c r="M21" s="4">
        <f t="shared" si="0"/>
        <v>115006</v>
      </c>
    </row>
    <row r="22" spans="3:13">
      <c r="C22">
        <v>115007</v>
      </c>
      <c r="D22" s="4">
        <v>0</v>
      </c>
      <c r="E22" s="4"/>
      <c r="H22" s="4">
        <v>115007</v>
      </c>
      <c r="I22" s="4"/>
      <c r="J22" s="4"/>
      <c r="K22" s="4"/>
      <c r="M22" s="4">
        <f t="shared" si="0"/>
        <v>115007</v>
      </c>
    </row>
    <row r="23" spans="3:13" s="4" customFormat="1">
      <c r="I23" s="4">
        <v>115007</v>
      </c>
      <c r="M23" s="4">
        <f t="shared" si="0"/>
        <v>115007</v>
      </c>
    </row>
    <row r="24" spans="3:13" s="4" customFormat="1">
      <c r="E24" s="4">
        <v>0</v>
      </c>
      <c r="J24" s="4">
        <v>115007</v>
      </c>
      <c r="M24" s="4">
        <f t="shared" si="0"/>
        <v>115007</v>
      </c>
    </row>
    <row r="25" spans="3:13" s="4" customFormat="1">
      <c r="K25" s="4">
        <v>115007</v>
      </c>
      <c r="M25" s="4">
        <f t="shared" si="0"/>
        <v>115007</v>
      </c>
    </row>
    <row r="26" spans="3:13">
      <c r="C26">
        <v>115008</v>
      </c>
      <c r="D26" s="4">
        <v>0</v>
      </c>
      <c r="E26" s="4"/>
      <c r="H26" s="4">
        <v>115008</v>
      </c>
      <c r="I26" s="4"/>
      <c r="J26" s="4"/>
      <c r="K26" s="4"/>
      <c r="M26" s="4">
        <f t="shared" si="0"/>
        <v>115008</v>
      </c>
    </row>
    <row r="27" spans="3:13" s="4" customFormat="1">
      <c r="I27" s="4">
        <v>115008</v>
      </c>
      <c r="M27" s="4">
        <f t="shared" si="0"/>
        <v>115008</v>
      </c>
    </row>
    <row r="28" spans="3:13" s="4" customFormat="1">
      <c r="E28" s="4">
        <v>0</v>
      </c>
      <c r="J28" s="4">
        <v>115008</v>
      </c>
      <c r="M28" s="4">
        <f t="shared" si="0"/>
        <v>115008</v>
      </c>
    </row>
    <row r="29" spans="3:13" s="4" customFormat="1">
      <c r="K29" s="4">
        <v>115008</v>
      </c>
      <c r="M29" s="4">
        <f t="shared" si="0"/>
        <v>115008</v>
      </c>
    </row>
    <row r="30" spans="3:13">
      <c r="C30">
        <v>115009</v>
      </c>
      <c r="D30" s="4">
        <v>0</v>
      </c>
      <c r="E30" s="4"/>
      <c r="H30" s="4">
        <v>115009</v>
      </c>
      <c r="I30" s="4"/>
      <c r="J30" s="4"/>
      <c r="K30" s="4"/>
      <c r="M30" s="4">
        <f t="shared" si="0"/>
        <v>115009</v>
      </c>
    </row>
    <row r="31" spans="3:13" s="4" customFormat="1">
      <c r="I31" s="4">
        <v>115009</v>
      </c>
      <c r="M31" s="4">
        <f t="shared" si="0"/>
        <v>115009</v>
      </c>
    </row>
    <row r="32" spans="3:13" s="4" customFormat="1">
      <c r="E32" s="4">
        <v>0</v>
      </c>
      <c r="J32" s="4">
        <v>115009</v>
      </c>
      <c r="M32" s="4">
        <f t="shared" si="0"/>
        <v>115009</v>
      </c>
    </row>
    <row r="33" spans="3:13" s="4" customFormat="1">
      <c r="K33" s="4">
        <v>115009</v>
      </c>
      <c r="M33" s="4">
        <f t="shared" si="0"/>
        <v>115009</v>
      </c>
    </row>
    <row r="34" spans="3:13">
      <c r="C34">
        <v>115010</v>
      </c>
      <c r="D34" s="4">
        <v>0</v>
      </c>
      <c r="E34" s="4"/>
      <c r="H34" s="4">
        <v>115010</v>
      </c>
      <c r="I34" s="4"/>
      <c r="J34" s="4"/>
      <c r="K34" s="4"/>
      <c r="M34" s="4">
        <f t="shared" si="0"/>
        <v>115010</v>
      </c>
    </row>
    <row r="35" spans="3:13" s="4" customFormat="1">
      <c r="I35" s="4">
        <v>115010</v>
      </c>
      <c r="M35" s="4">
        <f t="shared" si="0"/>
        <v>115010</v>
      </c>
    </row>
    <row r="36" spans="3:13" s="4" customFormat="1">
      <c r="E36" s="4">
        <v>0</v>
      </c>
      <c r="J36" s="4">
        <v>115010</v>
      </c>
      <c r="M36" s="4">
        <f t="shared" si="0"/>
        <v>115010</v>
      </c>
    </row>
    <row r="37" spans="3:13" s="4" customFormat="1">
      <c r="K37" s="4">
        <v>115010</v>
      </c>
      <c r="M37" s="4">
        <f t="shared" si="0"/>
        <v>115010</v>
      </c>
    </row>
    <row r="38" spans="3:13">
      <c r="C38">
        <v>115011</v>
      </c>
      <c r="D38" s="4">
        <v>0</v>
      </c>
      <c r="E38" s="4"/>
      <c r="H38" s="4">
        <v>115011</v>
      </c>
      <c r="I38" s="4"/>
      <c r="J38" s="4"/>
      <c r="K38" s="4"/>
      <c r="M38" s="4">
        <f t="shared" si="0"/>
        <v>115011</v>
      </c>
    </row>
    <row r="39" spans="3:13" s="4" customFormat="1">
      <c r="I39" s="4">
        <v>115011</v>
      </c>
      <c r="M39" s="4">
        <f t="shared" si="0"/>
        <v>115011</v>
      </c>
    </row>
    <row r="40" spans="3:13" s="4" customFormat="1">
      <c r="E40" s="4">
        <v>0</v>
      </c>
      <c r="J40" s="4">
        <v>115011</v>
      </c>
      <c r="M40" s="4">
        <f t="shared" si="0"/>
        <v>115011</v>
      </c>
    </row>
    <row r="41" spans="3:13" s="4" customFormat="1">
      <c r="K41" s="4">
        <v>115011</v>
      </c>
      <c r="M41" s="4">
        <f t="shared" si="0"/>
        <v>115011</v>
      </c>
    </row>
    <row r="42" spans="3:13">
      <c r="C42">
        <v>115012</v>
      </c>
      <c r="D42" s="4">
        <v>0</v>
      </c>
      <c r="E42" s="4"/>
      <c r="H42" s="4">
        <v>115012</v>
      </c>
      <c r="I42" s="4"/>
      <c r="J42" s="4"/>
      <c r="K42" s="4"/>
      <c r="M42" s="4">
        <f t="shared" si="0"/>
        <v>115012</v>
      </c>
    </row>
    <row r="43" spans="3:13" s="4" customFormat="1">
      <c r="I43" s="4">
        <v>115012</v>
      </c>
      <c r="M43" s="4">
        <f t="shared" si="0"/>
        <v>115012</v>
      </c>
    </row>
    <row r="44" spans="3:13" s="4" customFormat="1">
      <c r="E44" s="4">
        <v>0</v>
      </c>
      <c r="J44" s="4">
        <v>115012</v>
      </c>
      <c r="M44" s="4">
        <f t="shared" si="0"/>
        <v>115012</v>
      </c>
    </row>
    <row r="45" spans="3:13" s="4" customFormat="1">
      <c r="K45" s="4">
        <v>115012</v>
      </c>
      <c r="M45" s="4">
        <f t="shared" si="0"/>
        <v>115012</v>
      </c>
    </row>
    <row r="46" spans="3:13">
      <c r="C46">
        <v>115013</v>
      </c>
      <c r="D46" s="4">
        <v>0</v>
      </c>
      <c r="E46" s="4"/>
      <c r="H46" s="4">
        <v>115013</v>
      </c>
      <c r="I46" s="4"/>
      <c r="J46" s="4"/>
      <c r="K46" s="4"/>
      <c r="M46" s="4">
        <f t="shared" si="0"/>
        <v>115013</v>
      </c>
    </row>
    <row r="47" spans="3:13" s="4" customFormat="1">
      <c r="I47" s="4">
        <v>115013</v>
      </c>
      <c r="M47" s="4">
        <f t="shared" si="0"/>
        <v>115013</v>
      </c>
    </row>
    <row r="48" spans="3:13" s="4" customFormat="1">
      <c r="E48" s="4">
        <v>0</v>
      </c>
      <c r="J48" s="4">
        <v>115013</v>
      </c>
      <c r="M48" s="4">
        <f t="shared" si="0"/>
        <v>115013</v>
      </c>
    </row>
    <row r="49" spans="3:13" s="4" customFormat="1">
      <c r="K49" s="4">
        <v>115013</v>
      </c>
      <c r="M49" s="4">
        <f t="shared" si="0"/>
        <v>115013</v>
      </c>
    </row>
    <row r="50" spans="3:13">
      <c r="C50">
        <v>115014</v>
      </c>
      <c r="D50" s="4">
        <v>0</v>
      </c>
      <c r="E50" s="4"/>
      <c r="H50" s="4">
        <v>115014</v>
      </c>
      <c r="I50" s="4"/>
      <c r="J50" s="4"/>
      <c r="K50" s="4"/>
      <c r="M50" s="4">
        <f t="shared" si="0"/>
        <v>115014</v>
      </c>
    </row>
    <row r="51" spans="3:13" s="4" customFormat="1">
      <c r="I51" s="4">
        <v>115014</v>
      </c>
      <c r="M51" s="4">
        <f t="shared" si="0"/>
        <v>115014</v>
      </c>
    </row>
    <row r="52" spans="3:13" s="4" customFormat="1">
      <c r="E52" s="4">
        <v>0</v>
      </c>
      <c r="J52" s="4">
        <v>115014</v>
      </c>
      <c r="M52" s="4">
        <f t="shared" si="0"/>
        <v>115014</v>
      </c>
    </row>
    <row r="53" spans="3:13" s="4" customFormat="1">
      <c r="K53" s="4">
        <v>115014</v>
      </c>
      <c r="M53" s="4">
        <f t="shared" si="0"/>
        <v>115014</v>
      </c>
    </row>
    <row r="54" spans="3:13">
      <c r="C54">
        <v>115015</v>
      </c>
      <c r="D54" s="4">
        <v>0</v>
      </c>
      <c r="E54" s="4"/>
      <c r="H54" s="4">
        <v>115015</v>
      </c>
      <c r="I54" s="4"/>
      <c r="J54" s="4"/>
      <c r="K54" s="4"/>
      <c r="M54" s="4">
        <f t="shared" si="0"/>
        <v>115015</v>
      </c>
    </row>
    <row r="55" spans="3:13" s="4" customFormat="1">
      <c r="I55" s="4">
        <v>115015</v>
      </c>
      <c r="M55" s="4">
        <f t="shared" si="0"/>
        <v>115015</v>
      </c>
    </row>
    <row r="56" spans="3:13" s="4" customFormat="1">
      <c r="E56" s="4">
        <v>0</v>
      </c>
      <c r="J56" s="4">
        <v>115015</v>
      </c>
      <c r="M56" s="4">
        <f t="shared" si="0"/>
        <v>115015</v>
      </c>
    </row>
    <row r="57" spans="3:13" s="4" customFormat="1">
      <c r="K57" s="4">
        <v>115015</v>
      </c>
      <c r="M57" s="4">
        <f t="shared" si="0"/>
        <v>115015</v>
      </c>
    </row>
    <row r="58" spans="3:13">
      <c r="C58">
        <v>115016</v>
      </c>
      <c r="D58" s="4">
        <v>0</v>
      </c>
      <c r="E58" s="4"/>
      <c r="H58" s="4">
        <v>115016</v>
      </c>
      <c r="I58" s="4"/>
      <c r="J58" s="4"/>
      <c r="K58" s="4"/>
      <c r="M58" s="4">
        <f t="shared" si="0"/>
        <v>115016</v>
      </c>
    </row>
    <row r="59" spans="3:13" s="4" customFormat="1">
      <c r="I59" s="4">
        <v>115016</v>
      </c>
      <c r="M59" s="4">
        <f t="shared" si="0"/>
        <v>115016</v>
      </c>
    </row>
    <row r="60" spans="3:13" s="4" customFormat="1">
      <c r="E60" s="4">
        <v>0</v>
      </c>
      <c r="J60" s="4">
        <v>115016</v>
      </c>
      <c r="M60" s="4">
        <f t="shared" si="0"/>
        <v>115016</v>
      </c>
    </row>
    <row r="61" spans="3:13" s="4" customFormat="1">
      <c r="K61" s="4">
        <v>115016</v>
      </c>
      <c r="M61" s="4">
        <f t="shared" si="0"/>
        <v>115016</v>
      </c>
    </row>
    <row r="62" spans="3:13">
      <c r="C62">
        <v>115017</v>
      </c>
      <c r="D62" s="4">
        <v>0</v>
      </c>
      <c r="E62" s="4"/>
      <c r="H62" s="4">
        <v>115017</v>
      </c>
      <c r="I62" s="4"/>
      <c r="J62" s="4"/>
      <c r="K62" s="4"/>
      <c r="M62" s="4">
        <f t="shared" si="0"/>
        <v>115017</v>
      </c>
    </row>
    <row r="63" spans="3:13" s="4" customFormat="1">
      <c r="I63" s="4">
        <v>115017</v>
      </c>
      <c r="M63" s="4">
        <f t="shared" si="0"/>
        <v>115017</v>
      </c>
    </row>
    <row r="64" spans="3:13" s="4" customFormat="1">
      <c r="E64" s="4">
        <v>0</v>
      </c>
      <c r="J64" s="4">
        <v>115017</v>
      </c>
      <c r="M64" s="4">
        <f t="shared" si="0"/>
        <v>115017</v>
      </c>
    </row>
    <row r="65" spans="3:13" s="4" customFormat="1">
      <c r="K65" s="4">
        <v>115017</v>
      </c>
      <c r="M65" s="4">
        <f t="shared" si="0"/>
        <v>115017</v>
      </c>
    </row>
    <row r="66" spans="3:13">
      <c r="C66">
        <v>115018</v>
      </c>
      <c r="D66" s="4">
        <v>0</v>
      </c>
      <c r="E66" s="4"/>
      <c r="H66" s="4">
        <v>115018</v>
      </c>
      <c r="I66" s="4"/>
      <c r="J66" s="4"/>
      <c r="K66" s="4"/>
      <c r="M66" s="4">
        <f t="shared" si="0"/>
        <v>115018</v>
      </c>
    </row>
    <row r="67" spans="3:13" s="4" customFormat="1">
      <c r="I67" s="4">
        <v>115018</v>
      </c>
      <c r="M67" s="4">
        <f t="shared" si="0"/>
        <v>115018</v>
      </c>
    </row>
    <row r="68" spans="3:13" s="4" customFormat="1">
      <c r="E68" s="4">
        <v>0</v>
      </c>
      <c r="J68" s="4">
        <v>115018</v>
      </c>
      <c r="M68" s="4">
        <f t="shared" si="0"/>
        <v>115018</v>
      </c>
    </row>
    <row r="69" spans="3:13" s="4" customFormat="1">
      <c r="K69" s="4">
        <v>115018</v>
      </c>
      <c r="M69" s="4">
        <f t="shared" si="0"/>
        <v>115018</v>
      </c>
    </row>
    <row r="70" spans="3:13">
      <c r="C70">
        <v>115019</v>
      </c>
      <c r="D70" s="4">
        <v>0</v>
      </c>
      <c r="E70" s="4"/>
      <c r="H70" s="4">
        <v>115019</v>
      </c>
      <c r="I70" s="4"/>
      <c r="J70" s="4"/>
      <c r="K70" s="4"/>
      <c r="M70" s="4">
        <f t="shared" si="0"/>
        <v>115019</v>
      </c>
    </row>
    <row r="71" spans="3:13" s="4" customFormat="1">
      <c r="I71" s="4">
        <v>115019</v>
      </c>
      <c r="M71" s="4">
        <f t="shared" ref="M71:M134" si="1">SUM(H71:K71)</f>
        <v>115019</v>
      </c>
    </row>
    <row r="72" spans="3:13" s="4" customFormat="1">
      <c r="E72" s="4">
        <v>0</v>
      </c>
      <c r="J72" s="4">
        <v>115019</v>
      </c>
      <c r="M72" s="4">
        <f t="shared" si="1"/>
        <v>115019</v>
      </c>
    </row>
    <row r="73" spans="3:13" s="4" customFormat="1">
      <c r="K73" s="4">
        <v>115019</v>
      </c>
      <c r="M73" s="4">
        <f t="shared" si="1"/>
        <v>115019</v>
      </c>
    </row>
    <row r="74" spans="3:13">
      <c r="C74">
        <v>115020</v>
      </c>
      <c r="D74" s="4">
        <v>0</v>
      </c>
      <c r="E74" s="4"/>
      <c r="H74" s="4">
        <v>115020</v>
      </c>
      <c r="I74" s="4"/>
      <c r="J74" s="4"/>
      <c r="K74" s="4"/>
      <c r="M74" s="4">
        <f t="shared" si="1"/>
        <v>115020</v>
      </c>
    </row>
    <row r="75" spans="3:13" s="4" customFormat="1">
      <c r="I75" s="4">
        <v>115020</v>
      </c>
      <c r="M75" s="4">
        <f t="shared" si="1"/>
        <v>115020</v>
      </c>
    </row>
    <row r="76" spans="3:13" s="4" customFormat="1">
      <c r="E76" s="4">
        <v>0</v>
      </c>
      <c r="J76" s="4">
        <v>115020</v>
      </c>
      <c r="M76" s="4">
        <f t="shared" si="1"/>
        <v>115020</v>
      </c>
    </row>
    <row r="77" spans="3:13" s="4" customFormat="1">
      <c r="K77" s="4">
        <v>115020</v>
      </c>
      <c r="M77" s="4">
        <f t="shared" si="1"/>
        <v>115020</v>
      </c>
    </row>
    <row r="78" spans="3:13">
      <c r="C78">
        <v>115021</v>
      </c>
      <c r="D78" s="4">
        <v>0</v>
      </c>
      <c r="E78" s="4"/>
      <c r="H78" s="4">
        <v>115021</v>
      </c>
      <c r="I78" s="4"/>
      <c r="J78" s="4"/>
      <c r="K78" s="4"/>
      <c r="M78" s="4">
        <f t="shared" si="1"/>
        <v>115021</v>
      </c>
    </row>
    <row r="79" spans="3:13" s="4" customFormat="1">
      <c r="I79" s="4">
        <v>115021</v>
      </c>
      <c r="M79" s="4">
        <f t="shared" si="1"/>
        <v>115021</v>
      </c>
    </row>
    <row r="80" spans="3:13" s="4" customFormat="1">
      <c r="E80" s="4">
        <v>0</v>
      </c>
      <c r="J80" s="4">
        <v>115021</v>
      </c>
      <c r="M80" s="4">
        <f t="shared" si="1"/>
        <v>115021</v>
      </c>
    </row>
    <row r="81" spans="3:13" s="4" customFormat="1">
      <c r="K81" s="4">
        <v>115021</v>
      </c>
      <c r="M81" s="4">
        <f t="shared" si="1"/>
        <v>115021</v>
      </c>
    </row>
    <row r="82" spans="3:13">
      <c r="C82">
        <v>115022</v>
      </c>
      <c r="D82" s="4">
        <v>0</v>
      </c>
      <c r="E82" s="4"/>
      <c r="H82" s="4">
        <v>115022</v>
      </c>
      <c r="I82" s="4"/>
      <c r="J82" s="4"/>
      <c r="K82" s="4"/>
      <c r="M82" s="4">
        <f t="shared" si="1"/>
        <v>115022</v>
      </c>
    </row>
    <row r="83" spans="3:13" s="4" customFormat="1">
      <c r="I83" s="4">
        <v>115022</v>
      </c>
      <c r="M83" s="4">
        <f t="shared" si="1"/>
        <v>115022</v>
      </c>
    </row>
    <row r="84" spans="3:13" s="4" customFormat="1">
      <c r="E84" s="4">
        <v>0</v>
      </c>
      <c r="J84" s="4">
        <v>115022</v>
      </c>
      <c r="M84" s="4">
        <f t="shared" si="1"/>
        <v>115022</v>
      </c>
    </row>
    <row r="85" spans="3:13" s="4" customFormat="1">
      <c r="K85" s="4">
        <v>115022</v>
      </c>
      <c r="M85" s="4">
        <f t="shared" si="1"/>
        <v>115022</v>
      </c>
    </row>
    <row r="86" spans="3:13">
      <c r="C86">
        <v>115023</v>
      </c>
      <c r="D86" s="4">
        <v>0</v>
      </c>
      <c r="E86" s="4"/>
      <c r="H86" s="4">
        <v>115023</v>
      </c>
      <c r="I86" s="4"/>
      <c r="J86" s="4"/>
      <c r="K86" s="4"/>
      <c r="M86" s="4">
        <f t="shared" si="1"/>
        <v>115023</v>
      </c>
    </row>
    <row r="87" spans="3:13" s="4" customFormat="1">
      <c r="I87" s="4">
        <v>115023</v>
      </c>
      <c r="M87" s="4">
        <f t="shared" si="1"/>
        <v>115023</v>
      </c>
    </row>
    <row r="88" spans="3:13" s="4" customFormat="1">
      <c r="E88" s="4">
        <v>0</v>
      </c>
      <c r="J88" s="4">
        <v>115023</v>
      </c>
      <c r="M88" s="4">
        <f t="shared" si="1"/>
        <v>115023</v>
      </c>
    </row>
    <row r="89" spans="3:13" s="4" customFormat="1">
      <c r="K89" s="4">
        <v>115023</v>
      </c>
      <c r="M89" s="4">
        <f t="shared" si="1"/>
        <v>115023</v>
      </c>
    </row>
    <row r="90" spans="3:13">
      <c r="C90">
        <v>115024</v>
      </c>
      <c r="D90" s="4">
        <v>0</v>
      </c>
      <c r="E90" s="4"/>
      <c r="H90" s="4">
        <v>115024</v>
      </c>
      <c r="I90" s="4"/>
      <c r="J90" s="4"/>
      <c r="K90" s="4"/>
      <c r="M90" s="4">
        <f t="shared" si="1"/>
        <v>115024</v>
      </c>
    </row>
    <row r="91" spans="3:13" s="4" customFormat="1">
      <c r="I91" s="4">
        <v>115024</v>
      </c>
      <c r="M91" s="4">
        <f t="shared" si="1"/>
        <v>115024</v>
      </c>
    </row>
    <row r="92" spans="3:13" s="4" customFormat="1">
      <c r="E92" s="4">
        <v>0</v>
      </c>
      <c r="J92" s="4">
        <v>115024</v>
      </c>
      <c r="M92" s="4">
        <f t="shared" si="1"/>
        <v>115024</v>
      </c>
    </row>
    <row r="93" spans="3:13" s="4" customFormat="1">
      <c r="K93" s="4">
        <v>115024</v>
      </c>
      <c r="M93" s="4">
        <f t="shared" si="1"/>
        <v>115024</v>
      </c>
    </row>
    <row r="94" spans="3:13">
      <c r="C94">
        <v>115025</v>
      </c>
      <c r="D94" s="4">
        <v>0</v>
      </c>
      <c r="E94" s="4"/>
      <c r="H94" s="4">
        <v>115025</v>
      </c>
      <c r="I94" s="4"/>
      <c r="J94" s="4"/>
      <c r="K94" s="4"/>
      <c r="M94" s="4">
        <f t="shared" si="1"/>
        <v>115025</v>
      </c>
    </row>
    <row r="95" spans="3:13" s="4" customFormat="1">
      <c r="I95" s="4">
        <v>115025</v>
      </c>
      <c r="M95" s="4">
        <f t="shared" si="1"/>
        <v>115025</v>
      </c>
    </row>
    <row r="96" spans="3:13" s="4" customFormat="1">
      <c r="E96" s="4">
        <v>0</v>
      </c>
      <c r="J96" s="4">
        <v>115025</v>
      </c>
      <c r="M96" s="4">
        <f t="shared" si="1"/>
        <v>115025</v>
      </c>
    </row>
    <row r="97" spans="3:13" s="4" customFormat="1">
      <c r="K97" s="4">
        <v>115025</v>
      </c>
      <c r="M97" s="4">
        <f t="shared" si="1"/>
        <v>115025</v>
      </c>
    </row>
    <row r="98" spans="3:13">
      <c r="C98">
        <v>115026</v>
      </c>
      <c r="D98" s="4">
        <v>0</v>
      </c>
      <c r="E98" s="4"/>
      <c r="H98" s="4">
        <v>115026</v>
      </c>
      <c r="I98" s="4"/>
      <c r="J98" s="4"/>
      <c r="K98" s="4"/>
      <c r="M98" s="4">
        <f t="shared" si="1"/>
        <v>115026</v>
      </c>
    </row>
    <row r="99" spans="3:13" s="4" customFormat="1">
      <c r="I99" s="4">
        <v>115026</v>
      </c>
      <c r="M99" s="4">
        <f t="shared" si="1"/>
        <v>115026</v>
      </c>
    </row>
    <row r="100" spans="3:13" s="4" customFormat="1">
      <c r="E100" s="4">
        <v>0</v>
      </c>
      <c r="J100" s="4">
        <v>115026</v>
      </c>
      <c r="M100" s="4">
        <f t="shared" si="1"/>
        <v>115026</v>
      </c>
    </row>
    <row r="101" spans="3:13" s="4" customFormat="1">
      <c r="K101" s="4">
        <v>115026</v>
      </c>
      <c r="M101" s="4">
        <f t="shared" si="1"/>
        <v>115026</v>
      </c>
    </row>
    <row r="102" spans="3:13">
      <c r="C102">
        <v>116003</v>
      </c>
      <c r="D102" s="4">
        <v>0</v>
      </c>
      <c r="E102" s="4"/>
      <c r="H102" s="4">
        <v>116003</v>
      </c>
      <c r="I102" s="4"/>
      <c r="J102" s="4"/>
      <c r="K102" s="4"/>
      <c r="M102" s="4">
        <f t="shared" si="1"/>
        <v>116003</v>
      </c>
    </row>
    <row r="103" spans="3:13" s="4" customFormat="1">
      <c r="I103" s="4">
        <v>116003</v>
      </c>
      <c r="M103" s="4">
        <f t="shared" si="1"/>
        <v>116003</v>
      </c>
    </row>
    <row r="104" spans="3:13" s="4" customFormat="1">
      <c r="E104" s="4">
        <v>0</v>
      </c>
      <c r="J104" s="4">
        <v>116003</v>
      </c>
      <c r="M104" s="4">
        <f t="shared" si="1"/>
        <v>116003</v>
      </c>
    </row>
    <row r="105" spans="3:13" s="4" customFormat="1">
      <c r="K105" s="4">
        <v>116003</v>
      </c>
      <c r="M105" s="4">
        <f t="shared" si="1"/>
        <v>116003</v>
      </c>
    </row>
    <row r="106" spans="3:13">
      <c r="C106">
        <v>116004</v>
      </c>
      <c r="D106" s="4">
        <v>0</v>
      </c>
      <c r="E106" s="4"/>
      <c r="H106" s="4">
        <v>116004</v>
      </c>
      <c r="I106" s="4"/>
      <c r="J106" s="4"/>
      <c r="K106" s="4"/>
      <c r="M106" s="4">
        <f t="shared" si="1"/>
        <v>116004</v>
      </c>
    </row>
    <row r="107" spans="3:13" s="4" customFormat="1">
      <c r="I107" s="4">
        <v>116004</v>
      </c>
      <c r="M107" s="4">
        <f t="shared" si="1"/>
        <v>116004</v>
      </c>
    </row>
    <row r="108" spans="3:13" s="4" customFormat="1">
      <c r="E108" s="4">
        <v>0</v>
      </c>
      <c r="J108" s="4">
        <v>116004</v>
      </c>
      <c r="M108" s="4">
        <f t="shared" si="1"/>
        <v>116004</v>
      </c>
    </row>
    <row r="109" spans="3:13" s="4" customFormat="1">
      <c r="K109" s="4">
        <v>116004</v>
      </c>
      <c r="M109" s="4">
        <f t="shared" si="1"/>
        <v>116004</v>
      </c>
    </row>
    <row r="110" spans="3:13">
      <c r="C110">
        <v>116005</v>
      </c>
      <c r="D110" s="4">
        <v>0</v>
      </c>
      <c r="E110" s="4"/>
      <c r="H110" s="4">
        <v>116005</v>
      </c>
      <c r="I110" s="4"/>
      <c r="J110" s="4"/>
      <c r="K110" s="4"/>
      <c r="M110" s="4">
        <f t="shared" si="1"/>
        <v>116005</v>
      </c>
    </row>
    <row r="111" spans="3:13" s="4" customFormat="1">
      <c r="I111" s="4">
        <v>116005</v>
      </c>
      <c r="M111" s="4">
        <f t="shared" si="1"/>
        <v>116005</v>
      </c>
    </row>
    <row r="112" spans="3:13" s="4" customFormat="1">
      <c r="E112" s="4">
        <v>0</v>
      </c>
      <c r="J112" s="4">
        <v>116005</v>
      </c>
      <c r="M112" s="4">
        <f t="shared" si="1"/>
        <v>116005</v>
      </c>
    </row>
    <row r="113" spans="3:13" s="4" customFormat="1">
      <c r="K113" s="4">
        <v>116005</v>
      </c>
      <c r="M113" s="4">
        <f t="shared" si="1"/>
        <v>116005</v>
      </c>
    </row>
    <row r="114" spans="3:13">
      <c r="C114">
        <v>116006</v>
      </c>
      <c r="D114" s="4">
        <v>0</v>
      </c>
      <c r="E114" s="4"/>
      <c r="H114" s="4">
        <v>116006</v>
      </c>
      <c r="I114" s="4"/>
      <c r="J114" s="4"/>
      <c r="K114" s="4"/>
      <c r="M114" s="4">
        <f t="shared" si="1"/>
        <v>116006</v>
      </c>
    </row>
    <row r="115" spans="3:13" s="4" customFormat="1">
      <c r="I115" s="4">
        <v>116006</v>
      </c>
      <c r="M115" s="4">
        <f t="shared" si="1"/>
        <v>116006</v>
      </c>
    </row>
    <row r="116" spans="3:13" s="4" customFormat="1">
      <c r="E116" s="4">
        <v>0</v>
      </c>
      <c r="J116" s="4">
        <v>116006</v>
      </c>
      <c r="M116" s="4">
        <f t="shared" si="1"/>
        <v>116006</v>
      </c>
    </row>
    <row r="117" spans="3:13" s="4" customFormat="1">
      <c r="K117" s="4">
        <v>116006</v>
      </c>
      <c r="M117" s="4">
        <f t="shared" si="1"/>
        <v>116006</v>
      </c>
    </row>
    <row r="118" spans="3:13">
      <c r="C118">
        <v>116007</v>
      </c>
      <c r="D118" s="4">
        <v>0</v>
      </c>
      <c r="E118" s="4"/>
      <c r="H118" s="4">
        <v>116007</v>
      </c>
      <c r="I118" s="4"/>
      <c r="J118" s="4"/>
      <c r="K118" s="4"/>
      <c r="M118" s="4">
        <f t="shared" si="1"/>
        <v>116007</v>
      </c>
    </row>
    <row r="119" spans="3:13" s="4" customFormat="1">
      <c r="I119" s="4">
        <v>116007</v>
      </c>
      <c r="M119" s="4">
        <f t="shared" si="1"/>
        <v>116007</v>
      </c>
    </row>
    <row r="120" spans="3:13" s="4" customFormat="1">
      <c r="E120" s="4">
        <v>0</v>
      </c>
      <c r="J120" s="4">
        <v>116007</v>
      </c>
      <c r="M120" s="4">
        <f t="shared" si="1"/>
        <v>116007</v>
      </c>
    </row>
    <row r="121" spans="3:13" s="4" customFormat="1">
      <c r="K121" s="4">
        <v>116007</v>
      </c>
      <c r="M121" s="4">
        <f t="shared" si="1"/>
        <v>116007</v>
      </c>
    </row>
    <row r="122" spans="3:13">
      <c r="C122">
        <v>116008</v>
      </c>
      <c r="D122" s="4">
        <v>0</v>
      </c>
      <c r="E122" s="4"/>
      <c r="H122" s="4">
        <v>116008</v>
      </c>
      <c r="I122" s="4"/>
      <c r="J122" s="4"/>
      <c r="K122" s="4"/>
      <c r="M122" s="4">
        <f t="shared" si="1"/>
        <v>116008</v>
      </c>
    </row>
    <row r="123" spans="3:13" s="4" customFormat="1">
      <c r="I123" s="4">
        <v>116008</v>
      </c>
      <c r="M123" s="4">
        <f t="shared" si="1"/>
        <v>116008</v>
      </c>
    </row>
    <row r="124" spans="3:13" s="4" customFormat="1">
      <c r="E124" s="4">
        <v>0</v>
      </c>
      <c r="J124" s="4">
        <v>116008</v>
      </c>
      <c r="M124" s="4">
        <f t="shared" si="1"/>
        <v>116008</v>
      </c>
    </row>
    <row r="125" spans="3:13" s="4" customFormat="1">
      <c r="K125" s="4">
        <v>116008</v>
      </c>
      <c r="M125" s="4">
        <f t="shared" si="1"/>
        <v>116008</v>
      </c>
    </row>
    <row r="126" spans="3:13">
      <c r="C126">
        <v>116009</v>
      </c>
      <c r="D126" s="4">
        <v>0</v>
      </c>
      <c r="E126" s="4"/>
      <c r="H126" s="4">
        <v>116009</v>
      </c>
      <c r="I126" s="4"/>
      <c r="J126" s="4"/>
      <c r="K126" s="4"/>
      <c r="M126" s="4">
        <f t="shared" si="1"/>
        <v>116009</v>
      </c>
    </row>
    <row r="127" spans="3:13" s="4" customFormat="1">
      <c r="I127" s="4">
        <v>116009</v>
      </c>
      <c r="M127" s="4">
        <f t="shared" si="1"/>
        <v>116009</v>
      </c>
    </row>
    <row r="128" spans="3:13" s="4" customFormat="1">
      <c r="E128" s="4">
        <v>0</v>
      </c>
      <c r="J128" s="4">
        <v>116009</v>
      </c>
      <c r="M128" s="4">
        <f t="shared" si="1"/>
        <v>116009</v>
      </c>
    </row>
    <row r="129" spans="3:13" s="4" customFormat="1">
      <c r="K129" s="4">
        <v>116009</v>
      </c>
      <c r="M129" s="4">
        <f t="shared" si="1"/>
        <v>116009</v>
      </c>
    </row>
    <row r="130" spans="3:13">
      <c r="C130">
        <v>116010</v>
      </c>
      <c r="D130" s="4">
        <v>0</v>
      </c>
      <c r="E130" s="4"/>
      <c r="H130" s="4">
        <v>116010</v>
      </c>
      <c r="I130" s="4"/>
      <c r="J130" s="4"/>
      <c r="K130" s="4"/>
      <c r="M130" s="4">
        <f t="shared" si="1"/>
        <v>116010</v>
      </c>
    </row>
    <row r="131" spans="3:13" s="4" customFormat="1">
      <c r="I131" s="4">
        <v>116010</v>
      </c>
      <c r="M131" s="4">
        <f t="shared" si="1"/>
        <v>116010</v>
      </c>
    </row>
    <row r="132" spans="3:13" s="4" customFormat="1">
      <c r="E132" s="4">
        <v>0</v>
      </c>
      <c r="J132" s="4">
        <v>116010</v>
      </c>
      <c r="M132" s="4">
        <f t="shared" si="1"/>
        <v>116010</v>
      </c>
    </row>
    <row r="133" spans="3:13" s="4" customFormat="1">
      <c r="K133" s="4">
        <v>116010</v>
      </c>
      <c r="M133" s="4">
        <f t="shared" si="1"/>
        <v>116010</v>
      </c>
    </row>
    <row r="134" spans="3:13">
      <c r="C134">
        <v>116011</v>
      </c>
      <c r="D134" s="4">
        <v>0</v>
      </c>
      <c r="E134" s="4"/>
      <c r="H134" s="4">
        <v>116011</v>
      </c>
      <c r="I134" s="4"/>
      <c r="J134" s="4"/>
      <c r="K134" s="4"/>
      <c r="M134" s="4">
        <f t="shared" si="1"/>
        <v>116011</v>
      </c>
    </row>
    <row r="135" spans="3:13" s="4" customFormat="1">
      <c r="I135" s="4">
        <v>116011</v>
      </c>
      <c r="M135" s="4">
        <f t="shared" ref="M135:M197" si="2">SUM(H135:K135)</f>
        <v>116011</v>
      </c>
    </row>
    <row r="136" spans="3:13" s="4" customFormat="1">
      <c r="E136" s="4">
        <v>0</v>
      </c>
      <c r="J136" s="4">
        <v>116011</v>
      </c>
      <c r="M136" s="4">
        <f t="shared" si="2"/>
        <v>116011</v>
      </c>
    </row>
    <row r="137" spans="3:13" s="4" customFormat="1">
      <c r="K137" s="4">
        <v>116011</v>
      </c>
      <c r="M137" s="4">
        <f t="shared" si="2"/>
        <v>116011</v>
      </c>
    </row>
    <row r="138" spans="3:13">
      <c r="C138">
        <v>116012</v>
      </c>
      <c r="D138" s="4">
        <v>0</v>
      </c>
      <c r="E138" s="4"/>
      <c r="H138" s="4">
        <v>116012</v>
      </c>
      <c r="I138" s="4"/>
      <c r="J138" s="4"/>
      <c r="K138" s="4"/>
      <c r="M138" s="4">
        <f t="shared" si="2"/>
        <v>116012</v>
      </c>
    </row>
    <row r="139" spans="3:13" s="4" customFormat="1">
      <c r="I139" s="4">
        <v>116012</v>
      </c>
      <c r="M139" s="4">
        <f t="shared" si="2"/>
        <v>116012</v>
      </c>
    </row>
    <row r="140" spans="3:13" s="4" customFormat="1">
      <c r="E140" s="4">
        <v>0</v>
      </c>
      <c r="J140" s="4">
        <v>116012</v>
      </c>
      <c r="M140" s="4">
        <f t="shared" si="2"/>
        <v>116012</v>
      </c>
    </row>
    <row r="141" spans="3:13" s="4" customFormat="1">
      <c r="K141" s="4">
        <v>116012</v>
      </c>
      <c r="M141" s="4">
        <f t="shared" si="2"/>
        <v>116012</v>
      </c>
    </row>
    <row r="142" spans="3:13">
      <c r="C142">
        <v>116013</v>
      </c>
      <c r="D142" s="4">
        <v>0</v>
      </c>
      <c r="E142" s="4"/>
      <c r="H142" s="4">
        <v>116013</v>
      </c>
      <c r="I142" s="4"/>
      <c r="J142" s="4"/>
      <c r="K142" s="4"/>
      <c r="M142" s="4">
        <f t="shared" si="2"/>
        <v>116013</v>
      </c>
    </row>
    <row r="143" spans="3:13" s="4" customFormat="1">
      <c r="I143" s="4">
        <v>116013</v>
      </c>
      <c r="M143" s="4">
        <f t="shared" si="2"/>
        <v>116013</v>
      </c>
    </row>
    <row r="144" spans="3:13" s="4" customFormat="1">
      <c r="E144" s="4">
        <v>0</v>
      </c>
      <c r="J144" s="4">
        <v>116013</v>
      </c>
      <c r="M144" s="4">
        <f t="shared" si="2"/>
        <v>116013</v>
      </c>
    </row>
    <row r="145" spans="3:13" s="4" customFormat="1">
      <c r="K145" s="4">
        <v>116013</v>
      </c>
      <c r="M145" s="4">
        <f t="shared" si="2"/>
        <v>116013</v>
      </c>
    </row>
    <row r="146" spans="3:13">
      <c r="C146">
        <v>116014</v>
      </c>
      <c r="D146" s="4">
        <v>0</v>
      </c>
      <c r="E146" s="4"/>
      <c r="H146" s="4">
        <v>116014</v>
      </c>
      <c r="I146" s="4"/>
      <c r="J146" s="4"/>
      <c r="K146" s="4"/>
      <c r="M146" s="4">
        <f t="shared" si="2"/>
        <v>116014</v>
      </c>
    </row>
    <row r="147" spans="3:13" s="4" customFormat="1">
      <c r="I147" s="4">
        <v>116014</v>
      </c>
      <c r="M147" s="4">
        <f t="shared" si="2"/>
        <v>116014</v>
      </c>
    </row>
    <row r="148" spans="3:13" s="4" customFormat="1">
      <c r="E148" s="4">
        <v>0</v>
      </c>
      <c r="J148" s="4">
        <v>116014</v>
      </c>
      <c r="M148" s="4">
        <f t="shared" si="2"/>
        <v>116014</v>
      </c>
    </row>
    <row r="149" spans="3:13" s="4" customFormat="1">
      <c r="K149" s="4">
        <v>116014</v>
      </c>
      <c r="M149" s="4">
        <f t="shared" si="2"/>
        <v>116014</v>
      </c>
    </row>
    <row r="150" spans="3:13">
      <c r="C150">
        <v>116015</v>
      </c>
      <c r="D150" s="4">
        <v>0</v>
      </c>
      <c r="E150" s="4"/>
      <c r="H150" s="4">
        <v>116015</v>
      </c>
      <c r="I150" s="4"/>
      <c r="J150" s="4"/>
      <c r="K150" s="4"/>
      <c r="M150" s="4">
        <f t="shared" si="2"/>
        <v>116015</v>
      </c>
    </row>
    <row r="151" spans="3:13" s="4" customFormat="1">
      <c r="I151" s="4">
        <v>116015</v>
      </c>
      <c r="M151" s="4">
        <f t="shared" si="2"/>
        <v>116015</v>
      </c>
    </row>
    <row r="152" spans="3:13" s="4" customFormat="1">
      <c r="E152" s="4">
        <v>0</v>
      </c>
      <c r="J152" s="4">
        <v>116015</v>
      </c>
      <c r="M152" s="4">
        <f t="shared" si="2"/>
        <v>116015</v>
      </c>
    </row>
    <row r="153" spans="3:13" s="4" customFormat="1">
      <c r="K153" s="4">
        <v>116015</v>
      </c>
      <c r="M153" s="4">
        <f t="shared" si="2"/>
        <v>116015</v>
      </c>
    </row>
    <row r="154" spans="3:13">
      <c r="C154">
        <v>116016</v>
      </c>
      <c r="D154" s="4">
        <v>0</v>
      </c>
      <c r="E154" s="4"/>
      <c r="H154" s="4">
        <v>116016</v>
      </c>
      <c r="I154" s="4"/>
      <c r="J154" s="4"/>
      <c r="K154" s="4"/>
      <c r="M154" s="4">
        <f t="shared" si="2"/>
        <v>116016</v>
      </c>
    </row>
    <row r="155" spans="3:13" s="4" customFormat="1">
      <c r="I155" s="4">
        <v>116016</v>
      </c>
      <c r="M155" s="4">
        <f t="shared" si="2"/>
        <v>116016</v>
      </c>
    </row>
    <row r="156" spans="3:13" s="4" customFormat="1">
      <c r="E156" s="4">
        <v>0</v>
      </c>
      <c r="J156" s="4">
        <v>116016</v>
      </c>
      <c r="M156" s="4">
        <f t="shared" si="2"/>
        <v>116016</v>
      </c>
    </row>
    <row r="157" spans="3:13" s="4" customFormat="1">
      <c r="K157" s="4">
        <v>116016</v>
      </c>
      <c r="M157" s="4">
        <f t="shared" si="2"/>
        <v>116016</v>
      </c>
    </row>
    <row r="158" spans="3:13">
      <c r="C158">
        <v>116017</v>
      </c>
      <c r="D158" s="4">
        <v>0</v>
      </c>
      <c r="E158" s="4"/>
      <c r="H158" s="4">
        <v>116017</v>
      </c>
      <c r="I158" s="4"/>
      <c r="J158" s="4"/>
      <c r="K158" s="4"/>
      <c r="M158" s="4">
        <f t="shared" si="2"/>
        <v>116017</v>
      </c>
    </row>
    <row r="159" spans="3:13" s="4" customFormat="1">
      <c r="I159" s="4">
        <v>116017</v>
      </c>
      <c r="M159" s="4">
        <f t="shared" si="2"/>
        <v>116017</v>
      </c>
    </row>
    <row r="160" spans="3:13" s="4" customFormat="1">
      <c r="E160" s="4">
        <v>0</v>
      </c>
      <c r="J160" s="4">
        <v>116017</v>
      </c>
      <c r="M160" s="4">
        <f t="shared" si="2"/>
        <v>116017</v>
      </c>
    </row>
    <row r="161" spans="3:13" s="4" customFormat="1">
      <c r="K161" s="4">
        <v>116017</v>
      </c>
      <c r="M161" s="4">
        <f t="shared" si="2"/>
        <v>116017</v>
      </c>
    </row>
    <row r="162" spans="3:13">
      <c r="C162">
        <v>116018</v>
      </c>
      <c r="D162" s="4">
        <v>0</v>
      </c>
      <c r="E162" s="4"/>
      <c r="H162" s="4">
        <v>116018</v>
      </c>
      <c r="I162" s="4"/>
      <c r="J162" s="4"/>
      <c r="K162" s="4"/>
      <c r="M162" s="4">
        <f t="shared" si="2"/>
        <v>116018</v>
      </c>
    </row>
    <row r="163" spans="3:13" s="4" customFormat="1">
      <c r="I163" s="4">
        <v>116018</v>
      </c>
      <c r="M163" s="4">
        <f t="shared" si="2"/>
        <v>116018</v>
      </c>
    </row>
    <row r="164" spans="3:13" s="4" customFormat="1">
      <c r="E164" s="4">
        <v>0</v>
      </c>
      <c r="J164" s="4">
        <v>116018</v>
      </c>
      <c r="M164" s="4">
        <f t="shared" si="2"/>
        <v>116018</v>
      </c>
    </row>
    <row r="165" spans="3:13" s="4" customFormat="1">
      <c r="K165" s="4">
        <v>116018</v>
      </c>
      <c r="M165" s="4">
        <f t="shared" si="2"/>
        <v>116018</v>
      </c>
    </row>
    <row r="166" spans="3:13">
      <c r="C166">
        <v>116019</v>
      </c>
      <c r="D166" s="4">
        <v>0</v>
      </c>
      <c r="E166" s="4"/>
      <c r="H166" s="4">
        <v>116019</v>
      </c>
      <c r="I166" s="4"/>
      <c r="J166" s="4"/>
      <c r="K166" s="4"/>
      <c r="M166" s="4">
        <f t="shared" si="2"/>
        <v>116019</v>
      </c>
    </row>
    <row r="167" spans="3:13" s="4" customFormat="1">
      <c r="I167" s="4">
        <v>116019</v>
      </c>
      <c r="M167" s="4">
        <f t="shared" si="2"/>
        <v>116019</v>
      </c>
    </row>
    <row r="168" spans="3:13" s="4" customFormat="1">
      <c r="E168" s="4">
        <v>0</v>
      </c>
      <c r="J168" s="4">
        <v>116019</v>
      </c>
      <c r="M168" s="4">
        <f t="shared" si="2"/>
        <v>116019</v>
      </c>
    </row>
    <row r="169" spans="3:13" s="4" customFormat="1">
      <c r="K169" s="4">
        <v>116019</v>
      </c>
      <c r="M169" s="4">
        <f t="shared" si="2"/>
        <v>116019</v>
      </c>
    </row>
    <row r="170" spans="3:13">
      <c r="C170">
        <v>116020</v>
      </c>
      <c r="D170" s="4">
        <v>0</v>
      </c>
      <c r="E170" s="4"/>
      <c r="H170" s="4">
        <v>116020</v>
      </c>
      <c r="I170" s="4"/>
      <c r="J170" s="4"/>
      <c r="K170" s="4"/>
      <c r="M170" s="4">
        <f t="shared" si="2"/>
        <v>116020</v>
      </c>
    </row>
    <row r="171" spans="3:13" s="4" customFormat="1">
      <c r="I171" s="4">
        <v>116020</v>
      </c>
      <c r="M171" s="4">
        <f t="shared" si="2"/>
        <v>116020</v>
      </c>
    </row>
    <row r="172" spans="3:13" s="4" customFormat="1">
      <c r="E172" s="4">
        <v>0</v>
      </c>
      <c r="J172" s="4">
        <v>116020</v>
      </c>
      <c r="M172" s="4">
        <f t="shared" si="2"/>
        <v>116020</v>
      </c>
    </row>
    <row r="173" spans="3:13" s="4" customFormat="1">
      <c r="K173" s="4">
        <v>116020</v>
      </c>
      <c r="M173" s="4">
        <f t="shared" si="2"/>
        <v>116020</v>
      </c>
    </row>
    <row r="174" spans="3:13">
      <c r="C174">
        <v>116021</v>
      </c>
      <c r="D174" s="4">
        <v>0</v>
      </c>
      <c r="E174" s="4"/>
      <c r="H174" s="4">
        <v>116021</v>
      </c>
      <c r="I174" s="4"/>
      <c r="J174" s="4"/>
      <c r="K174" s="4"/>
      <c r="M174" s="4">
        <f t="shared" si="2"/>
        <v>116021</v>
      </c>
    </row>
    <row r="175" spans="3:13" s="4" customFormat="1">
      <c r="I175" s="4">
        <v>116021</v>
      </c>
      <c r="M175" s="4">
        <f t="shared" si="2"/>
        <v>116021</v>
      </c>
    </row>
    <row r="176" spans="3:13" s="4" customFormat="1">
      <c r="E176" s="4">
        <v>0</v>
      </c>
      <c r="J176" s="4">
        <v>116021</v>
      </c>
      <c r="M176" s="4">
        <f t="shared" si="2"/>
        <v>116021</v>
      </c>
    </row>
    <row r="177" spans="3:13" s="4" customFormat="1">
      <c r="K177" s="4">
        <v>116021</v>
      </c>
      <c r="M177" s="4">
        <f t="shared" si="2"/>
        <v>116021</v>
      </c>
    </row>
    <row r="178" spans="3:13">
      <c r="C178">
        <v>116022</v>
      </c>
      <c r="D178" s="4">
        <v>0</v>
      </c>
      <c r="E178" s="4"/>
      <c r="H178" s="4">
        <v>116022</v>
      </c>
      <c r="I178" s="4"/>
      <c r="J178" s="4"/>
      <c r="K178" s="4"/>
      <c r="M178" s="4">
        <f t="shared" si="2"/>
        <v>116022</v>
      </c>
    </row>
    <row r="179" spans="3:13" s="4" customFormat="1">
      <c r="I179" s="4">
        <v>116022</v>
      </c>
      <c r="M179" s="4">
        <f t="shared" si="2"/>
        <v>116022</v>
      </c>
    </row>
    <row r="180" spans="3:13" s="4" customFormat="1">
      <c r="E180" s="4">
        <v>0</v>
      </c>
      <c r="J180" s="4">
        <v>116022</v>
      </c>
      <c r="M180" s="4">
        <f t="shared" si="2"/>
        <v>116022</v>
      </c>
    </row>
    <row r="181" spans="3:13" s="4" customFormat="1">
      <c r="K181" s="4">
        <v>116022</v>
      </c>
      <c r="M181" s="4">
        <f t="shared" si="2"/>
        <v>116022</v>
      </c>
    </row>
    <row r="182" spans="3:13">
      <c r="C182">
        <v>116023</v>
      </c>
      <c r="D182" s="4">
        <v>0</v>
      </c>
      <c r="E182" s="4"/>
      <c r="H182" s="4">
        <v>116023</v>
      </c>
      <c r="I182" s="4"/>
      <c r="J182" s="4"/>
      <c r="K182" s="4"/>
      <c r="M182" s="4">
        <f t="shared" si="2"/>
        <v>116023</v>
      </c>
    </row>
    <row r="183" spans="3:13" s="4" customFormat="1">
      <c r="I183" s="4">
        <v>116023</v>
      </c>
      <c r="M183" s="4">
        <f t="shared" si="2"/>
        <v>116023</v>
      </c>
    </row>
    <row r="184" spans="3:13" s="4" customFormat="1">
      <c r="E184" s="4">
        <v>0</v>
      </c>
      <c r="J184" s="4">
        <v>116023</v>
      </c>
      <c r="M184" s="4">
        <f t="shared" si="2"/>
        <v>116023</v>
      </c>
    </row>
    <row r="185" spans="3:13" s="4" customFormat="1">
      <c r="K185" s="4">
        <v>116023</v>
      </c>
      <c r="M185" s="4">
        <f t="shared" si="2"/>
        <v>116023</v>
      </c>
    </row>
    <row r="186" spans="3:13">
      <c r="C186">
        <v>116024</v>
      </c>
      <c r="D186" s="4">
        <v>0</v>
      </c>
      <c r="E186" s="4"/>
      <c r="H186" s="4">
        <v>116024</v>
      </c>
      <c r="I186" s="4"/>
      <c r="J186" s="4"/>
      <c r="K186" s="4"/>
      <c r="M186" s="4">
        <f t="shared" si="2"/>
        <v>116024</v>
      </c>
    </row>
    <row r="187" spans="3:13" s="4" customFormat="1">
      <c r="I187" s="4">
        <v>116024</v>
      </c>
      <c r="M187" s="4">
        <f t="shared" si="2"/>
        <v>116024</v>
      </c>
    </row>
    <row r="188" spans="3:13" s="4" customFormat="1">
      <c r="E188" s="4">
        <v>0</v>
      </c>
      <c r="J188" s="4">
        <v>116024</v>
      </c>
      <c r="M188" s="4">
        <f t="shared" si="2"/>
        <v>116024</v>
      </c>
    </row>
    <row r="189" spans="3:13" s="4" customFormat="1">
      <c r="K189" s="4">
        <v>116024</v>
      </c>
      <c r="M189" s="4">
        <f t="shared" si="2"/>
        <v>116024</v>
      </c>
    </row>
    <row r="190" spans="3:13">
      <c r="C190">
        <v>116025</v>
      </c>
      <c r="D190" s="4">
        <v>0</v>
      </c>
      <c r="E190" s="4"/>
      <c r="H190" s="4">
        <v>116025</v>
      </c>
      <c r="I190" s="4"/>
      <c r="J190" s="4"/>
      <c r="K190" s="4"/>
      <c r="M190" s="4">
        <f t="shared" si="2"/>
        <v>116025</v>
      </c>
    </row>
    <row r="191" spans="3:13" s="4" customFormat="1">
      <c r="I191" s="4">
        <v>116025</v>
      </c>
      <c r="M191" s="4">
        <f t="shared" si="2"/>
        <v>116025</v>
      </c>
    </row>
    <row r="192" spans="3:13" s="4" customFormat="1">
      <c r="E192" s="4">
        <v>0</v>
      </c>
      <c r="J192" s="4">
        <v>116025</v>
      </c>
      <c r="M192" s="4">
        <f t="shared" si="2"/>
        <v>116025</v>
      </c>
    </row>
    <row r="193" spans="3:13" s="4" customFormat="1">
      <c r="K193" s="4">
        <v>116025</v>
      </c>
      <c r="M193" s="4">
        <f t="shared" si="2"/>
        <v>116025</v>
      </c>
    </row>
    <row r="194" spans="3:13">
      <c r="C194">
        <v>116026</v>
      </c>
      <c r="D194" s="4">
        <v>0</v>
      </c>
      <c r="E194" s="4"/>
      <c r="H194" s="4">
        <v>116026</v>
      </c>
      <c r="I194" s="4"/>
      <c r="J194" s="4"/>
      <c r="K194" s="4"/>
      <c r="M194" s="4">
        <f t="shared" si="2"/>
        <v>116026</v>
      </c>
    </row>
    <row r="195" spans="3:13">
      <c r="H195" s="4"/>
      <c r="I195" s="4">
        <v>116026</v>
      </c>
      <c r="J195" s="4"/>
      <c r="K195" s="4"/>
      <c r="M195" s="4">
        <f t="shared" si="2"/>
        <v>116026</v>
      </c>
    </row>
    <row r="196" spans="3:13">
      <c r="I196" s="4"/>
      <c r="J196" s="4">
        <v>116026</v>
      </c>
      <c r="K196" s="4"/>
      <c r="M196" s="4">
        <f t="shared" si="2"/>
        <v>116026</v>
      </c>
    </row>
    <row r="197" spans="3:13">
      <c r="J197" s="4"/>
      <c r="K197" s="4">
        <v>116026</v>
      </c>
      <c r="M197" s="4">
        <f t="shared" si="2"/>
        <v>116026</v>
      </c>
    </row>
    <row r="198" spans="3:13">
      <c r="K198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V352"/>
  <sheetViews>
    <sheetView topLeftCell="D317" workbookViewId="0">
      <selection activeCell="V10" sqref="V10:V345"/>
    </sheetView>
  </sheetViews>
  <sheetFormatPr defaultRowHeight="13.5"/>
  <sheetData>
    <row r="6" spans="3:22" s="4" customFormat="1"/>
    <row r="7" spans="3:22" s="4" customFormat="1"/>
    <row r="8" spans="3:22" s="4" customFormat="1"/>
    <row r="9" spans="3:22" s="4" customFormat="1"/>
    <row r="10" spans="3:22">
      <c r="C10" s="4">
        <v>117003</v>
      </c>
      <c r="D10">
        <v>0</v>
      </c>
      <c r="G10" s="4">
        <v>117003</v>
      </c>
      <c r="U10">
        <f>SUM(G10:T10)</f>
        <v>117003</v>
      </c>
      <c r="V10">
        <f>U10+1000</f>
        <v>118003</v>
      </c>
    </row>
    <row r="11" spans="3:22" s="4" customFormat="1">
      <c r="H11" s="4">
        <v>117003</v>
      </c>
      <c r="U11" s="4">
        <f t="shared" ref="U11:U74" si="0">SUM(G11:T11)</f>
        <v>117003</v>
      </c>
      <c r="V11" s="4">
        <f t="shared" ref="V11:V74" si="1">U11+1000</f>
        <v>118003</v>
      </c>
    </row>
    <row r="12" spans="3:22" s="4" customFormat="1">
      <c r="I12" s="4">
        <v>117003</v>
      </c>
      <c r="U12" s="4">
        <f t="shared" si="0"/>
        <v>117003</v>
      </c>
      <c r="V12" s="4">
        <f t="shared" si="1"/>
        <v>118003</v>
      </c>
    </row>
    <row r="13" spans="3:22" s="4" customFormat="1">
      <c r="E13" s="4">
        <v>0</v>
      </c>
      <c r="J13" s="4">
        <v>117003</v>
      </c>
      <c r="U13" s="4">
        <f t="shared" si="0"/>
        <v>117003</v>
      </c>
      <c r="V13" s="4">
        <f t="shared" si="1"/>
        <v>118003</v>
      </c>
    </row>
    <row r="14" spans="3:22" s="4" customFormat="1">
      <c r="K14" s="4">
        <v>117003</v>
      </c>
      <c r="U14" s="4">
        <f t="shared" si="0"/>
        <v>117003</v>
      </c>
      <c r="V14" s="4">
        <f t="shared" si="1"/>
        <v>118003</v>
      </c>
    </row>
    <row r="15" spans="3:22" s="4" customFormat="1">
      <c r="L15" s="4">
        <v>117003</v>
      </c>
      <c r="U15" s="4">
        <f t="shared" si="0"/>
        <v>117003</v>
      </c>
      <c r="V15" s="4">
        <f t="shared" si="1"/>
        <v>118003</v>
      </c>
    </row>
    <row r="16" spans="3:22" s="4" customFormat="1">
      <c r="M16" s="4">
        <v>117003</v>
      </c>
      <c r="U16" s="4">
        <f t="shared" si="0"/>
        <v>117003</v>
      </c>
      <c r="V16" s="4">
        <f t="shared" si="1"/>
        <v>118003</v>
      </c>
    </row>
    <row r="17" spans="3:22" s="4" customFormat="1">
      <c r="D17" s="4">
        <v>0</v>
      </c>
      <c r="N17" s="4">
        <v>117003</v>
      </c>
      <c r="U17" s="4">
        <f t="shared" si="0"/>
        <v>117003</v>
      </c>
      <c r="V17" s="4">
        <f t="shared" si="1"/>
        <v>118003</v>
      </c>
    </row>
    <row r="18" spans="3:22" s="4" customFormat="1">
      <c r="D18" s="4">
        <v>0</v>
      </c>
      <c r="O18" s="4">
        <v>117003</v>
      </c>
      <c r="U18" s="4">
        <f t="shared" si="0"/>
        <v>117003</v>
      </c>
      <c r="V18" s="4">
        <f t="shared" si="1"/>
        <v>118003</v>
      </c>
    </row>
    <row r="19" spans="3:22" s="4" customFormat="1">
      <c r="D19" s="4">
        <v>0</v>
      </c>
      <c r="P19" s="4">
        <v>117003</v>
      </c>
      <c r="U19" s="4">
        <f t="shared" si="0"/>
        <v>117003</v>
      </c>
      <c r="V19" s="4">
        <f t="shared" si="1"/>
        <v>118003</v>
      </c>
    </row>
    <row r="20" spans="3:22" s="4" customFormat="1">
      <c r="Q20" s="4">
        <v>117003</v>
      </c>
      <c r="U20" s="4">
        <f t="shared" si="0"/>
        <v>117003</v>
      </c>
      <c r="V20" s="4">
        <f t="shared" si="1"/>
        <v>118003</v>
      </c>
    </row>
    <row r="21" spans="3:22" s="4" customFormat="1">
      <c r="E21" s="4">
        <v>0</v>
      </c>
      <c r="R21" s="4">
        <v>117003</v>
      </c>
      <c r="U21" s="4">
        <f t="shared" si="0"/>
        <v>117003</v>
      </c>
      <c r="V21" s="4">
        <f t="shared" si="1"/>
        <v>118003</v>
      </c>
    </row>
    <row r="22" spans="3:22" s="4" customFormat="1">
      <c r="S22" s="4">
        <v>117003</v>
      </c>
      <c r="U22" s="4">
        <f t="shared" si="0"/>
        <v>117003</v>
      </c>
      <c r="V22" s="4">
        <f t="shared" si="1"/>
        <v>118003</v>
      </c>
    </row>
    <row r="23" spans="3:22" s="4" customFormat="1">
      <c r="T23" s="4">
        <v>117003</v>
      </c>
      <c r="U23" s="4">
        <f t="shared" si="0"/>
        <v>117003</v>
      </c>
      <c r="V23" s="4">
        <f t="shared" si="1"/>
        <v>118003</v>
      </c>
    </row>
    <row r="24" spans="3:22">
      <c r="C24" s="4">
        <v>117004</v>
      </c>
      <c r="D24" s="4">
        <v>0</v>
      </c>
      <c r="E24" s="4"/>
      <c r="G24" s="4">
        <v>117004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>
        <f t="shared" si="0"/>
        <v>117004</v>
      </c>
      <c r="V24" s="4">
        <f t="shared" si="1"/>
        <v>118004</v>
      </c>
    </row>
    <row r="25" spans="3:22" s="4" customFormat="1">
      <c r="H25" s="4">
        <v>117004</v>
      </c>
      <c r="U25" s="4">
        <f t="shared" si="0"/>
        <v>117004</v>
      </c>
      <c r="V25" s="4">
        <f t="shared" si="1"/>
        <v>118004</v>
      </c>
    </row>
    <row r="26" spans="3:22" s="4" customFormat="1">
      <c r="I26" s="4">
        <v>117004</v>
      </c>
      <c r="U26" s="4">
        <f t="shared" si="0"/>
        <v>117004</v>
      </c>
      <c r="V26" s="4">
        <f t="shared" si="1"/>
        <v>118004</v>
      </c>
    </row>
    <row r="27" spans="3:22" s="4" customFormat="1">
      <c r="E27" s="4">
        <v>0</v>
      </c>
      <c r="J27" s="4">
        <v>117004</v>
      </c>
      <c r="U27" s="4">
        <f t="shared" si="0"/>
        <v>117004</v>
      </c>
      <c r="V27" s="4">
        <f t="shared" si="1"/>
        <v>118004</v>
      </c>
    </row>
    <row r="28" spans="3:22" s="4" customFormat="1">
      <c r="K28" s="4">
        <v>117004</v>
      </c>
      <c r="U28" s="4">
        <f t="shared" si="0"/>
        <v>117004</v>
      </c>
      <c r="V28" s="4">
        <f t="shared" si="1"/>
        <v>118004</v>
      </c>
    </row>
    <row r="29" spans="3:22" s="4" customFormat="1">
      <c r="L29" s="4">
        <v>117004</v>
      </c>
      <c r="U29" s="4">
        <f t="shared" si="0"/>
        <v>117004</v>
      </c>
      <c r="V29" s="4">
        <f t="shared" si="1"/>
        <v>118004</v>
      </c>
    </row>
    <row r="30" spans="3:22" s="4" customFormat="1">
      <c r="M30" s="4">
        <v>117004</v>
      </c>
      <c r="U30" s="4">
        <f t="shared" si="0"/>
        <v>117004</v>
      </c>
      <c r="V30" s="4">
        <f t="shared" si="1"/>
        <v>118004</v>
      </c>
    </row>
    <row r="31" spans="3:22" s="4" customFormat="1">
      <c r="D31" s="4">
        <v>0</v>
      </c>
      <c r="N31" s="4">
        <v>117004</v>
      </c>
      <c r="U31" s="4">
        <f t="shared" si="0"/>
        <v>117004</v>
      </c>
      <c r="V31" s="4">
        <f t="shared" si="1"/>
        <v>118004</v>
      </c>
    </row>
    <row r="32" spans="3:22" s="4" customFormat="1">
      <c r="D32" s="4">
        <v>0</v>
      </c>
      <c r="O32" s="4">
        <v>117004</v>
      </c>
      <c r="U32" s="4">
        <f t="shared" si="0"/>
        <v>117004</v>
      </c>
      <c r="V32" s="4">
        <f t="shared" si="1"/>
        <v>118004</v>
      </c>
    </row>
    <row r="33" spans="3:22" s="4" customFormat="1">
      <c r="D33" s="4">
        <v>0</v>
      </c>
      <c r="P33" s="4">
        <v>117004</v>
      </c>
      <c r="U33" s="4">
        <f t="shared" si="0"/>
        <v>117004</v>
      </c>
      <c r="V33" s="4">
        <f t="shared" si="1"/>
        <v>118004</v>
      </c>
    </row>
    <row r="34" spans="3:22" s="4" customFormat="1">
      <c r="Q34" s="4">
        <v>117004</v>
      </c>
      <c r="U34" s="4">
        <f t="shared" si="0"/>
        <v>117004</v>
      </c>
      <c r="V34" s="4">
        <f t="shared" si="1"/>
        <v>118004</v>
      </c>
    </row>
    <row r="35" spans="3:22" s="4" customFormat="1">
      <c r="E35" s="4">
        <v>0</v>
      </c>
      <c r="R35" s="4">
        <v>117004</v>
      </c>
      <c r="U35" s="4">
        <f t="shared" si="0"/>
        <v>117004</v>
      </c>
      <c r="V35" s="4">
        <f t="shared" si="1"/>
        <v>118004</v>
      </c>
    </row>
    <row r="36" spans="3:22" s="4" customFormat="1">
      <c r="S36" s="4">
        <v>117004</v>
      </c>
      <c r="U36" s="4">
        <f t="shared" si="0"/>
        <v>117004</v>
      </c>
      <c r="V36" s="4">
        <f t="shared" si="1"/>
        <v>118004</v>
      </c>
    </row>
    <row r="37" spans="3:22" s="4" customFormat="1">
      <c r="T37" s="4">
        <v>117004</v>
      </c>
      <c r="U37" s="4">
        <f t="shared" si="0"/>
        <v>117004</v>
      </c>
      <c r="V37" s="4">
        <f t="shared" si="1"/>
        <v>118004</v>
      </c>
    </row>
    <row r="38" spans="3:22">
      <c r="C38" s="4">
        <v>117005</v>
      </c>
      <c r="D38" s="4">
        <v>0</v>
      </c>
      <c r="E38" s="4"/>
      <c r="G38" s="4">
        <v>117005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>
        <f t="shared" si="0"/>
        <v>117005</v>
      </c>
      <c r="V38" s="4">
        <f t="shared" si="1"/>
        <v>118005</v>
      </c>
    </row>
    <row r="39" spans="3:22" s="4" customFormat="1">
      <c r="H39" s="4">
        <v>117005</v>
      </c>
      <c r="U39" s="4">
        <f t="shared" si="0"/>
        <v>117005</v>
      </c>
      <c r="V39" s="4">
        <f t="shared" si="1"/>
        <v>118005</v>
      </c>
    </row>
    <row r="40" spans="3:22" s="4" customFormat="1">
      <c r="I40" s="4">
        <v>117005</v>
      </c>
      <c r="U40" s="4">
        <f t="shared" si="0"/>
        <v>117005</v>
      </c>
      <c r="V40" s="4">
        <f t="shared" si="1"/>
        <v>118005</v>
      </c>
    </row>
    <row r="41" spans="3:22" s="4" customFormat="1">
      <c r="E41" s="4">
        <v>0</v>
      </c>
      <c r="J41" s="4">
        <v>117005</v>
      </c>
      <c r="U41" s="4">
        <f t="shared" si="0"/>
        <v>117005</v>
      </c>
      <c r="V41" s="4">
        <f t="shared" si="1"/>
        <v>118005</v>
      </c>
    </row>
    <row r="42" spans="3:22" s="4" customFormat="1">
      <c r="K42" s="4">
        <v>117005</v>
      </c>
      <c r="U42" s="4">
        <f t="shared" si="0"/>
        <v>117005</v>
      </c>
      <c r="V42" s="4">
        <f t="shared" si="1"/>
        <v>118005</v>
      </c>
    </row>
    <row r="43" spans="3:22" s="4" customFormat="1">
      <c r="L43" s="4">
        <v>117005</v>
      </c>
      <c r="U43" s="4">
        <f t="shared" si="0"/>
        <v>117005</v>
      </c>
      <c r="V43" s="4">
        <f t="shared" si="1"/>
        <v>118005</v>
      </c>
    </row>
    <row r="44" spans="3:22" s="4" customFormat="1">
      <c r="M44" s="4">
        <v>117005</v>
      </c>
      <c r="U44" s="4">
        <f t="shared" si="0"/>
        <v>117005</v>
      </c>
      <c r="V44" s="4">
        <f t="shared" si="1"/>
        <v>118005</v>
      </c>
    </row>
    <row r="45" spans="3:22" s="4" customFormat="1">
      <c r="D45" s="4">
        <v>0</v>
      </c>
      <c r="N45" s="4">
        <v>117005</v>
      </c>
      <c r="U45" s="4">
        <f t="shared" si="0"/>
        <v>117005</v>
      </c>
      <c r="V45" s="4">
        <f t="shared" si="1"/>
        <v>118005</v>
      </c>
    </row>
    <row r="46" spans="3:22" s="4" customFormat="1">
      <c r="D46" s="4">
        <v>0</v>
      </c>
      <c r="O46" s="4">
        <v>117005</v>
      </c>
      <c r="U46" s="4">
        <f t="shared" si="0"/>
        <v>117005</v>
      </c>
      <c r="V46" s="4">
        <f t="shared" si="1"/>
        <v>118005</v>
      </c>
    </row>
    <row r="47" spans="3:22" s="4" customFormat="1">
      <c r="D47" s="4">
        <v>0</v>
      </c>
      <c r="P47" s="4">
        <v>117005</v>
      </c>
      <c r="U47" s="4">
        <f t="shared" si="0"/>
        <v>117005</v>
      </c>
      <c r="V47" s="4">
        <f t="shared" si="1"/>
        <v>118005</v>
      </c>
    </row>
    <row r="48" spans="3:22" s="4" customFormat="1">
      <c r="Q48" s="4">
        <v>117005</v>
      </c>
      <c r="U48" s="4">
        <f t="shared" si="0"/>
        <v>117005</v>
      </c>
      <c r="V48" s="4">
        <f t="shared" si="1"/>
        <v>118005</v>
      </c>
    </row>
    <row r="49" spans="3:22" s="4" customFormat="1">
      <c r="E49" s="4">
        <v>0</v>
      </c>
      <c r="R49" s="4">
        <v>117005</v>
      </c>
      <c r="U49" s="4">
        <f t="shared" si="0"/>
        <v>117005</v>
      </c>
      <c r="V49" s="4">
        <f t="shared" si="1"/>
        <v>118005</v>
      </c>
    </row>
    <row r="50" spans="3:22" s="4" customFormat="1">
      <c r="S50" s="4">
        <v>117005</v>
      </c>
      <c r="U50" s="4">
        <f t="shared" si="0"/>
        <v>117005</v>
      </c>
      <c r="V50" s="4">
        <f t="shared" si="1"/>
        <v>118005</v>
      </c>
    </row>
    <row r="51" spans="3:22" s="4" customFormat="1">
      <c r="T51" s="4">
        <v>117005</v>
      </c>
      <c r="U51" s="4">
        <f t="shared" si="0"/>
        <v>117005</v>
      </c>
      <c r="V51" s="4">
        <f t="shared" si="1"/>
        <v>118005</v>
      </c>
    </row>
    <row r="52" spans="3:22">
      <c r="C52" s="4">
        <v>117006</v>
      </c>
      <c r="D52" s="4">
        <v>0</v>
      </c>
      <c r="E52" s="4"/>
      <c r="G52" s="4">
        <v>117006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>
        <f t="shared" si="0"/>
        <v>117006</v>
      </c>
      <c r="V52" s="4">
        <f t="shared" si="1"/>
        <v>118006</v>
      </c>
    </row>
    <row r="53" spans="3:22" s="4" customFormat="1">
      <c r="H53" s="4">
        <v>117006</v>
      </c>
      <c r="U53" s="4">
        <f t="shared" si="0"/>
        <v>117006</v>
      </c>
      <c r="V53" s="4">
        <f t="shared" si="1"/>
        <v>118006</v>
      </c>
    </row>
    <row r="54" spans="3:22" s="4" customFormat="1">
      <c r="I54" s="4">
        <v>117006</v>
      </c>
      <c r="U54" s="4">
        <f t="shared" si="0"/>
        <v>117006</v>
      </c>
      <c r="V54" s="4">
        <f t="shared" si="1"/>
        <v>118006</v>
      </c>
    </row>
    <row r="55" spans="3:22" s="4" customFormat="1">
      <c r="E55" s="4">
        <v>0</v>
      </c>
      <c r="J55" s="4">
        <v>117006</v>
      </c>
      <c r="U55" s="4">
        <f t="shared" si="0"/>
        <v>117006</v>
      </c>
      <c r="V55" s="4">
        <f t="shared" si="1"/>
        <v>118006</v>
      </c>
    </row>
    <row r="56" spans="3:22" s="4" customFormat="1">
      <c r="K56" s="4">
        <v>117006</v>
      </c>
      <c r="U56" s="4">
        <f t="shared" si="0"/>
        <v>117006</v>
      </c>
      <c r="V56" s="4">
        <f t="shared" si="1"/>
        <v>118006</v>
      </c>
    </row>
    <row r="57" spans="3:22" s="4" customFormat="1">
      <c r="L57" s="4">
        <v>117006</v>
      </c>
      <c r="U57" s="4">
        <f t="shared" si="0"/>
        <v>117006</v>
      </c>
      <c r="V57" s="4">
        <f t="shared" si="1"/>
        <v>118006</v>
      </c>
    </row>
    <row r="58" spans="3:22" s="4" customFormat="1">
      <c r="M58" s="4">
        <v>117006</v>
      </c>
      <c r="U58" s="4">
        <f t="shared" si="0"/>
        <v>117006</v>
      </c>
      <c r="V58" s="4">
        <f t="shared" si="1"/>
        <v>118006</v>
      </c>
    </row>
    <row r="59" spans="3:22" s="4" customFormat="1">
      <c r="D59" s="4">
        <v>0</v>
      </c>
      <c r="N59" s="4">
        <v>117006</v>
      </c>
      <c r="U59" s="4">
        <f t="shared" si="0"/>
        <v>117006</v>
      </c>
      <c r="V59" s="4">
        <f t="shared" si="1"/>
        <v>118006</v>
      </c>
    </row>
    <row r="60" spans="3:22" s="4" customFormat="1">
      <c r="D60" s="4">
        <v>0</v>
      </c>
      <c r="O60" s="4">
        <v>117006</v>
      </c>
      <c r="U60" s="4">
        <f t="shared" si="0"/>
        <v>117006</v>
      </c>
      <c r="V60" s="4">
        <f t="shared" si="1"/>
        <v>118006</v>
      </c>
    </row>
    <row r="61" spans="3:22" s="4" customFormat="1">
      <c r="D61" s="4">
        <v>0</v>
      </c>
      <c r="P61" s="4">
        <v>117006</v>
      </c>
      <c r="U61" s="4">
        <f t="shared" si="0"/>
        <v>117006</v>
      </c>
      <c r="V61" s="4">
        <f t="shared" si="1"/>
        <v>118006</v>
      </c>
    </row>
    <row r="62" spans="3:22" s="4" customFormat="1">
      <c r="Q62" s="4">
        <v>117006</v>
      </c>
      <c r="U62" s="4">
        <f t="shared" si="0"/>
        <v>117006</v>
      </c>
      <c r="V62" s="4">
        <f t="shared" si="1"/>
        <v>118006</v>
      </c>
    </row>
    <row r="63" spans="3:22" s="4" customFormat="1">
      <c r="E63" s="4">
        <v>0</v>
      </c>
      <c r="R63" s="4">
        <v>117006</v>
      </c>
      <c r="U63" s="4">
        <f t="shared" si="0"/>
        <v>117006</v>
      </c>
      <c r="V63" s="4">
        <f t="shared" si="1"/>
        <v>118006</v>
      </c>
    </row>
    <row r="64" spans="3:22" s="4" customFormat="1">
      <c r="S64" s="4">
        <v>117006</v>
      </c>
      <c r="U64" s="4">
        <f t="shared" si="0"/>
        <v>117006</v>
      </c>
      <c r="V64" s="4">
        <f t="shared" si="1"/>
        <v>118006</v>
      </c>
    </row>
    <row r="65" spans="3:22" s="4" customFormat="1">
      <c r="T65" s="4">
        <v>117006</v>
      </c>
      <c r="U65" s="4">
        <f t="shared" si="0"/>
        <v>117006</v>
      </c>
      <c r="V65" s="4">
        <f t="shared" si="1"/>
        <v>118006</v>
      </c>
    </row>
    <row r="66" spans="3:22">
      <c r="C66" s="4">
        <v>117007</v>
      </c>
      <c r="D66" s="4">
        <v>0</v>
      </c>
      <c r="E66" s="4"/>
      <c r="G66" s="4">
        <v>117007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>
        <f t="shared" si="0"/>
        <v>117007</v>
      </c>
      <c r="V66" s="4">
        <f t="shared" si="1"/>
        <v>118007</v>
      </c>
    </row>
    <row r="67" spans="3:22" s="4" customFormat="1">
      <c r="H67" s="4">
        <v>117007</v>
      </c>
      <c r="U67" s="4">
        <f t="shared" si="0"/>
        <v>117007</v>
      </c>
      <c r="V67" s="4">
        <f t="shared" si="1"/>
        <v>118007</v>
      </c>
    </row>
    <row r="68" spans="3:22" s="4" customFormat="1">
      <c r="I68" s="4">
        <v>117007</v>
      </c>
      <c r="U68" s="4">
        <f t="shared" si="0"/>
        <v>117007</v>
      </c>
      <c r="V68" s="4">
        <f t="shared" si="1"/>
        <v>118007</v>
      </c>
    </row>
    <row r="69" spans="3:22" s="4" customFormat="1">
      <c r="E69" s="4">
        <v>0</v>
      </c>
      <c r="J69" s="4">
        <v>117007</v>
      </c>
      <c r="U69" s="4">
        <f t="shared" si="0"/>
        <v>117007</v>
      </c>
      <c r="V69" s="4">
        <f t="shared" si="1"/>
        <v>118007</v>
      </c>
    </row>
    <row r="70" spans="3:22" s="4" customFormat="1">
      <c r="K70" s="4">
        <v>117007</v>
      </c>
      <c r="U70" s="4">
        <f t="shared" si="0"/>
        <v>117007</v>
      </c>
      <c r="V70" s="4">
        <f t="shared" si="1"/>
        <v>118007</v>
      </c>
    </row>
    <row r="71" spans="3:22" s="4" customFormat="1">
      <c r="L71" s="4">
        <v>117007</v>
      </c>
      <c r="U71" s="4">
        <f t="shared" si="0"/>
        <v>117007</v>
      </c>
      <c r="V71" s="4">
        <f t="shared" si="1"/>
        <v>118007</v>
      </c>
    </row>
    <row r="72" spans="3:22" s="4" customFormat="1">
      <c r="M72" s="4">
        <v>117007</v>
      </c>
      <c r="U72" s="4">
        <f t="shared" si="0"/>
        <v>117007</v>
      </c>
      <c r="V72" s="4">
        <f t="shared" si="1"/>
        <v>118007</v>
      </c>
    </row>
    <row r="73" spans="3:22" s="4" customFormat="1">
      <c r="D73" s="4">
        <v>0</v>
      </c>
      <c r="N73" s="4">
        <v>117007</v>
      </c>
      <c r="U73" s="4">
        <f t="shared" si="0"/>
        <v>117007</v>
      </c>
      <c r="V73" s="4">
        <f t="shared" si="1"/>
        <v>118007</v>
      </c>
    </row>
    <row r="74" spans="3:22" s="4" customFormat="1">
      <c r="D74" s="4">
        <v>0</v>
      </c>
      <c r="O74" s="4">
        <v>117007</v>
      </c>
      <c r="U74" s="4">
        <f t="shared" si="0"/>
        <v>117007</v>
      </c>
      <c r="V74" s="4">
        <f t="shared" si="1"/>
        <v>118007</v>
      </c>
    </row>
    <row r="75" spans="3:22" s="4" customFormat="1">
      <c r="D75" s="4">
        <v>0</v>
      </c>
      <c r="P75" s="4">
        <v>117007</v>
      </c>
      <c r="U75" s="4">
        <f t="shared" ref="U75:U138" si="2">SUM(G75:T75)</f>
        <v>117007</v>
      </c>
      <c r="V75" s="4">
        <f t="shared" ref="V75:V138" si="3">U75+1000</f>
        <v>118007</v>
      </c>
    </row>
    <row r="76" spans="3:22" s="4" customFormat="1">
      <c r="Q76" s="4">
        <v>117007</v>
      </c>
      <c r="U76" s="4">
        <f t="shared" si="2"/>
        <v>117007</v>
      </c>
      <c r="V76" s="4">
        <f t="shared" si="3"/>
        <v>118007</v>
      </c>
    </row>
    <row r="77" spans="3:22" s="4" customFormat="1">
      <c r="E77" s="4">
        <v>0</v>
      </c>
      <c r="R77" s="4">
        <v>117007</v>
      </c>
      <c r="U77" s="4">
        <f t="shared" si="2"/>
        <v>117007</v>
      </c>
      <c r="V77" s="4">
        <f t="shared" si="3"/>
        <v>118007</v>
      </c>
    </row>
    <row r="78" spans="3:22" s="4" customFormat="1">
      <c r="S78" s="4">
        <v>117007</v>
      </c>
      <c r="U78" s="4">
        <f t="shared" si="2"/>
        <v>117007</v>
      </c>
      <c r="V78" s="4">
        <f t="shared" si="3"/>
        <v>118007</v>
      </c>
    </row>
    <row r="79" spans="3:22" s="4" customFormat="1">
      <c r="T79" s="4">
        <v>117007</v>
      </c>
      <c r="U79" s="4">
        <f t="shared" si="2"/>
        <v>117007</v>
      </c>
      <c r="V79" s="4">
        <f t="shared" si="3"/>
        <v>118007</v>
      </c>
    </row>
    <row r="80" spans="3:22">
      <c r="C80" s="4">
        <v>117008</v>
      </c>
      <c r="D80" s="4">
        <v>0</v>
      </c>
      <c r="E80" s="4"/>
      <c r="G80" s="4">
        <v>117008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>
        <f t="shared" si="2"/>
        <v>117008</v>
      </c>
      <c r="V80" s="4">
        <f t="shared" si="3"/>
        <v>118008</v>
      </c>
    </row>
    <row r="81" spans="3:22" s="4" customFormat="1">
      <c r="H81" s="4">
        <v>117008</v>
      </c>
      <c r="U81" s="4">
        <f t="shared" si="2"/>
        <v>117008</v>
      </c>
      <c r="V81" s="4">
        <f t="shared" si="3"/>
        <v>118008</v>
      </c>
    </row>
    <row r="82" spans="3:22" s="4" customFormat="1">
      <c r="I82" s="4">
        <v>117008</v>
      </c>
      <c r="U82" s="4">
        <f t="shared" si="2"/>
        <v>117008</v>
      </c>
      <c r="V82" s="4">
        <f t="shared" si="3"/>
        <v>118008</v>
      </c>
    </row>
    <row r="83" spans="3:22" s="4" customFormat="1">
      <c r="E83" s="4">
        <v>0</v>
      </c>
      <c r="J83" s="4">
        <v>117008</v>
      </c>
      <c r="U83" s="4">
        <f t="shared" si="2"/>
        <v>117008</v>
      </c>
      <c r="V83" s="4">
        <f t="shared" si="3"/>
        <v>118008</v>
      </c>
    </row>
    <row r="84" spans="3:22" s="4" customFormat="1">
      <c r="K84" s="4">
        <v>117008</v>
      </c>
      <c r="U84" s="4">
        <f t="shared" si="2"/>
        <v>117008</v>
      </c>
      <c r="V84" s="4">
        <f t="shared" si="3"/>
        <v>118008</v>
      </c>
    </row>
    <row r="85" spans="3:22" s="4" customFormat="1">
      <c r="L85" s="4">
        <v>117008</v>
      </c>
      <c r="U85" s="4">
        <f t="shared" si="2"/>
        <v>117008</v>
      </c>
      <c r="V85" s="4">
        <f t="shared" si="3"/>
        <v>118008</v>
      </c>
    </row>
    <row r="86" spans="3:22" s="4" customFormat="1">
      <c r="M86" s="4">
        <v>117008</v>
      </c>
      <c r="U86" s="4">
        <f t="shared" si="2"/>
        <v>117008</v>
      </c>
      <c r="V86" s="4">
        <f t="shared" si="3"/>
        <v>118008</v>
      </c>
    </row>
    <row r="87" spans="3:22" s="4" customFormat="1">
      <c r="D87" s="4">
        <v>0</v>
      </c>
      <c r="N87" s="4">
        <v>117008</v>
      </c>
      <c r="U87" s="4">
        <f t="shared" si="2"/>
        <v>117008</v>
      </c>
      <c r="V87" s="4">
        <f t="shared" si="3"/>
        <v>118008</v>
      </c>
    </row>
    <row r="88" spans="3:22" s="4" customFormat="1">
      <c r="D88" s="4">
        <v>0</v>
      </c>
      <c r="O88" s="4">
        <v>117008</v>
      </c>
      <c r="U88" s="4">
        <f t="shared" si="2"/>
        <v>117008</v>
      </c>
      <c r="V88" s="4">
        <f t="shared" si="3"/>
        <v>118008</v>
      </c>
    </row>
    <row r="89" spans="3:22" s="4" customFormat="1">
      <c r="D89" s="4">
        <v>0</v>
      </c>
      <c r="P89" s="4">
        <v>117008</v>
      </c>
      <c r="U89" s="4">
        <f t="shared" si="2"/>
        <v>117008</v>
      </c>
      <c r="V89" s="4">
        <f t="shared" si="3"/>
        <v>118008</v>
      </c>
    </row>
    <row r="90" spans="3:22" s="4" customFormat="1">
      <c r="Q90" s="4">
        <v>117008</v>
      </c>
      <c r="U90" s="4">
        <f t="shared" si="2"/>
        <v>117008</v>
      </c>
      <c r="V90" s="4">
        <f t="shared" si="3"/>
        <v>118008</v>
      </c>
    </row>
    <row r="91" spans="3:22" s="4" customFormat="1">
      <c r="E91" s="4">
        <v>0</v>
      </c>
      <c r="R91" s="4">
        <v>117008</v>
      </c>
      <c r="U91" s="4">
        <f t="shared" si="2"/>
        <v>117008</v>
      </c>
      <c r="V91" s="4">
        <f t="shared" si="3"/>
        <v>118008</v>
      </c>
    </row>
    <row r="92" spans="3:22" s="4" customFormat="1">
      <c r="S92" s="4">
        <v>117008</v>
      </c>
      <c r="U92" s="4">
        <f t="shared" si="2"/>
        <v>117008</v>
      </c>
      <c r="V92" s="4">
        <f t="shared" si="3"/>
        <v>118008</v>
      </c>
    </row>
    <row r="93" spans="3:22" s="4" customFormat="1">
      <c r="T93" s="4">
        <v>117008</v>
      </c>
      <c r="U93" s="4">
        <f t="shared" si="2"/>
        <v>117008</v>
      </c>
      <c r="V93" s="4">
        <f t="shared" si="3"/>
        <v>118008</v>
      </c>
    </row>
    <row r="94" spans="3:22">
      <c r="C94" s="4">
        <v>117009</v>
      </c>
      <c r="D94" s="4">
        <v>0</v>
      </c>
      <c r="E94" s="4"/>
      <c r="G94" s="4">
        <v>117009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>
        <f t="shared" si="2"/>
        <v>117009</v>
      </c>
      <c r="V94" s="4">
        <f t="shared" si="3"/>
        <v>118009</v>
      </c>
    </row>
    <row r="95" spans="3:22" s="4" customFormat="1">
      <c r="H95" s="4">
        <v>117009</v>
      </c>
      <c r="U95" s="4">
        <f t="shared" si="2"/>
        <v>117009</v>
      </c>
      <c r="V95" s="4">
        <f t="shared" si="3"/>
        <v>118009</v>
      </c>
    </row>
    <row r="96" spans="3:22" s="4" customFormat="1">
      <c r="I96" s="4">
        <v>117009</v>
      </c>
      <c r="U96" s="4">
        <f t="shared" si="2"/>
        <v>117009</v>
      </c>
      <c r="V96" s="4">
        <f t="shared" si="3"/>
        <v>118009</v>
      </c>
    </row>
    <row r="97" spans="3:22" s="4" customFormat="1">
      <c r="E97" s="4">
        <v>0</v>
      </c>
      <c r="J97" s="4">
        <v>117009</v>
      </c>
      <c r="U97" s="4">
        <f t="shared" si="2"/>
        <v>117009</v>
      </c>
      <c r="V97" s="4">
        <f t="shared" si="3"/>
        <v>118009</v>
      </c>
    </row>
    <row r="98" spans="3:22" s="4" customFormat="1">
      <c r="K98" s="4">
        <v>117009</v>
      </c>
      <c r="U98" s="4">
        <f t="shared" si="2"/>
        <v>117009</v>
      </c>
      <c r="V98" s="4">
        <f t="shared" si="3"/>
        <v>118009</v>
      </c>
    </row>
    <row r="99" spans="3:22" s="4" customFormat="1">
      <c r="L99" s="4">
        <v>117009</v>
      </c>
      <c r="U99" s="4">
        <f t="shared" si="2"/>
        <v>117009</v>
      </c>
      <c r="V99" s="4">
        <f t="shared" si="3"/>
        <v>118009</v>
      </c>
    </row>
    <row r="100" spans="3:22" s="4" customFormat="1">
      <c r="M100" s="4">
        <v>117009</v>
      </c>
      <c r="U100" s="4">
        <f t="shared" si="2"/>
        <v>117009</v>
      </c>
      <c r="V100" s="4">
        <f t="shared" si="3"/>
        <v>118009</v>
      </c>
    </row>
    <row r="101" spans="3:22" s="4" customFormat="1">
      <c r="D101" s="4">
        <v>0</v>
      </c>
      <c r="N101" s="4">
        <v>117009</v>
      </c>
      <c r="U101" s="4">
        <f t="shared" si="2"/>
        <v>117009</v>
      </c>
      <c r="V101" s="4">
        <f t="shared" si="3"/>
        <v>118009</v>
      </c>
    </row>
    <row r="102" spans="3:22" s="4" customFormat="1">
      <c r="D102" s="4">
        <v>0</v>
      </c>
      <c r="O102" s="4">
        <v>117009</v>
      </c>
      <c r="U102" s="4">
        <f t="shared" si="2"/>
        <v>117009</v>
      </c>
      <c r="V102" s="4">
        <f t="shared" si="3"/>
        <v>118009</v>
      </c>
    </row>
    <row r="103" spans="3:22" s="4" customFormat="1">
      <c r="D103" s="4">
        <v>0</v>
      </c>
      <c r="P103" s="4">
        <v>117009</v>
      </c>
      <c r="U103" s="4">
        <f t="shared" si="2"/>
        <v>117009</v>
      </c>
      <c r="V103" s="4">
        <f t="shared" si="3"/>
        <v>118009</v>
      </c>
    </row>
    <row r="104" spans="3:22" s="4" customFormat="1">
      <c r="Q104" s="4">
        <v>117009</v>
      </c>
      <c r="U104" s="4">
        <f t="shared" si="2"/>
        <v>117009</v>
      </c>
      <c r="V104" s="4">
        <f t="shared" si="3"/>
        <v>118009</v>
      </c>
    </row>
    <row r="105" spans="3:22" s="4" customFormat="1">
      <c r="E105" s="4">
        <v>0</v>
      </c>
      <c r="R105" s="4">
        <v>117009</v>
      </c>
      <c r="U105" s="4">
        <f t="shared" si="2"/>
        <v>117009</v>
      </c>
      <c r="V105" s="4">
        <f t="shared" si="3"/>
        <v>118009</v>
      </c>
    </row>
    <row r="106" spans="3:22" s="4" customFormat="1">
      <c r="S106" s="4">
        <v>117009</v>
      </c>
      <c r="U106" s="4">
        <f t="shared" si="2"/>
        <v>117009</v>
      </c>
      <c r="V106" s="4">
        <f t="shared" si="3"/>
        <v>118009</v>
      </c>
    </row>
    <row r="107" spans="3:22" s="4" customFormat="1">
      <c r="T107" s="4">
        <v>117009</v>
      </c>
      <c r="U107" s="4">
        <f t="shared" si="2"/>
        <v>117009</v>
      </c>
      <c r="V107" s="4">
        <f t="shared" si="3"/>
        <v>118009</v>
      </c>
    </row>
    <row r="108" spans="3:22">
      <c r="C108" s="4">
        <v>117010</v>
      </c>
      <c r="D108" s="4">
        <v>0</v>
      </c>
      <c r="E108" s="4"/>
      <c r="G108" s="4">
        <v>117010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>
        <f t="shared" si="2"/>
        <v>117010</v>
      </c>
      <c r="V108" s="4">
        <f t="shared" si="3"/>
        <v>118010</v>
      </c>
    </row>
    <row r="109" spans="3:22" s="4" customFormat="1">
      <c r="H109" s="4">
        <v>117010</v>
      </c>
      <c r="U109" s="4">
        <f t="shared" si="2"/>
        <v>117010</v>
      </c>
      <c r="V109" s="4">
        <f t="shared" si="3"/>
        <v>118010</v>
      </c>
    </row>
    <row r="110" spans="3:22" s="4" customFormat="1">
      <c r="I110" s="4">
        <v>117010</v>
      </c>
      <c r="U110" s="4">
        <f t="shared" si="2"/>
        <v>117010</v>
      </c>
      <c r="V110" s="4">
        <f t="shared" si="3"/>
        <v>118010</v>
      </c>
    </row>
    <row r="111" spans="3:22" s="4" customFormat="1">
      <c r="E111" s="4">
        <v>0</v>
      </c>
      <c r="J111" s="4">
        <v>117010</v>
      </c>
      <c r="U111" s="4">
        <f t="shared" si="2"/>
        <v>117010</v>
      </c>
      <c r="V111" s="4">
        <f t="shared" si="3"/>
        <v>118010</v>
      </c>
    </row>
    <row r="112" spans="3:22" s="4" customFormat="1">
      <c r="K112" s="4">
        <v>117010</v>
      </c>
      <c r="U112" s="4">
        <f t="shared" si="2"/>
        <v>117010</v>
      </c>
      <c r="V112" s="4">
        <f t="shared" si="3"/>
        <v>118010</v>
      </c>
    </row>
    <row r="113" spans="3:22" s="4" customFormat="1">
      <c r="L113" s="4">
        <v>117010</v>
      </c>
      <c r="U113" s="4">
        <f t="shared" si="2"/>
        <v>117010</v>
      </c>
      <c r="V113" s="4">
        <f t="shared" si="3"/>
        <v>118010</v>
      </c>
    </row>
    <row r="114" spans="3:22" s="4" customFormat="1">
      <c r="M114" s="4">
        <v>117010</v>
      </c>
      <c r="U114" s="4">
        <f t="shared" si="2"/>
        <v>117010</v>
      </c>
      <c r="V114" s="4">
        <f t="shared" si="3"/>
        <v>118010</v>
      </c>
    </row>
    <row r="115" spans="3:22" s="4" customFormat="1">
      <c r="D115" s="4">
        <v>0</v>
      </c>
      <c r="N115" s="4">
        <v>117010</v>
      </c>
      <c r="U115" s="4">
        <f t="shared" si="2"/>
        <v>117010</v>
      </c>
      <c r="V115" s="4">
        <f t="shared" si="3"/>
        <v>118010</v>
      </c>
    </row>
    <row r="116" spans="3:22" s="4" customFormat="1">
      <c r="D116" s="4">
        <v>0</v>
      </c>
      <c r="O116" s="4">
        <v>117010</v>
      </c>
      <c r="U116" s="4">
        <f t="shared" si="2"/>
        <v>117010</v>
      </c>
      <c r="V116" s="4">
        <f t="shared" si="3"/>
        <v>118010</v>
      </c>
    </row>
    <row r="117" spans="3:22" s="4" customFormat="1">
      <c r="D117" s="4">
        <v>0</v>
      </c>
      <c r="P117" s="4">
        <v>117010</v>
      </c>
      <c r="U117" s="4">
        <f t="shared" si="2"/>
        <v>117010</v>
      </c>
      <c r="V117" s="4">
        <f t="shared" si="3"/>
        <v>118010</v>
      </c>
    </row>
    <row r="118" spans="3:22" s="4" customFormat="1">
      <c r="Q118" s="4">
        <v>117010</v>
      </c>
      <c r="U118" s="4">
        <f t="shared" si="2"/>
        <v>117010</v>
      </c>
      <c r="V118" s="4">
        <f t="shared" si="3"/>
        <v>118010</v>
      </c>
    </row>
    <row r="119" spans="3:22" s="4" customFormat="1">
      <c r="E119" s="4">
        <v>0</v>
      </c>
      <c r="R119" s="4">
        <v>117010</v>
      </c>
      <c r="U119" s="4">
        <f t="shared" si="2"/>
        <v>117010</v>
      </c>
      <c r="V119" s="4">
        <f t="shared" si="3"/>
        <v>118010</v>
      </c>
    </row>
    <row r="120" spans="3:22" s="4" customFormat="1">
      <c r="S120" s="4">
        <v>117010</v>
      </c>
      <c r="U120" s="4">
        <f t="shared" si="2"/>
        <v>117010</v>
      </c>
      <c r="V120" s="4">
        <f t="shared" si="3"/>
        <v>118010</v>
      </c>
    </row>
    <row r="121" spans="3:22" s="4" customFormat="1">
      <c r="T121" s="4">
        <v>117010</v>
      </c>
      <c r="U121" s="4">
        <f t="shared" si="2"/>
        <v>117010</v>
      </c>
      <c r="V121" s="4">
        <f t="shared" si="3"/>
        <v>118010</v>
      </c>
    </row>
    <row r="122" spans="3:22">
      <c r="C122" s="4">
        <v>117011</v>
      </c>
      <c r="D122" s="4">
        <v>0</v>
      </c>
      <c r="E122" s="4"/>
      <c r="G122" s="4">
        <v>117011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>
        <f t="shared" si="2"/>
        <v>117011</v>
      </c>
      <c r="V122" s="4">
        <f t="shared" si="3"/>
        <v>118011</v>
      </c>
    </row>
    <row r="123" spans="3:22" s="4" customFormat="1">
      <c r="H123" s="4">
        <v>117011</v>
      </c>
      <c r="U123" s="4">
        <f t="shared" si="2"/>
        <v>117011</v>
      </c>
      <c r="V123" s="4">
        <f t="shared" si="3"/>
        <v>118011</v>
      </c>
    </row>
    <row r="124" spans="3:22" s="4" customFormat="1">
      <c r="I124" s="4">
        <v>117011</v>
      </c>
      <c r="U124" s="4">
        <f t="shared" si="2"/>
        <v>117011</v>
      </c>
      <c r="V124" s="4">
        <f t="shared" si="3"/>
        <v>118011</v>
      </c>
    </row>
    <row r="125" spans="3:22" s="4" customFormat="1">
      <c r="E125" s="4">
        <v>0</v>
      </c>
      <c r="J125" s="4">
        <v>117011</v>
      </c>
      <c r="U125" s="4">
        <f t="shared" si="2"/>
        <v>117011</v>
      </c>
      <c r="V125" s="4">
        <f t="shared" si="3"/>
        <v>118011</v>
      </c>
    </row>
    <row r="126" spans="3:22" s="4" customFormat="1">
      <c r="K126" s="4">
        <v>117011</v>
      </c>
      <c r="U126" s="4">
        <f t="shared" si="2"/>
        <v>117011</v>
      </c>
      <c r="V126" s="4">
        <f t="shared" si="3"/>
        <v>118011</v>
      </c>
    </row>
    <row r="127" spans="3:22" s="4" customFormat="1">
      <c r="L127" s="4">
        <v>117011</v>
      </c>
      <c r="U127" s="4">
        <f t="shared" si="2"/>
        <v>117011</v>
      </c>
      <c r="V127" s="4">
        <f t="shared" si="3"/>
        <v>118011</v>
      </c>
    </row>
    <row r="128" spans="3:22" s="4" customFormat="1">
      <c r="M128" s="4">
        <v>117011</v>
      </c>
      <c r="U128" s="4">
        <f t="shared" si="2"/>
        <v>117011</v>
      </c>
      <c r="V128" s="4">
        <f t="shared" si="3"/>
        <v>118011</v>
      </c>
    </row>
    <row r="129" spans="3:22" s="4" customFormat="1">
      <c r="D129" s="4">
        <v>0</v>
      </c>
      <c r="N129" s="4">
        <v>117011</v>
      </c>
      <c r="U129" s="4">
        <f t="shared" si="2"/>
        <v>117011</v>
      </c>
      <c r="V129" s="4">
        <f t="shared" si="3"/>
        <v>118011</v>
      </c>
    </row>
    <row r="130" spans="3:22" s="4" customFormat="1">
      <c r="D130" s="4">
        <v>0</v>
      </c>
      <c r="O130" s="4">
        <v>117011</v>
      </c>
      <c r="U130" s="4">
        <f t="shared" si="2"/>
        <v>117011</v>
      </c>
      <c r="V130" s="4">
        <f t="shared" si="3"/>
        <v>118011</v>
      </c>
    </row>
    <row r="131" spans="3:22" s="4" customFormat="1">
      <c r="D131" s="4">
        <v>0</v>
      </c>
      <c r="P131" s="4">
        <v>117011</v>
      </c>
      <c r="U131" s="4">
        <f t="shared" si="2"/>
        <v>117011</v>
      </c>
      <c r="V131" s="4">
        <f t="shared" si="3"/>
        <v>118011</v>
      </c>
    </row>
    <row r="132" spans="3:22" s="4" customFormat="1">
      <c r="Q132" s="4">
        <v>117011</v>
      </c>
      <c r="U132" s="4">
        <f t="shared" si="2"/>
        <v>117011</v>
      </c>
      <c r="V132" s="4">
        <f t="shared" si="3"/>
        <v>118011</v>
      </c>
    </row>
    <row r="133" spans="3:22" s="4" customFormat="1">
      <c r="E133" s="4">
        <v>0</v>
      </c>
      <c r="R133" s="4">
        <v>117011</v>
      </c>
      <c r="U133" s="4">
        <f t="shared" si="2"/>
        <v>117011</v>
      </c>
      <c r="V133" s="4">
        <f t="shared" si="3"/>
        <v>118011</v>
      </c>
    </row>
    <row r="134" spans="3:22" s="4" customFormat="1">
      <c r="S134" s="4">
        <v>117011</v>
      </c>
      <c r="U134" s="4">
        <f t="shared" si="2"/>
        <v>117011</v>
      </c>
      <c r="V134" s="4">
        <f t="shared" si="3"/>
        <v>118011</v>
      </c>
    </row>
    <row r="135" spans="3:22" s="4" customFormat="1">
      <c r="T135" s="4">
        <v>117011</v>
      </c>
      <c r="U135" s="4">
        <f t="shared" si="2"/>
        <v>117011</v>
      </c>
      <c r="V135" s="4">
        <f t="shared" si="3"/>
        <v>118011</v>
      </c>
    </row>
    <row r="136" spans="3:22">
      <c r="C136" s="4">
        <v>117012</v>
      </c>
      <c r="D136" s="4">
        <v>0</v>
      </c>
      <c r="E136" s="4"/>
      <c r="G136" s="4">
        <v>117012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>
        <f t="shared" si="2"/>
        <v>117012</v>
      </c>
      <c r="V136" s="4">
        <f t="shared" si="3"/>
        <v>118012</v>
      </c>
    </row>
    <row r="137" spans="3:22" s="4" customFormat="1">
      <c r="H137" s="4">
        <v>117012</v>
      </c>
      <c r="U137" s="4">
        <f t="shared" si="2"/>
        <v>117012</v>
      </c>
      <c r="V137" s="4">
        <f t="shared" si="3"/>
        <v>118012</v>
      </c>
    </row>
    <row r="138" spans="3:22" s="4" customFormat="1">
      <c r="I138" s="4">
        <v>117012</v>
      </c>
      <c r="U138" s="4">
        <f t="shared" si="2"/>
        <v>117012</v>
      </c>
      <c r="V138" s="4">
        <f t="shared" si="3"/>
        <v>118012</v>
      </c>
    </row>
    <row r="139" spans="3:22" s="4" customFormat="1">
      <c r="E139" s="4">
        <v>0</v>
      </c>
      <c r="J139" s="4">
        <v>117012</v>
      </c>
      <c r="U139" s="4">
        <f t="shared" ref="U139:U202" si="4">SUM(G139:T139)</f>
        <v>117012</v>
      </c>
      <c r="V139" s="4">
        <f t="shared" ref="V139:V202" si="5">U139+1000</f>
        <v>118012</v>
      </c>
    </row>
    <row r="140" spans="3:22" s="4" customFormat="1">
      <c r="K140" s="4">
        <v>117012</v>
      </c>
      <c r="U140" s="4">
        <f t="shared" si="4"/>
        <v>117012</v>
      </c>
      <c r="V140" s="4">
        <f t="shared" si="5"/>
        <v>118012</v>
      </c>
    </row>
    <row r="141" spans="3:22" s="4" customFormat="1">
      <c r="L141" s="4">
        <v>117012</v>
      </c>
      <c r="U141" s="4">
        <f t="shared" si="4"/>
        <v>117012</v>
      </c>
      <c r="V141" s="4">
        <f t="shared" si="5"/>
        <v>118012</v>
      </c>
    </row>
    <row r="142" spans="3:22" s="4" customFormat="1">
      <c r="M142" s="4">
        <v>117012</v>
      </c>
      <c r="U142" s="4">
        <f t="shared" si="4"/>
        <v>117012</v>
      </c>
      <c r="V142" s="4">
        <f t="shared" si="5"/>
        <v>118012</v>
      </c>
    </row>
    <row r="143" spans="3:22" s="4" customFormat="1">
      <c r="D143" s="4">
        <v>0</v>
      </c>
      <c r="N143" s="4">
        <v>117012</v>
      </c>
      <c r="U143" s="4">
        <f t="shared" si="4"/>
        <v>117012</v>
      </c>
      <c r="V143" s="4">
        <f t="shared" si="5"/>
        <v>118012</v>
      </c>
    </row>
    <row r="144" spans="3:22" s="4" customFormat="1">
      <c r="D144" s="4">
        <v>0</v>
      </c>
      <c r="O144" s="4">
        <v>117012</v>
      </c>
      <c r="U144" s="4">
        <f t="shared" si="4"/>
        <v>117012</v>
      </c>
      <c r="V144" s="4">
        <f t="shared" si="5"/>
        <v>118012</v>
      </c>
    </row>
    <row r="145" spans="3:22" s="4" customFormat="1">
      <c r="D145" s="4">
        <v>0</v>
      </c>
      <c r="P145" s="4">
        <v>117012</v>
      </c>
      <c r="U145" s="4">
        <f t="shared" si="4"/>
        <v>117012</v>
      </c>
      <c r="V145" s="4">
        <f t="shared" si="5"/>
        <v>118012</v>
      </c>
    </row>
    <row r="146" spans="3:22" s="4" customFormat="1">
      <c r="Q146" s="4">
        <v>117012</v>
      </c>
      <c r="U146" s="4">
        <f t="shared" si="4"/>
        <v>117012</v>
      </c>
      <c r="V146" s="4">
        <f t="shared" si="5"/>
        <v>118012</v>
      </c>
    </row>
    <row r="147" spans="3:22" s="4" customFormat="1">
      <c r="E147" s="4">
        <v>0</v>
      </c>
      <c r="R147" s="4">
        <v>117012</v>
      </c>
      <c r="U147" s="4">
        <f t="shared" si="4"/>
        <v>117012</v>
      </c>
      <c r="V147" s="4">
        <f t="shared" si="5"/>
        <v>118012</v>
      </c>
    </row>
    <row r="148" spans="3:22" s="4" customFormat="1">
      <c r="S148" s="4">
        <v>117012</v>
      </c>
      <c r="U148" s="4">
        <f t="shared" si="4"/>
        <v>117012</v>
      </c>
      <c r="V148" s="4">
        <f t="shared" si="5"/>
        <v>118012</v>
      </c>
    </row>
    <row r="149" spans="3:22" s="4" customFormat="1">
      <c r="T149" s="4">
        <v>117012</v>
      </c>
      <c r="U149" s="4">
        <f t="shared" si="4"/>
        <v>117012</v>
      </c>
      <c r="V149" s="4">
        <f t="shared" si="5"/>
        <v>118012</v>
      </c>
    </row>
    <row r="150" spans="3:22">
      <c r="C150" s="4">
        <v>117013</v>
      </c>
      <c r="D150" s="4">
        <v>0</v>
      </c>
      <c r="E150" s="4"/>
      <c r="G150" s="4">
        <v>117013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>
        <f t="shared" si="4"/>
        <v>117013</v>
      </c>
      <c r="V150" s="4">
        <f t="shared" si="5"/>
        <v>118013</v>
      </c>
    </row>
    <row r="151" spans="3:22" s="4" customFormat="1">
      <c r="H151" s="4">
        <v>117013</v>
      </c>
      <c r="U151" s="4">
        <f t="shared" si="4"/>
        <v>117013</v>
      </c>
      <c r="V151" s="4">
        <f t="shared" si="5"/>
        <v>118013</v>
      </c>
    </row>
    <row r="152" spans="3:22" s="4" customFormat="1">
      <c r="I152" s="4">
        <v>117013</v>
      </c>
      <c r="U152" s="4">
        <f t="shared" si="4"/>
        <v>117013</v>
      </c>
      <c r="V152" s="4">
        <f t="shared" si="5"/>
        <v>118013</v>
      </c>
    </row>
    <row r="153" spans="3:22" s="4" customFormat="1">
      <c r="E153" s="4">
        <v>0</v>
      </c>
      <c r="J153" s="4">
        <v>117013</v>
      </c>
      <c r="U153" s="4">
        <f t="shared" si="4"/>
        <v>117013</v>
      </c>
      <c r="V153" s="4">
        <f t="shared" si="5"/>
        <v>118013</v>
      </c>
    </row>
    <row r="154" spans="3:22" s="4" customFormat="1">
      <c r="K154" s="4">
        <v>117013</v>
      </c>
      <c r="U154" s="4">
        <f t="shared" si="4"/>
        <v>117013</v>
      </c>
      <c r="V154" s="4">
        <f t="shared" si="5"/>
        <v>118013</v>
      </c>
    </row>
    <row r="155" spans="3:22" s="4" customFormat="1">
      <c r="L155" s="4">
        <v>117013</v>
      </c>
      <c r="U155" s="4">
        <f t="shared" si="4"/>
        <v>117013</v>
      </c>
      <c r="V155" s="4">
        <f t="shared" si="5"/>
        <v>118013</v>
      </c>
    </row>
    <row r="156" spans="3:22" s="4" customFormat="1">
      <c r="M156" s="4">
        <v>117013</v>
      </c>
      <c r="U156" s="4">
        <f t="shared" si="4"/>
        <v>117013</v>
      </c>
      <c r="V156" s="4">
        <f t="shared" si="5"/>
        <v>118013</v>
      </c>
    </row>
    <row r="157" spans="3:22" s="4" customFormat="1">
      <c r="D157" s="4">
        <v>0</v>
      </c>
      <c r="N157" s="4">
        <v>117013</v>
      </c>
      <c r="U157" s="4">
        <f t="shared" si="4"/>
        <v>117013</v>
      </c>
      <c r="V157" s="4">
        <f t="shared" si="5"/>
        <v>118013</v>
      </c>
    </row>
    <row r="158" spans="3:22" s="4" customFormat="1">
      <c r="D158" s="4">
        <v>0</v>
      </c>
      <c r="O158" s="4">
        <v>117013</v>
      </c>
      <c r="U158" s="4">
        <f t="shared" si="4"/>
        <v>117013</v>
      </c>
      <c r="V158" s="4">
        <f t="shared" si="5"/>
        <v>118013</v>
      </c>
    </row>
    <row r="159" spans="3:22" s="4" customFormat="1">
      <c r="D159" s="4">
        <v>0</v>
      </c>
      <c r="P159" s="4">
        <v>117013</v>
      </c>
      <c r="U159" s="4">
        <f t="shared" si="4"/>
        <v>117013</v>
      </c>
      <c r="V159" s="4">
        <f t="shared" si="5"/>
        <v>118013</v>
      </c>
    </row>
    <row r="160" spans="3:22" s="4" customFormat="1">
      <c r="Q160" s="4">
        <v>117013</v>
      </c>
      <c r="U160" s="4">
        <f t="shared" si="4"/>
        <v>117013</v>
      </c>
      <c r="V160" s="4">
        <f t="shared" si="5"/>
        <v>118013</v>
      </c>
    </row>
    <row r="161" spans="3:22" s="4" customFormat="1">
      <c r="E161" s="4">
        <v>0</v>
      </c>
      <c r="R161" s="4">
        <v>117013</v>
      </c>
      <c r="U161" s="4">
        <f t="shared" si="4"/>
        <v>117013</v>
      </c>
      <c r="V161" s="4">
        <f t="shared" si="5"/>
        <v>118013</v>
      </c>
    </row>
    <row r="162" spans="3:22" s="4" customFormat="1">
      <c r="S162" s="4">
        <v>117013</v>
      </c>
      <c r="U162" s="4">
        <f t="shared" si="4"/>
        <v>117013</v>
      </c>
      <c r="V162" s="4">
        <f t="shared" si="5"/>
        <v>118013</v>
      </c>
    </row>
    <row r="163" spans="3:22" s="4" customFormat="1">
      <c r="T163" s="4">
        <v>117013</v>
      </c>
      <c r="U163" s="4">
        <f t="shared" si="4"/>
        <v>117013</v>
      </c>
      <c r="V163" s="4">
        <f t="shared" si="5"/>
        <v>118013</v>
      </c>
    </row>
    <row r="164" spans="3:22">
      <c r="C164" s="4">
        <v>117014</v>
      </c>
      <c r="D164" s="4">
        <v>0</v>
      </c>
      <c r="E164" s="4"/>
      <c r="G164" s="4">
        <v>117014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>
        <f t="shared" si="4"/>
        <v>117014</v>
      </c>
      <c r="V164" s="4">
        <f t="shared" si="5"/>
        <v>118014</v>
      </c>
    </row>
    <row r="165" spans="3:22" s="4" customFormat="1">
      <c r="H165" s="4">
        <v>117014</v>
      </c>
      <c r="U165" s="4">
        <f t="shared" si="4"/>
        <v>117014</v>
      </c>
      <c r="V165" s="4">
        <f t="shared" si="5"/>
        <v>118014</v>
      </c>
    </row>
    <row r="166" spans="3:22" s="4" customFormat="1">
      <c r="I166" s="4">
        <v>117014</v>
      </c>
      <c r="U166" s="4">
        <f t="shared" si="4"/>
        <v>117014</v>
      </c>
      <c r="V166" s="4">
        <f t="shared" si="5"/>
        <v>118014</v>
      </c>
    </row>
    <row r="167" spans="3:22" s="4" customFormat="1">
      <c r="E167" s="4">
        <v>0</v>
      </c>
      <c r="J167" s="4">
        <v>117014</v>
      </c>
      <c r="U167" s="4">
        <f t="shared" si="4"/>
        <v>117014</v>
      </c>
      <c r="V167" s="4">
        <f t="shared" si="5"/>
        <v>118014</v>
      </c>
    </row>
    <row r="168" spans="3:22" s="4" customFormat="1">
      <c r="K168" s="4">
        <v>117014</v>
      </c>
      <c r="U168" s="4">
        <f t="shared" si="4"/>
        <v>117014</v>
      </c>
      <c r="V168" s="4">
        <f t="shared" si="5"/>
        <v>118014</v>
      </c>
    </row>
    <row r="169" spans="3:22" s="4" customFormat="1">
      <c r="L169" s="4">
        <v>117014</v>
      </c>
      <c r="U169" s="4">
        <f t="shared" si="4"/>
        <v>117014</v>
      </c>
      <c r="V169" s="4">
        <f t="shared" si="5"/>
        <v>118014</v>
      </c>
    </row>
    <row r="170" spans="3:22" s="4" customFormat="1">
      <c r="M170" s="4">
        <v>117014</v>
      </c>
      <c r="U170" s="4">
        <f t="shared" si="4"/>
        <v>117014</v>
      </c>
      <c r="V170" s="4">
        <f t="shared" si="5"/>
        <v>118014</v>
      </c>
    </row>
    <row r="171" spans="3:22" s="4" customFormat="1">
      <c r="D171" s="4">
        <v>0</v>
      </c>
      <c r="N171" s="4">
        <v>117014</v>
      </c>
      <c r="U171" s="4">
        <f t="shared" si="4"/>
        <v>117014</v>
      </c>
      <c r="V171" s="4">
        <f t="shared" si="5"/>
        <v>118014</v>
      </c>
    </row>
    <row r="172" spans="3:22" s="4" customFormat="1">
      <c r="D172" s="4">
        <v>0</v>
      </c>
      <c r="O172" s="4">
        <v>117014</v>
      </c>
      <c r="U172" s="4">
        <f t="shared" si="4"/>
        <v>117014</v>
      </c>
      <c r="V172" s="4">
        <f t="shared" si="5"/>
        <v>118014</v>
      </c>
    </row>
    <row r="173" spans="3:22" s="4" customFormat="1">
      <c r="D173" s="4">
        <v>0</v>
      </c>
      <c r="P173" s="4">
        <v>117014</v>
      </c>
      <c r="U173" s="4">
        <f t="shared" si="4"/>
        <v>117014</v>
      </c>
      <c r="V173" s="4">
        <f t="shared" si="5"/>
        <v>118014</v>
      </c>
    </row>
    <row r="174" spans="3:22" s="4" customFormat="1">
      <c r="Q174" s="4">
        <v>117014</v>
      </c>
      <c r="U174" s="4">
        <f t="shared" si="4"/>
        <v>117014</v>
      </c>
      <c r="V174" s="4">
        <f t="shared" si="5"/>
        <v>118014</v>
      </c>
    </row>
    <row r="175" spans="3:22" s="4" customFormat="1">
      <c r="E175" s="4">
        <v>0</v>
      </c>
      <c r="R175" s="4">
        <v>117014</v>
      </c>
      <c r="U175" s="4">
        <f t="shared" si="4"/>
        <v>117014</v>
      </c>
      <c r="V175" s="4">
        <f t="shared" si="5"/>
        <v>118014</v>
      </c>
    </row>
    <row r="176" spans="3:22" s="4" customFormat="1">
      <c r="S176" s="4">
        <v>117014</v>
      </c>
      <c r="U176" s="4">
        <f t="shared" si="4"/>
        <v>117014</v>
      </c>
      <c r="V176" s="4">
        <f t="shared" si="5"/>
        <v>118014</v>
      </c>
    </row>
    <row r="177" spans="3:22" s="4" customFormat="1">
      <c r="T177" s="4">
        <v>117014</v>
      </c>
      <c r="U177" s="4">
        <f t="shared" si="4"/>
        <v>117014</v>
      </c>
      <c r="V177" s="4">
        <f t="shared" si="5"/>
        <v>118014</v>
      </c>
    </row>
    <row r="178" spans="3:22">
      <c r="C178" s="4">
        <v>117015</v>
      </c>
      <c r="D178" s="4">
        <v>0</v>
      </c>
      <c r="E178" s="4"/>
      <c r="G178" s="4">
        <v>117015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>
        <f t="shared" si="4"/>
        <v>117015</v>
      </c>
      <c r="V178" s="4">
        <f t="shared" si="5"/>
        <v>118015</v>
      </c>
    </row>
    <row r="179" spans="3:22" s="4" customFormat="1">
      <c r="H179" s="4">
        <v>117015</v>
      </c>
      <c r="U179" s="4">
        <f t="shared" si="4"/>
        <v>117015</v>
      </c>
      <c r="V179" s="4">
        <f t="shared" si="5"/>
        <v>118015</v>
      </c>
    </row>
    <row r="180" spans="3:22" s="4" customFormat="1">
      <c r="I180" s="4">
        <v>117015</v>
      </c>
      <c r="U180" s="4">
        <f t="shared" si="4"/>
        <v>117015</v>
      </c>
      <c r="V180" s="4">
        <f t="shared" si="5"/>
        <v>118015</v>
      </c>
    </row>
    <row r="181" spans="3:22" s="4" customFormat="1">
      <c r="E181" s="4">
        <v>0</v>
      </c>
      <c r="J181" s="4">
        <v>117015</v>
      </c>
      <c r="U181" s="4">
        <f t="shared" si="4"/>
        <v>117015</v>
      </c>
      <c r="V181" s="4">
        <f t="shared" si="5"/>
        <v>118015</v>
      </c>
    </row>
    <row r="182" spans="3:22" s="4" customFormat="1">
      <c r="K182" s="4">
        <v>117015</v>
      </c>
      <c r="U182" s="4">
        <f t="shared" si="4"/>
        <v>117015</v>
      </c>
      <c r="V182" s="4">
        <f t="shared" si="5"/>
        <v>118015</v>
      </c>
    </row>
    <row r="183" spans="3:22" s="4" customFormat="1">
      <c r="L183" s="4">
        <v>117015</v>
      </c>
      <c r="U183" s="4">
        <f t="shared" si="4"/>
        <v>117015</v>
      </c>
      <c r="V183" s="4">
        <f t="shared" si="5"/>
        <v>118015</v>
      </c>
    </row>
    <row r="184" spans="3:22" s="4" customFormat="1">
      <c r="M184" s="4">
        <v>117015</v>
      </c>
      <c r="U184" s="4">
        <f t="shared" si="4"/>
        <v>117015</v>
      </c>
      <c r="V184" s="4">
        <f t="shared" si="5"/>
        <v>118015</v>
      </c>
    </row>
    <row r="185" spans="3:22" s="4" customFormat="1">
      <c r="D185" s="4">
        <v>0</v>
      </c>
      <c r="N185" s="4">
        <v>117015</v>
      </c>
      <c r="U185" s="4">
        <f t="shared" si="4"/>
        <v>117015</v>
      </c>
      <c r="V185" s="4">
        <f t="shared" si="5"/>
        <v>118015</v>
      </c>
    </row>
    <row r="186" spans="3:22" s="4" customFormat="1">
      <c r="D186" s="4">
        <v>0</v>
      </c>
      <c r="O186" s="4">
        <v>117015</v>
      </c>
      <c r="U186" s="4">
        <f t="shared" si="4"/>
        <v>117015</v>
      </c>
      <c r="V186" s="4">
        <f t="shared" si="5"/>
        <v>118015</v>
      </c>
    </row>
    <row r="187" spans="3:22" s="4" customFormat="1">
      <c r="D187" s="4">
        <v>0</v>
      </c>
      <c r="P187" s="4">
        <v>117015</v>
      </c>
      <c r="U187" s="4">
        <f t="shared" si="4"/>
        <v>117015</v>
      </c>
      <c r="V187" s="4">
        <f t="shared" si="5"/>
        <v>118015</v>
      </c>
    </row>
    <row r="188" spans="3:22" s="4" customFormat="1">
      <c r="Q188" s="4">
        <v>117015</v>
      </c>
      <c r="U188" s="4">
        <f t="shared" si="4"/>
        <v>117015</v>
      </c>
      <c r="V188" s="4">
        <f t="shared" si="5"/>
        <v>118015</v>
      </c>
    </row>
    <row r="189" spans="3:22" s="4" customFormat="1">
      <c r="E189" s="4">
        <v>0</v>
      </c>
      <c r="R189" s="4">
        <v>117015</v>
      </c>
      <c r="U189" s="4">
        <f t="shared" si="4"/>
        <v>117015</v>
      </c>
      <c r="V189" s="4">
        <f t="shared" si="5"/>
        <v>118015</v>
      </c>
    </row>
    <row r="190" spans="3:22" s="4" customFormat="1">
      <c r="S190" s="4">
        <v>117015</v>
      </c>
      <c r="U190" s="4">
        <f t="shared" si="4"/>
        <v>117015</v>
      </c>
      <c r="V190" s="4">
        <f t="shared" si="5"/>
        <v>118015</v>
      </c>
    </row>
    <row r="191" spans="3:22" s="4" customFormat="1">
      <c r="T191" s="4">
        <v>117015</v>
      </c>
      <c r="U191" s="4">
        <f t="shared" si="4"/>
        <v>117015</v>
      </c>
      <c r="V191" s="4">
        <f t="shared" si="5"/>
        <v>118015</v>
      </c>
    </row>
    <row r="192" spans="3:22">
      <c r="C192" s="4">
        <v>117016</v>
      </c>
      <c r="D192" s="4">
        <v>0</v>
      </c>
      <c r="E192" s="4"/>
      <c r="G192" s="4">
        <v>117016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>
        <f t="shared" si="4"/>
        <v>117016</v>
      </c>
      <c r="V192" s="4">
        <f t="shared" si="5"/>
        <v>118016</v>
      </c>
    </row>
    <row r="193" spans="3:22" s="4" customFormat="1">
      <c r="H193" s="4">
        <v>117016</v>
      </c>
      <c r="U193" s="4">
        <f t="shared" si="4"/>
        <v>117016</v>
      </c>
      <c r="V193" s="4">
        <f t="shared" si="5"/>
        <v>118016</v>
      </c>
    </row>
    <row r="194" spans="3:22" s="4" customFormat="1">
      <c r="I194" s="4">
        <v>117016</v>
      </c>
      <c r="U194" s="4">
        <f t="shared" si="4"/>
        <v>117016</v>
      </c>
      <c r="V194" s="4">
        <f t="shared" si="5"/>
        <v>118016</v>
      </c>
    </row>
    <row r="195" spans="3:22" s="4" customFormat="1">
      <c r="E195" s="4">
        <v>0</v>
      </c>
      <c r="J195" s="4">
        <v>117016</v>
      </c>
      <c r="U195" s="4">
        <f t="shared" si="4"/>
        <v>117016</v>
      </c>
      <c r="V195" s="4">
        <f t="shared" si="5"/>
        <v>118016</v>
      </c>
    </row>
    <row r="196" spans="3:22" s="4" customFormat="1">
      <c r="K196" s="4">
        <v>117016</v>
      </c>
      <c r="U196" s="4">
        <f t="shared" si="4"/>
        <v>117016</v>
      </c>
      <c r="V196" s="4">
        <f t="shared" si="5"/>
        <v>118016</v>
      </c>
    </row>
    <row r="197" spans="3:22" s="4" customFormat="1">
      <c r="L197" s="4">
        <v>117016</v>
      </c>
      <c r="U197" s="4">
        <f t="shared" si="4"/>
        <v>117016</v>
      </c>
      <c r="V197" s="4">
        <f t="shared" si="5"/>
        <v>118016</v>
      </c>
    </row>
    <row r="198" spans="3:22" s="4" customFormat="1">
      <c r="M198" s="4">
        <v>117016</v>
      </c>
      <c r="U198" s="4">
        <f t="shared" si="4"/>
        <v>117016</v>
      </c>
      <c r="V198" s="4">
        <f t="shared" si="5"/>
        <v>118016</v>
      </c>
    </row>
    <row r="199" spans="3:22" s="4" customFormat="1">
      <c r="D199" s="4">
        <v>0</v>
      </c>
      <c r="N199" s="4">
        <v>117016</v>
      </c>
      <c r="U199" s="4">
        <f t="shared" si="4"/>
        <v>117016</v>
      </c>
      <c r="V199" s="4">
        <f t="shared" si="5"/>
        <v>118016</v>
      </c>
    </row>
    <row r="200" spans="3:22" s="4" customFormat="1">
      <c r="D200" s="4">
        <v>0</v>
      </c>
      <c r="O200" s="4">
        <v>117016</v>
      </c>
      <c r="U200" s="4">
        <f t="shared" si="4"/>
        <v>117016</v>
      </c>
      <c r="V200" s="4">
        <f t="shared" si="5"/>
        <v>118016</v>
      </c>
    </row>
    <row r="201" spans="3:22" s="4" customFormat="1">
      <c r="D201" s="4">
        <v>0</v>
      </c>
      <c r="P201" s="4">
        <v>117016</v>
      </c>
      <c r="U201" s="4">
        <f t="shared" si="4"/>
        <v>117016</v>
      </c>
      <c r="V201" s="4">
        <f t="shared" si="5"/>
        <v>118016</v>
      </c>
    </row>
    <row r="202" spans="3:22" s="4" customFormat="1">
      <c r="Q202" s="4">
        <v>117016</v>
      </c>
      <c r="U202" s="4">
        <f t="shared" si="4"/>
        <v>117016</v>
      </c>
      <c r="V202" s="4">
        <f t="shared" si="5"/>
        <v>118016</v>
      </c>
    </row>
    <row r="203" spans="3:22" s="4" customFormat="1">
      <c r="E203" s="4">
        <v>0</v>
      </c>
      <c r="R203" s="4">
        <v>117016</v>
      </c>
      <c r="U203" s="4">
        <f t="shared" ref="U203:U266" si="6">SUM(G203:T203)</f>
        <v>117016</v>
      </c>
      <c r="V203" s="4">
        <f t="shared" ref="V203:V266" si="7">U203+1000</f>
        <v>118016</v>
      </c>
    </row>
    <row r="204" spans="3:22" s="4" customFormat="1">
      <c r="S204" s="4">
        <v>117016</v>
      </c>
      <c r="U204" s="4">
        <f t="shared" si="6"/>
        <v>117016</v>
      </c>
      <c r="V204" s="4">
        <f t="shared" si="7"/>
        <v>118016</v>
      </c>
    </row>
    <row r="205" spans="3:22" s="4" customFormat="1">
      <c r="T205" s="4">
        <v>117016</v>
      </c>
      <c r="U205" s="4">
        <f t="shared" si="6"/>
        <v>117016</v>
      </c>
      <c r="V205" s="4">
        <f t="shared" si="7"/>
        <v>118016</v>
      </c>
    </row>
    <row r="206" spans="3:22">
      <c r="C206" s="4">
        <v>117017</v>
      </c>
      <c r="D206" s="4">
        <v>0</v>
      </c>
      <c r="E206" s="4"/>
      <c r="G206" s="4">
        <v>117017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>
        <f t="shared" si="6"/>
        <v>117017</v>
      </c>
      <c r="V206" s="4">
        <f t="shared" si="7"/>
        <v>118017</v>
      </c>
    </row>
    <row r="207" spans="3:22" s="4" customFormat="1">
      <c r="H207" s="4">
        <v>117017</v>
      </c>
      <c r="U207" s="4">
        <f t="shared" si="6"/>
        <v>117017</v>
      </c>
      <c r="V207" s="4">
        <f t="shared" si="7"/>
        <v>118017</v>
      </c>
    </row>
    <row r="208" spans="3:22" s="4" customFormat="1">
      <c r="I208" s="4">
        <v>117017</v>
      </c>
      <c r="U208" s="4">
        <f t="shared" si="6"/>
        <v>117017</v>
      </c>
      <c r="V208" s="4">
        <f t="shared" si="7"/>
        <v>118017</v>
      </c>
    </row>
    <row r="209" spans="3:22" s="4" customFormat="1">
      <c r="E209" s="4">
        <v>0</v>
      </c>
      <c r="J209" s="4">
        <v>117017</v>
      </c>
      <c r="U209" s="4">
        <f t="shared" si="6"/>
        <v>117017</v>
      </c>
      <c r="V209" s="4">
        <f t="shared" si="7"/>
        <v>118017</v>
      </c>
    </row>
    <row r="210" spans="3:22" s="4" customFormat="1">
      <c r="K210" s="4">
        <v>117017</v>
      </c>
      <c r="U210" s="4">
        <f t="shared" si="6"/>
        <v>117017</v>
      </c>
      <c r="V210" s="4">
        <f t="shared" si="7"/>
        <v>118017</v>
      </c>
    </row>
    <row r="211" spans="3:22" s="4" customFormat="1">
      <c r="L211" s="4">
        <v>117017</v>
      </c>
      <c r="U211" s="4">
        <f t="shared" si="6"/>
        <v>117017</v>
      </c>
      <c r="V211" s="4">
        <f t="shared" si="7"/>
        <v>118017</v>
      </c>
    </row>
    <row r="212" spans="3:22" s="4" customFormat="1">
      <c r="M212" s="4">
        <v>117017</v>
      </c>
      <c r="U212" s="4">
        <f t="shared" si="6"/>
        <v>117017</v>
      </c>
      <c r="V212" s="4">
        <f t="shared" si="7"/>
        <v>118017</v>
      </c>
    </row>
    <row r="213" spans="3:22" s="4" customFormat="1">
      <c r="D213" s="4">
        <v>0</v>
      </c>
      <c r="N213" s="4">
        <v>117017</v>
      </c>
      <c r="U213" s="4">
        <f t="shared" si="6"/>
        <v>117017</v>
      </c>
      <c r="V213" s="4">
        <f t="shared" si="7"/>
        <v>118017</v>
      </c>
    </row>
    <row r="214" spans="3:22" s="4" customFormat="1">
      <c r="D214" s="4">
        <v>0</v>
      </c>
      <c r="O214" s="4">
        <v>117017</v>
      </c>
      <c r="U214" s="4">
        <f t="shared" si="6"/>
        <v>117017</v>
      </c>
      <c r="V214" s="4">
        <f t="shared" si="7"/>
        <v>118017</v>
      </c>
    </row>
    <row r="215" spans="3:22" s="4" customFormat="1">
      <c r="D215" s="4">
        <v>0</v>
      </c>
      <c r="P215" s="4">
        <v>117017</v>
      </c>
      <c r="U215" s="4">
        <f t="shared" si="6"/>
        <v>117017</v>
      </c>
      <c r="V215" s="4">
        <f t="shared" si="7"/>
        <v>118017</v>
      </c>
    </row>
    <row r="216" spans="3:22" s="4" customFormat="1">
      <c r="Q216" s="4">
        <v>117017</v>
      </c>
      <c r="U216" s="4">
        <f t="shared" si="6"/>
        <v>117017</v>
      </c>
      <c r="V216" s="4">
        <f t="shared" si="7"/>
        <v>118017</v>
      </c>
    </row>
    <row r="217" spans="3:22" s="4" customFormat="1">
      <c r="E217" s="4">
        <v>0</v>
      </c>
      <c r="R217" s="4">
        <v>117017</v>
      </c>
      <c r="U217" s="4">
        <f t="shared" si="6"/>
        <v>117017</v>
      </c>
      <c r="V217" s="4">
        <f t="shared" si="7"/>
        <v>118017</v>
      </c>
    </row>
    <row r="218" spans="3:22" s="4" customFormat="1">
      <c r="S218" s="4">
        <v>117017</v>
      </c>
      <c r="U218" s="4">
        <f t="shared" si="6"/>
        <v>117017</v>
      </c>
      <c r="V218" s="4">
        <f t="shared" si="7"/>
        <v>118017</v>
      </c>
    </row>
    <row r="219" spans="3:22" s="4" customFormat="1">
      <c r="T219" s="4">
        <v>117017</v>
      </c>
      <c r="U219" s="4">
        <f t="shared" si="6"/>
        <v>117017</v>
      </c>
      <c r="V219" s="4">
        <f t="shared" si="7"/>
        <v>118017</v>
      </c>
    </row>
    <row r="220" spans="3:22">
      <c r="C220" s="4">
        <v>117018</v>
      </c>
      <c r="D220" s="4">
        <v>0</v>
      </c>
      <c r="E220" s="4"/>
      <c r="G220" s="4">
        <v>117018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>
        <f t="shared" si="6"/>
        <v>117018</v>
      </c>
      <c r="V220" s="4">
        <f t="shared" si="7"/>
        <v>118018</v>
      </c>
    </row>
    <row r="221" spans="3:22" s="4" customFormat="1">
      <c r="H221" s="4">
        <v>117018</v>
      </c>
      <c r="U221" s="4">
        <f t="shared" si="6"/>
        <v>117018</v>
      </c>
      <c r="V221" s="4">
        <f t="shared" si="7"/>
        <v>118018</v>
      </c>
    </row>
    <row r="222" spans="3:22" s="4" customFormat="1">
      <c r="I222" s="4">
        <v>117018</v>
      </c>
      <c r="U222" s="4">
        <f t="shared" si="6"/>
        <v>117018</v>
      </c>
      <c r="V222" s="4">
        <f t="shared" si="7"/>
        <v>118018</v>
      </c>
    </row>
    <row r="223" spans="3:22" s="4" customFormat="1">
      <c r="E223" s="4">
        <v>0</v>
      </c>
      <c r="J223" s="4">
        <v>117018</v>
      </c>
      <c r="U223" s="4">
        <f t="shared" si="6"/>
        <v>117018</v>
      </c>
      <c r="V223" s="4">
        <f t="shared" si="7"/>
        <v>118018</v>
      </c>
    </row>
    <row r="224" spans="3:22" s="4" customFormat="1">
      <c r="K224" s="4">
        <v>117018</v>
      </c>
      <c r="U224" s="4">
        <f t="shared" si="6"/>
        <v>117018</v>
      </c>
      <c r="V224" s="4">
        <f t="shared" si="7"/>
        <v>118018</v>
      </c>
    </row>
    <row r="225" spans="3:22" s="4" customFormat="1">
      <c r="L225" s="4">
        <v>117018</v>
      </c>
      <c r="U225" s="4">
        <f t="shared" si="6"/>
        <v>117018</v>
      </c>
      <c r="V225" s="4">
        <f t="shared" si="7"/>
        <v>118018</v>
      </c>
    </row>
    <row r="226" spans="3:22" s="4" customFormat="1">
      <c r="M226" s="4">
        <v>117018</v>
      </c>
      <c r="U226" s="4">
        <f t="shared" si="6"/>
        <v>117018</v>
      </c>
      <c r="V226" s="4">
        <f t="shared" si="7"/>
        <v>118018</v>
      </c>
    </row>
    <row r="227" spans="3:22" s="4" customFormat="1">
      <c r="D227" s="4">
        <v>0</v>
      </c>
      <c r="N227" s="4">
        <v>117018</v>
      </c>
      <c r="U227" s="4">
        <f t="shared" si="6"/>
        <v>117018</v>
      </c>
      <c r="V227" s="4">
        <f t="shared" si="7"/>
        <v>118018</v>
      </c>
    </row>
    <row r="228" spans="3:22" s="4" customFormat="1">
      <c r="D228" s="4">
        <v>0</v>
      </c>
      <c r="O228" s="4">
        <v>117018</v>
      </c>
      <c r="U228" s="4">
        <f t="shared" si="6"/>
        <v>117018</v>
      </c>
      <c r="V228" s="4">
        <f t="shared" si="7"/>
        <v>118018</v>
      </c>
    </row>
    <row r="229" spans="3:22" s="4" customFormat="1">
      <c r="D229" s="4">
        <v>0</v>
      </c>
      <c r="P229" s="4">
        <v>117018</v>
      </c>
      <c r="U229" s="4">
        <f t="shared" si="6"/>
        <v>117018</v>
      </c>
      <c r="V229" s="4">
        <f t="shared" si="7"/>
        <v>118018</v>
      </c>
    </row>
    <row r="230" spans="3:22" s="4" customFormat="1">
      <c r="Q230" s="4">
        <v>117018</v>
      </c>
      <c r="U230" s="4">
        <f t="shared" si="6"/>
        <v>117018</v>
      </c>
      <c r="V230" s="4">
        <f t="shared" si="7"/>
        <v>118018</v>
      </c>
    </row>
    <row r="231" spans="3:22" s="4" customFormat="1">
      <c r="E231" s="4">
        <v>0</v>
      </c>
      <c r="R231" s="4">
        <v>117018</v>
      </c>
      <c r="U231" s="4">
        <f t="shared" si="6"/>
        <v>117018</v>
      </c>
      <c r="V231" s="4">
        <f t="shared" si="7"/>
        <v>118018</v>
      </c>
    </row>
    <row r="232" spans="3:22" s="4" customFormat="1">
      <c r="S232" s="4">
        <v>117018</v>
      </c>
      <c r="U232" s="4">
        <f t="shared" si="6"/>
        <v>117018</v>
      </c>
      <c r="V232" s="4">
        <f t="shared" si="7"/>
        <v>118018</v>
      </c>
    </row>
    <row r="233" spans="3:22" s="4" customFormat="1">
      <c r="T233" s="4">
        <v>117018</v>
      </c>
      <c r="U233" s="4">
        <f t="shared" si="6"/>
        <v>117018</v>
      </c>
      <c r="V233" s="4">
        <f t="shared" si="7"/>
        <v>118018</v>
      </c>
    </row>
    <row r="234" spans="3:22">
      <c r="C234" s="4">
        <v>117019</v>
      </c>
      <c r="D234" s="4">
        <v>0</v>
      </c>
      <c r="E234" s="4"/>
      <c r="G234" s="4">
        <v>117019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>
        <f t="shared" si="6"/>
        <v>117019</v>
      </c>
      <c r="V234" s="4">
        <f t="shared" si="7"/>
        <v>118019</v>
      </c>
    </row>
    <row r="235" spans="3:22" s="4" customFormat="1">
      <c r="H235" s="4">
        <v>117019</v>
      </c>
      <c r="U235" s="4">
        <f t="shared" si="6"/>
        <v>117019</v>
      </c>
      <c r="V235" s="4">
        <f t="shared" si="7"/>
        <v>118019</v>
      </c>
    </row>
    <row r="236" spans="3:22" s="4" customFormat="1">
      <c r="I236" s="4">
        <v>117019</v>
      </c>
      <c r="U236" s="4">
        <f t="shared" si="6"/>
        <v>117019</v>
      </c>
      <c r="V236" s="4">
        <f t="shared" si="7"/>
        <v>118019</v>
      </c>
    </row>
    <row r="237" spans="3:22" s="4" customFormat="1">
      <c r="E237" s="4">
        <v>0</v>
      </c>
      <c r="J237" s="4">
        <v>117019</v>
      </c>
      <c r="U237" s="4">
        <f t="shared" si="6"/>
        <v>117019</v>
      </c>
      <c r="V237" s="4">
        <f t="shared" si="7"/>
        <v>118019</v>
      </c>
    </row>
    <row r="238" spans="3:22" s="4" customFormat="1">
      <c r="K238" s="4">
        <v>117019</v>
      </c>
      <c r="U238" s="4">
        <f t="shared" si="6"/>
        <v>117019</v>
      </c>
      <c r="V238" s="4">
        <f t="shared" si="7"/>
        <v>118019</v>
      </c>
    </row>
    <row r="239" spans="3:22" s="4" customFormat="1">
      <c r="L239" s="4">
        <v>117019</v>
      </c>
      <c r="U239" s="4">
        <f t="shared" si="6"/>
        <v>117019</v>
      </c>
      <c r="V239" s="4">
        <f t="shared" si="7"/>
        <v>118019</v>
      </c>
    </row>
    <row r="240" spans="3:22" s="4" customFormat="1">
      <c r="M240" s="4">
        <v>117019</v>
      </c>
      <c r="U240" s="4">
        <f t="shared" si="6"/>
        <v>117019</v>
      </c>
      <c r="V240" s="4">
        <f t="shared" si="7"/>
        <v>118019</v>
      </c>
    </row>
    <row r="241" spans="3:22" s="4" customFormat="1">
      <c r="D241" s="4">
        <v>0</v>
      </c>
      <c r="N241" s="4">
        <v>117019</v>
      </c>
      <c r="U241" s="4">
        <f t="shared" si="6"/>
        <v>117019</v>
      </c>
      <c r="V241" s="4">
        <f t="shared" si="7"/>
        <v>118019</v>
      </c>
    </row>
    <row r="242" spans="3:22" s="4" customFormat="1">
      <c r="D242" s="4">
        <v>0</v>
      </c>
      <c r="O242" s="4">
        <v>117019</v>
      </c>
      <c r="U242" s="4">
        <f t="shared" si="6"/>
        <v>117019</v>
      </c>
      <c r="V242" s="4">
        <f t="shared" si="7"/>
        <v>118019</v>
      </c>
    </row>
    <row r="243" spans="3:22" s="4" customFormat="1">
      <c r="D243" s="4">
        <v>0</v>
      </c>
      <c r="P243" s="4">
        <v>117019</v>
      </c>
      <c r="U243" s="4">
        <f t="shared" si="6"/>
        <v>117019</v>
      </c>
      <c r="V243" s="4">
        <f t="shared" si="7"/>
        <v>118019</v>
      </c>
    </row>
    <row r="244" spans="3:22" s="4" customFormat="1">
      <c r="Q244" s="4">
        <v>117019</v>
      </c>
      <c r="U244" s="4">
        <f t="shared" si="6"/>
        <v>117019</v>
      </c>
      <c r="V244" s="4">
        <f t="shared" si="7"/>
        <v>118019</v>
      </c>
    </row>
    <row r="245" spans="3:22" s="4" customFormat="1">
      <c r="E245" s="4">
        <v>0</v>
      </c>
      <c r="R245" s="4">
        <v>117019</v>
      </c>
      <c r="U245" s="4">
        <f t="shared" si="6"/>
        <v>117019</v>
      </c>
      <c r="V245" s="4">
        <f t="shared" si="7"/>
        <v>118019</v>
      </c>
    </row>
    <row r="246" spans="3:22" s="4" customFormat="1">
      <c r="S246" s="4">
        <v>117019</v>
      </c>
      <c r="U246" s="4">
        <f t="shared" si="6"/>
        <v>117019</v>
      </c>
      <c r="V246" s="4">
        <f t="shared" si="7"/>
        <v>118019</v>
      </c>
    </row>
    <row r="247" spans="3:22" s="4" customFormat="1">
      <c r="T247" s="4">
        <v>117019</v>
      </c>
      <c r="U247" s="4">
        <f t="shared" si="6"/>
        <v>117019</v>
      </c>
      <c r="V247" s="4">
        <f t="shared" si="7"/>
        <v>118019</v>
      </c>
    </row>
    <row r="248" spans="3:22">
      <c r="C248" s="4">
        <v>117020</v>
      </c>
      <c r="D248" s="4">
        <v>0</v>
      </c>
      <c r="E248" s="4"/>
      <c r="G248" s="4">
        <v>117020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>
        <f t="shared" si="6"/>
        <v>117020</v>
      </c>
      <c r="V248" s="4">
        <f t="shared" si="7"/>
        <v>118020</v>
      </c>
    </row>
    <row r="249" spans="3:22" s="4" customFormat="1">
      <c r="H249" s="4">
        <v>117020</v>
      </c>
      <c r="U249" s="4">
        <f t="shared" si="6"/>
        <v>117020</v>
      </c>
      <c r="V249" s="4">
        <f t="shared" si="7"/>
        <v>118020</v>
      </c>
    </row>
    <row r="250" spans="3:22" s="4" customFormat="1">
      <c r="I250" s="4">
        <v>117020</v>
      </c>
      <c r="U250" s="4">
        <f t="shared" si="6"/>
        <v>117020</v>
      </c>
      <c r="V250" s="4">
        <f t="shared" si="7"/>
        <v>118020</v>
      </c>
    </row>
    <row r="251" spans="3:22" s="4" customFormat="1">
      <c r="E251" s="4">
        <v>0</v>
      </c>
      <c r="J251" s="4">
        <v>117020</v>
      </c>
      <c r="U251" s="4">
        <f t="shared" si="6"/>
        <v>117020</v>
      </c>
      <c r="V251" s="4">
        <f t="shared" si="7"/>
        <v>118020</v>
      </c>
    </row>
    <row r="252" spans="3:22" s="4" customFormat="1">
      <c r="K252" s="4">
        <v>117020</v>
      </c>
      <c r="U252" s="4">
        <f t="shared" si="6"/>
        <v>117020</v>
      </c>
      <c r="V252" s="4">
        <f t="shared" si="7"/>
        <v>118020</v>
      </c>
    </row>
    <row r="253" spans="3:22" s="4" customFormat="1">
      <c r="L253" s="4">
        <v>117020</v>
      </c>
      <c r="U253" s="4">
        <f t="shared" si="6"/>
        <v>117020</v>
      </c>
      <c r="V253" s="4">
        <f t="shared" si="7"/>
        <v>118020</v>
      </c>
    </row>
    <row r="254" spans="3:22" s="4" customFormat="1">
      <c r="M254" s="4">
        <v>117020</v>
      </c>
      <c r="U254" s="4">
        <f t="shared" si="6"/>
        <v>117020</v>
      </c>
      <c r="V254" s="4">
        <f t="shared" si="7"/>
        <v>118020</v>
      </c>
    </row>
    <row r="255" spans="3:22" s="4" customFormat="1">
      <c r="D255" s="4">
        <v>0</v>
      </c>
      <c r="N255" s="4">
        <v>117020</v>
      </c>
      <c r="U255" s="4">
        <f t="shared" si="6"/>
        <v>117020</v>
      </c>
      <c r="V255" s="4">
        <f t="shared" si="7"/>
        <v>118020</v>
      </c>
    </row>
    <row r="256" spans="3:22" s="4" customFormat="1">
      <c r="D256" s="4">
        <v>0</v>
      </c>
      <c r="O256" s="4">
        <v>117020</v>
      </c>
      <c r="U256" s="4">
        <f t="shared" si="6"/>
        <v>117020</v>
      </c>
      <c r="V256" s="4">
        <f t="shared" si="7"/>
        <v>118020</v>
      </c>
    </row>
    <row r="257" spans="3:22" s="4" customFormat="1">
      <c r="D257" s="4">
        <v>0</v>
      </c>
      <c r="P257" s="4">
        <v>117020</v>
      </c>
      <c r="U257" s="4">
        <f t="shared" si="6"/>
        <v>117020</v>
      </c>
      <c r="V257" s="4">
        <f t="shared" si="7"/>
        <v>118020</v>
      </c>
    </row>
    <row r="258" spans="3:22" s="4" customFormat="1">
      <c r="Q258" s="4">
        <v>117020</v>
      </c>
      <c r="U258" s="4">
        <f t="shared" si="6"/>
        <v>117020</v>
      </c>
      <c r="V258" s="4">
        <f t="shared" si="7"/>
        <v>118020</v>
      </c>
    </row>
    <row r="259" spans="3:22" s="4" customFormat="1">
      <c r="E259" s="4">
        <v>0</v>
      </c>
      <c r="R259" s="4">
        <v>117020</v>
      </c>
      <c r="U259" s="4">
        <f t="shared" si="6"/>
        <v>117020</v>
      </c>
      <c r="V259" s="4">
        <f t="shared" si="7"/>
        <v>118020</v>
      </c>
    </row>
    <row r="260" spans="3:22" s="4" customFormat="1">
      <c r="S260" s="4">
        <v>117020</v>
      </c>
      <c r="U260" s="4">
        <f t="shared" si="6"/>
        <v>117020</v>
      </c>
      <c r="V260" s="4">
        <f t="shared" si="7"/>
        <v>118020</v>
      </c>
    </row>
    <row r="261" spans="3:22" s="4" customFormat="1">
      <c r="T261" s="4">
        <v>117020</v>
      </c>
      <c r="U261" s="4">
        <f t="shared" si="6"/>
        <v>117020</v>
      </c>
      <c r="V261" s="4">
        <f t="shared" si="7"/>
        <v>118020</v>
      </c>
    </row>
    <row r="262" spans="3:22">
      <c r="C262" s="4">
        <v>117021</v>
      </c>
      <c r="D262" s="4">
        <v>0</v>
      </c>
      <c r="E262" s="4"/>
      <c r="G262" s="4">
        <v>117021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>
        <f t="shared" si="6"/>
        <v>117021</v>
      </c>
      <c r="V262" s="4">
        <f t="shared" si="7"/>
        <v>118021</v>
      </c>
    </row>
    <row r="263" spans="3:22" s="4" customFormat="1">
      <c r="H263" s="4">
        <v>117021</v>
      </c>
      <c r="U263" s="4">
        <f t="shared" si="6"/>
        <v>117021</v>
      </c>
      <c r="V263" s="4">
        <f t="shared" si="7"/>
        <v>118021</v>
      </c>
    </row>
    <row r="264" spans="3:22" s="4" customFormat="1">
      <c r="I264" s="4">
        <v>117021</v>
      </c>
      <c r="U264" s="4">
        <f t="shared" si="6"/>
        <v>117021</v>
      </c>
      <c r="V264" s="4">
        <f t="shared" si="7"/>
        <v>118021</v>
      </c>
    </row>
    <row r="265" spans="3:22" s="4" customFormat="1">
      <c r="E265" s="4">
        <v>0</v>
      </c>
      <c r="J265" s="4">
        <v>117021</v>
      </c>
      <c r="U265" s="4">
        <f t="shared" si="6"/>
        <v>117021</v>
      </c>
      <c r="V265" s="4">
        <f t="shared" si="7"/>
        <v>118021</v>
      </c>
    </row>
    <row r="266" spans="3:22" s="4" customFormat="1">
      <c r="K266" s="4">
        <v>117021</v>
      </c>
      <c r="U266" s="4">
        <f t="shared" si="6"/>
        <v>117021</v>
      </c>
      <c r="V266" s="4">
        <f t="shared" si="7"/>
        <v>118021</v>
      </c>
    </row>
    <row r="267" spans="3:22" s="4" customFormat="1">
      <c r="L267" s="4">
        <v>117021</v>
      </c>
      <c r="U267" s="4">
        <f t="shared" ref="U267:U330" si="8">SUM(G267:T267)</f>
        <v>117021</v>
      </c>
      <c r="V267" s="4">
        <f t="shared" ref="V267:V330" si="9">U267+1000</f>
        <v>118021</v>
      </c>
    </row>
    <row r="268" spans="3:22" s="4" customFormat="1">
      <c r="M268" s="4">
        <v>117021</v>
      </c>
      <c r="U268" s="4">
        <f t="shared" si="8"/>
        <v>117021</v>
      </c>
      <c r="V268" s="4">
        <f t="shared" si="9"/>
        <v>118021</v>
      </c>
    </row>
    <row r="269" spans="3:22" s="4" customFormat="1">
      <c r="D269" s="4">
        <v>0</v>
      </c>
      <c r="N269" s="4">
        <v>117021</v>
      </c>
      <c r="U269" s="4">
        <f t="shared" si="8"/>
        <v>117021</v>
      </c>
      <c r="V269" s="4">
        <f t="shared" si="9"/>
        <v>118021</v>
      </c>
    </row>
    <row r="270" spans="3:22" s="4" customFormat="1">
      <c r="D270" s="4">
        <v>0</v>
      </c>
      <c r="O270" s="4">
        <v>117021</v>
      </c>
      <c r="U270" s="4">
        <f t="shared" si="8"/>
        <v>117021</v>
      </c>
      <c r="V270" s="4">
        <f t="shared" si="9"/>
        <v>118021</v>
      </c>
    </row>
    <row r="271" spans="3:22" s="4" customFormat="1">
      <c r="D271" s="4">
        <v>0</v>
      </c>
      <c r="P271" s="4">
        <v>117021</v>
      </c>
      <c r="U271" s="4">
        <f t="shared" si="8"/>
        <v>117021</v>
      </c>
      <c r="V271" s="4">
        <f t="shared" si="9"/>
        <v>118021</v>
      </c>
    </row>
    <row r="272" spans="3:22" s="4" customFormat="1">
      <c r="Q272" s="4">
        <v>117021</v>
      </c>
      <c r="U272" s="4">
        <f t="shared" si="8"/>
        <v>117021</v>
      </c>
      <c r="V272" s="4">
        <f t="shared" si="9"/>
        <v>118021</v>
      </c>
    </row>
    <row r="273" spans="3:22" s="4" customFormat="1">
      <c r="E273" s="4">
        <v>0</v>
      </c>
      <c r="R273" s="4">
        <v>117021</v>
      </c>
      <c r="U273" s="4">
        <f t="shared" si="8"/>
        <v>117021</v>
      </c>
      <c r="V273" s="4">
        <f t="shared" si="9"/>
        <v>118021</v>
      </c>
    </row>
    <row r="274" spans="3:22" s="4" customFormat="1">
      <c r="S274" s="4">
        <v>117021</v>
      </c>
      <c r="U274" s="4">
        <f t="shared" si="8"/>
        <v>117021</v>
      </c>
      <c r="V274" s="4">
        <f t="shared" si="9"/>
        <v>118021</v>
      </c>
    </row>
    <row r="275" spans="3:22" s="4" customFormat="1">
      <c r="T275" s="4">
        <v>117021</v>
      </c>
      <c r="U275" s="4">
        <f t="shared" si="8"/>
        <v>117021</v>
      </c>
      <c r="V275" s="4">
        <f t="shared" si="9"/>
        <v>118021</v>
      </c>
    </row>
    <row r="276" spans="3:22">
      <c r="C276" s="4">
        <v>117022</v>
      </c>
      <c r="D276" s="4">
        <v>0</v>
      </c>
      <c r="E276" s="4"/>
      <c r="G276" s="4">
        <v>117022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>
        <f t="shared" si="8"/>
        <v>117022</v>
      </c>
      <c r="V276" s="4">
        <f t="shared" si="9"/>
        <v>118022</v>
      </c>
    </row>
    <row r="277" spans="3:22" s="4" customFormat="1">
      <c r="H277" s="4">
        <v>117022</v>
      </c>
      <c r="U277" s="4">
        <f t="shared" si="8"/>
        <v>117022</v>
      </c>
      <c r="V277" s="4">
        <f t="shared" si="9"/>
        <v>118022</v>
      </c>
    </row>
    <row r="278" spans="3:22" s="4" customFormat="1">
      <c r="I278" s="4">
        <v>117022</v>
      </c>
      <c r="U278" s="4">
        <f t="shared" si="8"/>
        <v>117022</v>
      </c>
      <c r="V278" s="4">
        <f t="shared" si="9"/>
        <v>118022</v>
      </c>
    </row>
    <row r="279" spans="3:22" s="4" customFormat="1">
      <c r="E279" s="4">
        <v>0</v>
      </c>
      <c r="J279" s="4">
        <v>117022</v>
      </c>
      <c r="U279" s="4">
        <f t="shared" si="8"/>
        <v>117022</v>
      </c>
      <c r="V279" s="4">
        <f t="shared" si="9"/>
        <v>118022</v>
      </c>
    </row>
    <row r="280" spans="3:22" s="4" customFormat="1">
      <c r="K280" s="4">
        <v>117022</v>
      </c>
      <c r="U280" s="4">
        <f t="shared" si="8"/>
        <v>117022</v>
      </c>
      <c r="V280" s="4">
        <f t="shared" si="9"/>
        <v>118022</v>
      </c>
    </row>
    <row r="281" spans="3:22" s="4" customFormat="1">
      <c r="L281" s="4">
        <v>117022</v>
      </c>
      <c r="U281" s="4">
        <f t="shared" si="8"/>
        <v>117022</v>
      </c>
      <c r="V281" s="4">
        <f t="shared" si="9"/>
        <v>118022</v>
      </c>
    </row>
    <row r="282" spans="3:22" s="4" customFormat="1">
      <c r="M282" s="4">
        <v>117022</v>
      </c>
      <c r="U282" s="4">
        <f t="shared" si="8"/>
        <v>117022</v>
      </c>
      <c r="V282" s="4">
        <f t="shared" si="9"/>
        <v>118022</v>
      </c>
    </row>
    <row r="283" spans="3:22" s="4" customFormat="1">
      <c r="D283" s="4">
        <v>0</v>
      </c>
      <c r="N283" s="4">
        <v>117022</v>
      </c>
      <c r="U283" s="4">
        <f t="shared" si="8"/>
        <v>117022</v>
      </c>
      <c r="V283" s="4">
        <f t="shared" si="9"/>
        <v>118022</v>
      </c>
    </row>
    <row r="284" spans="3:22" s="4" customFormat="1">
      <c r="D284" s="4">
        <v>0</v>
      </c>
      <c r="O284" s="4">
        <v>117022</v>
      </c>
      <c r="U284" s="4">
        <f t="shared" si="8"/>
        <v>117022</v>
      </c>
      <c r="V284" s="4">
        <f t="shared" si="9"/>
        <v>118022</v>
      </c>
    </row>
    <row r="285" spans="3:22" s="4" customFormat="1">
      <c r="D285" s="4">
        <v>0</v>
      </c>
      <c r="P285" s="4">
        <v>117022</v>
      </c>
      <c r="U285" s="4">
        <f t="shared" si="8"/>
        <v>117022</v>
      </c>
      <c r="V285" s="4">
        <f t="shared" si="9"/>
        <v>118022</v>
      </c>
    </row>
    <row r="286" spans="3:22" s="4" customFormat="1">
      <c r="Q286" s="4">
        <v>117022</v>
      </c>
      <c r="U286" s="4">
        <f t="shared" si="8"/>
        <v>117022</v>
      </c>
      <c r="V286" s="4">
        <f t="shared" si="9"/>
        <v>118022</v>
      </c>
    </row>
    <row r="287" spans="3:22" s="4" customFormat="1">
      <c r="E287" s="4">
        <v>0</v>
      </c>
      <c r="R287" s="4">
        <v>117022</v>
      </c>
      <c r="U287" s="4">
        <f t="shared" si="8"/>
        <v>117022</v>
      </c>
      <c r="V287" s="4">
        <f t="shared" si="9"/>
        <v>118022</v>
      </c>
    </row>
    <row r="288" spans="3:22" s="4" customFormat="1">
      <c r="S288" s="4">
        <v>117022</v>
      </c>
      <c r="U288" s="4">
        <f t="shared" si="8"/>
        <v>117022</v>
      </c>
      <c r="V288" s="4">
        <f t="shared" si="9"/>
        <v>118022</v>
      </c>
    </row>
    <row r="289" spans="3:22" s="4" customFormat="1">
      <c r="T289" s="4">
        <v>117022</v>
      </c>
      <c r="U289" s="4">
        <f t="shared" si="8"/>
        <v>117022</v>
      </c>
      <c r="V289" s="4">
        <f t="shared" si="9"/>
        <v>118022</v>
      </c>
    </row>
    <row r="290" spans="3:22">
      <c r="C290" s="4">
        <v>117023</v>
      </c>
      <c r="D290" s="4">
        <v>0</v>
      </c>
      <c r="E290" s="4"/>
      <c r="G290" s="4">
        <v>117023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>
        <f t="shared" si="8"/>
        <v>117023</v>
      </c>
      <c r="V290" s="4">
        <f t="shared" si="9"/>
        <v>118023</v>
      </c>
    </row>
    <row r="291" spans="3:22" s="4" customFormat="1">
      <c r="H291" s="4">
        <v>117023</v>
      </c>
      <c r="U291" s="4">
        <f t="shared" si="8"/>
        <v>117023</v>
      </c>
      <c r="V291" s="4">
        <f t="shared" si="9"/>
        <v>118023</v>
      </c>
    </row>
    <row r="292" spans="3:22" s="4" customFormat="1">
      <c r="I292" s="4">
        <v>117023</v>
      </c>
      <c r="U292" s="4">
        <f t="shared" si="8"/>
        <v>117023</v>
      </c>
      <c r="V292" s="4">
        <f t="shared" si="9"/>
        <v>118023</v>
      </c>
    </row>
    <row r="293" spans="3:22" s="4" customFormat="1">
      <c r="E293" s="4">
        <v>0</v>
      </c>
      <c r="J293" s="4">
        <v>117023</v>
      </c>
      <c r="U293" s="4">
        <f t="shared" si="8"/>
        <v>117023</v>
      </c>
      <c r="V293" s="4">
        <f t="shared" si="9"/>
        <v>118023</v>
      </c>
    </row>
    <row r="294" spans="3:22" s="4" customFormat="1">
      <c r="K294" s="4">
        <v>117023</v>
      </c>
      <c r="U294" s="4">
        <f t="shared" si="8"/>
        <v>117023</v>
      </c>
      <c r="V294" s="4">
        <f t="shared" si="9"/>
        <v>118023</v>
      </c>
    </row>
    <row r="295" spans="3:22" s="4" customFormat="1">
      <c r="L295" s="4">
        <v>117023</v>
      </c>
      <c r="U295" s="4">
        <f t="shared" si="8"/>
        <v>117023</v>
      </c>
      <c r="V295" s="4">
        <f t="shared" si="9"/>
        <v>118023</v>
      </c>
    </row>
    <row r="296" spans="3:22" s="4" customFormat="1">
      <c r="M296" s="4">
        <v>117023</v>
      </c>
      <c r="U296" s="4">
        <f t="shared" si="8"/>
        <v>117023</v>
      </c>
      <c r="V296" s="4">
        <f t="shared" si="9"/>
        <v>118023</v>
      </c>
    </row>
    <row r="297" spans="3:22" s="4" customFormat="1">
      <c r="D297" s="4">
        <v>0</v>
      </c>
      <c r="N297" s="4">
        <v>117023</v>
      </c>
      <c r="U297" s="4">
        <f t="shared" si="8"/>
        <v>117023</v>
      </c>
      <c r="V297" s="4">
        <f t="shared" si="9"/>
        <v>118023</v>
      </c>
    </row>
    <row r="298" spans="3:22" s="4" customFormat="1">
      <c r="D298" s="4">
        <v>0</v>
      </c>
      <c r="O298" s="4">
        <v>117023</v>
      </c>
      <c r="U298" s="4">
        <f t="shared" si="8"/>
        <v>117023</v>
      </c>
      <c r="V298" s="4">
        <f t="shared" si="9"/>
        <v>118023</v>
      </c>
    </row>
    <row r="299" spans="3:22" s="4" customFormat="1">
      <c r="D299" s="4">
        <v>0</v>
      </c>
      <c r="P299" s="4">
        <v>117023</v>
      </c>
      <c r="U299" s="4">
        <f t="shared" si="8"/>
        <v>117023</v>
      </c>
      <c r="V299" s="4">
        <f t="shared" si="9"/>
        <v>118023</v>
      </c>
    </row>
    <row r="300" spans="3:22" s="4" customFormat="1">
      <c r="Q300" s="4">
        <v>117023</v>
      </c>
      <c r="U300" s="4">
        <f t="shared" si="8"/>
        <v>117023</v>
      </c>
      <c r="V300" s="4">
        <f t="shared" si="9"/>
        <v>118023</v>
      </c>
    </row>
    <row r="301" spans="3:22" s="4" customFormat="1">
      <c r="E301" s="4">
        <v>0</v>
      </c>
      <c r="R301" s="4">
        <v>117023</v>
      </c>
      <c r="U301" s="4">
        <f t="shared" si="8"/>
        <v>117023</v>
      </c>
      <c r="V301" s="4">
        <f t="shared" si="9"/>
        <v>118023</v>
      </c>
    </row>
    <row r="302" spans="3:22" s="4" customFormat="1">
      <c r="S302" s="4">
        <v>117023</v>
      </c>
      <c r="U302" s="4">
        <f t="shared" si="8"/>
        <v>117023</v>
      </c>
      <c r="V302" s="4">
        <f t="shared" si="9"/>
        <v>118023</v>
      </c>
    </row>
    <row r="303" spans="3:22" s="4" customFormat="1">
      <c r="T303" s="4">
        <v>117023</v>
      </c>
      <c r="U303" s="4">
        <f t="shared" si="8"/>
        <v>117023</v>
      </c>
      <c r="V303" s="4">
        <f t="shared" si="9"/>
        <v>118023</v>
      </c>
    </row>
    <row r="304" spans="3:22">
      <c r="C304" s="4">
        <v>117024</v>
      </c>
      <c r="D304" s="4">
        <v>0</v>
      </c>
      <c r="E304" s="4"/>
      <c r="G304" s="4">
        <v>117024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>
        <f t="shared" si="8"/>
        <v>117024</v>
      </c>
      <c r="V304" s="4">
        <f t="shared" si="9"/>
        <v>118024</v>
      </c>
    </row>
    <row r="305" spans="3:22" s="4" customFormat="1">
      <c r="H305" s="4">
        <v>117024</v>
      </c>
      <c r="U305" s="4">
        <f t="shared" si="8"/>
        <v>117024</v>
      </c>
      <c r="V305" s="4">
        <f t="shared" si="9"/>
        <v>118024</v>
      </c>
    </row>
    <row r="306" spans="3:22" s="4" customFormat="1">
      <c r="I306" s="4">
        <v>117024</v>
      </c>
      <c r="U306" s="4">
        <f t="shared" si="8"/>
        <v>117024</v>
      </c>
      <c r="V306" s="4">
        <f t="shared" si="9"/>
        <v>118024</v>
      </c>
    </row>
    <row r="307" spans="3:22" s="4" customFormat="1">
      <c r="E307" s="4">
        <v>0</v>
      </c>
      <c r="J307" s="4">
        <v>117024</v>
      </c>
      <c r="U307" s="4">
        <f t="shared" si="8"/>
        <v>117024</v>
      </c>
      <c r="V307" s="4">
        <f t="shared" si="9"/>
        <v>118024</v>
      </c>
    </row>
    <row r="308" spans="3:22" s="4" customFormat="1">
      <c r="K308" s="4">
        <v>117024</v>
      </c>
      <c r="U308" s="4">
        <f t="shared" si="8"/>
        <v>117024</v>
      </c>
      <c r="V308" s="4">
        <f t="shared" si="9"/>
        <v>118024</v>
      </c>
    </row>
    <row r="309" spans="3:22" s="4" customFormat="1">
      <c r="L309" s="4">
        <v>117024</v>
      </c>
      <c r="U309" s="4">
        <f t="shared" si="8"/>
        <v>117024</v>
      </c>
      <c r="V309" s="4">
        <f t="shared" si="9"/>
        <v>118024</v>
      </c>
    </row>
    <row r="310" spans="3:22" s="4" customFormat="1">
      <c r="M310" s="4">
        <v>117024</v>
      </c>
      <c r="U310" s="4">
        <f t="shared" si="8"/>
        <v>117024</v>
      </c>
      <c r="V310" s="4">
        <f t="shared" si="9"/>
        <v>118024</v>
      </c>
    </row>
    <row r="311" spans="3:22" s="4" customFormat="1">
      <c r="D311" s="4">
        <v>0</v>
      </c>
      <c r="N311" s="4">
        <v>117024</v>
      </c>
      <c r="U311" s="4">
        <f t="shared" si="8"/>
        <v>117024</v>
      </c>
      <c r="V311" s="4">
        <f t="shared" si="9"/>
        <v>118024</v>
      </c>
    </row>
    <row r="312" spans="3:22" s="4" customFormat="1">
      <c r="D312" s="4">
        <v>0</v>
      </c>
      <c r="O312" s="4">
        <v>117024</v>
      </c>
      <c r="U312" s="4">
        <f t="shared" si="8"/>
        <v>117024</v>
      </c>
      <c r="V312" s="4">
        <f t="shared" si="9"/>
        <v>118024</v>
      </c>
    </row>
    <row r="313" spans="3:22" s="4" customFormat="1">
      <c r="D313" s="4">
        <v>0</v>
      </c>
      <c r="P313" s="4">
        <v>117024</v>
      </c>
      <c r="U313" s="4">
        <f t="shared" si="8"/>
        <v>117024</v>
      </c>
      <c r="V313" s="4">
        <f t="shared" si="9"/>
        <v>118024</v>
      </c>
    </row>
    <row r="314" spans="3:22" s="4" customFormat="1">
      <c r="Q314" s="4">
        <v>117024</v>
      </c>
      <c r="U314" s="4">
        <f t="shared" si="8"/>
        <v>117024</v>
      </c>
      <c r="V314" s="4">
        <f t="shared" si="9"/>
        <v>118024</v>
      </c>
    </row>
    <row r="315" spans="3:22" s="4" customFormat="1">
      <c r="E315" s="4">
        <v>0</v>
      </c>
      <c r="R315" s="4">
        <v>117024</v>
      </c>
      <c r="U315" s="4">
        <f t="shared" si="8"/>
        <v>117024</v>
      </c>
      <c r="V315" s="4">
        <f t="shared" si="9"/>
        <v>118024</v>
      </c>
    </row>
    <row r="316" spans="3:22" s="4" customFormat="1">
      <c r="S316" s="4">
        <v>117024</v>
      </c>
      <c r="U316" s="4">
        <f t="shared" si="8"/>
        <v>117024</v>
      </c>
      <c r="V316" s="4">
        <f t="shared" si="9"/>
        <v>118024</v>
      </c>
    </row>
    <row r="317" spans="3:22" s="4" customFormat="1">
      <c r="T317" s="4">
        <v>117024</v>
      </c>
      <c r="U317" s="4">
        <f t="shared" si="8"/>
        <v>117024</v>
      </c>
      <c r="V317" s="4">
        <f t="shared" si="9"/>
        <v>118024</v>
      </c>
    </row>
    <row r="318" spans="3:22">
      <c r="C318" s="4">
        <v>117025</v>
      </c>
      <c r="D318" s="4">
        <v>0</v>
      </c>
      <c r="E318" s="4"/>
      <c r="G318" s="4">
        <v>117025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>
        <f t="shared" si="8"/>
        <v>117025</v>
      </c>
      <c r="V318" s="4">
        <f t="shared" si="9"/>
        <v>118025</v>
      </c>
    </row>
    <row r="319" spans="3:22" s="4" customFormat="1">
      <c r="H319" s="4">
        <v>117025</v>
      </c>
      <c r="U319" s="4">
        <f t="shared" si="8"/>
        <v>117025</v>
      </c>
      <c r="V319" s="4">
        <f t="shared" si="9"/>
        <v>118025</v>
      </c>
    </row>
    <row r="320" spans="3:22" s="4" customFormat="1">
      <c r="I320" s="4">
        <v>117025</v>
      </c>
      <c r="U320" s="4">
        <f t="shared" si="8"/>
        <v>117025</v>
      </c>
      <c r="V320" s="4">
        <f t="shared" si="9"/>
        <v>118025</v>
      </c>
    </row>
    <row r="321" spans="3:22" s="4" customFormat="1">
      <c r="E321" s="4">
        <v>0</v>
      </c>
      <c r="J321" s="4">
        <v>117025</v>
      </c>
      <c r="U321" s="4">
        <f t="shared" si="8"/>
        <v>117025</v>
      </c>
      <c r="V321" s="4">
        <f t="shared" si="9"/>
        <v>118025</v>
      </c>
    </row>
    <row r="322" spans="3:22" s="4" customFormat="1">
      <c r="K322" s="4">
        <v>117025</v>
      </c>
      <c r="U322" s="4">
        <f t="shared" si="8"/>
        <v>117025</v>
      </c>
      <c r="V322" s="4">
        <f t="shared" si="9"/>
        <v>118025</v>
      </c>
    </row>
    <row r="323" spans="3:22" s="4" customFormat="1">
      <c r="L323" s="4">
        <v>117025</v>
      </c>
      <c r="U323" s="4">
        <f t="shared" si="8"/>
        <v>117025</v>
      </c>
      <c r="V323" s="4">
        <f t="shared" si="9"/>
        <v>118025</v>
      </c>
    </row>
    <row r="324" spans="3:22" s="4" customFormat="1">
      <c r="M324" s="4">
        <v>117025</v>
      </c>
      <c r="U324" s="4">
        <f t="shared" si="8"/>
        <v>117025</v>
      </c>
      <c r="V324" s="4">
        <f t="shared" si="9"/>
        <v>118025</v>
      </c>
    </row>
    <row r="325" spans="3:22" s="4" customFormat="1">
      <c r="D325" s="4">
        <v>0</v>
      </c>
      <c r="N325" s="4">
        <v>117025</v>
      </c>
      <c r="U325" s="4">
        <f t="shared" si="8"/>
        <v>117025</v>
      </c>
      <c r="V325" s="4">
        <f t="shared" si="9"/>
        <v>118025</v>
      </c>
    </row>
    <row r="326" spans="3:22" s="4" customFormat="1">
      <c r="D326" s="4">
        <v>0</v>
      </c>
      <c r="O326" s="4">
        <v>117025</v>
      </c>
      <c r="U326" s="4">
        <f t="shared" si="8"/>
        <v>117025</v>
      </c>
      <c r="V326" s="4">
        <f t="shared" si="9"/>
        <v>118025</v>
      </c>
    </row>
    <row r="327" spans="3:22" s="4" customFormat="1">
      <c r="D327" s="4">
        <v>0</v>
      </c>
      <c r="P327" s="4">
        <v>117025</v>
      </c>
      <c r="U327" s="4">
        <f t="shared" si="8"/>
        <v>117025</v>
      </c>
      <c r="V327" s="4">
        <f t="shared" si="9"/>
        <v>118025</v>
      </c>
    </row>
    <row r="328" spans="3:22" s="4" customFormat="1">
      <c r="Q328" s="4">
        <v>117025</v>
      </c>
      <c r="U328" s="4">
        <f t="shared" si="8"/>
        <v>117025</v>
      </c>
      <c r="V328" s="4">
        <f t="shared" si="9"/>
        <v>118025</v>
      </c>
    </row>
    <row r="329" spans="3:22" s="4" customFormat="1">
      <c r="E329" s="4">
        <v>0</v>
      </c>
      <c r="R329" s="4">
        <v>117025</v>
      </c>
      <c r="U329" s="4">
        <f t="shared" si="8"/>
        <v>117025</v>
      </c>
      <c r="V329" s="4">
        <f t="shared" si="9"/>
        <v>118025</v>
      </c>
    </row>
    <row r="330" spans="3:22" s="4" customFormat="1">
      <c r="S330" s="4">
        <v>117025</v>
      </c>
      <c r="U330" s="4">
        <f t="shared" si="8"/>
        <v>117025</v>
      </c>
      <c r="V330" s="4">
        <f t="shared" si="9"/>
        <v>118025</v>
      </c>
    </row>
    <row r="331" spans="3:22" s="4" customFormat="1">
      <c r="T331" s="4">
        <v>117025</v>
      </c>
      <c r="U331" s="4">
        <f t="shared" ref="U331:U345" si="10">SUM(G331:T331)</f>
        <v>117025</v>
      </c>
      <c r="V331" s="4">
        <f t="shared" ref="V331:V345" si="11">U331+1000</f>
        <v>118025</v>
      </c>
    </row>
    <row r="332" spans="3:22">
      <c r="C332" s="4">
        <v>117026</v>
      </c>
      <c r="D332" s="4">
        <v>0</v>
      </c>
      <c r="E332" s="4"/>
      <c r="G332" s="4">
        <v>117026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>
        <f t="shared" si="10"/>
        <v>117026</v>
      </c>
      <c r="V332" s="4">
        <f t="shared" si="11"/>
        <v>118026</v>
      </c>
    </row>
    <row r="333" spans="3:22" s="4" customFormat="1">
      <c r="H333" s="4">
        <v>117026</v>
      </c>
      <c r="U333" s="4">
        <f t="shared" si="10"/>
        <v>117026</v>
      </c>
      <c r="V333" s="4">
        <f t="shared" si="11"/>
        <v>118026</v>
      </c>
    </row>
    <row r="334" spans="3:22" s="4" customFormat="1">
      <c r="I334" s="4">
        <v>117026</v>
      </c>
      <c r="U334" s="4">
        <f t="shared" si="10"/>
        <v>117026</v>
      </c>
      <c r="V334" s="4">
        <f t="shared" si="11"/>
        <v>118026</v>
      </c>
    </row>
    <row r="335" spans="3:22">
      <c r="D335" s="4"/>
      <c r="E335" s="4">
        <v>0</v>
      </c>
      <c r="G335" s="4"/>
      <c r="H335" s="4"/>
      <c r="I335" s="4"/>
      <c r="J335" s="4">
        <v>117026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>
        <f t="shared" si="10"/>
        <v>117026</v>
      </c>
      <c r="V335" s="4">
        <f t="shared" si="11"/>
        <v>118026</v>
      </c>
    </row>
    <row r="336" spans="3:22" s="4" customFormat="1">
      <c r="K336" s="4">
        <v>117026</v>
      </c>
      <c r="U336" s="4">
        <f t="shared" si="10"/>
        <v>117026</v>
      </c>
      <c r="V336" s="4">
        <f t="shared" si="11"/>
        <v>118026</v>
      </c>
    </row>
    <row r="337" spans="4:22" s="4" customFormat="1">
      <c r="L337" s="4">
        <v>117026</v>
      </c>
      <c r="U337" s="4">
        <f t="shared" si="10"/>
        <v>117026</v>
      </c>
      <c r="V337" s="4">
        <f t="shared" si="11"/>
        <v>118026</v>
      </c>
    </row>
    <row r="338" spans="4:22">
      <c r="D338" s="4">
        <v>0</v>
      </c>
      <c r="E338" s="4"/>
      <c r="G338" s="4"/>
      <c r="H338" s="4"/>
      <c r="I338" s="4"/>
      <c r="J338" s="4"/>
      <c r="K338" s="4"/>
      <c r="L338" s="4"/>
      <c r="M338" s="4">
        <v>117026</v>
      </c>
      <c r="N338" s="4"/>
      <c r="O338" s="4"/>
      <c r="P338" s="4"/>
      <c r="Q338" s="4"/>
      <c r="R338" s="4"/>
      <c r="S338" s="4"/>
      <c r="T338" s="4"/>
      <c r="U338" s="4">
        <f t="shared" si="10"/>
        <v>117026</v>
      </c>
      <c r="V338" s="4">
        <f t="shared" si="11"/>
        <v>118026</v>
      </c>
    </row>
    <row r="339" spans="4:22">
      <c r="D339" s="4">
        <v>0</v>
      </c>
      <c r="E339" s="4"/>
      <c r="G339" s="4"/>
      <c r="H339" s="4"/>
      <c r="I339" s="4"/>
      <c r="J339" s="4"/>
      <c r="K339" s="4"/>
      <c r="L339" s="4"/>
      <c r="M339" s="4"/>
      <c r="N339" s="4">
        <v>117026</v>
      </c>
      <c r="O339" s="4"/>
      <c r="P339" s="4"/>
      <c r="Q339" s="4"/>
      <c r="R339" s="4"/>
      <c r="S339" s="4"/>
      <c r="T339" s="4"/>
      <c r="U339" s="4">
        <f t="shared" si="10"/>
        <v>117026</v>
      </c>
      <c r="V339" s="4">
        <f t="shared" si="11"/>
        <v>118026</v>
      </c>
    </row>
    <row r="340" spans="4:22">
      <c r="H340" s="4"/>
      <c r="I340" s="4"/>
      <c r="J340" s="4"/>
      <c r="K340" s="4"/>
      <c r="L340" s="4"/>
      <c r="M340" s="4"/>
      <c r="N340" s="4"/>
      <c r="O340" s="4">
        <v>117026</v>
      </c>
      <c r="P340" s="4"/>
      <c r="Q340" s="4"/>
      <c r="R340" s="4"/>
      <c r="S340" s="4"/>
      <c r="T340" s="4"/>
      <c r="U340" s="4">
        <f t="shared" si="10"/>
        <v>117026</v>
      </c>
      <c r="V340" s="4">
        <f t="shared" si="11"/>
        <v>118026</v>
      </c>
    </row>
    <row r="341" spans="4:22">
      <c r="I341" s="4"/>
      <c r="J341" s="4"/>
      <c r="K341" s="4"/>
      <c r="L341" s="4"/>
      <c r="M341" s="4"/>
      <c r="N341" s="4"/>
      <c r="O341" s="4"/>
      <c r="P341" s="4">
        <v>117026</v>
      </c>
      <c r="Q341" s="4"/>
      <c r="R341" s="4"/>
      <c r="S341" s="4"/>
      <c r="T341" s="4"/>
      <c r="U341" s="4">
        <f t="shared" si="10"/>
        <v>117026</v>
      </c>
      <c r="V341" s="4">
        <f t="shared" si="11"/>
        <v>118026</v>
      </c>
    </row>
    <row r="342" spans="4:22">
      <c r="J342" s="4"/>
      <c r="K342" s="4"/>
      <c r="L342" s="4"/>
      <c r="M342" s="4"/>
      <c r="N342" s="4"/>
      <c r="O342" s="4"/>
      <c r="P342" s="4"/>
      <c r="Q342" s="4">
        <v>117026</v>
      </c>
      <c r="R342" s="4"/>
      <c r="S342" s="4"/>
      <c r="T342" s="4"/>
      <c r="U342" s="4">
        <f t="shared" si="10"/>
        <v>117026</v>
      </c>
      <c r="V342" s="4">
        <f t="shared" si="11"/>
        <v>118026</v>
      </c>
    </row>
    <row r="343" spans="4:22">
      <c r="K343" s="4"/>
      <c r="L343" s="4"/>
      <c r="M343" s="4"/>
      <c r="N343" s="4"/>
      <c r="O343" s="4"/>
      <c r="P343" s="4"/>
      <c r="Q343" s="4"/>
      <c r="R343" s="4">
        <v>117026</v>
      </c>
      <c r="S343" s="4"/>
      <c r="T343" s="4"/>
      <c r="U343" s="4">
        <f t="shared" si="10"/>
        <v>117026</v>
      </c>
      <c r="V343" s="4">
        <f t="shared" si="11"/>
        <v>118026</v>
      </c>
    </row>
    <row r="344" spans="4:22">
      <c r="L344" s="4"/>
      <c r="M344" s="4"/>
      <c r="N344" s="4"/>
      <c r="O344" s="4"/>
      <c r="P344" s="4"/>
      <c r="Q344" s="4"/>
      <c r="R344" s="4"/>
      <c r="S344" s="4">
        <v>117026</v>
      </c>
      <c r="T344" s="4"/>
      <c r="U344" s="4">
        <f t="shared" si="10"/>
        <v>117026</v>
      </c>
      <c r="V344" s="4">
        <f t="shared" si="11"/>
        <v>118026</v>
      </c>
    </row>
    <row r="345" spans="4:22">
      <c r="M345" s="4"/>
      <c r="N345" s="4"/>
      <c r="O345" s="4"/>
      <c r="P345" s="4"/>
      <c r="Q345" s="4"/>
      <c r="R345" s="4"/>
      <c r="S345" s="4"/>
      <c r="T345" s="4">
        <v>117026</v>
      </c>
      <c r="U345" s="4">
        <f t="shared" si="10"/>
        <v>117026</v>
      </c>
      <c r="V345" s="4">
        <f t="shared" si="11"/>
        <v>118026</v>
      </c>
    </row>
    <row r="346" spans="4:22">
      <c r="N346" s="4"/>
      <c r="O346" s="4"/>
      <c r="P346" s="4"/>
      <c r="Q346" s="4"/>
      <c r="R346" s="4"/>
      <c r="S346" s="4"/>
      <c r="T346" s="4"/>
    </row>
    <row r="347" spans="4:22">
      <c r="O347" s="4"/>
      <c r="P347" s="4"/>
      <c r="Q347" s="4"/>
      <c r="R347" s="4"/>
      <c r="S347" s="4"/>
      <c r="T347" s="4"/>
    </row>
    <row r="348" spans="4:22">
      <c r="P348" s="4"/>
      <c r="Q348" s="4"/>
      <c r="R348" s="4"/>
      <c r="S348" s="4"/>
      <c r="T348" s="4"/>
    </row>
    <row r="349" spans="4:22">
      <c r="Q349" s="4"/>
      <c r="R349" s="4"/>
      <c r="S349" s="4"/>
      <c r="T349" s="4"/>
    </row>
    <row r="350" spans="4:22">
      <c r="R350" s="4"/>
      <c r="S350" s="4"/>
      <c r="T350" s="4"/>
    </row>
    <row r="351" spans="4:22">
      <c r="S351" s="4"/>
      <c r="T351" s="4"/>
    </row>
    <row r="352" spans="4:22">
      <c r="T352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workbookViewId="0">
      <selection activeCell="G20" sqref="G20"/>
    </sheetView>
  </sheetViews>
  <sheetFormatPr defaultRowHeight="13.5"/>
  <cols>
    <col min="2" max="2" width="9" style="4"/>
    <col min="3" max="3" width="15.5" customWidth="1"/>
  </cols>
  <sheetData>
    <row r="1" spans="1:8">
      <c r="A1" t="s">
        <v>511</v>
      </c>
      <c r="B1" s="4" t="s">
        <v>614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</row>
    <row r="2" spans="1:8">
      <c r="A2" t="s">
        <v>518</v>
      </c>
      <c r="B2" s="4">
        <v>115003</v>
      </c>
      <c r="C2">
        <v>3.6363636363636362E-2</v>
      </c>
      <c r="D2">
        <v>1</v>
      </c>
      <c r="E2">
        <v>0</v>
      </c>
      <c r="F2">
        <v>0</v>
      </c>
      <c r="G2">
        <v>4.0000000000000002E-4</v>
      </c>
      <c r="H2">
        <v>0.99960000000000004</v>
      </c>
    </row>
    <row r="3" spans="1:8">
      <c r="A3" t="s">
        <v>519</v>
      </c>
      <c r="B3" s="4">
        <v>115004</v>
      </c>
      <c r="C3">
        <v>3.6536796536796534E-2</v>
      </c>
      <c r="D3">
        <v>1</v>
      </c>
      <c r="E3">
        <v>0</v>
      </c>
      <c r="F3">
        <v>0</v>
      </c>
      <c r="G3">
        <v>4.8000000000000001E-4</v>
      </c>
      <c r="H3">
        <v>0.99951999999999996</v>
      </c>
    </row>
    <row r="4" spans="1:8">
      <c r="A4" t="s">
        <v>520</v>
      </c>
      <c r="B4" s="4">
        <v>115005</v>
      </c>
      <c r="C4">
        <v>3.6709956709956706E-2</v>
      </c>
      <c r="D4">
        <v>1</v>
      </c>
      <c r="E4">
        <v>0</v>
      </c>
      <c r="F4">
        <v>0</v>
      </c>
      <c r="G4">
        <v>5.5999999999999995E-4</v>
      </c>
      <c r="H4">
        <v>0.99944</v>
      </c>
    </row>
    <row r="5" spans="1:8">
      <c r="A5" t="s">
        <v>521</v>
      </c>
      <c r="B5" s="4">
        <v>115006</v>
      </c>
      <c r="C5">
        <v>3.6883116883116879E-2</v>
      </c>
      <c r="D5">
        <v>1</v>
      </c>
      <c r="E5">
        <v>0</v>
      </c>
      <c r="F5">
        <v>0</v>
      </c>
      <c r="G5">
        <v>6.4000000000000005E-4</v>
      </c>
      <c r="H5">
        <v>0.99936000000000003</v>
      </c>
    </row>
    <row r="6" spans="1:8">
      <c r="A6" t="s">
        <v>522</v>
      </c>
      <c r="B6" s="4">
        <v>115007</v>
      </c>
      <c r="C6">
        <v>3.7056277056277051E-2</v>
      </c>
      <c r="D6">
        <v>1</v>
      </c>
      <c r="E6">
        <v>0</v>
      </c>
      <c r="F6">
        <v>0</v>
      </c>
      <c r="G6">
        <v>7.2000000000000005E-4</v>
      </c>
      <c r="H6">
        <v>0.99927999999999995</v>
      </c>
    </row>
    <row r="7" spans="1:8">
      <c r="A7" t="s">
        <v>523</v>
      </c>
      <c r="B7" s="4">
        <v>115008</v>
      </c>
      <c r="C7">
        <v>3.7229437229437223E-2</v>
      </c>
      <c r="D7">
        <v>1</v>
      </c>
      <c r="E7">
        <v>0</v>
      </c>
      <c r="F7">
        <v>0</v>
      </c>
      <c r="G7">
        <v>8.0000000000000004E-4</v>
      </c>
      <c r="H7">
        <v>0.99919999999999998</v>
      </c>
    </row>
    <row r="8" spans="1:8">
      <c r="A8" t="s">
        <v>524</v>
      </c>
      <c r="B8" s="4">
        <v>115009</v>
      </c>
      <c r="C8">
        <v>3.7402597402597403E-2</v>
      </c>
      <c r="D8">
        <v>1</v>
      </c>
      <c r="E8">
        <v>0</v>
      </c>
      <c r="F8">
        <v>0</v>
      </c>
      <c r="G8">
        <v>8.8000000000000003E-4</v>
      </c>
      <c r="H8">
        <v>0.99912000000000001</v>
      </c>
    </row>
    <row r="9" spans="1:8">
      <c r="A9" t="s">
        <v>525</v>
      </c>
      <c r="B9" s="4">
        <v>115010</v>
      </c>
      <c r="C9">
        <v>3.7575757575757575E-2</v>
      </c>
      <c r="D9">
        <v>1</v>
      </c>
      <c r="E9">
        <v>0</v>
      </c>
      <c r="F9">
        <v>0</v>
      </c>
      <c r="G9">
        <v>9.6000000000000002E-4</v>
      </c>
      <c r="H9">
        <v>0.99904000000000004</v>
      </c>
    </row>
    <row r="10" spans="1:8">
      <c r="A10" t="s">
        <v>526</v>
      </c>
      <c r="B10" s="4">
        <v>115011</v>
      </c>
      <c r="C10">
        <v>3.7748917748917747E-2</v>
      </c>
      <c r="D10">
        <v>1</v>
      </c>
      <c r="E10">
        <v>0</v>
      </c>
      <c r="F10">
        <v>0</v>
      </c>
      <c r="G10">
        <v>1.0399999999999999E-3</v>
      </c>
      <c r="H10">
        <v>0.99895999999999996</v>
      </c>
    </row>
    <row r="11" spans="1:8">
      <c r="A11" t="s">
        <v>527</v>
      </c>
      <c r="B11" s="4">
        <v>115012</v>
      </c>
      <c r="C11">
        <v>3.7922077922077919E-2</v>
      </c>
      <c r="D11">
        <v>1</v>
      </c>
      <c r="E11">
        <v>0</v>
      </c>
      <c r="F11">
        <v>0</v>
      </c>
      <c r="G11">
        <v>1.1199999999999999E-3</v>
      </c>
      <c r="H11">
        <v>0.99887999999999999</v>
      </c>
    </row>
    <row r="12" spans="1:8">
      <c r="A12" t="s">
        <v>528</v>
      </c>
      <c r="B12" s="4">
        <v>115013</v>
      </c>
      <c r="C12">
        <v>3.8095238095238092E-2</v>
      </c>
      <c r="D12">
        <v>1</v>
      </c>
      <c r="E12">
        <v>0</v>
      </c>
      <c r="F12">
        <v>0</v>
      </c>
      <c r="G12">
        <v>1.1999999999999999E-3</v>
      </c>
      <c r="H12">
        <v>0.99880000000000002</v>
      </c>
    </row>
    <row r="13" spans="1:8">
      <c r="A13" t="s">
        <v>529</v>
      </c>
      <c r="B13" s="4">
        <v>115014</v>
      </c>
      <c r="C13">
        <v>3.8095238095238092E-2</v>
      </c>
      <c r="D13">
        <v>1</v>
      </c>
      <c r="E13">
        <v>0</v>
      </c>
      <c r="F13">
        <v>0</v>
      </c>
      <c r="G13">
        <v>1.2800000000000001E-3</v>
      </c>
      <c r="H13">
        <v>0.99872000000000005</v>
      </c>
    </row>
    <row r="14" spans="1:8">
      <c r="A14" t="s">
        <v>530</v>
      </c>
      <c r="B14" s="4">
        <v>115015</v>
      </c>
      <c r="C14">
        <v>3.8095238095238092E-2</v>
      </c>
      <c r="D14">
        <v>1</v>
      </c>
      <c r="E14">
        <v>0</v>
      </c>
      <c r="F14">
        <v>0</v>
      </c>
      <c r="G14">
        <v>1.3600000000000001E-3</v>
      </c>
      <c r="H14">
        <v>0.99863999999999997</v>
      </c>
    </row>
    <row r="15" spans="1:8">
      <c r="A15" t="s">
        <v>531</v>
      </c>
      <c r="B15" s="4">
        <v>115016</v>
      </c>
      <c r="C15">
        <v>3.8095238095238092E-2</v>
      </c>
      <c r="D15">
        <v>1</v>
      </c>
      <c r="E15">
        <v>0</v>
      </c>
      <c r="F15">
        <v>0</v>
      </c>
      <c r="G15">
        <v>1.4400000000000001E-3</v>
      </c>
      <c r="H15">
        <v>0.99856</v>
      </c>
    </row>
    <row r="16" spans="1:8">
      <c r="A16" t="s">
        <v>532</v>
      </c>
      <c r="B16" s="4">
        <v>115017</v>
      </c>
      <c r="C16">
        <v>1.7316017316017318E-3</v>
      </c>
      <c r="D16">
        <v>2</v>
      </c>
      <c r="E16">
        <v>0</v>
      </c>
      <c r="F16">
        <v>0</v>
      </c>
      <c r="G16">
        <v>1.5200000000000001E-3</v>
      </c>
      <c r="H16">
        <v>0.99848000000000003</v>
      </c>
    </row>
    <row r="17" spans="1:8">
      <c r="A17" t="s">
        <v>533</v>
      </c>
      <c r="B17" s="4">
        <v>115018</v>
      </c>
      <c r="C17">
        <v>1.5584415584415587E-3</v>
      </c>
      <c r="D17">
        <v>2</v>
      </c>
      <c r="E17">
        <v>0</v>
      </c>
      <c r="F17">
        <v>0</v>
      </c>
      <c r="G17">
        <v>1.6000000000000001E-3</v>
      </c>
      <c r="H17">
        <v>0.99839999999999995</v>
      </c>
    </row>
    <row r="18" spans="1:8">
      <c r="A18" t="s">
        <v>534</v>
      </c>
      <c r="B18" s="4">
        <v>115019</v>
      </c>
      <c r="C18">
        <v>1.3852813852813855E-3</v>
      </c>
      <c r="D18">
        <v>2</v>
      </c>
      <c r="E18">
        <v>0</v>
      </c>
      <c r="F18">
        <v>0</v>
      </c>
      <c r="G18">
        <v>1.6800000000000001E-3</v>
      </c>
      <c r="H18">
        <v>0.99831999999999999</v>
      </c>
    </row>
    <row r="19" spans="1:8">
      <c r="A19" t="s">
        <v>535</v>
      </c>
      <c r="B19" s="4">
        <v>115020</v>
      </c>
      <c r="C19">
        <v>1.2121212121212123E-3</v>
      </c>
      <c r="D19">
        <v>2</v>
      </c>
      <c r="E19">
        <v>0</v>
      </c>
      <c r="F19">
        <v>0</v>
      </c>
      <c r="G19">
        <v>1.7600000000000001E-3</v>
      </c>
      <c r="H19">
        <v>0.99824000000000002</v>
      </c>
    </row>
    <row r="20" spans="1:8">
      <c r="A20" t="s">
        <v>536</v>
      </c>
      <c r="B20" s="4">
        <v>115021</v>
      </c>
      <c r="C20">
        <v>1.0389610389610392E-3</v>
      </c>
      <c r="D20">
        <v>2</v>
      </c>
      <c r="E20">
        <v>0</v>
      </c>
      <c r="F20">
        <v>0</v>
      </c>
      <c r="G20">
        <v>1.8400000000000001E-3</v>
      </c>
      <c r="H20">
        <v>0.99816000000000005</v>
      </c>
    </row>
    <row r="21" spans="1:8">
      <c r="A21" t="s">
        <v>537</v>
      </c>
      <c r="B21" s="4">
        <v>115022</v>
      </c>
      <c r="C21">
        <v>8.6580086580086591E-4</v>
      </c>
      <c r="D21">
        <v>2</v>
      </c>
      <c r="E21">
        <v>0</v>
      </c>
      <c r="F21">
        <v>0</v>
      </c>
      <c r="G21">
        <v>1.92E-3</v>
      </c>
      <c r="H21">
        <v>0.99807999999999997</v>
      </c>
    </row>
    <row r="22" spans="1:8">
      <c r="A22" t="s">
        <v>538</v>
      </c>
      <c r="B22" s="4">
        <v>115023</v>
      </c>
      <c r="C22">
        <v>6.9264069264069275E-4</v>
      </c>
      <c r="D22">
        <v>2</v>
      </c>
      <c r="E22">
        <v>0</v>
      </c>
      <c r="F22">
        <v>0</v>
      </c>
      <c r="G22">
        <v>2E-3</v>
      </c>
      <c r="H22">
        <v>0.998</v>
      </c>
    </row>
    <row r="23" spans="1:8">
      <c r="A23" t="s">
        <v>539</v>
      </c>
      <c r="B23" s="4">
        <v>115024</v>
      </c>
      <c r="C23">
        <v>5.1948051948051948E-4</v>
      </c>
      <c r="D23">
        <v>2</v>
      </c>
      <c r="E23">
        <v>0</v>
      </c>
      <c r="F23">
        <v>0</v>
      </c>
      <c r="G23">
        <v>2.0799999999999998E-3</v>
      </c>
      <c r="H23">
        <v>0.99792000000000003</v>
      </c>
    </row>
    <row r="24" spans="1:8">
      <c r="A24" t="s">
        <v>540</v>
      </c>
      <c r="B24" s="4">
        <v>115025</v>
      </c>
      <c r="C24">
        <v>3.4632034632034637E-4</v>
      </c>
      <c r="D24">
        <v>2</v>
      </c>
      <c r="E24">
        <v>0</v>
      </c>
      <c r="F24">
        <v>0</v>
      </c>
      <c r="G24">
        <v>2.16E-3</v>
      </c>
      <c r="H24">
        <v>0.99783999999999995</v>
      </c>
    </row>
    <row r="25" spans="1:8">
      <c r="A25" t="s">
        <v>541</v>
      </c>
      <c r="B25" s="4">
        <v>115026</v>
      </c>
      <c r="C25">
        <v>1.7316017316017319E-4</v>
      </c>
      <c r="D25">
        <v>2</v>
      </c>
      <c r="E25">
        <v>0</v>
      </c>
      <c r="F25">
        <v>0</v>
      </c>
      <c r="G25">
        <v>2.2399999999999998E-3</v>
      </c>
      <c r="H25">
        <v>0.99775999999999998</v>
      </c>
    </row>
    <row r="26" spans="1:8">
      <c r="A26" t="s">
        <v>542</v>
      </c>
      <c r="B26" s="4">
        <v>116003</v>
      </c>
      <c r="C26">
        <v>1.4204545454545454E-2</v>
      </c>
      <c r="D26">
        <v>2</v>
      </c>
      <c r="E26">
        <v>0</v>
      </c>
      <c r="F26">
        <v>0</v>
      </c>
      <c r="G26">
        <v>1E-3</v>
      </c>
      <c r="H26">
        <v>0.999</v>
      </c>
    </row>
    <row r="27" spans="1:8">
      <c r="A27" t="s">
        <v>543</v>
      </c>
      <c r="B27" s="4">
        <v>116004</v>
      </c>
      <c r="C27">
        <v>1.4272186147186146E-2</v>
      </c>
      <c r="D27">
        <v>2</v>
      </c>
      <c r="E27">
        <v>0</v>
      </c>
      <c r="F27">
        <v>0</v>
      </c>
      <c r="G27">
        <v>1.1999999999999999E-3</v>
      </c>
      <c r="H27">
        <v>0.99880000000000002</v>
      </c>
    </row>
    <row r="28" spans="1:8">
      <c r="A28" t="s">
        <v>544</v>
      </c>
      <c r="B28" s="4">
        <v>116005</v>
      </c>
      <c r="C28">
        <v>1.433982683982684E-2</v>
      </c>
      <c r="D28">
        <v>2</v>
      </c>
      <c r="E28">
        <v>0</v>
      </c>
      <c r="F28">
        <v>0</v>
      </c>
      <c r="G28">
        <v>1.4E-3</v>
      </c>
      <c r="H28">
        <v>0.99860000000000004</v>
      </c>
    </row>
    <row r="29" spans="1:8">
      <c r="A29" t="s">
        <v>545</v>
      </c>
      <c r="B29" s="4">
        <v>116006</v>
      </c>
      <c r="C29">
        <v>1.4407467532467532E-2</v>
      </c>
      <c r="D29">
        <v>2</v>
      </c>
      <c r="E29">
        <v>0</v>
      </c>
      <c r="F29">
        <v>0</v>
      </c>
      <c r="G29">
        <v>1.6000000000000001E-3</v>
      </c>
      <c r="H29">
        <v>0.99839999999999995</v>
      </c>
    </row>
    <row r="30" spans="1:8">
      <c r="A30" t="s">
        <v>546</v>
      </c>
      <c r="B30" s="4">
        <v>116007</v>
      </c>
      <c r="C30">
        <v>1.4475108225108224E-2</v>
      </c>
      <c r="D30">
        <v>2</v>
      </c>
      <c r="E30">
        <v>0</v>
      </c>
      <c r="F30">
        <v>0</v>
      </c>
      <c r="G30">
        <v>1.8E-3</v>
      </c>
      <c r="H30">
        <v>0.99819999999999998</v>
      </c>
    </row>
    <row r="31" spans="1:8">
      <c r="A31" t="s">
        <v>547</v>
      </c>
      <c r="B31" s="4">
        <v>116008</v>
      </c>
      <c r="C31">
        <v>1.4542748917748918E-2</v>
      </c>
      <c r="D31">
        <v>2</v>
      </c>
      <c r="E31">
        <v>0</v>
      </c>
      <c r="F31">
        <v>0</v>
      </c>
      <c r="G31">
        <v>2E-3</v>
      </c>
      <c r="H31">
        <v>0.998</v>
      </c>
    </row>
    <row r="32" spans="1:8">
      <c r="A32" t="s">
        <v>548</v>
      </c>
      <c r="B32" s="4">
        <v>116009</v>
      </c>
      <c r="C32">
        <v>1.461038961038961E-2</v>
      </c>
      <c r="D32">
        <v>2</v>
      </c>
      <c r="E32">
        <v>0</v>
      </c>
      <c r="F32">
        <v>0</v>
      </c>
      <c r="G32">
        <v>2.2000000000000001E-3</v>
      </c>
      <c r="H32">
        <v>0.99780000000000002</v>
      </c>
    </row>
    <row r="33" spans="1:8">
      <c r="A33" t="s">
        <v>549</v>
      </c>
      <c r="B33" s="4">
        <v>116010</v>
      </c>
      <c r="C33">
        <v>1.4678030303030302E-2</v>
      </c>
      <c r="D33">
        <v>2</v>
      </c>
      <c r="E33">
        <v>0</v>
      </c>
      <c r="F33">
        <v>0</v>
      </c>
      <c r="G33">
        <v>2.3999999999999998E-3</v>
      </c>
      <c r="H33">
        <v>0.99760000000000004</v>
      </c>
    </row>
    <row r="34" spans="1:8">
      <c r="A34" t="s">
        <v>550</v>
      </c>
      <c r="B34" s="4">
        <v>116011</v>
      </c>
      <c r="C34">
        <v>1.4745670995670996E-2</v>
      </c>
      <c r="D34">
        <v>2</v>
      </c>
      <c r="E34">
        <v>0</v>
      </c>
      <c r="F34">
        <v>0</v>
      </c>
      <c r="G34">
        <v>2.5999999999999999E-3</v>
      </c>
      <c r="H34">
        <v>0.99739999999999995</v>
      </c>
    </row>
    <row r="35" spans="1:8">
      <c r="A35" t="s">
        <v>551</v>
      </c>
      <c r="B35" s="4">
        <v>116012</v>
      </c>
      <c r="C35">
        <v>1.4813311688311688E-2</v>
      </c>
      <c r="D35">
        <v>2</v>
      </c>
      <c r="E35">
        <v>0</v>
      </c>
      <c r="F35">
        <v>0</v>
      </c>
      <c r="G35">
        <v>2.8E-3</v>
      </c>
      <c r="H35">
        <v>0.99719999999999998</v>
      </c>
    </row>
    <row r="36" spans="1:8">
      <c r="A36" t="s">
        <v>552</v>
      </c>
      <c r="B36" s="4">
        <v>116013</v>
      </c>
      <c r="C36">
        <v>1.488095238095238E-2</v>
      </c>
      <c r="D36">
        <v>2</v>
      </c>
      <c r="E36">
        <v>0</v>
      </c>
      <c r="F36">
        <v>0</v>
      </c>
      <c r="G36">
        <v>3.0000000000000001E-3</v>
      </c>
      <c r="H36">
        <v>0.997</v>
      </c>
    </row>
    <row r="37" spans="1:8">
      <c r="A37" t="s">
        <v>553</v>
      </c>
      <c r="B37" s="4">
        <v>116014</v>
      </c>
      <c r="C37">
        <v>1.488095238095238E-2</v>
      </c>
      <c r="D37">
        <v>2</v>
      </c>
      <c r="E37">
        <v>0</v>
      </c>
      <c r="F37">
        <v>0</v>
      </c>
      <c r="G37">
        <v>3.2000000000000002E-3</v>
      </c>
      <c r="H37">
        <v>0.99680000000000002</v>
      </c>
    </row>
    <row r="38" spans="1:8">
      <c r="A38" t="s">
        <v>554</v>
      </c>
      <c r="B38" s="4">
        <v>116015</v>
      </c>
      <c r="C38">
        <v>1.488095238095238E-2</v>
      </c>
      <c r="D38">
        <v>2</v>
      </c>
      <c r="E38">
        <v>0</v>
      </c>
      <c r="F38">
        <v>0</v>
      </c>
      <c r="G38">
        <v>3.3999999999999998E-3</v>
      </c>
      <c r="H38">
        <v>0.99660000000000004</v>
      </c>
    </row>
    <row r="39" spans="1:8">
      <c r="A39" t="s">
        <v>555</v>
      </c>
      <c r="B39" s="4">
        <v>116016</v>
      </c>
      <c r="C39">
        <v>1.488095238095238E-2</v>
      </c>
      <c r="D39">
        <v>2</v>
      </c>
      <c r="E39">
        <v>0</v>
      </c>
      <c r="F39">
        <v>0</v>
      </c>
      <c r="G39">
        <v>3.5999999999999999E-3</v>
      </c>
      <c r="H39">
        <v>0.99639999999999995</v>
      </c>
    </row>
    <row r="40" spans="1:8">
      <c r="A40" t="s">
        <v>556</v>
      </c>
      <c r="B40" s="4">
        <v>116017</v>
      </c>
      <c r="C40">
        <v>6.764069264069266E-4</v>
      </c>
      <c r="D40">
        <v>3</v>
      </c>
      <c r="E40">
        <v>0</v>
      </c>
      <c r="F40">
        <v>0</v>
      </c>
      <c r="G40">
        <v>3.8E-3</v>
      </c>
      <c r="H40">
        <v>0.99619999999999997</v>
      </c>
    </row>
    <row r="41" spans="1:8">
      <c r="A41" t="s">
        <v>557</v>
      </c>
      <c r="B41" s="4">
        <v>116018</v>
      </c>
      <c r="C41">
        <v>6.0876623376623386E-4</v>
      </c>
      <c r="D41">
        <v>3</v>
      </c>
      <c r="E41">
        <v>0</v>
      </c>
      <c r="F41">
        <v>0</v>
      </c>
      <c r="G41">
        <v>4.0000000000000001E-3</v>
      </c>
      <c r="H41">
        <v>0.996</v>
      </c>
    </row>
    <row r="42" spans="1:8">
      <c r="A42" t="s">
        <v>558</v>
      </c>
      <c r="B42" s="4">
        <v>116019</v>
      </c>
      <c r="C42">
        <v>5.4112554112554123E-4</v>
      </c>
      <c r="D42">
        <v>3</v>
      </c>
      <c r="E42">
        <v>0</v>
      </c>
      <c r="F42">
        <v>0</v>
      </c>
      <c r="G42">
        <v>4.1999999999999997E-3</v>
      </c>
      <c r="H42">
        <v>0.99580000000000002</v>
      </c>
    </row>
    <row r="43" spans="1:8">
      <c r="A43" t="s">
        <v>559</v>
      </c>
      <c r="B43" s="4">
        <v>116020</v>
      </c>
      <c r="C43">
        <v>4.7348484848484855E-4</v>
      </c>
      <c r="D43">
        <v>3</v>
      </c>
      <c r="E43">
        <v>0</v>
      </c>
      <c r="F43">
        <v>0</v>
      </c>
      <c r="G43">
        <v>4.4000000000000003E-3</v>
      </c>
      <c r="H43">
        <v>0.99560000000000004</v>
      </c>
    </row>
    <row r="44" spans="1:8">
      <c r="A44" t="s">
        <v>560</v>
      </c>
      <c r="B44" s="4">
        <v>116021</v>
      </c>
      <c r="C44">
        <v>4.0584415584415593E-4</v>
      </c>
      <c r="D44">
        <v>3</v>
      </c>
      <c r="E44">
        <v>0</v>
      </c>
      <c r="F44">
        <v>0</v>
      </c>
      <c r="G44">
        <v>4.5999999999999999E-3</v>
      </c>
      <c r="H44">
        <v>0.99539999999999995</v>
      </c>
    </row>
    <row r="45" spans="1:8">
      <c r="A45" t="s">
        <v>561</v>
      </c>
      <c r="B45" s="4">
        <v>116022</v>
      </c>
      <c r="C45">
        <v>3.382034632034633E-4</v>
      </c>
      <c r="D45">
        <v>3</v>
      </c>
      <c r="E45">
        <v>0</v>
      </c>
      <c r="F45">
        <v>0</v>
      </c>
      <c r="G45">
        <v>4.7999999999999996E-3</v>
      </c>
      <c r="H45">
        <v>0.99519999999999997</v>
      </c>
    </row>
    <row r="46" spans="1:8">
      <c r="A46" t="s">
        <v>562</v>
      </c>
      <c r="B46" s="4">
        <v>116023</v>
      </c>
      <c r="C46">
        <v>2.7056277056277062E-4</v>
      </c>
      <c r="D46">
        <v>3</v>
      </c>
      <c r="E46">
        <v>0</v>
      </c>
      <c r="F46">
        <v>0</v>
      </c>
      <c r="G46">
        <v>5.0000000000000001E-3</v>
      </c>
      <c r="H46">
        <v>0.995</v>
      </c>
    </row>
    <row r="47" spans="1:8">
      <c r="A47" t="s">
        <v>563</v>
      </c>
      <c r="B47" s="4">
        <v>116024</v>
      </c>
      <c r="C47">
        <v>2.0292207792207796E-4</v>
      </c>
      <c r="D47">
        <v>3</v>
      </c>
      <c r="E47">
        <v>0</v>
      </c>
      <c r="F47">
        <v>0</v>
      </c>
      <c r="G47">
        <v>5.1999999999999998E-3</v>
      </c>
      <c r="H47">
        <v>0.99480000000000002</v>
      </c>
    </row>
    <row r="48" spans="1:8">
      <c r="A48" t="s">
        <v>564</v>
      </c>
      <c r="B48" s="4">
        <v>116025</v>
      </c>
      <c r="C48">
        <v>1.3528138528138531E-4</v>
      </c>
      <c r="D48">
        <v>3</v>
      </c>
      <c r="E48">
        <v>0</v>
      </c>
      <c r="F48">
        <v>0</v>
      </c>
      <c r="G48">
        <v>5.4000000000000003E-3</v>
      </c>
      <c r="H48">
        <v>0.99460000000000004</v>
      </c>
    </row>
    <row r="49" spans="1:8">
      <c r="A49" t="s">
        <v>565</v>
      </c>
      <c r="B49" s="4">
        <v>116026</v>
      </c>
      <c r="C49">
        <v>6.7640692640692654E-5</v>
      </c>
      <c r="D49">
        <v>3</v>
      </c>
      <c r="E49">
        <v>0</v>
      </c>
      <c r="F49">
        <v>0</v>
      </c>
      <c r="G49">
        <v>5.5999999999999999E-3</v>
      </c>
      <c r="H49">
        <v>0.99439999999999995</v>
      </c>
    </row>
    <row r="50" spans="1:8">
      <c r="A50" t="s">
        <v>566</v>
      </c>
      <c r="B50" s="4">
        <v>117003</v>
      </c>
      <c r="C50">
        <v>1.0227272727272725E-2</v>
      </c>
      <c r="D50">
        <v>3</v>
      </c>
      <c r="E50">
        <v>0</v>
      </c>
      <c r="F50">
        <v>0</v>
      </c>
      <c r="G50">
        <v>5.0000000000000001E-3</v>
      </c>
      <c r="H50">
        <v>0.995</v>
      </c>
    </row>
    <row r="51" spans="1:8">
      <c r="A51" t="s">
        <v>567</v>
      </c>
      <c r="B51" s="4">
        <v>117004</v>
      </c>
      <c r="C51">
        <v>1.0275974025974025E-2</v>
      </c>
      <c r="D51">
        <v>3</v>
      </c>
      <c r="E51">
        <v>0</v>
      </c>
      <c r="F51">
        <v>0</v>
      </c>
      <c r="G51">
        <v>6.0000000000000001E-3</v>
      </c>
      <c r="H51">
        <v>0.99399999999999999</v>
      </c>
    </row>
    <row r="52" spans="1:8">
      <c r="A52" t="s">
        <v>568</v>
      </c>
      <c r="B52" s="4">
        <v>117005</v>
      </c>
      <c r="C52">
        <v>1.0324675324675323E-2</v>
      </c>
      <c r="D52">
        <v>3</v>
      </c>
      <c r="E52">
        <v>0</v>
      </c>
      <c r="F52">
        <v>0</v>
      </c>
      <c r="G52">
        <v>7.0000000000000001E-3</v>
      </c>
      <c r="H52">
        <v>0.99299999999999999</v>
      </c>
    </row>
    <row r="53" spans="1:8">
      <c r="A53" t="s">
        <v>569</v>
      </c>
      <c r="B53" s="4">
        <v>117006</v>
      </c>
      <c r="C53">
        <v>1.0373376623376623E-2</v>
      </c>
      <c r="D53">
        <v>3</v>
      </c>
      <c r="E53">
        <v>0</v>
      </c>
      <c r="F53">
        <v>0</v>
      </c>
      <c r="G53">
        <v>8.0000000000000002E-3</v>
      </c>
      <c r="H53">
        <v>0.99199999999999999</v>
      </c>
    </row>
    <row r="54" spans="1:8">
      <c r="A54" t="s">
        <v>570</v>
      </c>
      <c r="B54" s="4">
        <v>117007</v>
      </c>
      <c r="C54">
        <v>1.0422077922077921E-2</v>
      </c>
      <c r="D54">
        <v>3</v>
      </c>
      <c r="E54">
        <v>0</v>
      </c>
      <c r="F54">
        <v>0</v>
      </c>
      <c r="G54">
        <v>8.9999999999999993E-3</v>
      </c>
      <c r="H54">
        <v>0.99099999999999999</v>
      </c>
    </row>
    <row r="55" spans="1:8">
      <c r="A55" t="s">
        <v>571</v>
      </c>
      <c r="B55" s="4">
        <v>117008</v>
      </c>
      <c r="C55">
        <v>1.0470779220779219E-2</v>
      </c>
      <c r="D55">
        <v>3</v>
      </c>
      <c r="E55">
        <v>0</v>
      </c>
      <c r="F55">
        <v>0</v>
      </c>
      <c r="G55">
        <v>0.01</v>
      </c>
      <c r="H55">
        <v>0.99</v>
      </c>
    </row>
    <row r="56" spans="1:8">
      <c r="A56" t="s">
        <v>572</v>
      </c>
      <c r="B56" s="4">
        <v>117009</v>
      </c>
      <c r="C56">
        <v>1.0519480519480519E-2</v>
      </c>
      <c r="D56">
        <v>3</v>
      </c>
      <c r="E56">
        <v>0</v>
      </c>
      <c r="F56">
        <v>0</v>
      </c>
      <c r="G56">
        <v>1.0999999999999999E-2</v>
      </c>
      <c r="H56">
        <v>0.98899999999999999</v>
      </c>
    </row>
    <row r="57" spans="1:8">
      <c r="A57" t="s">
        <v>573</v>
      </c>
      <c r="B57" s="4">
        <v>117010</v>
      </c>
      <c r="C57">
        <v>1.0568181818181817E-2</v>
      </c>
      <c r="D57">
        <v>3</v>
      </c>
      <c r="E57">
        <v>0</v>
      </c>
      <c r="F57">
        <v>0</v>
      </c>
      <c r="G57">
        <v>1.2E-2</v>
      </c>
      <c r="H57">
        <v>0.98799999999999999</v>
      </c>
    </row>
    <row r="58" spans="1:8">
      <c r="A58" t="s">
        <v>574</v>
      </c>
      <c r="B58" s="4">
        <v>117011</v>
      </c>
      <c r="C58">
        <v>1.0616883116883117E-2</v>
      </c>
      <c r="D58">
        <v>3</v>
      </c>
      <c r="E58">
        <v>0</v>
      </c>
      <c r="F58">
        <v>0</v>
      </c>
      <c r="G58">
        <v>1.2999999999999999E-2</v>
      </c>
      <c r="H58">
        <v>0.98699999999999999</v>
      </c>
    </row>
    <row r="59" spans="1:8">
      <c r="A59" t="s">
        <v>575</v>
      </c>
      <c r="B59" s="4">
        <v>117012</v>
      </c>
      <c r="C59">
        <v>1.0665584415584415E-2</v>
      </c>
      <c r="D59">
        <v>3</v>
      </c>
      <c r="E59">
        <v>0</v>
      </c>
      <c r="F59">
        <v>0</v>
      </c>
      <c r="G59">
        <v>1.4E-2</v>
      </c>
      <c r="H59">
        <v>0.98599999999999999</v>
      </c>
    </row>
    <row r="60" spans="1:8">
      <c r="A60" t="s">
        <v>576</v>
      </c>
      <c r="B60" s="4">
        <v>117013</v>
      </c>
      <c r="C60">
        <v>1.0714285714285713E-2</v>
      </c>
      <c r="D60">
        <v>3</v>
      </c>
      <c r="E60">
        <v>0</v>
      </c>
      <c r="F60">
        <v>0</v>
      </c>
      <c r="G60">
        <v>1.4999999999999999E-2</v>
      </c>
      <c r="H60">
        <v>0.98499999999999999</v>
      </c>
    </row>
    <row r="61" spans="1:8">
      <c r="A61" t="s">
        <v>577</v>
      </c>
      <c r="B61" s="4">
        <v>117014</v>
      </c>
      <c r="C61">
        <v>1.0714285714285713E-2</v>
      </c>
      <c r="D61">
        <v>3</v>
      </c>
      <c r="E61">
        <v>0</v>
      </c>
      <c r="F61">
        <v>0</v>
      </c>
      <c r="G61">
        <v>1.6E-2</v>
      </c>
      <c r="H61">
        <v>0.98399999999999999</v>
      </c>
    </row>
    <row r="62" spans="1:8">
      <c r="A62" t="s">
        <v>578</v>
      </c>
      <c r="B62" s="4">
        <v>117015</v>
      </c>
      <c r="C62">
        <v>1.0714285714285713E-2</v>
      </c>
      <c r="D62">
        <v>3</v>
      </c>
      <c r="E62">
        <v>0</v>
      </c>
      <c r="F62">
        <v>0</v>
      </c>
      <c r="G62">
        <v>1.7000000000000001E-2</v>
      </c>
      <c r="H62">
        <v>0.98299999999999998</v>
      </c>
    </row>
    <row r="63" spans="1:8">
      <c r="A63" t="s">
        <v>579</v>
      </c>
      <c r="B63" s="4">
        <v>117016</v>
      </c>
      <c r="C63">
        <v>1.0714285714285713E-2</v>
      </c>
      <c r="D63">
        <v>3</v>
      </c>
      <c r="E63">
        <v>0</v>
      </c>
      <c r="F63">
        <v>0</v>
      </c>
      <c r="G63">
        <v>1.7999999999999999E-2</v>
      </c>
      <c r="H63">
        <v>0.98199999999999998</v>
      </c>
    </row>
    <row r="64" spans="1:8">
      <c r="A64" t="s">
        <v>580</v>
      </c>
      <c r="B64" s="4">
        <v>117017</v>
      </c>
      <c r="C64">
        <v>4.8701298701298707E-4</v>
      </c>
      <c r="D64">
        <v>4</v>
      </c>
      <c r="E64">
        <v>0</v>
      </c>
      <c r="F64">
        <v>0</v>
      </c>
      <c r="G64">
        <v>1.9E-2</v>
      </c>
      <c r="H64">
        <v>0.98099999999999998</v>
      </c>
    </row>
    <row r="65" spans="1:8">
      <c r="A65" t="s">
        <v>581</v>
      </c>
      <c r="B65" s="4">
        <v>117018</v>
      </c>
      <c r="C65">
        <v>4.3831168831168839E-4</v>
      </c>
      <c r="D65">
        <v>4</v>
      </c>
      <c r="E65">
        <v>0</v>
      </c>
      <c r="F65">
        <v>0</v>
      </c>
      <c r="G65">
        <v>0.02</v>
      </c>
      <c r="H65">
        <v>0.98</v>
      </c>
    </row>
    <row r="66" spans="1:8">
      <c r="A66" t="s">
        <v>582</v>
      </c>
      <c r="B66" s="4">
        <v>117019</v>
      </c>
      <c r="C66">
        <v>3.8961038961038966E-4</v>
      </c>
      <c r="D66">
        <v>4</v>
      </c>
      <c r="E66">
        <v>0</v>
      </c>
      <c r="F66">
        <v>0</v>
      </c>
      <c r="G66">
        <v>2.1000000000000001E-2</v>
      </c>
      <c r="H66">
        <v>0.97899999999999998</v>
      </c>
    </row>
    <row r="67" spans="1:8">
      <c r="A67" t="s">
        <v>583</v>
      </c>
      <c r="B67" s="4">
        <v>117020</v>
      </c>
      <c r="C67">
        <v>3.4090909090909094E-4</v>
      </c>
      <c r="D67">
        <v>4</v>
      </c>
      <c r="E67">
        <v>0</v>
      </c>
      <c r="F67">
        <v>0</v>
      </c>
      <c r="G67">
        <v>2.1999999999999999E-2</v>
      </c>
      <c r="H67">
        <v>0.97799999999999998</v>
      </c>
    </row>
    <row r="68" spans="1:8">
      <c r="A68" t="s">
        <v>584</v>
      </c>
      <c r="B68" s="4">
        <v>117021</v>
      </c>
      <c r="C68">
        <v>2.9220779220779226E-4</v>
      </c>
      <c r="D68">
        <v>4</v>
      </c>
      <c r="E68">
        <v>0</v>
      </c>
      <c r="F68">
        <v>0</v>
      </c>
      <c r="G68">
        <v>2.3E-2</v>
      </c>
      <c r="H68">
        <v>0.97699999999999998</v>
      </c>
    </row>
    <row r="69" spans="1:8">
      <c r="A69" t="s">
        <v>585</v>
      </c>
      <c r="B69" s="4">
        <v>117022</v>
      </c>
      <c r="C69">
        <v>2.4350649350649353E-4</v>
      </c>
      <c r="D69">
        <v>4</v>
      </c>
      <c r="E69">
        <v>0</v>
      </c>
      <c r="F69">
        <v>0</v>
      </c>
      <c r="G69">
        <v>2.4E-2</v>
      </c>
      <c r="H69">
        <v>0.97599999999999998</v>
      </c>
    </row>
    <row r="70" spans="1:8">
      <c r="A70" t="s">
        <v>586</v>
      </c>
      <c r="B70" s="4">
        <v>117023</v>
      </c>
      <c r="C70">
        <v>1.9480519480519483E-4</v>
      </c>
      <c r="D70">
        <v>4</v>
      </c>
      <c r="E70">
        <v>0</v>
      </c>
      <c r="F70">
        <v>0</v>
      </c>
      <c r="G70">
        <v>2.5000000000000001E-2</v>
      </c>
      <c r="H70">
        <v>0.97499999999999998</v>
      </c>
    </row>
    <row r="71" spans="1:8">
      <c r="A71" t="s">
        <v>587</v>
      </c>
      <c r="B71" s="4">
        <v>117024</v>
      </c>
      <c r="C71">
        <v>1.461038961038961E-4</v>
      </c>
      <c r="D71">
        <v>4</v>
      </c>
      <c r="E71">
        <v>0</v>
      </c>
      <c r="F71">
        <v>0</v>
      </c>
      <c r="G71">
        <v>2.5999999999999999E-2</v>
      </c>
      <c r="H71">
        <v>0.97399999999999998</v>
      </c>
    </row>
    <row r="72" spans="1:8">
      <c r="A72" t="s">
        <v>588</v>
      </c>
      <c r="B72" s="4">
        <v>117025</v>
      </c>
      <c r="C72">
        <v>9.7402597402597416E-5</v>
      </c>
      <c r="D72">
        <v>4</v>
      </c>
      <c r="E72">
        <v>0</v>
      </c>
      <c r="F72">
        <v>0</v>
      </c>
      <c r="G72">
        <v>2.7E-2</v>
      </c>
      <c r="H72">
        <v>0.97299999999999998</v>
      </c>
    </row>
    <row r="73" spans="1:8">
      <c r="A73" t="s">
        <v>589</v>
      </c>
      <c r="B73" s="4">
        <v>117026</v>
      </c>
      <c r="C73">
        <v>4.8701298701298708E-5</v>
      </c>
      <c r="D73">
        <v>4</v>
      </c>
      <c r="E73">
        <v>0</v>
      </c>
      <c r="F73">
        <v>0</v>
      </c>
      <c r="G73">
        <v>2.8000000000000001E-2</v>
      </c>
      <c r="H73">
        <v>0.97199999999999998</v>
      </c>
    </row>
    <row r="74" spans="1:8">
      <c r="A74" t="s">
        <v>590</v>
      </c>
      <c r="B74" s="4">
        <v>118003</v>
      </c>
      <c r="C74">
        <v>1.1363636363636363E-3</v>
      </c>
      <c r="D74">
        <v>5</v>
      </c>
      <c r="E74">
        <v>2.5000000000000001E-4</v>
      </c>
      <c r="F74">
        <v>0</v>
      </c>
      <c r="G74">
        <v>1.2E-2</v>
      </c>
      <c r="H74">
        <v>0.98775000000000002</v>
      </c>
    </row>
    <row r="75" spans="1:8">
      <c r="A75" t="s">
        <v>591</v>
      </c>
      <c r="B75" s="4">
        <v>118004</v>
      </c>
      <c r="C75">
        <v>1.1417748917748917E-3</v>
      </c>
      <c r="D75">
        <v>5</v>
      </c>
      <c r="E75">
        <v>2.9999999999999997E-4</v>
      </c>
      <c r="F75">
        <v>0</v>
      </c>
      <c r="G75">
        <v>1.44E-2</v>
      </c>
      <c r="H75">
        <v>0.98530000000000006</v>
      </c>
    </row>
    <row r="76" spans="1:8">
      <c r="A76" t="s">
        <v>592</v>
      </c>
      <c r="B76" s="4">
        <v>118005</v>
      </c>
      <c r="C76">
        <v>1.1471861471861471E-3</v>
      </c>
      <c r="D76">
        <v>5</v>
      </c>
      <c r="E76">
        <v>3.5E-4</v>
      </c>
      <c r="F76">
        <v>0</v>
      </c>
      <c r="G76">
        <v>1.6799999999999999E-2</v>
      </c>
      <c r="H76">
        <v>0.98285</v>
      </c>
    </row>
    <row r="77" spans="1:8">
      <c r="A77" t="s">
        <v>593</v>
      </c>
      <c r="B77" s="4">
        <v>118006</v>
      </c>
      <c r="C77">
        <v>1.1525974025974025E-3</v>
      </c>
      <c r="D77">
        <v>5</v>
      </c>
      <c r="E77">
        <v>4.0000000000000002E-4</v>
      </c>
      <c r="F77">
        <v>0</v>
      </c>
      <c r="G77">
        <v>1.9199999999999998E-2</v>
      </c>
      <c r="H77">
        <v>0.98040000000000005</v>
      </c>
    </row>
    <row r="78" spans="1:8">
      <c r="A78" t="s">
        <v>594</v>
      </c>
      <c r="B78" s="4">
        <v>118007</v>
      </c>
      <c r="C78">
        <v>1.1580086580086578E-3</v>
      </c>
      <c r="D78">
        <v>5</v>
      </c>
      <c r="E78">
        <v>4.4999999999999999E-4</v>
      </c>
      <c r="F78">
        <v>0</v>
      </c>
      <c r="G78">
        <v>2.1600000000000001E-2</v>
      </c>
      <c r="H78">
        <v>0.9779500000000001</v>
      </c>
    </row>
    <row r="79" spans="1:8">
      <c r="A79" t="s">
        <v>595</v>
      </c>
      <c r="B79" s="4">
        <v>118008</v>
      </c>
      <c r="C79">
        <v>1.1634199134199132E-3</v>
      </c>
      <c r="D79">
        <v>5</v>
      </c>
      <c r="E79">
        <v>5.0000000000000001E-4</v>
      </c>
      <c r="F79">
        <v>0</v>
      </c>
      <c r="G79">
        <v>2.4E-2</v>
      </c>
      <c r="H79">
        <v>0.97550000000000003</v>
      </c>
    </row>
    <row r="80" spans="1:8">
      <c r="A80" t="s">
        <v>596</v>
      </c>
      <c r="B80" s="4">
        <v>118009</v>
      </c>
      <c r="C80">
        <v>1.1688311688311688E-3</v>
      </c>
      <c r="D80">
        <v>5</v>
      </c>
      <c r="E80">
        <v>5.5000000000000003E-4</v>
      </c>
      <c r="F80">
        <v>0</v>
      </c>
      <c r="G80">
        <v>2.64E-2</v>
      </c>
      <c r="H80">
        <v>0.97304999999999997</v>
      </c>
    </row>
    <row r="81" spans="1:8">
      <c r="A81" t="s">
        <v>597</v>
      </c>
      <c r="B81" s="4">
        <v>118010</v>
      </c>
      <c r="C81">
        <v>1.1742424242424242E-3</v>
      </c>
      <c r="D81">
        <v>5</v>
      </c>
      <c r="E81">
        <v>5.9999999999999995E-4</v>
      </c>
      <c r="F81">
        <v>0</v>
      </c>
      <c r="G81">
        <v>2.8799999999999999E-2</v>
      </c>
      <c r="H81">
        <v>0.97059999999999991</v>
      </c>
    </row>
    <row r="82" spans="1:8">
      <c r="A82" t="s">
        <v>598</v>
      </c>
      <c r="B82" s="4">
        <v>118011</v>
      </c>
      <c r="C82">
        <v>1.1796536796536796E-3</v>
      </c>
      <c r="D82">
        <v>5</v>
      </c>
      <c r="E82">
        <v>6.4999999999999997E-4</v>
      </c>
      <c r="F82">
        <v>0</v>
      </c>
      <c r="G82">
        <v>3.1199999999999999E-2</v>
      </c>
      <c r="H82">
        <v>0.96814999999999996</v>
      </c>
    </row>
    <row r="83" spans="1:8">
      <c r="A83" t="s">
        <v>599</v>
      </c>
      <c r="B83" s="4">
        <v>118012</v>
      </c>
      <c r="C83">
        <v>1.185064935064935E-3</v>
      </c>
      <c r="D83">
        <v>5</v>
      </c>
      <c r="E83">
        <v>6.9999999999999999E-4</v>
      </c>
      <c r="F83">
        <v>0</v>
      </c>
      <c r="G83">
        <v>3.3599999999999998E-2</v>
      </c>
      <c r="H83">
        <v>0.9657</v>
      </c>
    </row>
    <row r="84" spans="1:8">
      <c r="A84" t="s">
        <v>600</v>
      </c>
      <c r="B84" s="4">
        <v>118013</v>
      </c>
      <c r="C84">
        <v>1.1904761904761904E-3</v>
      </c>
      <c r="D84">
        <v>5</v>
      </c>
      <c r="E84">
        <v>7.5000000000000002E-4</v>
      </c>
      <c r="F84">
        <v>0</v>
      </c>
      <c r="G84">
        <v>3.5999999999999997E-2</v>
      </c>
      <c r="H84">
        <v>0.96324999999999994</v>
      </c>
    </row>
    <row r="85" spans="1:8">
      <c r="A85" t="s">
        <v>601</v>
      </c>
      <c r="B85" s="4">
        <v>118014</v>
      </c>
      <c r="C85">
        <v>1.1904761904761904E-3</v>
      </c>
      <c r="D85">
        <v>5</v>
      </c>
      <c r="E85">
        <v>8.0000000000000004E-4</v>
      </c>
      <c r="F85">
        <v>0</v>
      </c>
      <c r="G85">
        <v>3.8399999999999997E-2</v>
      </c>
      <c r="H85">
        <v>0.96079999999999999</v>
      </c>
    </row>
    <row r="86" spans="1:8">
      <c r="A86" t="s">
        <v>602</v>
      </c>
      <c r="B86" s="4">
        <v>118015</v>
      </c>
      <c r="C86">
        <v>1.1904761904761904E-3</v>
      </c>
      <c r="D86">
        <v>5</v>
      </c>
      <c r="E86">
        <v>8.4999999999999995E-4</v>
      </c>
      <c r="F86">
        <v>0</v>
      </c>
      <c r="G86">
        <v>4.0800000000000003E-2</v>
      </c>
      <c r="H86">
        <v>0.95835000000000004</v>
      </c>
    </row>
    <row r="87" spans="1:8">
      <c r="A87" t="s">
        <v>603</v>
      </c>
      <c r="B87" s="4">
        <v>118016</v>
      </c>
      <c r="C87">
        <v>1.1904761904761904E-3</v>
      </c>
      <c r="D87">
        <v>5</v>
      </c>
      <c r="E87">
        <v>8.9999999999999998E-4</v>
      </c>
      <c r="F87">
        <v>0</v>
      </c>
      <c r="G87">
        <v>4.3200000000000002E-2</v>
      </c>
      <c r="H87">
        <v>0.95589999999999997</v>
      </c>
    </row>
    <row r="88" spans="1:8">
      <c r="A88" t="s">
        <v>604</v>
      </c>
      <c r="B88" s="4">
        <v>118017</v>
      </c>
      <c r="C88">
        <v>5.4112554112554119E-5</v>
      </c>
      <c r="D88">
        <v>6</v>
      </c>
      <c r="E88">
        <v>9.5E-4</v>
      </c>
      <c r="F88">
        <v>0</v>
      </c>
      <c r="G88">
        <v>4.5600000000000002E-2</v>
      </c>
      <c r="H88">
        <v>0.95345000000000002</v>
      </c>
    </row>
    <row r="89" spans="1:8">
      <c r="A89" t="s">
        <v>605</v>
      </c>
      <c r="B89" s="4">
        <v>118018</v>
      </c>
      <c r="C89">
        <v>4.8701298701298708E-5</v>
      </c>
      <c r="D89">
        <v>6</v>
      </c>
      <c r="E89">
        <v>1E-3</v>
      </c>
      <c r="F89">
        <v>0</v>
      </c>
      <c r="G89">
        <v>4.8000000000000001E-2</v>
      </c>
      <c r="H89">
        <v>0.95099999999999996</v>
      </c>
    </row>
    <row r="90" spans="1:8">
      <c r="A90" t="s">
        <v>606</v>
      </c>
      <c r="B90" s="4">
        <v>118019</v>
      </c>
      <c r="C90">
        <v>4.3290043290043297E-5</v>
      </c>
      <c r="D90">
        <v>6</v>
      </c>
      <c r="E90">
        <v>1.0499999999999999E-3</v>
      </c>
      <c r="F90">
        <v>0</v>
      </c>
      <c r="G90">
        <v>5.04E-2</v>
      </c>
      <c r="H90">
        <v>0.94855</v>
      </c>
    </row>
    <row r="91" spans="1:8">
      <c r="A91" t="s">
        <v>607</v>
      </c>
      <c r="B91" s="4">
        <v>118020</v>
      </c>
      <c r="C91">
        <v>3.7878787878787886E-5</v>
      </c>
      <c r="D91">
        <v>6</v>
      </c>
      <c r="E91">
        <v>1.1000000000000001E-3</v>
      </c>
      <c r="F91">
        <v>0</v>
      </c>
      <c r="G91">
        <v>5.28E-2</v>
      </c>
      <c r="H91">
        <v>0.94610000000000005</v>
      </c>
    </row>
    <row r="92" spans="1:8">
      <c r="A92" t="s">
        <v>608</v>
      </c>
      <c r="B92" s="4">
        <v>118021</v>
      </c>
      <c r="C92">
        <v>3.2467532467532474E-5</v>
      </c>
      <c r="D92">
        <v>6</v>
      </c>
      <c r="E92">
        <v>1.15E-3</v>
      </c>
      <c r="F92">
        <v>0</v>
      </c>
      <c r="G92">
        <v>5.5199999999999999E-2</v>
      </c>
      <c r="H92">
        <v>0.94364999999999999</v>
      </c>
    </row>
    <row r="93" spans="1:8">
      <c r="A93" t="s">
        <v>609</v>
      </c>
      <c r="B93" s="4">
        <v>118022</v>
      </c>
      <c r="C93">
        <v>2.705627705627706E-5</v>
      </c>
      <c r="D93">
        <v>6</v>
      </c>
      <c r="E93">
        <v>1.1999999999999999E-3</v>
      </c>
      <c r="F93">
        <v>0</v>
      </c>
      <c r="G93">
        <v>5.7599999999999998E-2</v>
      </c>
      <c r="H93">
        <v>0.94120000000000004</v>
      </c>
    </row>
    <row r="94" spans="1:8">
      <c r="A94" t="s">
        <v>610</v>
      </c>
      <c r="B94" s="4">
        <v>118023</v>
      </c>
      <c r="C94">
        <v>2.1645021645021648E-5</v>
      </c>
      <c r="D94">
        <v>6</v>
      </c>
      <c r="E94">
        <v>1.25E-3</v>
      </c>
      <c r="F94">
        <v>0</v>
      </c>
      <c r="G94">
        <v>0.06</v>
      </c>
      <c r="H94">
        <v>0.93874999999999997</v>
      </c>
    </row>
    <row r="95" spans="1:8">
      <c r="A95" t="s">
        <v>611</v>
      </c>
      <c r="B95" s="4">
        <v>118024</v>
      </c>
      <c r="C95">
        <v>1.6233766233766234E-5</v>
      </c>
      <c r="D95">
        <v>6</v>
      </c>
      <c r="E95">
        <v>1.2999999999999999E-3</v>
      </c>
      <c r="F95">
        <v>0</v>
      </c>
      <c r="G95">
        <v>6.2399999999999997E-2</v>
      </c>
      <c r="H95">
        <v>0.93630000000000002</v>
      </c>
    </row>
    <row r="96" spans="1:8">
      <c r="A96" t="s">
        <v>612</v>
      </c>
      <c r="B96" s="4">
        <v>118025</v>
      </c>
      <c r="C96">
        <v>1.0822510822510824E-5</v>
      </c>
      <c r="D96">
        <v>6</v>
      </c>
      <c r="E96">
        <v>1.3500000000000001E-3</v>
      </c>
      <c r="F96">
        <v>0</v>
      </c>
      <c r="G96">
        <v>6.4799999999999996E-2</v>
      </c>
      <c r="H96">
        <v>0.93385000000000007</v>
      </c>
    </row>
    <row r="97" spans="1:8">
      <c r="A97" t="s">
        <v>613</v>
      </c>
      <c r="B97" s="4">
        <v>118026</v>
      </c>
      <c r="C97">
        <v>5.4112554112554121E-6</v>
      </c>
      <c r="D97">
        <v>6</v>
      </c>
      <c r="E97">
        <v>1.4E-3</v>
      </c>
      <c r="F97">
        <v>0</v>
      </c>
      <c r="G97">
        <v>6.7199999999999996E-2</v>
      </c>
      <c r="H97">
        <v>0.93140000000000001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define</vt:lpstr>
      <vt:lpstr>doodad和绑金</vt:lpstr>
      <vt:lpstr>Sheet2</vt:lpstr>
      <vt:lpstr>Sheet3</vt:lpstr>
      <vt:lpstr>洗矿索引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余力烨</cp:lastModifiedBy>
  <dcterms:created xsi:type="dcterms:W3CDTF">2013-08-15T03:06:10Z</dcterms:created>
  <dcterms:modified xsi:type="dcterms:W3CDTF">2016-07-11T08:35:51Z</dcterms:modified>
</cp:coreProperties>
</file>